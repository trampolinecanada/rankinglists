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Public TRA Excel Sheets/"/>
    </mc:Choice>
  </mc:AlternateContent>
  <xr:revisionPtr revIDLastSave="0" documentId="13_ncr:1_{3327A571-23B5-0E40-AB5A-080F74CCA4AD}" xr6:coauthVersionLast="43" xr6:coauthVersionMax="43" xr10:uidLastSave="{00000000-0000-0000-0000-000000000000}"/>
  <bookViews>
    <workbookView xWindow="0" yWindow="460" windowWidth="3358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'DMT-M'!$A$1:$LB$1</definedName>
    <definedName name="_xlnm._FilterDatabase" localSheetId="6" hidden="1">'DMT-W'!$A$1:$LB$1</definedName>
    <definedName name="_xlnm._FilterDatabase" localSheetId="1" hidden="1">'TRA-M'!$A$1:$LV$3</definedName>
    <definedName name="_xlnm._FilterDatabase" localSheetId="2" hidden="1">'TRA-W'!$A$1:$LV$3</definedName>
    <definedName name="_xlnm._FilterDatabase" localSheetId="3" hidden="1">'TUM-M'!$A$1:$KN$3</definedName>
    <definedName name="_xlnm._FilterDatabase" localSheetId="4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4" i="7" l="1"/>
  <c r="H4" i="2"/>
  <c r="F4" i="2"/>
  <c r="F5" i="2"/>
  <c r="G5" i="2"/>
  <c r="H5" i="2"/>
  <c r="F6" i="2"/>
  <c r="G6" i="2"/>
  <c r="H6" i="2"/>
  <c r="F7" i="2"/>
  <c r="G7" i="2"/>
  <c r="H7" i="2"/>
  <c r="F8" i="2"/>
  <c r="G8" i="2"/>
  <c r="H8" i="2"/>
  <c r="F9" i="2"/>
  <c r="G9" i="2"/>
  <c r="H9" i="2"/>
  <c r="F10" i="2"/>
  <c r="G10" i="2"/>
  <c r="H10" i="2"/>
  <c r="F11" i="2"/>
  <c r="G11" i="2"/>
  <c r="H11" i="2"/>
  <c r="F12" i="2"/>
  <c r="G12" i="2"/>
  <c r="H12" i="2"/>
  <c r="F13" i="2"/>
  <c r="G13" i="2"/>
  <c r="H13" i="2"/>
  <c r="F14" i="2"/>
  <c r="G14" i="2"/>
  <c r="H14" i="2"/>
  <c r="F15" i="2"/>
  <c r="G15" i="2"/>
  <c r="H15" i="2"/>
  <c r="G4" i="2"/>
  <c r="I4" i="4"/>
  <c r="G4" i="4"/>
  <c r="F4" i="4"/>
  <c r="F5" i="4"/>
  <c r="G5" i="4"/>
  <c r="H5" i="4"/>
  <c r="F6" i="4"/>
  <c r="G6" i="4"/>
  <c r="H6" i="4"/>
  <c r="F7" i="4"/>
  <c r="G7" i="4"/>
  <c r="H7" i="4"/>
  <c r="F8" i="4"/>
  <c r="G8" i="4"/>
  <c r="H8" i="4"/>
  <c r="F9" i="4"/>
  <c r="G9" i="4"/>
  <c r="H9" i="4"/>
  <c r="F10" i="4"/>
  <c r="G10" i="4"/>
  <c r="H10" i="4"/>
  <c r="F11" i="4"/>
  <c r="G11" i="4"/>
  <c r="H11" i="4"/>
  <c r="F12" i="4"/>
  <c r="G12" i="4"/>
  <c r="H12" i="4"/>
  <c r="F13" i="4"/>
  <c r="G13" i="4"/>
  <c r="H13" i="4"/>
  <c r="F14" i="4"/>
  <c r="G14" i="4"/>
  <c r="H14" i="4"/>
  <c r="F15" i="4"/>
  <c r="G15" i="4"/>
  <c r="H15" i="4"/>
  <c r="F16" i="4"/>
  <c r="G16" i="4"/>
  <c r="H16" i="4"/>
  <c r="F17" i="4"/>
  <c r="G17" i="4"/>
  <c r="H17" i="4"/>
  <c r="F18" i="4"/>
  <c r="G18" i="4"/>
  <c r="H18" i="4"/>
  <c r="F19" i="4"/>
  <c r="G19" i="4"/>
  <c r="H19" i="4"/>
  <c r="F20" i="4"/>
  <c r="G20" i="4"/>
  <c r="H20" i="4"/>
  <c r="F21" i="4"/>
  <c r="G21" i="4"/>
  <c r="H21" i="4"/>
  <c r="F22" i="4"/>
  <c r="G22" i="4"/>
  <c r="H22" i="4"/>
  <c r="F23" i="4"/>
  <c r="G23" i="4"/>
  <c r="H23" i="4"/>
  <c r="H4" i="4"/>
  <c r="DH15" i="2" l="1"/>
  <c r="DH14" i="2"/>
  <c r="DH13" i="2"/>
  <c r="DH12" i="2"/>
  <c r="DH11" i="2"/>
  <c r="DH10" i="2"/>
  <c r="DH9" i="2"/>
  <c r="DH8" i="2"/>
  <c r="DH7" i="2"/>
  <c r="DH6" i="2"/>
  <c r="DH5" i="2"/>
  <c r="DH4" i="2"/>
  <c r="EZ15" i="2"/>
  <c r="EZ14" i="2"/>
  <c r="EZ13" i="2"/>
  <c r="EZ12" i="2"/>
  <c r="EZ11" i="2"/>
  <c r="EZ10" i="2"/>
  <c r="EZ9" i="2"/>
  <c r="EZ8" i="2"/>
  <c r="EZ7" i="2"/>
  <c r="EZ6" i="2"/>
  <c r="EZ5" i="2"/>
  <c r="EZ4" i="2"/>
  <c r="GR15" i="2"/>
  <c r="GR14" i="2"/>
  <c r="GR13" i="2"/>
  <c r="GR12" i="2"/>
  <c r="GR11" i="2"/>
  <c r="GR10" i="2"/>
  <c r="GR9" i="2"/>
  <c r="GR8" i="2"/>
  <c r="GR7" i="2"/>
  <c r="GR6" i="2"/>
  <c r="GR5" i="2"/>
  <c r="GR4" i="2"/>
  <c r="IJ15" i="2"/>
  <c r="IJ14" i="2"/>
  <c r="IJ13" i="2"/>
  <c r="IJ12" i="2"/>
  <c r="IJ11" i="2"/>
  <c r="IJ10" i="2"/>
  <c r="IJ9" i="2"/>
  <c r="IJ8" i="2"/>
  <c r="IJ7" i="2"/>
  <c r="IJ6" i="2"/>
  <c r="IJ5" i="2"/>
  <c r="IJ4" i="2"/>
  <c r="KB15" i="2"/>
  <c r="KB14" i="2"/>
  <c r="KB13" i="2"/>
  <c r="KB12" i="2"/>
  <c r="KB11" i="2"/>
  <c r="KB10" i="2"/>
  <c r="KB9" i="2"/>
  <c r="KB8" i="2"/>
  <c r="KB7" i="2"/>
  <c r="KB6" i="2"/>
  <c r="KB5" i="2"/>
  <c r="KB4" i="2"/>
  <c r="LT15" i="2"/>
  <c r="LT14" i="2"/>
  <c r="LT13" i="2"/>
  <c r="LT12" i="2"/>
  <c r="LT11" i="2"/>
  <c r="LT10" i="2"/>
  <c r="LT9" i="2"/>
  <c r="LT8" i="2"/>
  <c r="LT7" i="2"/>
  <c r="LT6" i="2"/>
  <c r="LT5" i="2"/>
  <c r="LT4" i="2"/>
  <c r="KX15" i="2"/>
  <c r="KX14" i="2"/>
  <c r="KX13" i="2"/>
  <c r="KX12" i="2"/>
  <c r="KX11" i="2"/>
  <c r="KX10" i="2"/>
  <c r="KX9" i="2"/>
  <c r="KX8" i="2"/>
  <c r="KX7" i="2"/>
  <c r="KX6" i="2"/>
  <c r="KX5" i="2"/>
  <c r="KX4" i="2"/>
  <c r="JF15" i="2"/>
  <c r="JF14" i="2"/>
  <c r="JF13" i="2"/>
  <c r="JF12" i="2"/>
  <c r="JF11" i="2"/>
  <c r="JF10" i="2"/>
  <c r="JF9" i="2"/>
  <c r="JF8" i="2"/>
  <c r="JF7" i="2"/>
  <c r="JF6" i="2"/>
  <c r="JF5" i="2"/>
  <c r="JF4" i="2"/>
  <c r="HN15" i="2"/>
  <c r="HN14" i="2"/>
  <c r="HN13" i="2"/>
  <c r="HN12" i="2"/>
  <c r="HN11" i="2"/>
  <c r="HN10" i="2"/>
  <c r="HN9" i="2"/>
  <c r="HN8" i="2"/>
  <c r="HN7" i="2"/>
  <c r="HN6" i="2"/>
  <c r="HN5" i="2"/>
  <c r="HN4" i="2"/>
  <c r="FV15" i="2"/>
  <c r="FV14" i="2"/>
  <c r="FV13" i="2"/>
  <c r="FV12" i="2"/>
  <c r="FV11" i="2"/>
  <c r="FV10" i="2"/>
  <c r="FV9" i="2"/>
  <c r="FV8" i="2"/>
  <c r="FV7" i="2"/>
  <c r="FV6" i="2"/>
  <c r="FV5" i="2"/>
  <c r="FV4" i="2"/>
  <c r="ED15" i="2"/>
  <c r="ED14" i="2"/>
  <c r="ED13" i="2"/>
  <c r="ED12" i="2"/>
  <c r="ED11" i="2"/>
  <c r="ED10" i="2"/>
  <c r="ED9" i="2"/>
  <c r="ED8" i="2"/>
  <c r="ED7" i="2"/>
  <c r="ED6" i="2"/>
  <c r="ED5" i="2"/>
  <c r="ED4" i="2"/>
  <c r="CL5" i="2"/>
  <c r="CL6" i="2"/>
  <c r="CL7" i="2"/>
  <c r="CL8" i="2"/>
  <c r="CL9" i="2"/>
  <c r="CL10" i="2"/>
  <c r="CL11" i="2"/>
  <c r="CL12" i="2"/>
  <c r="CL13" i="2"/>
  <c r="CL14" i="2"/>
  <c r="CL15" i="2"/>
  <c r="CL4" i="2"/>
  <c r="BL15" i="2"/>
  <c r="BL14" i="2"/>
  <c r="BL13" i="2"/>
  <c r="BL12" i="2"/>
  <c r="BL11" i="2"/>
  <c r="BL10" i="2"/>
  <c r="BL9" i="2"/>
  <c r="BL8" i="2"/>
  <c r="BL7" i="2"/>
  <c r="BL6" i="2"/>
  <c r="BL5" i="2"/>
  <c r="BL4" i="2"/>
  <c r="AO5" i="2"/>
  <c r="AO6" i="2"/>
  <c r="AO7" i="2"/>
  <c r="AO8" i="2"/>
  <c r="AO9" i="2"/>
  <c r="AO10" i="2"/>
  <c r="AO11" i="2"/>
  <c r="AO12" i="2"/>
  <c r="AO13" i="2"/>
  <c r="AO14" i="2"/>
  <c r="AO15" i="2"/>
  <c r="AO4" i="2"/>
  <c r="LT23" i="4"/>
  <c r="LT22" i="4"/>
  <c r="LT17" i="4"/>
  <c r="LT21" i="4"/>
  <c r="LT20" i="4"/>
  <c r="LT19" i="4"/>
  <c r="LT18" i="4"/>
  <c r="LT16" i="4"/>
  <c r="LT15" i="4"/>
  <c r="LT14" i="4"/>
  <c r="LT13" i="4"/>
  <c r="LT12" i="4"/>
  <c r="LT11" i="4"/>
  <c r="LT10" i="4"/>
  <c r="LT9" i="4"/>
  <c r="LT8" i="4"/>
  <c r="LT7" i="4"/>
  <c r="LT6" i="4"/>
  <c r="LT5" i="4"/>
  <c r="LT4" i="4"/>
  <c r="KB23" i="4"/>
  <c r="KB22" i="4"/>
  <c r="KB17" i="4"/>
  <c r="KB21" i="4"/>
  <c r="KB20" i="4"/>
  <c r="KB19" i="4"/>
  <c r="KB18" i="4"/>
  <c r="KB16" i="4"/>
  <c r="KB15" i="4"/>
  <c r="KB14" i="4"/>
  <c r="KB13" i="4"/>
  <c r="KB12" i="4"/>
  <c r="KB11" i="4"/>
  <c r="KB10" i="4"/>
  <c r="KB9" i="4"/>
  <c r="KB8" i="4"/>
  <c r="KB7" i="4"/>
  <c r="KB6" i="4"/>
  <c r="KB5" i="4"/>
  <c r="KB4" i="4"/>
  <c r="IJ23" i="4"/>
  <c r="IJ22" i="4"/>
  <c r="IJ17" i="4"/>
  <c r="IJ21" i="4"/>
  <c r="IJ20" i="4"/>
  <c r="IJ19" i="4"/>
  <c r="IJ18" i="4"/>
  <c r="IJ16" i="4"/>
  <c r="IJ15" i="4"/>
  <c r="IJ14" i="4"/>
  <c r="IJ13" i="4"/>
  <c r="IJ12" i="4"/>
  <c r="IJ11" i="4"/>
  <c r="IJ10" i="4"/>
  <c r="IJ9" i="4"/>
  <c r="IJ8" i="4"/>
  <c r="IJ7" i="4"/>
  <c r="IJ6" i="4"/>
  <c r="IJ5" i="4"/>
  <c r="IJ4" i="4"/>
  <c r="GR23" i="4"/>
  <c r="GR22" i="4"/>
  <c r="GR17" i="4"/>
  <c r="GR21" i="4"/>
  <c r="GR20" i="4"/>
  <c r="GR19" i="4"/>
  <c r="GR18" i="4"/>
  <c r="GR16" i="4"/>
  <c r="GR15" i="4"/>
  <c r="GR14" i="4"/>
  <c r="GR13" i="4"/>
  <c r="GR12" i="4"/>
  <c r="GR11" i="4"/>
  <c r="GR10" i="4"/>
  <c r="GR9" i="4"/>
  <c r="GR8" i="4"/>
  <c r="GR7" i="4"/>
  <c r="GR6" i="4"/>
  <c r="GR5" i="4"/>
  <c r="GR4" i="4"/>
  <c r="EZ23" i="4"/>
  <c r="EZ22" i="4"/>
  <c r="EZ17" i="4"/>
  <c r="EZ21" i="4"/>
  <c r="EZ20" i="4"/>
  <c r="EZ19" i="4"/>
  <c r="EZ18" i="4"/>
  <c r="EZ16" i="4"/>
  <c r="EZ15" i="4"/>
  <c r="EZ14" i="4"/>
  <c r="EZ13" i="4"/>
  <c r="EZ12" i="4"/>
  <c r="EZ11" i="4"/>
  <c r="EZ10" i="4"/>
  <c r="EZ9" i="4"/>
  <c r="EZ8" i="4"/>
  <c r="EZ7" i="4"/>
  <c r="EZ6" i="4"/>
  <c r="EZ5" i="4"/>
  <c r="EZ4" i="4"/>
  <c r="KX23" i="4"/>
  <c r="KX22" i="4"/>
  <c r="KX17" i="4"/>
  <c r="KX21" i="4"/>
  <c r="KX20" i="4"/>
  <c r="KX19" i="4"/>
  <c r="KX18" i="4"/>
  <c r="KX16" i="4"/>
  <c r="KX15" i="4"/>
  <c r="KX14" i="4"/>
  <c r="KX13" i="4"/>
  <c r="KX12" i="4"/>
  <c r="KX11" i="4"/>
  <c r="KX10" i="4"/>
  <c r="KX9" i="4"/>
  <c r="KX8" i="4"/>
  <c r="KX7" i="4"/>
  <c r="KX6" i="4"/>
  <c r="KX5" i="4"/>
  <c r="KX4" i="4"/>
  <c r="JF23" i="4"/>
  <c r="JF22" i="4"/>
  <c r="JF17" i="4"/>
  <c r="JF21" i="4"/>
  <c r="JF20" i="4"/>
  <c r="JF19" i="4"/>
  <c r="JF18" i="4"/>
  <c r="JF16" i="4"/>
  <c r="JF15" i="4"/>
  <c r="JF14" i="4"/>
  <c r="JF13" i="4"/>
  <c r="JF12" i="4"/>
  <c r="JF11" i="4"/>
  <c r="JF10" i="4"/>
  <c r="JF9" i="4"/>
  <c r="JF8" i="4"/>
  <c r="JF7" i="4"/>
  <c r="JF6" i="4"/>
  <c r="JF5" i="4"/>
  <c r="JF4" i="4"/>
  <c r="HN23" i="4"/>
  <c r="HN22" i="4"/>
  <c r="HN17" i="4"/>
  <c r="HN21" i="4"/>
  <c r="HN20" i="4"/>
  <c r="HN19" i="4"/>
  <c r="HN18" i="4"/>
  <c r="HN16" i="4"/>
  <c r="HN15" i="4"/>
  <c r="HN14" i="4"/>
  <c r="HN13" i="4"/>
  <c r="HN12" i="4"/>
  <c r="HN11" i="4"/>
  <c r="HN10" i="4"/>
  <c r="HN9" i="4"/>
  <c r="HN8" i="4"/>
  <c r="HN7" i="4"/>
  <c r="HN6" i="4"/>
  <c r="HN5" i="4"/>
  <c r="HN4" i="4"/>
  <c r="FV23" i="4"/>
  <c r="FV22" i="4"/>
  <c r="FV17" i="4"/>
  <c r="FV21" i="4"/>
  <c r="FV20" i="4"/>
  <c r="FV19" i="4"/>
  <c r="FV18" i="4"/>
  <c r="FV16" i="4"/>
  <c r="FV15" i="4"/>
  <c r="FV14" i="4"/>
  <c r="FV13" i="4"/>
  <c r="FV12" i="4"/>
  <c r="FV11" i="4"/>
  <c r="FV10" i="4"/>
  <c r="FV9" i="4"/>
  <c r="FV8" i="4"/>
  <c r="FV7" i="4"/>
  <c r="FV6" i="4"/>
  <c r="FV5" i="4"/>
  <c r="FV4" i="4"/>
  <c r="ED23" i="4"/>
  <c r="ED22" i="4"/>
  <c r="ED17" i="4"/>
  <c r="ED21" i="4"/>
  <c r="ED20" i="4"/>
  <c r="ED19" i="4"/>
  <c r="ED18" i="4"/>
  <c r="ED16" i="4"/>
  <c r="ED15" i="4"/>
  <c r="ED14" i="4"/>
  <c r="ED13" i="4"/>
  <c r="ED12" i="4"/>
  <c r="ED11" i="4"/>
  <c r="ED10" i="4"/>
  <c r="ED9" i="4"/>
  <c r="ED8" i="4"/>
  <c r="ED7" i="4"/>
  <c r="ED6" i="4"/>
  <c r="ED5" i="4"/>
  <c r="ED4" i="4"/>
  <c r="DH23" i="4"/>
  <c r="DH22" i="4"/>
  <c r="DH17" i="4"/>
  <c r="DH21" i="4"/>
  <c r="DH20" i="4"/>
  <c r="DH19" i="4"/>
  <c r="DH18" i="4"/>
  <c r="DH16" i="4"/>
  <c r="DH15" i="4"/>
  <c r="DH14" i="4"/>
  <c r="DH13" i="4"/>
  <c r="DH12" i="4"/>
  <c r="DH11" i="4"/>
  <c r="DH10" i="4"/>
  <c r="DH9" i="4"/>
  <c r="DH8" i="4"/>
  <c r="DH7" i="4"/>
  <c r="DH6" i="4"/>
  <c r="DH5" i="4"/>
  <c r="DH4" i="4"/>
  <c r="CL5" i="4"/>
  <c r="CL6" i="4"/>
  <c r="CL7" i="4"/>
  <c r="CL8" i="4"/>
  <c r="CL9" i="4"/>
  <c r="CL10" i="4"/>
  <c r="CL11" i="4"/>
  <c r="CL12" i="4"/>
  <c r="CL13" i="4"/>
  <c r="CL14" i="4"/>
  <c r="CL15" i="4"/>
  <c r="CL16" i="4"/>
  <c r="CL18" i="4"/>
  <c r="CL19" i="4"/>
  <c r="CL20" i="4"/>
  <c r="CL21" i="4"/>
  <c r="CL17" i="4"/>
  <c r="CL22" i="4"/>
  <c r="CL23" i="4"/>
  <c r="CL4" i="4"/>
  <c r="BL23" i="4"/>
  <c r="BL22" i="4"/>
  <c r="BL17" i="4"/>
  <c r="BL21" i="4"/>
  <c r="BL20" i="4"/>
  <c r="BL19" i="4"/>
  <c r="BL18" i="4"/>
  <c r="BL16" i="4"/>
  <c r="BL15" i="4"/>
  <c r="BL14" i="4"/>
  <c r="BL13" i="4"/>
  <c r="BL12" i="4"/>
  <c r="BL11" i="4"/>
  <c r="BL10" i="4"/>
  <c r="BL9" i="4"/>
  <c r="BL8" i="4"/>
  <c r="BL7" i="4"/>
  <c r="BL6" i="4"/>
  <c r="BL5" i="4"/>
  <c r="BL4" i="4"/>
  <c r="AO5" i="4"/>
  <c r="AO6" i="4"/>
  <c r="AO7" i="4"/>
  <c r="AO8" i="4"/>
  <c r="AO9" i="4"/>
  <c r="AO10" i="4"/>
  <c r="AO11" i="4"/>
  <c r="AO12" i="4"/>
  <c r="AO13" i="4"/>
  <c r="AO14" i="4"/>
  <c r="AO15" i="4"/>
  <c r="AO16" i="4"/>
  <c r="AO18" i="4"/>
  <c r="AO19" i="4"/>
  <c r="AO20" i="4"/>
  <c r="AO21" i="4"/>
  <c r="AO17" i="4"/>
  <c r="AO22" i="4"/>
  <c r="AO23" i="4"/>
  <c r="AO4" i="4"/>
  <c r="AH8" i="8" l="1"/>
  <c r="AI8" i="8"/>
  <c r="AJ8" i="8"/>
  <c r="BC8" i="8"/>
  <c r="BD8" i="8"/>
  <c r="BE8" i="8"/>
  <c r="BF8" i="8" s="1"/>
  <c r="BY8" i="8"/>
  <c r="BZ8" i="8"/>
  <c r="CB8" i="8" s="1"/>
  <c r="CA8" i="8"/>
  <c r="CS8" i="8"/>
  <c r="CT8" i="8"/>
  <c r="CU8" i="8"/>
  <c r="DM8" i="8"/>
  <c r="DN8" i="8"/>
  <c r="DO8" i="8"/>
  <c r="EG8" i="8"/>
  <c r="EH8" i="8"/>
  <c r="EI8" i="8"/>
  <c r="FA8" i="8"/>
  <c r="FB8" i="8"/>
  <c r="FC8" i="8"/>
  <c r="FU8" i="8"/>
  <c r="FV8" i="8"/>
  <c r="FW8" i="8"/>
  <c r="GO8" i="8"/>
  <c r="GP8" i="8"/>
  <c r="GQ8" i="8"/>
  <c r="HI8" i="8"/>
  <c r="HJ8" i="8"/>
  <c r="HK8" i="8"/>
  <c r="IC8" i="8"/>
  <c r="ID8" i="8"/>
  <c r="IF8" i="8" s="1"/>
  <c r="IE8" i="8"/>
  <c r="IW8" i="8"/>
  <c r="IX8" i="8"/>
  <c r="IY8" i="8"/>
  <c r="JQ8" i="8"/>
  <c r="JR8" i="8"/>
  <c r="JS8" i="8"/>
  <c r="KK8" i="8"/>
  <c r="KL8" i="8"/>
  <c r="KM8" i="8"/>
  <c r="KO8" i="8"/>
  <c r="KP8" i="8"/>
  <c r="KQ8" i="8"/>
  <c r="KR8" i="8"/>
  <c r="KS8" i="8"/>
  <c r="KT8" i="8"/>
  <c r="KU8" i="8"/>
  <c r="KV8" i="8"/>
  <c r="KW8" i="8"/>
  <c r="KX8" i="8"/>
  <c r="KY8" i="8"/>
  <c r="KZ8" i="8"/>
  <c r="LA8" i="8"/>
  <c r="LB8" i="8"/>
  <c r="LC8" i="8"/>
  <c r="LD8" i="8"/>
  <c r="EJ8" i="8" l="1"/>
  <c r="FX8" i="8"/>
  <c r="JT8" i="8"/>
  <c r="CV8" i="8"/>
  <c r="AK8" i="8"/>
  <c r="DP8" i="8"/>
  <c r="FD8" i="8"/>
  <c r="KN8" i="8"/>
  <c r="GR8" i="8"/>
  <c r="IZ8" i="8"/>
  <c r="HL8" i="8"/>
  <c r="LF8" i="8"/>
  <c r="L8" i="8"/>
  <c r="M8" i="8" s="1"/>
  <c r="G8" i="8"/>
  <c r="LH8" i="8"/>
  <c r="LG8" i="8"/>
  <c r="H8" i="8"/>
  <c r="F8" i="8"/>
  <c r="J8" i="8"/>
  <c r="BH8" i="8" l="1"/>
  <c r="LI8" i="8"/>
  <c r="I8" i="8"/>
  <c r="A8" i="8"/>
  <c r="BG8" i="8"/>
  <c r="N8" i="8" s="1"/>
  <c r="K8" i="8"/>
  <c r="E8" i="8" l="1"/>
  <c r="O8" i="8"/>
  <c r="P8" i="8"/>
  <c r="LX4" i="2" l="1"/>
  <c r="LY4" i="2"/>
  <c r="LZ4" i="2"/>
  <c r="MA4" i="2"/>
  <c r="MB4" i="2"/>
  <c r="MC4" i="2"/>
  <c r="MD4" i="2"/>
  <c r="ME4" i="2"/>
  <c r="MF4" i="2"/>
  <c r="MG4" i="2"/>
  <c r="MH4" i="2"/>
  <c r="MI4" i="2"/>
  <c r="MQ4" i="2" s="1"/>
  <c r="MJ4" i="2"/>
  <c r="MK4" i="2"/>
  <c r="LX5" i="2"/>
  <c r="LY5" i="2"/>
  <c r="LZ5" i="2"/>
  <c r="MA5" i="2"/>
  <c r="MB5" i="2"/>
  <c r="MC5" i="2"/>
  <c r="MD5" i="2"/>
  <c r="ME5" i="2"/>
  <c r="MF5" i="2"/>
  <c r="MG5" i="2"/>
  <c r="MH5" i="2"/>
  <c r="MI5" i="2"/>
  <c r="MQ5" i="2" s="1"/>
  <c r="MJ5" i="2"/>
  <c r="MK5" i="2"/>
  <c r="LX6" i="2"/>
  <c r="LY6" i="2"/>
  <c r="LZ6" i="2"/>
  <c r="MA6" i="2"/>
  <c r="MB6" i="2"/>
  <c r="MC6" i="2"/>
  <c r="MD6" i="2"/>
  <c r="ME6" i="2"/>
  <c r="MF6" i="2"/>
  <c r="MG6" i="2"/>
  <c r="MH6" i="2"/>
  <c r="MI6" i="2"/>
  <c r="MQ6" i="2" s="1"/>
  <c r="MJ6" i="2"/>
  <c r="MK6" i="2"/>
  <c r="LX7" i="2"/>
  <c r="LY7" i="2"/>
  <c r="LZ7" i="2"/>
  <c r="MA7" i="2"/>
  <c r="MB7" i="2"/>
  <c r="MC7" i="2"/>
  <c r="MD7" i="2"/>
  <c r="ME7" i="2"/>
  <c r="MF7" i="2"/>
  <c r="MG7" i="2"/>
  <c r="MH7" i="2"/>
  <c r="MI7" i="2"/>
  <c r="MQ7" i="2" s="1"/>
  <c r="MJ7" i="2"/>
  <c r="MK7" i="2"/>
  <c r="LX8" i="2"/>
  <c r="LY8" i="2"/>
  <c r="LZ8" i="2"/>
  <c r="MA8" i="2"/>
  <c r="MB8" i="2"/>
  <c r="MC8" i="2"/>
  <c r="MD8" i="2"/>
  <c r="ME8" i="2"/>
  <c r="MF8" i="2"/>
  <c r="MG8" i="2"/>
  <c r="MH8" i="2"/>
  <c r="MI8" i="2"/>
  <c r="MQ8" i="2" s="1"/>
  <c r="MJ8" i="2"/>
  <c r="MK8" i="2"/>
  <c r="LX9" i="2"/>
  <c r="LY9" i="2"/>
  <c r="LZ9" i="2"/>
  <c r="MA9" i="2"/>
  <c r="MB9" i="2"/>
  <c r="MC9" i="2"/>
  <c r="MD9" i="2"/>
  <c r="ME9" i="2"/>
  <c r="MF9" i="2"/>
  <c r="MG9" i="2"/>
  <c r="MH9" i="2"/>
  <c r="MI9" i="2"/>
  <c r="MQ9" i="2" s="1"/>
  <c r="MJ9" i="2"/>
  <c r="MK9" i="2"/>
  <c r="LX10" i="2"/>
  <c r="LY10" i="2"/>
  <c r="LZ10" i="2"/>
  <c r="MA10" i="2"/>
  <c r="MB10" i="2"/>
  <c r="MC10" i="2"/>
  <c r="MD10" i="2"/>
  <c r="ME10" i="2"/>
  <c r="MF10" i="2"/>
  <c r="MG10" i="2"/>
  <c r="MH10" i="2"/>
  <c r="MI10" i="2"/>
  <c r="MQ10" i="2" s="1"/>
  <c r="MJ10" i="2"/>
  <c r="MK10" i="2"/>
  <c r="LX11" i="2"/>
  <c r="LY11" i="2"/>
  <c r="LZ11" i="2"/>
  <c r="MA11" i="2"/>
  <c r="MB11" i="2"/>
  <c r="MC11" i="2"/>
  <c r="MD11" i="2"/>
  <c r="ME11" i="2"/>
  <c r="MF11" i="2"/>
  <c r="MG11" i="2"/>
  <c r="MH11" i="2"/>
  <c r="MI11" i="2"/>
  <c r="MQ11" i="2" s="1"/>
  <c r="MJ11" i="2"/>
  <c r="MK11" i="2"/>
  <c r="LX12" i="2"/>
  <c r="LY12" i="2"/>
  <c r="LZ12" i="2"/>
  <c r="MA12" i="2"/>
  <c r="MB12" i="2"/>
  <c r="MC12" i="2"/>
  <c r="MD12" i="2"/>
  <c r="ME12" i="2"/>
  <c r="MF12" i="2"/>
  <c r="MG12" i="2"/>
  <c r="MH12" i="2"/>
  <c r="MI12" i="2"/>
  <c r="MQ12" i="2" s="1"/>
  <c r="MJ12" i="2"/>
  <c r="MK12" i="2"/>
  <c r="LX13" i="2"/>
  <c r="LY13" i="2"/>
  <c r="LZ13" i="2"/>
  <c r="MA13" i="2"/>
  <c r="MB13" i="2"/>
  <c r="MC13" i="2"/>
  <c r="MD13" i="2"/>
  <c r="ME13" i="2"/>
  <c r="MF13" i="2"/>
  <c r="MG13" i="2"/>
  <c r="MH13" i="2"/>
  <c r="MI13" i="2"/>
  <c r="MQ13" i="2" s="1"/>
  <c r="MJ13" i="2"/>
  <c r="MK13" i="2"/>
  <c r="LX14" i="2"/>
  <c r="LY14" i="2"/>
  <c r="LZ14" i="2"/>
  <c r="MA14" i="2"/>
  <c r="MB14" i="2"/>
  <c r="MC14" i="2"/>
  <c r="MD14" i="2"/>
  <c r="ME14" i="2"/>
  <c r="MF14" i="2"/>
  <c r="MG14" i="2"/>
  <c r="MH14" i="2"/>
  <c r="MI14" i="2"/>
  <c r="MQ14" i="2" s="1"/>
  <c r="MJ14" i="2"/>
  <c r="MK14" i="2"/>
  <c r="LX15" i="2"/>
  <c r="LY15" i="2"/>
  <c r="LZ15" i="2"/>
  <c r="MA15" i="2"/>
  <c r="MB15" i="2"/>
  <c r="MC15" i="2"/>
  <c r="MD15" i="2"/>
  <c r="ME15" i="2"/>
  <c r="MF15" i="2"/>
  <c r="MG15" i="2"/>
  <c r="MH15" i="2"/>
  <c r="MI15" i="2"/>
  <c r="MQ15" i="2" s="1"/>
  <c r="MJ15" i="2"/>
  <c r="MK15" i="2"/>
  <c r="LW5" i="2"/>
  <c r="LW6" i="2"/>
  <c r="LW7" i="2"/>
  <c r="LW8" i="2"/>
  <c r="LW9" i="2"/>
  <c r="LW10" i="2"/>
  <c r="LW11" i="2"/>
  <c r="LW12" i="2"/>
  <c r="LW13" i="2"/>
  <c r="LW14" i="2"/>
  <c r="LW15" i="2"/>
  <c r="LW4" i="2"/>
  <c r="KP4" i="7"/>
  <c r="KQ4" i="7"/>
  <c r="KR4" i="7"/>
  <c r="KS4" i="7"/>
  <c r="KT4" i="7"/>
  <c r="KU4" i="7"/>
  <c r="KV4" i="7"/>
  <c r="KW4" i="7"/>
  <c r="KX4" i="7"/>
  <c r="KY4" i="7"/>
  <c r="KZ4" i="7"/>
  <c r="LA4" i="7"/>
  <c r="LB4" i="7"/>
  <c r="LC4" i="7"/>
  <c r="LD4" i="7"/>
  <c r="KP5" i="7"/>
  <c r="KQ5" i="7"/>
  <c r="KR5" i="7"/>
  <c r="KS5" i="7"/>
  <c r="KT5" i="7"/>
  <c r="KU5" i="7"/>
  <c r="KV5" i="7"/>
  <c r="KW5" i="7"/>
  <c r="KX5" i="7"/>
  <c r="KY5" i="7"/>
  <c r="KZ5" i="7"/>
  <c r="LA5" i="7"/>
  <c r="LB5" i="7"/>
  <c r="LC5" i="7"/>
  <c r="LD5" i="7"/>
  <c r="KP6" i="7"/>
  <c r="KQ6" i="7"/>
  <c r="KR6" i="7"/>
  <c r="KS6" i="7"/>
  <c r="KT6" i="7"/>
  <c r="KU6" i="7"/>
  <c r="KV6" i="7"/>
  <c r="KW6" i="7"/>
  <c r="KX6" i="7"/>
  <c r="KY6" i="7"/>
  <c r="KZ6" i="7"/>
  <c r="LA6" i="7"/>
  <c r="LB6" i="7"/>
  <c r="LC6" i="7"/>
  <c r="LD6" i="7"/>
  <c r="KP7" i="7"/>
  <c r="KQ7" i="7"/>
  <c r="KR7" i="7"/>
  <c r="KS7" i="7"/>
  <c r="KT7" i="7"/>
  <c r="KU7" i="7"/>
  <c r="KV7" i="7"/>
  <c r="KW7" i="7"/>
  <c r="KX7" i="7"/>
  <c r="KY7" i="7"/>
  <c r="KZ7" i="7"/>
  <c r="LA7" i="7"/>
  <c r="LB7" i="7"/>
  <c r="LC7" i="7"/>
  <c r="LD7" i="7"/>
  <c r="KP8" i="7"/>
  <c r="KQ8" i="7"/>
  <c r="KR8" i="7"/>
  <c r="KS8" i="7"/>
  <c r="KT8" i="7"/>
  <c r="KU8" i="7"/>
  <c r="KV8" i="7"/>
  <c r="KW8" i="7"/>
  <c r="KX8" i="7"/>
  <c r="KY8" i="7"/>
  <c r="KZ8" i="7"/>
  <c r="LA8" i="7"/>
  <c r="LB8" i="7"/>
  <c r="LC8" i="7"/>
  <c r="LD8" i="7"/>
  <c r="KP9" i="7"/>
  <c r="KQ9" i="7"/>
  <c r="KR9" i="7"/>
  <c r="KS9" i="7"/>
  <c r="KT9" i="7"/>
  <c r="KU9" i="7"/>
  <c r="KV9" i="7"/>
  <c r="KW9" i="7"/>
  <c r="KX9" i="7"/>
  <c r="KY9" i="7"/>
  <c r="KZ9" i="7"/>
  <c r="LA9" i="7"/>
  <c r="LB9" i="7"/>
  <c r="LC9" i="7"/>
  <c r="LD9" i="7"/>
  <c r="KO5" i="7"/>
  <c r="KO6" i="7"/>
  <c r="KO7" i="7"/>
  <c r="KO8" i="7"/>
  <c r="KO9" i="7"/>
  <c r="KO4" i="7"/>
  <c r="KP4" i="8"/>
  <c r="KQ4" i="8"/>
  <c r="KR4" i="8"/>
  <c r="KS4" i="8"/>
  <c r="KT4" i="8"/>
  <c r="KU4" i="8"/>
  <c r="KV4" i="8"/>
  <c r="KW4" i="8"/>
  <c r="KX4" i="8"/>
  <c r="KY4" i="8"/>
  <c r="KZ4" i="8"/>
  <c r="LA4" i="8"/>
  <c r="LB4" i="8"/>
  <c r="LC4" i="8"/>
  <c r="LD4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KP7" i="8"/>
  <c r="KQ7" i="8"/>
  <c r="KR7" i="8"/>
  <c r="KS7" i="8"/>
  <c r="KT7" i="8"/>
  <c r="KU7" i="8"/>
  <c r="KV7" i="8"/>
  <c r="KW7" i="8"/>
  <c r="KX7" i="8"/>
  <c r="KY7" i="8"/>
  <c r="KZ7" i="8"/>
  <c r="LA7" i="8"/>
  <c r="LB7" i="8"/>
  <c r="LC7" i="8"/>
  <c r="LD7" i="8"/>
  <c r="KO5" i="8"/>
  <c r="KO6" i="8"/>
  <c r="KO7" i="8"/>
  <c r="KO4" i="8"/>
  <c r="LD4" i="12"/>
  <c r="LE4" i="12"/>
  <c r="LF4" i="12"/>
  <c r="LG4" i="12"/>
  <c r="LH4" i="12"/>
  <c r="LI4" i="12"/>
  <c r="LJ4" i="12"/>
  <c r="LK4" i="12"/>
  <c r="LL4" i="12"/>
  <c r="LM4" i="12"/>
  <c r="LN4" i="12"/>
  <c r="LO4" i="12"/>
  <c r="LP4" i="12"/>
  <c r="LQ4" i="12"/>
  <c r="LR4" i="12"/>
  <c r="LD5" i="12"/>
  <c r="LE5" i="12"/>
  <c r="LF5" i="12"/>
  <c r="LG5" i="12"/>
  <c r="LH5" i="12"/>
  <c r="LI5" i="12"/>
  <c r="LJ5" i="12"/>
  <c r="LK5" i="12"/>
  <c r="LL5" i="12"/>
  <c r="LM5" i="12"/>
  <c r="LN5" i="12"/>
  <c r="LO5" i="12"/>
  <c r="LP5" i="12"/>
  <c r="LQ5" i="12"/>
  <c r="LR5" i="12"/>
  <c r="LD6" i="12"/>
  <c r="LE6" i="12"/>
  <c r="LF6" i="12"/>
  <c r="LG6" i="12"/>
  <c r="LH6" i="12"/>
  <c r="LI6" i="12"/>
  <c r="LJ6" i="12"/>
  <c r="LK6" i="12"/>
  <c r="LL6" i="12"/>
  <c r="LM6" i="12"/>
  <c r="LN6" i="12"/>
  <c r="LO6" i="12"/>
  <c r="LP6" i="12"/>
  <c r="LQ6" i="12"/>
  <c r="LR6" i="12"/>
  <c r="LD7" i="12"/>
  <c r="LE7" i="12"/>
  <c r="LF7" i="12"/>
  <c r="LG7" i="12"/>
  <c r="LH7" i="12"/>
  <c r="LI7" i="12"/>
  <c r="LJ7" i="12"/>
  <c r="LK7" i="12"/>
  <c r="LL7" i="12"/>
  <c r="LM7" i="12"/>
  <c r="LN7" i="12"/>
  <c r="LO7" i="12"/>
  <c r="LP7" i="12"/>
  <c r="LQ7" i="12"/>
  <c r="LR7" i="12"/>
  <c r="LD8" i="12"/>
  <c r="LE8" i="12"/>
  <c r="LF8" i="12"/>
  <c r="LG8" i="12"/>
  <c r="LH8" i="12"/>
  <c r="LI8" i="12"/>
  <c r="LJ8" i="12"/>
  <c r="LK8" i="12"/>
  <c r="LL8" i="12"/>
  <c r="LM8" i="12"/>
  <c r="LN8" i="12"/>
  <c r="LO8" i="12"/>
  <c r="LP8" i="12"/>
  <c r="LQ8" i="12"/>
  <c r="LR8" i="12"/>
  <c r="LC5" i="12"/>
  <c r="LC6" i="12"/>
  <c r="LC7" i="12"/>
  <c r="LC8" i="12"/>
  <c r="LC4" i="12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D5" i="6"/>
  <c r="LE5" i="6"/>
  <c r="LF5" i="6"/>
  <c r="LG5" i="6"/>
  <c r="LH5" i="6"/>
  <c r="LI5" i="6"/>
  <c r="LJ5" i="6"/>
  <c r="LK5" i="6"/>
  <c r="LL5" i="6"/>
  <c r="LM5" i="6"/>
  <c r="LN5" i="6"/>
  <c r="LO5" i="6"/>
  <c r="LP5" i="6"/>
  <c r="LQ5" i="6"/>
  <c r="LR5" i="6"/>
  <c r="LD6" i="6"/>
  <c r="LE6" i="6"/>
  <c r="LF6" i="6"/>
  <c r="LG6" i="6"/>
  <c r="LH6" i="6"/>
  <c r="LI6" i="6"/>
  <c r="LJ6" i="6"/>
  <c r="LK6" i="6"/>
  <c r="LL6" i="6"/>
  <c r="LM6" i="6"/>
  <c r="LN6" i="6"/>
  <c r="LO6" i="6"/>
  <c r="LP6" i="6"/>
  <c r="LQ6" i="6"/>
  <c r="LR6" i="6"/>
  <c r="LD7" i="6"/>
  <c r="LE7" i="6"/>
  <c r="LF7" i="6"/>
  <c r="LG7" i="6"/>
  <c r="LH7" i="6"/>
  <c r="LI7" i="6"/>
  <c r="LJ7" i="6"/>
  <c r="LK7" i="6"/>
  <c r="LL7" i="6"/>
  <c r="LM7" i="6"/>
  <c r="LN7" i="6"/>
  <c r="LO7" i="6"/>
  <c r="LP7" i="6"/>
  <c r="LQ7" i="6"/>
  <c r="LR7" i="6"/>
  <c r="LD8" i="6"/>
  <c r="LE8" i="6"/>
  <c r="LF8" i="6"/>
  <c r="LG8" i="6"/>
  <c r="LH8" i="6"/>
  <c r="LI8" i="6"/>
  <c r="LJ8" i="6"/>
  <c r="LK8" i="6"/>
  <c r="LL8" i="6"/>
  <c r="LM8" i="6"/>
  <c r="LN8" i="6"/>
  <c r="LO8" i="6"/>
  <c r="LP8" i="6"/>
  <c r="LQ8" i="6"/>
  <c r="LR8" i="6"/>
  <c r="LD9" i="6"/>
  <c r="LE9" i="6"/>
  <c r="LF9" i="6"/>
  <c r="LG9" i="6"/>
  <c r="LH9" i="6"/>
  <c r="LI9" i="6"/>
  <c r="LJ9" i="6"/>
  <c r="LK9" i="6"/>
  <c r="LL9" i="6"/>
  <c r="LM9" i="6"/>
  <c r="LN9" i="6"/>
  <c r="LO9" i="6"/>
  <c r="LP9" i="6"/>
  <c r="LQ9" i="6"/>
  <c r="LR9" i="6"/>
  <c r="LD10" i="6"/>
  <c r="LE10" i="6"/>
  <c r="LF10" i="6"/>
  <c r="LG10" i="6"/>
  <c r="LH10" i="6"/>
  <c r="LI10" i="6"/>
  <c r="LJ10" i="6"/>
  <c r="LK10" i="6"/>
  <c r="LL10" i="6"/>
  <c r="LM10" i="6"/>
  <c r="LN10" i="6"/>
  <c r="LO10" i="6"/>
  <c r="LP10" i="6"/>
  <c r="LQ10" i="6"/>
  <c r="LR10" i="6"/>
  <c r="LD11" i="6"/>
  <c r="LE11" i="6"/>
  <c r="LF11" i="6"/>
  <c r="LG11" i="6"/>
  <c r="LH11" i="6"/>
  <c r="LI11" i="6"/>
  <c r="LJ11" i="6"/>
  <c r="LK11" i="6"/>
  <c r="LL11" i="6"/>
  <c r="LM11" i="6"/>
  <c r="LN11" i="6"/>
  <c r="LO11" i="6"/>
  <c r="LP11" i="6"/>
  <c r="LQ11" i="6"/>
  <c r="LR11" i="6"/>
  <c r="LD12" i="6"/>
  <c r="LE12" i="6"/>
  <c r="LF12" i="6"/>
  <c r="LG12" i="6"/>
  <c r="LH12" i="6"/>
  <c r="LI12" i="6"/>
  <c r="LJ12" i="6"/>
  <c r="LK12" i="6"/>
  <c r="LL12" i="6"/>
  <c r="LM12" i="6"/>
  <c r="LN12" i="6"/>
  <c r="LO12" i="6"/>
  <c r="LP12" i="6"/>
  <c r="LQ12" i="6"/>
  <c r="LR12" i="6"/>
  <c r="LD13" i="6"/>
  <c r="LE13" i="6"/>
  <c r="LF13" i="6"/>
  <c r="LG13" i="6"/>
  <c r="LH13" i="6"/>
  <c r="LI13" i="6"/>
  <c r="LJ13" i="6"/>
  <c r="LK13" i="6"/>
  <c r="LL13" i="6"/>
  <c r="LM13" i="6"/>
  <c r="LN13" i="6"/>
  <c r="LO13" i="6"/>
  <c r="LP13" i="6"/>
  <c r="LQ13" i="6"/>
  <c r="LR13" i="6"/>
  <c r="LC5" i="6"/>
  <c r="LC6" i="6"/>
  <c r="LC7" i="6"/>
  <c r="LC8" i="6"/>
  <c r="LC9" i="6"/>
  <c r="LC10" i="6"/>
  <c r="LC11" i="6"/>
  <c r="LC12" i="6"/>
  <c r="LC13" i="6"/>
  <c r="LC4" i="6"/>
  <c r="LW5" i="4"/>
  <c r="LX5" i="4"/>
  <c r="LY5" i="4"/>
  <c r="LZ5" i="4"/>
  <c r="MA5" i="4"/>
  <c r="MB5" i="4"/>
  <c r="MC5" i="4"/>
  <c r="MD5" i="4"/>
  <c r="ME5" i="4"/>
  <c r="MF5" i="4"/>
  <c r="MG5" i="4"/>
  <c r="MH5" i="4"/>
  <c r="MI5" i="4"/>
  <c r="MQ5" i="4" s="1"/>
  <c r="MJ5" i="4"/>
  <c r="MK5" i="4"/>
  <c r="LW6" i="4"/>
  <c r="LX6" i="4"/>
  <c r="LY6" i="4"/>
  <c r="LZ6" i="4"/>
  <c r="MA6" i="4"/>
  <c r="MB6" i="4"/>
  <c r="MC6" i="4"/>
  <c r="MD6" i="4"/>
  <c r="ME6" i="4"/>
  <c r="MF6" i="4"/>
  <c r="MG6" i="4"/>
  <c r="MH6" i="4"/>
  <c r="MI6" i="4"/>
  <c r="MQ6" i="4" s="1"/>
  <c r="MJ6" i="4"/>
  <c r="MK6" i="4"/>
  <c r="LW7" i="4"/>
  <c r="LX7" i="4"/>
  <c r="LY7" i="4"/>
  <c r="LZ7" i="4"/>
  <c r="MA7" i="4"/>
  <c r="MB7" i="4"/>
  <c r="MC7" i="4"/>
  <c r="MD7" i="4"/>
  <c r="ME7" i="4"/>
  <c r="MF7" i="4"/>
  <c r="MG7" i="4"/>
  <c r="MH7" i="4"/>
  <c r="MI7" i="4"/>
  <c r="MQ7" i="4" s="1"/>
  <c r="MJ7" i="4"/>
  <c r="MK7" i="4"/>
  <c r="LW8" i="4"/>
  <c r="LX8" i="4"/>
  <c r="LY8" i="4"/>
  <c r="LZ8" i="4"/>
  <c r="MA8" i="4"/>
  <c r="MB8" i="4"/>
  <c r="MC8" i="4"/>
  <c r="MD8" i="4"/>
  <c r="ME8" i="4"/>
  <c r="MF8" i="4"/>
  <c r="MG8" i="4"/>
  <c r="MH8" i="4"/>
  <c r="MI8" i="4"/>
  <c r="MQ8" i="4" s="1"/>
  <c r="MJ8" i="4"/>
  <c r="MK8" i="4"/>
  <c r="LW9" i="4"/>
  <c r="LX9" i="4"/>
  <c r="LY9" i="4"/>
  <c r="LZ9" i="4"/>
  <c r="MA9" i="4"/>
  <c r="MB9" i="4"/>
  <c r="MC9" i="4"/>
  <c r="MD9" i="4"/>
  <c r="ME9" i="4"/>
  <c r="MF9" i="4"/>
  <c r="MG9" i="4"/>
  <c r="MH9" i="4"/>
  <c r="MI9" i="4"/>
  <c r="MQ9" i="4" s="1"/>
  <c r="MJ9" i="4"/>
  <c r="MK9" i="4"/>
  <c r="LW10" i="4"/>
  <c r="LX10" i="4"/>
  <c r="LY10" i="4"/>
  <c r="LZ10" i="4"/>
  <c r="MA10" i="4"/>
  <c r="MB10" i="4"/>
  <c r="MC10" i="4"/>
  <c r="MD10" i="4"/>
  <c r="ME10" i="4"/>
  <c r="MF10" i="4"/>
  <c r="MG10" i="4"/>
  <c r="MH10" i="4"/>
  <c r="MI10" i="4"/>
  <c r="MQ10" i="4" s="1"/>
  <c r="MJ10" i="4"/>
  <c r="MK10" i="4"/>
  <c r="LW11" i="4"/>
  <c r="LX11" i="4"/>
  <c r="LY11" i="4"/>
  <c r="LZ11" i="4"/>
  <c r="MA11" i="4"/>
  <c r="MB11" i="4"/>
  <c r="MC11" i="4"/>
  <c r="MD11" i="4"/>
  <c r="ME11" i="4"/>
  <c r="MF11" i="4"/>
  <c r="MG11" i="4"/>
  <c r="MH11" i="4"/>
  <c r="MI11" i="4"/>
  <c r="MQ11" i="4" s="1"/>
  <c r="MJ11" i="4"/>
  <c r="MK11" i="4"/>
  <c r="LW12" i="4"/>
  <c r="LX12" i="4"/>
  <c r="LY12" i="4"/>
  <c r="LZ12" i="4"/>
  <c r="MA12" i="4"/>
  <c r="MB12" i="4"/>
  <c r="MC12" i="4"/>
  <c r="MD12" i="4"/>
  <c r="ME12" i="4"/>
  <c r="MF12" i="4"/>
  <c r="MG12" i="4"/>
  <c r="MH12" i="4"/>
  <c r="MI12" i="4"/>
  <c r="MQ12" i="4" s="1"/>
  <c r="MJ12" i="4"/>
  <c r="MK12" i="4"/>
  <c r="LW13" i="4"/>
  <c r="LX13" i="4"/>
  <c r="LY13" i="4"/>
  <c r="LZ13" i="4"/>
  <c r="MA13" i="4"/>
  <c r="MB13" i="4"/>
  <c r="MC13" i="4"/>
  <c r="MD13" i="4"/>
  <c r="ME13" i="4"/>
  <c r="MF13" i="4"/>
  <c r="MG13" i="4"/>
  <c r="MH13" i="4"/>
  <c r="MI13" i="4"/>
  <c r="MQ13" i="4" s="1"/>
  <c r="MJ13" i="4"/>
  <c r="MK13" i="4"/>
  <c r="LW14" i="4"/>
  <c r="LX14" i="4"/>
  <c r="LY14" i="4"/>
  <c r="LZ14" i="4"/>
  <c r="MA14" i="4"/>
  <c r="MB14" i="4"/>
  <c r="MC14" i="4"/>
  <c r="MD14" i="4"/>
  <c r="ME14" i="4"/>
  <c r="MF14" i="4"/>
  <c r="MG14" i="4"/>
  <c r="MH14" i="4"/>
  <c r="MI14" i="4"/>
  <c r="MQ14" i="4" s="1"/>
  <c r="MJ14" i="4"/>
  <c r="MK14" i="4"/>
  <c r="LW15" i="4"/>
  <c r="LX15" i="4"/>
  <c r="LY15" i="4"/>
  <c r="LZ15" i="4"/>
  <c r="MA15" i="4"/>
  <c r="MB15" i="4"/>
  <c r="MC15" i="4"/>
  <c r="MD15" i="4"/>
  <c r="ME15" i="4"/>
  <c r="MF15" i="4"/>
  <c r="MG15" i="4"/>
  <c r="MH15" i="4"/>
  <c r="MI15" i="4"/>
  <c r="MQ15" i="4" s="1"/>
  <c r="MJ15" i="4"/>
  <c r="MK15" i="4"/>
  <c r="LW16" i="4"/>
  <c r="LX16" i="4"/>
  <c r="LY16" i="4"/>
  <c r="LZ16" i="4"/>
  <c r="MA16" i="4"/>
  <c r="MB16" i="4"/>
  <c r="MC16" i="4"/>
  <c r="MD16" i="4"/>
  <c r="ME16" i="4"/>
  <c r="MF16" i="4"/>
  <c r="MG16" i="4"/>
  <c r="MH16" i="4"/>
  <c r="MI16" i="4"/>
  <c r="MQ16" i="4" s="1"/>
  <c r="MJ16" i="4"/>
  <c r="MK16" i="4"/>
  <c r="LW17" i="4"/>
  <c r="LX17" i="4"/>
  <c r="LY17" i="4"/>
  <c r="LZ17" i="4"/>
  <c r="MA17" i="4"/>
  <c r="MB17" i="4"/>
  <c r="MC17" i="4"/>
  <c r="MD17" i="4"/>
  <c r="ME17" i="4"/>
  <c r="MF17" i="4"/>
  <c r="MG17" i="4"/>
  <c r="MH17" i="4"/>
  <c r="MI17" i="4"/>
  <c r="MQ17" i="4" s="1"/>
  <c r="MJ17" i="4"/>
  <c r="MK17" i="4"/>
  <c r="LW18" i="4"/>
  <c r="LX18" i="4"/>
  <c r="LY18" i="4"/>
  <c r="LZ18" i="4"/>
  <c r="MA18" i="4"/>
  <c r="MB18" i="4"/>
  <c r="MC18" i="4"/>
  <c r="MD18" i="4"/>
  <c r="ME18" i="4"/>
  <c r="MF18" i="4"/>
  <c r="MG18" i="4"/>
  <c r="MH18" i="4"/>
  <c r="MI18" i="4"/>
  <c r="MQ18" i="4" s="1"/>
  <c r="MJ18" i="4"/>
  <c r="MK18" i="4"/>
  <c r="LW19" i="4"/>
  <c r="LX19" i="4"/>
  <c r="LY19" i="4"/>
  <c r="LZ19" i="4"/>
  <c r="MA19" i="4"/>
  <c r="MB19" i="4"/>
  <c r="MC19" i="4"/>
  <c r="MD19" i="4"/>
  <c r="ME19" i="4"/>
  <c r="MF19" i="4"/>
  <c r="MG19" i="4"/>
  <c r="MH19" i="4"/>
  <c r="MI19" i="4"/>
  <c r="MQ19" i="4" s="1"/>
  <c r="MJ19" i="4"/>
  <c r="MK19" i="4"/>
  <c r="LW20" i="4"/>
  <c r="LX20" i="4"/>
  <c r="LY20" i="4"/>
  <c r="LZ20" i="4"/>
  <c r="MA20" i="4"/>
  <c r="MB20" i="4"/>
  <c r="MC20" i="4"/>
  <c r="MD20" i="4"/>
  <c r="ME20" i="4"/>
  <c r="MF20" i="4"/>
  <c r="MG20" i="4"/>
  <c r="MH20" i="4"/>
  <c r="MI20" i="4"/>
  <c r="MQ20" i="4" s="1"/>
  <c r="MJ20" i="4"/>
  <c r="MK20" i="4"/>
  <c r="LW21" i="4"/>
  <c r="LX21" i="4"/>
  <c r="LY21" i="4"/>
  <c r="LZ21" i="4"/>
  <c r="MA21" i="4"/>
  <c r="MB21" i="4"/>
  <c r="MC21" i="4"/>
  <c r="MD21" i="4"/>
  <c r="ME21" i="4"/>
  <c r="MF21" i="4"/>
  <c r="MG21" i="4"/>
  <c r="MH21" i="4"/>
  <c r="MI21" i="4"/>
  <c r="MQ21" i="4" s="1"/>
  <c r="MJ21" i="4"/>
  <c r="MK21" i="4"/>
  <c r="LW22" i="4"/>
  <c r="LX22" i="4"/>
  <c r="LY22" i="4"/>
  <c r="LZ22" i="4"/>
  <c r="MA22" i="4"/>
  <c r="MB22" i="4"/>
  <c r="MC22" i="4"/>
  <c r="MD22" i="4"/>
  <c r="ME22" i="4"/>
  <c r="MF22" i="4"/>
  <c r="MG22" i="4"/>
  <c r="MH22" i="4"/>
  <c r="MI22" i="4"/>
  <c r="MQ22" i="4" s="1"/>
  <c r="MJ22" i="4"/>
  <c r="MK22" i="4"/>
  <c r="LW23" i="4"/>
  <c r="LX23" i="4"/>
  <c r="LY23" i="4"/>
  <c r="LZ23" i="4"/>
  <c r="MA23" i="4"/>
  <c r="MB23" i="4"/>
  <c r="MC23" i="4"/>
  <c r="MD23" i="4"/>
  <c r="ME23" i="4"/>
  <c r="MF23" i="4"/>
  <c r="MG23" i="4"/>
  <c r="MH23" i="4"/>
  <c r="MI23" i="4"/>
  <c r="MQ23" i="4" s="1"/>
  <c r="MJ23" i="4"/>
  <c r="MK23" i="4"/>
  <c r="LX4" i="4"/>
  <c r="LY4" i="4"/>
  <c r="LZ4" i="4"/>
  <c r="MA4" i="4"/>
  <c r="MB4" i="4"/>
  <c r="MC4" i="4"/>
  <c r="MD4" i="4"/>
  <c r="ME4" i="4"/>
  <c r="MF4" i="4"/>
  <c r="MG4" i="4"/>
  <c r="MH4" i="4"/>
  <c r="MI4" i="4"/>
  <c r="MQ4" i="4" s="1"/>
  <c r="MJ4" i="4"/>
  <c r="MK4" i="4"/>
  <c r="LW4" i="4"/>
  <c r="AH13" i="6" l="1"/>
  <c r="AI13" i="6"/>
  <c r="AJ13" i="6"/>
  <c r="AK13" i="6"/>
  <c r="BD13" i="6"/>
  <c r="BE13" i="6"/>
  <c r="BF13" i="6"/>
  <c r="BG13" i="6"/>
  <c r="CA13" i="6"/>
  <c r="CB13" i="6"/>
  <c r="CV13" i="6"/>
  <c r="KX13" i="6"/>
  <c r="KY13" i="6"/>
  <c r="KZ13" i="6"/>
  <c r="LA13" i="6"/>
  <c r="LV13" i="6"/>
  <c r="LU13" i="6"/>
  <c r="N5" i="12"/>
  <c r="O5" i="12" s="1"/>
  <c r="AH5" i="12"/>
  <c r="AI5" i="12"/>
  <c r="AJ5" i="12"/>
  <c r="AK5" i="12"/>
  <c r="BD5" i="12"/>
  <c r="BE5" i="12"/>
  <c r="BF5" i="12"/>
  <c r="BG5" i="12"/>
  <c r="CA5" i="12"/>
  <c r="CB5" i="12"/>
  <c r="CV5" i="12"/>
  <c r="KX5" i="12"/>
  <c r="KY5" i="12"/>
  <c r="KZ5" i="12"/>
  <c r="LA5" i="12"/>
  <c r="N7" i="12"/>
  <c r="O7" i="12" s="1"/>
  <c r="AH7" i="12"/>
  <c r="AI7" i="12"/>
  <c r="AJ7" i="12"/>
  <c r="AK7" i="12"/>
  <c r="BD7" i="12"/>
  <c r="BE7" i="12"/>
  <c r="BF7" i="12"/>
  <c r="BG7" i="12"/>
  <c r="CA7" i="12"/>
  <c r="CB7" i="12"/>
  <c r="CV7" i="12"/>
  <c r="KX7" i="12"/>
  <c r="KY7" i="12"/>
  <c r="KZ7" i="12"/>
  <c r="LA7" i="12"/>
  <c r="N8" i="12"/>
  <c r="O8" i="12" s="1"/>
  <c r="AH8" i="12"/>
  <c r="AI8" i="12"/>
  <c r="AJ8" i="12"/>
  <c r="AK8" i="12"/>
  <c r="BD8" i="12"/>
  <c r="BE8" i="12"/>
  <c r="BF8" i="12"/>
  <c r="BG8" i="12"/>
  <c r="CA8" i="12"/>
  <c r="CB8" i="12"/>
  <c r="CV8" i="12"/>
  <c r="KX8" i="12"/>
  <c r="KY8" i="12"/>
  <c r="KZ8" i="12"/>
  <c r="LA8" i="12"/>
  <c r="AH6" i="12"/>
  <c r="AI6" i="12"/>
  <c r="AJ6" i="12"/>
  <c r="AK6" i="12"/>
  <c r="BD6" i="12"/>
  <c r="BE6" i="12"/>
  <c r="BF6" i="12"/>
  <c r="BG6" i="12"/>
  <c r="CA6" i="12"/>
  <c r="CB6" i="12"/>
  <c r="CV6" i="12"/>
  <c r="KX6" i="12"/>
  <c r="KY6" i="12"/>
  <c r="KZ6" i="12"/>
  <c r="LA6" i="12"/>
  <c r="AK7" i="2"/>
  <c r="AL7" i="2"/>
  <c r="AM7" i="2"/>
  <c r="AP7" i="2"/>
  <c r="BH7" i="2"/>
  <c r="BI7" i="2"/>
  <c r="BJ7" i="2"/>
  <c r="BM7" i="2"/>
  <c r="CH7" i="2"/>
  <c r="CI7" i="2"/>
  <c r="CJ7" i="2"/>
  <c r="CM7" i="2"/>
  <c r="DD7" i="2"/>
  <c r="DE7" i="2"/>
  <c r="DF7" i="2"/>
  <c r="DI7" i="2"/>
  <c r="DZ7" i="2"/>
  <c r="EA7" i="2"/>
  <c r="EB7" i="2"/>
  <c r="EE7" i="2"/>
  <c r="EV7" i="2"/>
  <c r="EW7" i="2"/>
  <c r="EX7" i="2"/>
  <c r="FA7" i="2"/>
  <c r="FR7" i="2"/>
  <c r="FS7" i="2"/>
  <c r="FT7" i="2"/>
  <c r="FW7" i="2"/>
  <c r="GN7" i="2"/>
  <c r="GO7" i="2"/>
  <c r="GP7" i="2"/>
  <c r="GS7" i="2"/>
  <c r="HJ7" i="2"/>
  <c r="HK7" i="2"/>
  <c r="HL7" i="2"/>
  <c r="HO7" i="2"/>
  <c r="IF7" i="2"/>
  <c r="IG7" i="2"/>
  <c r="IH7" i="2"/>
  <c r="IK7" i="2"/>
  <c r="JB7" i="2"/>
  <c r="JC7" i="2"/>
  <c r="JD7" i="2"/>
  <c r="JG7" i="2"/>
  <c r="JX7" i="2"/>
  <c r="JY7" i="2"/>
  <c r="JZ7" i="2"/>
  <c r="KC7" i="2"/>
  <c r="KT7" i="2"/>
  <c r="KU7" i="2"/>
  <c r="KV7" i="2"/>
  <c r="KY7" i="2"/>
  <c r="LP7" i="2"/>
  <c r="LQ7" i="2"/>
  <c r="LR7" i="2"/>
  <c r="LU7" i="2"/>
  <c r="MM15" i="2"/>
  <c r="AK12" i="2"/>
  <c r="AL12" i="2"/>
  <c r="AM12" i="2"/>
  <c r="AP12" i="2"/>
  <c r="BH12" i="2"/>
  <c r="BI12" i="2"/>
  <c r="BJ12" i="2"/>
  <c r="BM12" i="2"/>
  <c r="CH12" i="2"/>
  <c r="CI12" i="2"/>
  <c r="CJ12" i="2"/>
  <c r="CM12" i="2"/>
  <c r="DD12" i="2"/>
  <c r="DE12" i="2"/>
  <c r="DF12" i="2"/>
  <c r="DI12" i="2"/>
  <c r="DZ12" i="2"/>
  <c r="EA12" i="2"/>
  <c r="EB12" i="2"/>
  <c r="EE12" i="2"/>
  <c r="EV12" i="2"/>
  <c r="EW12" i="2"/>
  <c r="EX12" i="2"/>
  <c r="FA12" i="2"/>
  <c r="FR12" i="2"/>
  <c r="FS12" i="2"/>
  <c r="FT12" i="2"/>
  <c r="FW12" i="2"/>
  <c r="GN12" i="2"/>
  <c r="GO12" i="2"/>
  <c r="GP12" i="2"/>
  <c r="GS12" i="2"/>
  <c r="HJ12" i="2"/>
  <c r="HK12" i="2"/>
  <c r="HL12" i="2"/>
  <c r="HO12" i="2"/>
  <c r="IF12" i="2"/>
  <c r="IG12" i="2"/>
  <c r="IH12" i="2"/>
  <c r="IK12" i="2"/>
  <c r="JB12" i="2"/>
  <c r="JC12" i="2"/>
  <c r="JD12" i="2"/>
  <c r="JG12" i="2"/>
  <c r="JX12" i="2"/>
  <c r="JY12" i="2"/>
  <c r="JZ12" i="2"/>
  <c r="KC12" i="2"/>
  <c r="KT12" i="2"/>
  <c r="KU12" i="2"/>
  <c r="KV12" i="2"/>
  <c r="KY12" i="2"/>
  <c r="LP12" i="2"/>
  <c r="LQ12" i="2"/>
  <c r="LR12" i="2"/>
  <c r="LU12" i="2"/>
  <c r="MM14" i="2"/>
  <c r="AK14" i="4"/>
  <c r="AL14" i="4"/>
  <c r="AM14" i="4"/>
  <c r="AP14" i="4"/>
  <c r="BH14" i="4"/>
  <c r="BI14" i="4"/>
  <c r="BJ14" i="4"/>
  <c r="BM14" i="4"/>
  <c r="CH14" i="4"/>
  <c r="CI14" i="4"/>
  <c r="CJ14" i="4"/>
  <c r="CM14" i="4"/>
  <c r="DD14" i="4"/>
  <c r="DE14" i="4"/>
  <c r="DF14" i="4"/>
  <c r="DI14" i="4"/>
  <c r="DZ14" i="4"/>
  <c r="EA14" i="4"/>
  <c r="EB14" i="4"/>
  <c r="EE14" i="4"/>
  <c r="EV14" i="4"/>
  <c r="EW14" i="4"/>
  <c r="EX14" i="4"/>
  <c r="FA14" i="4"/>
  <c r="FR14" i="4"/>
  <c r="FS14" i="4"/>
  <c r="FT14" i="4"/>
  <c r="FW14" i="4"/>
  <c r="GN14" i="4"/>
  <c r="GO14" i="4"/>
  <c r="GP14" i="4"/>
  <c r="GS14" i="4"/>
  <c r="HJ14" i="4"/>
  <c r="HK14" i="4"/>
  <c r="HL14" i="4"/>
  <c r="HO14" i="4"/>
  <c r="IF14" i="4"/>
  <c r="IG14" i="4"/>
  <c r="IH14" i="4"/>
  <c r="IK14" i="4"/>
  <c r="JB14" i="4"/>
  <c r="JC14" i="4"/>
  <c r="JD14" i="4"/>
  <c r="JG14" i="4"/>
  <c r="JX14" i="4"/>
  <c r="JY14" i="4"/>
  <c r="JZ14" i="4"/>
  <c r="KC14" i="4"/>
  <c r="KT14" i="4"/>
  <c r="KU14" i="4"/>
  <c r="KV14" i="4"/>
  <c r="KY14" i="4"/>
  <c r="LP14" i="4"/>
  <c r="LQ14" i="4"/>
  <c r="LR14" i="4"/>
  <c r="LU14" i="4"/>
  <c r="MM23" i="4"/>
  <c r="AK8" i="4"/>
  <c r="AL8" i="4"/>
  <c r="AM8" i="4"/>
  <c r="AP8" i="4"/>
  <c r="BH8" i="4"/>
  <c r="BI8" i="4"/>
  <c r="BJ8" i="4"/>
  <c r="BM8" i="4"/>
  <c r="CH8" i="4"/>
  <c r="CI8" i="4"/>
  <c r="CJ8" i="4"/>
  <c r="CM8" i="4"/>
  <c r="DD8" i="4"/>
  <c r="DE8" i="4"/>
  <c r="DF8" i="4"/>
  <c r="DI8" i="4"/>
  <c r="DZ8" i="4"/>
  <c r="EA8" i="4"/>
  <c r="EB8" i="4"/>
  <c r="EE8" i="4"/>
  <c r="EV8" i="4"/>
  <c r="EW8" i="4"/>
  <c r="EX8" i="4"/>
  <c r="FA8" i="4"/>
  <c r="FR8" i="4"/>
  <c r="FS8" i="4"/>
  <c r="FT8" i="4"/>
  <c r="FW8" i="4"/>
  <c r="GN8" i="4"/>
  <c r="GO8" i="4"/>
  <c r="GP8" i="4"/>
  <c r="GS8" i="4"/>
  <c r="HJ8" i="4"/>
  <c r="HK8" i="4"/>
  <c r="HL8" i="4"/>
  <c r="HO8" i="4"/>
  <c r="IF8" i="4"/>
  <c r="IG8" i="4"/>
  <c r="IH8" i="4"/>
  <c r="IK8" i="4"/>
  <c r="JB8" i="4"/>
  <c r="JC8" i="4"/>
  <c r="JD8" i="4"/>
  <c r="JG8" i="4"/>
  <c r="JX8" i="4"/>
  <c r="JY8" i="4"/>
  <c r="JZ8" i="4"/>
  <c r="KC8" i="4"/>
  <c r="KT8" i="4"/>
  <c r="KU8" i="4"/>
  <c r="KV8" i="4"/>
  <c r="KY8" i="4"/>
  <c r="LP8" i="4"/>
  <c r="LQ8" i="4"/>
  <c r="LR8" i="4"/>
  <c r="LU8" i="4"/>
  <c r="MM22" i="4"/>
  <c r="AK4" i="12"/>
  <c r="AJ4" i="12"/>
  <c r="AI4" i="12"/>
  <c r="AH4" i="12"/>
  <c r="AK10" i="6"/>
  <c r="AJ10" i="6"/>
  <c r="AI10" i="6"/>
  <c r="AH10" i="6"/>
  <c r="AK9" i="6"/>
  <c r="AJ9" i="6"/>
  <c r="AI9" i="6"/>
  <c r="AH9" i="6"/>
  <c r="AK8" i="6"/>
  <c r="AJ8" i="6"/>
  <c r="AI8" i="6"/>
  <c r="AH8" i="6"/>
  <c r="AK11" i="6"/>
  <c r="AJ11" i="6"/>
  <c r="AL11" i="6" s="1"/>
  <c r="AI11" i="6"/>
  <c r="AH11" i="6"/>
  <c r="AK12" i="6"/>
  <c r="AJ12" i="6"/>
  <c r="AI12" i="6"/>
  <c r="AH12" i="6"/>
  <c r="AK7" i="6"/>
  <c r="AJ7" i="6"/>
  <c r="AL7" i="6" s="1"/>
  <c r="AI7" i="6"/>
  <c r="AH7" i="6"/>
  <c r="AK6" i="6"/>
  <c r="AJ6" i="6"/>
  <c r="AI6" i="6"/>
  <c r="AH6" i="6"/>
  <c r="AK5" i="6"/>
  <c r="AJ5" i="6"/>
  <c r="AI5" i="6"/>
  <c r="AH5" i="6"/>
  <c r="AK4" i="6"/>
  <c r="AJ4" i="6"/>
  <c r="AI4" i="6"/>
  <c r="AH4" i="6"/>
  <c r="AJ7" i="8"/>
  <c r="AI7" i="8"/>
  <c r="AH7" i="8"/>
  <c r="AJ6" i="8"/>
  <c r="AI6" i="8"/>
  <c r="AH6" i="8"/>
  <c r="AJ5" i="8"/>
  <c r="AI5" i="8"/>
  <c r="AH5" i="8"/>
  <c r="AJ4" i="8"/>
  <c r="AI4" i="8"/>
  <c r="AH4" i="8"/>
  <c r="AJ9" i="7"/>
  <c r="AI9" i="7"/>
  <c r="AH9" i="7"/>
  <c r="AJ8" i="7"/>
  <c r="AI8" i="7"/>
  <c r="AH8" i="7"/>
  <c r="AJ7" i="7"/>
  <c r="AI7" i="7"/>
  <c r="AH7" i="7"/>
  <c r="AJ6" i="7"/>
  <c r="AI6" i="7"/>
  <c r="AH6" i="7"/>
  <c r="AJ4" i="7"/>
  <c r="AI4" i="7"/>
  <c r="AH4" i="7"/>
  <c r="AJ5" i="7"/>
  <c r="AI5" i="7"/>
  <c r="AH5" i="7"/>
  <c r="AP15" i="2"/>
  <c r="AM15" i="2"/>
  <c r="AL15" i="2"/>
  <c r="AK15" i="2"/>
  <c r="AP8" i="2"/>
  <c r="AM8" i="2"/>
  <c r="AL8" i="2"/>
  <c r="AK8" i="2"/>
  <c r="AP11" i="2"/>
  <c r="AM11" i="2"/>
  <c r="AL11" i="2"/>
  <c r="AK11" i="2"/>
  <c r="AP14" i="2"/>
  <c r="AM14" i="2"/>
  <c r="AL14" i="2"/>
  <c r="AK14" i="2"/>
  <c r="AP6" i="2"/>
  <c r="AM6" i="2"/>
  <c r="AL6" i="2"/>
  <c r="AK6" i="2"/>
  <c r="AP13" i="2"/>
  <c r="AM13" i="2"/>
  <c r="AL13" i="2"/>
  <c r="AK13" i="2"/>
  <c r="AP10" i="2"/>
  <c r="AM10" i="2"/>
  <c r="AL10" i="2"/>
  <c r="AK10" i="2"/>
  <c r="AP5" i="2"/>
  <c r="AM5" i="2"/>
  <c r="AL5" i="2"/>
  <c r="AK5" i="2"/>
  <c r="AP9" i="2"/>
  <c r="AM9" i="2"/>
  <c r="AL9" i="2"/>
  <c r="AK9" i="2"/>
  <c r="AP4" i="2"/>
  <c r="AM4" i="2"/>
  <c r="AL4" i="2"/>
  <c r="AK4" i="2"/>
  <c r="AP18" i="4"/>
  <c r="AM18" i="4"/>
  <c r="AL18" i="4"/>
  <c r="AK18" i="4"/>
  <c r="AP22" i="4"/>
  <c r="AM22" i="4"/>
  <c r="AL22" i="4"/>
  <c r="AK22" i="4"/>
  <c r="AP20" i="4"/>
  <c r="AM20" i="4"/>
  <c r="AL20" i="4"/>
  <c r="AK20" i="4"/>
  <c r="AP13" i="4"/>
  <c r="AM13" i="4"/>
  <c r="AL13" i="4"/>
  <c r="AK13" i="4"/>
  <c r="AP21" i="4"/>
  <c r="AM21" i="4"/>
  <c r="AL21" i="4"/>
  <c r="AK21" i="4"/>
  <c r="AP16" i="4"/>
  <c r="AM16" i="4"/>
  <c r="AL16" i="4"/>
  <c r="AK16" i="4"/>
  <c r="AP23" i="4"/>
  <c r="AM23" i="4"/>
  <c r="AL23" i="4"/>
  <c r="AK23" i="4"/>
  <c r="AP17" i="4"/>
  <c r="AM17" i="4"/>
  <c r="AL17" i="4"/>
  <c r="AK17" i="4"/>
  <c r="AP15" i="4"/>
  <c r="AM15" i="4"/>
  <c r="AL15" i="4"/>
  <c r="AK15" i="4"/>
  <c r="AP7" i="4"/>
  <c r="AM7" i="4"/>
  <c r="AL7" i="4"/>
  <c r="AK7" i="4"/>
  <c r="AP9" i="4"/>
  <c r="AM9" i="4"/>
  <c r="AL9" i="4"/>
  <c r="AK9" i="4"/>
  <c r="AP19" i="4"/>
  <c r="AM19" i="4"/>
  <c r="AL19" i="4"/>
  <c r="AK19" i="4"/>
  <c r="AP6" i="4"/>
  <c r="AM6" i="4"/>
  <c r="AL6" i="4"/>
  <c r="AK6" i="4"/>
  <c r="AP12" i="4"/>
  <c r="AM12" i="4"/>
  <c r="AL12" i="4"/>
  <c r="AK12" i="4"/>
  <c r="AP11" i="4"/>
  <c r="AM11" i="4"/>
  <c r="AL11" i="4"/>
  <c r="AK11" i="4"/>
  <c r="AP5" i="4"/>
  <c r="AM5" i="4"/>
  <c r="AL5" i="4"/>
  <c r="AK5" i="4"/>
  <c r="AP10" i="4"/>
  <c r="AM10" i="4"/>
  <c r="AL10" i="4"/>
  <c r="AK10" i="4"/>
  <c r="AP4" i="4"/>
  <c r="AM4" i="4"/>
  <c r="AL4" i="4"/>
  <c r="AK4" i="4"/>
  <c r="AK9" i="7" l="1"/>
  <c r="AN12" i="2"/>
  <c r="AL6" i="6"/>
  <c r="AL9" i="6"/>
  <c r="AL8" i="6"/>
  <c r="JE7" i="2"/>
  <c r="JH7" i="2" s="1"/>
  <c r="FU7" i="2"/>
  <c r="FX7" i="2" s="1"/>
  <c r="AN10" i="4"/>
  <c r="AQ10" i="4" s="1"/>
  <c r="AN6" i="4"/>
  <c r="AQ6" i="4" s="1"/>
  <c r="AN21" i="4"/>
  <c r="AQ21" i="4" s="1"/>
  <c r="AN18" i="4"/>
  <c r="AQ18" i="4" s="1"/>
  <c r="EY14" i="4"/>
  <c r="FB14" i="4" s="1"/>
  <c r="DG14" i="4"/>
  <c r="DJ14" i="4" s="1"/>
  <c r="BH8" i="12"/>
  <c r="J8" i="12" s="1"/>
  <c r="L8" i="12" s="1"/>
  <c r="M8" i="12" s="1"/>
  <c r="AL4" i="12"/>
  <c r="BH7" i="12"/>
  <c r="J7" i="12" s="1"/>
  <c r="L7" i="12" s="1"/>
  <c r="M7" i="12" s="1"/>
  <c r="AK7" i="8"/>
  <c r="AK4" i="7"/>
  <c r="FU12" i="2"/>
  <c r="FX12" i="2" s="1"/>
  <c r="AN9" i="2"/>
  <c r="AQ9" i="2" s="1"/>
  <c r="AN13" i="2"/>
  <c r="AQ13" i="2" s="1"/>
  <c r="AN8" i="2"/>
  <c r="AQ8" i="2" s="1"/>
  <c r="BH5" i="12"/>
  <c r="J5" i="12" s="1"/>
  <c r="L5" i="12" s="1"/>
  <c r="M5" i="12" s="1"/>
  <c r="AK4" i="8"/>
  <c r="LS7" i="2"/>
  <c r="LV7" i="2" s="1"/>
  <c r="LS12" i="2"/>
  <c r="LV12" i="2" s="1"/>
  <c r="II12" i="2"/>
  <c r="IL12" i="2" s="1"/>
  <c r="AN6" i="2"/>
  <c r="AQ6" i="2" s="1"/>
  <c r="II7" i="2"/>
  <c r="IL7" i="2" s="1"/>
  <c r="JE8" i="4"/>
  <c r="JH8" i="4" s="1"/>
  <c r="CK8" i="4"/>
  <c r="CN8" i="4" s="1"/>
  <c r="AN4" i="4"/>
  <c r="AQ4" i="4" s="1"/>
  <c r="AN5" i="4"/>
  <c r="AQ5" i="4" s="1"/>
  <c r="AN12" i="4"/>
  <c r="AQ12" i="4" s="1"/>
  <c r="AN19" i="4"/>
  <c r="AQ19" i="4" s="1"/>
  <c r="AN7" i="4"/>
  <c r="AQ7" i="4" s="1"/>
  <c r="AN17" i="4"/>
  <c r="AQ17" i="4" s="1"/>
  <c r="AN16" i="4"/>
  <c r="AQ16" i="4" s="1"/>
  <c r="AN13" i="4"/>
  <c r="AQ13" i="4" s="1"/>
  <c r="LB8" i="12"/>
  <c r="LB6" i="12"/>
  <c r="BH6" i="12"/>
  <c r="J6" i="12" s="1"/>
  <c r="LB7" i="12"/>
  <c r="LB5" i="12"/>
  <c r="P7" i="12"/>
  <c r="LB13" i="6"/>
  <c r="AL4" i="6"/>
  <c r="AL5" i="6"/>
  <c r="AL12" i="6"/>
  <c r="BH13" i="6"/>
  <c r="J13" i="6" s="1"/>
  <c r="AL10" i="6"/>
  <c r="AK5" i="8"/>
  <c r="AK6" i="8"/>
  <c r="AK8" i="7"/>
  <c r="AK6" i="7"/>
  <c r="AK5" i="7"/>
  <c r="AK7" i="7"/>
  <c r="EY7" i="2"/>
  <c r="FB7" i="2" s="1"/>
  <c r="KW12" i="2"/>
  <c r="KZ12" i="2" s="1"/>
  <c r="JE12" i="2"/>
  <c r="JH12" i="2" s="1"/>
  <c r="CK12" i="2"/>
  <c r="CN12" i="2" s="1"/>
  <c r="AN15" i="2"/>
  <c r="AQ15" i="2" s="1"/>
  <c r="AN4" i="2"/>
  <c r="AQ4" i="2" s="1"/>
  <c r="AQ12" i="2"/>
  <c r="AN14" i="2"/>
  <c r="AQ14" i="2" s="1"/>
  <c r="EY12" i="2"/>
  <c r="FB12" i="2" s="1"/>
  <c r="AN10" i="2"/>
  <c r="AQ10" i="2" s="1"/>
  <c r="AN5" i="2"/>
  <c r="AQ5" i="2" s="1"/>
  <c r="AN11" i="2"/>
  <c r="AQ11" i="2" s="1"/>
  <c r="GQ12" i="2"/>
  <c r="GT12" i="2" s="1"/>
  <c r="MR15" i="2"/>
  <c r="KA12" i="2"/>
  <c r="KD12" i="2" s="1"/>
  <c r="P12" i="2"/>
  <c r="Q12" i="2" s="1"/>
  <c r="AN23" i="4"/>
  <c r="AQ23" i="4" s="1"/>
  <c r="LS8" i="4"/>
  <c r="LV8" i="4" s="1"/>
  <c r="KA8" i="4"/>
  <c r="KD8" i="4" s="1"/>
  <c r="II8" i="4"/>
  <c r="IL8" i="4" s="1"/>
  <c r="EY8" i="4"/>
  <c r="FB8" i="4" s="1"/>
  <c r="LS14" i="4"/>
  <c r="LV14" i="4" s="1"/>
  <c r="II14" i="4"/>
  <c r="IL14" i="4" s="1"/>
  <c r="AN22" i="4"/>
  <c r="AQ22" i="4" s="1"/>
  <c r="AN14" i="4"/>
  <c r="AQ14" i="4" s="1"/>
  <c r="AN11" i="4"/>
  <c r="AQ11" i="4" s="1"/>
  <c r="AN9" i="4"/>
  <c r="AQ9" i="4" s="1"/>
  <c r="AN15" i="4"/>
  <c r="AQ15" i="4" s="1"/>
  <c r="JE14" i="4"/>
  <c r="JH14" i="4" s="1"/>
  <c r="AN20" i="4"/>
  <c r="AQ20" i="4" s="1"/>
  <c r="LT8" i="12"/>
  <c r="LT13" i="6"/>
  <c r="LW13" i="6"/>
  <c r="LX13" i="6" s="1"/>
  <c r="F13" i="6"/>
  <c r="H13" i="6"/>
  <c r="G13" i="6"/>
  <c r="H5" i="12"/>
  <c r="LV8" i="12"/>
  <c r="LW8" i="12"/>
  <c r="F5" i="12"/>
  <c r="LU8" i="12"/>
  <c r="P5" i="12"/>
  <c r="G5" i="12"/>
  <c r="H7" i="12"/>
  <c r="LT7" i="12"/>
  <c r="F7" i="12"/>
  <c r="LU7" i="12"/>
  <c r="LW7" i="12"/>
  <c r="LV7" i="12"/>
  <c r="G7" i="12"/>
  <c r="H8" i="12"/>
  <c r="LT6" i="12"/>
  <c r="F8" i="12"/>
  <c r="LU6" i="12"/>
  <c r="LW6" i="12"/>
  <c r="LV6" i="12"/>
  <c r="P8" i="12"/>
  <c r="G8" i="12"/>
  <c r="LU5" i="12"/>
  <c r="LV5" i="12"/>
  <c r="F6" i="12"/>
  <c r="LT5" i="12"/>
  <c r="LW5" i="12"/>
  <c r="H6" i="12"/>
  <c r="G6" i="12"/>
  <c r="BK12" i="2"/>
  <c r="BN12" i="2" s="1"/>
  <c r="BK7" i="2"/>
  <c r="BN7" i="2" s="1"/>
  <c r="MN15" i="2"/>
  <c r="KW7" i="2"/>
  <c r="KZ7" i="2" s="1"/>
  <c r="KA7" i="2"/>
  <c r="KD7" i="2" s="1"/>
  <c r="HM7" i="2"/>
  <c r="HP7" i="2" s="1"/>
  <c r="GQ7" i="2"/>
  <c r="GT7" i="2" s="1"/>
  <c r="EC7" i="2"/>
  <c r="EF7" i="2" s="1"/>
  <c r="DG7" i="2"/>
  <c r="DJ7" i="2" s="1"/>
  <c r="CK7" i="2"/>
  <c r="CN7" i="2" s="1"/>
  <c r="P7" i="2"/>
  <c r="BR7" i="2" s="1"/>
  <c r="AN7" i="2"/>
  <c r="AQ7" i="2" s="1"/>
  <c r="MO15" i="2"/>
  <c r="HM12" i="2"/>
  <c r="HP12" i="2" s="1"/>
  <c r="EC12" i="2"/>
  <c r="EF12" i="2" s="1"/>
  <c r="DG12" i="2"/>
  <c r="DJ12" i="2" s="1"/>
  <c r="MR14" i="2"/>
  <c r="MN14" i="2"/>
  <c r="MO14" i="2"/>
  <c r="BK14" i="4"/>
  <c r="KW14" i="4"/>
  <c r="KZ14" i="4" s="1"/>
  <c r="KA14" i="4"/>
  <c r="KD14" i="4" s="1"/>
  <c r="HM14" i="4"/>
  <c r="HP14" i="4" s="1"/>
  <c r="GQ14" i="4"/>
  <c r="GT14" i="4" s="1"/>
  <c r="FU14" i="4"/>
  <c r="FX14" i="4" s="1"/>
  <c r="EC14" i="4"/>
  <c r="EF14" i="4" s="1"/>
  <c r="CK14" i="4"/>
  <c r="CN14" i="4" s="1"/>
  <c r="MN23" i="4"/>
  <c r="P14" i="4"/>
  <c r="BR14" i="4" s="1"/>
  <c r="MR23" i="4"/>
  <c r="MO23" i="4"/>
  <c r="KW8" i="4"/>
  <c r="KZ8" i="4" s="1"/>
  <c r="HM8" i="4"/>
  <c r="HP8" i="4" s="1"/>
  <c r="GQ8" i="4"/>
  <c r="GT8" i="4" s="1"/>
  <c r="FU8" i="4"/>
  <c r="FX8" i="4" s="1"/>
  <c r="EC8" i="4"/>
  <c r="EF8" i="4" s="1"/>
  <c r="DG8" i="4"/>
  <c r="DJ8" i="4" s="1"/>
  <c r="MN22" i="4"/>
  <c r="P8" i="4"/>
  <c r="BR8" i="4" s="1"/>
  <c r="BK8" i="4"/>
  <c r="BN8" i="4" s="1"/>
  <c r="AN8" i="4"/>
  <c r="AQ8" i="4" s="1"/>
  <c r="MR22" i="4"/>
  <c r="MO22" i="4"/>
  <c r="LT5" i="6"/>
  <c r="LT11" i="6"/>
  <c r="LH5" i="8"/>
  <c r="LF6" i="8"/>
  <c r="LH7" i="8"/>
  <c r="LF4" i="8"/>
  <c r="MM5" i="2"/>
  <c r="MM6" i="2"/>
  <c r="MM7" i="2"/>
  <c r="MM8" i="2"/>
  <c r="MM9" i="2"/>
  <c r="MM10" i="2"/>
  <c r="MM11" i="2"/>
  <c r="MM12" i="2"/>
  <c r="MM13" i="2"/>
  <c r="MM4" i="2"/>
  <c r="MM5" i="4"/>
  <c r="MM6" i="4"/>
  <c r="MM7" i="4"/>
  <c r="MM8" i="4"/>
  <c r="MM9" i="4"/>
  <c r="MR9" i="4"/>
  <c r="MM10" i="4"/>
  <c r="MM11" i="4"/>
  <c r="MM12" i="4"/>
  <c r="MM13" i="4"/>
  <c r="MM14" i="4"/>
  <c r="MM15" i="4"/>
  <c r="MM16" i="4"/>
  <c r="MM17" i="4"/>
  <c r="MM18" i="4"/>
  <c r="MM19" i="4"/>
  <c r="MM20" i="4"/>
  <c r="MM21" i="4"/>
  <c r="MM4" i="4"/>
  <c r="K8" i="12" l="1"/>
  <c r="K5" i="12"/>
  <c r="K7" i="12"/>
  <c r="J12" i="2"/>
  <c r="L12" i="2" s="1"/>
  <c r="BR12" i="2"/>
  <c r="MP22" i="4"/>
  <c r="MP15" i="2"/>
  <c r="MS15" i="2" s="1"/>
  <c r="MS22" i="4"/>
  <c r="J14" i="4"/>
  <c r="BQ14" i="4" s="1"/>
  <c r="BN14" i="4"/>
  <c r="K6" i="12"/>
  <c r="L6" i="12"/>
  <c r="M6" i="12" s="1"/>
  <c r="LX7" i="12"/>
  <c r="I5" i="12"/>
  <c r="I8" i="12"/>
  <c r="I7" i="12"/>
  <c r="LW4" i="12"/>
  <c r="LX6" i="12"/>
  <c r="L13" i="6"/>
  <c r="M13" i="6" s="1"/>
  <c r="K13" i="6"/>
  <c r="LH6" i="7"/>
  <c r="LF8" i="7"/>
  <c r="LF6" i="7"/>
  <c r="LH8" i="7"/>
  <c r="MN8" i="2"/>
  <c r="MR7" i="2"/>
  <c r="MO6" i="2"/>
  <c r="I12" i="2"/>
  <c r="Q7" i="2"/>
  <c r="MR4" i="4"/>
  <c r="MN5" i="4"/>
  <c r="MR11" i="4"/>
  <c r="Q8" i="4"/>
  <c r="MN21" i="4"/>
  <c r="Q14" i="4"/>
  <c r="I14" i="4"/>
  <c r="E5" i="12"/>
  <c r="LX5" i="12"/>
  <c r="LV4" i="12"/>
  <c r="LU4" i="12"/>
  <c r="LU10" i="6"/>
  <c r="LU6" i="6"/>
  <c r="LV4" i="6"/>
  <c r="I13" i="6"/>
  <c r="A13" i="6"/>
  <c r="N13" i="6"/>
  <c r="LX8" i="12"/>
  <c r="E7" i="12"/>
  <c r="E8" i="12"/>
  <c r="I6" i="12"/>
  <c r="N6" i="12"/>
  <c r="MP14" i="2"/>
  <c r="MS14" i="2" s="1"/>
  <c r="J7" i="2"/>
  <c r="L7" i="2" s="1"/>
  <c r="N7" i="2"/>
  <c r="N12" i="2"/>
  <c r="MN7" i="2"/>
  <c r="MP23" i="4"/>
  <c r="MS23" i="4" s="1"/>
  <c r="MN8" i="4"/>
  <c r="J8" i="4"/>
  <c r="L8" i="4" s="1"/>
  <c r="MN6" i="4"/>
  <c r="LV12" i="6"/>
  <c r="LT10" i="6"/>
  <c r="LT9" i="6"/>
  <c r="LT7" i="6"/>
  <c r="LU7" i="6"/>
  <c r="LW7" i="6"/>
  <c r="LU9" i="6"/>
  <c r="LW9" i="6"/>
  <c r="LV9" i="6"/>
  <c r="LW5" i="6"/>
  <c r="LW6" i="6"/>
  <c r="LW11" i="6"/>
  <c r="LU4" i="6"/>
  <c r="LV11" i="6"/>
  <c r="LT6" i="6"/>
  <c r="LW4" i="6"/>
  <c r="LW10" i="6"/>
  <c r="LT8" i="6"/>
  <c r="LV7" i="6"/>
  <c r="LT12" i="6"/>
  <c r="LV10" i="6"/>
  <c r="LW8" i="6"/>
  <c r="LV8" i="6"/>
  <c r="LV5" i="6"/>
  <c r="LU12" i="6"/>
  <c r="LW12" i="6"/>
  <c r="LH6" i="8"/>
  <c r="LG7" i="8"/>
  <c r="LI7" i="8" s="1"/>
  <c r="LG6" i="8"/>
  <c r="LG5" i="8"/>
  <c r="LI5" i="8" s="1"/>
  <c r="LG4" i="8"/>
  <c r="LH4" i="8"/>
  <c r="LF7" i="8"/>
  <c r="LF5" i="8"/>
  <c r="LG6" i="7"/>
  <c r="LG7" i="7"/>
  <c r="LH4" i="7"/>
  <c r="LG5" i="7"/>
  <c r="LG8" i="7"/>
  <c r="LF9" i="7"/>
  <c r="LF7" i="7"/>
  <c r="LF5" i="7"/>
  <c r="LG9" i="7"/>
  <c r="LF4" i="7"/>
  <c r="LH9" i="7"/>
  <c r="LH7" i="7"/>
  <c r="LH5" i="7"/>
  <c r="MN4" i="2"/>
  <c r="MN12" i="2"/>
  <c r="MR11" i="2"/>
  <c r="MN11" i="2"/>
  <c r="MO10" i="2"/>
  <c r="MO9" i="2"/>
  <c r="MO11" i="2"/>
  <c r="MR9" i="2"/>
  <c r="MO4" i="2"/>
  <c r="MR13" i="2"/>
  <c r="MN9" i="2"/>
  <c r="MN6" i="2"/>
  <c r="MN10" i="2"/>
  <c r="MR6" i="2"/>
  <c r="MO13" i="2"/>
  <c r="MN13" i="2"/>
  <c r="MR10" i="2"/>
  <c r="MR5" i="2"/>
  <c r="MR4" i="2"/>
  <c r="MR12" i="2"/>
  <c r="MR8" i="2"/>
  <c r="MO5" i="2"/>
  <c r="MO12" i="2"/>
  <c r="MO8" i="2"/>
  <c r="MO7" i="2"/>
  <c r="MN5" i="2"/>
  <c r="MR21" i="4"/>
  <c r="MR10" i="4"/>
  <c r="MN16" i="4"/>
  <c r="MR13" i="4"/>
  <c r="MN10" i="4"/>
  <c r="MO19" i="4"/>
  <c r="MR14" i="4"/>
  <c r="MO12" i="4"/>
  <c r="MO20" i="4"/>
  <c r="MN12" i="4"/>
  <c r="MO13" i="4"/>
  <c r="MR5" i="4"/>
  <c r="MO21" i="4"/>
  <c r="MR19" i="4"/>
  <c r="MR18" i="4"/>
  <c r="MR16" i="4"/>
  <c r="MN13" i="4"/>
  <c r="MO10" i="4"/>
  <c r="MR8" i="4"/>
  <c r="MR6" i="4"/>
  <c r="MO5" i="4"/>
  <c r="MO4" i="4"/>
  <c r="MO16" i="4"/>
  <c r="MO15" i="4"/>
  <c r="MR12" i="4"/>
  <c r="MO8" i="4"/>
  <c r="MO7" i="4"/>
  <c r="MR15" i="4"/>
  <c r="MN15" i="4"/>
  <c r="MR7" i="4"/>
  <c r="MN7" i="4"/>
  <c r="MO18" i="4"/>
  <c r="MN18" i="4"/>
  <c r="MR20" i="4"/>
  <c r="MR17" i="4"/>
  <c r="MN20" i="4"/>
  <c r="MN4" i="4"/>
  <c r="MO14" i="4"/>
  <c r="MN14" i="4"/>
  <c r="MN11" i="4"/>
  <c r="MO11" i="4"/>
  <c r="MN19" i="4"/>
  <c r="MO17" i="4"/>
  <c r="MN17" i="4"/>
  <c r="MO9" i="4"/>
  <c r="MN9" i="4"/>
  <c r="MO6" i="4"/>
  <c r="LT4" i="12"/>
  <c r="LV6" i="6"/>
  <c r="LU8" i="6"/>
  <c r="LU11" i="6"/>
  <c r="LU5" i="6"/>
  <c r="LT4" i="6"/>
  <c r="LG4" i="7"/>
  <c r="KK5" i="8"/>
  <c r="KL5" i="8"/>
  <c r="MP10" i="2" l="1"/>
  <c r="K7" i="2"/>
  <c r="K12" i="2"/>
  <c r="BQ12" i="2"/>
  <c r="N14" i="4"/>
  <c r="L14" i="4"/>
  <c r="K14" i="4"/>
  <c r="O14" i="4" s="1"/>
  <c r="BQ7" i="2"/>
  <c r="MP6" i="2"/>
  <c r="MS6" i="2" s="1"/>
  <c r="LI4" i="7"/>
  <c r="LI8" i="7"/>
  <c r="MP8" i="2"/>
  <c r="MS8" i="2" s="1"/>
  <c r="MP9" i="2"/>
  <c r="MS9" i="2" s="1"/>
  <c r="MP13" i="2"/>
  <c r="MS13" i="2" s="1"/>
  <c r="MP5" i="4"/>
  <c r="MS5" i="4" s="1"/>
  <c r="MP13" i="4"/>
  <c r="MS13" i="4" s="1"/>
  <c r="LX4" i="12"/>
  <c r="LI6" i="7"/>
  <c r="LI7" i="7"/>
  <c r="LI9" i="7"/>
  <c r="LX5" i="6"/>
  <c r="LX12" i="6"/>
  <c r="LX7" i="6"/>
  <c r="LX9" i="6"/>
  <c r="LI6" i="8"/>
  <c r="LI5" i="7"/>
  <c r="MS10" i="2"/>
  <c r="MP5" i="2"/>
  <c r="MS5" i="2" s="1"/>
  <c r="MP14" i="4"/>
  <c r="MS14" i="4" s="1"/>
  <c r="MP21" i="4"/>
  <c r="MS21" i="4" s="1"/>
  <c r="MP10" i="4"/>
  <c r="MS10" i="4" s="1"/>
  <c r="MP17" i="4"/>
  <c r="MS17" i="4" s="1"/>
  <c r="MP20" i="4"/>
  <c r="MS20" i="4" s="1"/>
  <c r="MP7" i="4"/>
  <c r="MS7" i="4" s="1"/>
  <c r="LX4" i="6"/>
  <c r="O13" i="6"/>
  <c r="P13" i="6"/>
  <c r="E13" i="6"/>
  <c r="O6" i="12"/>
  <c r="P6" i="12"/>
  <c r="E6" i="12"/>
  <c r="MP12" i="2"/>
  <c r="MS12" i="2" s="1"/>
  <c r="I7" i="2"/>
  <c r="BP7" i="2"/>
  <c r="O7" i="2"/>
  <c r="M7" i="2"/>
  <c r="BO7" i="2"/>
  <c r="O12" i="2"/>
  <c r="BP12" i="2"/>
  <c r="M12" i="2"/>
  <c r="BO12" i="2"/>
  <c r="MP4" i="2"/>
  <c r="MS4" i="2" s="1"/>
  <c r="MP7" i="2"/>
  <c r="MS7" i="2" s="1"/>
  <c r="BP14" i="4"/>
  <c r="BO14" i="4"/>
  <c r="MP12" i="4"/>
  <c r="MS12" i="4" s="1"/>
  <c r="MP16" i="4"/>
  <c r="MS16" i="4" s="1"/>
  <c r="MP8" i="4"/>
  <c r="MS8" i="4" s="1"/>
  <c r="MP18" i="4"/>
  <c r="MS18" i="4" s="1"/>
  <c r="BQ8" i="4"/>
  <c r="K8" i="4"/>
  <c r="M8" i="4" s="1"/>
  <c r="N8" i="4"/>
  <c r="I8" i="4"/>
  <c r="BO8" i="4"/>
  <c r="MP9" i="4"/>
  <c r="MS9" i="4" s="1"/>
  <c r="MP6" i="4"/>
  <c r="MS6" i="4" s="1"/>
  <c r="MP4" i="4"/>
  <c r="MS4" i="4" s="1"/>
  <c r="LX8" i="6"/>
  <c r="LX11" i="6"/>
  <c r="LX6" i="6"/>
  <c r="LX10" i="6"/>
  <c r="LI4" i="8"/>
  <c r="MP11" i="2"/>
  <c r="MS11" i="2" s="1"/>
  <c r="MP19" i="4"/>
  <c r="MS19" i="4" s="1"/>
  <c r="MP15" i="4"/>
  <c r="MS15" i="4" s="1"/>
  <c r="MP11" i="4"/>
  <c r="MS11" i="4" s="1"/>
  <c r="CA5" i="6"/>
  <c r="CB5" i="6"/>
  <c r="CC5" i="6"/>
  <c r="CD5" i="6"/>
  <c r="CA6" i="6"/>
  <c r="CB6" i="6"/>
  <c r="CC6" i="6"/>
  <c r="CD6" i="6"/>
  <c r="CA8" i="6"/>
  <c r="CB8" i="6"/>
  <c r="CC8" i="6"/>
  <c r="CD8" i="6"/>
  <c r="CA11" i="6"/>
  <c r="CB11" i="6"/>
  <c r="CC11" i="6"/>
  <c r="CD11" i="6"/>
  <c r="CA12" i="6"/>
  <c r="CB12" i="6"/>
  <c r="CC12" i="6"/>
  <c r="CD12" i="6"/>
  <c r="CA9" i="6"/>
  <c r="CB9" i="6"/>
  <c r="CC9" i="6"/>
  <c r="CD9" i="6"/>
  <c r="CA7" i="6"/>
  <c r="CB7" i="6"/>
  <c r="CC7" i="6"/>
  <c r="CD7" i="6"/>
  <c r="CA10" i="6"/>
  <c r="CB10" i="6"/>
  <c r="CC10" i="6"/>
  <c r="CD10" i="6"/>
  <c r="CD4" i="6"/>
  <c r="CC4" i="6"/>
  <c r="CB4" i="6"/>
  <c r="CA4" i="6"/>
  <c r="M14" i="4" l="1"/>
  <c r="O8" i="4"/>
  <c r="CE4" i="6"/>
  <c r="CE7" i="6"/>
  <c r="CE9" i="6"/>
  <c r="CE10" i="6"/>
  <c r="R7" i="2"/>
  <c r="E7" i="2" s="1"/>
  <c r="R12" i="2"/>
  <c r="E12" i="2" s="1"/>
  <c r="R14" i="4"/>
  <c r="BP8" i="4"/>
  <c r="R8" i="4" s="1"/>
  <c r="CE6" i="6"/>
  <c r="CE12" i="6"/>
  <c r="CE8" i="6"/>
  <c r="CE5" i="6"/>
  <c r="CE11" i="6"/>
  <c r="FT11" i="4"/>
  <c r="E8" i="4" l="1"/>
  <c r="S12" i="2"/>
  <c r="T12" i="2"/>
  <c r="T7" i="2"/>
  <c r="S7" i="2"/>
  <c r="T14" i="4"/>
  <c r="S14" i="4"/>
  <c r="E14" i="4"/>
  <c r="A14" i="4" s="1"/>
  <c r="T8" i="4"/>
  <c r="S8" i="4"/>
  <c r="BC7" i="8"/>
  <c r="BD7" i="8"/>
  <c r="BE7" i="8"/>
  <c r="BY7" i="8"/>
  <c r="BZ7" i="8"/>
  <c r="CA7" i="8"/>
  <c r="CS7" i="8"/>
  <c r="CT7" i="8"/>
  <c r="CU7" i="8"/>
  <c r="DM7" i="8"/>
  <c r="DN7" i="8"/>
  <c r="DO7" i="8"/>
  <c r="EG7" i="8"/>
  <c r="EH7" i="8"/>
  <c r="EI7" i="8"/>
  <c r="FA7" i="8"/>
  <c r="FB7" i="8"/>
  <c r="FC7" i="8"/>
  <c r="FU7" i="8"/>
  <c r="FV7" i="8"/>
  <c r="FW7" i="8"/>
  <c r="GO7" i="8"/>
  <c r="GP7" i="8"/>
  <c r="GQ7" i="8"/>
  <c r="HI7" i="8"/>
  <c r="HJ7" i="8"/>
  <c r="HK7" i="8"/>
  <c r="IC7" i="8"/>
  <c r="ID7" i="8"/>
  <c r="IE7" i="8"/>
  <c r="IW7" i="8"/>
  <c r="IX7" i="8"/>
  <c r="IY7" i="8"/>
  <c r="JQ7" i="8"/>
  <c r="JR7" i="8"/>
  <c r="JS7" i="8"/>
  <c r="KK7" i="8"/>
  <c r="KL7" i="8"/>
  <c r="KM7" i="8"/>
  <c r="BH13" i="2"/>
  <c r="BI13" i="2"/>
  <c r="BJ13" i="2"/>
  <c r="BM13" i="2"/>
  <c r="CH13" i="2"/>
  <c r="CI13" i="2"/>
  <c r="CJ13" i="2"/>
  <c r="CM13" i="2"/>
  <c r="DD13" i="2"/>
  <c r="DE13" i="2"/>
  <c r="DF13" i="2"/>
  <c r="DI13" i="2"/>
  <c r="DZ13" i="2"/>
  <c r="EA13" i="2"/>
  <c r="EB13" i="2"/>
  <c r="EE13" i="2"/>
  <c r="EV13" i="2"/>
  <c r="EW13" i="2"/>
  <c r="EX13" i="2"/>
  <c r="FA13" i="2"/>
  <c r="FR13" i="2"/>
  <c r="FS13" i="2"/>
  <c r="FT13" i="2"/>
  <c r="FW13" i="2"/>
  <c r="GN13" i="2"/>
  <c r="GO13" i="2"/>
  <c r="GP13" i="2"/>
  <c r="GS13" i="2"/>
  <c r="HJ13" i="2"/>
  <c r="HK13" i="2"/>
  <c r="HL13" i="2"/>
  <c r="HO13" i="2"/>
  <c r="IF13" i="2"/>
  <c r="IG13" i="2"/>
  <c r="IH13" i="2"/>
  <c r="IK13" i="2"/>
  <c r="JB13" i="2"/>
  <c r="JC13" i="2"/>
  <c r="JD13" i="2"/>
  <c r="JG13" i="2"/>
  <c r="JX13" i="2"/>
  <c r="JY13" i="2"/>
  <c r="JZ13" i="2"/>
  <c r="KC13" i="2"/>
  <c r="KT13" i="2"/>
  <c r="KU13" i="2"/>
  <c r="KV13" i="2"/>
  <c r="KY13" i="2"/>
  <c r="LP13" i="2"/>
  <c r="LQ13" i="2"/>
  <c r="LR13" i="2"/>
  <c r="LU13" i="2"/>
  <c r="BH14" i="2"/>
  <c r="BI14" i="2"/>
  <c r="BJ14" i="2"/>
  <c r="BM14" i="2"/>
  <c r="CH14" i="2"/>
  <c r="CI14" i="2"/>
  <c r="CJ14" i="2"/>
  <c r="CM14" i="2"/>
  <c r="DD14" i="2"/>
  <c r="DE14" i="2"/>
  <c r="DF14" i="2"/>
  <c r="DI14" i="2"/>
  <c r="DZ14" i="2"/>
  <c r="EA14" i="2"/>
  <c r="EB14" i="2"/>
  <c r="EE14" i="2"/>
  <c r="EV14" i="2"/>
  <c r="EW14" i="2"/>
  <c r="EX14" i="2"/>
  <c r="FA14" i="2"/>
  <c r="FR14" i="2"/>
  <c r="FS14" i="2"/>
  <c r="FT14" i="2"/>
  <c r="FW14" i="2"/>
  <c r="GN14" i="2"/>
  <c r="GO14" i="2"/>
  <c r="GP14" i="2"/>
  <c r="GS14" i="2"/>
  <c r="HJ14" i="2"/>
  <c r="HK14" i="2"/>
  <c r="HL14" i="2"/>
  <c r="HO14" i="2"/>
  <c r="IF14" i="2"/>
  <c r="IG14" i="2"/>
  <c r="IH14" i="2"/>
  <c r="IK14" i="2"/>
  <c r="JB14" i="2"/>
  <c r="JC14" i="2"/>
  <c r="JD14" i="2"/>
  <c r="JG14" i="2"/>
  <c r="JX14" i="2"/>
  <c r="JY14" i="2"/>
  <c r="JZ14" i="2"/>
  <c r="KC14" i="2"/>
  <c r="KT14" i="2"/>
  <c r="KU14" i="2"/>
  <c r="KV14" i="2"/>
  <c r="KY14" i="2"/>
  <c r="LP14" i="2"/>
  <c r="LQ14" i="2"/>
  <c r="LR14" i="2"/>
  <c r="LU14" i="2"/>
  <c r="BH6" i="2"/>
  <c r="BI6" i="2"/>
  <c r="BJ6" i="2"/>
  <c r="BM6" i="2"/>
  <c r="CH6" i="2"/>
  <c r="CI6" i="2"/>
  <c r="CJ6" i="2"/>
  <c r="CM6" i="2"/>
  <c r="DD6" i="2"/>
  <c r="DE6" i="2"/>
  <c r="DF6" i="2"/>
  <c r="DI6" i="2"/>
  <c r="DZ6" i="2"/>
  <c r="EA6" i="2"/>
  <c r="EB6" i="2"/>
  <c r="EE6" i="2"/>
  <c r="EV6" i="2"/>
  <c r="EW6" i="2"/>
  <c r="EX6" i="2"/>
  <c r="FA6" i="2"/>
  <c r="FR6" i="2"/>
  <c r="FS6" i="2"/>
  <c r="FT6" i="2"/>
  <c r="FW6" i="2"/>
  <c r="GN6" i="2"/>
  <c r="GO6" i="2"/>
  <c r="GP6" i="2"/>
  <c r="GS6" i="2"/>
  <c r="HJ6" i="2"/>
  <c r="HK6" i="2"/>
  <c r="HL6" i="2"/>
  <c r="HO6" i="2"/>
  <c r="IF6" i="2"/>
  <c r="IG6" i="2"/>
  <c r="IH6" i="2"/>
  <c r="IK6" i="2"/>
  <c r="JB6" i="2"/>
  <c r="JC6" i="2"/>
  <c r="JD6" i="2"/>
  <c r="JG6" i="2"/>
  <c r="JX6" i="2"/>
  <c r="JY6" i="2"/>
  <c r="JZ6" i="2"/>
  <c r="KC6" i="2"/>
  <c r="KT6" i="2"/>
  <c r="KU6" i="2"/>
  <c r="KV6" i="2"/>
  <c r="KY6" i="2"/>
  <c r="LP6" i="2"/>
  <c r="LQ6" i="2"/>
  <c r="LR6" i="2"/>
  <c r="LU6" i="2"/>
  <c r="HM6" i="2" l="1"/>
  <c r="KW13" i="2"/>
  <c r="EC13" i="2"/>
  <c r="EF13" i="2" s="1"/>
  <c r="LS14" i="2"/>
  <c r="LV14" i="2" s="1"/>
  <c r="DG13" i="2"/>
  <c r="DJ13" i="2" s="1"/>
  <c r="FU14" i="2"/>
  <c r="FX14" i="2" s="1"/>
  <c r="EY13" i="2"/>
  <c r="FB13" i="2" s="1"/>
  <c r="EY6" i="2"/>
  <c r="FB6" i="2" s="1"/>
  <c r="CK14" i="2"/>
  <c r="GQ13" i="2"/>
  <c r="GT13" i="2" s="1"/>
  <c r="DG6" i="2"/>
  <c r="DJ6" i="2" s="1"/>
  <c r="II13" i="2"/>
  <c r="IL13" i="2" s="1"/>
  <c r="IZ7" i="8"/>
  <c r="CV7" i="8"/>
  <c r="FX7" i="8"/>
  <c r="CN14" i="2"/>
  <c r="DP7" i="8"/>
  <c r="KN7" i="8"/>
  <c r="FU6" i="2"/>
  <c r="FX6" i="2" s="1"/>
  <c r="EC6" i="2"/>
  <c r="EF6" i="2" s="1"/>
  <c r="CK6" i="2"/>
  <c r="CN6" i="2" s="1"/>
  <c r="KZ13" i="2"/>
  <c r="KA13" i="2"/>
  <c r="KD13" i="2" s="1"/>
  <c r="EJ7" i="8"/>
  <c r="JT7" i="8"/>
  <c r="HL7" i="8"/>
  <c r="CB7" i="8"/>
  <c r="FD7" i="8"/>
  <c r="GR7" i="8"/>
  <c r="IF7" i="8"/>
  <c r="JE6" i="2"/>
  <c r="JH6" i="2" s="1"/>
  <c r="EY14" i="2"/>
  <c r="FB14" i="2" s="1"/>
  <c r="DG14" i="2"/>
  <c r="DJ14" i="2" s="1"/>
  <c r="CK13" i="2"/>
  <c r="CN13" i="2" s="1"/>
  <c r="KW6" i="2"/>
  <c r="KZ6" i="2" s="1"/>
  <c r="LS13" i="2"/>
  <c r="LV13" i="2" s="1"/>
  <c r="II14" i="2"/>
  <c r="IL14" i="2" s="1"/>
  <c r="HP6" i="2"/>
  <c r="JE14" i="2"/>
  <c r="JH14" i="2" s="1"/>
  <c r="BK13" i="2"/>
  <c r="BN13" i="2" s="1"/>
  <c r="KA6" i="2"/>
  <c r="KD6" i="2" s="1"/>
  <c r="EC14" i="2"/>
  <c r="EF14" i="2" s="1"/>
  <c r="P13" i="2"/>
  <c r="BR13" i="2" s="1"/>
  <c r="HM14" i="2"/>
  <c r="HP14" i="2" s="1"/>
  <c r="JE13" i="2"/>
  <c r="JH13" i="2" s="1"/>
  <c r="KA14" i="2"/>
  <c r="KD14" i="2" s="1"/>
  <c r="HM13" i="2"/>
  <c r="HP13" i="2" s="1"/>
  <c r="LS6" i="2"/>
  <c r="LV6" i="2" s="1"/>
  <c r="FU13" i="2"/>
  <c r="FX13" i="2" s="1"/>
  <c r="P14" i="2"/>
  <c r="BR14" i="2" s="1"/>
  <c r="II6" i="2"/>
  <c r="IL6" i="2" s="1"/>
  <c r="GQ14" i="2"/>
  <c r="GT14" i="2" s="1"/>
  <c r="GQ6" i="2"/>
  <c r="GT6" i="2" s="1"/>
  <c r="KW14" i="2"/>
  <c r="KZ14" i="2" s="1"/>
  <c r="L7" i="8"/>
  <c r="M7" i="8" s="1"/>
  <c r="BF7" i="8"/>
  <c r="F7" i="8"/>
  <c r="H7" i="8"/>
  <c r="G7" i="8"/>
  <c r="J7" i="8"/>
  <c r="BK6" i="2"/>
  <c r="BN6" i="2" s="1"/>
  <c r="BK14" i="2"/>
  <c r="P6" i="2"/>
  <c r="BR6" i="2" s="1"/>
  <c r="A14" i="2" l="1"/>
  <c r="A13" i="2"/>
  <c r="J13" i="2"/>
  <c r="K13" i="2" s="1"/>
  <c r="BH7" i="8"/>
  <c r="Q13" i="2"/>
  <c r="Q14" i="2"/>
  <c r="J14" i="2"/>
  <c r="K14" i="2" s="1"/>
  <c r="BN14" i="2"/>
  <c r="I6" i="2"/>
  <c r="I7" i="8"/>
  <c r="BG7" i="8"/>
  <c r="K7" i="8"/>
  <c r="Q6" i="2"/>
  <c r="J6" i="2"/>
  <c r="BQ13" i="2" l="1"/>
  <c r="I14" i="2"/>
  <c r="N7" i="8"/>
  <c r="E7" i="8" s="1"/>
  <c r="L13" i="2"/>
  <c r="BO13" i="2" s="1"/>
  <c r="N13" i="2"/>
  <c r="BP13" i="2" s="1"/>
  <c r="L14" i="2"/>
  <c r="M14" i="2" s="1"/>
  <c r="BQ14" i="2"/>
  <c r="I13" i="2"/>
  <c r="N14" i="2"/>
  <c r="O14" i="2" s="1"/>
  <c r="K6" i="2"/>
  <c r="BQ6" i="2"/>
  <c r="L6" i="2"/>
  <c r="N6" i="2"/>
  <c r="M13" i="2" l="1"/>
  <c r="R13" i="2"/>
  <c r="T13" i="2" s="1"/>
  <c r="BO14" i="2"/>
  <c r="P7" i="8"/>
  <c r="O7" i="8"/>
  <c r="O13" i="2"/>
  <c r="E13" i="2" s="1"/>
  <c r="BP14" i="2"/>
  <c r="O6" i="2"/>
  <c r="BP6" i="2"/>
  <c r="BO6" i="2"/>
  <c r="M6" i="2"/>
  <c r="R14" i="2" l="1"/>
  <c r="E14" i="2" s="1"/>
  <c r="S13" i="2"/>
  <c r="R6" i="2"/>
  <c r="T6" i="2" s="1"/>
  <c r="T14" i="2"/>
  <c r="S14" i="2"/>
  <c r="S6" i="2" l="1"/>
  <c r="E6" i="2"/>
  <c r="FH6" i="6"/>
  <c r="KD10" i="6" l="1"/>
  <c r="KC10" i="6"/>
  <c r="KD7" i="6"/>
  <c r="KC7" i="6"/>
  <c r="KD9" i="6"/>
  <c r="KC9" i="6"/>
  <c r="KD12" i="6"/>
  <c r="KC12" i="6"/>
  <c r="KD11" i="6"/>
  <c r="KC11" i="6"/>
  <c r="KD8" i="6"/>
  <c r="KC8" i="6"/>
  <c r="KD6" i="6"/>
  <c r="KC6" i="6"/>
  <c r="KD5" i="6"/>
  <c r="KC5" i="6"/>
  <c r="KD4" i="6"/>
  <c r="KC4" i="6"/>
  <c r="IN10" i="6"/>
  <c r="IM10" i="6"/>
  <c r="IN7" i="6"/>
  <c r="IM7" i="6"/>
  <c r="IN9" i="6"/>
  <c r="IM9" i="6"/>
  <c r="IN12" i="6"/>
  <c r="IM12" i="6"/>
  <c r="IN11" i="6"/>
  <c r="IM11" i="6"/>
  <c r="IN8" i="6"/>
  <c r="IM8" i="6"/>
  <c r="IN6" i="6"/>
  <c r="IM6" i="6"/>
  <c r="IN5" i="6"/>
  <c r="IM5" i="6"/>
  <c r="IN4" i="6"/>
  <c r="IM4" i="6"/>
  <c r="GX10" i="6"/>
  <c r="GW10" i="6"/>
  <c r="GX7" i="6"/>
  <c r="GW7" i="6"/>
  <c r="GX9" i="6"/>
  <c r="GW9" i="6"/>
  <c r="GX12" i="6"/>
  <c r="GW12" i="6"/>
  <c r="GX11" i="6"/>
  <c r="GW11" i="6"/>
  <c r="GX8" i="6"/>
  <c r="GW8" i="6"/>
  <c r="GX6" i="6"/>
  <c r="GW6" i="6"/>
  <c r="GX5" i="6"/>
  <c r="GW5" i="6"/>
  <c r="GX4" i="6"/>
  <c r="GW4" i="6"/>
  <c r="KY10" i="6"/>
  <c r="KX10" i="6"/>
  <c r="KY7" i="6"/>
  <c r="KX7" i="6"/>
  <c r="KY9" i="6"/>
  <c r="KX9" i="6"/>
  <c r="KY12" i="6"/>
  <c r="KX12" i="6"/>
  <c r="KY11" i="6"/>
  <c r="KX11" i="6"/>
  <c r="KY8" i="6"/>
  <c r="KX8" i="6"/>
  <c r="KY6" i="6"/>
  <c r="KX6" i="6"/>
  <c r="KY5" i="6"/>
  <c r="KX5" i="6"/>
  <c r="KY4" i="6"/>
  <c r="KX4" i="6"/>
  <c r="JI10" i="6"/>
  <c r="JH10" i="6"/>
  <c r="JI7" i="6"/>
  <c r="JH7" i="6"/>
  <c r="JI9" i="6"/>
  <c r="JH9" i="6"/>
  <c r="JI12" i="6"/>
  <c r="JH12" i="6"/>
  <c r="JI11" i="6"/>
  <c r="JH11" i="6"/>
  <c r="JI8" i="6"/>
  <c r="JH8" i="6"/>
  <c r="JI6" i="6"/>
  <c r="JH6" i="6"/>
  <c r="JI5" i="6"/>
  <c r="JH5" i="6"/>
  <c r="JI4" i="6"/>
  <c r="JH4" i="6"/>
  <c r="HS10" i="6"/>
  <c r="HR10" i="6"/>
  <c r="HS7" i="6"/>
  <c r="HR7" i="6"/>
  <c r="HS9" i="6"/>
  <c r="HR9" i="6"/>
  <c r="HS12" i="6"/>
  <c r="HR12" i="6"/>
  <c r="HS11" i="6"/>
  <c r="HR11" i="6"/>
  <c r="HS8" i="6"/>
  <c r="HR8" i="6"/>
  <c r="HS6" i="6"/>
  <c r="HR6" i="6"/>
  <c r="HS5" i="6"/>
  <c r="HR5" i="6"/>
  <c r="HS4" i="6"/>
  <c r="HR4" i="6"/>
  <c r="GC10" i="6"/>
  <c r="GB10" i="6"/>
  <c r="GC7" i="6"/>
  <c r="GB7" i="6"/>
  <c r="GC9" i="6"/>
  <c r="GB9" i="6"/>
  <c r="GC12" i="6"/>
  <c r="GB12" i="6"/>
  <c r="GC11" i="6"/>
  <c r="GB11" i="6"/>
  <c r="GC8" i="6"/>
  <c r="GB8" i="6"/>
  <c r="GC6" i="6"/>
  <c r="GB6" i="6"/>
  <c r="GC5" i="6"/>
  <c r="GB5" i="6"/>
  <c r="GC4" i="6"/>
  <c r="GB4" i="6"/>
  <c r="KY4" i="12" l="1"/>
  <c r="KX4" i="12"/>
  <c r="JI4" i="12"/>
  <c r="JH4" i="12"/>
  <c r="HS4" i="12"/>
  <c r="HR4" i="12"/>
  <c r="GC4" i="12"/>
  <c r="GB4" i="12"/>
  <c r="EM4" i="12"/>
  <c r="EL4" i="12"/>
  <c r="KD4" i="12"/>
  <c r="KC4" i="12"/>
  <c r="IN4" i="12"/>
  <c r="IM4" i="12"/>
  <c r="GX4" i="12"/>
  <c r="GW4" i="12"/>
  <c r="FH4" i="12"/>
  <c r="FG4" i="12"/>
  <c r="DR4" i="12"/>
  <c r="DQ4" i="12"/>
  <c r="CW4" i="12"/>
  <c r="CV4" i="12"/>
  <c r="CA4" i="12"/>
  <c r="CB4" i="12"/>
  <c r="BE4" i="12"/>
  <c r="BD4" i="12"/>
  <c r="EM10" i="6"/>
  <c r="EL10" i="6"/>
  <c r="EM7" i="6"/>
  <c r="EL7" i="6"/>
  <c r="EM9" i="6"/>
  <c r="EL9" i="6"/>
  <c r="EM12" i="6"/>
  <c r="EL12" i="6"/>
  <c r="EM11" i="6"/>
  <c r="EL11" i="6"/>
  <c r="EM8" i="6"/>
  <c r="EL8" i="6"/>
  <c r="EM6" i="6"/>
  <c r="EL6" i="6"/>
  <c r="EM5" i="6"/>
  <c r="EL5" i="6"/>
  <c r="EM4" i="6"/>
  <c r="EL4" i="6"/>
  <c r="FH10" i="6"/>
  <c r="FG10" i="6"/>
  <c r="FH7" i="6"/>
  <c r="FG7" i="6"/>
  <c r="FH9" i="6"/>
  <c r="FG9" i="6"/>
  <c r="FH12" i="6"/>
  <c r="FG12" i="6"/>
  <c r="FH11" i="6"/>
  <c r="FG11" i="6"/>
  <c r="FH8" i="6"/>
  <c r="FG8" i="6"/>
  <c r="FG6" i="6"/>
  <c r="FH5" i="6"/>
  <c r="FG5" i="6"/>
  <c r="FH4" i="6"/>
  <c r="FG4" i="6"/>
  <c r="DR10" i="6"/>
  <c r="DQ10" i="6"/>
  <c r="DR7" i="6"/>
  <c r="DQ7" i="6"/>
  <c r="DR9" i="6"/>
  <c r="DQ9" i="6"/>
  <c r="DR12" i="6"/>
  <c r="DQ12" i="6"/>
  <c r="DR11" i="6"/>
  <c r="DQ11" i="6"/>
  <c r="DR8" i="6"/>
  <c r="DQ8" i="6"/>
  <c r="DR6" i="6"/>
  <c r="DQ6" i="6"/>
  <c r="DR5" i="6"/>
  <c r="DQ5" i="6"/>
  <c r="DR4" i="6"/>
  <c r="DQ4" i="6"/>
  <c r="CW10" i="6"/>
  <c r="CV10" i="6"/>
  <c r="CW7" i="6"/>
  <c r="CV7" i="6"/>
  <c r="CW9" i="6"/>
  <c r="CV9" i="6"/>
  <c r="CW12" i="6"/>
  <c r="CV12" i="6"/>
  <c r="CW11" i="6"/>
  <c r="CV11" i="6"/>
  <c r="CW8" i="6"/>
  <c r="CV8" i="6"/>
  <c r="CW6" i="6"/>
  <c r="CV6" i="6"/>
  <c r="CW5" i="6"/>
  <c r="CV5" i="6"/>
  <c r="CW4" i="6"/>
  <c r="CV4" i="6"/>
  <c r="BE10" i="6"/>
  <c r="BD10" i="6"/>
  <c r="BE7" i="6"/>
  <c r="BD7" i="6"/>
  <c r="BE9" i="6"/>
  <c r="BD9" i="6"/>
  <c r="BE12" i="6"/>
  <c r="BD12" i="6"/>
  <c r="BE11" i="6"/>
  <c r="BD11" i="6"/>
  <c r="BE8" i="6"/>
  <c r="BD8" i="6"/>
  <c r="BE6" i="6"/>
  <c r="BD6" i="6"/>
  <c r="BE5" i="6"/>
  <c r="BD5" i="6"/>
  <c r="BE4" i="6"/>
  <c r="BD4" i="6"/>
  <c r="KM6" i="8" l="1"/>
  <c r="KL6" i="8"/>
  <c r="KL4" i="8"/>
  <c r="JR6" i="8"/>
  <c r="JR5" i="8"/>
  <c r="JR4" i="8"/>
  <c r="IX6" i="8"/>
  <c r="IX5" i="8"/>
  <c r="IX4" i="8"/>
  <c r="ID6" i="8"/>
  <c r="ID5" i="8"/>
  <c r="ID4" i="8"/>
  <c r="HJ4" i="8"/>
  <c r="HJ6" i="8"/>
  <c r="HJ5" i="8"/>
  <c r="GP6" i="8"/>
  <c r="GP5" i="8"/>
  <c r="GP4" i="8"/>
  <c r="FV6" i="8"/>
  <c r="FV5" i="8"/>
  <c r="FV4" i="8"/>
  <c r="FB6" i="8"/>
  <c r="FB5" i="8"/>
  <c r="FB4" i="8"/>
  <c r="EH6" i="8"/>
  <c r="EH5" i="8"/>
  <c r="EH4" i="8"/>
  <c r="DN6" i="8"/>
  <c r="DN5" i="8"/>
  <c r="DN4" i="8"/>
  <c r="CT6" i="8"/>
  <c r="CT5" i="8"/>
  <c r="CT4" i="8"/>
  <c r="BZ5" i="8"/>
  <c r="BZ6" i="8"/>
  <c r="BZ4" i="8"/>
  <c r="BD6" i="8"/>
  <c r="BD5" i="8"/>
  <c r="BD4" i="8"/>
  <c r="KL8" i="7"/>
  <c r="KL9" i="7"/>
  <c r="KL7" i="7"/>
  <c r="KL6" i="7"/>
  <c r="KL5" i="7"/>
  <c r="KL4" i="7"/>
  <c r="JR8" i="7"/>
  <c r="JR9" i="7"/>
  <c r="JR7" i="7"/>
  <c r="JR6" i="7"/>
  <c r="JR5" i="7"/>
  <c r="JR4" i="7"/>
  <c r="IX8" i="7"/>
  <c r="IX9" i="7"/>
  <c r="IX7" i="7"/>
  <c r="IX6" i="7"/>
  <c r="IX5" i="7"/>
  <c r="IX4" i="7"/>
  <c r="ID8" i="7"/>
  <c r="ID9" i="7"/>
  <c r="ID7" i="7"/>
  <c r="ID6" i="7"/>
  <c r="ID5" i="7"/>
  <c r="ID4" i="7"/>
  <c r="HJ8" i="7"/>
  <c r="HJ9" i="7"/>
  <c r="HJ7" i="7"/>
  <c r="HJ6" i="7"/>
  <c r="HJ5" i="7"/>
  <c r="HJ4" i="7"/>
  <c r="GP8" i="7"/>
  <c r="GP9" i="7"/>
  <c r="GP7" i="7"/>
  <c r="GP6" i="7"/>
  <c r="GP5" i="7"/>
  <c r="GP4" i="7"/>
  <c r="FV8" i="7"/>
  <c r="FV9" i="7"/>
  <c r="FV7" i="7"/>
  <c r="FV6" i="7"/>
  <c r="FV5" i="7"/>
  <c r="FV4" i="7"/>
  <c r="FB8" i="7"/>
  <c r="FB9" i="7"/>
  <c r="FB7" i="7"/>
  <c r="FB6" i="7"/>
  <c r="FB5" i="7"/>
  <c r="FB4" i="7"/>
  <c r="EH8" i="7"/>
  <c r="EH9" i="7"/>
  <c r="EH7" i="7"/>
  <c r="EH6" i="7"/>
  <c r="EH5" i="7"/>
  <c r="EH4" i="7"/>
  <c r="DN8" i="7"/>
  <c r="DN9" i="7"/>
  <c r="DN7" i="7"/>
  <c r="DN6" i="7"/>
  <c r="DN5" i="7"/>
  <c r="DN4" i="7"/>
  <c r="CT8" i="7"/>
  <c r="CT9" i="7"/>
  <c r="CT7" i="7"/>
  <c r="CT6" i="7"/>
  <c r="CT5" i="7"/>
  <c r="CT4" i="7"/>
  <c r="BZ5" i="7"/>
  <c r="BZ6" i="7"/>
  <c r="BZ7" i="7"/>
  <c r="BZ9" i="7"/>
  <c r="BZ8" i="7"/>
  <c r="BZ4" i="7"/>
  <c r="BD5" i="7"/>
  <c r="BD6" i="7"/>
  <c r="BD7" i="7"/>
  <c r="BD9" i="7"/>
  <c r="BD8" i="7"/>
  <c r="BD4" i="7"/>
  <c r="LA4" i="12"/>
  <c r="KZ4" i="12"/>
  <c r="KF4" i="12"/>
  <c r="KE4" i="12"/>
  <c r="JK4" i="12"/>
  <c r="JJ4" i="12"/>
  <c r="IP4" i="12"/>
  <c r="IO4" i="12"/>
  <c r="HU4" i="12"/>
  <c r="HT4" i="12"/>
  <c r="GZ4" i="12"/>
  <c r="GY4" i="12"/>
  <c r="GE4" i="12"/>
  <c r="GD4" i="12"/>
  <c r="FJ4" i="12"/>
  <c r="FI4" i="12"/>
  <c r="EO4" i="12"/>
  <c r="EN4" i="12"/>
  <c r="DT4" i="12"/>
  <c r="DS4" i="12"/>
  <c r="CY4" i="12"/>
  <c r="CX4" i="12"/>
  <c r="CD4" i="12"/>
  <c r="CC4" i="12"/>
  <c r="BG4" i="12"/>
  <c r="BF4" i="12"/>
  <c r="H7" i="7" l="1"/>
  <c r="H6" i="7"/>
  <c r="H4" i="8"/>
  <c r="H4" i="7"/>
  <c r="H8" i="7"/>
  <c r="H5" i="7"/>
  <c r="H9" i="7"/>
  <c r="H4" i="12"/>
  <c r="G4" i="12"/>
  <c r="F4" i="12"/>
  <c r="H6" i="8"/>
  <c r="H5" i="8"/>
  <c r="IQ4" i="12"/>
  <c r="EP4" i="12"/>
  <c r="LB4" i="12"/>
  <c r="FK4" i="12"/>
  <c r="GF4" i="12"/>
  <c r="CE4" i="12"/>
  <c r="HA4" i="12"/>
  <c r="CZ4" i="12"/>
  <c r="JL4" i="12"/>
  <c r="BH4" i="12"/>
  <c r="HV4" i="12"/>
  <c r="DU4" i="12"/>
  <c r="KG4" i="12"/>
  <c r="J4" i="12" l="1"/>
  <c r="I4" i="12"/>
  <c r="BI4" i="12" l="1"/>
  <c r="K4" i="12"/>
  <c r="L4" i="12"/>
  <c r="M4" i="12" s="1"/>
  <c r="BJ4" i="12" l="1"/>
  <c r="N4" i="12" s="1"/>
  <c r="P4" i="12" l="1"/>
  <c r="E4" i="12"/>
  <c r="A5" i="12" s="1"/>
  <c r="O4" i="12"/>
  <c r="A4" i="12" l="1"/>
  <c r="A8" i="12"/>
  <c r="A7" i="12"/>
  <c r="A6" i="12"/>
  <c r="BF5" i="6"/>
  <c r="BG5" i="6"/>
  <c r="BF4" i="6"/>
  <c r="BG4" i="6"/>
  <c r="BF11" i="6"/>
  <c r="BG11" i="6"/>
  <c r="BF9" i="6"/>
  <c r="BG9" i="6"/>
  <c r="BF12" i="6"/>
  <c r="BG12" i="6"/>
  <c r="BF8" i="6"/>
  <c r="BG8" i="6"/>
  <c r="BF7" i="6"/>
  <c r="BG7" i="6"/>
  <c r="BF10" i="6"/>
  <c r="BG10" i="6"/>
  <c r="BG6" i="6"/>
  <c r="BF6" i="6"/>
  <c r="LA10" i="6"/>
  <c r="KZ10" i="6"/>
  <c r="LA7" i="6"/>
  <c r="KZ7" i="6"/>
  <c r="LA8" i="6"/>
  <c r="KZ8" i="6"/>
  <c r="LA12" i="6"/>
  <c r="KZ12" i="6"/>
  <c r="LA9" i="6"/>
  <c r="KZ9" i="6"/>
  <c r="LA11" i="6"/>
  <c r="KZ11" i="6"/>
  <c r="LA4" i="6"/>
  <c r="KZ4" i="6"/>
  <c r="LA5" i="6"/>
  <c r="KZ5" i="6"/>
  <c r="LA6" i="6"/>
  <c r="KZ6" i="6"/>
  <c r="KF10" i="6"/>
  <c r="KE10" i="6"/>
  <c r="KF7" i="6"/>
  <c r="KE7" i="6"/>
  <c r="KF8" i="6"/>
  <c r="KE8" i="6"/>
  <c r="KF12" i="6"/>
  <c r="KE12" i="6"/>
  <c r="KF9" i="6"/>
  <c r="KE9" i="6"/>
  <c r="KF11" i="6"/>
  <c r="KE11" i="6"/>
  <c r="KF4" i="6"/>
  <c r="KE4" i="6"/>
  <c r="KF5" i="6"/>
  <c r="KE5" i="6"/>
  <c r="KF6" i="6"/>
  <c r="KE6" i="6"/>
  <c r="JJ4" i="6"/>
  <c r="JK10" i="6"/>
  <c r="JJ10" i="6"/>
  <c r="JK7" i="6"/>
  <c r="JJ7" i="6"/>
  <c r="JK8" i="6"/>
  <c r="JJ8" i="6"/>
  <c r="JK12" i="6"/>
  <c r="JJ12" i="6"/>
  <c r="JK9" i="6"/>
  <c r="JJ9" i="6"/>
  <c r="JK11" i="6"/>
  <c r="JJ11" i="6"/>
  <c r="JK4" i="6"/>
  <c r="JK5" i="6"/>
  <c r="JJ5" i="6"/>
  <c r="JK6" i="6"/>
  <c r="JJ6" i="6"/>
  <c r="IO5" i="6"/>
  <c r="IP5" i="6"/>
  <c r="IO4" i="6"/>
  <c r="IP4" i="6"/>
  <c r="IO11" i="6"/>
  <c r="IP11" i="6"/>
  <c r="IO9" i="6"/>
  <c r="IP9" i="6"/>
  <c r="IO12" i="6"/>
  <c r="IP12" i="6"/>
  <c r="IO8" i="6"/>
  <c r="IP8" i="6"/>
  <c r="IO7" i="6"/>
  <c r="IP7" i="6"/>
  <c r="IO10" i="6"/>
  <c r="IP10" i="6"/>
  <c r="IP6" i="6"/>
  <c r="IO6" i="6"/>
  <c r="HT5" i="6"/>
  <c r="HU5" i="6"/>
  <c r="HT4" i="6"/>
  <c r="HU4" i="6"/>
  <c r="HT11" i="6"/>
  <c r="HU11" i="6"/>
  <c r="HT9" i="6"/>
  <c r="HU9" i="6"/>
  <c r="HT12" i="6"/>
  <c r="HU12" i="6"/>
  <c r="HT8" i="6"/>
  <c r="HU8" i="6"/>
  <c r="HT7" i="6"/>
  <c r="HU7" i="6"/>
  <c r="HT10" i="6"/>
  <c r="HU10" i="6"/>
  <c r="HU6" i="6"/>
  <c r="HT6" i="6"/>
  <c r="GY5" i="6"/>
  <c r="GZ5" i="6"/>
  <c r="GY4" i="6"/>
  <c r="GZ4" i="6"/>
  <c r="GY11" i="6"/>
  <c r="GZ11" i="6"/>
  <c r="GY9" i="6"/>
  <c r="GZ9" i="6"/>
  <c r="GY12" i="6"/>
  <c r="GZ12" i="6"/>
  <c r="GY8" i="6"/>
  <c r="GZ8" i="6"/>
  <c r="GY7" i="6"/>
  <c r="GZ7" i="6"/>
  <c r="GY10" i="6"/>
  <c r="GZ10" i="6"/>
  <c r="GZ6" i="6"/>
  <c r="GY6" i="6"/>
  <c r="GD5" i="6"/>
  <c r="GE5" i="6"/>
  <c r="GD4" i="6"/>
  <c r="GE4" i="6"/>
  <c r="GD11" i="6"/>
  <c r="GE11" i="6"/>
  <c r="GD9" i="6"/>
  <c r="GE9" i="6"/>
  <c r="GD12" i="6"/>
  <c r="GE12" i="6"/>
  <c r="GD8" i="6"/>
  <c r="GE8" i="6"/>
  <c r="GD7" i="6"/>
  <c r="GE7" i="6"/>
  <c r="GD10" i="6"/>
  <c r="GE10" i="6"/>
  <c r="GE6" i="6"/>
  <c r="GD6" i="6"/>
  <c r="FI5" i="6"/>
  <c r="FJ5" i="6"/>
  <c r="FI4" i="6"/>
  <c r="FJ4" i="6"/>
  <c r="FI11" i="6"/>
  <c r="FJ11" i="6"/>
  <c r="FI9" i="6"/>
  <c r="FJ9" i="6"/>
  <c r="FI12" i="6"/>
  <c r="FJ12" i="6"/>
  <c r="FI8" i="6"/>
  <c r="FJ8" i="6"/>
  <c r="FI7" i="6"/>
  <c r="FJ7" i="6"/>
  <c r="FI10" i="6"/>
  <c r="FJ10" i="6"/>
  <c r="FJ6" i="6"/>
  <c r="FI6" i="6"/>
  <c r="EN5" i="6"/>
  <c r="EO5" i="6"/>
  <c r="EN4" i="6"/>
  <c r="EO4" i="6"/>
  <c r="EN11" i="6"/>
  <c r="EO11" i="6"/>
  <c r="EN9" i="6"/>
  <c r="EO9" i="6"/>
  <c r="EN12" i="6"/>
  <c r="EO12" i="6"/>
  <c r="EN8" i="6"/>
  <c r="EO8" i="6"/>
  <c r="EN7" i="6"/>
  <c r="EO7" i="6"/>
  <c r="EN10" i="6"/>
  <c r="EO10" i="6"/>
  <c r="EO6" i="6"/>
  <c r="EN6" i="6"/>
  <c r="D33" i="11" l="1"/>
  <c r="D34" i="11"/>
  <c r="D35" i="11"/>
  <c r="C37" i="11"/>
  <c r="C32" i="11"/>
  <c r="D32" i="11"/>
  <c r="C33" i="11"/>
  <c r="C35" i="11"/>
  <c r="D36" i="11"/>
  <c r="D37" i="11"/>
  <c r="C34" i="11"/>
  <c r="C36" i="11"/>
  <c r="LB11" i="6"/>
  <c r="BH4" i="6"/>
  <c r="JL10" i="6"/>
  <c r="JL6" i="6"/>
  <c r="KG4" i="6"/>
  <c r="LB6" i="6"/>
  <c r="EP9" i="6"/>
  <c r="LB8" i="6"/>
  <c r="GF9" i="6"/>
  <c r="HV6" i="6"/>
  <c r="JL8" i="6"/>
  <c r="KG12" i="6"/>
  <c r="LB5" i="6"/>
  <c r="BH6" i="6"/>
  <c r="HV4" i="6"/>
  <c r="IQ9" i="6"/>
  <c r="BH7" i="6"/>
  <c r="FK4" i="6"/>
  <c r="GF8" i="6"/>
  <c r="HA4" i="6"/>
  <c r="HV8" i="6"/>
  <c r="IQ6" i="6"/>
  <c r="IQ4" i="6"/>
  <c r="FK9" i="6"/>
  <c r="FK5" i="6"/>
  <c r="HV7" i="6"/>
  <c r="BH8" i="6"/>
  <c r="HV9" i="6"/>
  <c r="IQ8" i="6"/>
  <c r="EP7" i="6"/>
  <c r="BH9" i="6"/>
  <c r="JL5" i="6"/>
  <c r="LB10" i="6"/>
  <c r="JL4" i="6"/>
  <c r="KG7" i="6"/>
  <c r="LB9" i="6"/>
  <c r="IQ7" i="6"/>
  <c r="BH11" i="6"/>
  <c r="HV11" i="6"/>
  <c r="HV12" i="6"/>
  <c r="BH12" i="6"/>
  <c r="HV10" i="6"/>
  <c r="JL12" i="6"/>
  <c r="BH10" i="6"/>
  <c r="HV5" i="6"/>
  <c r="BH5" i="6"/>
  <c r="JL7" i="6"/>
  <c r="FK8" i="6"/>
  <c r="FK7" i="6"/>
  <c r="EP4" i="6"/>
  <c r="EP8" i="6"/>
  <c r="HA8" i="6"/>
  <c r="HA9" i="6"/>
  <c r="HA6" i="6"/>
  <c r="HA5" i="6"/>
  <c r="GF6" i="6"/>
  <c r="GF4" i="6"/>
  <c r="GF11" i="6"/>
  <c r="HA7" i="6"/>
  <c r="EP12" i="6"/>
  <c r="FK10" i="6"/>
  <c r="KG11" i="6"/>
  <c r="GF7" i="6"/>
  <c r="IQ5" i="6"/>
  <c r="JL11" i="6"/>
  <c r="HA12" i="6"/>
  <c r="IQ10" i="6"/>
  <c r="EP10" i="6"/>
  <c r="GF10" i="6"/>
  <c r="HA10" i="6"/>
  <c r="EP5" i="6"/>
  <c r="KG6" i="6"/>
  <c r="KG8" i="6"/>
  <c r="LB4" i="6"/>
  <c r="HA11" i="6"/>
  <c r="EP6" i="6"/>
  <c r="EP11" i="6"/>
  <c r="FK11" i="6"/>
  <c r="GF5" i="6"/>
  <c r="KG5" i="6"/>
  <c r="KG10" i="6"/>
  <c r="LB12" i="6"/>
  <c r="GF12" i="6"/>
  <c r="IQ11" i="6"/>
  <c r="IQ12" i="6"/>
  <c r="FK6" i="6"/>
  <c r="FK12" i="6"/>
  <c r="JL9" i="6"/>
  <c r="KG9" i="6"/>
  <c r="LB7" i="6"/>
  <c r="DS5" i="6"/>
  <c r="DT5" i="6"/>
  <c r="DS4" i="6"/>
  <c r="DT4" i="6"/>
  <c r="DS11" i="6"/>
  <c r="DT11" i="6"/>
  <c r="DS9" i="6"/>
  <c r="DT9" i="6"/>
  <c r="DS12" i="6"/>
  <c r="DT12" i="6"/>
  <c r="DS8" i="6"/>
  <c r="DT8" i="6"/>
  <c r="DS7" i="6"/>
  <c r="DT7" i="6"/>
  <c r="DS10" i="6"/>
  <c r="DT10" i="6"/>
  <c r="DT6" i="6"/>
  <c r="DS6" i="6"/>
  <c r="CX5" i="6"/>
  <c r="CY5" i="6"/>
  <c r="CX4" i="6"/>
  <c r="CY4" i="6"/>
  <c r="CX11" i="6"/>
  <c r="CY11" i="6"/>
  <c r="CX9" i="6"/>
  <c r="CY9" i="6"/>
  <c r="CX12" i="6"/>
  <c r="CY12" i="6"/>
  <c r="CX8" i="6"/>
  <c r="CY8" i="6"/>
  <c r="CX7" i="6"/>
  <c r="CY7" i="6"/>
  <c r="CX10" i="6"/>
  <c r="F10" i="6" s="1"/>
  <c r="CY10" i="6"/>
  <c r="CY6" i="6"/>
  <c r="CX6" i="6"/>
  <c r="F4" i="6"/>
  <c r="G7" i="6" l="1"/>
  <c r="G9" i="6"/>
  <c r="H5" i="6"/>
  <c r="F9" i="6"/>
  <c r="H9" i="6"/>
  <c r="H11" i="6"/>
  <c r="J10" i="6"/>
  <c r="K10" i="6" s="1"/>
  <c r="H6" i="6"/>
  <c r="G5" i="6"/>
  <c r="H12" i="6"/>
  <c r="H10" i="6"/>
  <c r="A10" i="6" s="1"/>
  <c r="H8" i="6"/>
  <c r="F11" i="6"/>
  <c r="F5" i="6"/>
  <c r="J4" i="6"/>
  <c r="K4" i="6" s="1"/>
  <c r="F7" i="6"/>
  <c r="G12" i="6"/>
  <c r="G4" i="6"/>
  <c r="H7" i="6"/>
  <c r="F12" i="6"/>
  <c r="H4" i="6"/>
  <c r="G6" i="6"/>
  <c r="G8" i="6"/>
  <c r="G11" i="6"/>
  <c r="F6" i="6"/>
  <c r="G10" i="6"/>
  <c r="F8" i="6"/>
  <c r="J7" i="6"/>
  <c r="K7" i="6" s="1"/>
  <c r="J6" i="6"/>
  <c r="L6" i="6" s="1"/>
  <c r="M6" i="6" s="1"/>
  <c r="J9" i="6"/>
  <c r="L9" i="6" s="1"/>
  <c r="M9" i="6" s="1"/>
  <c r="J5" i="6"/>
  <c r="K5" i="6" s="1"/>
  <c r="J8" i="6"/>
  <c r="J11" i="6"/>
  <c r="K11" i="6" s="1"/>
  <c r="DU8" i="6"/>
  <c r="J12" i="6"/>
  <c r="K12" i="6" s="1"/>
  <c r="DU9" i="6"/>
  <c r="DU4" i="6"/>
  <c r="DU7" i="6"/>
  <c r="CZ7" i="6"/>
  <c r="CZ11" i="6"/>
  <c r="CZ6" i="6"/>
  <c r="CZ12" i="6"/>
  <c r="CZ4" i="6"/>
  <c r="CZ9" i="6"/>
  <c r="CZ10" i="6"/>
  <c r="CZ8" i="6"/>
  <c r="CZ5" i="6"/>
  <c r="DU12" i="6"/>
  <c r="DU5" i="6"/>
  <c r="DU6" i="6"/>
  <c r="DU11" i="6"/>
  <c r="DU10" i="6"/>
  <c r="L10" i="6" l="1"/>
  <c r="M10" i="6" s="1"/>
  <c r="A12" i="6"/>
  <c r="A9" i="6"/>
  <c r="A8" i="6"/>
  <c r="A11" i="6"/>
  <c r="L4" i="6"/>
  <c r="M4" i="6" s="1"/>
  <c r="K6" i="6"/>
  <c r="L11" i="6"/>
  <c r="M11" i="6" s="1"/>
  <c r="L7" i="6"/>
  <c r="M7" i="6" s="1"/>
  <c r="L5" i="6"/>
  <c r="M5" i="6" s="1"/>
  <c r="K9" i="6"/>
  <c r="K8" i="6"/>
  <c r="L8" i="6"/>
  <c r="M8" i="6" s="1"/>
  <c r="L12" i="6"/>
  <c r="M12" i="6" s="1"/>
  <c r="LP4" i="2"/>
  <c r="LP9" i="2"/>
  <c r="LP5" i="2"/>
  <c r="LP10" i="2"/>
  <c r="LP11" i="2"/>
  <c r="LP8" i="2"/>
  <c r="LP15" i="2"/>
  <c r="KT4" i="2"/>
  <c r="KT9" i="2"/>
  <c r="KT5" i="2"/>
  <c r="KT10" i="2"/>
  <c r="KT11" i="2"/>
  <c r="KT8" i="2"/>
  <c r="KT15" i="2"/>
  <c r="JX4" i="2"/>
  <c r="JX9" i="2"/>
  <c r="JX5" i="2"/>
  <c r="JX10" i="2"/>
  <c r="JX11" i="2"/>
  <c r="JX8" i="2"/>
  <c r="JX15" i="2"/>
  <c r="JB4" i="2"/>
  <c r="JB9" i="2"/>
  <c r="JB5" i="2"/>
  <c r="JB10" i="2"/>
  <c r="JB11" i="2"/>
  <c r="JB8" i="2"/>
  <c r="JB15" i="2"/>
  <c r="IF4" i="2"/>
  <c r="IF9" i="2"/>
  <c r="IF5" i="2"/>
  <c r="IF10" i="2"/>
  <c r="IF11" i="2"/>
  <c r="IF8" i="2"/>
  <c r="IF15" i="2"/>
  <c r="HJ4" i="2"/>
  <c r="HJ9" i="2"/>
  <c r="HJ5" i="2"/>
  <c r="HJ10" i="2"/>
  <c r="HJ11" i="2"/>
  <c r="HJ8" i="2"/>
  <c r="HJ15" i="2"/>
  <c r="GN4" i="2"/>
  <c r="GN9" i="2"/>
  <c r="GN5" i="2"/>
  <c r="GN10" i="2"/>
  <c r="GN11" i="2"/>
  <c r="GN8" i="2"/>
  <c r="GN15" i="2"/>
  <c r="FR4" i="2"/>
  <c r="FR9" i="2"/>
  <c r="FR5" i="2"/>
  <c r="FR10" i="2"/>
  <c r="FR11" i="2"/>
  <c r="FR8" i="2"/>
  <c r="FR15" i="2"/>
  <c r="EV4" i="2"/>
  <c r="EV9" i="2"/>
  <c r="EV5" i="2"/>
  <c r="EV10" i="2"/>
  <c r="EV11" i="2"/>
  <c r="EV8" i="2"/>
  <c r="EV15" i="2"/>
  <c r="DZ4" i="2"/>
  <c r="DZ9" i="2"/>
  <c r="DZ5" i="2"/>
  <c r="DZ10" i="2"/>
  <c r="DZ11" i="2"/>
  <c r="DZ8" i="2"/>
  <c r="DZ15" i="2"/>
  <c r="DD4" i="2"/>
  <c r="DD9" i="2"/>
  <c r="DD5" i="2"/>
  <c r="DD10" i="2"/>
  <c r="DD11" i="2"/>
  <c r="DD8" i="2"/>
  <c r="DD15" i="2"/>
  <c r="CH4" i="2"/>
  <c r="CH9" i="2"/>
  <c r="CH5" i="2"/>
  <c r="CH10" i="2"/>
  <c r="CH11" i="2"/>
  <c r="CH8" i="2"/>
  <c r="CH15" i="2"/>
  <c r="BH4" i="2"/>
  <c r="BH9" i="2"/>
  <c r="BH5" i="2"/>
  <c r="BH10" i="2"/>
  <c r="BH11" i="2"/>
  <c r="BH8" i="2"/>
  <c r="BH15" i="2"/>
  <c r="LP5" i="4"/>
  <c r="LP11" i="4"/>
  <c r="LP10" i="4"/>
  <c r="LP12" i="4"/>
  <c r="LP6" i="4"/>
  <c r="LP23" i="4"/>
  <c r="LP19" i="4"/>
  <c r="LP9" i="4"/>
  <c r="LP17" i="4"/>
  <c r="LP7" i="4"/>
  <c r="LP15" i="4"/>
  <c r="LP16" i="4"/>
  <c r="LP21" i="4"/>
  <c r="LP13" i="4"/>
  <c r="LP20" i="4"/>
  <c r="LP22" i="4"/>
  <c r="LP18" i="4"/>
  <c r="LP4" i="4"/>
  <c r="KT5" i="4"/>
  <c r="KT11" i="4"/>
  <c r="KT10" i="4"/>
  <c r="KT12" i="4"/>
  <c r="KT6" i="4"/>
  <c r="KT23" i="4"/>
  <c r="KT19" i="4"/>
  <c r="KT9" i="4"/>
  <c r="KT17" i="4"/>
  <c r="KT7" i="4"/>
  <c r="KT15" i="4"/>
  <c r="KT16" i="4"/>
  <c r="KT21" i="4"/>
  <c r="KT13" i="4"/>
  <c r="KT20" i="4"/>
  <c r="KT22" i="4"/>
  <c r="KT18" i="4"/>
  <c r="KT4" i="4"/>
  <c r="JX5" i="4"/>
  <c r="JX11" i="4"/>
  <c r="JX10" i="4"/>
  <c r="JX12" i="4"/>
  <c r="JX6" i="4"/>
  <c r="JX23" i="4"/>
  <c r="JX19" i="4"/>
  <c r="JX9" i="4"/>
  <c r="JX17" i="4"/>
  <c r="JX7" i="4"/>
  <c r="JX15" i="4"/>
  <c r="JX16" i="4"/>
  <c r="JX21" i="4"/>
  <c r="JX13" i="4"/>
  <c r="JX20" i="4"/>
  <c r="JX22" i="4"/>
  <c r="JX18" i="4"/>
  <c r="JX4" i="4"/>
  <c r="JB5" i="4"/>
  <c r="JB11" i="4"/>
  <c r="JB10" i="4"/>
  <c r="JB12" i="4"/>
  <c r="JB6" i="4"/>
  <c r="JB23" i="4"/>
  <c r="JB19" i="4"/>
  <c r="JB9" i="4"/>
  <c r="JB17" i="4"/>
  <c r="JB7" i="4"/>
  <c r="JB15" i="4"/>
  <c r="JB16" i="4"/>
  <c r="JB21" i="4"/>
  <c r="JB13" i="4"/>
  <c r="JB20" i="4"/>
  <c r="JB22" i="4"/>
  <c r="JB18" i="4"/>
  <c r="JB4" i="4"/>
  <c r="IF5" i="4"/>
  <c r="IF11" i="4"/>
  <c r="IF10" i="4"/>
  <c r="IF12" i="4"/>
  <c r="IF6" i="4"/>
  <c r="IF23" i="4"/>
  <c r="IF19" i="4"/>
  <c r="IF9" i="4"/>
  <c r="IF17" i="4"/>
  <c r="IF7" i="4"/>
  <c r="IF15" i="4"/>
  <c r="IF16" i="4"/>
  <c r="IF21" i="4"/>
  <c r="IF13" i="4"/>
  <c r="IF20" i="4"/>
  <c r="IF22" i="4"/>
  <c r="IF18" i="4"/>
  <c r="IF4" i="4"/>
  <c r="HJ5" i="4"/>
  <c r="HJ11" i="4"/>
  <c r="HJ10" i="4"/>
  <c r="HJ12" i="4"/>
  <c r="HJ6" i="4"/>
  <c r="HJ23" i="4"/>
  <c r="HJ19" i="4"/>
  <c r="HJ9" i="4"/>
  <c r="HJ17" i="4"/>
  <c r="HJ7" i="4"/>
  <c r="HJ15" i="4"/>
  <c r="HJ16" i="4"/>
  <c r="HJ21" i="4"/>
  <c r="HJ13" i="4"/>
  <c r="HJ20" i="4"/>
  <c r="HJ22" i="4"/>
  <c r="HJ18" i="4"/>
  <c r="HJ4" i="4"/>
  <c r="GN5" i="4"/>
  <c r="GN11" i="4"/>
  <c r="GN10" i="4"/>
  <c r="GN12" i="4"/>
  <c r="GN6" i="4"/>
  <c r="GN23" i="4"/>
  <c r="GN19" i="4"/>
  <c r="GN9" i="4"/>
  <c r="GN17" i="4"/>
  <c r="GN7" i="4"/>
  <c r="GN15" i="4"/>
  <c r="GN16" i="4"/>
  <c r="GN21" i="4"/>
  <c r="GN13" i="4"/>
  <c r="GN20" i="4"/>
  <c r="GN22" i="4"/>
  <c r="GN18" i="4"/>
  <c r="GN4" i="4"/>
  <c r="FR5" i="4"/>
  <c r="FR11" i="4"/>
  <c r="FR10" i="4"/>
  <c r="FR12" i="4"/>
  <c r="FR6" i="4"/>
  <c r="FR23" i="4"/>
  <c r="FR19" i="4"/>
  <c r="FR9" i="4"/>
  <c r="FR17" i="4"/>
  <c r="FR7" i="4"/>
  <c r="FR15" i="4"/>
  <c r="FR16" i="4"/>
  <c r="FR21" i="4"/>
  <c r="FR13" i="4"/>
  <c r="FR20" i="4"/>
  <c r="FR22" i="4"/>
  <c r="FR18" i="4"/>
  <c r="FR4" i="4"/>
  <c r="EV9" i="4"/>
  <c r="EV5" i="4"/>
  <c r="EV11" i="4"/>
  <c r="EV10" i="4"/>
  <c r="EV12" i="4"/>
  <c r="EV6" i="4"/>
  <c r="EV23" i="4"/>
  <c r="EV19" i="4"/>
  <c r="EV17" i="4"/>
  <c r="EV7" i="4"/>
  <c r="EV15" i="4"/>
  <c r="EV16" i="4"/>
  <c r="EV21" i="4"/>
  <c r="EV13" i="4"/>
  <c r="EV20" i="4"/>
  <c r="EV22" i="4"/>
  <c r="EV18" i="4"/>
  <c r="EV4" i="4"/>
  <c r="DZ5" i="4"/>
  <c r="DZ11" i="4"/>
  <c r="DZ10" i="4"/>
  <c r="DZ12" i="4"/>
  <c r="DZ6" i="4"/>
  <c r="DZ23" i="4"/>
  <c r="DZ19" i="4"/>
  <c r="DZ9" i="4"/>
  <c r="DZ17" i="4"/>
  <c r="DZ7" i="4"/>
  <c r="DZ15" i="4"/>
  <c r="DZ16" i="4"/>
  <c r="DZ21" i="4"/>
  <c r="DZ13" i="4"/>
  <c r="DZ20" i="4"/>
  <c r="DZ22" i="4"/>
  <c r="DZ18" i="4"/>
  <c r="DZ4" i="4"/>
  <c r="DD5" i="4"/>
  <c r="DD11" i="4"/>
  <c r="DD10" i="4"/>
  <c r="DD12" i="4"/>
  <c r="DD6" i="4"/>
  <c r="DD23" i="4"/>
  <c r="DD19" i="4"/>
  <c r="DD9" i="4"/>
  <c r="DD17" i="4"/>
  <c r="DD7" i="4"/>
  <c r="DD15" i="4"/>
  <c r="DD16" i="4"/>
  <c r="DD21" i="4"/>
  <c r="DD13" i="4"/>
  <c r="DD20" i="4"/>
  <c r="DD22" i="4"/>
  <c r="DD18" i="4"/>
  <c r="DD4" i="4"/>
  <c r="CH5" i="4"/>
  <c r="CH11" i="4"/>
  <c r="CH10" i="4"/>
  <c r="CH12" i="4"/>
  <c r="CH6" i="4"/>
  <c r="CH23" i="4"/>
  <c r="CH19" i="4"/>
  <c r="CH9" i="4"/>
  <c r="CH17" i="4"/>
  <c r="CH7" i="4"/>
  <c r="CH15" i="4"/>
  <c r="CH16" i="4"/>
  <c r="CH21" i="4"/>
  <c r="CH13" i="4"/>
  <c r="CH20" i="4"/>
  <c r="CH22" i="4"/>
  <c r="CH18" i="4"/>
  <c r="CH4" i="4"/>
  <c r="BH5" i="4"/>
  <c r="BH11" i="4"/>
  <c r="BH10" i="4"/>
  <c r="BH12" i="4"/>
  <c r="BH6" i="4"/>
  <c r="BH23" i="4"/>
  <c r="BH19" i="4"/>
  <c r="BH9" i="4"/>
  <c r="BH17" i="4"/>
  <c r="BH7" i="4"/>
  <c r="BH15" i="4"/>
  <c r="BH16" i="4"/>
  <c r="BH21" i="4"/>
  <c r="BH13" i="4"/>
  <c r="BH20" i="4"/>
  <c r="BH22" i="4"/>
  <c r="BH18" i="4"/>
  <c r="BH4" i="4"/>
  <c r="BE6" i="8" l="1"/>
  <c r="BC6" i="8"/>
  <c r="BE5" i="8"/>
  <c r="BC5" i="8"/>
  <c r="BE4" i="8"/>
  <c r="BC4" i="8"/>
  <c r="BE9" i="7"/>
  <c r="BC9" i="7"/>
  <c r="BE7" i="7"/>
  <c r="BC7" i="7"/>
  <c r="BE8" i="7"/>
  <c r="BC8" i="7"/>
  <c r="BE5" i="7"/>
  <c r="BC5" i="7"/>
  <c r="BE6" i="7"/>
  <c r="BC6" i="7"/>
  <c r="BE4" i="7"/>
  <c r="BC4" i="7"/>
  <c r="BM15" i="2"/>
  <c r="BJ15" i="2"/>
  <c r="BI15" i="2"/>
  <c r="BM8" i="2"/>
  <c r="BJ8" i="2"/>
  <c r="BI8" i="2"/>
  <c r="BM10" i="2"/>
  <c r="BJ10" i="2"/>
  <c r="BI10" i="2"/>
  <c r="BM11" i="2"/>
  <c r="BJ11" i="2"/>
  <c r="BI11" i="2"/>
  <c r="BM9" i="2"/>
  <c r="BJ9" i="2"/>
  <c r="BI9" i="2"/>
  <c r="BM4" i="2"/>
  <c r="BJ4" i="2"/>
  <c r="BI4" i="2"/>
  <c r="BM5" i="2"/>
  <c r="BJ5" i="2"/>
  <c r="BI5" i="2"/>
  <c r="P10" i="2"/>
  <c r="BM13" i="4"/>
  <c r="P13" i="4" s="1"/>
  <c r="BJ13" i="4"/>
  <c r="BI13" i="4"/>
  <c r="BM16" i="4"/>
  <c r="BJ16" i="4"/>
  <c r="BI16" i="4"/>
  <c r="BM22" i="4"/>
  <c r="BJ22" i="4"/>
  <c r="BI22" i="4"/>
  <c r="BM20" i="4"/>
  <c r="BJ20" i="4"/>
  <c r="BI20" i="4"/>
  <c r="BM18" i="4"/>
  <c r="BJ18" i="4"/>
  <c r="BI18" i="4"/>
  <c r="BM21" i="4"/>
  <c r="P21" i="4" s="1"/>
  <c r="BJ21" i="4"/>
  <c r="BI21" i="4"/>
  <c r="BM7" i="4"/>
  <c r="BJ7" i="4"/>
  <c r="BI7" i="4"/>
  <c r="BM15" i="4"/>
  <c r="BJ15" i="4"/>
  <c r="BI15" i="4"/>
  <c r="BM9" i="4"/>
  <c r="P9" i="4" s="1"/>
  <c r="BJ9" i="4"/>
  <c r="BI9" i="4"/>
  <c r="BM17" i="4"/>
  <c r="BJ17" i="4"/>
  <c r="BI17" i="4"/>
  <c r="BM23" i="4"/>
  <c r="BJ23" i="4"/>
  <c r="BI23" i="4"/>
  <c r="BM6" i="4"/>
  <c r="BJ6" i="4"/>
  <c r="BI6" i="4"/>
  <c r="BM12" i="4"/>
  <c r="BJ12" i="4"/>
  <c r="BI12" i="4"/>
  <c r="BM19" i="4"/>
  <c r="P19" i="4" s="1"/>
  <c r="BJ19" i="4"/>
  <c r="BI19" i="4"/>
  <c r="BM10" i="4"/>
  <c r="BJ10" i="4"/>
  <c r="BI10" i="4"/>
  <c r="BM11" i="4"/>
  <c r="BJ11" i="4"/>
  <c r="BI11" i="4"/>
  <c r="BJ5" i="4"/>
  <c r="BI5" i="4"/>
  <c r="BM5" i="4"/>
  <c r="P5" i="4" s="1"/>
  <c r="BM4" i="4"/>
  <c r="BJ4" i="4"/>
  <c r="BI4" i="4"/>
  <c r="BK17" i="4" l="1"/>
  <c r="BN17" i="4" s="1"/>
  <c r="BK4" i="4"/>
  <c r="BN4" i="4" s="1"/>
  <c r="BK16" i="4"/>
  <c r="BN16" i="4" s="1"/>
  <c r="P15" i="2"/>
  <c r="Q15" i="2" s="1"/>
  <c r="BK11" i="2"/>
  <c r="BN11" i="2" s="1"/>
  <c r="BK6" i="4"/>
  <c r="BN6" i="4" s="1"/>
  <c r="BK4" i="2"/>
  <c r="BN4" i="2" s="1"/>
  <c r="P10" i="4"/>
  <c r="Q10" i="4" s="1"/>
  <c r="P7" i="4"/>
  <c r="Q7" i="4" s="1"/>
  <c r="P6" i="4"/>
  <c r="Q6" i="4" s="1"/>
  <c r="P20" i="4"/>
  <c r="Q20" i="4" s="1"/>
  <c r="P4" i="2"/>
  <c r="Q4" i="2" s="1"/>
  <c r="BK19" i="4"/>
  <c r="BN19" i="4" s="1"/>
  <c r="BK15" i="2"/>
  <c r="BN15" i="2" s="1"/>
  <c r="P11" i="2"/>
  <c r="Q11" i="2" s="1"/>
  <c r="P9" i="2"/>
  <c r="Q9" i="2" s="1"/>
  <c r="P8" i="2"/>
  <c r="Q8" i="2" s="1"/>
  <c r="P5" i="2"/>
  <c r="Q5" i="2" s="1"/>
  <c r="BK21" i="4"/>
  <c r="BN21" i="4" s="1"/>
  <c r="BK20" i="4"/>
  <c r="BN20" i="4" s="1"/>
  <c r="L6" i="8"/>
  <c r="M6" i="8" s="1"/>
  <c r="L5" i="8"/>
  <c r="M5" i="8" s="1"/>
  <c r="L6" i="7"/>
  <c r="M6" i="7" s="1"/>
  <c r="L7" i="7"/>
  <c r="M7" i="7" s="1"/>
  <c r="L4" i="7"/>
  <c r="M4" i="7" s="1"/>
  <c r="BF7" i="7"/>
  <c r="P11" i="4"/>
  <c r="Q11" i="4" s="1"/>
  <c r="P12" i="4"/>
  <c r="Q12" i="4" s="1"/>
  <c r="P18" i="4"/>
  <c r="Q18" i="4" s="1"/>
  <c r="P23" i="4"/>
  <c r="Q23" i="4" s="1"/>
  <c r="P16" i="4"/>
  <c r="Q16" i="4" s="1"/>
  <c r="P22" i="4"/>
  <c r="Q22" i="4" s="1"/>
  <c r="P15" i="4"/>
  <c r="Q15" i="4" s="1"/>
  <c r="P4" i="4"/>
  <c r="Q4" i="4" s="1"/>
  <c r="BK11" i="4"/>
  <c r="BN11" i="4" s="1"/>
  <c r="BK15" i="4"/>
  <c r="BN15" i="4" s="1"/>
  <c r="BK5" i="4"/>
  <c r="BN5" i="4" s="1"/>
  <c r="L9" i="7"/>
  <c r="M9" i="7" s="1"/>
  <c r="L5" i="7"/>
  <c r="M5" i="7" s="1"/>
  <c r="J7" i="7"/>
  <c r="BF9" i="7"/>
  <c r="BK12" i="4"/>
  <c r="BN12" i="4" s="1"/>
  <c r="BK9" i="4"/>
  <c r="BN9" i="4" s="1"/>
  <c r="BK18" i="4"/>
  <c r="BN18" i="4" s="1"/>
  <c r="BK13" i="4"/>
  <c r="BN13" i="4" s="1"/>
  <c r="L4" i="8"/>
  <c r="M4" i="8" s="1"/>
  <c r="BF5" i="8"/>
  <c r="BF6" i="8"/>
  <c r="L8" i="7"/>
  <c r="M8" i="7" s="1"/>
  <c r="BF4" i="7"/>
  <c r="BK9" i="2"/>
  <c r="BN9" i="2" s="1"/>
  <c r="BK8" i="2"/>
  <c r="BN8" i="2" s="1"/>
  <c r="Q10" i="2"/>
  <c r="P17" i="4"/>
  <c r="Q17" i="4" s="1"/>
  <c r="Q21" i="4"/>
  <c r="Q19" i="4"/>
  <c r="Q5" i="4"/>
  <c r="Q9" i="4"/>
  <c r="Q13" i="4"/>
  <c r="J17" i="4"/>
  <c r="L17" i="4" s="1"/>
  <c r="BF4" i="8"/>
  <c r="BF6" i="7"/>
  <c r="BF8" i="7"/>
  <c r="BK5" i="2"/>
  <c r="BN5" i="2" s="1"/>
  <c r="BK10" i="2"/>
  <c r="BN10" i="2" s="1"/>
  <c r="BK10" i="4"/>
  <c r="BN10" i="4" s="1"/>
  <c r="BK23" i="4"/>
  <c r="BN23" i="4" s="1"/>
  <c r="BK7" i="4"/>
  <c r="BN7" i="4" s="1"/>
  <c r="BK22" i="4"/>
  <c r="BN22" i="4" s="1"/>
  <c r="J4" i="2" l="1"/>
  <c r="K4" i="2" s="1"/>
  <c r="J16" i="4"/>
  <c r="N16" i="4" s="1"/>
  <c r="J11" i="2"/>
  <c r="N11" i="2" s="1"/>
  <c r="J4" i="4"/>
  <c r="N4" i="4" s="1"/>
  <c r="J6" i="4"/>
  <c r="K6" i="4" s="1"/>
  <c r="J15" i="2"/>
  <c r="K15" i="2" s="1"/>
  <c r="J19" i="4"/>
  <c r="N19" i="4" s="1"/>
  <c r="J20" i="4"/>
  <c r="L20" i="4" s="1"/>
  <c r="J21" i="4"/>
  <c r="L21" i="4" s="1"/>
  <c r="N17" i="4"/>
  <c r="J11" i="4"/>
  <c r="K11" i="4" s="1"/>
  <c r="J5" i="4"/>
  <c r="K5" i="4" s="1"/>
  <c r="J13" i="4"/>
  <c r="L13" i="4" s="1"/>
  <c r="K7" i="7"/>
  <c r="BJ4" i="6"/>
  <c r="BJ5" i="6"/>
  <c r="BJ9" i="6"/>
  <c r="BJ8" i="6"/>
  <c r="BJ7" i="6"/>
  <c r="BJ12" i="6"/>
  <c r="BJ11" i="6"/>
  <c r="BJ10" i="6"/>
  <c r="BJ6" i="6"/>
  <c r="J6" i="8"/>
  <c r="K6" i="8" s="1"/>
  <c r="J5" i="7"/>
  <c r="BF5" i="7"/>
  <c r="J15" i="4"/>
  <c r="K15" i="4" s="1"/>
  <c r="J9" i="7"/>
  <c r="J8" i="2"/>
  <c r="L8" i="2" s="1"/>
  <c r="M8" i="2" s="1"/>
  <c r="J9" i="4"/>
  <c r="N9" i="4" s="1"/>
  <c r="J12" i="4"/>
  <c r="N12" i="4" s="1"/>
  <c r="J18" i="4"/>
  <c r="N18" i="4" s="1"/>
  <c r="K17" i="4"/>
  <c r="J4" i="8"/>
  <c r="J5" i="8"/>
  <c r="J8" i="7"/>
  <c r="J4" i="7"/>
  <c r="J6" i="7"/>
  <c r="J9" i="2"/>
  <c r="J5" i="2"/>
  <c r="J10" i="2"/>
  <c r="J7" i="4"/>
  <c r="J22" i="4"/>
  <c r="J23" i="4"/>
  <c r="J10" i="4"/>
  <c r="N4" i="2" l="1"/>
  <c r="K11" i="2"/>
  <c r="O11" i="2" s="1"/>
  <c r="L11" i="2"/>
  <c r="M11" i="2" s="1"/>
  <c r="L4" i="2"/>
  <c r="M4" i="2" s="1"/>
  <c r="L16" i="4"/>
  <c r="K16" i="4"/>
  <c r="O16" i="4" s="1"/>
  <c r="L4" i="4"/>
  <c r="K4" i="4"/>
  <c r="O4" i="4" s="1"/>
  <c r="K13" i="4"/>
  <c r="M13" i="4" s="1"/>
  <c r="L15" i="2"/>
  <c r="N15" i="2"/>
  <c r="O15" i="2" s="1"/>
  <c r="N6" i="4"/>
  <c r="O6" i="4" s="1"/>
  <c r="L6" i="4"/>
  <c r="M6" i="4" s="1"/>
  <c r="N15" i="4"/>
  <c r="O15" i="4" s="1"/>
  <c r="L15" i="4"/>
  <c r="M15" i="4" s="1"/>
  <c r="N13" i="4"/>
  <c r="K19" i="4"/>
  <c r="L9" i="4"/>
  <c r="K9" i="4"/>
  <c r="O9" i="4" s="1"/>
  <c r="K20" i="4"/>
  <c r="M20" i="4" s="1"/>
  <c r="L19" i="4"/>
  <c r="N20" i="4"/>
  <c r="N11" i="4"/>
  <c r="O11" i="4" s="1"/>
  <c r="K21" i="4"/>
  <c r="M21" i="4" s="1"/>
  <c r="N5" i="4"/>
  <c r="O5" i="4" s="1"/>
  <c r="L11" i="4"/>
  <c r="M11" i="4" s="1"/>
  <c r="N21" i="4"/>
  <c r="K12" i="4"/>
  <c r="O12" i="4" s="1"/>
  <c r="L5" i="4"/>
  <c r="M5" i="4" s="1"/>
  <c r="O17" i="4"/>
  <c r="K9" i="7"/>
  <c r="K5" i="7"/>
  <c r="M17" i="4"/>
  <c r="L18" i="4"/>
  <c r="K18" i="4"/>
  <c r="O18" i="4" s="1"/>
  <c r="L12" i="4"/>
  <c r="O4" i="2"/>
  <c r="K8" i="2"/>
  <c r="N8" i="2"/>
  <c r="K5" i="8"/>
  <c r="K4" i="8"/>
  <c r="K4" i="7"/>
  <c r="K8" i="7"/>
  <c r="K6" i="7"/>
  <c r="K9" i="2"/>
  <c r="N9" i="2"/>
  <c r="L9" i="2"/>
  <c r="M9" i="2" s="1"/>
  <c r="K10" i="2"/>
  <c r="L10" i="2"/>
  <c r="N10" i="2"/>
  <c r="L5" i="2"/>
  <c r="K5" i="2"/>
  <c r="N5" i="2"/>
  <c r="M15" i="2"/>
  <c r="O19" i="4"/>
  <c r="L22" i="4"/>
  <c r="K22" i="4"/>
  <c r="N22" i="4"/>
  <c r="K7" i="4"/>
  <c r="L7" i="4"/>
  <c r="N7" i="4"/>
  <c r="L10" i="4"/>
  <c r="N10" i="4"/>
  <c r="K10" i="4"/>
  <c r="L23" i="4"/>
  <c r="K23" i="4"/>
  <c r="N23" i="4"/>
  <c r="M16" i="4" l="1"/>
  <c r="M12" i="4"/>
  <c r="O13" i="4"/>
  <c r="M4" i="4"/>
  <c r="M18" i="4"/>
  <c r="O20" i="4"/>
  <c r="M19" i="4"/>
  <c r="M9" i="4"/>
  <c r="O21" i="4"/>
  <c r="O8" i="2"/>
  <c r="O9" i="2"/>
  <c r="M23" i="4"/>
  <c r="O5" i="2"/>
  <c r="O10" i="2"/>
  <c r="M10" i="2"/>
  <c r="M5" i="2"/>
  <c r="M10" i="4"/>
  <c r="M7" i="4"/>
  <c r="O23" i="4"/>
  <c r="M22" i="4"/>
  <c r="O10" i="4"/>
  <c r="O7" i="4"/>
  <c r="O22" i="4"/>
  <c r="EX23" i="4" l="1"/>
  <c r="FW4" i="4"/>
  <c r="FT4" i="4"/>
  <c r="CJ4" i="4"/>
  <c r="I8" i="6" l="1"/>
  <c r="BI8" i="6" l="1"/>
  <c r="N8" i="6" l="1"/>
  <c r="P8" i="6" s="1"/>
  <c r="O8" i="6" l="1"/>
  <c r="E8" i="6"/>
  <c r="CI5" i="4"/>
  <c r="CJ5" i="4"/>
  <c r="CM5" i="4"/>
  <c r="DE5" i="4"/>
  <c r="DF5" i="4"/>
  <c r="DI5" i="4"/>
  <c r="EA5" i="4"/>
  <c r="EB5" i="4"/>
  <c r="EE5" i="4"/>
  <c r="EW5" i="4"/>
  <c r="EX5" i="4"/>
  <c r="FA5" i="4"/>
  <c r="FS5" i="4"/>
  <c r="FT5" i="4"/>
  <c r="FW5" i="4"/>
  <c r="GO5" i="4"/>
  <c r="GP5" i="4"/>
  <c r="GS5" i="4"/>
  <c r="HK5" i="4"/>
  <c r="HL5" i="4"/>
  <c r="HO5" i="4"/>
  <c r="IG5" i="4"/>
  <c r="IH5" i="4"/>
  <c r="IK5" i="4"/>
  <c r="JC5" i="4"/>
  <c r="JD5" i="4"/>
  <c r="JG5" i="4"/>
  <c r="JY5" i="4"/>
  <c r="JZ5" i="4"/>
  <c r="KC5" i="4"/>
  <c r="KU5" i="4"/>
  <c r="KV5" i="4"/>
  <c r="KY5" i="4"/>
  <c r="LQ5" i="4"/>
  <c r="LR5" i="4"/>
  <c r="LU5" i="4"/>
  <c r="BO5" i="4" l="1"/>
  <c r="BR5" i="4"/>
  <c r="BP5" i="4"/>
  <c r="KA5" i="4"/>
  <c r="KD5" i="4" s="1"/>
  <c r="GQ5" i="4"/>
  <c r="GT5" i="4" s="1"/>
  <c r="JE5" i="4"/>
  <c r="JH5" i="4" s="1"/>
  <c r="HM5" i="4"/>
  <c r="HP5" i="4" s="1"/>
  <c r="KW5" i="4"/>
  <c r="KZ5" i="4" s="1"/>
  <c r="EC5" i="4"/>
  <c r="EF5" i="4" s="1"/>
  <c r="EY5" i="4"/>
  <c r="FB5" i="4" s="1"/>
  <c r="DG5" i="4"/>
  <c r="DJ5" i="4" s="1"/>
  <c r="II5" i="4"/>
  <c r="IL5" i="4" s="1"/>
  <c r="CK5" i="4"/>
  <c r="LS5" i="4"/>
  <c r="LV5" i="4" s="1"/>
  <c r="FU5" i="4"/>
  <c r="FX5" i="4" s="1"/>
  <c r="CN5" i="4" l="1"/>
  <c r="I5" i="4"/>
  <c r="BQ5" i="4"/>
  <c r="R5" i="4" l="1"/>
  <c r="T5" i="4" s="1"/>
  <c r="BY8" i="7"/>
  <c r="CA8" i="7"/>
  <c r="CS8" i="7"/>
  <c r="CU8" i="7"/>
  <c r="DM8" i="7"/>
  <c r="DO8" i="7"/>
  <c r="EG8" i="7"/>
  <c r="EI8" i="7"/>
  <c r="FA8" i="7"/>
  <c r="FC8" i="7"/>
  <c r="FU8" i="7"/>
  <c r="FW8" i="7"/>
  <c r="GO8" i="7"/>
  <c r="GQ8" i="7"/>
  <c r="HI8" i="7"/>
  <c r="HK8" i="7"/>
  <c r="IC8" i="7"/>
  <c r="IE8" i="7"/>
  <c r="IW8" i="7"/>
  <c r="IY8" i="7"/>
  <c r="JQ8" i="7"/>
  <c r="JS8" i="7"/>
  <c r="KK8" i="7"/>
  <c r="KM8" i="7"/>
  <c r="F8" i="7" l="1"/>
  <c r="G8" i="7"/>
  <c r="BG8" i="7"/>
  <c r="BH8" i="7"/>
  <c r="S5" i="4"/>
  <c r="E5" i="4"/>
  <c r="GR8" i="7"/>
  <c r="KN8" i="7"/>
  <c r="EJ8" i="7"/>
  <c r="IZ8" i="7"/>
  <c r="JT8" i="7"/>
  <c r="IF8" i="7"/>
  <c r="HL8" i="7"/>
  <c r="FX8" i="7"/>
  <c r="FD8" i="7"/>
  <c r="I8" i="7" l="1"/>
  <c r="A8" i="7"/>
  <c r="N8" i="7"/>
  <c r="CB8" i="7"/>
  <c r="CV8" i="7" s="1"/>
  <c r="DP8" i="7" s="1"/>
  <c r="P8" i="7" l="1"/>
  <c r="O8" i="7"/>
  <c r="E8" i="7"/>
  <c r="KM5" i="7" l="1"/>
  <c r="KK5" i="7"/>
  <c r="JS5" i="7"/>
  <c r="JQ5" i="7"/>
  <c r="IY5" i="7"/>
  <c r="IW5" i="7"/>
  <c r="IE5" i="7"/>
  <c r="IC5" i="7"/>
  <c r="HK5" i="7"/>
  <c r="HI5" i="7"/>
  <c r="GQ5" i="7"/>
  <c r="GO5" i="7"/>
  <c r="FW5" i="7"/>
  <c r="FU5" i="7"/>
  <c r="FC5" i="7"/>
  <c r="FA5" i="7"/>
  <c r="EI5" i="7"/>
  <c r="EG5" i="7"/>
  <c r="DO5" i="7"/>
  <c r="DM5" i="7"/>
  <c r="CU5" i="7"/>
  <c r="CS5" i="7"/>
  <c r="CA5" i="7"/>
  <c r="BY5" i="7"/>
  <c r="KM7" i="7"/>
  <c r="KK7" i="7"/>
  <c r="JS7" i="7"/>
  <c r="JQ7" i="7"/>
  <c r="IY7" i="7"/>
  <c r="IW7" i="7"/>
  <c r="IE7" i="7"/>
  <c r="IC7" i="7"/>
  <c r="HK7" i="7"/>
  <c r="HI7" i="7"/>
  <c r="GQ7" i="7"/>
  <c r="GO7" i="7"/>
  <c r="FW7" i="7"/>
  <c r="FU7" i="7"/>
  <c r="FC7" i="7"/>
  <c r="FA7" i="7"/>
  <c r="EI7" i="7"/>
  <c r="EG7" i="7"/>
  <c r="DO7" i="7"/>
  <c r="DM7" i="7"/>
  <c r="CU7" i="7"/>
  <c r="CS7" i="7"/>
  <c r="CA7" i="7"/>
  <c r="BY7" i="7"/>
  <c r="KM4" i="8"/>
  <c r="KK4" i="8"/>
  <c r="JS4" i="8"/>
  <c r="JQ4" i="8"/>
  <c r="IY4" i="8"/>
  <c r="IW4" i="8"/>
  <c r="IE4" i="8"/>
  <c r="IC4" i="8"/>
  <c r="HK4" i="8"/>
  <c r="HI4" i="8"/>
  <c r="GQ4" i="8"/>
  <c r="GO4" i="8"/>
  <c r="FW4" i="8"/>
  <c r="FU4" i="8"/>
  <c r="FC4" i="8"/>
  <c r="FA4" i="8"/>
  <c r="EI4" i="8"/>
  <c r="EG4" i="8"/>
  <c r="DO4" i="8"/>
  <c r="DM4" i="8"/>
  <c r="CU4" i="8"/>
  <c r="CS4" i="8"/>
  <c r="CA4" i="8"/>
  <c r="BY4" i="8"/>
  <c r="G4" i="8" l="1"/>
  <c r="F7" i="7"/>
  <c r="G7" i="7"/>
  <c r="G5" i="7"/>
  <c r="F5" i="7"/>
  <c r="F4" i="8"/>
  <c r="BG7" i="7"/>
  <c r="BG5" i="7"/>
  <c r="BG4" i="8"/>
  <c r="BH4" i="8"/>
  <c r="BH7" i="7"/>
  <c r="BH5" i="7"/>
  <c r="EJ7" i="7"/>
  <c r="IZ5" i="7"/>
  <c r="JT4" i="8"/>
  <c r="GR4" i="8"/>
  <c r="IF5" i="7"/>
  <c r="KN7" i="7"/>
  <c r="FD5" i="7"/>
  <c r="CV4" i="8"/>
  <c r="IZ4" i="8"/>
  <c r="IF7" i="7"/>
  <c r="JT7" i="7"/>
  <c r="EJ5" i="7"/>
  <c r="KN5" i="7"/>
  <c r="FD4" i="8"/>
  <c r="FX7" i="7"/>
  <c r="FX4" i="8"/>
  <c r="DP4" i="8"/>
  <c r="GR5" i="7"/>
  <c r="JT5" i="7"/>
  <c r="IF4" i="8"/>
  <c r="EJ4" i="8"/>
  <c r="HL4" i="8"/>
  <c r="KN4" i="8"/>
  <c r="FD7" i="7"/>
  <c r="HL7" i="7"/>
  <c r="HL5" i="7"/>
  <c r="GR7" i="7"/>
  <c r="IZ7" i="7"/>
  <c r="FX5" i="7"/>
  <c r="LU23" i="4"/>
  <c r="LR23" i="4"/>
  <c r="LQ23" i="4"/>
  <c r="KY23" i="4"/>
  <c r="KV23" i="4"/>
  <c r="KU23" i="4"/>
  <c r="KC23" i="4"/>
  <c r="JZ23" i="4"/>
  <c r="JY23" i="4"/>
  <c r="JG23" i="4"/>
  <c r="JD23" i="4"/>
  <c r="JC23" i="4"/>
  <c r="IK23" i="4"/>
  <c r="IH23" i="4"/>
  <c r="IG23" i="4"/>
  <c r="HO23" i="4"/>
  <c r="HL23" i="4"/>
  <c r="HK23" i="4"/>
  <c r="GS23" i="4"/>
  <c r="GP23" i="4"/>
  <c r="GO23" i="4"/>
  <c r="FW23" i="4"/>
  <c r="FT23" i="4"/>
  <c r="FS23" i="4"/>
  <c r="FA23" i="4"/>
  <c r="EW23" i="4"/>
  <c r="EY23" i="4" s="1"/>
  <c r="EE23" i="4"/>
  <c r="EB23" i="4"/>
  <c r="EA23" i="4"/>
  <c r="DI23" i="4"/>
  <c r="DF23" i="4"/>
  <c r="DE23" i="4"/>
  <c r="CM23" i="4"/>
  <c r="CJ23" i="4"/>
  <c r="CI23" i="4"/>
  <c r="LU7" i="4"/>
  <c r="LR7" i="4"/>
  <c r="LQ7" i="4"/>
  <c r="KY7" i="4"/>
  <c r="KV7" i="4"/>
  <c r="KU7" i="4"/>
  <c r="KC7" i="4"/>
  <c r="JZ7" i="4"/>
  <c r="JY7" i="4"/>
  <c r="JG7" i="4"/>
  <c r="JD7" i="4"/>
  <c r="JC7" i="4"/>
  <c r="IK7" i="4"/>
  <c r="IH7" i="4"/>
  <c r="IG7" i="4"/>
  <c r="HO7" i="4"/>
  <c r="HL7" i="4"/>
  <c r="HK7" i="4"/>
  <c r="GS7" i="4"/>
  <c r="GP7" i="4"/>
  <c r="GO7" i="4"/>
  <c r="FW7" i="4"/>
  <c r="FT7" i="4"/>
  <c r="FS7" i="4"/>
  <c r="FA7" i="4"/>
  <c r="EX7" i="4"/>
  <c r="EW7" i="4"/>
  <c r="EE7" i="4"/>
  <c r="EB7" i="4"/>
  <c r="EA7" i="4"/>
  <c r="DI7" i="4"/>
  <c r="DF7" i="4"/>
  <c r="DE7" i="4"/>
  <c r="CM7" i="4"/>
  <c r="CJ7" i="4"/>
  <c r="CI7" i="4"/>
  <c r="LU20" i="4"/>
  <c r="LR20" i="4"/>
  <c r="LQ20" i="4"/>
  <c r="KY20" i="4"/>
  <c r="KV20" i="4"/>
  <c r="KU20" i="4"/>
  <c r="KC20" i="4"/>
  <c r="JZ20" i="4"/>
  <c r="JY20" i="4"/>
  <c r="JG20" i="4"/>
  <c r="JD20" i="4"/>
  <c r="JC20" i="4"/>
  <c r="IK20" i="4"/>
  <c r="IH20" i="4"/>
  <c r="IG20" i="4"/>
  <c r="HO20" i="4"/>
  <c r="HL20" i="4"/>
  <c r="HK20" i="4"/>
  <c r="GS20" i="4"/>
  <c r="GP20" i="4"/>
  <c r="GO20" i="4"/>
  <c r="FW20" i="4"/>
  <c r="FT20" i="4"/>
  <c r="FS20" i="4"/>
  <c r="FA20" i="4"/>
  <c r="EX20" i="4"/>
  <c r="EW20" i="4"/>
  <c r="EE20" i="4"/>
  <c r="EB20" i="4"/>
  <c r="EA20" i="4"/>
  <c r="DI20" i="4"/>
  <c r="DF20" i="4"/>
  <c r="DE20" i="4"/>
  <c r="CM20" i="4"/>
  <c r="CJ20" i="4"/>
  <c r="CI20" i="4"/>
  <c r="LU18" i="4"/>
  <c r="LR18" i="4"/>
  <c r="LQ18" i="4"/>
  <c r="KY18" i="4"/>
  <c r="KV18" i="4"/>
  <c r="KU18" i="4"/>
  <c r="KC18" i="4"/>
  <c r="JZ18" i="4"/>
  <c r="JY18" i="4"/>
  <c r="JG18" i="4"/>
  <c r="JD18" i="4"/>
  <c r="JC18" i="4"/>
  <c r="IK18" i="4"/>
  <c r="IH18" i="4"/>
  <c r="IG18" i="4"/>
  <c r="HO18" i="4"/>
  <c r="HL18" i="4"/>
  <c r="HK18" i="4"/>
  <c r="GS18" i="4"/>
  <c r="GP18" i="4"/>
  <c r="GO18" i="4"/>
  <c r="FW18" i="4"/>
  <c r="FT18" i="4"/>
  <c r="FS18" i="4"/>
  <c r="FA18" i="4"/>
  <c r="EX18" i="4"/>
  <c r="EW18" i="4"/>
  <c r="EE18" i="4"/>
  <c r="EB18" i="4"/>
  <c r="EA18" i="4"/>
  <c r="DI18" i="4"/>
  <c r="DF18" i="4"/>
  <c r="DE18" i="4"/>
  <c r="CM18" i="4"/>
  <c r="CJ18" i="4"/>
  <c r="CI18" i="4"/>
  <c r="LU22" i="4"/>
  <c r="LR22" i="4"/>
  <c r="LQ22" i="4"/>
  <c r="KY22" i="4"/>
  <c r="KV22" i="4"/>
  <c r="KU22" i="4"/>
  <c r="KC22" i="4"/>
  <c r="JZ22" i="4"/>
  <c r="JY22" i="4"/>
  <c r="JG22" i="4"/>
  <c r="JD22" i="4"/>
  <c r="JC22" i="4"/>
  <c r="IK22" i="4"/>
  <c r="IH22" i="4"/>
  <c r="IG22" i="4"/>
  <c r="HO22" i="4"/>
  <c r="HL22" i="4"/>
  <c r="HK22" i="4"/>
  <c r="GS22" i="4"/>
  <c r="GP22" i="4"/>
  <c r="GO22" i="4"/>
  <c r="FW22" i="4"/>
  <c r="FT22" i="4"/>
  <c r="FS22" i="4"/>
  <c r="FA22" i="4"/>
  <c r="EX22" i="4"/>
  <c r="EW22" i="4"/>
  <c r="EE22" i="4"/>
  <c r="EB22" i="4"/>
  <c r="EA22" i="4"/>
  <c r="DI22" i="4"/>
  <c r="DF22" i="4"/>
  <c r="DE22" i="4"/>
  <c r="CM22" i="4"/>
  <c r="CJ22" i="4"/>
  <c r="CI22" i="4"/>
  <c r="I4" i="8" l="1"/>
  <c r="I5" i="7"/>
  <c r="I7" i="7"/>
  <c r="A7" i="7"/>
  <c r="N7" i="7"/>
  <c r="P7" i="7" s="1"/>
  <c r="BO18" i="4"/>
  <c r="BO7" i="4"/>
  <c r="CB7" i="7"/>
  <c r="CV7" i="7" s="1"/>
  <c r="DP7" i="7" s="1"/>
  <c r="CB5" i="7"/>
  <c r="CV5" i="7" s="1"/>
  <c r="DP5" i="7" s="1"/>
  <c r="CB4" i="8"/>
  <c r="BP7" i="4"/>
  <c r="BO20" i="4"/>
  <c r="BP22" i="4"/>
  <c r="BP20" i="4"/>
  <c r="BP23" i="4"/>
  <c r="BP18" i="4"/>
  <c r="BR18" i="4"/>
  <c r="BR20" i="4"/>
  <c r="BR7" i="4"/>
  <c r="BO22" i="4"/>
  <c r="BR22" i="4"/>
  <c r="N5" i="7"/>
  <c r="BO23" i="4"/>
  <c r="BR23" i="4"/>
  <c r="DG22" i="4"/>
  <c r="DJ22" i="4" s="1"/>
  <c r="EY22" i="4"/>
  <c r="FB22" i="4" s="1"/>
  <c r="GQ22" i="4"/>
  <c r="GT22" i="4" s="1"/>
  <c r="II22" i="4"/>
  <c r="IL22" i="4" s="1"/>
  <c r="KA22" i="4"/>
  <c r="KD22" i="4" s="1"/>
  <c r="LS22" i="4"/>
  <c r="LV22" i="4" s="1"/>
  <c r="CK18" i="4"/>
  <c r="EC18" i="4"/>
  <c r="EF18" i="4" s="1"/>
  <c r="FU18" i="4"/>
  <c r="FX18" i="4" s="1"/>
  <c r="HM18" i="4"/>
  <c r="HP18" i="4" s="1"/>
  <c r="JE18" i="4"/>
  <c r="JH18" i="4" s="1"/>
  <c r="KW18" i="4"/>
  <c r="KZ18" i="4" s="1"/>
  <c r="EY20" i="4"/>
  <c r="FB20" i="4" s="1"/>
  <c r="KW7" i="4"/>
  <c r="KZ7" i="4" s="1"/>
  <c r="FB23" i="4"/>
  <c r="II23" i="4"/>
  <c r="IL23" i="4" s="1"/>
  <c r="LS23" i="4"/>
  <c r="LV23" i="4" s="1"/>
  <c r="II20" i="4"/>
  <c r="IL20" i="4" s="1"/>
  <c r="LS20" i="4"/>
  <c r="LV20" i="4" s="1"/>
  <c r="CK7" i="4"/>
  <c r="EC7" i="4"/>
  <c r="EF7" i="4" s="1"/>
  <c r="FU7" i="4"/>
  <c r="FX7" i="4" s="1"/>
  <c r="HM7" i="4"/>
  <c r="HP7" i="4" s="1"/>
  <c r="JE7" i="4"/>
  <c r="JH7" i="4" s="1"/>
  <c r="I9" i="6"/>
  <c r="CK22" i="4"/>
  <c r="EC22" i="4"/>
  <c r="EF22" i="4" s="1"/>
  <c r="FU22" i="4"/>
  <c r="FX22" i="4" s="1"/>
  <c r="HM22" i="4"/>
  <c r="HP22" i="4" s="1"/>
  <c r="EY18" i="4"/>
  <c r="FB18" i="4" s="1"/>
  <c r="II18" i="4"/>
  <c r="IL18" i="4" s="1"/>
  <c r="LS18" i="4"/>
  <c r="LV18" i="4" s="1"/>
  <c r="CK20" i="4"/>
  <c r="EC20" i="4"/>
  <c r="EF20" i="4" s="1"/>
  <c r="FU20" i="4"/>
  <c r="FX20" i="4" s="1"/>
  <c r="HM20" i="4"/>
  <c r="HP20" i="4" s="1"/>
  <c r="JE20" i="4"/>
  <c r="JH20" i="4" s="1"/>
  <c r="KW20" i="4"/>
  <c r="KZ20" i="4" s="1"/>
  <c r="EY7" i="4"/>
  <c r="FB7" i="4" s="1"/>
  <c r="II7" i="4"/>
  <c r="IL7" i="4" s="1"/>
  <c r="LS7" i="4"/>
  <c r="LV7" i="4" s="1"/>
  <c r="CK23" i="4"/>
  <c r="EC23" i="4"/>
  <c r="EF23" i="4" s="1"/>
  <c r="FU23" i="4"/>
  <c r="FX23" i="4" s="1"/>
  <c r="HM23" i="4"/>
  <c r="HP23" i="4" s="1"/>
  <c r="JE23" i="4"/>
  <c r="JH23" i="4" s="1"/>
  <c r="KW23" i="4"/>
  <c r="KZ23" i="4" s="1"/>
  <c r="KW22" i="4"/>
  <c r="KZ22" i="4" s="1"/>
  <c r="DG18" i="4"/>
  <c r="DJ18" i="4" s="1"/>
  <c r="GQ7" i="4"/>
  <c r="GT7" i="4" s="1"/>
  <c r="KA18" i="4"/>
  <c r="KD18" i="4" s="1"/>
  <c r="GQ18" i="4"/>
  <c r="GT18" i="4" s="1"/>
  <c r="KA7" i="4"/>
  <c r="KD7" i="4" s="1"/>
  <c r="DG7" i="4"/>
  <c r="DJ7" i="4" s="1"/>
  <c r="DG23" i="4"/>
  <c r="DJ23" i="4" s="1"/>
  <c r="GQ23" i="4"/>
  <c r="GT23" i="4" s="1"/>
  <c r="KA23" i="4"/>
  <c r="KD23" i="4" s="1"/>
  <c r="JE22" i="4"/>
  <c r="JH22" i="4" s="1"/>
  <c r="DG20" i="4"/>
  <c r="DJ20" i="4" s="1"/>
  <c r="GQ20" i="4"/>
  <c r="GT20" i="4" s="1"/>
  <c r="KA20" i="4"/>
  <c r="KD20" i="4" s="1"/>
  <c r="E7" i="7" l="1"/>
  <c r="O7" i="7"/>
  <c r="BI9" i="6"/>
  <c r="P5" i="7"/>
  <c r="O5" i="7"/>
  <c r="E5" i="7"/>
  <c r="CN23" i="4"/>
  <c r="I23" i="4"/>
  <c r="BQ23" i="4"/>
  <c r="CN22" i="4"/>
  <c r="I22" i="4"/>
  <c r="BQ22" i="4"/>
  <c r="CN18" i="4"/>
  <c r="A18" i="4"/>
  <c r="BQ18" i="4"/>
  <c r="CN20" i="4"/>
  <c r="I20" i="4"/>
  <c r="BQ20" i="4"/>
  <c r="CN7" i="4"/>
  <c r="A7" i="4"/>
  <c r="BQ7" i="4"/>
  <c r="A20" i="4" l="1"/>
  <c r="A23" i="4"/>
  <c r="A22" i="4"/>
  <c r="I18" i="4"/>
  <c r="I7" i="4"/>
  <c r="R18" i="4"/>
  <c r="T18" i="4" s="1"/>
  <c r="R20" i="4"/>
  <c r="T20" i="4" s="1"/>
  <c r="R22" i="4"/>
  <c r="T22" i="4" s="1"/>
  <c r="N9" i="6"/>
  <c r="P9" i="6" s="1"/>
  <c r="IW6" i="7"/>
  <c r="O9" i="6" l="1"/>
  <c r="S22" i="4"/>
  <c r="E22" i="4"/>
  <c r="S18" i="4"/>
  <c r="E18" i="4"/>
  <c r="S20" i="4"/>
  <c r="E20" i="4"/>
  <c r="N4" i="8"/>
  <c r="R7" i="4"/>
  <c r="T7" i="4" s="1"/>
  <c r="E9" i="6"/>
  <c r="GP11" i="2"/>
  <c r="KU9" i="4"/>
  <c r="KU6" i="4"/>
  <c r="KU19" i="4"/>
  <c r="KV19" i="4"/>
  <c r="JY6" i="4"/>
  <c r="JZ19" i="4"/>
  <c r="KU5" i="2"/>
  <c r="KV5" i="2"/>
  <c r="KV9" i="2"/>
  <c r="CI19" i="4"/>
  <c r="DE19" i="4"/>
  <c r="EA19" i="4"/>
  <c r="EW19" i="4"/>
  <c r="FS19" i="4"/>
  <c r="GO19" i="4"/>
  <c r="HK19" i="4"/>
  <c r="IG19" i="4"/>
  <c r="JC19" i="4"/>
  <c r="JY19" i="4"/>
  <c r="LQ19" i="4"/>
  <c r="CJ19" i="4"/>
  <c r="DF19" i="4"/>
  <c r="EB19" i="4"/>
  <c r="EX19" i="4"/>
  <c r="FT19" i="4"/>
  <c r="GP19" i="4"/>
  <c r="HL19" i="4"/>
  <c r="IH19" i="4"/>
  <c r="JD19" i="4"/>
  <c r="LR19" i="4"/>
  <c r="CM19" i="4"/>
  <c r="DI19" i="4"/>
  <c r="EE19" i="4"/>
  <c r="FA19" i="4"/>
  <c r="FW19" i="4"/>
  <c r="GS19" i="4"/>
  <c r="HO19" i="4"/>
  <c r="IK19" i="4"/>
  <c r="JG19" i="4"/>
  <c r="KC19" i="4"/>
  <c r="KY19" i="4"/>
  <c r="LU19" i="4"/>
  <c r="CI11" i="4"/>
  <c r="DE11" i="4"/>
  <c r="EA11" i="4"/>
  <c r="EW11" i="4"/>
  <c r="FS11" i="4"/>
  <c r="FU11" i="4" s="1"/>
  <c r="GO11" i="4"/>
  <c r="HK11" i="4"/>
  <c r="IG11" i="4"/>
  <c r="JC11" i="4"/>
  <c r="JY11" i="4"/>
  <c r="KU11" i="4"/>
  <c r="LQ11" i="4"/>
  <c r="CJ11" i="4"/>
  <c r="DF11" i="4"/>
  <c r="EB11" i="4"/>
  <c r="EX11" i="4"/>
  <c r="GP11" i="4"/>
  <c r="HL11" i="4"/>
  <c r="IH11" i="4"/>
  <c r="JD11" i="4"/>
  <c r="JZ11" i="4"/>
  <c r="KV11" i="4"/>
  <c r="LR11" i="4"/>
  <c r="CM11" i="4"/>
  <c r="DI11" i="4"/>
  <c r="EE11" i="4"/>
  <c r="FA11" i="4"/>
  <c r="FW11" i="4"/>
  <c r="GS11" i="4"/>
  <c r="HO11" i="4"/>
  <c r="IK11" i="4"/>
  <c r="JG11" i="4"/>
  <c r="KC11" i="4"/>
  <c r="KY11" i="4"/>
  <c r="LU11" i="4"/>
  <c r="CI9" i="4"/>
  <c r="DE9" i="4"/>
  <c r="EA9" i="4"/>
  <c r="EW9" i="4"/>
  <c r="FS9" i="4"/>
  <c r="GO9" i="4"/>
  <c r="HK9" i="4"/>
  <c r="IG9" i="4"/>
  <c r="JC9" i="4"/>
  <c r="JY9" i="4"/>
  <c r="LQ9" i="4"/>
  <c r="CJ9" i="4"/>
  <c r="DF9" i="4"/>
  <c r="EB9" i="4"/>
  <c r="EX9" i="4"/>
  <c r="FT9" i="4"/>
  <c r="GP9" i="4"/>
  <c r="HL9" i="4"/>
  <c r="IH9" i="4"/>
  <c r="JD9" i="4"/>
  <c r="JZ9" i="4"/>
  <c r="KV9" i="4"/>
  <c r="LR9" i="4"/>
  <c r="CM9" i="4"/>
  <c r="DI9" i="4"/>
  <c r="EE9" i="4"/>
  <c r="FA9" i="4"/>
  <c r="FW9" i="4"/>
  <c r="GS9" i="4"/>
  <c r="HO9" i="4"/>
  <c r="IK9" i="4"/>
  <c r="JG9" i="4"/>
  <c r="KC9" i="4"/>
  <c r="KY9" i="4"/>
  <c r="LU9" i="4"/>
  <c r="CI6" i="4"/>
  <c r="DE6" i="4"/>
  <c r="EA6" i="4"/>
  <c r="EW6" i="4"/>
  <c r="FS6" i="4"/>
  <c r="GO6" i="4"/>
  <c r="HK6" i="4"/>
  <c r="IG6" i="4"/>
  <c r="JC6" i="4"/>
  <c r="LQ6" i="4"/>
  <c r="CJ6" i="4"/>
  <c r="DF6" i="4"/>
  <c r="EB6" i="4"/>
  <c r="EX6" i="4"/>
  <c r="FT6" i="4"/>
  <c r="GP6" i="4"/>
  <c r="HL6" i="4"/>
  <c r="IH6" i="4"/>
  <c r="JD6" i="4"/>
  <c r="JZ6" i="4"/>
  <c r="KV6" i="4"/>
  <c r="LR6" i="4"/>
  <c r="CM6" i="4"/>
  <c r="DI6" i="4"/>
  <c r="EE6" i="4"/>
  <c r="FA6" i="4"/>
  <c r="FW6" i="4"/>
  <c r="GS6" i="4"/>
  <c r="HO6" i="4"/>
  <c r="IK6" i="4"/>
  <c r="JG6" i="4"/>
  <c r="KC6" i="4"/>
  <c r="KY6" i="4"/>
  <c r="LU6" i="4"/>
  <c r="CI10" i="4"/>
  <c r="DE10" i="4"/>
  <c r="EA10" i="4"/>
  <c r="EW10" i="4"/>
  <c r="FS10" i="4"/>
  <c r="GO10" i="4"/>
  <c r="HK10" i="4"/>
  <c r="IG10" i="4"/>
  <c r="JC10" i="4"/>
  <c r="JY10" i="4"/>
  <c r="KU10" i="4"/>
  <c r="LQ10" i="4"/>
  <c r="CJ10" i="4"/>
  <c r="DF10" i="4"/>
  <c r="EB10" i="4"/>
  <c r="EX10" i="4"/>
  <c r="FT10" i="4"/>
  <c r="GP10" i="4"/>
  <c r="HL10" i="4"/>
  <c r="IH10" i="4"/>
  <c r="JD10" i="4"/>
  <c r="JZ10" i="4"/>
  <c r="KV10" i="4"/>
  <c r="LR10" i="4"/>
  <c r="CM10" i="4"/>
  <c r="DI10" i="4"/>
  <c r="EE10" i="4"/>
  <c r="FA10" i="4"/>
  <c r="FW10" i="4"/>
  <c r="GS10" i="4"/>
  <c r="HO10" i="4"/>
  <c r="IK10" i="4"/>
  <c r="JG10" i="4"/>
  <c r="KC10" i="4"/>
  <c r="KY10" i="4"/>
  <c r="LU10" i="4"/>
  <c r="CI12" i="4"/>
  <c r="DE12" i="4"/>
  <c r="EA12" i="4"/>
  <c r="EW12" i="4"/>
  <c r="FS12" i="4"/>
  <c r="GO12" i="4"/>
  <c r="HK12" i="4"/>
  <c r="IG12" i="4"/>
  <c r="JC12" i="4"/>
  <c r="JY12" i="4"/>
  <c r="KU12" i="4"/>
  <c r="LQ12" i="4"/>
  <c r="CJ12" i="4"/>
  <c r="DF12" i="4"/>
  <c r="EB12" i="4"/>
  <c r="EX12" i="4"/>
  <c r="FT12" i="4"/>
  <c r="GP12" i="4"/>
  <c r="HL12" i="4"/>
  <c r="IH12" i="4"/>
  <c r="JD12" i="4"/>
  <c r="JZ12" i="4"/>
  <c r="KV12" i="4"/>
  <c r="LR12" i="4"/>
  <c r="CM12" i="4"/>
  <c r="DI12" i="4"/>
  <c r="EE12" i="4"/>
  <c r="FA12" i="4"/>
  <c r="FW12" i="4"/>
  <c r="GS12" i="4"/>
  <c r="HO12" i="4"/>
  <c r="IK12" i="4"/>
  <c r="JG12" i="4"/>
  <c r="KC12" i="4"/>
  <c r="KY12" i="4"/>
  <c r="LU12" i="4"/>
  <c r="CI17" i="4"/>
  <c r="DE17" i="4"/>
  <c r="EA17" i="4"/>
  <c r="EW17" i="4"/>
  <c r="FS17" i="4"/>
  <c r="GO17" i="4"/>
  <c r="HK17" i="4"/>
  <c r="IG17" i="4"/>
  <c r="JC17" i="4"/>
  <c r="JY17" i="4"/>
  <c r="KU17" i="4"/>
  <c r="LQ17" i="4"/>
  <c r="CJ17" i="4"/>
  <c r="DF17" i="4"/>
  <c r="EB17" i="4"/>
  <c r="EX17" i="4"/>
  <c r="FT17" i="4"/>
  <c r="GP17" i="4"/>
  <c r="HL17" i="4"/>
  <c r="IH17" i="4"/>
  <c r="JD17" i="4"/>
  <c r="JZ17" i="4"/>
  <c r="KV17" i="4"/>
  <c r="LR17" i="4"/>
  <c r="CM17" i="4"/>
  <c r="DI17" i="4"/>
  <c r="EE17" i="4"/>
  <c r="FA17" i="4"/>
  <c r="FW17" i="4"/>
  <c r="GS17" i="4"/>
  <c r="HO17" i="4"/>
  <c r="IK17" i="4"/>
  <c r="JG17" i="4"/>
  <c r="KC17" i="4"/>
  <c r="KY17" i="4"/>
  <c r="LU17" i="4"/>
  <c r="CI21" i="4"/>
  <c r="DE21" i="4"/>
  <c r="EA21" i="4"/>
  <c r="EW21" i="4"/>
  <c r="FS21" i="4"/>
  <c r="GO21" i="4"/>
  <c r="HK21" i="4"/>
  <c r="IG21" i="4"/>
  <c r="JC21" i="4"/>
  <c r="JY21" i="4"/>
  <c r="KU21" i="4"/>
  <c r="LQ21" i="4"/>
  <c r="CJ21" i="4"/>
  <c r="DF21" i="4"/>
  <c r="EB21" i="4"/>
  <c r="EX21" i="4"/>
  <c r="FT21" i="4"/>
  <c r="GP21" i="4"/>
  <c r="HL21" i="4"/>
  <c r="IH21" i="4"/>
  <c r="JD21" i="4"/>
  <c r="JZ21" i="4"/>
  <c r="KV21" i="4"/>
  <c r="LR21" i="4"/>
  <c r="CM21" i="4"/>
  <c r="DI21" i="4"/>
  <c r="EE21" i="4"/>
  <c r="FA21" i="4"/>
  <c r="FW21" i="4"/>
  <c r="GS21" i="4"/>
  <c r="HO21" i="4"/>
  <c r="IK21" i="4"/>
  <c r="JG21" i="4"/>
  <c r="KC21" i="4"/>
  <c r="KY21" i="4"/>
  <c r="LU21" i="4"/>
  <c r="CI16" i="4"/>
  <c r="DE16" i="4"/>
  <c r="EA16" i="4"/>
  <c r="EW16" i="4"/>
  <c r="FS16" i="4"/>
  <c r="GO16" i="4"/>
  <c r="HK16" i="4"/>
  <c r="IG16" i="4"/>
  <c r="JC16" i="4"/>
  <c r="JY16" i="4"/>
  <c r="KU16" i="4"/>
  <c r="LQ16" i="4"/>
  <c r="CJ16" i="4"/>
  <c r="DF16" i="4"/>
  <c r="EB16" i="4"/>
  <c r="EX16" i="4"/>
  <c r="FT16" i="4"/>
  <c r="GP16" i="4"/>
  <c r="HL16" i="4"/>
  <c r="IH16" i="4"/>
  <c r="JD16" i="4"/>
  <c r="JZ16" i="4"/>
  <c r="KV16" i="4"/>
  <c r="LR16" i="4"/>
  <c r="CM16" i="4"/>
  <c r="DI16" i="4"/>
  <c r="EE16" i="4"/>
  <c r="FA16" i="4"/>
  <c r="FW16" i="4"/>
  <c r="GS16" i="4"/>
  <c r="HO16" i="4"/>
  <c r="IK16" i="4"/>
  <c r="JG16" i="4"/>
  <c r="KC16" i="4"/>
  <c r="KY16" i="4"/>
  <c r="LU16" i="4"/>
  <c r="CI4" i="4"/>
  <c r="DE4" i="4"/>
  <c r="EA4" i="4"/>
  <c r="EW4" i="4"/>
  <c r="FS4" i="4"/>
  <c r="GO4" i="4"/>
  <c r="HK4" i="4"/>
  <c r="IG4" i="4"/>
  <c r="JC4" i="4"/>
  <c r="JY4" i="4"/>
  <c r="KU4" i="4"/>
  <c r="LQ4" i="4"/>
  <c r="DF4" i="4"/>
  <c r="EB4" i="4"/>
  <c r="EX4" i="4"/>
  <c r="GP4" i="4"/>
  <c r="HL4" i="4"/>
  <c r="IH4" i="4"/>
  <c r="JD4" i="4"/>
  <c r="JZ4" i="4"/>
  <c r="KV4" i="4"/>
  <c r="LR4" i="4"/>
  <c r="CM4" i="4"/>
  <c r="DI4" i="4"/>
  <c r="EE4" i="4"/>
  <c r="FA4" i="4"/>
  <c r="GS4" i="4"/>
  <c r="HO4" i="4"/>
  <c r="IK4" i="4"/>
  <c r="JG4" i="4"/>
  <c r="KC4" i="4"/>
  <c r="KY4" i="4"/>
  <c r="LU4" i="4"/>
  <c r="CI13" i="4"/>
  <c r="DE13" i="4"/>
  <c r="EA13" i="4"/>
  <c r="EW13" i="4"/>
  <c r="FS13" i="4"/>
  <c r="GO13" i="4"/>
  <c r="HK13" i="4"/>
  <c r="IG13" i="4"/>
  <c r="JC13" i="4"/>
  <c r="JY13" i="4"/>
  <c r="KU13" i="4"/>
  <c r="LQ13" i="4"/>
  <c r="CJ13" i="4"/>
  <c r="DF13" i="4"/>
  <c r="EB13" i="4"/>
  <c r="EX13" i="4"/>
  <c r="FT13" i="4"/>
  <c r="GP13" i="4"/>
  <c r="HL13" i="4"/>
  <c r="IH13" i="4"/>
  <c r="JD13" i="4"/>
  <c r="JZ13" i="4"/>
  <c r="KV13" i="4"/>
  <c r="LR13" i="4"/>
  <c r="CM13" i="4"/>
  <c r="DI13" i="4"/>
  <c r="EE13" i="4"/>
  <c r="FA13" i="4"/>
  <c r="FW13" i="4"/>
  <c r="GS13" i="4"/>
  <c r="HO13" i="4"/>
  <c r="IK13" i="4"/>
  <c r="JG13" i="4"/>
  <c r="KC13" i="4"/>
  <c r="KY13" i="4"/>
  <c r="LU13" i="4"/>
  <c r="CI15" i="4"/>
  <c r="DE15" i="4"/>
  <c r="EA15" i="4"/>
  <c r="EW15" i="4"/>
  <c r="FS15" i="4"/>
  <c r="GO15" i="4"/>
  <c r="HK15" i="4"/>
  <c r="IG15" i="4"/>
  <c r="JC15" i="4"/>
  <c r="JY15" i="4"/>
  <c r="KU15" i="4"/>
  <c r="LQ15" i="4"/>
  <c r="CJ15" i="4"/>
  <c r="DF15" i="4"/>
  <c r="EB15" i="4"/>
  <c r="EX15" i="4"/>
  <c r="FT15" i="4"/>
  <c r="GP15" i="4"/>
  <c r="HL15" i="4"/>
  <c r="IH15" i="4"/>
  <c r="JD15" i="4"/>
  <c r="JZ15" i="4"/>
  <c r="KV15" i="4"/>
  <c r="LR15" i="4"/>
  <c r="CM15" i="4"/>
  <c r="DI15" i="4"/>
  <c r="EE15" i="4"/>
  <c r="FA15" i="4"/>
  <c r="FW15" i="4"/>
  <c r="GS15" i="4"/>
  <c r="HO15" i="4"/>
  <c r="IK15" i="4"/>
  <c r="JG15" i="4"/>
  <c r="KC15" i="4"/>
  <c r="KY15" i="4"/>
  <c r="LU15" i="4"/>
  <c r="CI5" i="2"/>
  <c r="DE5" i="2"/>
  <c r="EA5" i="2"/>
  <c r="EW5" i="2"/>
  <c r="FS5" i="2"/>
  <c r="GO5" i="2"/>
  <c r="HK5" i="2"/>
  <c r="IG5" i="2"/>
  <c r="JC5" i="2"/>
  <c r="JY5" i="2"/>
  <c r="LQ5" i="2"/>
  <c r="CJ5" i="2"/>
  <c r="DF5" i="2"/>
  <c r="EB5" i="2"/>
  <c r="EX5" i="2"/>
  <c r="FT5" i="2"/>
  <c r="GP5" i="2"/>
  <c r="HL5" i="2"/>
  <c r="IH5" i="2"/>
  <c r="JD5" i="2"/>
  <c r="JZ5" i="2"/>
  <c r="LR5" i="2"/>
  <c r="CM5" i="2"/>
  <c r="DI5" i="2"/>
  <c r="EE5" i="2"/>
  <c r="FA5" i="2"/>
  <c r="FW5" i="2"/>
  <c r="GS5" i="2"/>
  <c r="HO5" i="2"/>
  <c r="IK5" i="2"/>
  <c r="JG5" i="2"/>
  <c r="KC5" i="2"/>
  <c r="KY5" i="2"/>
  <c r="LU5" i="2"/>
  <c r="CI9" i="2"/>
  <c r="DE9" i="2"/>
  <c r="EA9" i="2"/>
  <c r="EW9" i="2"/>
  <c r="FS9" i="2"/>
  <c r="GO9" i="2"/>
  <c r="HK9" i="2"/>
  <c r="IG9" i="2"/>
  <c r="JC9" i="2"/>
  <c r="JY9" i="2"/>
  <c r="KU9" i="2"/>
  <c r="LQ9" i="2"/>
  <c r="CJ9" i="2"/>
  <c r="DF9" i="2"/>
  <c r="EB9" i="2"/>
  <c r="EX9" i="2"/>
  <c r="FT9" i="2"/>
  <c r="GP9" i="2"/>
  <c r="HL9" i="2"/>
  <c r="IH9" i="2"/>
  <c r="JD9" i="2"/>
  <c r="JZ9" i="2"/>
  <c r="LR9" i="2"/>
  <c r="CM9" i="2"/>
  <c r="DI9" i="2"/>
  <c r="EE9" i="2"/>
  <c r="FA9" i="2"/>
  <c r="FW9" i="2"/>
  <c r="GS9" i="2"/>
  <c r="HO9" i="2"/>
  <c r="IK9" i="2"/>
  <c r="JG9" i="2"/>
  <c r="KC9" i="2"/>
  <c r="KY9" i="2"/>
  <c r="LU9" i="2"/>
  <c r="CI10" i="2"/>
  <c r="DE10" i="2"/>
  <c r="EA10" i="2"/>
  <c r="EW10" i="2"/>
  <c r="FS10" i="2"/>
  <c r="GO10" i="2"/>
  <c r="HK10" i="2"/>
  <c r="IG10" i="2"/>
  <c r="JC10" i="2"/>
  <c r="JY10" i="2"/>
  <c r="KU10" i="2"/>
  <c r="LQ10" i="2"/>
  <c r="CJ10" i="2"/>
  <c r="DF10" i="2"/>
  <c r="EB10" i="2"/>
  <c r="EX10" i="2"/>
  <c r="FT10" i="2"/>
  <c r="GP10" i="2"/>
  <c r="HL10" i="2"/>
  <c r="IH10" i="2"/>
  <c r="JD10" i="2"/>
  <c r="JZ10" i="2"/>
  <c r="KV10" i="2"/>
  <c r="LR10" i="2"/>
  <c r="CM10" i="2"/>
  <c r="DI10" i="2"/>
  <c r="EE10" i="2"/>
  <c r="FA10" i="2"/>
  <c r="FW10" i="2"/>
  <c r="GS10" i="2"/>
  <c r="HO10" i="2"/>
  <c r="IK10" i="2"/>
  <c r="JG10" i="2"/>
  <c r="KC10" i="2"/>
  <c r="KY10" i="2"/>
  <c r="LU10" i="2"/>
  <c r="CI11" i="2"/>
  <c r="DE11" i="2"/>
  <c r="EA11" i="2"/>
  <c r="EW11" i="2"/>
  <c r="FS11" i="2"/>
  <c r="GO11" i="2"/>
  <c r="HK11" i="2"/>
  <c r="IG11" i="2"/>
  <c r="JC11" i="2"/>
  <c r="JY11" i="2"/>
  <c r="KU11" i="2"/>
  <c r="LQ11" i="2"/>
  <c r="CJ11" i="2"/>
  <c r="DF11" i="2"/>
  <c r="EB11" i="2"/>
  <c r="EX11" i="2"/>
  <c r="FT11" i="2"/>
  <c r="HL11" i="2"/>
  <c r="IH11" i="2"/>
  <c r="JD11" i="2"/>
  <c r="JZ11" i="2"/>
  <c r="KV11" i="2"/>
  <c r="LR11" i="2"/>
  <c r="CM11" i="2"/>
  <c r="DI11" i="2"/>
  <c r="EE11" i="2"/>
  <c r="FA11" i="2"/>
  <c r="FW11" i="2"/>
  <c r="GS11" i="2"/>
  <c r="HO11" i="2"/>
  <c r="IK11" i="2"/>
  <c r="JG11" i="2"/>
  <c r="KC11" i="2"/>
  <c r="KY11" i="2"/>
  <c r="LU11" i="2"/>
  <c r="CI8" i="2"/>
  <c r="DE8" i="2"/>
  <c r="EA8" i="2"/>
  <c r="EW8" i="2"/>
  <c r="FS8" i="2"/>
  <c r="GO8" i="2"/>
  <c r="HK8" i="2"/>
  <c r="IG8" i="2"/>
  <c r="JC8" i="2"/>
  <c r="JY8" i="2"/>
  <c r="KU8" i="2"/>
  <c r="LQ8" i="2"/>
  <c r="CJ8" i="2"/>
  <c r="DF8" i="2"/>
  <c r="EB8" i="2"/>
  <c r="EX8" i="2"/>
  <c r="FT8" i="2"/>
  <c r="GP8" i="2"/>
  <c r="HL8" i="2"/>
  <c r="IH8" i="2"/>
  <c r="JD8" i="2"/>
  <c r="JZ8" i="2"/>
  <c r="KV8" i="2"/>
  <c r="LR8" i="2"/>
  <c r="CM8" i="2"/>
  <c r="DI8" i="2"/>
  <c r="EE8" i="2"/>
  <c r="FA8" i="2"/>
  <c r="FW8" i="2"/>
  <c r="GS8" i="2"/>
  <c r="HO8" i="2"/>
  <c r="IK8" i="2"/>
  <c r="JG8" i="2"/>
  <c r="KC8" i="2"/>
  <c r="KY8" i="2"/>
  <c r="LU8" i="2"/>
  <c r="CI15" i="2"/>
  <c r="DE15" i="2"/>
  <c r="EA15" i="2"/>
  <c r="EW15" i="2"/>
  <c r="FS15" i="2"/>
  <c r="GO15" i="2"/>
  <c r="HK15" i="2"/>
  <c r="IG15" i="2"/>
  <c r="JC15" i="2"/>
  <c r="JY15" i="2"/>
  <c r="KU15" i="2"/>
  <c r="LQ15" i="2"/>
  <c r="CJ15" i="2"/>
  <c r="DF15" i="2"/>
  <c r="EB15" i="2"/>
  <c r="EX15" i="2"/>
  <c r="FT15" i="2"/>
  <c r="GP15" i="2"/>
  <c r="HL15" i="2"/>
  <c r="IH15" i="2"/>
  <c r="JD15" i="2"/>
  <c r="JZ15" i="2"/>
  <c r="KV15" i="2"/>
  <c r="LR15" i="2"/>
  <c r="CM15" i="2"/>
  <c r="DI15" i="2"/>
  <c r="EE15" i="2"/>
  <c r="FA15" i="2"/>
  <c r="FW15" i="2"/>
  <c r="GS15" i="2"/>
  <c r="HO15" i="2"/>
  <c r="IK15" i="2"/>
  <c r="JG15" i="2"/>
  <c r="KC15" i="2"/>
  <c r="KY15" i="2"/>
  <c r="LU15" i="2"/>
  <c r="CM4" i="2"/>
  <c r="DI4" i="2"/>
  <c r="EE4" i="2"/>
  <c r="FA4" i="2"/>
  <c r="FW4" i="2"/>
  <c r="GS4" i="2"/>
  <c r="HO4" i="2"/>
  <c r="IK4" i="2"/>
  <c r="JG4" i="2"/>
  <c r="KC4" i="2"/>
  <c r="KY4" i="2"/>
  <c r="LU4" i="2"/>
  <c r="CJ4" i="2"/>
  <c r="DF4" i="2"/>
  <c r="EB4" i="2"/>
  <c r="EX4" i="2"/>
  <c r="FT4" i="2"/>
  <c r="GP4" i="2"/>
  <c r="HL4" i="2"/>
  <c r="IH4" i="2"/>
  <c r="JD4" i="2"/>
  <c r="JZ4" i="2"/>
  <c r="KV4" i="2"/>
  <c r="LR4" i="2"/>
  <c r="CI4" i="2"/>
  <c r="DE4" i="2"/>
  <c r="EA4" i="2"/>
  <c r="EW4" i="2"/>
  <c r="FS4" i="2"/>
  <c r="GO4" i="2"/>
  <c r="HK4" i="2"/>
  <c r="IG4" i="2"/>
  <c r="JC4" i="2"/>
  <c r="JY4" i="2"/>
  <c r="KU4" i="2"/>
  <c r="LQ4" i="2"/>
  <c r="CA6" i="7"/>
  <c r="CU6" i="7"/>
  <c r="DO6" i="7"/>
  <c r="EI6" i="7"/>
  <c r="FC6" i="7"/>
  <c r="FW6" i="7"/>
  <c r="GQ6" i="7"/>
  <c r="HK6" i="7"/>
  <c r="IE6" i="7"/>
  <c r="IY6" i="7"/>
  <c r="JS6" i="7"/>
  <c r="KM6" i="7"/>
  <c r="CA9" i="7"/>
  <c r="CU9" i="7"/>
  <c r="DO9" i="7"/>
  <c r="EI9" i="7"/>
  <c r="FC9" i="7"/>
  <c r="FW9" i="7"/>
  <c r="GQ9" i="7"/>
  <c r="HK9" i="7"/>
  <c r="IE9" i="7"/>
  <c r="IY9" i="7"/>
  <c r="JS9" i="7"/>
  <c r="KM9" i="7"/>
  <c r="CU4" i="7"/>
  <c r="DO4" i="7"/>
  <c r="EI4" i="7"/>
  <c r="FC4" i="7"/>
  <c r="FW4" i="7"/>
  <c r="GQ4" i="7"/>
  <c r="HK4" i="7"/>
  <c r="IE4" i="7"/>
  <c r="IY4" i="7"/>
  <c r="JS4" i="7"/>
  <c r="KM4" i="7"/>
  <c r="CA5" i="8"/>
  <c r="CU5" i="8"/>
  <c r="DO5" i="8"/>
  <c r="EI5" i="8"/>
  <c r="FC5" i="8"/>
  <c r="FW5" i="8"/>
  <c r="GQ5" i="8"/>
  <c r="HK5" i="8"/>
  <c r="IE5" i="8"/>
  <c r="IY5" i="8"/>
  <c r="JS5" i="8"/>
  <c r="KM5" i="8"/>
  <c r="CA6" i="8"/>
  <c r="CU6" i="8"/>
  <c r="DO6" i="8"/>
  <c r="EI6" i="8"/>
  <c r="FC6" i="8"/>
  <c r="FW6" i="8"/>
  <c r="GQ6" i="8"/>
  <c r="HK6" i="8"/>
  <c r="IE6" i="8"/>
  <c r="IY6" i="8"/>
  <c r="JS6" i="8"/>
  <c r="JQ5" i="8"/>
  <c r="KK6" i="8"/>
  <c r="JQ6" i="8"/>
  <c r="IW5" i="8"/>
  <c r="IC5" i="8"/>
  <c r="IW6" i="8"/>
  <c r="IC6" i="8"/>
  <c r="HI5" i="8"/>
  <c r="GO5" i="8"/>
  <c r="HI6" i="8"/>
  <c r="GO6" i="8"/>
  <c r="FU5" i="8"/>
  <c r="FA5" i="8"/>
  <c r="FU6" i="8"/>
  <c r="FA6" i="8"/>
  <c r="DM6" i="7"/>
  <c r="EG6" i="7"/>
  <c r="FA6" i="7"/>
  <c r="FU6" i="7"/>
  <c r="GO6" i="7"/>
  <c r="HI6" i="7"/>
  <c r="IC6" i="7"/>
  <c r="JQ6" i="7"/>
  <c r="KK6" i="7"/>
  <c r="DM9" i="7"/>
  <c r="EG9" i="7"/>
  <c r="FA9" i="7"/>
  <c r="FU9" i="7"/>
  <c r="GO9" i="7"/>
  <c r="HI9" i="7"/>
  <c r="IC9" i="7"/>
  <c r="IW9" i="7"/>
  <c r="JQ9" i="7"/>
  <c r="KK9" i="7"/>
  <c r="KK4" i="7"/>
  <c r="JQ4" i="7"/>
  <c r="IW4" i="7"/>
  <c r="IC4" i="7"/>
  <c r="HI4" i="7"/>
  <c r="GO4" i="7"/>
  <c r="FU4" i="7"/>
  <c r="FA4" i="7"/>
  <c r="CA4" i="7"/>
  <c r="DM5" i="8"/>
  <c r="EG5" i="8"/>
  <c r="EG6" i="8"/>
  <c r="DM6" i="8"/>
  <c r="EG4" i="7"/>
  <c r="DM4" i="7"/>
  <c r="BY6" i="8"/>
  <c r="CS5" i="8"/>
  <c r="CS6" i="8"/>
  <c r="CS9" i="7"/>
  <c r="CS6" i="7"/>
  <c r="CS4" i="7"/>
  <c r="BY5" i="8"/>
  <c r="BY9" i="7"/>
  <c r="BY6" i="7"/>
  <c r="BY4" i="7"/>
  <c r="G4" i="7" l="1"/>
  <c r="F4" i="7"/>
  <c r="F6" i="7"/>
  <c r="G6" i="7"/>
  <c r="F9" i="7"/>
  <c r="G9" i="7"/>
  <c r="G6" i="8"/>
  <c r="F6" i="8"/>
  <c r="G5" i="8"/>
  <c r="F5" i="8"/>
  <c r="P4" i="8"/>
  <c r="O4" i="8"/>
  <c r="BG4" i="7"/>
  <c r="BG6" i="7"/>
  <c r="BG9" i="7"/>
  <c r="BG6" i="8"/>
  <c r="BG5" i="8"/>
  <c r="BH4" i="7"/>
  <c r="BP4" i="4"/>
  <c r="BR16" i="4"/>
  <c r="BP21" i="4"/>
  <c r="BR17" i="4"/>
  <c r="BP12" i="4"/>
  <c r="BR10" i="4"/>
  <c r="BO10" i="4"/>
  <c r="BP6" i="4"/>
  <c r="BH6" i="8"/>
  <c r="BH5" i="8"/>
  <c r="BH6" i="7"/>
  <c r="BH9" i="7"/>
  <c r="BO11" i="2"/>
  <c r="BP10" i="2"/>
  <c r="BR9" i="2"/>
  <c r="BR11" i="2"/>
  <c r="BO5" i="2"/>
  <c r="BP4" i="2"/>
  <c r="BR15" i="2"/>
  <c r="BO15" i="2"/>
  <c r="BP8" i="2"/>
  <c r="BP9" i="2"/>
  <c r="BR5" i="2"/>
  <c r="BP11" i="2"/>
  <c r="BR10" i="2"/>
  <c r="BO10" i="2"/>
  <c r="BO4" i="2"/>
  <c r="BR4" i="2"/>
  <c r="BP15" i="2"/>
  <c r="BR8" i="2"/>
  <c r="BO8" i="2"/>
  <c r="BP5" i="2"/>
  <c r="BO9" i="2"/>
  <c r="BO17" i="4"/>
  <c r="BO16" i="4"/>
  <c r="BR11" i="4"/>
  <c r="BO11" i="4"/>
  <c r="BO6" i="4"/>
  <c r="BP9" i="4"/>
  <c r="BO19" i="4"/>
  <c r="BP15" i="4"/>
  <c r="BR13" i="4"/>
  <c r="BO13" i="4"/>
  <c r="BO4" i="4"/>
  <c r="BP16" i="4"/>
  <c r="BR21" i="4"/>
  <c r="BO21" i="4"/>
  <c r="BP17" i="4"/>
  <c r="BR12" i="4"/>
  <c r="BO12" i="4"/>
  <c r="BP10" i="4"/>
  <c r="BR6" i="4"/>
  <c r="BO9" i="4"/>
  <c r="BP11" i="4"/>
  <c r="BR19" i="4"/>
  <c r="BR4" i="4"/>
  <c r="BR9" i="4"/>
  <c r="BR15" i="4"/>
  <c r="BO15" i="4"/>
  <c r="BP13" i="4"/>
  <c r="BP19" i="4"/>
  <c r="R23" i="4"/>
  <c r="T23" i="4" s="1"/>
  <c r="S7" i="4"/>
  <c r="E7" i="4"/>
  <c r="CK21" i="4"/>
  <c r="CN21" i="4" s="1"/>
  <c r="E4" i="8"/>
  <c r="KW19" i="4"/>
  <c r="KZ19" i="4" s="1"/>
  <c r="I11" i="6"/>
  <c r="LS12" i="4"/>
  <c r="LV12" i="4" s="1"/>
  <c r="LS5" i="2"/>
  <c r="LV5" i="2" s="1"/>
  <c r="KW9" i="2"/>
  <c r="KZ9" i="2" s="1"/>
  <c r="FU5" i="2"/>
  <c r="FX5" i="2" s="1"/>
  <c r="I7" i="6"/>
  <c r="I12" i="6"/>
  <c r="KW11" i="2"/>
  <c r="KZ11" i="2" s="1"/>
  <c r="KA19" i="4"/>
  <c r="KD19" i="4" s="1"/>
  <c r="HM10" i="2"/>
  <c r="HP10" i="2" s="1"/>
  <c r="CK9" i="2"/>
  <c r="EC11" i="2"/>
  <c r="EF11" i="2" s="1"/>
  <c r="EC4" i="4"/>
  <c r="EF4" i="4" s="1"/>
  <c r="EC17" i="4"/>
  <c r="EF17" i="4" s="1"/>
  <c r="I4" i="6"/>
  <c r="JT9" i="7"/>
  <c r="I6" i="6"/>
  <c r="HL9" i="7"/>
  <c r="JE4" i="2"/>
  <c r="JH4" i="2" s="1"/>
  <c r="JT6" i="7"/>
  <c r="KN6" i="7"/>
  <c r="KA5" i="2"/>
  <c r="KD5" i="2" s="1"/>
  <c r="JE5" i="2"/>
  <c r="JH5" i="2" s="1"/>
  <c r="CK5" i="2"/>
  <c r="GQ9" i="2"/>
  <c r="GT9" i="2" s="1"/>
  <c r="II11" i="2"/>
  <c r="IL11" i="2" s="1"/>
  <c r="KW10" i="2"/>
  <c r="KZ10" i="2" s="1"/>
  <c r="EC19" i="4"/>
  <c r="EF19" i="4" s="1"/>
  <c r="EY9" i="4"/>
  <c r="FB9" i="4" s="1"/>
  <c r="EC11" i="4"/>
  <c r="EF11" i="4" s="1"/>
  <c r="FU6" i="4"/>
  <c r="FX6" i="4" s="1"/>
  <c r="DG11" i="4"/>
  <c r="DJ11" i="4" s="1"/>
  <c r="CK13" i="4"/>
  <c r="KA17" i="4"/>
  <c r="KD17" i="4" s="1"/>
  <c r="HM16" i="4"/>
  <c r="HP16" i="4" s="1"/>
  <c r="EY17" i="4"/>
  <c r="FB17" i="4" s="1"/>
  <c r="GQ10" i="4"/>
  <c r="GT10" i="4" s="1"/>
  <c r="DG19" i="4"/>
  <c r="DJ19" i="4" s="1"/>
  <c r="EY19" i="4"/>
  <c r="FB19" i="4" s="1"/>
  <c r="FD6" i="8"/>
  <c r="I10" i="6"/>
  <c r="I5" i="6"/>
  <c r="FX9" i="7"/>
  <c r="IF6" i="7"/>
  <c r="FD6" i="7"/>
  <c r="II13" i="4"/>
  <c r="IL13" i="4" s="1"/>
  <c r="FU4" i="4"/>
  <c r="FX4" i="4" s="1"/>
  <c r="JE4" i="4"/>
  <c r="JH4" i="4" s="1"/>
  <c r="CK4" i="4"/>
  <c r="EY16" i="4"/>
  <c r="FB16" i="4" s="1"/>
  <c r="HM21" i="4"/>
  <c r="HP21" i="4" s="1"/>
  <c r="CK17" i="4"/>
  <c r="KW10" i="4"/>
  <c r="KZ10" i="4" s="1"/>
  <c r="IF5" i="8"/>
  <c r="FX4" i="7"/>
  <c r="IF4" i="7"/>
  <c r="EJ4" i="7"/>
  <c r="EY4" i="2"/>
  <c r="FB4" i="2" s="1"/>
  <c r="JE15" i="2"/>
  <c r="JH15" i="2" s="1"/>
  <c r="CK15" i="2"/>
  <c r="EY15" i="2"/>
  <c r="FB15" i="2" s="1"/>
  <c r="KA9" i="2"/>
  <c r="KD9" i="2" s="1"/>
  <c r="DG9" i="2"/>
  <c r="DJ9" i="2" s="1"/>
  <c r="GQ8" i="2"/>
  <c r="GT8" i="2" s="1"/>
  <c r="GQ10" i="2"/>
  <c r="GT10" i="2" s="1"/>
  <c r="KA10" i="2"/>
  <c r="KD10" i="2" s="1"/>
  <c r="DG10" i="2"/>
  <c r="DJ10" i="2" s="1"/>
  <c r="FU9" i="2"/>
  <c r="FX9" i="2" s="1"/>
  <c r="JE9" i="2"/>
  <c r="JH9" i="2" s="1"/>
  <c r="EY5" i="2"/>
  <c r="FB5" i="2" s="1"/>
  <c r="II5" i="2"/>
  <c r="IL5" i="2" s="1"/>
  <c r="FU4" i="2"/>
  <c r="FX4" i="2" s="1"/>
  <c r="CK4" i="2"/>
  <c r="KA15" i="2"/>
  <c r="KD15" i="2" s="1"/>
  <c r="GQ15" i="2"/>
  <c r="GT15" i="2" s="1"/>
  <c r="JE8" i="2"/>
  <c r="JH8" i="2" s="1"/>
  <c r="CK8" i="2"/>
  <c r="FU8" i="2"/>
  <c r="FX8" i="2" s="1"/>
  <c r="GQ11" i="2"/>
  <c r="GT11" i="2" s="1"/>
  <c r="KA11" i="2"/>
  <c r="KD11" i="2" s="1"/>
  <c r="DG11" i="2"/>
  <c r="DJ11" i="2" s="1"/>
  <c r="FU10" i="2"/>
  <c r="FX10" i="2" s="1"/>
  <c r="JE10" i="2"/>
  <c r="JH10" i="2" s="1"/>
  <c r="CK10" i="2"/>
  <c r="LS9" i="2"/>
  <c r="LV9" i="2" s="1"/>
  <c r="EY9" i="2"/>
  <c r="FB9" i="2" s="1"/>
  <c r="II9" i="2"/>
  <c r="IL9" i="2" s="1"/>
  <c r="KW5" i="2"/>
  <c r="KZ5" i="2" s="1"/>
  <c r="EC5" i="2"/>
  <c r="EF5" i="2" s="1"/>
  <c r="HM5" i="2"/>
  <c r="HP5" i="2" s="1"/>
  <c r="FU15" i="2"/>
  <c r="FX15" i="2" s="1"/>
  <c r="II8" i="2"/>
  <c r="IL8" i="2" s="1"/>
  <c r="LS8" i="2"/>
  <c r="LV8" i="2" s="1"/>
  <c r="EY8" i="2"/>
  <c r="FB8" i="2" s="1"/>
  <c r="FU11" i="2"/>
  <c r="FX11" i="2" s="1"/>
  <c r="JE11" i="2"/>
  <c r="JH11" i="2" s="1"/>
  <c r="CK11" i="2"/>
  <c r="GQ21" i="4"/>
  <c r="GT21" i="4" s="1"/>
  <c r="GQ13" i="4"/>
  <c r="GT13" i="4" s="1"/>
  <c r="KA13" i="4"/>
  <c r="KD13" i="4" s="1"/>
  <c r="DG13" i="4"/>
  <c r="DJ13" i="4" s="1"/>
  <c r="FU13" i="4"/>
  <c r="FX13" i="4" s="1"/>
  <c r="JE13" i="4"/>
  <c r="JH13" i="4" s="1"/>
  <c r="EY21" i="4"/>
  <c r="FB21" i="4" s="1"/>
  <c r="JE12" i="4"/>
  <c r="JH12" i="4" s="1"/>
  <c r="GQ6" i="4"/>
  <c r="GT6" i="4" s="1"/>
  <c r="FU9" i="4"/>
  <c r="FX9" i="4" s="1"/>
  <c r="GQ19" i="4"/>
  <c r="GT19" i="4" s="1"/>
  <c r="IZ6" i="8"/>
  <c r="CV6" i="8"/>
  <c r="GR5" i="8"/>
  <c r="JT5" i="8"/>
  <c r="DP5" i="8"/>
  <c r="IF6" i="8"/>
  <c r="CV5" i="8"/>
  <c r="HL6" i="8"/>
  <c r="KN6" i="8"/>
  <c r="EJ6" i="8"/>
  <c r="FD5" i="8"/>
  <c r="GR6" i="8"/>
  <c r="DP6" i="8"/>
  <c r="GR4" i="7"/>
  <c r="IZ9" i="7"/>
  <c r="JT4" i="7"/>
  <c r="FD9" i="7"/>
  <c r="IF9" i="7"/>
  <c r="IZ4" i="7"/>
  <c r="EJ9" i="7"/>
  <c r="GR6" i="7"/>
  <c r="KW4" i="2"/>
  <c r="KZ4" i="2" s="1"/>
  <c r="HM4" i="2"/>
  <c r="HP4" i="2" s="1"/>
  <c r="II15" i="2"/>
  <c r="IL15" i="2" s="1"/>
  <c r="LS15" i="2"/>
  <c r="LV15" i="2" s="1"/>
  <c r="HM8" i="2"/>
  <c r="HP8" i="2" s="1"/>
  <c r="KW8" i="2"/>
  <c r="KZ8" i="2" s="1"/>
  <c r="EC8" i="2"/>
  <c r="EF8" i="2" s="1"/>
  <c r="LS11" i="2"/>
  <c r="LV11" i="2" s="1"/>
  <c r="LS10" i="2"/>
  <c r="LV10" i="2" s="1"/>
  <c r="II10" i="2"/>
  <c r="IL10" i="2" s="1"/>
  <c r="HM9" i="2"/>
  <c r="HP9" i="2" s="1"/>
  <c r="GQ5" i="2"/>
  <c r="GT5" i="2" s="1"/>
  <c r="HM15" i="2"/>
  <c r="HP15" i="2" s="1"/>
  <c r="KW15" i="2"/>
  <c r="KZ15" i="2" s="1"/>
  <c r="EC15" i="2"/>
  <c r="EF15" i="2" s="1"/>
  <c r="KA8" i="2"/>
  <c r="KD8" i="2" s="1"/>
  <c r="DG8" i="2"/>
  <c r="DJ8" i="2" s="1"/>
  <c r="HM11" i="2"/>
  <c r="HP11" i="2" s="1"/>
  <c r="GQ15" i="4"/>
  <c r="GT15" i="4" s="1"/>
  <c r="KA15" i="4"/>
  <c r="KD15" i="4" s="1"/>
  <c r="DG15" i="4"/>
  <c r="DJ15" i="4" s="1"/>
  <c r="FU15" i="4"/>
  <c r="FX15" i="4" s="1"/>
  <c r="JE15" i="4"/>
  <c r="JH15" i="4" s="1"/>
  <c r="CK15" i="4"/>
  <c r="II12" i="4"/>
  <c r="IL12" i="4" s="1"/>
  <c r="HM10" i="4"/>
  <c r="HP10" i="4" s="1"/>
  <c r="JE19" i="4"/>
  <c r="JH19" i="4" s="1"/>
  <c r="CK19" i="4"/>
  <c r="FU19" i="4"/>
  <c r="FX19" i="4" s="1"/>
  <c r="II4" i="4"/>
  <c r="IL4" i="4" s="1"/>
  <c r="LS4" i="4"/>
  <c r="LV4" i="4" s="1"/>
  <c r="EY4" i="4"/>
  <c r="FB4" i="4" s="1"/>
  <c r="KW16" i="4"/>
  <c r="KZ16" i="4" s="1"/>
  <c r="EC16" i="4"/>
  <c r="EF16" i="4" s="1"/>
  <c r="DG10" i="4"/>
  <c r="DJ10" i="4" s="1"/>
  <c r="II6" i="4"/>
  <c r="IL6" i="4" s="1"/>
  <c r="HM9" i="4"/>
  <c r="HP9" i="4" s="1"/>
  <c r="GQ11" i="4"/>
  <c r="GT11" i="4" s="1"/>
  <c r="II19" i="4"/>
  <c r="IL19" i="4" s="1"/>
  <c r="LS19" i="4"/>
  <c r="LV19" i="4" s="1"/>
  <c r="LS15" i="4"/>
  <c r="LV15" i="4" s="1"/>
  <c r="EY15" i="4"/>
  <c r="FB15" i="4" s="1"/>
  <c r="LS13" i="4"/>
  <c r="LV13" i="4" s="1"/>
  <c r="EY13" i="4"/>
  <c r="FB13" i="4" s="1"/>
  <c r="HM4" i="4"/>
  <c r="HP4" i="4" s="1"/>
  <c r="KW4" i="4"/>
  <c r="KZ4" i="4" s="1"/>
  <c r="GQ16" i="4"/>
  <c r="GT16" i="4" s="1"/>
  <c r="KA16" i="4"/>
  <c r="KD16" i="4" s="1"/>
  <c r="DG16" i="4"/>
  <c r="DJ16" i="4" s="1"/>
  <c r="GQ12" i="4"/>
  <c r="GT12" i="4" s="1"/>
  <c r="JE10" i="4"/>
  <c r="JH10" i="4" s="1"/>
  <c r="EC6" i="4"/>
  <c r="EF6" i="4" s="1"/>
  <c r="DG9" i="4"/>
  <c r="DJ9" i="4" s="1"/>
  <c r="FX11" i="4"/>
  <c r="JE11" i="4"/>
  <c r="JH11" i="4" s="1"/>
  <c r="CK11" i="4"/>
  <c r="HM15" i="4"/>
  <c r="HP15" i="4" s="1"/>
  <c r="KW15" i="4"/>
  <c r="KZ15" i="4" s="1"/>
  <c r="EC15" i="4"/>
  <c r="EF15" i="4" s="1"/>
  <c r="HM13" i="4"/>
  <c r="HP13" i="4" s="1"/>
  <c r="KW13" i="4"/>
  <c r="KZ13" i="4" s="1"/>
  <c r="EC13" i="4"/>
  <c r="EF13" i="4" s="1"/>
  <c r="GQ4" i="4"/>
  <c r="GT4" i="4" s="1"/>
  <c r="KA4" i="4"/>
  <c r="KD4" i="4" s="1"/>
  <c r="DG4" i="4"/>
  <c r="DJ4" i="4" s="1"/>
  <c r="FU16" i="4"/>
  <c r="FX16" i="4" s="1"/>
  <c r="JE16" i="4"/>
  <c r="JH16" i="4" s="1"/>
  <c r="CK16" i="4"/>
  <c r="FU12" i="4"/>
  <c r="FX12" i="4" s="1"/>
  <c r="LS10" i="4"/>
  <c r="LV10" i="4" s="1"/>
  <c r="FX6" i="8"/>
  <c r="IZ5" i="8"/>
  <c r="FX5" i="8"/>
  <c r="JT6" i="8"/>
  <c r="HL5" i="8"/>
  <c r="KN5" i="8"/>
  <c r="EJ5" i="8"/>
  <c r="HL6" i="7"/>
  <c r="EJ6" i="7"/>
  <c r="KN9" i="7"/>
  <c r="FD4" i="7"/>
  <c r="HL4" i="7"/>
  <c r="GR9" i="7"/>
  <c r="FX6" i="7"/>
  <c r="IZ6" i="7"/>
  <c r="KN4" i="7"/>
  <c r="DG15" i="2"/>
  <c r="DJ15" i="2" s="1"/>
  <c r="II4" i="2"/>
  <c r="IL4" i="2" s="1"/>
  <c r="LS4" i="2"/>
  <c r="LV4" i="2" s="1"/>
  <c r="EC4" i="2"/>
  <c r="EF4" i="2" s="1"/>
  <c r="EY11" i="2"/>
  <c r="FB11" i="2" s="1"/>
  <c r="EY10" i="2"/>
  <c r="FB10" i="2" s="1"/>
  <c r="EC9" i="2"/>
  <c r="EF9" i="2" s="1"/>
  <c r="DG5" i="2"/>
  <c r="DJ5" i="2" s="1"/>
  <c r="GQ4" i="2"/>
  <c r="GT4" i="2" s="1"/>
  <c r="KA4" i="2"/>
  <c r="KD4" i="2" s="1"/>
  <c r="DG4" i="2"/>
  <c r="DJ4" i="2" s="1"/>
  <c r="EC10" i="2"/>
  <c r="EF10" i="2" s="1"/>
  <c r="LS17" i="4"/>
  <c r="LV17" i="4" s="1"/>
  <c r="EY12" i="4"/>
  <c r="FB12" i="4" s="1"/>
  <c r="JE21" i="4"/>
  <c r="JH21" i="4" s="1"/>
  <c r="FU21" i="4"/>
  <c r="FX21" i="4" s="1"/>
  <c r="HM17" i="4"/>
  <c r="HP17" i="4" s="1"/>
  <c r="KW17" i="4"/>
  <c r="KZ17" i="4" s="1"/>
  <c r="HM12" i="4"/>
  <c r="HP12" i="4" s="1"/>
  <c r="KW12" i="4"/>
  <c r="KZ12" i="4" s="1"/>
  <c r="EC12" i="4"/>
  <c r="EF12" i="4" s="1"/>
  <c r="KA10" i="4"/>
  <c r="KD10" i="4" s="1"/>
  <c r="JE6" i="4"/>
  <c r="JH6" i="4" s="1"/>
  <c r="CK6" i="4"/>
  <c r="LS9" i="4"/>
  <c r="LV9" i="4" s="1"/>
  <c r="II9" i="4"/>
  <c r="IL9" i="4" s="1"/>
  <c r="KW11" i="4"/>
  <c r="KZ11" i="4" s="1"/>
  <c r="HM11" i="4"/>
  <c r="HP11" i="4" s="1"/>
  <c r="KA6" i="4"/>
  <c r="KD6" i="4" s="1"/>
  <c r="CK9" i="4"/>
  <c r="EY11" i="4"/>
  <c r="FB11" i="4" s="1"/>
  <c r="II21" i="4"/>
  <c r="IL21" i="4" s="1"/>
  <c r="LS21" i="4"/>
  <c r="LV21" i="4" s="1"/>
  <c r="GQ17" i="4"/>
  <c r="GT17" i="4" s="1"/>
  <c r="DG17" i="4"/>
  <c r="DJ17" i="4" s="1"/>
  <c r="KA12" i="4"/>
  <c r="KD12" i="4" s="1"/>
  <c r="DG12" i="4"/>
  <c r="DJ12" i="4" s="1"/>
  <c r="FU10" i="4"/>
  <c r="FX10" i="4" s="1"/>
  <c r="CK10" i="4"/>
  <c r="LS6" i="4"/>
  <c r="LV6" i="4" s="1"/>
  <c r="EY6" i="4"/>
  <c r="FB6" i="4" s="1"/>
  <c r="KW9" i="4"/>
  <c r="KZ9" i="4" s="1"/>
  <c r="EC9" i="4"/>
  <c r="EF9" i="4" s="1"/>
  <c r="EC10" i="4"/>
  <c r="EF10" i="4" s="1"/>
  <c r="DG6" i="4"/>
  <c r="DJ6" i="4" s="1"/>
  <c r="JE9" i="4"/>
  <c r="JH9" i="4" s="1"/>
  <c r="LS11" i="4"/>
  <c r="LV11" i="4" s="1"/>
  <c r="II11" i="4"/>
  <c r="IL11" i="4" s="1"/>
  <c r="II16" i="4"/>
  <c r="IL16" i="4" s="1"/>
  <c r="LS16" i="4"/>
  <c r="LV16" i="4" s="1"/>
  <c r="KW21" i="4"/>
  <c r="KZ21" i="4" s="1"/>
  <c r="EC21" i="4"/>
  <c r="EF21" i="4" s="1"/>
  <c r="FU17" i="4"/>
  <c r="FX17" i="4" s="1"/>
  <c r="JE17" i="4"/>
  <c r="JH17" i="4" s="1"/>
  <c r="CK12" i="4"/>
  <c r="II10" i="4"/>
  <c r="IL10" i="4" s="1"/>
  <c r="HM6" i="4"/>
  <c r="HP6" i="4" s="1"/>
  <c r="GQ9" i="4"/>
  <c r="GT9" i="4" s="1"/>
  <c r="KA21" i="4"/>
  <c r="KD21" i="4" s="1"/>
  <c r="DG21" i="4"/>
  <c r="DJ21" i="4" s="1"/>
  <c r="II17" i="4"/>
  <c r="IL17" i="4" s="1"/>
  <c r="HM19" i="4"/>
  <c r="HP19" i="4" s="1"/>
  <c r="II15" i="4"/>
  <c r="IL15" i="4" s="1"/>
  <c r="EY10" i="4"/>
  <c r="FB10" i="4" s="1"/>
  <c r="KW6" i="4"/>
  <c r="KZ6" i="4" s="1"/>
  <c r="KA9" i="4"/>
  <c r="KD9" i="4" s="1"/>
  <c r="KA11" i="4"/>
  <c r="KD11" i="4" s="1"/>
  <c r="I6" i="8" l="1"/>
  <c r="I5" i="8"/>
  <c r="N4" i="7"/>
  <c r="O4" i="7" s="1"/>
  <c r="I9" i="7"/>
  <c r="A9" i="7"/>
  <c r="I6" i="7"/>
  <c r="A6" i="7"/>
  <c r="BI11" i="6"/>
  <c r="BI7" i="6"/>
  <c r="BI12" i="6"/>
  <c r="BI10" i="6"/>
  <c r="BI4" i="6"/>
  <c r="BI5" i="6"/>
  <c r="BI6" i="6"/>
  <c r="CB9" i="7"/>
  <c r="CV9" i="7" s="1"/>
  <c r="DP9" i="7" s="1"/>
  <c r="CB6" i="7"/>
  <c r="CV6" i="7" s="1"/>
  <c r="DP6" i="7" s="1"/>
  <c r="CB4" i="7"/>
  <c r="CV4" i="7" s="1"/>
  <c r="DP4" i="7" s="1"/>
  <c r="CB6" i="8"/>
  <c r="CB5" i="8"/>
  <c r="N9" i="7"/>
  <c r="N6" i="7"/>
  <c r="CN15" i="2"/>
  <c r="I15" i="2"/>
  <c r="BQ15" i="2"/>
  <c r="CN4" i="2"/>
  <c r="BQ4" i="2"/>
  <c r="CN9" i="2"/>
  <c r="BQ9" i="2"/>
  <c r="I9" i="2"/>
  <c r="CN5" i="2"/>
  <c r="BQ5" i="2"/>
  <c r="CN10" i="2"/>
  <c r="I10" i="2"/>
  <c r="BQ10" i="2"/>
  <c r="CN11" i="2"/>
  <c r="I11" i="2"/>
  <c r="BQ11" i="2"/>
  <c r="CN8" i="2"/>
  <c r="I8" i="2"/>
  <c r="BQ8" i="2"/>
  <c r="CN10" i="4"/>
  <c r="I10" i="4"/>
  <c r="BQ10" i="4"/>
  <c r="CN6" i="4"/>
  <c r="BQ6" i="4"/>
  <c r="CN16" i="4"/>
  <c r="A16" i="4"/>
  <c r="BQ16" i="4"/>
  <c r="CN19" i="4"/>
  <c r="A19" i="4"/>
  <c r="BQ19" i="4"/>
  <c r="CN12" i="4"/>
  <c r="BQ12" i="4"/>
  <c r="CN13" i="4"/>
  <c r="BQ13" i="4"/>
  <c r="CN9" i="4"/>
  <c r="I9" i="4"/>
  <c r="BQ9" i="4"/>
  <c r="BQ4" i="4"/>
  <c r="CN11" i="4"/>
  <c r="I11" i="4"/>
  <c r="BQ11" i="4"/>
  <c r="CN15" i="4"/>
  <c r="BQ15" i="4"/>
  <c r="CN17" i="4"/>
  <c r="A17" i="4"/>
  <c r="BQ17" i="4"/>
  <c r="A21" i="4"/>
  <c r="BQ21" i="4"/>
  <c r="S23" i="4"/>
  <c r="E23" i="4"/>
  <c r="CN4" i="4"/>
  <c r="P4" i="7" l="1"/>
  <c r="I4" i="2"/>
  <c r="I5" i="2"/>
  <c r="A13" i="4"/>
  <c r="A6" i="4"/>
  <c r="A11" i="2"/>
  <c r="A10" i="2"/>
  <c r="A8" i="2"/>
  <c r="A9" i="2"/>
  <c r="A15" i="2"/>
  <c r="A11" i="4"/>
  <c r="A9" i="4"/>
  <c r="P9" i="7"/>
  <c r="O9" i="7"/>
  <c r="P6" i="7"/>
  <c r="O6" i="7"/>
  <c r="I12" i="4"/>
  <c r="I6" i="4"/>
  <c r="I15" i="4"/>
  <c r="I19" i="4"/>
  <c r="I17" i="4"/>
  <c r="I21" i="4"/>
  <c r="I13" i="4"/>
  <c r="I16" i="4"/>
  <c r="E9" i="7"/>
  <c r="E6" i="7"/>
  <c r="N6" i="6"/>
  <c r="N4" i="6"/>
  <c r="P4" i="6" s="1"/>
  <c r="N12" i="6"/>
  <c r="P12" i="6" s="1"/>
  <c r="N5" i="6"/>
  <c r="P5" i="6" s="1"/>
  <c r="P6" i="6" l="1"/>
  <c r="E6" i="6"/>
  <c r="O5" i="6"/>
  <c r="O12" i="6"/>
  <c r="O4" i="6"/>
  <c r="O6" i="6"/>
  <c r="R11" i="2"/>
  <c r="T11" i="2" s="1"/>
  <c r="R5" i="2"/>
  <c r="T5" i="2" s="1"/>
  <c r="R10" i="2"/>
  <c r="T10" i="2" s="1"/>
  <c r="E5" i="6"/>
  <c r="N7" i="6"/>
  <c r="P7" i="6" s="1"/>
  <c r="N10" i="6"/>
  <c r="P10" i="6" s="1"/>
  <c r="N6" i="8"/>
  <c r="R9" i="4"/>
  <c r="T9" i="4" s="1"/>
  <c r="R10" i="4"/>
  <c r="T10" i="4" s="1"/>
  <c r="E4" i="6"/>
  <c r="R15" i="4"/>
  <c r="T15" i="4" s="1"/>
  <c r="N11" i="6"/>
  <c r="P11" i="6" s="1"/>
  <c r="R9" i="2"/>
  <c r="T9" i="2" s="1"/>
  <c r="E12" i="6"/>
  <c r="R8" i="2"/>
  <c r="T8" i="2" s="1"/>
  <c r="R13" i="4"/>
  <c r="T13" i="4" s="1"/>
  <c r="R16" i="4"/>
  <c r="T16" i="4" s="1"/>
  <c r="R21" i="4"/>
  <c r="T21" i="4" s="1"/>
  <c r="P6" i="8" l="1"/>
  <c r="O6" i="8"/>
  <c r="O10" i="6"/>
  <c r="O7" i="6"/>
  <c r="O11" i="6"/>
  <c r="E11" i="6"/>
  <c r="A5" i="6" s="1"/>
  <c r="S9" i="2"/>
  <c r="E9" i="2"/>
  <c r="S10" i="2"/>
  <c r="E10" i="2"/>
  <c r="S5" i="2"/>
  <c r="E5" i="2"/>
  <c r="S8" i="2"/>
  <c r="E8" i="2"/>
  <c r="S11" i="2"/>
  <c r="E11" i="2"/>
  <c r="R15" i="2"/>
  <c r="T15" i="2" s="1"/>
  <c r="R4" i="2"/>
  <c r="T4" i="2" s="1"/>
  <c r="S10" i="4"/>
  <c r="E10" i="4"/>
  <c r="R11" i="4"/>
  <c r="T11" i="4" s="1"/>
  <c r="R19" i="4"/>
  <c r="T19" i="4" s="1"/>
  <c r="S9" i="4"/>
  <c r="E9" i="4"/>
  <c r="S21" i="4"/>
  <c r="E21" i="4"/>
  <c r="R12" i="4"/>
  <c r="T12" i="4" s="1"/>
  <c r="S15" i="4"/>
  <c r="E15" i="4"/>
  <c r="S13" i="4"/>
  <c r="E13" i="4"/>
  <c r="S16" i="4"/>
  <c r="E16" i="4"/>
  <c r="R17" i="4"/>
  <c r="T17" i="4" s="1"/>
  <c r="R6" i="4"/>
  <c r="T6" i="4" s="1"/>
  <c r="R4" i="4"/>
  <c r="E10" i="6"/>
  <c r="A4" i="6" s="1"/>
  <c r="E7" i="6"/>
  <c r="N5" i="8"/>
  <c r="E6" i="8"/>
  <c r="A7" i="6" l="1"/>
  <c r="A6" i="6"/>
  <c r="D30" i="11" s="1"/>
  <c r="P5" i="8"/>
  <c r="O5" i="8"/>
  <c r="E4" i="7"/>
  <c r="S4" i="4"/>
  <c r="T4" i="4"/>
  <c r="S15" i="2"/>
  <c r="E15" i="2"/>
  <c r="S4" i="2"/>
  <c r="E4" i="2"/>
  <c r="S19" i="4"/>
  <c r="E19" i="4"/>
  <c r="S6" i="4"/>
  <c r="E6" i="4"/>
  <c r="S11" i="4"/>
  <c r="E11" i="4"/>
  <c r="S17" i="4"/>
  <c r="E17" i="4"/>
  <c r="S12" i="4"/>
  <c r="E12" i="4"/>
  <c r="E4" i="4"/>
  <c r="A8" i="4" s="1"/>
  <c r="E5" i="8"/>
  <c r="C26" i="11" l="1"/>
  <c r="D28" i="11"/>
  <c r="C28" i="11"/>
  <c r="D29" i="11"/>
  <c r="C30" i="11"/>
  <c r="D27" i="11"/>
  <c r="C27" i="11"/>
  <c r="D31" i="11"/>
  <c r="D26" i="11"/>
  <c r="C31" i="11"/>
  <c r="C29" i="11"/>
  <c r="A5" i="7"/>
  <c r="A4" i="7"/>
  <c r="A12" i="2"/>
  <c r="A7" i="2"/>
  <c r="A6" i="2"/>
  <c r="A4" i="2"/>
  <c r="A5" i="2"/>
  <c r="A4" i="4"/>
  <c r="A10" i="4"/>
  <c r="A5" i="4"/>
  <c r="A12" i="4"/>
  <c r="A5" i="8"/>
  <c r="A4" i="8"/>
  <c r="A6" i="8"/>
  <c r="A7" i="8"/>
  <c r="A15" i="4"/>
  <c r="C25" i="11" l="1"/>
  <c r="D20" i="11"/>
  <c r="D21" i="11"/>
  <c r="D22" i="11"/>
  <c r="C20" i="11"/>
  <c r="C21" i="11"/>
  <c r="D24" i="11"/>
  <c r="C22" i="11"/>
  <c r="D25" i="11"/>
  <c r="C24" i="11"/>
  <c r="C23" i="11"/>
  <c r="D23" i="11"/>
  <c r="D16" i="11"/>
  <c r="C16" i="11"/>
  <c r="C17" i="11"/>
  <c r="C15" i="11"/>
  <c r="D17" i="11"/>
  <c r="D18" i="11"/>
  <c r="C18" i="11"/>
  <c r="C19" i="11"/>
  <c r="D14" i="11"/>
  <c r="C14" i="11"/>
  <c r="D19" i="11"/>
  <c r="D15" i="11"/>
  <c r="D13" i="11"/>
  <c r="C9" i="11"/>
  <c r="C11" i="11"/>
  <c r="C12" i="11"/>
  <c r="C13" i="11"/>
  <c r="C10" i="11"/>
  <c r="D10" i="11"/>
  <c r="D11" i="11"/>
  <c r="C8" i="11"/>
  <c r="D8" i="11"/>
  <c r="D12" i="11"/>
  <c r="D9" i="11"/>
  <c r="C6" i="11"/>
  <c r="D3" i="11"/>
  <c r="D4" i="11"/>
  <c r="D2" i="11"/>
  <c r="C3" i="11"/>
  <c r="C4" i="11"/>
  <c r="C2" i="11"/>
  <c r="C7" i="11"/>
  <c r="D5" i="11"/>
  <c r="D6" i="11"/>
  <c r="D7" i="11"/>
  <c r="C5" i="11"/>
</calcChain>
</file>

<file path=xl/sharedStrings.xml><?xml version="1.0" encoding="utf-8"?>
<sst xmlns="http://schemas.openxmlformats.org/spreadsheetml/2006/main" count="2643" uniqueCount="134">
  <si>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</si>
  <si>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</si>
  <si>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</si>
  <si>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</si>
  <si>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</si>
  <si>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</si>
  <si>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</si>
  <si>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</si>
  <si>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</si>
  <si>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</si>
  <si>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</si>
  <si>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</si>
  <si>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</si>
  <si>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</si>
  <si>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</si>
  <si>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</si>
  <si>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</si>
  <si>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</si>
  <si>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</si>
  <si>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</si>
  <si>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</si>
  <si>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</si>
  <si>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</si>
  <si>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</si>
  <si>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</si>
  <si>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</si>
  <si>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</si>
  <si>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</si>
  <si>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</si>
  <si>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</si>
  <si>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</si>
  <si>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</si>
  <si>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</si>
  <si>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</si>
  <si>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</si>
  <si>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</si>
  <si>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</si>
  <si>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</si>
  <si>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</si>
  <si>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</si>
  <si>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</si>
  <si>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</si>
  <si>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</si>
  <si>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</si>
  <si>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</si>
  <si>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</si>
  <si>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</si>
  <si>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</si>
  <si>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</si>
  <si>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</si>
  <si>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</si>
  <si>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</si>
  <si>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FOREST, Alexandra</t>
  </si>
  <si>
    <t>2018 Nationals</t>
  </si>
  <si>
    <t>Injury</t>
  </si>
  <si>
    <t>Injury Score</t>
  </si>
  <si>
    <t>Year of Birth</t>
  </si>
  <si>
    <t>Select</t>
  </si>
  <si>
    <t>Delete oldest domestic trial</t>
  </si>
  <si>
    <t>Add a new athlete to:</t>
  </si>
  <si>
    <t>Delete oldest international competition from:</t>
  </si>
  <si>
    <t>MOULD, Blake</t>
  </si>
  <si>
    <t>2018 Pacific Rim Team Finals (Apr 29)</t>
  </si>
  <si>
    <t>2018 Pacific Rim (Apr 29)</t>
  </si>
  <si>
    <t>2018 Junior Pan Am Championships (June 23)</t>
  </si>
  <si>
    <t>2018 World Age Groups (Nov 18)</t>
  </si>
  <si>
    <t>Optional DD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</si>
  <si>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</si>
  <si>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</si>
  <si>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</si>
  <si>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</si>
  <si>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</si>
  <si>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</si>
  <si>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</si>
  <si>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</si>
  <si>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***DD and scores contrived for 2019 rules</t>
  </si>
  <si>
    <t>Excellence DD</t>
  </si>
  <si>
    <t>4 Pass DD</t>
  </si>
  <si>
    <t>DODD, Gavin</t>
  </si>
  <si>
    <t>DWYER, Kai</t>
  </si>
  <si>
    <t>NS</t>
  </si>
  <si>
    <t>JOHNSTON, David</t>
  </si>
  <si>
    <t>McLEAN, Declan</t>
  </si>
  <si>
    <t>CARLSON, Roman</t>
  </si>
  <si>
    <t>ARMSTRONG, Owen</t>
  </si>
  <si>
    <t>MORGANTE, Emmett</t>
  </si>
  <si>
    <t>PEDERSEN, Mitchel</t>
  </si>
  <si>
    <t>AUBIN, Rémi</t>
  </si>
  <si>
    <t>ARRUDA, Erik</t>
  </si>
  <si>
    <t>LAVALLÉE, Zachary</t>
  </si>
  <si>
    <t>RIENDEAU, Gabriel</t>
  </si>
  <si>
    <t>SEROUART, Guillaume</t>
  </si>
  <si>
    <t>HENFREY, Ashton</t>
  </si>
  <si>
    <t>TROYAN, Artur</t>
  </si>
  <si>
    <t>BRENNER, Adin</t>
  </si>
  <si>
    <t>RICHARD, Dexter</t>
  </si>
  <si>
    <t>NB</t>
  </si>
  <si>
    <t>BOUCHER, Alex</t>
  </si>
  <si>
    <t>YENDLEY, Jordyn</t>
  </si>
  <si>
    <t>BONHAM, Maja</t>
  </si>
  <si>
    <t>BERTHIAUME, Anouk</t>
  </si>
  <si>
    <t>CELENTANO, Jensen</t>
  </si>
  <si>
    <t>CIRONE, Cristina</t>
  </si>
  <si>
    <t>YAZHEMSKY, Vanessa</t>
  </si>
  <si>
    <t>FLYNN, Gabby</t>
  </si>
  <si>
    <t>MAJOR, Lilyclaire</t>
  </si>
  <si>
    <t>FERNANDES, Antonio</t>
  </si>
  <si>
    <t>RYBKA, Ben</t>
  </si>
  <si>
    <t>CAMIRAND, Jean-Philippe</t>
  </si>
  <si>
    <t>LAFRENIÈRE, Philippe</t>
  </si>
  <si>
    <t>CLARKE, Elias</t>
  </si>
  <si>
    <t>HARRISON, Emily</t>
  </si>
  <si>
    <t>CHAU, Emma</t>
  </si>
  <si>
    <t>KORBUT, Kendra</t>
  </si>
  <si>
    <t>LUPISH, Kieran</t>
  </si>
  <si>
    <t>STANNARD, Adam</t>
  </si>
  <si>
    <t>MANCINI, Michael</t>
  </si>
  <si>
    <t>ZUREK, Nolan</t>
  </si>
  <si>
    <t>UVAKOV, Chris</t>
  </si>
  <si>
    <t>P</t>
  </si>
  <si>
    <t>Potential Injury Score</t>
  </si>
  <si>
    <t>***Artur, Chris, and Adin's Prelims and Finals swapped for spreadsheet compatibility</t>
  </si>
  <si>
    <t>2019 Elite Canada</t>
  </si>
  <si>
    <t>LOVE, Ethan</t>
  </si>
  <si>
    <t>MCCAIG, Abby</t>
  </si>
  <si>
    <t>ROSS, Eliane</t>
  </si>
  <si>
    <t>NAGANO, Mariko</t>
  </si>
  <si>
    <t>PHANEUF, Zoe</t>
  </si>
  <si>
    <t>DODD, Kristina</t>
  </si>
  <si>
    <t>PILLINGER, Taylor</t>
  </si>
  <si>
    <t>Remove athlete:</t>
  </si>
  <si>
    <t>Finals DD</t>
  </si>
  <si>
    <t>***Team DD contrived for 2019 rules</t>
  </si>
  <si>
    <t>2019 Rule Change - DD in Finals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</si>
</sst>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7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4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16" borderId="0" xfId="0" applyNumberFormat="1" applyFont="1" applyFill="1" applyProtection="1">
      <protection locked="0"/>
    </xf>
    <xf numFmtId="164" fontId="9" fillId="17" borderId="0" xfId="0" applyNumberFormat="1" applyFont="1" applyFill="1" applyProtection="1">
      <protection locked="0"/>
    </xf>
    <xf numFmtId="164" fontId="11" fillId="18" borderId="0" xfId="0" applyNumberFormat="1" applyFont="1" applyFill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9" borderId="0" xfId="0" applyFont="1" applyFill="1" applyAlignment="1"/>
    <xf numFmtId="0" fontId="2" fillId="20" borderId="0" xfId="0" applyFont="1" applyFill="1" applyAlignment="1"/>
    <xf numFmtId="164" fontId="21" fillId="19" borderId="0" xfId="0" applyNumberFormat="1" applyFont="1" applyFill="1" applyProtection="1">
      <protection locked="0"/>
    </xf>
    <xf numFmtId="164" fontId="2" fillId="20" borderId="0" xfId="0" applyNumberFormat="1" applyFont="1" applyFill="1" applyProtection="1">
      <protection locked="0"/>
    </xf>
    <xf numFmtId="164" fontId="2" fillId="22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164" fontId="21" fillId="19" borderId="0" xfId="0" applyNumberFormat="1" applyFont="1" applyFill="1" applyAlignment="1" applyProtection="1">
      <protection locked="0"/>
    </xf>
    <xf numFmtId="164" fontId="2" fillId="20" borderId="0" xfId="0" applyNumberFormat="1" applyFont="1" applyFill="1" applyAlignment="1" applyProtection="1">
      <protection locked="0"/>
    </xf>
    <xf numFmtId="164" fontId="21" fillId="21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 applyProtection="1">
      <alignment horizontal="center"/>
      <protection locked="0"/>
    </xf>
    <xf numFmtId="0" fontId="3" fillId="11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62"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38</xdr:row>
          <xdr:rowOff>25400</xdr:rowOff>
        </xdr:from>
        <xdr:to>
          <xdr:col>0</xdr:col>
          <xdr:colOff>965200</xdr:colOff>
          <xdr:row>38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965200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965200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41</xdr:row>
          <xdr:rowOff>25400</xdr:rowOff>
        </xdr:from>
        <xdr:to>
          <xdr:col>0</xdr:col>
          <xdr:colOff>977900</xdr:colOff>
          <xdr:row>41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43</xdr:row>
          <xdr:rowOff>25400</xdr:rowOff>
        </xdr:from>
        <xdr:to>
          <xdr:col>0</xdr:col>
          <xdr:colOff>977900</xdr:colOff>
          <xdr:row>43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44</xdr:row>
          <xdr:rowOff>25400</xdr:rowOff>
        </xdr:from>
        <xdr:to>
          <xdr:col>0</xdr:col>
          <xdr:colOff>965200</xdr:colOff>
          <xdr:row>44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42</xdr:row>
          <xdr:rowOff>25400</xdr:rowOff>
        </xdr:from>
        <xdr:to>
          <xdr:col>0</xdr:col>
          <xdr:colOff>977900</xdr:colOff>
          <xdr:row>42</xdr:row>
          <xdr:rowOff>177800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5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39</v>
      </c>
      <c r="B1" t="s">
        <v>1</v>
      </c>
      <c r="C1" t="s">
        <v>41</v>
      </c>
      <c r="D1" t="s">
        <v>9</v>
      </c>
      <c r="E1" s="46"/>
      <c r="F1" s="46"/>
      <c r="J1" s="46"/>
      <c r="K1" s="46"/>
      <c r="L1" s="46"/>
    </row>
    <row r="2" spans="1:12" x14ac:dyDescent="0.2">
      <c r="A2" s="11" t="s">
        <v>40</v>
      </c>
      <c r="B2" s="11">
        <v>1</v>
      </c>
      <c r="C2" s="11" t="str">
        <f>IF(B2&gt;MAX('TRA-M'!A:A),"",INDEX('TRA-M'!B:B,MATCH(B2,'TRA-M'!A:A,0)))</f>
        <v>DWYER, Kai</v>
      </c>
      <c r="D2" s="11" t="str">
        <f>IF(B2&gt;MAX('TRA-M'!A:A),"",INDEX('TRA-M'!I:I,MATCH(B2,'TRA-M'!A:A,0)))</f>
        <v>Excellence</v>
      </c>
      <c r="E2" s="26"/>
      <c r="F2" s="26"/>
    </row>
    <row r="3" spans="1:12" x14ac:dyDescent="0.2">
      <c r="A3" s="11"/>
      <c r="B3" s="11">
        <v>2</v>
      </c>
      <c r="C3" s="11" t="str">
        <f>IF(B3&gt;MAX('TRA-M'!A:A),"",INDEX('TRA-M'!B:B,MATCH(B3,'TRA-M'!A:A,0)))</f>
        <v>DODD, Gavin</v>
      </c>
      <c r="D3" s="11" t="str">
        <f>IF(B3&gt;MAX('TRA-M'!A:A),"",INDEX('TRA-M'!I:I,MATCH(B3,'TRA-M'!A:A,0)))</f>
        <v>National Team</v>
      </c>
      <c r="E3" s="26"/>
      <c r="F3" s="26"/>
    </row>
    <row r="4" spans="1:12" x14ac:dyDescent="0.2">
      <c r="A4" s="11"/>
      <c r="B4" s="11">
        <v>3</v>
      </c>
      <c r="C4" s="11" t="str">
        <f>IF(B4&gt;MAX('TRA-M'!A:A),"",INDEX('TRA-M'!B:B,MATCH(B4,'TRA-M'!A:A,0)))</f>
        <v>LOVE, Ethan</v>
      </c>
      <c r="D4" s="11" t="str">
        <f>IF(B4&gt;MAX('TRA-M'!A:A),"",INDEX('TRA-M'!I:I,MATCH(B4,'TRA-M'!A:A,0)))</f>
        <v>National Team</v>
      </c>
      <c r="E4" s="26"/>
      <c r="F4" s="26"/>
    </row>
    <row r="5" spans="1:12" x14ac:dyDescent="0.2">
      <c r="A5" s="11"/>
      <c r="B5" s="11">
        <v>4</v>
      </c>
      <c r="C5" s="11" t="str">
        <f>IF(B5&gt;MAX('TRA-M'!A:A),"",INDEX('TRA-M'!B:B,MATCH(B5,'TRA-M'!A:A,0)))</f>
        <v>McLEAN, Declan</v>
      </c>
      <c r="D5" s="11" t="str">
        <f>IF(B5&gt;MAX('TRA-M'!A:A),"",INDEX('TRA-M'!I:I,MATCH(B5,'TRA-M'!A:A,0)))</f>
        <v>National Team</v>
      </c>
    </row>
    <row r="6" spans="1:12" x14ac:dyDescent="0.2">
      <c r="A6" s="11"/>
      <c r="B6" s="11">
        <v>5</v>
      </c>
      <c r="C6" s="11" t="str">
        <f>IF(B6&gt;MAX('TRA-M'!A:A),"",INDEX('TRA-M'!B:B,MATCH(B6,'TRA-M'!A:A,0)))</f>
        <v>CARLSON, Roman</v>
      </c>
      <c r="D6" s="11" t="str">
        <f>IF(B6&gt;MAX('TRA-M'!A:A),"",INDEX('TRA-M'!I:I,MATCH(B6,'TRA-M'!A:A,0)))</f>
        <v>No DD</v>
      </c>
    </row>
    <row r="7" spans="1:12" x14ac:dyDescent="0.2">
      <c r="A7" s="11"/>
      <c r="B7" s="11">
        <v>6</v>
      </c>
      <c r="C7" s="11" t="str">
        <f>IF(B7&gt;MAX('TRA-M'!A:A),"",INDEX('TRA-M'!B:B,MATCH(B7,'TRA-M'!A:A,0)))</f>
        <v>LAVALLÉE, Zachary</v>
      </c>
      <c r="D7" s="11" t="str">
        <f>IF(B7&gt;MAX('TRA-M'!A:A),"",INDEX('TRA-M'!I:I,MATCH(B7,'TRA-M'!A:A,0)))</f>
        <v>No DD</v>
      </c>
      <c r="G7" s="47"/>
    </row>
    <row r="8" spans="1:12" x14ac:dyDescent="0.2">
      <c r="A8" s="14" t="s">
        <v>43</v>
      </c>
      <c r="B8" s="14">
        <v>1</v>
      </c>
      <c r="C8" s="14" t="str">
        <f>IF(B2&gt;MAX('TRA-W'!A:A),"",INDEX('TRA-W'!B:B,MATCH(B2,'TRA-W'!A:A,0)))</f>
        <v>BOUCHER, Alex</v>
      </c>
      <c r="D8" s="14" t="str">
        <f>IF(B2&gt;MAX('TRA-W'!A:A),"",INDEX('TRA-W'!I:I,MATCH(B2,'TRA-W'!A:A,0)))</f>
        <v>National Team</v>
      </c>
    </row>
    <row r="9" spans="1:12" x14ac:dyDescent="0.2">
      <c r="A9" s="14"/>
      <c r="B9" s="14">
        <v>2</v>
      </c>
      <c r="C9" s="14" t="str">
        <f>IF(B3&gt;MAX('TRA-W'!A:A),"",INDEX('TRA-W'!B:B,MATCH(B3,'TRA-W'!A:A,0)))</f>
        <v>BONHAM, Maja</v>
      </c>
      <c r="D9" s="14" t="str">
        <f>IF(B3&gt;MAX('TRA-W'!A:A),"",INDEX('TRA-W'!I:I,MATCH(B3,'TRA-W'!A:A,0)))</f>
        <v>National Team</v>
      </c>
    </row>
    <row r="10" spans="1:12" x14ac:dyDescent="0.2">
      <c r="A10" s="14"/>
      <c r="B10" s="14">
        <v>3</v>
      </c>
      <c r="C10" s="14" t="str">
        <f>IF(B4&gt;MAX('TRA-W'!A:A),"",INDEX('TRA-W'!B:B,MATCH(B4,'TRA-W'!A:A,0)))</f>
        <v>FLYNN, Gabby</v>
      </c>
      <c r="D10" s="14" t="str">
        <f>IF(B4&gt;MAX('TRA-W'!A:A),"",INDEX('TRA-W'!I:I,MATCH(B4,'TRA-W'!A:A,0)))</f>
        <v>National Team</v>
      </c>
    </row>
    <row r="11" spans="1:12" x14ac:dyDescent="0.2">
      <c r="A11" s="14"/>
      <c r="B11" s="14">
        <v>4</v>
      </c>
      <c r="C11" s="14" t="str">
        <f>IF(B5&gt;MAX('TRA-W'!A:A),"",INDEX('TRA-W'!B:B,MATCH(B5,'TRA-W'!A:A,0)))</f>
        <v>NAGANO, Mariko</v>
      </c>
      <c r="D11" s="14" t="str">
        <f>IF(B5&gt;MAX('TRA-W'!A:A),"",INDEX('TRA-W'!I:I,MATCH(B5,'TRA-W'!A:A,0)))</f>
        <v>No DD</v>
      </c>
    </row>
    <row r="12" spans="1:12" x14ac:dyDescent="0.2">
      <c r="A12" s="14"/>
      <c r="B12" s="14">
        <v>5</v>
      </c>
      <c r="C12" s="14" t="str">
        <f>IF(B6&gt;MAX('TRA-W'!A:A),"",INDEX('TRA-W'!B:B,MATCH(B6,'TRA-W'!A:A,0)))</f>
        <v>ROSS, Eliane</v>
      </c>
      <c r="D12" s="14" t="str">
        <f>IF(B6&gt;MAX('TRA-W'!A:A),"",INDEX('TRA-W'!I:I,MATCH(B6,'TRA-W'!A:A,0)))</f>
        <v>No DD</v>
      </c>
    </row>
    <row r="13" spans="1:12" hidden="1" x14ac:dyDescent="0.2">
      <c r="A13" s="14"/>
      <c r="B13" s="14">
        <v>6</v>
      </c>
      <c r="C13" s="14" t="str">
        <f>IF(B7&gt;MAX('TRA-W'!A:A),"",INDEX('TRA-W'!B:B,MATCH(B7,'TRA-W'!A:A,0)))</f>
        <v/>
      </c>
      <c r="D13" s="14" t="str">
        <f>IF(B7&gt;MAX('TRA-W'!A:A),"",INDEX('TRA-W'!I:I,MATCH(B7,'TRA-W'!A:A,0)))</f>
        <v/>
      </c>
    </row>
    <row r="14" spans="1:12" x14ac:dyDescent="0.2">
      <c r="A14" s="11" t="s">
        <v>44</v>
      </c>
      <c r="B14" s="11">
        <v>1</v>
      </c>
      <c r="C14" s="11" t="str">
        <f>IF(B2&gt;MAX('TUM-M'!A:A),"",INDEX('TUM-M'!B:B,MATCH(B2,'TUM-M'!A:A,0)))</f>
        <v>FERNANDES, Antonio</v>
      </c>
      <c r="D14" s="11" t="str">
        <f>IF(B2&gt;MAX('TUM-M'!A:A),"",INDEX('TUM-M'!I:I,MATCH(B2,'TUM-M'!A:A,0)))</f>
        <v>National Team</v>
      </c>
    </row>
    <row r="15" spans="1:12" x14ac:dyDescent="0.2">
      <c r="A15" s="11"/>
      <c r="B15" s="11">
        <v>2</v>
      </c>
      <c r="C15" s="11" t="str">
        <f>IF(B3&gt;MAX('TUM-M'!A:A),"",INDEX('TUM-M'!B:B,MATCH(B3,'TUM-M'!A:A,0)))</f>
        <v>CAMIRAND, Jean-Philippe</v>
      </c>
      <c r="D15" s="11" t="str">
        <f>IF(B3&gt;MAX('TUM-M'!A:A),"",INDEX('TUM-M'!I:I,MATCH(B3,'TUM-M'!A:A,0)))</f>
        <v>No DD</v>
      </c>
    </row>
    <row r="16" spans="1:12" hidden="1" x14ac:dyDescent="0.2">
      <c r="A16" s="11"/>
      <c r="B16" s="11">
        <v>3</v>
      </c>
      <c r="C16" s="11" t="str">
        <f>IF(B4&gt;MAX('TUM-M'!A:A),"",INDEX('TUM-M'!B:B,MATCH(B4,'TUM-M'!A:A,0)))</f>
        <v/>
      </c>
      <c r="D16" s="11" t="str">
        <f>IF(B4&gt;MAX('TUM-M'!A:A),"",INDEX('TUM-M'!I:I,MATCH(B4,'TUM-M'!A:A,0)))</f>
        <v/>
      </c>
    </row>
    <row r="17" spans="1:4" hidden="1" x14ac:dyDescent="0.2">
      <c r="A17" s="11"/>
      <c r="B17" s="11">
        <v>4</v>
      </c>
      <c r="C17" s="11" t="str">
        <f>IF(B5&gt;MAX('TUM-M'!A:A),"",INDEX('TUM-M'!B:B,MATCH(B5,'TUM-M'!A:A,0)))</f>
        <v/>
      </c>
      <c r="D17" s="11" t="str">
        <f>IF(B5&gt;MAX('TUM-M'!A:A),"",INDEX('TUM-M'!I:I,MATCH(B5,'TUM-M'!A:A,0)))</f>
        <v/>
      </c>
    </row>
    <row r="18" spans="1:4" hidden="1" x14ac:dyDescent="0.2">
      <c r="A18" s="11"/>
      <c r="B18" s="11">
        <v>5</v>
      </c>
      <c r="C18" s="11" t="str">
        <f>IF(B6&gt;MAX('TUM-M'!A:A),"",INDEX('TUM-M'!B:B,MATCH(B6,'TUM-M'!A:A,0)))</f>
        <v/>
      </c>
      <c r="D18" s="11" t="str">
        <f>IF(B6&gt;MAX('TUM-M'!A:A),"",INDEX('TUM-M'!I:I,MATCH(B6,'TUM-M'!A:A,0)))</f>
        <v/>
      </c>
    </row>
    <row r="19" spans="1:4" hidden="1" x14ac:dyDescent="0.2">
      <c r="A19" s="11"/>
      <c r="B19" s="11">
        <v>6</v>
      </c>
      <c r="C19" s="11" t="str">
        <f>IF(B7&gt;MAX('TUM-M'!A:A),"",INDEX('TUM-M'!B:B,MATCH(B7,'TUM-M'!A:A,0)))</f>
        <v/>
      </c>
      <c r="D19" s="11" t="str">
        <f>IF(B7&gt;MAX('TUM-M'!A:A),"",INDEX('TUM-M'!I:I,MATCH(B7,'TUM-M'!A:A,0)))</f>
        <v/>
      </c>
    </row>
    <row r="20" spans="1:4" x14ac:dyDescent="0.2">
      <c r="A20" s="14" t="s">
        <v>45</v>
      </c>
      <c r="B20" s="14">
        <v>1</v>
      </c>
      <c r="C20" s="14" t="str">
        <f>IF(B2&gt;MAX('TUM-W'!A:A),"",INDEX('TUM-W'!B:B,MATCH(B2,'TUM-W'!A:A,0)))</f>
        <v>HARRISON, Emily</v>
      </c>
      <c r="D20" s="14" t="str">
        <f>IF(B2&gt;MAX('TUM-W'!A:A),"",INDEX('TUM-W'!I:I,MATCH(B2,'TUM-W'!A:A,0)))</f>
        <v>National Team</v>
      </c>
    </row>
    <row r="21" spans="1:4" x14ac:dyDescent="0.2">
      <c r="A21" s="14"/>
      <c r="B21" s="14">
        <v>2</v>
      </c>
      <c r="C21" s="14" t="str">
        <f>IF(B3&gt;MAX('TUM-W'!A:A),"",INDEX('TUM-W'!B:B,MATCH(B3,'TUM-W'!A:A,0)))</f>
        <v>CHAU, Emma</v>
      </c>
      <c r="D21" s="14" t="str">
        <f>IF(B3&gt;MAX('TUM-W'!A:A),"",INDEX('TUM-W'!I:I,MATCH(B3,'TUM-W'!A:A,0)))</f>
        <v>National Team</v>
      </c>
    </row>
    <row r="22" spans="1:4" x14ac:dyDescent="0.2">
      <c r="A22" s="14"/>
      <c r="B22" s="14">
        <v>3</v>
      </c>
      <c r="C22" s="14" t="str">
        <f>IF(B4&gt;MAX('TUM-W'!A:A),"",INDEX('TUM-W'!B:B,MATCH(B4,'TUM-W'!A:A,0)))</f>
        <v>FOREST, Alexandra</v>
      </c>
      <c r="D22" s="14" t="str">
        <f>IF(B4&gt;MAX('TUM-W'!A:A),"",INDEX('TUM-W'!I:I,MATCH(B4,'TUM-W'!A:A,0)))</f>
        <v>National Team</v>
      </c>
    </row>
    <row r="23" spans="1:4" x14ac:dyDescent="0.2">
      <c r="A23" s="14"/>
      <c r="B23" s="14">
        <v>4</v>
      </c>
      <c r="C23" s="14" t="str">
        <f>IF(B5&gt;MAX('TUM-W'!A:A),"",INDEX('TUM-W'!B:B,MATCH(B5,'TUM-W'!A:A,0)))</f>
        <v>KORBUT, Kendra</v>
      </c>
      <c r="D23" s="14" t="str">
        <f>IF(B5&gt;MAX('TUM-W'!A:A),"",INDEX('TUM-W'!I:I,MATCH(B5,'TUM-W'!A:A,0)))</f>
        <v>National Team</v>
      </c>
    </row>
    <row r="24" spans="1:4" hidden="1" x14ac:dyDescent="0.2">
      <c r="A24" s="14"/>
      <c r="B24" s="14">
        <v>5</v>
      </c>
      <c r="C24" s="14" t="str">
        <f>IF(B6&gt;MAX('TUM-W'!A:A),"",INDEX('TUM-W'!B:B,MATCH(B6,'TUM-W'!A:A,0)))</f>
        <v/>
      </c>
      <c r="D24" s="14" t="str">
        <f>IF(B6&gt;MAX('TUM-W'!A:A),"",INDEX('TUM-W'!I:I,MATCH(B6,'TUM-W'!A:A,0)))</f>
        <v/>
      </c>
    </row>
    <row r="25" spans="1:4" hidden="1" x14ac:dyDescent="0.2">
      <c r="A25" s="14"/>
      <c r="B25" s="14">
        <v>6</v>
      </c>
      <c r="C25" s="14" t="str">
        <f>IF(B7&gt;MAX('TUM-W'!A:A),"",INDEX('TUM-W'!B:B,MATCH(B7,'TUM-W'!A:A,0)))</f>
        <v/>
      </c>
      <c r="D25" s="14" t="str">
        <f>IF(B7&gt;MAX('TUM-W'!A:A),"",INDEX('TUM-W'!I:I,MATCH(B7,'TUM-W'!A:A,0)))</f>
        <v/>
      </c>
    </row>
    <row r="26" spans="1:4" x14ac:dyDescent="0.2">
      <c r="A26" s="11" t="s">
        <v>46</v>
      </c>
      <c r="B26" s="11">
        <v>1</v>
      </c>
      <c r="C26" s="11" t="str">
        <f>IF(B2&gt;MAX('DMT-M'!A:A),"",INDEX('DMT-M'!B:B,MATCH(B2,'DMT-M'!A:A,0)))</f>
        <v>DODD, Gavin</v>
      </c>
      <c r="D26" s="11" t="str">
        <f>IF(B2&gt;MAX('DMT-M'!A:A),"",INDEX('DMT-M'!I:I,MATCH(B2,'DMT-M'!A:A,0)))</f>
        <v>Excellence</v>
      </c>
    </row>
    <row r="27" spans="1:4" x14ac:dyDescent="0.2">
      <c r="A27" s="11"/>
      <c r="B27" s="11">
        <v>2</v>
      </c>
      <c r="C27" s="11" t="str">
        <f>IF(B3&gt;MAX('DMT-M'!A:A),"",INDEX('DMT-M'!B:B,MATCH(B3,'DMT-M'!A:A,0)))</f>
        <v>LUPISH, Kieran</v>
      </c>
      <c r="D27" s="11" t="str">
        <f>IF(B3&gt;MAX('DMT-M'!A:A),"",INDEX('DMT-M'!I:I,MATCH(B3,'DMT-M'!A:A,0)))</f>
        <v>Excellence</v>
      </c>
    </row>
    <row r="28" spans="1:4" x14ac:dyDescent="0.2">
      <c r="A28" s="11"/>
      <c r="B28" s="11">
        <v>3</v>
      </c>
      <c r="C28" s="11" t="str">
        <f>IF(B4&gt;MAX('DMT-M'!A:A),"",INDEX('DMT-M'!B:B,MATCH(B4,'DMT-M'!A:A,0)))</f>
        <v>ARMSTRONG, Owen</v>
      </c>
      <c r="D28" s="11" t="str">
        <f>IF(B4&gt;MAX('DMT-M'!A:A),"",INDEX('DMT-M'!I:I,MATCH(B4,'DMT-M'!A:A,0)))</f>
        <v>National Team</v>
      </c>
    </row>
    <row r="29" spans="1:4" x14ac:dyDescent="0.2">
      <c r="A29" s="11"/>
      <c r="B29" s="11">
        <v>4</v>
      </c>
      <c r="C29" s="11" t="str">
        <f>IF(B5&gt;MAX('DMT-M'!A:A),"",INDEX('DMT-M'!B:B,MATCH(B5,'DMT-M'!A:A,0)))</f>
        <v>UVAKOV, Chris</v>
      </c>
      <c r="D29" s="11" t="str">
        <f>IF(B5&gt;MAX('DMT-M'!A:A),"",INDEX('DMT-M'!I:I,MATCH(B5,'DMT-M'!A:A,0)))</f>
        <v>No DD</v>
      </c>
    </row>
    <row r="30" spans="1:4" hidden="1" x14ac:dyDescent="0.2">
      <c r="A30" s="11"/>
      <c r="B30" s="11">
        <v>5</v>
      </c>
      <c r="C30" s="11" t="str">
        <f>IF(B6&gt;MAX('DMT-M'!A:A),"",INDEX('DMT-M'!B:B,MATCH(B6,'DMT-M'!A:A,0)))</f>
        <v/>
      </c>
      <c r="D30" s="11" t="str">
        <f>IF(B6&gt;MAX('DMT-M'!A:A),"",INDEX('DMT-M'!I:I,MATCH(B6,'DMT-M'!A:A,0)))</f>
        <v/>
      </c>
    </row>
    <row r="31" spans="1:4" hidden="1" x14ac:dyDescent="0.2">
      <c r="A31" s="11"/>
      <c r="B31" s="11">
        <v>6</v>
      </c>
      <c r="C31" s="11" t="str">
        <f>IF(B7&gt;MAX('DMT-M'!A:A),"",INDEX('DMT-M'!B:B,MATCH(B7,'DMT-M'!A:A,0)))</f>
        <v/>
      </c>
      <c r="D31" s="11" t="str">
        <f>IF(B7&gt;MAX('DMT-M'!A:A),"",INDEX('DMT-M'!I:I,MATCH(B7,'DMT-M'!A:A,0)))</f>
        <v/>
      </c>
    </row>
    <row r="32" spans="1:4" x14ac:dyDescent="0.2">
      <c r="A32" s="14" t="s">
        <v>47</v>
      </c>
      <c r="B32" s="14">
        <v>1</v>
      </c>
      <c r="C32" s="14" t="str">
        <f>IF(B2&gt;MAX('DMT-W'!A:A),"",INDEX('DMT-W'!B:B,MATCH(B2,'DMT-W'!A:A,0)))</f>
        <v>YENDLEY, Jordyn</v>
      </c>
      <c r="D32" s="14" t="str">
        <f>IF(B2&gt;MAX('DMT-W'!A:A),"",INDEX('DMT-W'!I:I,MATCH(B2,'DMT-W'!A:A,0)))</f>
        <v>National Team</v>
      </c>
    </row>
    <row r="33" spans="1:5" x14ac:dyDescent="0.2">
      <c r="A33" s="14"/>
      <c r="B33" s="14">
        <v>2</v>
      </c>
      <c r="C33" s="14" t="str">
        <f>IF(B3&gt;MAX('DMT-W'!A:A),"",INDEX('DMT-W'!B:B,MATCH(B3,'DMT-W'!A:A,0)))</f>
        <v>DODD, Kristina</v>
      </c>
      <c r="D33" s="14" t="str">
        <f>IF(B3&gt;MAX('DMT-W'!A:A),"",INDEX('DMT-W'!I:I,MATCH(B3,'DMT-W'!A:A,0)))</f>
        <v>National Team</v>
      </c>
    </row>
    <row r="34" spans="1:5" x14ac:dyDescent="0.2">
      <c r="A34" s="14"/>
      <c r="B34" s="14">
        <v>3</v>
      </c>
      <c r="C34" s="14" t="str">
        <f>IF(B4&gt;MAX('DMT-W'!A:A),"",INDEX('DMT-W'!B:B,MATCH(B4,'DMT-W'!A:A,0)))</f>
        <v>MCCAIG, Abby</v>
      </c>
      <c r="D34" s="14" t="str">
        <f>IF(B4&gt;MAX('DMT-W'!A:A),"",INDEX('DMT-W'!I:I,MATCH(B4,'DMT-W'!A:A,0)))</f>
        <v>National Team</v>
      </c>
    </row>
    <row r="35" spans="1:5" x14ac:dyDescent="0.2">
      <c r="A35" s="14"/>
      <c r="B35" s="14">
        <v>4</v>
      </c>
      <c r="C35" s="14" t="str">
        <f>IF(B5&gt;MAX('DMT-W'!A:A),"",INDEX('DMT-W'!B:B,MATCH(B5,'DMT-W'!A:A,0)))</f>
        <v>PHANEUF, Zoe</v>
      </c>
      <c r="D35" s="14" t="str">
        <f>IF(B5&gt;MAX('DMT-W'!A:A),"",INDEX('DMT-W'!I:I,MATCH(B5,'DMT-W'!A:A,0)))</f>
        <v>National Team</v>
      </c>
    </row>
    <row r="36" spans="1:5" x14ac:dyDescent="0.2">
      <c r="A36" s="14"/>
      <c r="B36" s="14">
        <v>5</v>
      </c>
      <c r="C36" s="14" t="str">
        <f>IF(B6&gt;MAX('DMT-W'!A:A),"",INDEX('DMT-W'!B:B,MATCH(B6,'DMT-W'!A:A,0)))</f>
        <v>BOUCHER, Alex</v>
      </c>
      <c r="D36" s="14" t="str">
        <f>IF(B6&gt;MAX('DMT-W'!A:A),"",INDEX('DMT-W'!I:I,MATCH(B6,'DMT-W'!A:A,0)))</f>
        <v>National Team</v>
      </c>
    </row>
    <row r="37" spans="1:5" hidden="1" x14ac:dyDescent="0.2">
      <c r="A37" s="14"/>
      <c r="B37" s="14">
        <v>6</v>
      </c>
      <c r="C37" s="14" t="str">
        <f>IF(B7&gt;MAX('DMT-W'!A:A),"",INDEX('DMT-W'!B:B,MATCH(B7,'DMT-W'!A:A,0)))</f>
        <v/>
      </c>
      <c r="D37" s="14" t="str">
        <f>IF(B7&gt;MAX('DMT-W'!A:A),"",INDEX('DMT-W'!I:I,MATCH(B7,'DMT-W'!A:A,0)))</f>
        <v/>
      </c>
    </row>
    <row r="39" spans="1:5" x14ac:dyDescent="0.2">
      <c r="B39" s="46" t="s">
        <v>38</v>
      </c>
    </row>
    <row r="40" spans="1:5" x14ac:dyDescent="0.2">
      <c r="B40" s="46" t="s">
        <v>36</v>
      </c>
    </row>
    <row r="41" spans="1:5" x14ac:dyDescent="0.2">
      <c r="B41" s="46" t="s">
        <v>37</v>
      </c>
    </row>
    <row r="42" spans="1:5" x14ac:dyDescent="0.2">
      <c r="B42" s="26" t="s">
        <v>59</v>
      </c>
      <c r="D42" s="46" t="s">
        <v>57</v>
      </c>
    </row>
    <row r="43" spans="1:5" x14ac:dyDescent="0.2">
      <c r="B43" s="26" t="s">
        <v>130</v>
      </c>
      <c r="D43" s="46" t="s">
        <v>57</v>
      </c>
      <c r="E43" t="s">
        <v>57</v>
      </c>
    </row>
    <row r="44" spans="1:5" x14ac:dyDescent="0.2">
      <c r="B44" s="46" t="s">
        <v>58</v>
      </c>
      <c r="D44" s="46"/>
    </row>
    <row r="45" spans="1:5" x14ac:dyDescent="0.2">
      <c r="B45" s="46" t="s">
        <v>60</v>
      </c>
      <c r="D45" s="46" t="s">
        <v>57</v>
      </c>
    </row>
    <row r="46" spans="1:5" x14ac:dyDescent="0.2">
      <c r="A46" t="s">
        <v>42</v>
      </c>
      <c r="B46" s="109">
        <v>43620</v>
      </c>
      <c r="C46" s="109"/>
    </row>
    <row r="47" spans="1:5" x14ac:dyDescent="0.2">
      <c r="B47" t="s">
        <v>122</v>
      </c>
    </row>
    <row r="48" spans="1:5" x14ac:dyDescent="0.2">
      <c r="B48" t="s">
        <v>133</v>
      </c>
    </row>
    <row r="49" spans="2:5" x14ac:dyDescent="0.2">
      <c r="B49" s="46"/>
      <c r="D49" s="107"/>
      <c r="E49" s="108"/>
    </row>
    <row r="50" spans="2:5" x14ac:dyDescent="0.2">
      <c r="B50" s="46"/>
    </row>
    <row r="51" spans="2:5" x14ac:dyDescent="0.2">
      <c r="B51" s="46"/>
    </row>
  </sheetData>
  <sheetProtection formatCells="0" formatColumns="0" formatRows="0"/>
  <mergeCells count="1">
    <mergeCell ref="B46:C46"/>
  </mergeCells>
  <conditionalFormatting sqref="D2:D37">
    <cfRule type="containsText" dxfId="161" priority="1" operator="containsText" text="No DD">
      <formula>NOT(ISERROR(SEARCH("No DD",D2)))</formula>
    </cfRule>
    <cfRule type="containsText" dxfId="160" priority="4" operator="containsText" text="Merit">
      <formula>NOT(ISERROR(SEARCH("Merit",D2)))</formula>
    </cfRule>
    <cfRule type="containsText" dxfId="159" priority="5" operator="containsText" text="Excellence">
      <formula>NOT(ISERROR(SEARCH("Excellence",D2)))</formula>
    </cfRule>
    <cfRule type="containsText" dxfId="158" priority="6" operator="containsText" text="Worlds Team">
      <formula>NOT(ISERROR(SEARCH("Worlds Team",D2)))</formula>
    </cfRule>
    <cfRule type="containsText" dxfId="15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45 D42:D43" xr:uid="{D08F591B-E1ED-7A40-99FD-CEC4A428C792}">
      <formula1>"Select,TRA-M,TRA-W,TUM-M,TUM-W,DMT-M,DMT-W"</formula1>
    </dataValidation>
    <dataValidation type="list" allowBlank="1" showInputMessage="1" showErrorMessage="1" sqref="E43" xr:uid="{9EDE9D74-91F4-DA48-84F3-DA924839CF91}">
      <formula1>IF($D$43="Select",D43,INDIRECT("'"&amp;$D$43&amp;"'!"&amp;"B4:B"&amp;MATCH(TRUE,INDEX(INDIRECT("'"&amp;$D$43&amp;"'!"&amp;"B4:B100")="",0),0)+2))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38</xdr:row>
                    <xdr:rowOff>25400</xdr:rowOff>
                  </from>
                  <to>
                    <xdr:col>0</xdr:col>
                    <xdr:colOff>965200</xdr:colOff>
                    <xdr:row>38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965200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965200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41</xdr:row>
                    <xdr:rowOff>25400</xdr:rowOff>
                  </from>
                  <to>
                    <xdr:col>0</xdr:col>
                    <xdr:colOff>977900</xdr:colOff>
                    <xdr:row>41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43</xdr:row>
                    <xdr:rowOff>25400</xdr:rowOff>
                  </from>
                  <to>
                    <xdr:col>0</xdr:col>
                    <xdr:colOff>977900</xdr:colOff>
                    <xdr:row>43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44</xdr:row>
                    <xdr:rowOff>25400</xdr:rowOff>
                  </from>
                  <to>
                    <xdr:col>0</xdr:col>
                    <xdr:colOff>965200</xdr:colOff>
                    <xdr:row>44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42</xdr:row>
                    <xdr:rowOff>25400</xdr:rowOff>
                  </from>
                  <to>
                    <xdr:col>0</xdr:col>
                    <xdr:colOff>977900</xdr:colOff>
                    <xdr:row>42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S5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hidden="1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0" max="70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12" t="s">
        <v>1</v>
      </c>
      <c r="B1" s="112" t="s">
        <v>26</v>
      </c>
      <c r="C1" s="112" t="s">
        <v>0</v>
      </c>
      <c r="D1" s="112" t="s">
        <v>56</v>
      </c>
      <c r="E1" s="112" t="s">
        <v>2</v>
      </c>
      <c r="F1" s="113" t="s">
        <v>51</v>
      </c>
      <c r="G1" s="113" t="s">
        <v>50</v>
      </c>
      <c r="H1" s="112" t="s">
        <v>8</v>
      </c>
      <c r="I1" s="112" t="s">
        <v>9</v>
      </c>
      <c r="J1" s="114" t="s">
        <v>10</v>
      </c>
      <c r="K1" s="114" t="s">
        <v>33</v>
      </c>
      <c r="L1" s="114" t="s">
        <v>11</v>
      </c>
      <c r="M1" s="114" t="s">
        <v>33</v>
      </c>
      <c r="N1" s="114" t="s">
        <v>12</v>
      </c>
      <c r="O1" s="114" t="s">
        <v>33</v>
      </c>
      <c r="P1" s="114" t="s">
        <v>13</v>
      </c>
      <c r="Q1" s="114" t="s">
        <v>33</v>
      </c>
      <c r="R1" s="116" t="s">
        <v>14</v>
      </c>
      <c r="S1" s="114" t="s">
        <v>34</v>
      </c>
      <c r="T1" s="114" t="s">
        <v>33</v>
      </c>
      <c r="U1" s="115" t="s">
        <v>53</v>
      </c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7" t="s">
        <v>122</v>
      </c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8" t="s">
        <v>14</v>
      </c>
      <c r="BP1" s="118"/>
      <c r="BQ1" s="118"/>
      <c r="BR1" s="118"/>
      <c r="BS1" s="115" t="s">
        <v>63</v>
      </c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7" t="s">
        <v>62</v>
      </c>
      <c r="CP1" s="117"/>
      <c r="CQ1" s="117"/>
      <c r="CR1" s="117"/>
      <c r="CS1" s="117"/>
      <c r="CT1" s="117"/>
      <c r="CU1" s="117"/>
      <c r="CV1" s="117"/>
      <c r="CW1" s="117"/>
      <c r="CX1" s="117"/>
      <c r="CY1" s="117"/>
      <c r="CZ1" s="117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5" t="s">
        <v>64</v>
      </c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7" t="s">
        <v>65</v>
      </c>
      <c r="EH1" s="117"/>
      <c r="EI1" s="117"/>
      <c r="EJ1" s="117"/>
      <c r="EK1" s="117"/>
      <c r="EL1" s="117"/>
      <c r="EM1" s="117"/>
      <c r="EN1" s="117"/>
      <c r="EO1" s="117"/>
      <c r="EP1" s="117"/>
      <c r="EQ1" s="117"/>
      <c r="ER1" s="117"/>
      <c r="ES1" s="117"/>
      <c r="ET1" s="117"/>
      <c r="EU1" s="117"/>
      <c r="EV1" s="117"/>
      <c r="EW1" s="117"/>
      <c r="EX1" s="117"/>
      <c r="EY1" s="117"/>
      <c r="EZ1" s="117"/>
      <c r="FA1" s="117"/>
      <c r="FB1" s="117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7"/>
      <c r="FZ1" s="117"/>
      <c r="GA1" s="117"/>
      <c r="GB1" s="117"/>
      <c r="GC1" s="117"/>
      <c r="GD1" s="117"/>
      <c r="GE1" s="117"/>
      <c r="GF1" s="117"/>
      <c r="GG1" s="117"/>
      <c r="GH1" s="117"/>
      <c r="GI1" s="117"/>
      <c r="GJ1" s="117"/>
      <c r="GK1" s="117"/>
      <c r="GL1" s="117"/>
      <c r="GM1" s="117"/>
      <c r="GN1" s="117"/>
      <c r="GO1" s="117"/>
      <c r="GP1" s="117"/>
      <c r="GQ1" s="117"/>
      <c r="GR1" s="117"/>
      <c r="GS1" s="117"/>
      <c r="GT1" s="117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7"/>
      <c r="HR1" s="117"/>
      <c r="HS1" s="117"/>
      <c r="HT1" s="117"/>
      <c r="HU1" s="117"/>
      <c r="HV1" s="117"/>
      <c r="HW1" s="117"/>
      <c r="HX1" s="117"/>
      <c r="HY1" s="117"/>
      <c r="HZ1" s="117"/>
      <c r="IA1" s="117"/>
      <c r="IB1" s="117"/>
      <c r="IC1" s="117"/>
      <c r="ID1" s="117"/>
      <c r="IE1" s="117"/>
      <c r="IF1" s="117"/>
      <c r="IG1" s="117"/>
      <c r="IH1" s="117"/>
      <c r="II1" s="117"/>
      <c r="IJ1" s="117"/>
      <c r="IK1" s="117"/>
      <c r="IL1" s="117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7"/>
      <c r="JJ1" s="117"/>
      <c r="JK1" s="117"/>
      <c r="JL1" s="117"/>
      <c r="JM1" s="117"/>
      <c r="JN1" s="117"/>
      <c r="JO1" s="117"/>
      <c r="JP1" s="117"/>
      <c r="JQ1" s="117"/>
      <c r="JR1" s="117"/>
      <c r="JS1" s="117"/>
      <c r="JT1" s="117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7"/>
      <c r="LB1" s="117"/>
      <c r="LC1" s="117"/>
      <c r="LD1" s="117"/>
      <c r="LE1" s="117"/>
      <c r="LF1" s="117"/>
      <c r="LG1" s="117"/>
      <c r="LH1" s="117"/>
      <c r="LI1" s="117"/>
      <c r="LJ1" s="117"/>
      <c r="LK1" s="117"/>
      <c r="LL1" s="117"/>
      <c r="LM1" s="117"/>
      <c r="LN1" s="117"/>
      <c r="LO1" s="117"/>
      <c r="LP1" s="117"/>
      <c r="LQ1" s="117"/>
      <c r="LR1" s="117"/>
      <c r="LS1" s="117"/>
      <c r="LT1" s="117"/>
      <c r="LU1" s="117"/>
      <c r="LV1" s="117"/>
      <c r="LW1" s="115" t="s">
        <v>120</v>
      </c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</row>
    <row r="2" spans="1:357" x14ac:dyDescent="0.2">
      <c r="A2" s="112"/>
      <c r="B2" s="112"/>
      <c r="C2" s="112"/>
      <c r="D2" s="112"/>
      <c r="E2" s="112"/>
      <c r="F2" s="113"/>
      <c r="G2" s="113"/>
      <c r="H2" s="112"/>
      <c r="I2" s="112"/>
      <c r="J2" s="114"/>
      <c r="K2" s="114"/>
      <c r="L2" s="114"/>
      <c r="M2" s="114"/>
      <c r="N2" s="114"/>
      <c r="O2" s="114"/>
      <c r="P2" s="114"/>
      <c r="Q2" s="114"/>
      <c r="R2" s="116"/>
      <c r="S2" s="114"/>
      <c r="T2" s="114"/>
      <c r="U2" s="110" t="s">
        <v>19</v>
      </c>
      <c r="V2" s="110"/>
      <c r="W2" s="110"/>
      <c r="X2" s="110"/>
      <c r="Y2" s="110"/>
      <c r="Z2" s="110" t="s">
        <v>20</v>
      </c>
      <c r="AA2" s="110"/>
      <c r="AB2" s="110"/>
      <c r="AC2" s="110"/>
      <c r="AD2" s="110"/>
      <c r="AE2" s="110" t="s">
        <v>23</v>
      </c>
      <c r="AF2" s="110"/>
      <c r="AG2" s="110"/>
      <c r="AH2" s="110"/>
      <c r="AI2" s="110"/>
      <c r="AJ2" s="71"/>
      <c r="AK2" s="34" t="s">
        <v>66</v>
      </c>
      <c r="AL2" s="10" t="s">
        <v>21</v>
      </c>
      <c r="AM2" s="10" t="s">
        <v>22</v>
      </c>
      <c r="AN2" s="10" t="s">
        <v>24</v>
      </c>
      <c r="AO2" s="10" t="s">
        <v>131</v>
      </c>
      <c r="AP2" s="10" t="s">
        <v>23</v>
      </c>
      <c r="AQ2" s="10" t="s">
        <v>18</v>
      </c>
      <c r="AR2" s="111" t="s">
        <v>19</v>
      </c>
      <c r="AS2" s="111"/>
      <c r="AT2" s="111"/>
      <c r="AU2" s="111"/>
      <c r="AV2" s="111"/>
      <c r="AW2" s="111" t="s">
        <v>20</v>
      </c>
      <c r="AX2" s="111"/>
      <c r="AY2" s="111"/>
      <c r="AZ2" s="111"/>
      <c r="BA2" s="111"/>
      <c r="BB2" s="111" t="s">
        <v>23</v>
      </c>
      <c r="BC2" s="111"/>
      <c r="BD2" s="111"/>
      <c r="BE2" s="111"/>
      <c r="BF2" s="111"/>
      <c r="BG2" s="70"/>
      <c r="BH2" s="35" t="s">
        <v>66</v>
      </c>
      <c r="BI2" s="13" t="s">
        <v>21</v>
      </c>
      <c r="BJ2" s="13" t="s">
        <v>22</v>
      </c>
      <c r="BK2" s="13" t="s">
        <v>24</v>
      </c>
      <c r="BL2" s="13" t="s">
        <v>131</v>
      </c>
      <c r="BM2" s="13" t="s">
        <v>23</v>
      </c>
      <c r="BN2" s="13" t="s">
        <v>18</v>
      </c>
      <c r="BO2" s="22" t="s">
        <v>21</v>
      </c>
      <c r="BP2" s="22" t="s">
        <v>22</v>
      </c>
      <c r="BQ2" s="22" t="s">
        <v>24</v>
      </c>
      <c r="BR2" s="22" t="s">
        <v>23</v>
      </c>
      <c r="BS2" s="110" t="s">
        <v>19</v>
      </c>
      <c r="BT2" s="110"/>
      <c r="BU2" s="110"/>
      <c r="BV2" s="110"/>
      <c r="BW2" s="110"/>
      <c r="BX2" s="110" t="s">
        <v>20</v>
      </c>
      <c r="BY2" s="110"/>
      <c r="BZ2" s="110"/>
      <c r="CA2" s="110"/>
      <c r="CB2" s="110"/>
      <c r="CC2" s="110" t="s">
        <v>23</v>
      </c>
      <c r="CD2" s="110"/>
      <c r="CE2" s="110"/>
      <c r="CF2" s="110"/>
      <c r="CG2" s="110"/>
      <c r="CH2" s="34" t="s">
        <v>66</v>
      </c>
      <c r="CI2" s="10" t="s">
        <v>21</v>
      </c>
      <c r="CJ2" s="10" t="s">
        <v>22</v>
      </c>
      <c r="CK2" s="10" t="s">
        <v>24</v>
      </c>
      <c r="CL2" s="10" t="s">
        <v>131</v>
      </c>
      <c r="CM2" s="10" t="s">
        <v>23</v>
      </c>
      <c r="CN2" s="10" t="s">
        <v>18</v>
      </c>
      <c r="CO2" s="111" t="s">
        <v>19</v>
      </c>
      <c r="CP2" s="111"/>
      <c r="CQ2" s="111"/>
      <c r="CR2" s="111"/>
      <c r="CS2" s="111"/>
      <c r="CT2" s="111" t="s">
        <v>20</v>
      </c>
      <c r="CU2" s="111"/>
      <c r="CV2" s="111"/>
      <c r="CW2" s="111"/>
      <c r="CX2" s="111"/>
      <c r="CY2" s="111" t="s">
        <v>23</v>
      </c>
      <c r="CZ2" s="111"/>
      <c r="DA2" s="111"/>
      <c r="DB2" s="111"/>
      <c r="DC2" s="111"/>
      <c r="DD2" s="35" t="s">
        <v>66</v>
      </c>
      <c r="DE2" s="13" t="s">
        <v>21</v>
      </c>
      <c r="DF2" s="13" t="s">
        <v>22</v>
      </c>
      <c r="DG2" s="13" t="s">
        <v>24</v>
      </c>
      <c r="DH2" s="13" t="s">
        <v>131</v>
      </c>
      <c r="DI2" s="13" t="s">
        <v>23</v>
      </c>
      <c r="DJ2" s="13" t="s">
        <v>18</v>
      </c>
      <c r="DK2" s="110" t="s">
        <v>19</v>
      </c>
      <c r="DL2" s="110"/>
      <c r="DM2" s="110"/>
      <c r="DN2" s="110"/>
      <c r="DO2" s="110"/>
      <c r="DP2" s="110" t="s">
        <v>20</v>
      </c>
      <c r="DQ2" s="110"/>
      <c r="DR2" s="110"/>
      <c r="DS2" s="110"/>
      <c r="DT2" s="110"/>
      <c r="DU2" s="110" t="s">
        <v>23</v>
      </c>
      <c r="DV2" s="110"/>
      <c r="DW2" s="110"/>
      <c r="DX2" s="110"/>
      <c r="DY2" s="110"/>
      <c r="DZ2" s="34" t="s">
        <v>66</v>
      </c>
      <c r="EA2" s="10" t="s">
        <v>21</v>
      </c>
      <c r="EB2" s="10" t="s">
        <v>22</v>
      </c>
      <c r="EC2" s="10" t="s">
        <v>24</v>
      </c>
      <c r="ED2" s="10" t="s">
        <v>131</v>
      </c>
      <c r="EE2" s="10" t="s">
        <v>23</v>
      </c>
      <c r="EF2" s="10" t="s">
        <v>18</v>
      </c>
      <c r="EG2" s="111" t="s">
        <v>19</v>
      </c>
      <c r="EH2" s="111"/>
      <c r="EI2" s="111"/>
      <c r="EJ2" s="111"/>
      <c r="EK2" s="111"/>
      <c r="EL2" s="111" t="s">
        <v>20</v>
      </c>
      <c r="EM2" s="111"/>
      <c r="EN2" s="111"/>
      <c r="EO2" s="111"/>
      <c r="EP2" s="111"/>
      <c r="EQ2" s="111" t="s">
        <v>23</v>
      </c>
      <c r="ER2" s="111"/>
      <c r="ES2" s="111"/>
      <c r="ET2" s="111"/>
      <c r="EU2" s="111"/>
      <c r="EV2" s="35" t="s">
        <v>66</v>
      </c>
      <c r="EW2" s="13" t="s">
        <v>21</v>
      </c>
      <c r="EX2" s="13" t="s">
        <v>22</v>
      </c>
      <c r="EY2" s="13" t="s">
        <v>24</v>
      </c>
      <c r="EZ2" s="13" t="s">
        <v>131</v>
      </c>
      <c r="FA2" s="13" t="s">
        <v>23</v>
      </c>
      <c r="FB2" s="13" t="s">
        <v>18</v>
      </c>
      <c r="FC2" s="110" t="s">
        <v>19</v>
      </c>
      <c r="FD2" s="110"/>
      <c r="FE2" s="110"/>
      <c r="FF2" s="110"/>
      <c r="FG2" s="110"/>
      <c r="FH2" s="110" t="s">
        <v>20</v>
      </c>
      <c r="FI2" s="110"/>
      <c r="FJ2" s="110"/>
      <c r="FK2" s="110"/>
      <c r="FL2" s="110"/>
      <c r="FM2" s="110" t="s">
        <v>23</v>
      </c>
      <c r="FN2" s="110"/>
      <c r="FO2" s="110"/>
      <c r="FP2" s="110"/>
      <c r="FQ2" s="110"/>
      <c r="FR2" s="34" t="s">
        <v>66</v>
      </c>
      <c r="FS2" s="10" t="s">
        <v>21</v>
      </c>
      <c r="FT2" s="10" t="s">
        <v>22</v>
      </c>
      <c r="FU2" s="10" t="s">
        <v>24</v>
      </c>
      <c r="FV2" s="10" t="s">
        <v>131</v>
      </c>
      <c r="FW2" s="10" t="s">
        <v>23</v>
      </c>
      <c r="FX2" s="10" t="s">
        <v>18</v>
      </c>
      <c r="FY2" s="111" t="s">
        <v>19</v>
      </c>
      <c r="FZ2" s="111"/>
      <c r="GA2" s="111"/>
      <c r="GB2" s="111"/>
      <c r="GC2" s="111"/>
      <c r="GD2" s="111" t="s">
        <v>20</v>
      </c>
      <c r="GE2" s="111"/>
      <c r="GF2" s="111"/>
      <c r="GG2" s="111"/>
      <c r="GH2" s="111"/>
      <c r="GI2" s="111" t="s">
        <v>23</v>
      </c>
      <c r="GJ2" s="111"/>
      <c r="GK2" s="111"/>
      <c r="GL2" s="111"/>
      <c r="GM2" s="111"/>
      <c r="GN2" s="35" t="s">
        <v>66</v>
      </c>
      <c r="GO2" s="13" t="s">
        <v>21</v>
      </c>
      <c r="GP2" s="13" t="s">
        <v>22</v>
      </c>
      <c r="GQ2" s="13" t="s">
        <v>24</v>
      </c>
      <c r="GR2" s="13" t="s">
        <v>131</v>
      </c>
      <c r="GS2" s="13" t="s">
        <v>23</v>
      </c>
      <c r="GT2" s="13" t="s">
        <v>18</v>
      </c>
      <c r="GU2" s="110" t="s">
        <v>19</v>
      </c>
      <c r="GV2" s="110"/>
      <c r="GW2" s="110"/>
      <c r="GX2" s="110"/>
      <c r="GY2" s="110"/>
      <c r="GZ2" s="110" t="s">
        <v>20</v>
      </c>
      <c r="HA2" s="110"/>
      <c r="HB2" s="110"/>
      <c r="HC2" s="110"/>
      <c r="HD2" s="110"/>
      <c r="HE2" s="110" t="s">
        <v>23</v>
      </c>
      <c r="HF2" s="110"/>
      <c r="HG2" s="110"/>
      <c r="HH2" s="110"/>
      <c r="HI2" s="110"/>
      <c r="HJ2" s="34" t="s">
        <v>66</v>
      </c>
      <c r="HK2" s="10" t="s">
        <v>21</v>
      </c>
      <c r="HL2" s="10" t="s">
        <v>22</v>
      </c>
      <c r="HM2" s="10" t="s">
        <v>24</v>
      </c>
      <c r="HN2" s="10" t="s">
        <v>131</v>
      </c>
      <c r="HO2" s="10" t="s">
        <v>23</v>
      </c>
      <c r="HP2" s="10" t="s">
        <v>18</v>
      </c>
      <c r="HQ2" s="111" t="s">
        <v>19</v>
      </c>
      <c r="HR2" s="111"/>
      <c r="HS2" s="111"/>
      <c r="HT2" s="111"/>
      <c r="HU2" s="111"/>
      <c r="HV2" s="111" t="s">
        <v>20</v>
      </c>
      <c r="HW2" s="111"/>
      <c r="HX2" s="111"/>
      <c r="HY2" s="111"/>
      <c r="HZ2" s="111"/>
      <c r="IA2" s="111" t="s">
        <v>23</v>
      </c>
      <c r="IB2" s="111"/>
      <c r="IC2" s="111"/>
      <c r="ID2" s="111"/>
      <c r="IE2" s="111"/>
      <c r="IF2" s="35" t="s">
        <v>66</v>
      </c>
      <c r="IG2" s="13" t="s">
        <v>21</v>
      </c>
      <c r="IH2" s="13" t="s">
        <v>22</v>
      </c>
      <c r="II2" s="13" t="s">
        <v>24</v>
      </c>
      <c r="IJ2" s="13" t="s">
        <v>131</v>
      </c>
      <c r="IK2" s="13" t="s">
        <v>23</v>
      </c>
      <c r="IL2" s="13" t="s">
        <v>18</v>
      </c>
      <c r="IM2" s="110" t="s">
        <v>19</v>
      </c>
      <c r="IN2" s="110"/>
      <c r="IO2" s="110"/>
      <c r="IP2" s="110"/>
      <c r="IQ2" s="110"/>
      <c r="IR2" s="110" t="s">
        <v>20</v>
      </c>
      <c r="IS2" s="110"/>
      <c r="IT2" s="110"/>
      <c r="IU2" s="110"/>
      <c r="IV2" s="110"/>
      <c r="IW2" s="110" t="s">
        <v>23</v>
      </c>
      <c r="IX2" s="110"/>
      <c r="IY2" s="110"/>
      <c r="IZ2" s="110"/>
      <c r="JA2" s="110"/>
      <c r="JB2" s="34" t="s">
        <v>66</v>
      </c>
      <c r="JC2" s="10" t="s">
        <v>21</v>
      </c>
      <c r="JD2" s="10" t="s">
        <v>22</v>
      </c>
      <c r="JE2" s="10" t="s">
        <v>24</v>
      </c>
      <c r="JF2" s="10" t="s">
        <v>131</v>
      </c>
      <c r="JG2" s="10" t="s">
        <v>23</v>
      </c>
      <c r="JH2" s="10" t="s">
        <v>18</v>
      </c>
      <c r="JI2" s="111" t="s">
        <v>19</v>
      </c>
      <c r="JJ2" s="111"/>
      <c r="JK2" s="111"/>
      <c r="JL2" s="111"/>
      <c r="JM2" s="111"/>
      <c r="JN2" s="111" t="s">
        <v>20</v>
      </c>
      <c r="JO2" s="111"/>
      <c r="JP2" s="111"/>
      <c r="JQ2" s="111"/>
      <c r="JR2" s="111"/>
      <c r="JS2" s="111" t="s">
        <v>23</v>
      </c>
      <c r="JT2" s="111"/>
      <c r="JU2" s="111"/>
      <c r="JV2" s="111"/>
      <c r="JW2" s="111"/>
      <c r="JX2" s="35" t="s">
        <v>66</v>
      </c>
      <c r="JY2" s="13" t="s">
        <v>21</v>
      </c>
      <c r="JZ2" s="13" t="s">
        <v>22</v>
      </c>
      <c r="KA2" s="13" t="s">
        <v>24</v>
      </c>
      <c r="KB2" s="13" t="s">
        <v>131</v>
      </c>
      <c r="KC2" s="13" t="s">
        <v>23</v>
      </c>
      <c r="KD2" s="13" t="s">
        <v>18</v>
      </c>
      <c r="KE2" s="110" t="s">
        <v>19</v>
      </c>
      <c r="KF2" s="110"/>
      <c r="KG2" s="110"/>
      <c r="KH2" s="110"/>
      <c r="KI2" s="110"/>
      <c r="KJ2" s="110" t="s">
        <v>20</v>
      </c>
      <c r="KK2" s="110"/>
      <c r="KL2" s="110"/>
      <c r="KM2" s="110"/>
      <c r="KN2" s="110"/>
      <c r="KO2" s="110" t="s">
        <v>23</v>
      </c>
      <c r="KP2" s="110"/>
      <c r="KQ2" s="110"/>
      <c r="KR2" s="110"/>
      <c r="KS2" s="110"/>
      <c r="KT2" s="34" t="s">
        <v>66</v>
      </c>
      <c r="KU2" s="10" t="s">
        <v>21</v>
      </c>
      <c r="KV2" s="10" t="s">
        <v>22</v>
      </c>
      <c r="KW2" s="10" t="s">
        <v>24</v>
      </c>
      <c r="KX2" s="10" t="s">
        <v>131</v>
      </c>
      <c r="KY2" s="10" t="s">
        <v>23</v>
      </c>
      <c r="KZ2" s="10" t="s">
        <v>18</v>
      </c>
      <c r="LA2" s="111" t="s">
        <v>19</v>
      </c>
      <c r="LB2" s="111"/>
      <c r="LC2" s="111"/>
      <c r="LD2" s="111"/>
      <c r="LE2" s="111"/>
      <c r="LF2" s="111" t="s">
        <v>20</v>
      </c>
      <c r="LG2" s="111"/>
      <c r="LH2" s="111"/>
      <c r="LI2" s="111"/>
      <c r="LJ2" s="111"/>
      <c r="LK2" s="111" t="s">
        <v>23</v>
      </c>
      <c r="LL2" s="111"/>
      <c r="LM2" s="111"/>
      <c r="LN2" s="111"/>
      <c r="LO2" s="111"/>
      <c r="LP2" s="35" t="s">
        <v>66</v>
      </c>
      <c r="LQ2" s="13" t="s">
        <v>21</v>
      </c>
      <c r="LR2" s="13" t="s">
        <v>22</v>
      </c>
      <c r="LS2" s="13" t="s">
        <v>24</v>
      </c>
      <c r="LT2" s="13" t="s">
        <v>131</v>
      </c>
      <c r="LU2" s="13" t="s">
        <v>23</v>
      </c>
      <c r="LV2" s="13" t="s">
        <v>18</v>
      </c>
      <c r="LW2" s="110" t="s">
        <v>19</v>
      </c>
      <c r="LX2" s="110"/>
      <c r="LY2" s="110"/>
      <c r="LZ2" s="110"/>
      <c r="MA2" s="110"/>
      <c r="MB2" s="110" t="s">
        <v>20</v>
      </c>
      <c r="MC2" s="110"/>
      <c r="MD2" s="110"/>
      <c r="ME2" s="110"/>
      <c r="MF2" s="110"/>
      <c r="MG2" s="110" t="s">
        <v>23</v>
      </c>
      <c r="MH2" s="110"/>
      <c r="MI2" s="110"/>
      <c r="MJ2" s="110"/>
      <c r="MK2" s="110"/>
      <c r="ML2" s="105"/>
      <c r="MM2" s="105" t="s">
        <v>66</v>
      </c>
      <c r="MN2" s="10" t="s">
        <v>21</v>
      </c>
      <c r="MO2" s="10" t="s">
        <v>22</v>
      </c>
      <c r="MP2" s="10" t="s">
        <v>24</v>
      </c>
      <c r="MQ2" s="10" t="s">
        <v>131</v>
      </c>
      <c r="MR2" s="10" t="s">
        <v>23</v>
      </c>
      <c r="MS2" s="10" t="s">
        <v>18</v>
      </c>
    </row>
    <row r="3" spans="1:357" x14ac:dyDescent="0.2">
      <c r="A3" s="112"/>
      <c r="B3" s="112"/>
      <c r="C3" s="112"/>
      <c r="D3" s="112"/>
      <c r="E3" s="112"/>
      <c r="F3" s="113"/>
      <c r="G3" s="113"/>
      <c r="H3" s="112"/>
      <c r="I3" s="112"/>
      <c r="J3" s="114"/>
      <c r="K3" s="114"/>
      <c r="L3" s="114"/>
      <c r="M3" s="114"/>
      <c r="N3" s="114"/>
      <c r="O3" s="114"/>
      <c r="P3" s="114"/>
      <c r="Q3" s="114"/>
      <c r="R3" s="116"/>
      <c r="S3" s="114"/>
      <c r="T3" s="114"/>
      <c r="U3" s="34" t="s">
        <v>15</v>
      </c>
      <c r="V3" s="34" t="s">
        <v>16</v>
      </c>
      <c r="W3" s="34" t="s">
        <v>7</v>
      </c>
      <c r="X3" s="34" t="s">
        <v>17</v>
      </c>
      <c r="Y3" s="43" t="s">
        <v>28</v>
      </c>
      <c r="Z3" s="34" t="s">
        <v>15</v>
      </c>
      <c r="AA3" s="34" t="s">
        <v>16</v>
      </c>
      <c r="AB3" s="34" t="s">
        <v>7</v>
      </c>
      <c r="AC3" s="34" t="s">
        <v>17</v>
      </c>
      <c r="AD3" s="43" t="s">
        <v>28</v>
      </c>
      <c r="AE3" s="34" t="s">
        <v>15</v>
      </c>
      <c r="AF3" s="34" t="s">
        <v>16</v>
      </c>
      <c r="AG3" s="34" t="s">
        <v>7</v>
      </c>
      <c r="AH3" s="34" t="s">
        <v>17</v>
      </c>
      <c r="AI3" s="43" t="s">
        <v>28</v>
      </c>
      <c r="AJ3" s="71" t="s">
        <v>54</v>
      </c>
      <c r="AK3" s="11"/>
      <c r="AL3" s="10"/>
      <c r="AM3" s="10"/>
      <c r="AN3" s="10"/>
      <c r="AO3" s="10"/>
      <c r="AP3" s="11"/>
      <c r="AQ3" s="11"/>
      <c r="AR3" s="35" t="s">
        <v>15</v>
      </c>
      <c r="AS3" s="35" t="s">
        <v>16</v>
      </c>
      <c r="AT3" s="35" t="s">
        <v>7</v>
      </c>
      <c r="AU3" s="35" t="s">
        <v>17</v>
      </c>
      <c r="AV3" s="44" t="s">
        <v>28</v>
      </c>
      <c r="AW3" s="35" t="s">
        <v>15</v>
      </c>
      <c r="AX3" s="35" t="s">
        <v>16</v>
      </c>
      <c r="AY3" s="35" t="s">
        <v>7</v>
      </c>
      <c r="AZ3" s="35" t="s">
        <v>17</v>
      </c>
      <c r="BA3" s="44" t="s">
        <v>28</v>
      </c>
      <c r="BB3" s="35" t="s">
        <v>15</v>
      </c>
      <c r="BC3" s="35" t="s">
        <v>16</v>
      </c>
      <c r="BD3" s="35" t="s">
        <v>7</v>
      </c>
      <c r="BE3" s="44" t="s">
        <v>17</v>
      </c>
      <c r="BF3" s="35" t="s">
        <v>28</v>
      </c>
      <c r="BG3" s="70" t="s">
        <v>54</v>
      </c>
      <c r="BH3" s="14"/>
      <c r="BI3" s="13"/>
      <c r="BJ3" s="13"/>
      <c r="BK3" s="13"/>
      <c r="BL3" s="13"/>
      <c r="BM3" s="14"/>
      <c r="BN3" s="14"/>
      <c r="BO3" s="23"/>
      <c r="BP3" s="23"/>
      <c r="BQ3" s="23"/>
      <c r="BR3" s="23"/>
      <c r="BS3" s="34" t="s">
        <v>15</v>
      </c>
      <c r="BT3" s="34" t="s">
        <v>16</v>
      </c>
      <c r="BU3" s="34" t="s">
        <v>7</v>
      </c>
      <c r="BV3" s="34" t="s">
        <v>17</v>
      </c>
      <c r="BW3" s="43" t="s">
        <v>28</v>
      </c>
      <c r="BX3" s="34" t="s">
        <v>15</v>
      </c>
      <c r="BY3" s="34" t="s">
        <v>16</v>
      </c>
      <c r="BZ3" s="34" t="s">
        <v>7</v>
      </c>
      <c r="CA3" s="34" t="s">
        <v>17</v>
      </c>
      <c r="CB3" s="43" t="s">
        <v>28</v>
      </c>
      <c r="CC3" s="34" t="s">
        <v>15</v>
      </c>
      <c r="CD3" s="34" t="s">
        <v>16</v>
      </c>
      <c r="CE3" s="34" t="s">
        <v>7</v>
      </c>
      <c r="CF3" s="34" t="s">
        <v>17</v>
      </c>
      <c r="CG3" s="43" t="s">
        <v>28</v>
      </c>
      <c r="CH3" s="11"/>
      <c r="CI3" s="10"/>
      <c r="CJ3" s="10"/>
      <c r="CK3" s="10"/>
      <c r="CL3" s="10"/>
      <c r="CM3" s="11"/>
      <c r="CN3" s="11"/>
      <c r="CO3" s="35" t="s">
        <v>15</v>
      </c>
      <c r="CP3" s="35" t="s">
        <v>16</v>
      </c>
      <c r="CQ3" s="35" t="s">
        <v>7</v>
      </c>
      <c r="CR3" s="35" t="s">
        <v>17</v>
      </c>
      <c r="CS3" s="44" t="s">
        <v>28</v>
      </c>
      <c r="CT3" s="35" t="s">
        <v>15</v>
      </c>
      <c r="CU3" s="35" t="s">
        <v>16</v>
      </c>
      <c r="CV3" s="35" t="s">
        <v>7</v>
      </c>
      <c r="CW3" s="35" t="s">
        <v>17</v>
      </c>
      <c r="CX3" s="44" t="s">
        <v>28</v>
      </c>
      <c r="CY3" s="35" t="s">
        <v>15</v>
      </c>
      <c r="CZ3" s="35" t="s">
        <v>16</v>
      </c>
      <c r="DA3" s="35" t="s">
        <v>7</v>
      </c>
      <c r="DB3" s="35" t="s">
        <v>17</v>
      </c>
      <c r="DC3" s="45" t="s">
        <v>28</v>
      </c>
      <c r="DD3" s="14"/>
      <c r="DE3" s="13"/>
      <c r="DF3" s="13"/>
      <c r="DG3" s="13"/>
      <c r="DH3" s="13"/>
      <c r="DI3" s="14"/>
      <c r="DJ3" s="14"/>
      <c r="DK3" s="34" t="s">
        <v>15</v>
      </c>
      <c r="DL3" s="34" t="s">
        <v>16</v>
      </c>
      <c r="DM3" s="34" t="s">
        <v>7</v>
      </c>
      <c r="DN3" s="34" t="s">
        <v>17</v>
      </c>
      <c r="DO3" s="43" t="s">
        <v>28</v>
      </c>
      <c r="DP3" s="34" t="s">
        <v>15</v>
      </c>
      <c r="DQ3" s="34" t="s">
        <v>16</v>
      </c>
      <c r="DR3" s="34" t="s">
        <v>7</v>
      </c>
      <c r="DS3" s="34" t="s">
        <v>17</v>
      </c>
      <c r="DT3" s="43" t="s">
        <v>28</v>
      </c>
      <c r="DU3" s="34" t="s">
        <v>15</v>
      </c>
      <c r="DV3" s="34" t="s">
        <v>16</v>
      </c>
      <c r="DW3" s="34" t="s">
        <v>7</v>
      </c>
      <c r="DX3" s="34" t="s">
        <v>17</v>
      </c>
      <c r="DY3" s="43" t="s">
        <v>28</v>
      </c>
      <c r="DZ3" s="11"/>
      <c r="EA3" s="10"/>
      <c r="EB3" s="10"/>
      <c r="EC3" s="10"/>
      <c r="ED3" s="10"/>
      <c r="EE3" s="11"/>
      <c r="EF3" s="11"/>
      <c r="EG3" s="35" t="s">
        <v>15</v>
      </c>
      <c r="EH3" s="35" t="s">
        <v>16</v>
      </c>
      <c r="EI3" s="35" t="s">
        <v>7</v>
      </c>
      <c r="EJ3" s="35" t="s">
        <v>17</v>
      </c>
      <c r="EK3" s="44" t="s">
        <v>28</v>
      </c>
      <c r="EL3" s="35" t="s">
        <v>15</v>
      </c>
      <c r="EM3" s="35" t="s">
        <v>16</v>
      </c>
      <c r="EN3" s="35" t="s">
        <v>7</v>
      </c>
      <c r="EO3" s="35" t="s">
        <v>17</v>
      </c>
      <c r="EP3" s="44" t="s">
        <v>28</v>
      </c>
      <c r="EQ3" s="35" t="s">
        <v>15</v>
      </c>
      <c r="ER3" s="35" t="s">
        <v>16</v>
      </c>
      <c r="ES3" s="35" t="s">
        <v>7</v>
      </c>
      <c r="ET3" s="35" t="s">
        <v>17</v>
      </c>
      <c r="EU3" s="44" t="s">
        <v>28</v>
      </c>
      <c r="EV3" s="14"/>
      <c r="EW3" s="13"/>
      <c r="EX3" s="13"/>
      <c r="EY3" s="13"/>
      <c r="EZ3" s="13"/>
      <c r="FA3" s="14"/>
      <c r="FB3" s="14"/>
      <c r="FC3" s="34" t="s">
        <v>15</v>
      </c>
      <c r="FD3" s="34" t="s">
        <v>16</v>
      </c>
      <c r="FE3" s="34" t="s">
        <v>7</v>
      </c>
      <c r="FF3" s="34" t="s">
        <v>17</v>
      </c>
      <c r="FG3" s="43" t="s">
        <v>28</v>
      </c>
      <c r="FH3" s="34" t="s">
        <v>15</v>
      </c>
      <c r="FI3" s="34" t="s">
        <v>16</v>
      </c>
      <c r="FJ3" s="34" t="s">
        <v>7</v>
      </c>
      <c r="FK3" s="34" t="s">
        <v>17</v>
      </c>
      <c r="FL3" s="43" t="s">
        <v>28</v>
      </c>
      <c r="FM3" s="34" t="s">
        <v>15</v>
      </c>
      <c r="FN3" s="34" t="s">
        <v>16</v>
      </c>
      <c r="FO3" s="34" t="s">
        <v>7</v>
      </c>
      <c r="FP3" s="34" t="s">
        <v>17</v>
      </c>
      <c r="FQ3" s="43" t="s">
        <v>28</v>
      </c>
      <c r="FR3" s="11"/>
      <c r="FS3" s="10"/>
      <c r="FT3" s="10"/>
      <c r="FU3" s="10"/>
      <c r="FV3" s="10"/>
      <c r="FW3" s="11"/>
      <c r="FX3" s="11"/>
      <c r="FY3" s="35" t="s">
        <v>15</v>
      </c>
      <c r="FZ3" s="35" t="s">
        <v>16</v>
      </c>
      <c r="GA3" s="35" t="s">
        <v>7</v>
      </c>
      <c r="GB3" s="35" t="s">
        <v>17</v>
      </c>
      <c r="GC3" s="44" t="s">
        <v>28</v>
      </c>
      <c r="GD3" s="35" t="s">
        <v>15</v>
      </c>
      <c r="GE3" s="35" t="s">
        <v>16</v>
      </c>
      <c r="GF3" s="35" t="s">
        <v>7</v>
      </c>
      <c r="GG3" s="35" t="s">
        <v>17</v>
      </c>
      <c r="GH3" s="44" t="s">
        <v>28</v>
      </c>
      <c r="GI3" s="35" t="s">
        <v>15</v>
      </c>
      <c r="GJ3" s="35" t="s">
        <v>16</v>
      </c>
      <c r="GK3" s="35" t="s">
        <v>7</v>
      </c>
      <c r="GL3" s="35" t="s">
        <v>17</v>
      </c>
      <c r="GM3" s="44" t="s">
        <v>28</v>
      </c>
      <c r="GN3" s="14"/>
      <c r="GO3" s="13"/>
      <c r="GP3" s="13"/>
      <c r="GQ3" s="13"/>
      <c r="GR3" s="13"/>
      <c r="GS3" s="14"/>
      <c r="GT3" s="14"/>
      <c r="GU3" s="34" t="s">
        <v>15</v>
      </c>
      <c r="GV3" s="34" t="s">
        <v>16</v>
      </c>
      <c r="GW3" s="34" t="s">
        <v>7</v>
      </c>
      <c r="GX3" s="34" t="s">
        <v>17</v>
      </c>
      <c r="GY3" s="43" t="s">
        <v>28</v>
      </c>
      <c r="GZ3" s="34" t="s">
        <v>15</v>
      </c>
      <c r="HA3" s="34" t="s">
        <v>16</v>
      </c>
      <c r="HB3" s="34" t="s">
        <v>7</v>
      </c>
      <c r="HC3" s="34" t="s">
        <v>17</v>
      </c>
      <c r="HD3" s="43" t="s">
        <v>28</v>
      </c>
      <c r="HE3" s="34" t="s">
        <v>15</v>
      </c>
      <c r="HF3" s="34" t="s">
        <v>16</v>
      </c>
      <c r="HG3" s="34" t="s">
        <v>7</v>
      </c>
      <c r="HH3" s="34" t="s">
        <v>17</v>
      </c>
      <c r="HI3" s="43" t="s">
        <v>28</v>
      </c>
      <c r="HJ3" s="11"/>
      <c r="HK3" s="10"/>
      <c r="HL3" s="10"/>
      <c r="HM3" s="10"/>
      <c r="HN3" s="10"/>
      <c r="HO3" s="11"/>
      <c r="HP3" s="11"/>
      <c r="HQ3" s="35" t="s">
        <v>15</v>
      </c>
      <c r="HR3" s="35" t="s">
        <v>16</v>
      </c>
      <c r="HS3" s="35" t="s">
        <v>7</v>
      </c>
      <c r="HT3" s="35" t="s">
        <v>17</v>
      </c>
      <c r="HU3" s="44" t="s">
        <v>28</v>
      </c>
      <c r="HV3" s="35" t="s">
        <v>15</v>
      </c>
      <c r="HW3" s="35" t="s">
        <v>16</v>
      </c>
      <c r="HX3" s="35" t="s">
        <v>7</v>
      </c>
      <c r="HY3" s="35" t="s">
        <v>17</v>
      </c>
      <c r="HZ3" s="44" t="s">
        <v>28</v>
      </c>
      <c r="IA3" s="35" t="s">
        <v>15</v>
      </c>
      <c r="IB3" s="35" t="s">
        <v>16</v>
      </c>
      <c r="IC3" s="35" t="s">
        <v>7</v>
      </c>
      <c r="ID3" s="35" t="s">
        <v>17</v>
      </c>
      <c r="IE3" s="44" t="s">
        <v>28</v>
      </c>
      <c r="IF3" s="14"/>
      <c r="IG3" s="13"/>
      <c r="IH3" s="13"/>
      <c r="II3" s="13"/>
      <c r="IJ3" s="13"/>
      <c r="IK3" s="14"/>
      <c r="IL3" s="14"/>
      <c r="IM3" s="34" t="s">
        <v>15</v>
      </c>
      <c r="IN3" s="34" t="s">
        <v>16</v>
      </c>
      <c r="IO3" s="34" t="s">
        <v>7</v>
      </c>
      <c r="IP3" s="34" t="s">
        <v>17</v>
      </c>
      <c r="IQ3" s="43" t="s">
        <v>28</v>
      </c>
      <c r="IR3" s="34" t="s">
        <v>15</v>
      </c>
      <c r="IS3" s="34" t="s">
        <v>16</v>
      </c>
      <c r="IT3" s="34" t="s">
        <v>7</v>
      </c>
      <c r="IU3" s="34" t="s">
        <v>17</v>
      </c>
      <c r="IV3" s="43" t="s">
        <v>28</v>
      </c>
      <c r="IW3" s="34" t="s">
        <v>15</v>
      </c>
      <c r="IX3" s="34" t="s">
        <v>16</v>
      </c>
      <c r="IY3" s="34" t="s">
        <v>7</v>
      </c>
      <c r="IZ3" s="34" t="s">
        <v>17</v>
      </c>
      <c r="JA3" s="43" t="s">
        <v>28</v>
      </c>
      <c r="JB3" s="11"/>
      <c r="JC3" s="10"/>
      <c r="JD3" s="10"/>
      <c r="JE3" s="10"/>
      <c r="JF3" s="10"/>
      <c r="JG3" s="11"/>
      <c r="JH3" s="11"/>
      <c r="JI3" s="35" t="s">
        <v>15</v>
      </c>
      <c r="JJ3" s="35" t="s">
        <v>16</v>
      </c>
      <c r="JK3" s="35" t="s">
        <v>7</v>
      </c>
      <c r="JL3" s="35" t="s">
        <v>17</v>
      </c>
      <c r="JM3" s="44" t="s">
        <v>28</v>
      </c>
      <c r="JN3" s="35" t="s">
        <v>15</v>
      </c>
      <c r="JO3" s="35" t="s">
        <v>16</v>
      </c>
      <c r="JP3" s="35" t="s">
        <v>7</v>
      </c>
      <c r="JQ3" s="35" t="s">
        <v>17</v>
      </c>
      <c r="JR3" s="44" t="s">
        <v>28</v>
      </c>
      <c r="JS3" s="35" t="s">
        <v>15</v>
      </c>
      <c r="JT3" s="35" t="s">
        <v>16</v>
      </c>
      <c r="JU3" s="35" t="s">
        <v>7</v>
      </c>
      <c r="JV3" s="35" t="s">
        <v>17</v>
      </c>
      <c r="JW3" s="44" t="s">
        <v>28</v>
      </c>
      <c r="JX3" s="14"/>
      <c r="JY3" s="13"/>
      <c r="JZ3" s="13"/>
      <c r="KA3" s="13"/>
      <c r="KB3" s="13"/>
      <c r="KC3" s="14"/>
      <c r="KD3" s="14"/>
      <c r="KE3" s="34" t="s">
        <v>15</v>
      </c>
      <c r="KF3" s="34" t="s">
        <v>16</v>
      </c>
      <c r="KG3" s="34" t="s">
        <v>7</v>
      </c>
      <c r="KH3" s="34" t="s">
        <v>17</v>
      </c>
      <c r="KI3" s="43" t="s">
        <v>28</v>
      </c>
      <c r="KJ3" s="34" t="s">
        <v>15</v>
      </c>
      <c r="KK3" s="34" t="s">
        <v>16</v>
      </c>
      <c r="KL3" s="34" t="s">
        <v>7</v>
      </c>
      <c r="KM3" s="34" t="s">
        <v>17</v>
      </c>
      <c r="KN3" s="43" t="s">
        <v>28</v>
      </c>
      <c r="KO3" s="34" t="s">
        <v>15</v>
      </c>
      <c r="KP3" s="34" t="s">
        <v>16</v>
      </c>
      <c r="KQ3" s="34" t="s">
        <v>7</v>
      </c>
      <c r="KR3" s="34" t="s">
        <v>17</v>
      </c>
      <c r="KS3" s="43" t="s">
        <v>28</v>
      </c>
      <c r="KT3" s="11"/>
      <c r="KU3" s="10"/>
      <c r="KV3" s="10"/>
      <c r="KW3" s="10"/>
      <c r="KX3" s="10"/>
      <c r="KY3" s="11"/>
      <c r="KZ3" s="11"/>
      <c r="LA3" s="35" t="s">
        <v>15</v>
      </c>
      <c r="LB3" s="35" t="s">
        <v>16</v>
      </c>
      <c r="LC3" s="35" t="s">
        <v>7</v>
      </c>
      <c r="LD3" s="35" t="s">
        <v>17</v>
      </c>
      <c r="LE3" s="44" t="s">
        <v>28</v>
      </c>
      <c r="LF3" s="35" t="s">
        <v>15</v>
      </c>
      <c r="LG3" s="35" t="s">
        <v>16</v>
      </c>
      <c r="LH3" s="35" t="s">
        <v>7</v>
      </c>
      <c r="LI3" s="35" t="s">
        <v>17</v>
      </c>
      <c r="LJ3" s="44" t="s">
        <v>28</v>
      </c>
      <c r="LK3" s="35" t="s">
        <v>15</v>
      </c>
      <c r="LL3" s="35" t="s">
        <v>16</v>
      </c>
      <c r="LM3" s="35" t="s">
        <v>7</v>
      </c>
      <c r="LN3" s="35" t="s">
        <v>17</v>
      </c>
      <c r="LO3" s="44" t="s">
        <v>28</v>
      </c>
      <c r="LP3" s="14"/>
      <c r="LQ3" s="13"/>
      <c r="LR3" s="13"/>
      <c r="LS3" s="13"/>
      <c r="LT3" s="13"/>
      <c r="LU3" s="14"/>
      <c r="LV3" s="14"/>
      <c r="LW3" s="105" t="s">
        <v>15</v>
      </c>
      <c r="LX3" s="105" t="s">
        <v>16</v>
      </c>
      <c r="LY3" s="105" t="s">
        <v>7</v>
      </c>
      <c r="LZ3" s="105" t="s">
        <v>17</v>
      </c>
      <c r="MA3" s="105" t="s">
        <v>28</v>
      </c>
      <c r="MB3" s="105" t="s">
        <v>15</v>
      </c>
      <c r="MC3" s="105" t="s">
        <v>16</v>
      </c>
      <c r="MD3" s="105" t="s">
        <v>7</v>
      </c>
      <c r="ME3" s="105" t="s">
        <v>17</v>
      </c>
      <c r="MF3" s="105" t="s">
        <v>28</v>
      </c>
      <c r="MG3" s="105" t="s">
        <v>15</v>
      </c>
      <c r="MH3" s="105" t="s">
        <v>16</v>
      </c>
      <c r="MI3" s="105" t="s">
        <v>7</v>
      </c>
      <c r="MJ3" s="105" t="s">
        <v>17</v>
      </c>
      <c r="MK3" s="105" t="s">
        <v>28</v>
      </c>
      <c r="ML3" s="105" t="s">
        <v>54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23" si="0">IF(AND(F4="P",H4="P"),SUMPRODUCT((F$4:F$24="P")*(H$4:H$24="P")*(E$4:E$24&gt;E4))+1,IF(H4="P",SUMPRODUCT((F$4:F$24="")*(H$4:H$24="P")*(E$4:E$24&gt;E4))+1+SUMPRODUCT((F$4:F$24="P")*(H$4:H$24="P")),""))</f>
        <v>1</v>
      </c>
      <c r="B4" s="9" t="s">
        <v>79</v>
      </c>
      <c r="C4" s="5" t="s">
        <v>80</v>
      </c>
      <c r="D4" s="6">
        <v>2001</v>
      </c>
      <c r="E4" s="16">
        <f t="shared" ref="E4:E23" si="1">SUM(J4:R4)</f>
        <v>256.19</v>
      </c>
      <c r="F4" s="4" t="str">
        <f>IF(OR(AND($AK4&gt;=$AL$26,NOT($AK4=""),$AJ4=""),AND($BH4&gt;=$BI$26,NOT($BH4=""),$BG4=""),AND($CH4&gt;=$CI$26,NOT($CH4="")),AND($DD4&gt;=$DE$26,NOT($DD4="")),AND($DZ4&gt;=$EA$26,NOT($DZ4="")),AND($EV4&gt;=$EW$26,NOT($EV4="")),AND($FR4&gt;=$FS$26,NOT($FR4="")),AND($GN4&gt;=$GO$26,NOT($GN4="")),AND($HJ4&gt;=$HK$26,NOT($HJ4="")),AND($IF4&gt;=$IG$26,NOT($IF4="")),AND($JB4&gt;=$JC$26,NOT($JB4="")),AND($JX4&gt;=$JY$26,NOT($JX4="")),AND($KT4&gt;=$KU$26,NOT($KT4="")),AND($LP4&gt;=$LQ$26,NOT($LP4="")),AND($AO4&gt;=$AL$26,NOT($AO4=""),$AJ4=""),AND($BL4&gt;=$BI$26,NOT($BL4=""),$BG4=""),AND($CL4&gt;=$CI$26,NOT($CL4="")),AND($DH4&gt;=$DE$26,NOT($DH4="")),AND($ED4&gt;=$EA$26,NOT($ED4="")),AND($EZ4&gt;=$EW$26,NOT($EZ4="")),AND($FV4&gt;=$FS$26,NOT($FV4="")),AND($GR4&gt;=$GO$26,NOT($GR4="")),AND($HN4&gt;=$HK$26,NOT($HN4="")),AND($IJ4&gt;=$IG$26,NOT($IJ4="")),AND($JF4&gt;=$JC$26,NOT($JF4="")),AND($KB4&gt;=$JY$26,NOT($KB4="")),AND($KX4&gt;=$KU$26,NOT($KX4="")),AND($LT4&gt;=$LQ$26,NOT($LT4=""))),"P","")</f>
        <v>P</v>
      </c>
      <c r="G4" s="4" t="str">
        <f>IF(OR(AND($AK4&gt;=$AL$27,NOT($AK4=""),$AJ4=""),AND($BH4&gt;=$BI$27,NOT($BH4=""),$BG4=""),AND($CH4&gt;=$CI$27,NOT($CH4="")),AND($DD4&gt;=$DE$27,NOT($DD4="")),AND($DZ4&gt;=$EA$27,NOT($DZ4="")),AND($EV4&gt;=$EW$27,NOT($EV4="")),AND($FR4&gt;=$FS$27,NOT($FR4="")),AND($GN4&gt;=$GO$27,NOT($GN4="")),AND($HJ4&gt;=$HK$27,NOT($HJ4="")),AND($IF4&gt;=$IG$27,NOT($IF4="")),AND($JB4&gt;=$JC$27,NOT($JB4="")),AND($JX4&gt;=$JY$27,NOT($JX4="")),AND($KT4&gt;=$KU$27,NOT($KT4="")),AND($LP4&gt;=$LQ$27,NOT($LP4="")),AND($AO4&gt;=$AL$27,NOT($AO4=""),$AJ4=""),AND($BL4&gt;=$BI$27,NOT($BL4=""),$BG4=""),AND($CL4&gt;=$CI$27,NOT($CL4="")),AND($DH4&gt;=$DE$27,NOT($DH4="")),AND($ED4&gt;=$EA$27,NOT($ED4="")),AND($EZ4&gt;=$EW$27,NOT($EZ4="")),AND($FV4&gt;=$FS$27,NOT($FV4="")),AND($GR4&gt;=$GO$27,NOT($GR4="")),AND($HN4&gt;=$HK$27,NOT($HN4="")),AND($IJ4&gt;=$IG$27,NOT($IJ4="")),AND($JF4&gt;=$JC$27,NOT($JF4="")),AND($KB4&gt;=$JY$27,NOT($KB4="")),AND($KX4&gt;=$KU$27,NOT($KX4="")),AND($LT4&gt;=$LQ$27,NOT($LT4=""))),"P","")</f>
        <v>P</v>
      </c>
      <c r="H4" s="4" t="str">
        <f t="shared" ref="H4:H23" si="2">IF(OR(AND($AN4&gt;=$AL$28,NOT($AN4=""),$AJ4=""),AND($BK4&gt;=$BI$28,NOT($BK4=""),$BG4=""),AND($CK4&gt;=$CI$28,NOT($CK4="")),AND($DG4&gt;=$DE$28,NOT($DG4="")),AND($EC4&gt;=$EA$28,NOT($EC4="")),AND($EY4&gt;=$EW$28,NOT($EY4="")),AND($FU4&gt;=$FS$28,NOT($FU4="")),AND($GQ4&gt;=$GO$28,NOT($GQ4="")),AND($HM4&gt;=$HK$28,NOT($HM4="")),AND($II4&gt;=$IG$28,NOT($II4="")),AND($JE4&gt;=$JC$28,NOT($JE4="")),AND($KA4&gt;=$JY$28,NOT($KA4="")),AND($KW4&gt;=$KU$28,NOT($KW4="")),AND($LS4&gt;=$LQ$28,NOT($LS4=""))),"P","")</f>
        <v>P</v>
      </c>
      <c r="I4" t="str">
        <f>IF(AND(H4="P",F4=""),"No DD",IF(AND(G4="P",OR(AND($AM4&gt;$AL$31,NOT($AM4=""),$AJ4=""),AND($AP4&gt;$AL$31,NOT($AP4=""),$AJ4=""),AND($BJ4&gt;$BI$31,NOT($BJ4=""),$BG4=""),AND($BM4&gt;$BI$31,NOT($BM4=""),$BG4=""),AND($CJ4&gt;$CI$31,NOT($CJ4="")),AND($CM4&gt;$CI$31,NOT($CM4="")),AND($DF4&gt;$DE$31,NOT($DF4="")),AND($DI4&gt;$DE$31,NOT($DI4="")),AND($EB4&gt;$EA$31,NOT($EB4="")),AND($EE4&gt;$EA$31,NOT($EE4="")),AND($EX4&gt;$EW$31,NOT($EX4="")),AND($FA4&gt;$EW$31,NOT($FA4="")),AND($FT4&gt;$FS$31,NOT($FT4="")),AND($FW4&gt;$FS$31,NOT($FW4="")),AND($GP4&gt;$GO$31,NOT($GP4="")),AND($GS4&gt;$GO$31,NOT($GS4="")),AND($HL4&gt;$HK$31,NOT($HL4="")),AND($HO4&gt;$HK$31,NOT($HO4="")),AND($IH4&gt;$IG$31,NOT($IH4="")),AND($IK4&gt;$IG$31,NOT($IK4="")),AND($JD4&gt;$JC$31,NOT($JD4="")),AND($JG4&gt;$JC$31,NOT($JG4="")),AND($JZ4&gt;$JY$31,NOT($JZ4="")),AND($KC4&gt;$JY$31,NOT($KC4="")),AND($KV4&gt;$KU$31,NOT($KV4="")),AND($KY4&gt;$KU$31,NOT($KY4="")),AND($LR4&gt;$LQ$31,NOT($LR4="")),AND($LU4&gt;$LQ$31,NOT($LU4="")))),"Merit",IF(AND(G4="P",OR(AND($AN4&gt;$AL$30,NOT($AN4=""),$AJ4=""),AND($BK4&gt;$BI$30,NOT($BK4=""),$BG4=""),AND($CK4&gt;$CI$30,NOT($CK4="")),AND($DG4&gt;$DE$30,NOT($DG4="")),AND($EC4&gt;$EA$30,NOT($EC4="")),AND($EY4&gt;$EW$30,NOT($EY4="")),AND($FU4&gt;$FS$30,NOT($FU4="")),AND($GQ4&gt;$GO$30,NOT($GQ4="")),AND($HM4&gt;$HK$30,NOT($HM4="")),AND($II4&gt;$IG$30,NOT($II4="")),AND($JE4&gt;$JC$30,NOT($JE4="")),AND($KA4&gt;$JY$30,NOT($KA4="")),AND($KW4&gt;$KU$30,NOT($KW4="")),AND($LS4&gt;$LQ$30,NOT($LS4="")))),"Excellence",IF(AND(G4="P",OR(AND($AN4&gt;$AL$29,NOT($AN4=""),$AJ4=""),AND($BK4&gt;$BI$29,NOT($BK4=""),$BG4=""),AND($CK4&gt;$CI$29,NOT($CK4="")),AND($DG4&gt;$DE$29,NOT($DG4="")),AND($EC4&gt;$EA$29,NOT($EC4="")),AND($EY4&gt;$EW$29,NOT($EY4="")),AND($FU4&gt;$FS$29,NOT($FU4="")),AND($GQ4&gt;$GO$29,NOT($GQ4="")),AND($HM4&gt;$HK$29,NOT($HM4="")),AND($II4&gt;$IG$29,NOT($II4="")),AND($JE4&gt;$JC$29,NOT($JE4="")),AND($KA4&gt;$JY$29,NOT($KA4="")),AND($KW4&gt;$KU$29,NOT($KW4="")),AND($LS4&gt;$LQ$29,NOT($LS4="")))),"Worlds Team",IF(AND(F4="P",OR(AND($AN4&gt;$AL$28,NOT($AN4=""),$AJ4=""),AND($BK4&gt;$BI$28,NOT($BK4=""),$BG4=""),AND($CK4&gt;$CI$28,NOT($CK4="")),AND($DG4&gt;$DE$28,NOT($DG4="")),AND($EC4&gt;$EA$28,NOT($EC4="")),AND($EY4&gt;$EW$28,NOT($EY4="")),AND($FU4&gt;$FS$28,NOT($FU4="")),AND($GQ4&gt;$GO$28,NOT($GQ4="")),AND($HM4&gt;$HK$28,NOT($HM4="")),AND($II4&gt;$IG$28,NOT($II4="")),AND($JE4&gt;$JC$28,NOT($JE4="")),AND($KA4&gt;$JY$28,NOT($KA4="")),AND($KW4&gt;$KU$28,NOT($KW4="")),AND($LS4&gt;$LQ$28,NOT($LS4="")))),"National Team","")))))</f>
        <v>Excellence</v>
      </c>
      <c r="J4" s="15">
        <f t="shared" ref="J4:J23" si="3">IF(MAX(AN4,BK4)&gt;0,MAX(AN4,BK4),"")</f>
        <v>102.75500000000001</v>
      </c>
      <c r="K4" s="15" t="str">
        <f t="shared" ref="K4:K23" si="4">IF(J4="","",IF(J4=BK4,$AR$1,IF(J4=AN4,$U$1,"")))</f>
        <v>2019 Elite Canada</v>
      </c>
      <c r="L4" s="15">
        <f t="shared" ref="L4:L23" si="5">IF($J4=$AN4,BI4,IF($J4=$BK4,AL4,MAX(AL4,BI4)))</f>
        <v>47.05</v>
      </c>
      <c r="M4" s="15" t="str">
        <f t="shared" ref="M4:M23" si="6">IF(L4="","",IF(AND(L4=BI4,$K4&lt;&gt;$AR$1),$AR$1,IF(AND(L4=AL4,$K4&lt;&gt;$U$1),$U$1,"")))</f>
        <v>2018 Nationals</v>
      </c>
      <c r="N4" s="15">
        <f t="shared" ref="N4:N23" si="7">IF($J4=$AN4,BJ4,IF($J4=$BK4,AM4,MAX(AM4,BJ4)))</f>
        <v>52.604999999999997</v>
      </c>
      <c r="O4" s="15" t="str">
        <f t="shared" ref="O4:O23" si="8">IF(N4="","",IF(AND(N4=BJ4,$K4&lt;&gt;$AR$1),$AR$1,IF(AND(N4=AM4,$K4&lt;&gt;$U$1),$U$1,"")))</f>
        <v>2018 Nationals</v>
      </c>
      <c r="P4" s="15">
        <f t="shared" ref="P4:P23" si="9">IF(MAX(AP4,BM4)&gt;0,MAX(AP4,BM4),"")</f>
        <v>53.78</v>
      </c>
      <c r="Q4" s="15" t="str">
        <f t="shared" ref="Q4:Q23" si="10">IF(P4="","",IF(P4=BM4,$AR$1,IF(P4=AP4,$U$1,"")))</f>
        <v>2019 Elite Canada</v>
      </c>
      <c r="R4" s="15" t="str">
        <f t="shared" ref="R4:R23" si="11">IF(MAX(BO4,BP4,BQ4,BR4)&gt;0,MAX(BO4,BP4,BQ4,BR4),"")</f>
        <v/>
      </c>
      <c r="S4" s="25" t="str">
        <f t="shared" ref="S4:S23" si="12">IF(R4="","",IF(R4=BO4,"(Vol 1)",IF(R4=BP4,"(Vol 2)",IF(R4=BQ4,"(Prelim)",IF(R4=BR4,"(Final)")))))</f>
        <v/>
      </c>
      <c r="T4" s="15" t="str">
        <f t="shared" ref="T4:T23" si="13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/>
      </c>
      <c r="U4" s="63">
        <v>16.899999999999999</v>
      </c>
      <c r="V4" s="63">
        <v>9.25</v>
      </c>
      <c r="W4" s="63">
        <v>4.0999999999999996</v>
      </c>
      <c r="X4" s="63">
        <v>16.8</v>
      </c>
      <c r="Y4" s="63">
        <v>0</v>
      </c>
      <c r="Z4" s="63">
        <v>13.9</v>
      </c>
      <c r="AA4" s="63">
        <v>9.1999999999999993</v>
      </c>
      <c r="AB4" s="63">
        <v>13.7</v>
      </c>
      <c r="AC4" s="63">
        <v>15.805</v>
      </c>
      <c r="AD4" s="63">
        <v>0</v>
      </c>
      <c r="AE4" s="63">
        <v>13.9</v>
      </c>
      <c r="AF4" s="63">
        <v>9</v>
      </c>
      <c r="AG4" s="63">
        <v>13.7</v>
      </c>
      <c r="AH4" s="63">
        <v>16.329999999999998</v>
      </c>
      <c r="AI4" s="63">
        <v>0</v>
      </c>
      <c r="AJ4" s="74"/>
      <c r="AK4" s="12">
        <f t="shared" ref="AK4:AK23" si="14">IF(AB4&gt;0,AB4,"")</f>
        <v>13.7</v>
      </c>
      <c r="AL4" s="12">
        <f t="shared" ref="AL4:AL23" si="15">IF(SUM(U4:X4)-Y4&gt;0,SUM(U4:X4)-Y4,"")</f>
        <v>47.05</v>
      </c>
      <c r="AM4" s="12">
        <f t="shared" ref="AM4:AM23" si="16">IF(SUM(Z4:AC4)-AD4&gt;0,SUM(Z4:AC4)-AD4,"")</f>
        <v>52.604999999999997</v>
      </c>
      <c r="AN4" s="12">
        <f t="shared" ref="AN4:AN23" si="17">IF(SUM(AL4:AM4)&gt;0,SUM(AL4:AM4),"")</f>
        <v>99.655000000000001</v>
      </c>
      <c r="AO4" s="12">
        <f t="shared" ref="AO4:AO23" si="18">IF(AG4&gt;0,AG4,"")</f>
        <v>13.7</v>
      </c>
      <c r="AP4" s="12">
        <f t="shared" ref="AP4:AP23" si="19">IF(SUM(AE4:AH4)-AI4&gt;0,SUM(AE4:AH4)-AI4,"")</f>
        <v>52.929999999999993</v>
      </c>
      <c r="AQ4" s="12">
        <f t="shared" ref="AQ4:AQ23" si="20">IF(SUM(AN4,AP4)&gt;0,SUM(AN4,AP4),"")</f>
        <v>152.58499999999998</v>
      </c>
      <c r="AR4" s="57">
        <v>17.100000000000001</v>
      </c>
      <c r="AS4" s="57">
        <v>9.3000000000000007</v>
      </c>
      <c r="AT4" s="57">
        <v>3.9</v>
      </c>
      <c r="AU4" s="57">
        <v>17.555</v>
      </c>
      <c r="AV4" s="57">
        <v>0</v>
      </c>
      <c r="AW4" s="57">
        <v>14.5</v>
      </c>
      <c r="AX4" s="57">
        <v>9.35</v>
      </c>
      <c r="AY4" s="57">
        <v>14.3</v>
      </c>
      <c r="AZ4" s="57">
        <v>16.75</v>
      </c>
      <c r="BA4" s="57">
        <v>0</v>
      </c>
      <c r="BB4" s="57">
        <v>14.2</v>
      </c>
      <c r="BC4" s="57">
        <v>8.75</v>
      </c>
      <c r="BD4" s="57">
        <v>14.3</v>
      </c>
      <c r="BE4" s="57">
        <v>16.53</v>
      </c>
      <c r="BF4" s="57">
        <v>0</v>
      </c>
      <c r="BG4" s="75"/>
      <c r="BH4" s="15">
        <f t="shared" ref="BH4:BH23" si="21">IF(AY4&gt;0,AY4,"")</f>
        <v>14.3</v>
      </c>
      <c r="BI4" s="15">
        <f t="shared" ref="BI4:BI23" si="22">IF(SUM(AR4:AU4)-AV4&gt;0,SUM(AR4:AU4)-AV4,"")</f>
        <v>47.855000000000004</v>
      </c>
      <c r="BJ4" s="15">
        <f t="shared" ref="BJ4:BJ23" si="23">IF(SUM(AW4:AZ4)-BA4&gt;0,SUM(AW4:AZ4)-BA4,"")</f>
        <v>54.900000000000006</v>
      </c>
      <c r="BK4" s="15">
        <f t="shared" ref="BK4:BK23" si="24">IF(SUM(BI4:BJ4)&gt;0,SUM(BI4:BJ4),"")</f>
        <v>102.75500000000001</v>
      </c>
      <c r="BL4" s="15">
        <f t="shared" ref="BL4:BL23" si="25">IF(BD4&gt;0,BD4,"")</f>
        <v>14.3</v>
      </c>
      <c r="BM4" s="15">
        <f t="shared" ref="BM4:BM23" si="26">IF(SUM(BB4:BE4)-BF4&gt;0,SUM(BB4:BE4)-BF4,"")</f>
        <v>53.78</v>
      </c>
      <c r="BN4" s="15">
        <f t="shared" ref="BN4:BN23" si="27">IF(SUM(BK4,BM4)&gt;0,SUM(BK4,BM4),"")</f>
        <v>156.53500000000003</v>
      </c>
      <c r="BO4" s="24" t="str">
        <f t="shared" ref="BO4:BO23" si="28">IF(MAX(CI4,DE4,EA4,EW4,FS4,GO4,HK4,IG4,JC4,JY4,KU4,LQ4)-IF(L4="",0,L4)&gt;0.001,MAX(CI4,DE4,EA4,EW4,FS4,GO4,HK4,IG4,JC4,JY4,KU4,LQ4)-IF(L4="",0,L4),"")</f>
        <v/>
      </c>
      <c r="BP4" s="24" t="str">
        <f t="shared" ref="BP4:BP23" si="29">IF(MAX(CJ4,DF4,EB4,EX4,FT4,GP4,HL4,IH4,JD4,JZ4,KV4,LR4)-IF(N4="",0,N4)&gt;0.001,MAX(CJ4,DF4,EB4,EX4,FT4,GP4,HL4,IH4,JD4,JZ4,KV4,LR4)-IF(N4="",0,N4),"")</f>
        <v/>
      </c>
      <c r="BQ4" s="24" t="str">
        <f t="shared" ref="BQ4:BQ23" si="30">IF(MAX(CK4,DG4,EC4,EY4,FU4,GQ4,HM4,II4,JE4,KA4,KW4,LS4)-IF(J4="",0,J4)&gt;0.001,MAX(CK4,DG4,EC4,EY4,FU4,GQ4,HM4,II4,JE4,KA4,KW4,LS4)-IF(J4="",0,J4),"")</f>
        <v/>
      </c>
      <c r="BR4" s="24" t="str">
        <f t="shared" ref="BR4:BR23" si="31">IF(MAX(CM4,DI4,EE4,FA4,FW4,GS4,HO4,IK4,JG4,KC4,KY4,LU4)-IF(P4="",0,P4)&gt;0.001,MAX(CM4,DI4,EE4,FA4,FW4,GS4,HO4,IK4,JG4,KC4,KY4,LU4)-IF(P4="",0,P4),"")</f>
        <v/>
      </c>
      <c r="BS4" s="36">
        <v>17.5</v>
      </c>
      <c r="BT4" s="36">
        <v>0</v>
      </c>
      <c r="BU4" s="36">
        <v>9.1</v>
      </c>
      <c r="BV4" s="36">
        <v>17.074999999999999</v>
      </c>
      <c r="BW4" s="36">
        <v>0</v>
      </c>
      <c r="BX4" s="36">
        <v>11.4</v>
      </c>
      <c r="BY4" s="36">
        <v>10.8</v>
      </c>
      <c r="BZ4" s="36">
        <v>7.35</v>
      </c>
      <c r="CA4" s="36">
        <v>13.09</v>
      </c>
      <c r="CB4" s="36">
        <v>0</v>
      </c>
      <c r="CC4" s="36"/>
      <c r="CD4" s="36"/>
      <c r="CE4" s="36"/>
      <c r="CF4" s="36"/>
      <c r="CG4" s="36"/>
      <c r="CH4" s="12">
        <f t="shared" ref="CH4:CH23" si="32">IF(BZ4&gt;0,BZ4,"")</f>
        <v>7.35</v>
      </c>
      <c r="CI4" s="12">
        <f t="shared" ref="CI4:CI23" si="33">IF(SUM(BS4:BV4)-BW4&gt;0,SUM(BS4:BV4)-BW4,"")</f>
        <v>43.674999999999997</v>
      </c>
      <c r="CJ4" s="12">
        <f t="shared" ref="CJ4:CJ23" si="34">IF(SUM(BX4:CA4)-CB4&gt;0,SUM(BX4:CA4)-CB4,"")</f>
        <v>42.64</v>
      </c>
      <c r="CK4" s="12">
        <f t="shared" ref="CK4:CK23" si="35">IF(SUM(CI4:CJ4)&gt;0,SUM(CI4:CJ4),"")</f>
        <v>86.314999999999998</v>
      </c>
      <c r="CL4" s="12" t="str">
        <f t="shared" ref="CL4:CL23" si="36">IF(CE4&gt;0,CE4,"")</f>
        <v/>
      </c>
      <c r="CM4" s="12" t="str">
        <f t="shared" ref="CM4:CM23" si="37">IF(SUM(CC4:CF4)-CG4&gt;0,SUM(CC4:CF4)-CG4,"")</f>
        <v/>
      </c>
      <c r="CN4" s="12">
        <f t="shared" ref="CN4:CN23" si="38">IF(SUM(CK4,CM4)&gt;0,SUM(CK4,CM4),"")</f>
        <v>86.314999999999998</v>
      </c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15" t="str">
        <f t="shared" ref="DD4:DD23" si="39">IF(CV4&gt;0,CV4,"")</f>
        <v/>
      </c>
      <c r="DE4" s="15" t="str">
        <f t="shared" ref="DE4:DE23" si="40">IF(SUM(CO4:CR4)-CS4&gt;0,SUM(CO4:CR4)-CS4,"")</f>
        <v/>
      </c>
      <c r="DF4" s="15" t="str">
        <f t="shared" ref="DF4:DF23" si="41">IF(SUM(CT4:CW4)-CX4&gt;0,SUM(CT4:CW4)-CX4,"")</f>
        <v/>
      </c>
      <c r="DG4" s="15" t="str">
        <f t="shared" ref="DG4:DG23" si="42">IF(SUM(DE4:DF4)&gt;0,SUM(DE4:DF4),"")</f>
        <v/>
      </c>
      <c r="DH4" s="15" t="str">
        <f t="shared" ref="DH4:DH23" si="43">IF(DA4&gt;0,DA4,"")</f>
        <v/>
      </c>
      <c r="DI4" s="15" t="str">
        <f t="shared" ref="DI4:DI23" si="44">IF(SUM(CY4:DB4)-DC4&gt;0,SUM(CY4:DB4)-DC4,"")</f>
        <v/>
      </c>
      <c r="DJ4" s="15" t="str">
        <f t="shared" ref="DJ4:DJ23" si="45">IF(SUM(DG4,DI4)&gt;0,SUM(DG4,DI4),"")</f>
        <v/>
      </c>
      <c r="DK4" s="36">
        <v>17.399999999999999</v>
      </c>
      <c r="DL4" s="36">
        <v>9.1999999999999993</v>
      </c>
      <c r="DM4" s="36">
        <v>0</v>
      </c>
      <c r="DN4" s="36">
        <v>16.425000000000001</v>
      </c>
      <c r="DO4" s="36">
        <v>0</v>
      </c>
      <c r="DP4" s="36">
        <v>12.4</v>
      </c>
      <c r="DQ4" s="36">
        <v>8.85</v>
      </c>
      <c r="DR4" s="36">
        <v>13.5</v>
      </c>
      <c r="DS4" s="36">
        <v>15.56</v>
      </c>
      <c r="DT4" s="36">
        <v>0</v>
      </c>
      <c r="DU4" s="36">
        <v>14.7</v>
      </c>
      <c r="DV4" s="36">
        <v>9.3000000000000007</v>
      </c>
      <c r="DW4" s="36">
        <v>13.5</v>
      </c>
      <c r="DX4" s="36">
        <v>15.664999999999999</v>
      </c>
      <c r="DY4" s="36">
        <v>0</v>
      </c>
      <c r="DZ4" s="12">
        <f t="shared" ref="DZ4:DZ23" si="46">IF(DR4&gt;0,DR4,"")</f>
        <v>13.5</v>
      </c>
      <c r="EA4" s="12">
        <f t="shared" ref="EA4:EA23" si="47">IF(SUM(DK4:DN4)-DO4&gt;0,SUM(DK4:DN4)-DO4,"")</f>
        <v>43.024999999999999</v>
      </c>
      <c r="EB4" s="12">
        <f t="shared" ref="EB4:EB23" si="48">IF(SUM(DP4:DS4)-DT4&gt;0,SUM(DP4:DS4)-DT4,"")</f>
        <v>50.31</v>
      </c>
      <c r="EC4" s="12">
        <f t="shared" ref="EC4:EC23" si="49">IF(SUM(EA4:EB4)&gt;0,SUM(EA4:EB4),"")</f>
        <v>93.335000000000008</v>
      </c>
      <c r="ED4" s="12">
        <f t="shared" ref="ED4:ED23" si="50">IF(DW4&gt;0,DW4,"")</f>
        <v>13.5</v>
      </c>
      <c r="EE4" s="12">
        <f t="shared" ref="EE4:EE23" si="51">IF(SUM(DU4:DX4)-DY4&gt;0,SUM(DU4:DX4)-DY4,"")</f>
        <v>53.164999999999999</v>
      </c>
      <c r="EF4" s="12">
        <f t="shared" ref="EF4:EF23" si="52">IF(SUM(EC4,EE4)&gt;0,SUM(EC4,EE4),"")</f>
        <v>146.5</v>
      </c>
      <c r="EG4" s="37">
        <v>16</v>
      </c>
      <c r="EH4" s="37">
        <v>9.4</v>
      </c>
      <c r="EI4" s="37">
        <v>0</v>
      </c>
      <c r="EJ4" s="37">
        <v>17.11</v>
      </c>
      <c r="EK4" s="37">
        <v>0</v>
      </c>
      <c r="EL4" s="37">
        <v>1.2</v>
      </c>
      <c r="EM4" s="37">
        <v>0.9</v>
      </c>
      <c r="EN4" s="37">
        <v>1.7</v>
      </c>
      <c r="EO4" s="37">
        <v>1.79</v>
      </c>
      <c r="EP4" s="37">
        <v>0</v>
      </c>
      <c r="EQ4" s="37"/>
      <c r="ER4" s="37"/>
      <c r="ES4" s="37"/>
      <c r="ET4" s="37"/>
      <c r="EU4" s="37"/>
      <c r="EV4" s="15">
        <f t="shared" ref="EV4:EV23" si="53">IF(EN4&gt;0,EN4,"")</f>
        <v>1.7</v>
      </c>
      <c r="EW4" s="15">
        <f t="shared" ref="EW4:EW23" si="54">IF(SUM(EG4:EJ4)-EK4&gt;0,SUM(EG4:EJ4)-EK4,"")</f>
        <v>42.51</v>
      </c>
      <c r="EX4" s="15">
        <f t="shared" ref="EX4:EX23" si="55">IF(SUM(EL4:EO4)-EP4&gt;0,SUM(EL4:EO4)-EP4,"")</f>
        <v>5.59</v>
      </c>
      <c r="EY4" s="15">
        <f t="shared" ref="EY4:EY23" si="56">IF(SUM(EW4:EX4)&gt;0,SUM(EW4:EX4),"")</f>
        <v>48.099999999999994</v>
      </c>
      <c r="EZ4" s="15" t="str">
        <f t="shared" ref="EZ4:EZ23" si="57">IF(ES4&gt;0,ES4,"")</f>
        <v/>
      </c>
      <c r="FA4" s="15" t="str">
        <f t="shared" ref="FA4:FA23" si="58">IF(SUM(EQ4:ET4)-EU4&gt;0,SUM(EQ4:ET4)-EU4,"")</f>
        <v/>
      </c>
      <c r="FB4" s="15">
        <f t="shared" ref="FB4:FB23" si="59">IF(SUM(EY4,FA4)&gt;0,SUM(EY4,FA4),"")</f>
        <v>48.099999999999994</v>
      </c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12" t="str">
        <f t="shared" ref="FR4:FR23" si="60">IF(FJ4&gt;0,FJ4,"")</f>
        <v/>
      </c>
      <c r="FS4" s="12" t="str">
        <f t="shared" ref="FS4:FS23" si="61">IF(SUM(FC4:FF4)-FG4&gt;0,SUM(FC4:FF4)-FG4,"")</f>
        <v/>
      </c>
      <c r="FT4" s="12" t="str">
        <f t="shared" ref="FT4:FT23" si="62">IF(SUM(FH4:FK4)-FL4&gt;0,SUM(FH4:FK4)-FL4,"")</f>
        <v/>
      </c>
      <c r="FU4" s="12" t="str">
        <f t="shared" ref="FU4:FU23" si="63">IF(SUM(FS4:FT4)&gt;0,SUM(FS4:FT4),"")</f>
        <v/>
      </c>
      <c r="FV4" s="12" t="str">
        <f t="shared" ref="FV4:FV23" si="64">IF(FO4&gt;0,FO4,"")</f>
        <v/>
      </c>
      <c r="FW4" s="12" t="str">
        <f t="shared" ref="FW4:FW23" si="65">IF(SUM(FM4:FP4)-FQ4&gt;0,SUM(FM4:FP4)-FQ4,"")</f>
        <v/>
      </c>
      <c r="FX4" s="12" t="str">
        <f t="shared" ref="FX4:FX23" si="66">IF(SUM(FU4,FW4)&gt;0,SUM(FU4,FW4),"")</f>
        <v/>
      </c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15" t="str">
        <f t="shared" ref="GN4:GN23" si="67">IF(GF4&gt;0,GF4,"")</f>
        <v/>
      </c>
      <c r="GO4" s="15" t="str">
        <f t="shared" ref="GO4:GO23" si="68">IF(SUM(FY4:GB4)-GC4&gt;0,SUM(FY4:GB4)-GC4,"")</f>
        <v/>
      </c>
      <c r="GP4" s="15" t="str">
        <f t="shared" ref="GP4:GP23" si="69">IF(SUM(GD4:GG4)-GH4&gt;0,SUM(GD4:GG4)-GH4,"")</f>
        <v/>
      </c>
      <c r="GQ4" s="15" t="str">
        <f t="shared" ref="GQ4:GQ23" si="70">IF(SUM(GO4:GP4)&gt;0,SUM(GO4:GP4),"")</f>
        <v/>
      </c>
      <c r="GR4" s="15" t="str">
        <f t="shared" ref="GR4:GR23" si="71">IF(GK4&gt;0,GK4,"")</f>
        <v/>
      </c>
      <c r="GS4" s="15" t="str">
        <f t="shared" ref="GS4:GS23" si="72">IF(SUM(GI4:GL4)-GM4&gt;0,SUM(GI4:GL4)-GM4,"")</f>
        <v/>
      </c>
      <c r="GT4" s="15" t="str">
        <f t="shared" ref="GT4:GT23" si="73">IF(SUM(GQ4,GS4)&gt;0,SUM(GQ4,GS4),"")</f>
        <v/>
      </c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12" t="str">
        <f t="shared" ref="HJ4:HJ23" si="74">IF(HB4&gt;0,HB4,"")</f>
        <v/>
      </c>
      <c r="HK4" s="12" t="str">
        <f t="shared" ref="HK4:HK23" si="75">IF(SUM(GU4:GX4)-GY4&gt;0,SUM(GU4:GX4)-GY4,"")</f>
        <v/>
      </c>
      <c r="HL4" s="12" t="str">
        <f t="shared" ref="HL4:HL23" si="76">IF(SUM(GZ4:HC4)-HD4&gt;0,SUM(GZ4:HC4)-HD4,"")</f>
        <v/>
      </c>
      <c r="HM4" s="12" t="str">
        <f t="shared" ref="HM4:HM23" si="77">IF(SUM(HK4:HL4)&gt;0,SUM(HK4:HL4),"")</f>
        <v/>
      </c>
      <c r="HN4" s="12" t="str">
        <f t="shared" ref="HN4:HN23" si="78">IF(HG4&gt;0,HG4,"")</f>
        <v/>
      </c>
      <c r="HO4" s="12" t="str">
        <f t="shared" ref="HO4:HO23" si="79">IF(SUM(HE4:HH4)-HI4&gt;0,SUM(HE4:HH4)-HI4,"")</f>
        <v/>
      </c>
      <c r="HP4" s="12" t="str">
        <f t="shared" ref="HP4:HP23" si="80">IF(SUM(HM4,HO4)&gt;0,SUM(HM4,HO4),"")</f>
        <v/>
      </c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15" t="str">
        <f t="shared" ref="IF4:IF23" si="81">IF(HX4&gt;0,HX4,"")</f>
        <v/>
      </c>
      <c r="IG4" s="15" t="str">
        <f t="shared" ref="IG4:IG23" si="82">IF(SUM(HQ4:HT4)-HU4&gt;0,SUM(HQ4:HT4)-HU4,"")</f>
        <v/>
      </c>
      <c r="IH4" s="15" t="str">
        <f t="shared" ref="IH4:IH23" si="83">IF(SUM(HV4:HY4)-HZ4&gt;0,SUM(HV4:HY4)-HZ4,"")</f>
        <v/>
      </c>
      <c r="II4" s="15" t="str">
        <f t="shared" ref="II4:II23" si="84">IF(SUM(IG4:IH4)&gt;0,SUM(IG4:IH4),"")</f>
        <v/>
      </c>
      <c r="IJ4" s="15" t="str">
        <f t="shared" ref="IJ4:IJ23" si="85">IF(IC4&gt;0,IC4,"")</f>
        <v/>
      </c>
      <c r="IK4" s="15" t="str">
        <f t="shared" ref="IK4:IK23" si="86">IF(SUM(IA4:ID4)-IE4&gt;0,SUM(IA4:ID4)-IE4,"")</f>
        <v/>
      </c>
      <c r="IL4" s="15" t="str">
        <f t="shared" ref="IL4:IL23" si="87">IF(SUM(II4,IK4)&gt;0,SUM(II4,IK4),"")</f>
        <v/>
      </c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12" t="str">
        <f t="shared" ref="JB4:JB23" si="88">IF(IT4&gt;0,IT4,"")</f>
        <v/>
      </c>
      <c r="JC4" s="12" t="str">
        <f t="shared" ref="JC4:JC23" si="89">IF(SUM(IM4:IP4)-IQ4&gt;0,SUM(IM4:IP4)-IQ4,"")</f>
        <v/>
      </c>
      <c r="JD4" s="12" t="str">
        <f t="shared" ref="JD4:JD23" si="90">IF(SUM(IR4:IU4)-IV4&gt;0,SUM(IR4:IU4)-IV4,"")</f>
        <v/>
      </c>
      <c r="JE4" s="12" t="str">
        <f t="shared" ref="JE4:JE23" si="91">IF(SUM(JC4:JD4)&gt;0,SUM(JC4:JD4),"")</f>
        <v/>
      </c>
      <c r="JF4" s="12" t="str">
        <f t="shared" ref="JF4:JF23" si="92">IF(IY4&gt;0,IY4,"")</f>
        <v/>
      </c>
      <c r="JG4" s="12" t="str">
        <f t="shared" ref="JG4:JG23" si="93">IF(SUM(IW4:IZ4)-JA4&gt;0,SUM(IW4:IZ4)-JA4,"")</f>
        <v/>
      </c>
      <c r="JH4" s="12" t="str">
        <f t="shared" ref="JH4:JH23" si="94">IF(SUM(JE4,JG4)&gt;0,SUM(JE4,JG4),"")</f>
        <v/>
      </c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15" t="str">
        <f t="shared" ref="JX4:JX23" si="95">IF(JP4&gt;0,JP4,"")</f>
        <v/>
      </c>
      <c r="JY4" s="15" t="str">
        <f t="shared" ref="JY4:JY23" si="96">IF(SUM(JI4:JL4)-JM4&gt;0,SUM(JI4:JL4)-JM4,"")</f>
        <v/>
      </c>
      <c r="JZ4" s="15" t="str">
        <f t="shared" ref="JZ4:JZ23" si="97">IF(SUM(JN4:JQ4)-JR4&gt;0,SUM(JN4:JQ4)-JR4,"")</f>
        <v/>
      </c>
      <c r="KA4" s="15" t="str">
        <f t="shared" ref="KA4:KA23" si="98">IF(SUM(JY4:JZ4)&gt;0,SUM(JY4:JZ4),"")</f>
        <v/>
      </c>
      <c r="KB4" s="15" t="str">
        <f t="shared" ref="KB4:KB23" si="99">IF(JU4&gt;0,JU4,"")</f>
        <v/>
      </c>
      <c r="KC4" s="15" t="str">
        <f t="shared" ref="KC4:KC23" si="100">IF(SUM(JS4:JV4)-JW4&gt;0,SUM(JS4:JV4)-JW4,"")</f>
        <v/>
      </c>
      <c r="KD4" s="15" t="str">
        <f t="shared" ref="KD4:KD23" si="101">IF(SUM(KA4,KC4)&gt;0,SUM(KA4,KC4),"")</f>
        <v/>
      </c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12" t="str">
        <f t="shared" ref="KT4:KT23" si="102">IF(KL4&gt;0,KL4,"")</f>
        <v/>
      </c>
      <c r="KU4" s="12" t="str">
        <f t="shared" ref="KU4:KU23" si="103">IF(SUM(KE4:KH4)-KI4&gt;0,SUM(KE4:KH4)-KI4,"")</f>
        <v/>
      </c>
      <c r="KV4" s="12" t="str">
        <f t="shared" ref="KV4:KV23" si="104">IF(SUM(KJ4:KM4)-KN4&gt;0,SUM(KJ4:KM4)-KN4,"")</f>
        <v/>
      </c>
      <c r="KW4" s="12" t="str">
        <f t="shared" ref="KW4:KW23" si="105">IF(SUM(KU4:KV4)&gt;0,SUM(KU4:KV4),"")</f>
        <v/>
      </c>
      <c r="KX4" s="12" t="str">
        <f t="shared" ref="KX4:KX23" si="106">IF(KQ4&gt;0,KQ4,"")</f>
        <v/>
      </c>
      <c r="KY4" s="12" t="str">
        <f t="shared" ref="KY4:KY23" si="107">IF(SUM(KO4:KR4)-KS4&gt;0,SUM(KO4:KR4)-KS4,"")</f>
        <v/>
      </c>
      <c r="KZ4" s="12" t="str">
        <f t="shared" ref="KZ4:KZ23" si="108">IF(SUM(KW4,KY4)&gt;0,SUM(KW4,KY4),"")</f>
        <v/>
      </c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15" t="str">
        <f t="shared" ref="LP4:LP23" si="109">IF(LH4&gt;0,LH4,"")</f>
        <v/>
      </c>
      <c r="LQ4" s="15" t="str">
        <f t="shared" ref="LQ4:LQ23" si="110">IF(SUM(LA4:LD4)-LE4&gt;0,SUM(LA4:LD4)-LE4,"")</f>
        <v/>
      </c>
      <c r="LR4" s="15" t="str">
        <f t="shared" ref="LR4:LR23" si="111">IF(SUM(LF4:LI4)-LJ4&gt;0,SUM(LF4:LI4)-LJ4,"")</f>
        <v/>
      </c>
      <c r="LS4" s="15" t="str">
        <f t="shared" ref="LS4:LS23" si="112">IF(SUM(LQ4:LR4)&gt;0,SUM(LQ4:LR4),"")</f>
        <v/>
      </c>
      <c r="LT4" s="15" t="str">
        <f t="shared" ref="LT4:LT23" si="113">IF(LM4&gt;0,LM4,"")</f>
        <v/>
      </c>
      <c r="LU4" s="15" t="str">
        <f t="shared" ref="LU4:LU23" si="114">IF(SUM(LK4:LN4)-LO4&gt;0,SUM(LK4:LN4)-LO4,"")</f>
        <v/>
      </c>
      <c r="LV4" s="15" t="str">
        <f t="shared" ref="LV4:LV23" si="115">IF(SUM(LS4,LU4)&gt;0,SUM(LS4,LU4),"")</f>
        <v/>
      </c>
      <c r="LW4" s="63">
        <f t="shared" ref="LW4:MK4" si="116">IF($BG4="P",AR4,(U4+AR4)/2)</f>
        <v>17</v>
      </c>
      <c r="LX4" s="63">
        <f t="shared" si="116"/>
        <v>9.2750000000000004</v>
      </c>
      <c r="LY4" s="63">
        <f t="shared" si="116"/>
        <v>4</v>
      </c>
      <c r="LZ4" s="63">
        <f t="shared" si="116"/>
        <v>17.177500000000002</v>
      </c>
      <c r="MA4" s="63">
        <f t="shared" si="116"/>
        <v>0</v>
      </c>
      <c r="MB4" s="63">
        <f t="shared" si="116"/>
        <v>14.2</v>
      </c>
      <c r="MC4" s="63">
        <f t="shared" si="116"/>
        <v>9.2749999999999986</v>
      </c>
      <c r="MD4" s="63">
        <f t="shared" si="116"/>
        <v>14</v>
      </c>
      <c r="ME4" s="63">
        <f t="shared" si="116"/>
        <v>16.2775</v>
      </c>
      <c r="MF4" s="63">
        <f t="shared" si="116"/>
        <v>0</v>
      </c>
      <c r="MG4" s="63">
        <f t="shared" si="116"/>
        <v>14.05</v>
      </c>
      <c r="MH4" s="63">
        <f t="shared" si="116"/>
        <v>8.875</v>
      </c>
      <c r="MI4" s="63">
        <f t="shared" si="116"/>
        <v>14</v>
      </c>
      <c r="MJ4" s="63">
        <f t="shared" si="116"/>
        <v>16.43</v>
      </c>
      <c r="MK4" s="63">
        <f t="shared" si="116"/>
        <v>0</v>
      </c>
      <c r="ML4" s="74" t="s">
        <v>119</v>
      </c>
      <c r="MM4" s="12">
        <f t="shared" ref="MM4" si="117">IF(MD4&gt;0,MD4,"")</f>
        <v>14</v>
      </c>
      <c r="MN4" s="12">
        <f t="shared" ref="MN4" si="118">IF(SUM(LW4:LZ4)-MA4&gt;0,SUM(LW4:LZ4)-MA4,"")</f>
        <v>47.452500000000001</v>
      </c>
      <c r="MO4" s="12">
        <f t="shared" ref="MO4" si="119">IF(SUM(MB4:ME4)-MF4&gt;0,SUM(MB4:ME4)-MF4,"")</f>
        <v>53.752499999999998</v>
      </c>
      <c r="MP4" s="12">
        <f t="shared" ref="MP4" si="120">IF(SUM(MN4:MO4)&gt;0,SUM(MN4:MO4),"")</f>
        <v>101.205</v>
      </c>
      <c r="MQ4" s="12">
        <f>IF(MI4&gt;0,MI4,"")</f>
        <v>14</v>
      </c>
      <c r="MR4" s="12">
        <f t="shared" ref="MR4" si="121">IF(SUM(MG4:MJ4)-MK4&gt;0,SUM(MG4:MJ4)-MK4,"")</f>
        <v>53.354999999999997</v>
      </c>
      <c r="MS4" s="12">
        <f t="shared" ref="MS4" si="122">IF(SUM(MP4,MR4)&gt;0,SUM(MP4,MR4),"")</f>
        <v>154.56</v>
      </c>
    </row>
    <row r="5" spans="1:357" x14ac:dyDescent="0.2">
      <c r="A5" s="6">
        <f t="shared" si="0"/>
        <v>2</v>
      </c>
      <c r="B5" s="7" t="s">
        <v>78</v>
      </c>
      <c r="C5" s="8" t="s">
        <v>5</v>
      </c>
      <c r="D5" s="8">
        <v>2003</v>
      </c>
      <c r="E5" s="16">
        <f t="shared" si="1"/>
        <v>250.02500000000003</v>
      </c>
      <c r="F5" s="4" t="str">
        <f t="shared" ref="F5:F23" si="123">IF(OR(AND($AK5&gt;=$AL$26,NOT($AK5=""),$AJ5=""),AND($BH5&gt;=$BI$26,NOT($BH5=""),$BG5=""),AND($CH5&gt;=$CI$26,NOT($CH5="")),AND($DD5&gt;=$DE$26,NOT($DD5="")),AND($DZ5&gt;=$EA$26,NOT($DZ5="")),AND($EV5&gt;=$EW$26,NOT($EV5="")),AND($FR5&gt;=$FS$26,NOT($FR5="")),AND($GN5&gt;=$GO$26,NOT($GN5="")),AND($HJ5&gt;=$HK$26,NOT($HJ5="")),AND($IF5&gt;=$IG$26,NOT($IF5="")),AND($JB5&gt;=$JC$26,NOT($JB5="")),AND($JX5&gt;=$JY$26,NOT($JX5="")),AND($KT5&gt;=$KU$26,NOT($KT5="")),AND($LP5&gt;=$LQ$26,NOT($LP5="")),AND($AO5&gt;=$AL$26,NOT($AO5=""),$AJ5=""),AND($BL5&gt;=$BI$26,NOT($BL5=""),$BG5=""),AND($CL5&gt;=$CI$26,NOT($CL5="")),AND($DH5&gt;=$DE$26,NOT($DH5="")),AND($ED5&gt;=$EA$26,NOT($ED5="")),AND($EZ5&gt;=$EW$26,NOT($EZ5="")),AND($FV5&gt;=$FS$26,NOT($FV5="")),AND($GR5&gt;=$GO$26,NOT($GR5="")),AND($HN5&gt;=$HK$26,NOT($HN5="")),AND($IJ5&gt;=$IG$26,NOT($IJ5="")),AND($JF5&gt;=$JC$26,NOT($JF5="")),AND($KB5&gt;=$JY$26,NOT($KB5="")),AND($KX5&gt;=$KU$26,NOT($KX5="")),AND($LT5&gt;=$LQ$26,NOT($LT5=""))),"P","")</f>
        <v>P</v>
      </c>
      <c r="G5" s="4" t="str">
        <f t="shared" ref="G5:G23" si="124">IF(OR(AND($AK5&gt;=$AL$27,NOT($AK5=""),$AJ5=""),AND($BH5&gt;=$BI$27,NOT($BH5=""),$BG5=""),AND($CH5&gt;=$CI$27,NOT($CH5="")),AND($DD5&gt;=$DE$27,NOT($DD5="")),AND($DZ5&gt;=$EA$27,NOT($DZ5="")),AND($EV5&gt;=$EW$27,NOT($EV5="")),AND($FR5&gt;=$FS$27,NOT($FR5="")),AND($GN5&gt;=$GO$27,NOT($GN5="")),AND($HJ5&gt;=$HK$27,NOT($HJ5="")),AND($IF5&gt;=$IG$27,NOT($IF5="")),AND($JB5&gt;=$JC$27,NOT($JB5="")),AND($JX5&gt;=$JY$27,NOT($JX5="")),AND($KT5&gt;=$KU$27,NOT($KT5="")),AND($LP5&gt;=$LQ$27,NOT($LP5="")),AND($AO5&gt;=$AL$27,NOT($AO5=""),$AJ5=""),AND($BL5&gt;=$BI$27,NOT($BL5=""),$BG5=""),AND($CL5&gt;=$CI$27,NOT($CL5="")),AND($DH5&gt;=$DE$27,NOT($DH5="")),AND($ED5&gt;=$EA$27,NOT($ED5="")),AND($EZ5&gt;=$EW$27,NOT($EZ5="")),AND($FV5&gt;=$FS$27,NOT($FV5="")),AND($GR5&gt;=$GO$27,NOT($GR5="")),AND($HN5&gt;=$HK$27,NOT($HN5="")),AND($IJ5&gt;=$IG$27,NOT($IJ5="")),AND($JF5&gt;=$JC$27,NOT($JF5="")),AND($KB5&gt;=$JY$27,NOT($KB5="")),AND($KX5&gt;=$KU$27,NOT($KX5="")),AND($LT5&gt;=$LQ$27,NOT($LT5=""))),"P","")</f>
        <v>P</v>
      </c>
      <c r="H5" s="4" t="str">
        <f t="shared" si="2"/>
        <v>P</v>
      </c>
      <c r="I5" t="str">
        <f t="shared" ref="I5:I23" si="125">IF(AND(H5="P",F5=""),"No DD",IF(AND(G5="P",OR(AND($AM5&gt;$AL$31,NOT($AM5=""),$AJ5=""),AND($AP5&gt;$AL$31,NOT($AP5=""),$AJ5=""),AND($BJ5&gt;$BI$31,NOT($BJ5=""),$BG5=""),AND($BM5&gt;$BI$31,NOT($BM5=""),$BG5=""),AND($CJ5&gt;$CI$31,NOT($CJ5="")),AND($CM5&gt;$CI$31,NOT($CM5="")),AND($DF5&gt;$DE$31,NOT($DF5="")),AND($DI5&gt;$DE$31,NOT($DI5="")),AND($EB5&gt;$EA$31,NOT($EB5="")),AND($EE5&gt;$EA$31,NOT($EE5="")),AND($EX5&gt;$EW$31,NOT($EX5="")),AND($FA5&gt;$EW$31,NOT($FA5="")),AND($FT5&gt;$FS$31,NOT($FT5="")),AND($FW5&gt;$FS$31,NOT($FW5="")),AND($GP5&gt;$GO$31,NOT($GP5="")),AND($GS5&gt;$GO$31,NOT($GS5="")),AND($HL5&gt;$HK$31,NOT($HL5="")),AND($HO5&gt;$HK$31,NOT($HO5="")),AND($IH5&gt;$IG$31,NOT($IH5="")),AND($IK5&gt;$IG$31,NOT($IK5="")),AND($JD5&gt;$JC$31,NOT($JD5="")),AND($JG5&gt;$JC$31,NOT($JG5="")),AND($JZ5&gt;$JY$31,NOT($JZ5="")),AND($KC5&gt;$JY$31,NOT($KC5="")),AND($KV5&gt;$KU$31,NOT($KV5="")),AND($KY5&gt;$KU$31,NOT($KY5="")),AND($LR5&gt;$LQ$31,NOT($LR5="")),AND($LU5&gt;$LQ$31,NOT($LU5="")))),"Merit",IF(AND(G5="P",OR(AND($AN5&gt;$AL$30,NOT($AN5=""),$AJ5=""),AND($BK5&gt;$BI$30,NOT($BK5=""),$BG5=""),AND($CK5&gt;$CI$30,NOT($CK5="")),AND($DG5&gt;$DE$30,NOT($DG5="")),AND($EC5&gt;$EA$30,NOT($EC5="")),AND($EY5&gt;$EW$30,NOT($EY5="")),AND($FU5&gt;$FS$30,NOT($FU5="")),AND($GQ5&gt;$GO$30,NOT($GQ5="")),AND($HM5&gt;$HK$30,NOT($HM5="")),AND($II5&gt;$IG$30,NOT($II5="")),AND($JE5&gt;$JC$30,NOT($JE5="")),AND($KA5&gt;$JY$30,NOT($KA5="")),AND($KW5&gt;$KU$30,NOT($KW5="")),AND($LS5&gt;$LQ$30,NOT($LS5="")))),"Excellence",IF(AND(G5="P",OR(AND($AN5&gt;$AL$29,NOT($AN5=""),$AJ5=""),AND($BK5&gt;$BI$29,NOT($BK5=""),$BG5=""),AND($CK5&gt;$CI$29,NOT($CK5="")),AND($DG5&gt;$DE$29,NOT($DG5="")),AND($EC5&gt;$EA$29,NOT($EC5="")),AND($EY5&gt;$EW$29,NOT($EY5="")),AND($FU5&gt;$FS$29,NOT($FU5="")),AND($GQ5&gt;$GO$29,NOT($GQ5="")),AND($HM5&gt;$HK$29,NOT($HM5="")),AND($II5&gt;$IG$29,NOT($II5="")),AND($JE5&gt;$JC$29,NOT($JE5="")),AND($KA5&gt;$JY$29,NOT($KA5="")),AND($KW5&gt;$KU$29,NOT($KW5="")),AND($LS5&gt;$LQ$29,NOT($LS5="")))),"Worlds Team",IF(AND(F5="P",OR(AND($AN5&gt;$AL$28,NOT($AN5=""),$AJ5=""),AND($BK5&gt;$BI$28,NOT($BK5=""),$BG5=""),AND($CK5&gt;$CI$28,NOT($CK5="")),AND($DG5&gt;$DE$28,NOT($DG5="")),AND($EC5&gt;$EA$28,NOT($EC5="")),AND($EY5&gt;$EW$28,NOT($EY5="")),AND($FU5&gt;$FS$28,NOT($FU5="")),AND($GQ5&gt;$GO$28,NOT($GQ5="")),AND($HM5&gt;$HK$28,NOT($HM5="")),AND($II5&gt;$IG$28,NOT($II5="")),AND($JE5&gt;$JC$28,NOT($JE5="")),AND($KA5&gt;$JY$28,NOT($KA5="")),AND($KW5&gt;$KU$28,NOT($KW5="")),AND($LS5&gt;$LQ$28,NOT($LS5="")))),"National Team","")))))</f>
        <v>National Team</v>
      </c>
      <c r="J5" s="15">
        <f t="shared" si="3"/>
        <v>99.2</v>
      </c>
      <c r="K5" s="15" t="str">
        <f t="shared" si="4"/>
        <v>2019 Elite Canada</v>
      </c>
      <c r="L5" s="15">
        <f t="shared" si="5"/>
        <v>45.96</v>
      </c>
      <c r="M5" s="15" t="str">
        <f t="shared" si="6"/>
        <v>2018 Nationals</v>
      </c>
      <c r="N5" s="15">
        <f t="shared" si="7"/>
        <v>51.95</v>
      </c>
      <c r="O5" s="15" t="str">
        <f t="shared" si="8"/>
        <v>2018 Nationals</v>
      </c>
      <c r="P5" s="15">
        <f t="shared" si="9"/>
        <v>52.915000000000006</v>
      </c>
      <c r="Q5" s="15" t="str">
        <f t="shared" si="10"/>
        <v>2019 Elite Canada</v>
      </c>
      <c r="R5" s="15" t="str">
        <f t="shared" si="11"/>
        <v/>
      </c>
      <c r="S5" s="25" t="str">
        <f t="shared" si="12"/>
        <v/>
      </c>
      <c r="T5" s="15" t="str">
        <f t="shared" si="13"/>
        <v/>
      </c>
      <c r="U5" s="63">
        <v>16.8</v>
      </c>
      <c r="V5" s="63">
        <v>9.6</v>
      </c>
      <c r="W5" s="63">
        <v>4.5</v>
      </c>
      <c r="X5" s="63">
        <v>15.06</v>
      </c>
      <c r="Y5" s="63">
        <v>0</v>
      </c>
      <c r="Z5" s="63">
        <v>14.5</v>
      </c>
      <c r="AA5" s="63">
        <v>9.0500000000000007</v>
      </c>
      <c r="AB5" s="63">
        <v>13.7</v>
      </c>
      <c r="AC5" s="63">
        <v>14.7</v>
      </c>
      <c r="AD5" s="63">
        <v>0</v>
      </c>
      <c r="AE5" s="63">
        <v>15.1</v>
      </c>
      <c r="AF5" s="63">
        <v>9.1999999999999993</v>
      </c>
      <c r="AG5" s="63">
        <v>13.7</v>
      </c>
      <c r="AH5" s="63">
        <v>14.475</v>
      </c>
      <c r="AI5" s="63">
        <v>0</v>
      </c>
      <c r="AJ5" s="74"/>
      <c r="AK5" s="12">
        <f t="shared" si="14"/>
        <v>13.7</v>
      </c>
      <c r="AL5" s="12">
        <f t="shared" si="15"/>
        <v>45.96</v>
      </c>
      <c r="AM5" s="12">
        <f t="shared" si="16"/>
        <v>51.95</v>
      </c>
      <c r="AN5" s="12">
        <f t="shared" si="17"/>
        <v>97.91</v>
      </c>
      <c r="AO5" s="12">
        <f t="shared" si="18"/>
        <v>13.7</v>
      </c>
      <c r="AP5" s="12">
        <f t="shared" si="19"/>
        <v>52.475000000000001</v>
      </c>
      <c r="AQ5" s="12">
        <f t="shared" si="20"/>
        <v>150.38499999999999</v>
      </c>
      <c r="AR5" s="69">
        <v>16.600000000000001</v>
      </c>
      <c r="AS5" s="69">
        <v>9.3000000000000007</v>
      </c>
      <c r="AT5" s="69">
        <v>4.5999999999999996</v>
      </c>
      <c r="AU5" s="69">
        <v>15.82</v>
      </c>
      <c r="AV5" s="69">
        <v>0</v>
      </c>
      <c r="AW5" s="69">
        <v>14</v>
      </c>
      <c r="AX5" s="69">
        <v>9.1999999999999993</v>
      </c>
      <c r="AY5" s="69">
        <v>14.3</v>
      </c>
      <c r="AZ5" s="69">
        <v>15.38</v>
      </c>
      <c r="BA5" s="69">
        <v>0</v>
      </c>
      <c r="BB5" s="69">
        <v>15.1</v>
      </c>
      <c r="BC5" s="69">
        <v>9.1</v>
      </c>
      <c r="BD5" s="69">
        <v>13.5</v>
      </c>
      <c r="BE5" s="69">
        <v>15.215</v>
      </c>
      <c r="BF5" s="69">
        <v>0</v>
      </c>
      <c r="BG5" s="75"/>
      <c r="BH5" s="15">
        <f t="shared" si="21"/>
        <v>14.3</v>
      </c>
      <c r="BI5" s="15">
        <f t="shared" si="22"/>
        <v>46.32</v>
      </c>
      <c r="BJ5" s="15">
        <f t="shared" si="23"/>
        <v>52.88</v>
      </c>
      <c r="BK5" s="15">
        <f t="shared" si="24"/>
        <v>99.2</v>
      </c>
      <c r="BL5" s="15">
        <f t="shared" si="25"/>
        <v>13.5</v>
      </c>
      <c r="BM5" s="15">
        <f t="shared" si="26"/>
        <v>52.915000000000006</v>
      </c>
      <c r="BN5" s="15">
        <f t="shared" si="27"/>
        <v>152.11500000000001</v>
      </c>
      <c r="BO5" s="24" t="str">
        <f t="shared" si="28"/>
        <v/>
      </c>
      <c r="BP5" s="24" t="str">
        <f t="shared" si="29"/>
        <v/>
      </c>
      <c r="BQ5" s="24" t="str">
        <f t="shared" si="30"/>
        <v/>
      </c>
      <c r="BR5" s="24" t="str">
        <f t="shared" si="31"/>
        <v/>
      </c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12" t="str">
        <f t="shared" si="32"/>
        <v/>
      </c>
      <c r="CI5" s="12" t="str">
        <f t="shared" si="33"/>
        <v/>
      </c>
      <c r="CJ5" s="12" t="str">
        <f t="shared" si="34"/>
        <v/>
      </c>
      <c r="CK5" s="12" t="str">
        <f t="shared" si="35"/>
        <v/>
      </c>
      <c r="CL5" s="12" t="str">
        <f t="shared" si="36"/>
        <v/>
      </c>
      <c r="CM5" s="12" t="str">
        <f t="shared" si="37"/>
        <v/>
      </c>
      <c r="CN5" s="12" t="str">
        <f t="shared" si="38"/>
        <v/>
      </c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15" t="str">
        <f t="shared" si="39"/>
        <v/>
      </c>
      <c r="DE5" s="15" t="str">
        <f t="shared" si="40"/>
        <v/>
      </c>
      <c r="DF5" s="15" t="str">
        <f t="shared" si="41"/>
        <v/>
      </c>
      <c r="DG5" s="15" t="str">
        <f t="shared" si="42"/>
        <v/>
      </c>
      <c r="DH5" s="15" t="str">
        <f t="shared" si="43"/>
        <v/>
      </c>
      <c r="DI5" s="15" t="str">
        <f t="shared" si="44"/>
        <v/>
      </c>
      <c r="DJ5" s="15" t="str">
        <f t="shared" si="45"/>
        <v/>
      </c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12" t="str">
        <f t="shared" si="46"/>
        <v/>
      </c>
      <c r="EA5" s="12" t="str">
        <f t="shared" si="47"/>
        <v/>
      </c>
      <c r="EB5" s="12" t="str">
        <f t="shared" si="48"/>
        <v/>
      </c>
      <c r="EC5" s="12" t="str">
        <f t="shared" si="49"/>
        <v/>
      </c>
      <c r="ED5" s="12" t="str">
        <f t="shared" si="50"/>
        <v/>
      </c>
      <c r="EE5" s="12" t="str">
        <f t="shared" si="51"/>
        <v/>
      </c>
      <c r="EF5" s="12" t="str">
        <f t="shared" si="52"/>
        <v/>
      </c>
      <c r="EG5" s="37">
        <v>17.2</v>
      </c>
      <c r="EH5" s="37">
        <v>9.3000000000000007</v>
      </c>
      <c r="EI5" s="37">
        <v>0</v>
      </c>
      <c r="EJ5" s="37">
        <v>15.125</v>
      </c>
      <c r="EK5" s="37">
        <v>0</v>
      </c>
      <c r="EL5" s="37">
        <v>13.7</v>
      </c>
      <c r="EM5" s="37">
        <v>8.9</v>
      </c>
      <c r="EN5" s="37">
        <v>13.1</v>
      </c>
      <c r="EO5" s="37">
        <v>14.51</v>
      </c>
      <c r="EP5" s="37">
        <v>0</v>
      </c>
      <c r="EQ5" s="37"/>
      <c r="ER5" s="37"/>
      <c r="ES5" s="37"/>
      <c r="ET5" s="37"/>
      <c r="EU5" s="37"/>
      <c r="EV5" s="15">
        <f t="shared" si="53"/>
        <v>13.1</v>
      </c>
      <c r="EW5" s="15">
        <f t="shared" si="54"/>
        <v>41.625</v>
      </c>
      <c r="EX5" s="15">
        <f t="shared" si="55"/>
        <v>50.21</v>
      </c>
      <c r="EY5" s="15">
        <f t="shared" si="56"/>
        <v>91.835000000000008</v>
      </c>
      <c r="EZ5" s="15" t="str">
        <f t="shared" si="57"/>
        <v/>
      </c>
      <c r="FA5" s="15" t="str">
        <f t="shared" si="58"/>
        <v/>
      </c>
      <c r="FB5" s="15">
        <f t="shared" si="59"/>
        <v>91.835000000000008</v>
      </c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12" t="str">
        <f t="shared" si="60"/>
        <v/>
      </c>
      <c r="FS5" s="12" t="str">
        <f t="shared" si="61"/>
        <v/>
      </c>
      <c r="FT5" s="12" t="str">
        <f t="shared" si="62"/>
        <v/>
      </c>
      <c r="FU5" s="12" t="str">
        <f t="shared" si="63"/>
        <v/>
      </c>
      <c r="FV5" s="12" t="str">
        <f t="shared" si="64"/>
        <v/>
      </c>
      <c r="FW5" s="12" t="str">
        <f t="shared" si="65"/>
        <v/>
      </c>
      <c r="FX5" s="12" t="str">
        <f t="shared" si="66"/>
        <v/>
      </c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15" t="str">
        <f t="shared" si="67"/>
        <v/>
      </c>
      <c r="GO5" s="15" t="str">
        <f t="shared" si="68"/>
        <v/>
      </c>
      <c r="GP5" s="15" t="str">
        <f t="shared" si="69"/>
        <v/>
      </c>
      <c r="GQ5" s="15" t="str">
        <f t="shared" si="70"/>
        <v/>
      </c>
      <c r="GR5" s="15" t="str">
        <f t="shared" si="71"/>
        <v/>
      </c>
      <c r="GS5" s="15" t="str">
        <f t="shared" si="72"/>
        <v/>
      </c>
      <c r="GT5" s="15" t="str">
        <f t="shared" si="73"/>
        <v/>
      </c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12" t="str">
        <f t="shared" si="74"/>
        <v/>
      </c>
      <c r="HK5" s="12" t="str">
        <f t="shared" si="75"/>
        <v/>
      </c>
      <c r="HL5" s="12" t="str">
        <f t="shared" si="76"/>
        <v/>
      </c>
      <c r="HM5" s="12" t="str">
        <f t="shared" si="77"/>
        <v/>
      </c>
      <c r="HN5" s="12" t="str">
        <f t="shared" si="78"/>
        <v/>
      </c>
      <c r="HO5" s="12" t="str">
        <f t="shared" si="79"/>
        <v/>
      </c>
      <c r="HP5" s="12" t="str">
        <f t="shared" si="80"/>
        <v/>
      </c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15" t="str">
        <f t="shared" si="81"/>
        <v/>
      </c>
      <c r="IG5" s="15" t="str">
        <f t="shared" si="82"/>
        <v/>
      </c>
      <c r="IH5" s="15" t="str">
        <f t="shared" si="83"/>
        <v/>
      </c>
      <c r="II5" s="15" t="str">
        <f t="shared" si="84"/>
        <v/>
      </c>
      <c r="IJ5" s="15" t="str">
        <f t="shared" si="85"/>
        <v/>
      </c>
      <c r="IK5" s="15" t="str">
        <f t="shared" si="86"/>
        <v/>
      </c>
      <c r="IL5" s="15" t="str">
        <f t="shared" si="87"/>
        <v/>
      </c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12" t="str">
        <f t="shared" si="88"/>
        <v/>
      </c>
      <c r="JC5" s="12" t="str">
        <f t="shared" si="89"/>
        <v/>
      </c>
      <c r="JD5" s="12" t="str">
        <f t="shared" si="90"/>
        <v/>
      </c>
      <c r="JE5" s="12" t="str">
        <f t="shared" si="91"/>
        <v/>
      </c>
      <c r="JF5" s="12" t="str">
        <f t="shared" si="92"/>
        <v/>
      </c>
      <c r="JG5" s="12" t="str">
        <f t="shared" si="93"/>
        <v/>
      </c>
      <c r="JH5" s="12" t="str">
        <f t="shared" si="94"/>
        <v/>
      </c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15" t="str">
        <f t="shared" si="95"/>
        <v/>
      </c>
      <c r="JY5" s="15" t="str">
        <f t="shared" si="96"/>
        <v/>
      </c>
      <c r="JZ5" s="15" t="str">
        <f t="shared" si="97"/>
        <v/>
      </c>
      <c r="KA5" s="15" t="str">
        <f t="shared" si="98"/>
        <v/>
      </c>
      <c r="KB5" s="15" t="str">
        <f t="shared" si="99"/>
        <v/>
      </c>
      <c r="KC5" s="15" t="str">
        <f t="shared" si="100"/>
        <v/>
      </c>
      <c r="KD5" s="15" t="str">
        <f t="shared" si="101"/>
        <v/>
      </c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12" t="str">
        <f t="shared" si="102"/>
        <v/>
      </c>
      <c r="KU5" s="12" t="str">
        <f t="shared" si="103"/>
        <v/>
      </c>
      <c r="KV5" s="12" t="str">
        <f t="shared" si="104"/>
        <v/>
      </c>
      <c r="KW5" s="12" t="str">
        <f t="shared" si="105"/>
        <v/>
      </c>
      <c r="KX5" s="12" t="str">
        <f t="shared" si="106"/>
        <v/>
      </c>
      <c r="KY5" s="12" t="str">
        <f t="shared" si="107"/>
        <v/>
      </c>
      <c r="KZ5" s="12" t="str">
        <f t="shared" si="108"/>
        <v/>
      </c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15" t="str">
        <f t="shared" si="109"/>
        <v/>
      </c>
      <c r="LQ5" s="15" t="str">
        <f t="shared" si="110"/>
        <v/>
      </c>
      <c r="LR5" s="15" t="str">
        <f t="shared" si="111"/>
        <v/>
      </c>
      <c r="LS5" s="15" t="str">
        <f t="shared" si="112"/>
        <v/>
      </c>
      <c r="LT5" s="15" t="str">
        <f t="shared" si="113"/>
        <v/>
      </c>
      <c r="LU5" s="15" t="str">
        <f t="shared" si="114"/>
        <v/>
      </c>
      <c r="LV5" s="15" t="str">
        <f t="shared" si="115"/>
        <v/>
      </c>
      <c r="LW5" s="63">
        <f t="shared" ref="LW5:LW23" si="126">IF($BG5="P",AR5,(U5+AR5)/2)</f>
        <v>16.700000000000003</v>
      </c>
      <c r="LX5" s="63">
        <f t="shared" ref="LX5:LX23" si="127">IF($BG5="P",AS5,(V5+AS5)/2)</f>
        <v>9.4499999999999993</v>
      </c>
      <c r="LY5" s="63">
        <f t="shared" ref="LY5:LY23" si="128">IF($BG5="P",AT5,(W5+AT5)/2)</f>
        <v>4.55</v>
      </c>
      <c r="LZ5" s="63">
        <f t="shared" ref="LZ5:LZ23" si="129">IF($BG5="P",AU5,(X5+AU5)/2)</f>
        <v>15.440000000000001</v>
      </c>
      <c r="MA5" s="63">
        <f t="shared" ref="MA5:MA23" si="130">IF($BG5="P",AV5,(Y5+AV5)/2)</f>
        <v>0</v>
      </c>
      <c r="MB5" s="63">
        <f t="shared" ref="MB5:MB23" si="131">IF($BG5="P",AW5,(Z5+AW5)/2)</f>
        <v>14.25</v>
      </c>
      <c r="MC5" s="63">
        <f t="shared" ref="MC5:MC23" si="132">IF($BG5="P",AX5,(AA5+AX5)/2)</f>
        <v>9.125</v>
      </c>
      <c r="MD5" s="63">
        <f t="shared" ref="MD5:MD23" si="133">IF($BG5="P",AY5,(AB5+AY5)/2)</f>
        <v>14</v>
      </c>
      <c r="ME5" s="63">
        <f t="shared" ref="ME5:ME23" si="134">IF($BG5="P",AZ5,(AC5+AZ5)/2)</f>
        <v>15.04</v>
      </c>
      <c r="MF5" s="63">
        <f t="shared" ref="MF5:MF23" si="135">IF($BG5="P",BA5,(AD5+BA5)/2)</f>
        <v>0</v>
      </c>
      <c r="MG5" s="63">
        <f t="shared" ref="MG5:MG23" si="136">IF($BG5="P",BB5,(AE5+BB5)/2)</f>
        <v>15.1</v>
      </c>
      <c r="MH5" s="63">
        <f t="shared" ref="MH5:MH23" si="137">IF($BG5="P",BC5,(AF5+BC5)/2)</f>
        <v>9.1499999999999986</v>
      </c>
      <c r="MI5" s="63">
        <f t="shared" ref="MI5:MI23" si="138">IF($BG5="P",BD5,(AG5+BD5)/2)</f>
        <v>13.6</v>
      </c>
      <c r="MJ5" s="63">
        <f t="shared" ref="MJ5:MJ23" si="139">IF($BG5="P",BE5,(AH5+BE5)/2)</f>
        <v>14.844999999999999</v>
      </c>
      <c r="MK5" s="63">
        <f t="shared" ref="MK5:MK23" si="140">IF($BG5="P",BF5,(AI5+BF5)/2)</f>
        <v>0</v>
      </c>
      <c r="ML5" s="74" t="s">
        <v>119</v>
      </c>
      <c r="MM5" s="12">
        <f t="shared" ref="MM5:MM21" si="141">IF(MD5&gt;0,MD5,"")</f>
        <v>14</v>
      </c>
      <c r="MN5" s="12">
        <f t="shared" ref="MN5:MN21" si="142">IF(SUM(LW5:LZ5)-MA5&gt;0,SUM(LW5:LZ5)-MA5,"")</f>
        <v>46.14</v>
      </c>
      <c r="MO5" s="12">
        <f t="shared" ref="MO5:MO21" si="143">IF(SUM(MB5:ME5)-MF5&gt;0,SUM(MB5:ME5)-MF5,"")</f>
        <v>52.414999999999999</v>
      </c>
      <c r="MP5" s="12">
        <f t="shared" ref="MP5:MP21" si="144">IF(SUM(MN5:MO5)&gt;0,SUM(MN5:MO5),"")</f>
        <v>98.555000000000007</v>
      </c>
      <c r="MQ5" s="12">
        <f t="shared" ref="MQ5:MQ23" si="145">IF(MI5&gt;0,MI5,"")</f>
        <v>13.6</v>
      </c>
      <c r="MR5" s="12">
        <f t="shared" ref="MR5:MR21" si="146">IF(SUM(MG5:MJ5)-MK5&gt;0,SUM(MG5:MJ5)-MK5,"")</f>
        <v>52.695</v>
      </c>
      <c r="MS5" s="12">
        <f t="shared" ref="MS5:MS21" si="147">IF(SUM(MP5,MR5)&gt;0,SUM(MP5,MR5),"")</f>
        <v>151.25</v>
      </c>
    </row>
    <row r="6" spans="1:357" x14ac:dyDescent="0.2">
      <c r="A6" s="6" t="str">
        <f t="shared" si="0"/>
        <v/>
      </c>
      <c r="B6" s="9" t="s">
        <v>84</v>
      </c>
      <c r="C6" s="5" t="s">
        <v>5</v>
      </c>
      <c r="D6" s="27">
        <v>2001</v>
      </c>
      <c r="E6" s="16">
        <f t="shared" si="1"/>
        <v>243.24</v>
      </c>
      <c r="F6" s="4" t="str">
        <f t="shared" si="123"/>
        <v>P</v>
      </c>
      <c r="G6" s="4" t="str">
        <f t="shared" si="124"/>
        <v>P</v>
      </c>
      <c r="H6" s="4" t="str">
        <f t="shared" si="2"/>
        <v/>
      </c>
      <c r="I6" t="str">
        <f t="shared" si="125"/>
        <v/>
      </c>
      <c r="J6" s="15">
        <f t="shared" si="3"/>
        <v>97.53</v>
      </c>
      <c r="K6" s="15" t="str">
        <f t="shared" si="4"/>
        <v>2019 Elite Canada</v>
      </c>
      <c r="L6" s="15">
        <f t="shared" si="5"/>
        <v>45.015000000000001</v>
      </c>
      <c r="M6" s="15" t="str">
        <f t="shared" si="6"/>
        <v>2018 Nationals</v>
      </c>
      <c r="N6" s="15">
        <f t="shared" si="7"/>
        <v>50.305</v>
      </c>
      <c r="O6" s="15" t="str">
        <f t="shared" si="8"/>
        <v>2018 Nationals</v>
      </c>
      <c r="P6" s="15">
        <f t="shared" si="9"/>
        <v>50.39</v>
      </c>
      <c r="Q6" s="15" t="str">
        <f t="shared" si="10"/>
        <v>2018 Nationals</v>
      </c>
      <c r="R6" s="15" t="str">
        <f t="shared" si="11"/>
        <v/>
      </c>
      <c r="S6" s="25" t="str">
        <f t="shared" si="12"/>
        <v/>
      </c>
      <c r="T6" s="15" t="str">
        <f t="shared" si="13"/>
        <v/>
      </c>
      <c r="U6" s="63">
        <v>16.7</v>
      </c>
      <c r="V6" s="63">
        <v>9.85</v>
      </c>
      <c r="W6" s="63">
        <v>2.7</v>
      </c>
      <c r="X6" s="63">
        <v>15.765000000000001</v>
      </c>
      <c r="Y6" s="63">
        <v>0</v>
      </c>
      <c r="Z6" s="63">
        <v>13.5</v>
      </c>
      <c r="AA6" s="63">
        <v>9</v>
      </c>
      <c r="AB6" s="63">
        <v>13.1</v>
      </c>
      <c r="AC6" s="63">
        <v>14.705</v>
      </c>
      <c r="AD6" s="63">
        <v>0</v>
      </c>
      <c r="AE6" s="63">
        <v>13.4</v>
      </c>
      <c r="AF6" s="63">
        <v>9.15</v>
      </c>
      <c r="AG6" s="63">
        <v>13.1</v>
      </c>
      <c r="AH6" s="63">
        <v>14.74</v>
      </c>
      <c r="AI6" s="63">
        <v>0</v>
      </c>
      <c r="AJ6" s="74"/>
      <c r="AK6" s="12">
        <f t="shared" si="14"/>
        <v>13.1</v>
      </c>
      <c r="AL6" s="12">
        <f t="shared" si="15"/>
        <v>45.015000000000001</v>
      </c>
      <c r="AM6" s="12">
        <f t="shared" si="16"/>
        <v>50.305</v>
      </c>
      <c r="AN6" s="12">
        <f t="shared" si="17"/>
        <v>95.32</v>
      </c>
      <c r="AO6" s="12">
        <f t="shared" si="18"/>
        <v>13.1</v>
      </c>
      <c r="AP6" s="12">
        <f t="shared" si="19"/>
        <v>50.39</v>
      </c>
      <c r="AQ6" s="12">
        <f t="shared" si="20"/>
        <v>145.70999999999998</v>
      </c>
      <c r="AR6" s="69">
        <v>15.4</v>
      </c>
      <c r="AS6" s="69">
        <v>9.4499999999999993</v>
      </c>
      <c r="AT6" s="69">
        <v>5</v>
      </c>
      <c r="AU6" s="69">
        <v>15.52</v>
      </c>
      <c r="AV6" s="69">
        <v>0</v>
      </c>
      <c r="AW6" s="69">
        <v>14</v>
      </c>
      <c r="AX6" s="69">
        <v>9.65</v>
      </c>
      <c r="AY6" s="69">
        <v>13.5</v>
      </c>
      <c r="AZ6" s="69">
        <v>15.01</v>
      </c>
      <c r="BA6" s="69">
        <v>0</v>
      </c>
      <c r="BB6" s="69">
        <v>13</v>
      </c>
      <c r="BC6" s="69">
        <v>8.9499999999999993</v>
      </c>
      <c r="BD6" s="69">
        <v>11.9</v>
      </c>
      <c r="BE6" s="69">
        <v>14.755000000000001</v>
      </c>
      <c r="BF6" s="69">
        <v>0</v>
      </c>
      <c r="BG6" s="75"/>
      <c r="BH6" s="15">
        <f t="shared" si="21"/>
        <v>13.5</v>
      </c>
      <c r="BI6" s="15">
        <f t="shared" si="22"/>
        <v>45.370000000000005</v>
      </c>
      <c r="BJ6" s="15">
        <f t="shared" si="23"/>
        <v>52.16</v>
      </c>
      <c r="BK6" s="15">
        <f t="shared" si="24"/>
        <v>97.53</v>
      </c>
      <c r="BL6" s="15">
        <f t="shared" si="25"/>
        <v>11.9</v>
      </c>
      <c r="BM6" s="15">
        <f t="shared" si="26"/>
        <v>48.605000000000004</v>
      </c>
      <c r="BN6" s="15">
        <f t="shared" si="27"/>
        <v>146.13499999999999</v>
      </c>
      <c r="BO6" s="24" t="str">
        <f t="shared" si="28"/>
        <v/>
      </c>
      <c r="BP6" s="24" t="str">
        <f t="shared" si="29"/>
        <v/>
      </c>
      <c r="BQ6" s="24" t="str">
        <f t="shared" si="30"/>
        <v/>
      </c>
      <c r="BR6" s="24" t="str">
        <f t="shared" si="31"/>
        <v/>
      </c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12" t="str">
        <f t="shared" si="32"/>
        <v/>
      </c>
      <c r="CI6" s="12" t="str">
        <f t="shared" si="33"/>
        <v/>
      </c>
      <c r="CJ6" s="12" t="str">
        <f t="shared" si="34"/>
        <v/>
      </c>
      <c r="CK6" s="12" t="str">
        <f t="shared" si="35"/>
        <v/>
      </c>
      <c r="CL6" s="12" t="str">
        <f t="shared" si="36"/>
        <v/>
      </c>
      <c r="CM6" s="12" t="str">
        <f t="shared" si="37"/>
        <v/>
      </c>
      <c r="CN6" s="12" t="str">
        <f t="shared" si="38"/>
        <v/>
      </c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15" t="str">
        <f t="shared" si="39"/>
        <v/>
      </c>
      <c r="DE6" s="15" t="str">
        <f t="shared" si="40"/>
        <v/>
      </c>
      <c r="DF6" s="15" t="str">
        <f t="shared" si="41"/>
        <v/>
      </c>
      <c r="DG6" s="15" t="str">
        <f t="shared" si="42"/>
        <v/>
      </c>
      <c r="DH6" s="15" t="str">
        <f t="shared" si="43"/>
        <v/>
      </c>
      <c r="DI6" s="15" t="str">
        <f t="shared" si="44"/>
        <v/>
      </c>
      <c r="DJ6" s="15" t="str">
        <f t="shared" si="45"/>
        <v/>
      </c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12" t="str">
        <f t="shared" si="46"/>
        <v/>
      </c>
      <c r="EA6" s="12" t="str">
        <f t="shared" si="47"/>
        <v/>
      </c>
      <c r="EB6" s="12" t="str">
        <f t="shared" si="48"/>
        <v/>
      </c>
      <c r="EC6" s="12" t="str">
        <f t="shared" si="49"/>
        <v/>
      </c>
      <c r="ED6" s="12" t="str">
        <f t="shared" si="50"/>
        <v/>
      </c>
      <c r="EE6" s="12" t="str">
        <f t="shared" si="51"/>
        <v/>
      </c>
      <c r="EF6" s="12" t="str">
        <f t="shared" si="52"/>
        <v/>
      </c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15" t="str">
        <f t="shared" si="53"/>
        <v/>
      </c>
      <c r="EW6" s="15" t="str">
        <f t="shared" si="54"/>
        <v/>
      </c>
      <c r="EX6" s="15" t="str">
        <f t="shared" si="55"/>
        <v/>
      </c>
      <c r="EY6" s="15" t="str">
        <f t="shared" si="56"/>
        <v/>
      </c>
      <c r="EZ6" s="15" t="str">
        <f t="shared" si="57"/>
        <v/>
      </c>
      <c r="FA6" s="15" t="str">
        <f t="shared" si="58"/>
        <v/>
      </c>
      <c r="FB6" s="15" t="str">
        <f t="shared" si="59"/>
        <v/>
      </c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12" t="str">
        <f t="shared" si="60"/>
        <v/>
      </c>
      <c r="FS6" s="12" t="str">
        <f t="shared" si="61"/>
        <v/>
      </c>
      <c r="FT6" s="12" t="str">
        <f t="shared" si="62"/>
        <v/>
      </c>
      <c r="FU6" s="12" t="str">
        <f t="shared" si="63"/>
        <v/>
      </c>
      <c r="FV6" s="12" t="str">
        <f t="shared" si="64"/>
        <v/>
      </c>
      <c r="FW6" s="12" t="str">
        <f t="shared" si="65"/>
        <v/>
      </c>
      <c r="FX6" s="12" t="str">
        <f t="shared" si="66"/>
        <v/>
      </c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15" t="str">
        <f t="shared" si="67"/>
        <v/>
      </c>
      <c r="GO6" s="15" t="str">
        <f t="shared" si="68"/>
        <v/>
      </c>
      <c r="GP6" s="15" t="str">
        <f t="shared" si="69"/>
        <v/>
      </c>
      <c r="GQ6" s="15" t="str">
        <f t="shared" si="70"/>
        <v/>
      </c>
      <c r="GR6" s="15" t="str">
        <f t="shared" si="71"/>
        <v/>
      </c>
      <c r="GS6" s="15" t="str">
        <f t="shared" si="72"/>
        <v/>
      </c>
      <c r="GT6" s="15" t="str">
        <f t="shared" si="73"/>
        <v/>
      </c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12" t="str">
        <f t="shared" si="74"/>
        <v/>
      </c>
      <c r="HK6" s="12" t="str">
        <f t="shared" si="75"/>
        <v/>
      </c>
      <c r="HL6" s="12" t="str">
        <f t="shared" si="76"/>
        <v/>
      </c>
      <c r="HM6" s="12" t="str">
        <f t="shared" si="77"/>
        <v/>
      </c>
      <c r="HN6" s="12" t="str">
        <f t="shared" si="78"/>
        <v/>
      </c>
      <c r="HO6" s="12" t="str">
        <f t="shared" si="79"/>
        <v/>
      </c>
      <c r="HP6" s="12" t="str">
        <f t="shared" si="80"/>
        <v/>
      </c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15" t="str">
        <f t="shared" si="81"/>
        <v/>
      </c>
      <c r="IG6" s="15" t="str">
        <f t="shared" si="82"/>
        <v/>
      </c>
      <c r="IH6" s="15" t="str">
        <f t="shared" si="83"/>
        <v/>
      </c>
      <c r="II6" s="15" t="str">
        <f t="shared" si="84"/>
        <v/>
      </c>
      <c r="IJ6" s="15" t="str">
        <f t="shared" si="85"/>
        <v/>
      </c>
      <c r="IK6" s="15" t="str">
        <f t="shared" si="86"/>
        <v/>
      </c>
      <c r="IL6" s="15" t="str">
        <f t="shared" si="87"/>
        <v/>
      </c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12" t="str">
        <f t="shared" si="88"/>
        <v/>
      </c>
      <c r="JC6" s="12" t="str">
        <f t="shared" si="89"/>
        <v/>
      </c>
      <c r="JD6" s="12" t="str">
        <f t="shared" si="90"/>
        <v/>
      </c>
      <c r="JE6" s="12" t="str">
        <f t="shared" si="91"/>
        <v/>
      </c>
      <c r="JF6" s="12" t="str">
        <f t="shared" si="92"/>
        <v/>
      </c>
      <c r="JG6" s="12" t="str">
        <f t="shared" si="93"/>
        <v/>
      </c>
      <c r="JH6" s="12" t="str">
        <f t="shared" si="94"/>
        <v/>
      </c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15" t="str">
        <f t="shared" si="95"/>
        <v/>
      </c>
      <c r="JY6" s="15" t="str">
        <f t="shared" si="96"/>
        <v/>
      </c>
      <c r="JZ6" s="15" t="str">
        <f t="shared" si="97"/>
        <v/>
      </c>
      <c r="KA6" s="15" t="str">
        <f t="shared" si="98"/>
        <v/>
      </c>
      <c r="KB6" s="15" t="str">
        <f t="shared" si="99"/>
        <v/>
      </c>
      <c r="KC6" s="15" t="str">
        <f t="shared" si="100"/>
        <v/>
      </c>
      <c r="KD6" s="15" t="str">
        <f t="shared" si="101"/>
        <v/>
      </c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12" t="str">
        <f t="shared" si="102"/>
        <v/>
      </c>
      <c r="KU6" s="12" t="str">
        <f t="shared" si="103"/>
        <v/>
      </c>
      <c r="KV6" s="12" t="str">
        <f t="shared" si="104"/>
        <v/>
      </c>
      <c r="KW6" s="12" t="str">
        <f t="shared" si="105"/>
        <v/>
      </c>
      <c r="KX6" s="12" t="str">
        <f t="shared" si="106"/>
        <v/>
      </c>
      <c r="KY6" s="12" t="str">
        <f t="shared" si="107"/>
        <v/>
      </c>
      <c r="KZ6" s="12" t="str">
        <f t="shared" si="108"/>
        <v/>
      </c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15" t="str">
        <f t="shared" si="109"/>
        <v/>
      </c>
      <c r="LQ6" s="15" t="str">
        <f t="shared" si="110"/>
        <v/>
      </c>
      <c r="LR6" s="15" t="str">
        <f t="shared" si="111"/>
        <v/>
      </c>
      <c r="LS6" s="15" t="str">
        <f t="shared" si="112"/>
        <v/>
      </c>
      <c r="LT6" s="15" t="str">
        <f t="shared" si="113"/>
        <v/>
      </c>
      <c r="LU6" s="15" t="str">
        <f t="shared" si="114"/>
        <v/>
      </c>
      <c r="LV6" s="15" t="str">
        <f t="shared" si="115"/>
        <v/>
      </c>
      <c r="LW6" s="63">
        <f t="shared" si="126"/>
        <v>16.05</v>
      </c>
      <c r="LX6" s="63">
        <f t="shared" si="127"/>
        <v>9.6499999999999986</v>
      </c>
      <c r="LY6" s="63">
        <f t="shared" si="128"/>
        <v>3.85</v>
      </c>
      <c r="LZ6" s="63">
        <f t="shared" si="129"/>
        <v>15.6425</v>
      </c>
      <c r="MA6" s="63">
        <f t="shared" si="130"/>
        <v>0</v>
      </c>
      <c r="MB6" s="63">
        <f t="shared" si="131"/>
        <v>13.75</v>
      </c>
      <c r="MC6" s="63">
        <f t="shared" si="132"/>
        <v>9.3249999999999993</v>
      </c>
      <c r="MD6" s="63">
        <f t="shared" si="133"/>
        <v>13.3</v>
      </c>
      <c r="ME6" s="63">
        <f t="shared" si="134"/>
        <v>14.8575</v>
      </c>
      <c r="MF6" s="63">
        <f t="shared" si="135"/>
        <v>0</v>
      </c>
      <c r="MG6" s="63">
        <f t="shared" si="136"/>
        <v>13.2</v>
      </c>
      <c r="MH6" s="63">
        <f t="shared" si="137"/>
        <v>9.0500000000000007</v>
      </c>
      <c r="MI6" s="63">
        <f t="shared" si="138"/>
        <v>12.5</v>
      </c>
      <c r="MJ6" s="63">
        <f t="shared" si="139"/>
        <v>14.7475</v>
      </c>
      <c r="MK6" s="63">
        <f t="shared" si="140"/>
        <v>0</v>
      </c>
      <c r="ML6" s="74" t="s">
        <v>119</v>
      </c>
      <c r="MM6" s="12">
        <f t="shared" si="141"/>
        <v>13.3</v>
      </c>
      <c r="MN6" s="12">
        <f t="shared" si="142"/>
        <v>45.192500000000003</v>
      </c>
      <c r="MO6" s="12">
        <f t="shared" si="143"/>
        <v>51.232500000000002</v>
      </c>
      <c r="MP6" s="12">
        <f t="shared" si="144"/>
        <v>96.425000000000011</v>
      </c>
      <c r="MQ6" s="12">
        <f t="shared" si="145"/>
        <v>12.5</v>
      </c>
      <c r="MR6" s="12">
        <f t="shared" si="146"/>
        <v>49.497500000000002</v>
      </c>
      <c r="MS6" s="12">
        <f t="shared" si="147"/>
        <v>145.92250000000001</v>
      </c>
    </row>
    <row r="7" spans="1:357" x14ac:dyDescent="0.2">
      <c r="A7" s="6" t="str">
        <f t="shared" si="0"/>
        <v/>
      </c>
      <c r="B7" s="7" t="s">
        <v>88</v>
      </c>
      <c r="C7" s="8" t="s">
        <v>3</v>
      </c>
      <c r="D7" s="27">
        <v>2002</v>
      </c>
      <c r="E7" s="16">
        <f t="shared" si="1"/>
        <v>237.565</v>
      </c>
      <c r="F7" s="4" t="str">
        <f t="shared" si="123"/>
        <v>P</v>
      </c>
      <c r="G7" s="4" t="str">
        <f t="shared" si="124"/>
        <v>P</v>
      </c>
      <c r="H7" s="4" t="str">
        <f t="shared" si="2"/>
        <v/>
      </c>
      <c r="I7" t="str">
        <f t="shared" si="125"/>
        <v/>
      </c>
      <c r="J7" s="15">
        <f t="shared" si="3"/>
        <v>94.224999999999994</v>
      </c>
      <c r="K7" s="15" t="str">
        <f t="shared" si="4"/>
        <v>2018 Nationals</v>
      </c>
      <c r="L7" s="15">
        <f t="shared" si="5"/>
        <v>35.47</v>
      </c>
      <c r="M7" s="15" t="str">
        <f t="shared" si="6"/>
        <v>2019 Elite Canada</v>
      </c>
      <c r="N7" s="15">
        <f t="shared" si="7"/>
        <v>51.364999999999995</v>
      </c>
      <c r="O7" s="15" t="str">
        <f t="shared" si="8"/>
        <v>2019 Elite Canada</v>
      </c>
      <c r="P7" s="15">
        <f t="shared" si="9"/>
        <v>50.814999999999998</v>
      </c>
      <c r="Q7" s="15" t="str">
        <f t="shared" si="10"/>
        <v>2018 Nationals</v>
      </c>
      <c r="R7" s="15">
        <f t="shared" si="11"/>
        <v>5.6899999999999977</v>
      </c>
      <c r="S7" s="25" t="str">
        <f t="shared" si="12"/>
        <v>(Vol 1)</v>
      </c>
      <c r="T7" s="15" t="str">
        <f t="shared" si="13"/>
        <v>2018 World Age Groups (Nov 18)</v>
      </c>
      <c r="U7" s="63">
        <v>15.5</v>
      </c>
      <c r="V7" s="63">
        <v>8.85</v>
      </c>
      <c r="W7" s="63">
        <v>3.2</v>
      </c>
      <c r="X7" s="63">
        <v>15.925000000000001</v>
      </c>
      <c r="Y7" s="63">
        <v>0</v>
      </c>
      <c r="Z7" s="63">
        <v>14.3</v>
      </c>
      <c r="AA7" s="63">
        <v>9.35</v>
      </c>
      <c r="AB7" s="63">
        <v>12</v>
      </c>
      <c r="AC7" s="63">
        <v>15.1</v>
      </c>
      <c r="AD7" s="63">
        <v>0</v>
      </c>
      <c r="AE7" s="63">
        <v>14.2</v>
      </c>
      <c r="AF7" s="63">
        <v>9.1</v>
      </c>
      <c r="AG7" s="63">
        <v>12</v>
      </c>
      <c r="AH7" s="63">
        <v>15.515000000000001</v>
      </c>
      <c r="AI7" s="63">
        <v>0</v>
      </c>
      <c r="AJ7" s="74"/>
      <c r="AK7" s="12">
        <f t="shared" si="14"/>
        <v>12</v>
      </c>
      <c r="AL7" s="12">
        <f t="shared" si="15"/>
        <v>43.475000000000001</v>
      </c>
      <c r="AM7" s="12">
        <f t="shared" si="16"/>
        <v>50.75</v>
      </c>
      <c r="AN7" s="12">
        <f t="shared" si="17"/>
        <v>94.224999999999994</v>
      </c>
      <c r="AO7" s="12">
        <f t="shared" si="18"/>
        <v>12</v>
      </c>
      <c r="AP7" s="12">
        <f t="shared" si="19"/>
        <v>50.814999999999998</v>
      </c>
      <c r="AQ7" s="12">
        <f t="shared" si="20"/>
        <v>145.04</v>
      </c>
      <c r="AR7" s="69">
        <v>12.9</v>
      </c>
      <c r="AS7" s="69">
        <v>7.3</v>
      </c>
      <c r="AT7" s="69">
        <v>1.9</v>
      </c>
      <c r="AU7" s="69">
        <v>13.37</v>
      </c>
      <c r="AV7" s="69">
        <v>0</v>
      </c>
      <c r="AW7" s="69">
        <v>13.1</v>
      </c>
      <c r="AX7" s="69">
        <v>8.9499999999999993</v>
      </c>
      <c r="AY7" s="69">
        <v>13.5</v>
      </c>
      <c r="AZ7" s="69">
        <v>15.815</v>
      </c>
      <c r="BA7" s="69">
        <v>0</v>
      </c>
      <c r="BB7" s="69">
        <v>13.7</v>
      </c>
      <c r="BC7" s="69">
        <v>8.15</v>
      </c>
      <c r="BD7" s="69">
        <v>11.9</v>
      </c>
      <c r="BE7" s="69">
        <v>14.154999999999999</v>
      </c>
      <c r="BF7" s="69">
        <v>0</v>
      </c>
      <c r="BG7" s="75"/>
      <c r="BH7" s="15">
        <f t="shared" si="21"/>
        <v>13.5</v>
      </c>
      <c r="BI7" s="15">
        <f t="shared" si="22"/>
        <v>35.47</v>
      </c>
      <c r="BJ7" s="15">
        <f t="shared" si="23"/>
        <v>51.364999999999995</v>
      </c>
      <c r="BK7" s="15">
        <f t="shared" si="24"/>
        <v>86.834999999999994</v>
      </c>
      <c r="BL7" s="15">
        <f t="shared" si="25"/>
        <v>11.9</v>
      </c>
      <c r="BM7" s="15">
        <f t="shared" si="26"/>
        <v>47.905000000000001</v>
      </c>
      <c r="BN7" s="15">
        <f t="shared" si="27"/>
        <v>134.74</v>
      </c>
      <c r="BO7" s="24">
        <f t="shared" si="28"/>
        <v>5.6899999999999977</v>
      </c>
      <c r="BP7" s="24">
        <f t="shared" si="29"/>
        <v>0.67000000000000881</v>
      </c>
      <c r="BQ7" s="24" t="str">
        <f t="shared" si="30"/>
        <v/>
      </c>
      <c r="BR7" s="24" t="str">
        <f t="shared" si="31"/>
        <v/>
      </c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12" t="str">
        <f t="shared" si="32"/>
        <v/>
      </c>
      <c r="CI7" s="12" t="str">
        <f t="shared" si="33"/>
        <v/>
      </c>
      <c r="CJ7" s="12" t="str">
        <f t="shared" si="34"/>
        <v/>
      </c>
      <c r="CK7" s="12" t="str">
        <f t="shared" si="35"/>
        <v/>
      </c>
      <c r="CL7" s="12" t="str">
        <f t="shared" si="36"/>
        <v/>
      </c>
      <c r="CM7" s="12" t="str">
        <f t="shared" si="37"/>
        <v/>
      </c>
      <c r="CN7" s="12" t="str">
        <f t="shared" si="38"/>
        <v/>
      </c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15" t="str">
        <f t="shared" si="39"/>
        <v/>
      </c>
      <c r="DE7" s="15" t="str">
        <f t="shared" si="40"/>
        <v/>
      </c>
      <c r="DF7" s="15" t="str">
        <f t="shared" si="41"/>
        <v/>
      </c>
      <c r="DG7" s="15" t="str">
        <f t="shared" si="42"/>
        <v/>
      </c>
      <c r="DH7" s="15" t="str">
        <f t="shared" si="43"/>
        <v/>
      </c>
      <c r="DI7" s="15" t="str">
        <f t="shared" si="44"/>
        <v/>
      </c>
      <c r="DJ7" s="15" t="str">
        <f t="shared" si="45"/>
        <v/>
      </c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12" t="str">
        <f t="shared" si="46"/>
        <v/>
      </c>
      <c r="EA7" s="12" t="str">
        <f t="shared" si="47"/>
        <v/>
      </c>
      <c r="EB7" s="12" t="str">
        <f t="shared" si="48"/>
        <v/>
      </c>
      <c r="EC7" s="12" t="str">
        <f t="shared" si="49"/>
        <v/>
      </c>
      <c r="ED7" s="12" t="str">
        <f t="shared" si="50"/>
        <v/>
      </c>
      <c r="EE7" s="12" t="str">
        <f t="shared" si="51"/>
        <v/>
      </c>
      <c r="EF7" s="12" t="str">
        <f t="shared" si="52"/>
        <v/>
      </c>
      <c r="EG7" s="37">
        <v>15.8</v>
      </c>
      <c r="EH7" s="37">
        <v>9.5</v>
      </c>
      <c r="EI7" s="37">
        <v>0</v>
      </c>
      <c r="EJ7" s="37">
        <v>15.86</v>
      </c>
      <c r="EK7" s="37">
        <v>0</v>
      </c>
      <c r="EL7" s="37">
        <v>14.1</v>
      </c>
      <c r="EM7" s="37">
        <v>9.4</v>
      </c>
      <c r="EN7" s="37">
        <v>13.1</v>
      </c>
      <c r="EO7" s="37">
        <v>15.435</v>
      </c>
      <c r="EP7" s="37">
        <v>0</v>
      </c>
      <c r="EQ7" s="37"/>
      <c r="ER7" s="37"/>
      <c r="ES7" s="37"/>
      <c r="ET7" s="37"/>
      <c r="EU7" s="37"/>
      <c r="EV7" s="15">
        <f t="shared" si="53"/>
        <v>13.1</v>
      </c>
      <c r="EW7" s="15">
        <f t="shared" si="54"/>
        <v>41.16</v>
      </c>
      <c r="EX7" s="15">
        <f t="shared" si="55"/>
        <v>52.035000000000004</v>
      </c>
      <c r="EY7" s="15">
        <f t="shared" si="56"/>
        <v>93.194999999999993</v>
      </c>
      <c r="EZ7" s="15" t="str">
        <f t="shared" si="57"/>
        <v/>
      </c>
      <c r="FA7" s="15" t="str">
        <f t="shared" si="58"/>
        <v/>
      </c>
      <c r="FB7" s="15">
        <f t="shared" si="59"/>
        <v>93.194999999999993</v>
      </c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12" t="str">
        <f t="shared" si="60"/>
        <v/>
      </c>
      <c r="FS7" s="12" t="str">
        <f t="shared" si="61"/>
        <v/>
      </c>
      <c r="FT7" s="12" t="str">
        <f t="shared" si="62"/>
        <v/>
      </c>
      <c r="FU7" s="12" t="str">
        <f t="shared" si="63"/>
        <v/>
      </c>
      <c r="FV7" s="12" t="str">
        <f t="shared" si="64"/>
        <v/>
      </c>
      <c r="FW7" s="12" t="str">
        <f t="shared" si="65"/>
        <v/>
      </c>
      <c r="FX7" s="12" t="str">
        <f t="shared" si="66"/>
        <v/>
      </c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15" t="str">
        <f t="shared" si="67"/>
        <v/>
      </c>
      <c r="GO7" s="15" t="str">
        <f t="shared" si="68"/>
        <v/>
      </c>
      <c r="GP7" s="15" t="str">
        <f t="shared" si="69"/>
        <v/>
      </c>
      <c r="GQ7" s="15" t="str">
        <f t="shared" si="70"/>
        <v/>
      </c>
      <c r="GR7" s="15" t="str">
        <f t="shared" si="71"/>
        <v/>
      </c>
      <c r="GS7" s="15" t="str">
        <f t="shared" si="72"/>
        <v/>
      </c>
      <c r="GT7" s="15" t="str">
        <f t="shared" si="73"/>
        <v/>
      </c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12" t="str">
        <f t="shared" si="74"/>
        <v/>
      </c>
      <c r="HK7" s="12" t="str">
        <f t="shared" si="75"/>
        <v/>
      </c>
      <c r="HL7" s="12" t="str">
        <f t="shared" si="76"/>
        <v/>
      </c>
      <c r="HM7" s="12" t="str">
        <f t="shared" si="77"/>
        <v/>
      </c>
      <c r="HN7" s="12" t="str">
        <f t="shared" si="78"/>
        <v/>
      </c>
      <c r="HO7" s="12" t="str">
        <f t="shared" si="79"/>
        <v/>
      </c>
      <c r="HP7" s="12" t="str">
        <f t="shared" si="80"/>
        <v/>
      </c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15" t="str">
        <f t="shared" si="81"/>
        <v/>
      </c>
      <c r="IG7" s="15" t="str">
        <f t="shared" si="82"/>
        <v/>
      </c>
      <c r="IH7" s="15" t="str">
        <f t="shared" si="83"/>
        <v/>
      </c>
      <c r="II7" s="15" t="str">
        <f t="shared" si="84"/>
        <v/>
      </c>
      <c r="IJ7" s="15" t="str">
        <f t="shared" si="85"/>
        <v/>
      </c>
      <c r="IK7" s="15" t="str">
        <f t="shared" si="86"/>
        <v/>
      </c>
      <c r="IL7" s="15" t="str">
        <f t="shared" si="87"/>
        <v/>
      </c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12" t="str">
        <f t="shared" si="88"/>
        <v/>
      </c>
      <c r="JC7" s="12" t="str">
        <f t="shared" si="89"/>
        <v/>
      </c>
      <c r="JD7" s="12" t="str">
        <f t="shared" si="90"/>
        <v/>
      </c>
      <c r="JE7" s="12" t="str">
        <f t="shared" si="91"/>
        <v/>
      </c>
      <c r="JF7" s="12" t="str">
        <f t="shared" si="92"/>
        <v/>
      </c>
      <c r="JG7" s="12" t="str">
        <f t="shared" si="93"/>
        <v/>
      </c>
      <c r="JH7" s="12" t="str">
        <f t="shared" si="94"/>
        <v/>
      </c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15" t="str">
        <f t="shared" si="95"/>
        <v/>
      </c>
      <c r="JY7" s="15" t="str">
        <f t="shared" si="96"/>
        <v/>
      </c>
      <c r="JZ7" s="15" t="str">
        <f t="shared" si="97"/>
        <v/>
      </c>
      <c r="KA7" s="15" t="str">
        <f t="shared" si="98"/>
        <v/>
      </c>
      <c r="KB7" s="15" t="str">
        <f t="shared" si="99"/>
        <v/>
      </c>
      <c r="KC7" s="15" t="str">
        <f t="shared" si="100"/>
        <v/>
      </c>
      <c r="KD7" s="15" t="str">
        <f t="shared" si="101"/>
        <v/>
      </c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12" t="str">
        <f t="shared" si="102"/>
        <v/>
      </c>
      <c r="KU7" s="12" t="str">
        <f t="shared" si="103"/>
        <v/>
      </c>
      <c r="KV7" s="12" t="str">
        <f t="shared" si="104"/>
        <v/>
      </c>
      <c r="KW7" s="12" t="str">
        <f t="shared" si="105"/>
        <v/>
      </c>
      <c r="KX7" s="12" t="str">
        <f t="shared" si="106"/>
        <v/>
      </c>
      <c r="KY7" s="12" t="str">
        <f t="shared" si="107"/>
        <v/>
      </c>
      <c r="KZ7" s="12" t="str">
        <f t="shared" si="108"/>
        <v/>
      </c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15" t="str">
        <f t="shared" si="109"/>
        <v/>
      </c>
      <c r="LQ7" s="15" t="str">
        <f t="shared" si="110"/>
        <v/>
      </c>
      <c r="LR7" s="15" t="str">
        <f t="shared" si="111"/>
        <v/>
      </c>
      <c r="LS7" s="15" t="str">
        <f t="shared" si="112"/>
        <v/>
      </c>
      <c r="LT7" s="15" t="str">
        <f t="shared" si="113"/>
        <v/>
      </c>
      <c r="LU7" s="15" t="str">
        <f t="shared" si="114"/>
        <v/>
      </c>
      <c r="LV7" s="15" t="str">
        <f t="shared" si="115"/>
        <v/>
      </c>
      <c r="LW7" s="63">
        <f t="shared" si="126"/>
        <v>14.2</v>
      </c>
      <c r="LX7" s="63">
        <f t="shared" si="127"/>
        <v>8.0749999999999993</v>
      </c>
      <c r="LY7" s="63">
        <f t="shared" si="128"/>
        <v>2.5499999999999998</v>
      </c>
      <c r="LZ7" s="63">
        <f t="shared" si="129"/>
        <v>14.647500000000001</v>
      </c>
      <c r="MA7" s="63">
        <f t="shared" si="130"/>
        <v>0</v>
      </c>
      <c r="MB7" s="63">
        <f t="shared" si="131"/>
        <v>13.7</v>
      </c>
      <c r="MC7" s="63">
        <f t="shared" si="132"/>
        <v>9.1499999999999986</v>
      </c>
      <c r="MD7" s="63">
        <f t="shared" si="133"/>
        <v>12.75</v>
      </c>
      <c r="ME7" s="63">
        <f t="shared" si="134"/>
        <v>15.4575</v>
      </c>
      <c r="MF7" s="63">
        <f t="shared" si="135"/>
        <v>0</v>
      </c>
      <c r="MG7" s="63">
        <f t="shared" si="136"/>
        <v>13.95</v>
      </c>
      <c r="MH7" s="63">
        <f t="shared" si="137"/>
        <v>8.625</v>
      </c>
      <c r="MI7" s="63">
        <f t="shared" si="138"/>
        <v>11.95</v>
      </c>
      <c r="MJ7" s="63">
        <f t="shared" si="139"/>
        <v>14.835000000000001</v>
      </c>
      <c r="MK7" s="63">
        <f t="shared" si="140"/>
        <v>0</v>
      </c>
      <c r="ML7" s="74" t="s">
        <v>119</v>
      </c>
      <c r="MM7" s="12">
        <f t="shared" si="141"/>
        <v>12.75</v>
      </c>
      <c r="MN7" s="12">
        <f t="shared" si="142"/>
        <v>39.472499999999997</v>
      </c>
      <c r="MO7" s="12">
        <f t="shared" si="143"/>
        <v>51.05749999999999</v>
      </c>
      <c r="MP7" s="12">
        <f t="shared" si="144"/>
        <v>90.529999999999987</v>
      </c>
      <c r="MQ7" s="12">
        <f t="shared" si="145"/>
        <v>11.95</v>
      </c>
      <c r="MR7" s="12">
        <f t="shared" si="146"/>
        <v>49.36</v>
      </c>
      <c r="MS7" s="12">
        <f t="shared" si="147"/>
        <v>139.88999999999999</v>
      </c>
    </row>
    <row r="8" spans="1:357" x14ac:dyDescent="0.2">
      <c r="A8" s="6">
        <f t="shared" si="0"/>
        <v>3</v>
      </c>
      <c r="B8" s="7" t="s">
        <v>123</v>
      </c>
      <c r="C8" s="8" t="s">
        <v>3</v>
      </c>
      <c r="D8" s="27">
        <v>2003</v>
      </c>
      <c r="E8" s="16">
        <f t="shared" si="1"/>
        <v>217.54999999999998</v>
      </c>
      <c r="F8" s="4" t="str">
        <f t="shared" si="123"/>
        <v>P</v>
      </c>
      <c r="G8" s="4" t="str">
        <f t="shared" si="124"/>
        <v>P</v>
      </c>
      <c r="H8" s="4" t="str">
        <f t="shared" si="2"/>
        <v>P</v>
      </c>
      <c r="I8" t="str">
        <f t="shared" si="125"/>
        <v>National Team</v>
      </c>
      <c r="J8" s="15">
        <f t="shared" si="3"/>
        <v>98.37</v>
      </c>
      <c r="K8" s="15" t="str">
        <f t="shared" si="4"/>
        <v>2019 Elite Canada</v>
      </c>
      <c r="L8" s="15">
        <f t="shared" si="5"/>
        <v>43.164999999999999</v>
      </c>
      <c r="M8" s="15" t="str">
        <f t="shared" si="6"/>
        <v>2018 Nationals</v>
      </c>
      <c r="N8" s="15">
        <f t="shared" si="7"/>
        <v>24.509999999999998</v>
      </c>
      <c r="O8" s="15" t="str">
        <f t="shared" si="8"/>
        <v>2018 Nationals</v>
      </c>
      <c r="P8" s="15">
        <f t="shared" si="9"/>
        <v>51.505000000000003</v>
      </c>
      <c r="Q8" s="15" t="str">
        <f t="shared" si="10"/>
        <v>2019 Elite Canada</v>
      </c>
      <c r="R8" s="15" t="str">
        <f t="shared" si="11"/>
        <v/>
      </c>
      <c r="S8" s="25" t="str">
        <f t="shared" si="12"/>
        <v/>
      </c>
      <c r="T8" s="15" t="str">
        <f t="shared" si="13"/>
        <v/>
      </c>
      <c r="U8" s="63">
        <v>15</v>
      </c>
      <c r="V8" s="63">
        <v>8.6999999999999993</v>
      </c>
      <c r="W8" s="63">
        <v>4.0999999999999996</v>
      </c>
      <c r="X8" s="63">
        <v>15.365</v>
      </c>
      <c r="Y8" s="63">
        <v>0</v>
      </c>
      <c r="Z8" s="63">
        <v>6.1</v>
      </c>
      <c r="AA8" s="63">
        <v>4.0999999999999996</v>
      </c>
      <c r="AB8" s="63">
        <v>6.7</v>
      </c>
      <c r="AC8" s="63">
        <v>7.61</v>
      </c>
      <c r="AD8" s="63">
        <v>0</v>
      </c>
      <c r="AE8" s="63"/>
      <c r="AF8" s="63"/>
      <c r="AG8" s="63"/>
      <c r="AH8" s="63"/>
      <c r="AI8" s="63"/>
      <c r="AJ8" s="74"/>
      <c r="AK8" s="12">
        <f t="shared" si="14"/>
        <v>6.7</v>
      </c>
      <c r="AL8" s="12">
        <f t="shared" si="15"/>
        <v>43.164999999999999</v>
      </c>
      <c r="AM8" s="12">
        <f t="shared" si="16"/>
        <v>24.509999999999998</v>
      </c>
      <c r="AN8" s="12">
        <f t="shared" si="17"/>
        <v>67.674999999999997</v>
      </c>
      <c r="AO8" s="12" t="str">
        <f t="shared" si="18"/>
        <v/>
      </c>
      <c r="AP8" s="12" t="str">
        <f t="shared" si="19"/>
        <v/>
      </c>
      <c r="AQ8" s="12">
        <f t="shared" si="20"/>
        <v>67.674999999999997</v>
      </c>
      <c r="AR8" s="69">
        <v>17.100000000000001</v>
      </c>
      <c r="AS8" s="69">
        <v>9.35</v>
      </c>
      <c r="AT8" s="69">
        <v>3.9</v>
      </c>
      <c r="AU8" s="69">
        <v>16.145</v>
      </c>
      <c r="AV8" s="69">
        <v>0</v>
      </c>
      <c r="AW8" s="69">
        <v>13.3</v>
      </c>
      <c r="AX8" s="69">
        <v>9.6</v>
      </c>
      <c r="AY8" s="69">
        <v>13.8</v>
      </c>
      <c r="AZ8" s="69">
        <v>15.175000000000001</v>
      </c>
      <c r="BA8" s="69">
        <v>0</v>
      </c>
      <c r="BB8" s="69">
        <v>13.8</v>
      </c>
      <c r="BC8" s="69">
        <v>9</v>
      </c>
      <c r="BD8" s="69">
        <v>13.8</v>
      </c>
      <c r="BE8" s="69">
        <v>14.904999999999999</v>
      </c>
      <c r="BF8" s="69">
        <v>0</v>
      </c>
      <c r="BG8" s="75"/>
      <c r="BH8" s="15">
        <f t="shared" si="21"/>
        <v>13.8</v>
      </c>
      <c r="BI8" s="15">
        <f t="shared" si="22"/>
        <v>46.495000000000005</v>
      </c>
      <c r="BJ8" s="15">
        <f t="shared" si="23"/>
        <v>51.875</v>
      </c>
      <c r="BK8" s="15">
        <f t="shared" si="24"/>
        <v>98.37</v>
      </c>
      <c r="BL8" s="15">
        <f t="shared" si="25"/>
        <v>13.8</v>
      </c>
      <c r="BM8" s="15">
        <f t="shared" si="26"/>
        <v>51.505000000000003</v>
      </c>
      <c r="BN8" s="15">
        <f t="shared" si="27"/>
        <v>149.875</v>
      </c>
      <c r="BO8" s="24" t="str">
        <f t="shared" si="28"/>
        <v/>
      </c>
      <c r="BP8" s="24" t="str">
        <f t="shared" si="29"/>
        <v/>
      </c>
      <c r="BQ8" s="24" t="str">
        <f t="shared" si="30"/>
        <v/>
      </c>
      <c r="BR8" s="24" t="str">
        <f t="shared" si="31"/>
        <v/>
      </c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12" t="str">
        <f t="shared" si="32"/>
        <v/>
      </c>
      <c r="CI8" s="12" t="str">
        <f t="shared" si="33"/>
        <v/>
      </c>
      <c r="CJ8" s="12" t="str">
        <f t="shared" si="34"/>
        <v/>
      </c>
      <c r="CK8" s="12" t="str">
        <f t="shared" si="35"/>
        <v/>
      </c>
      <c r="CL8" s="12" t="str">
        <f t="shared" si="36"/>
        <v/>
      </c>
      <c r="CM8" s="12" t="str">
        <f t="shared" si="37"/>
        <v/>
      </c>
      <c r="CN8" s="12" t="str">
        <f t="shared" si="38"/>
        <v/>
      </c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15" t="str">
        <f t="shared" si="39"/>
        <v/>
      </c>
      <c r="DE8" s="15" t="str">
        <f t="shared" si="40"/>
        <v/>
      </c>
      <c r="DF8" s="15" t="str">
        <f t="shared" si="41"/>
        <v/>
      </c>
      <c r="DG8" s="15" t="str">
        <f t="shared" si="42"/>
        <v/>
      </c>
      <c r="DH8" s="15" t="str">
        <f t="shared" si="43"/>
        <v/>
      </c>
      <c r="DI8" s="15" t="str">
        <f t="shared" si="44"/>
        <v/>
      </c>
      <c r="DJ8" s="15" t="str">
        <f t="shared" si="45"/>
        <v/>
      </c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12" t="str">
        <f t="shared" si="46"/>
        <v/>
      </c>
      <c r="EA8" s="12" t="str">
        <f t="shared" si="47"/>
        <v/>
      </c>
      <c r="EB8" s="12" t="str">
        <f t="shared" si="48"/>
        <v/>
      </c>
      <c r="EC8" s="12" t="str">
        <f t="shared" si="49"/>
        <v/>
      </c>
      <c r="ED8" s="12" t="str">
        <f t="shared" si="50"/>
        <v/>
      </c>
      <c r="EE8" s="12" t="str">
        <f t="shared" si="51"/>
        <v/>
      </c>
      <c r="EF8" s="12" t="str">
        <f t="shared" si="52"/>
        <v/>
      </c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15" t="str">
        <f t="shared" si="53"/>
        <v/>
      </c>
      <c r="EW8" s="15" t="str">
        <f t="shared" si="54"/>
        <v/>
      </c>
      <c r="EX8" s="15" t="str">
        <f t="shared" si="55"/>
        <v/>
      </c>
      <c r="EY8" s="15" t="str">
        <f t="shared" si="56"/>
        <v/>
      </c>
      <c r="EZ8" s="15" t="str">
        <f t="shared" si="57"/>
        <v/>
      </c>
      <c r="FA8" s="15" t="str">
        <f t="shared" si="58"/>
        <v/>
      </c>
      <c r="FB8" s="15" t="str">
        <f t="shared" si="59"/>
        <v/>
      </c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12" t="str">
        <f t="shared" si="60"/>
        <v/>
      </c>
      <c r="FS8" s="12" t="str">
        <f t="shared" si="61"/>
        <v/>
      </c>
      <c r="FT8" s="12" t="str">
        <f t="shared" si="62"/>
        <v/>
      </c>
      <c r="FU8" s="12" t="str">
        <f t="shared" si="63"/>
        <v/>
      </c>
      <c r="FV8" s="12" t="str">
        <f t="shared" si="64"/>
        <v/>
      </c>
      <c r="FW8" s="12" t="str">
        <f t="shared" si="65"/>
        <v/>
      </c>
      <c r="FX8" s="12" t="str">
        <f t="shared" si="66"/>
        <v/>
      </c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15" t="str">
        <f t="shared" si="67"/>
        <v/>
      </c>
      <c r="GO8" s="15" t="str">
        <f t="shared" si="68"/>
        <v/>
      </c>
      <c r="GP8" s="15" t="str">
        <f t="shared" si="69"/>
        <v/>
      </c>
      <c r="GQ8" s="15" t="str">
        <f t="shared" si="70"/>
        <v/>
      </c>
      <c r="GR8" s="15" t="str">
        <f t="shared" si="71"/>
        <v/>
      </c>
      <c r="GS8" s="15" t="str">
        <f t="shared" si="72"/>
        <v/>
      </c>
      <c r="GT8" s="15" t="str">
        <f t="shared" si="73"/>
        <v/>
      </c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12" t="str">
        <f t="shared" si="74"/>
        <v/>
      </c>
      <c r="HK8" s="12" t="str">
        <f t="shared" si="75"/>
        <v/>
      </c>
      <c r="HL8" s="12" t="str">
        <f t="shared" si="76"/>
        <v/>
      </c>
      <c r="HM8" s="12" t="str">
        <f t="shared" si="77"/>
        <v/>
      </c>
      <c r="HN8" s="12" t="str">
        <f t="shared" si="78"/>
        <v/>
      </c>
      <c r="HO8" s="12" t="str">
        <f t="shared" si="79"/>
        <v/>
      </c>
      <c r="HP8" s="12" t="str">
        <f t="shared" si="80"/>
        <v/>
      </c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15" t="str">
        <f t="shared" si="81"/>
        <v/>
      </c>
      <c r="IG8" s="15" t="str">
        <f t="shared" si="82"/>
        <v/>
      </c>
      <c r="IH8" s="15" t="str">
        <f t="shared" si="83"/>
        <v/>
      </c>
      <c r="II8" s="15" t="str">
        <f t="shared" si="84"/>
        <v/>
      </c>
      <c r="IJ8" s="15" t="str">
        <f t="shared" si="85"/>
        <v/>
      </c>
      <c r="IK8" s="15" t="str">
        <f t="shared" si="86"/>
        <v/>
      </c>
      <c r="IL8" s="15" t="str">
        <f t="shared" si="87"/>
        <v/>
      </c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12" t="str">
        <f t="shared" si="88"/>
        <v/>
      </c>
      <c r="JC8" s="12" t="str">
        <f t="shared" si="89"/>
        <v/>
      </c>
      <c r="JD8" s="12" t="str">
        <f t="shared" si="90"/>
        <v/>
      </c>
      <c r="JE8" s="12" t="str">
        <f t="shared" si="91"/>
        <v/>
      </c>
      <c r="JF8" s="12" t="str">
        <f t="shared" si="92"/>
        <v/>
      </c>
      <c r="JG8" s="12" t="str">
        <f t="shared" si="93"/>
        <v/>
      </c>
      <c r="JH8" s="12" t="str">
        <f t="shared" si="94"/>
        <v/>
      </c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15" t="str">
        <f t="shared" si="95"/>
        <v/>
      </c>
      <c r="JY8" s="15" t="str">
        <f t="shared" si="96"/>
        <v/>
      </c>
      <c r="JZ8" s="15" t="str">
        <f t="shared" si="97"/>
        <v/>
      </c>
      <c r="KA8" s="15" t="str">
        <f t="shared" si="98"/>
        <v/>
      </c>
      <c r="KB8" s="15" t="str">
        <f t="shared" si="99"/>
        <v/>
      </c>
      <c r="KC8" s="15" t="str">
        <f t="shared" si="100"/>
        <v/>
      </c>
      <c r="KD8" s="15" t="str">
        <f t="shared" si="101"/>
        <v/>
      </c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12" t="str">
        <f t="shared" si="102"/>
        <v/>
      </c>
      <c r="KU8" s="12" t="str">
        <f t="shared" si="103"/>
        <v/>
      </c>
      <c r="KV8" s="12" t="str">
        <f t="shared" si="104"/>
        <v/>
      </c>
      <c r="KW8" s="12" t="str">
        <f t="shared" si="105"/>
        <v/>
      </c>
      <c r="KX8" s="12" t="str">
        <f t="shared" si="106"/>
        <v/>
      </c>
      <c r="KY8" s="12" t="str">
        <f t="shared" si="107"/>
        <v/>
      </c>
      <c r="KZ8" s="12" t="str">
        <f t="shared" si="108"/>
        <v/>
      </c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15" t="str">
        <f t="shared" si="109"/>
        <v/>
      </c>
      <c r="LQ8" s="15" t="str">
        <f t="shared" si="110"/>
        <v/>
      </c>
      <c r="LR8" s="15" t="str">
        <f t="shared" si="111"/>
        <v/>
      </c>
      <c r="LS8" s="15" t="str">
        <f t="shared" si="112"/>
        <v/>
      </c>
      <c r="LT8" s="15" t="str">
        <f t="shared" si="113"/>
        <v/>
      </c>
      <c r="LU8" s="15" t="str">
        <f t="shared" si="114"/>
        <v/>
      </c>
      <c r="LV8" s="15" t="str">
        <f t="shared" si="115"/>
        <v/>
      </c>
      <c r="LW8" s="63">
        <f t="shared" si="126"/>
        <v>16.05</v>
      </c>
      <c r="LX8" s="63">
        <f t="shared" si="127"/>
        <v>9.0249999999999986</v>
      </c>
      <c r="LY8" s="63">
        <f t="shared" si="128"/>
        <v>4</v>
      </c>
      <c r="LZ8" s="63">
        <f t="shared" si="129"/>
        <v>15.754999999999999</v>
      </c>
      <c r="MA8" s="63">
        <f t="shared" si="130"/>
        <v>0</v>
      </c>
      <c r="MB8" s="63">
        <f t="shared" si="131"/>
        <v>9.6999999999999993</v>
      </c>
      <c r="MC8" s="63">
        <f t="shared" si="132"/>
        <v>6.85</v>
      </c>
      <c r="MD8" s="63">
        <f t="shared" si="133"/>
        <v>10.25</v>
      </c>
      <c r="ME8" s="63">
        <f t="shared" si="134"/>
        <v>11.3925</v>
      </c>
      <c r="MF8" s="63">
        <f t="shared" si="135"/>
        <v>0</v>
      </c>
      <c r="MG8" s="63">
        <f t="shared" si="136"/>
        <v>6.9</v>
      </c>
      <c r="MH8" s="63">
        <f t="shared" si="137"/>
        <v>4.5</v>
      </c>
      <c r="MI8" s="63">
        <f t="shared" si="138"/>
        <v>6.9</v>
      </c>
      <c r="MJ8" s="63">
        <f t="shared" si="139"/>
        <v>7.4524999999999997</v>
      </c>
      <c r="MK8" s="63">
        <f t="shared" si="140"/>
        <v>0</v>
      </c>
      <c r="ML8" s="74" t="s">
        <v>119</v>
      </c>
      <c r="MM8" s="12">
        <f t="shared" si="141"/>
        <v>10.25</v>
      </c>
      <c r="MN8" s="12">
        <f t="shared" si="142"/>
        <v>44.83</v>
      </c>
      <c r="MO8" s="12">
        <f t="shared" si="143"/>
        <v>38.192499999999995</v>
      </c>
      <c r="MP8" s="12">
        <f t="shared" si="144"/>
        <v>83.022499999999994</v>
      </c>
      <c r="MQ8" s="12">
        <f t="shared" si="145"/>
        <v>6.9</v>
      </c>
      <c r="MR8" s="12">
        <f t="shared" si="146"/>
        <v>25.752500000000001</v>
      </c>
      <c r="MS8" s="12">
        <f t="shared" si="147"/>
        <v>108.77499999999999</v>
      </c>
    </row>
    <row r="9" spans="1:357" x14ac:dyDescent="0.2">
      <c r="A9" s="6" t="str">
        <f t="shared" si="0"/>
        <v/>
      </c>
      <c r="B9" s="9" t="s">
        <v>61</v>
      </c>
      <c r="C9" s="5" t="s">
        <v>5</v>
      </c>
      <c r="D9" s="27">
        <v>2001</v>
      </c>
      <c r="E9" s="16">
        <f t="shared" si="1"/>
        <v>211.05500000000004</v>
      </c>
      <c r="F9" s="4" t="str">
        <f t="shared" si="123"/>
        <v>P</v>
      </c>
      <c r="G9" s="4" t="str">
        <f t="shared" si="124"/>
        <v>P</v>
      </c>
      <c r="H9" s="4" t="str">
        <f t="shared" si="2"/>
        <v/>
      </c>
      <c r="I9" t="str">
        <f t="shared" si="125"/>
        <v/>
      </c>
      <c r="J9" s="15">
        <f t="shared" si="3"/>
        <v>97.14500000000001</v>
      </c>
      <c r="K9" s="15" t="str">
        <f t="shared" si="4"/>
        <v>2019 Elite Canada</v>
      </c>
      <c r="L9" s="15">
        <f t="shared" si="5"/>
        <v>32.519999999999996</v>
      </c>
      <c r="M9" s="15" t="str">
        <f t="shared" si="6"/>
        <v>2018 Nationals</v>
      </c>
      <c r="N9" s="15">
        <f t="shared" si="7"/>
        <v>29.715</v>
      </c>
      <c r="O9" s="15" t="str">
        <f t="shared" si="8"/>
        <v>2018 Nationals</v>
      </c>
      <c r="P9" s="15">
        <f t="shared" si="9"/>
        <v>51.675000000000004</v>
      </c>
      <c r="Q9" s="15" t="str">
        <f t="shared" si="10"/>
        <v>2019 Elite Canada</v>
      </c>
      <c r="R9" s="15" t="str">
        <f t="shared" si="11"/>
        <v/>
      </c>
      <c r="S9" s="25" t="str">
        <f t="shared" si="12"/>
        <v/>
      </c>
      <c r="T9" s="15" t="str">
        <f t="shared" si="13"/>
        <v/>
      </c>
      <c r="U9" s="63">
        <v>11.7</v>
      </c>
      <c r="V9" s="63">
        <v>7.2</v>
      </c>
      <c r="W9" s="63">
        <v>1.2</v>
      </c>
      <c r="X9" s="63">
        <v>12.42</v>
      </c>
      <c r="Y9" s="63">
        <v>0</v>
      </c>
      <c r="Z9" s="63">
        <v>7.9</v>
      </c>
      <c r="AA9" s="63">
        <v>5.25</v>
      </c>
      <c r="AB9" s="63">
        <v>7.8</v>
      </c>
      <c r="AC9" s="63">
        <v>8.7650000000000006</v>
      </c>
      <c r="AD9" s="63">
        <v>0</v>
      </c>
      <c r="AE9" s="63"/>
      <c r="AF9" s="63"/>
      <c r="AG9" s="63"/>
      <c r="AH9" s="63"/>
      <c r="AI9" s="63"/>
      <c r="AJ9" s="74"/>
      <c r="AK9" s="12">
        <f t="shared" si="14"/>
        <v>7.8</v>
      </c>
      <c r="AL9" s="12">
        <f t="shared" si="15"/>
        <v>32.519999999999996</v>
      </c>
      <c r="AM9" s="12">
        <f t="shared" si="16"/>
        <v>29.715</v>
      </c>
      <c r="AN9" s="12">
        <f t="shared" si="17"/>
        <v>62.234999999999999</v>
      </c>
      <c r="AO9" s="12" t="str">
        <f t="shared" si="18"/>
        <v/>
      </c>
      <c r="AP9" s="12" t="str">
        <f t="shared" si="19"/>
        <v/>
      </c>
      <c r="AQ9" s="12">
        <f t="shared" si="20"/>
        <v>62.234999999999999</v>
      </c>
      <c r="AR9" s="69">
        <v>17.100000000000001</v>
      </c>
      <c r="AS9" s="69">
        <v>9.4499999999999993</v>
      </c>
      <c r="AT9" s="69">
        <v>4.3</v>
      </c>
      <c r="AU9" s="69">
        <v>15.805</v>
      </c>
      <c r="AV9" s="69">
        <v>0</v>
      </c>
      <c r="AW9" s="69">
        <v>13</v>
      </c>
      <c r="AX9" s="69">
        <v>9.15</v>
      </c>
      <c r="AY9" s="69">
        <v>13.6</v>
      </c>
      <c r="AZ9" s="69">
        <v>14.74</v>
      </c>
      <c r="BA9" s="69">
        <v>0</v>
      </c>
      <c r="BB9" s="69">
        <v>15.4</v>
      </c>
      <c r="BC9" s="69">
        <v>9.1</v>
      </c>
      <c r="BD9" s="69">
        <v>11.7</v>
      </c>
      <c r="BE9" s="69">
        <v>15.475</v>
      </c>
      <c r="BF9" s="69">
        <v>0</v>
      </c>
      <c r="BG9" s="75"/>
      <c r="BH9" s="15">
        <f t="shared" si="21"/>
        <v>13.6</v>
      </c>
      <c r="BI9" s="15">
        <f t="shared" si="22"/>
        <v>46.655000000000001</v>
      </c>
      <c r="BJ9" s="15">
        <f t="shared" si="23"/>
        <v>50.49</v>
      </c>
      <c r="BK9" s="15">
        <f t="shared" si="24"/>
        <v>97.14500000000001</v>
      </c>
      <c r="BL9" s="15">
        <f t="shared" si="25"/>
        <v>11.7</v>
      </c>
      <c r="BM9" s="15">
        <f t="shared" si="26"/>
        <v>51.675000000000004</v>
      </c>
      <c r="BN9" s="15">
        <f t="shared" si="27"/>
        <v>148.82000000000002</v>
      </c>
      <c r="BO9" s="24" t="str">
        <f t="shared" si="28"/>
        <v/>
      </c>
      <c r="BP9" s="24" t="str">
        <f t="shared" si="29"/>
        <v/>
      </c>
      <c r="BQ9" s="24" t="str">
        <f t="shared" si="30"/>
        <v/>
      </c>
      <c r="BR9" s="24" t="str">
        <f t="shared" si="31"/>
        <v/>
      </c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12" t="str">
        <f t="shared" si="32"/>
        <v/>
      </c>
      <c r="CI9" s="12" t="str">
        <f t="shared" si="33"/>
        <v/>
      </c>
      <c r="CJ9" s="12" t="str">
        <f t="shared" si="34"/>
        <v/>
      </c>
      <c r="CK9" s="12" t="str">
        <f t="shared" si="35"/>
        <v/>
      </c>
      <c r="CL9" s="12" t="str">
        <f t="shared" si="36"/>
        <v/>
      </c>
      <c r="CM9" s="12" t="str">
        <f t="shared" si="37"/>
        <v/>
      </c>
      <c r="CN9" s="12" t="str">
        <f t="shared" si="38"/>
        <v/>
      </c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15" t="str">
        <f t="shared" si="39"/>
        <v/>
      </c>
      <c r="DE9" s="15" t="str">
        <f t="shared" si="40"/>
        <v/>
      </c>
      <c r="DF9" s="15" t="str">
        <f t="shared" si="41"/>
        <v/>
      </c>
      <c r="DG9" s="15" t="str">
        <f t="shared" si="42"/>
        <v/>
      </c>
      <c r="DH9" s="15" t="str">
        <f t="shared" si="43"/>
        <v/>
      </c>
      <c r="DI9" s="15" t="str">
        <f t="shared" si="44"/>
        <v/>
      </c>
      <c r="DJ9" s="15" t="str">
        <f t="shared" si="45"/>
        <v/>
      </c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12" t="str">
        <f t="shared" si="46"/>
        <v/>
      </c>
      <c r="EA9" s="12" t="str">
        <f t="shared" si="47"/>
        <v/>
      </c>
      <c r="EB9" s="12" t="str">
        <f t="shared" si="48"/>
        <v/>
      </c>
      <c r="EC9" s="12" t="str">
        <f t="shared" si="49"/>
        <v/>
      </c>
      <c r="ED9" s="12" t="str">
        <f t="shared" si="50"/>
        <v/>
      </c>
      <c r="EE9" s="12" t="str">
        <f t="shared" si="51"/>
        <v/>
      </c>
      <c r="EF9" s="12" t="str">
        <f t="shared" si="52"/>
        <v/>
      </c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15" t="str">
        <f t="shared" si="53"/>
        <v/>
      </c>
      <c r="EW9" s="15" t="str">
        <f t="shared" si="54"/>
        <v/>
      </c>
      <c r="EX9" s="15" t="str">
        <f t="shared" si="55"/>
        <v/>
      </c>
      <c r="EY9" s="15" t="str">
        <f t="shared" si="56"/>
        <v/>
      </c>
      <c r="EZ9" s="15" t="str">
        <f t="shared" si="57"/>
        <v/>
      </c>
      <c r="FA9" s="15" t="str">
        <f t="shared" si="58"/>
        <v/>
      </c>
      <c r="FB9" s="15" t="str">
        <f t="shared" si="59"/>
        <v/>
      </c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12" t="str">
        <f t="shared" si="60"/>
        <v/>
      </c>
      <c r="FS9" s="12" t="str">
        <f t="shared" si="61"/>
        <v/>
      </c>
      <c r="FT9" s="12" t="str">
        <f t="shared" si="62"/>
        <v/>
      </c>
      <c r="FU9" s="12" t="str">
        <f t="shared" si="63"/>
        <v/>
      </c>
      <c r="FV9" s="12" t="str">
        <f t="shared" si="64"/>
        <v/>
      </c>
      <c r="FW9" s="12" t="str">
        <f t="shared" si="65"/>
        <v/>
      </c>
      <c r="FX9" s="12" t="str">
        <f t="shared" si="66"/>
        <v/>
      </c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15" t="str">
        <f t="shared" si="67"/>
        <v/>
      </c>
      <c r="GO9" s="15" t="str">
        <f t="shared" si="68"/>
        <v/>
      </c>
      <c r="GP9" s="15" t="str">
        <f t="shared" si="69"/>
        <v/>
      </c>
      <c r="GQ9" s="15" t="str">
        <f t="shared" si="70"/>
        <v/>
      </c>
      <c r="GR9" s="15" t="str">
        <f t="shared" si="71"/>
        <v/>
      </c>
      <c r="GS9" s="15" t="str">
        <f t="shared" si="72"/>
        <v/>
      </c>
      <c r="GT9" s="15" t="str">
        <f t="shared" si="73"/>
        <v/>
      </c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12" t="str">
        <f t="shared" si="74"/>
        <v/>
      </c>
      <c r="HK9" s="12" t="str">
        <f t="shared" si="75"/>
        <v/>
      </c>
      <c r="HL9" s="12" t="str">
        <f t="shared" si="76"/>
        <v/>
      </c>
      <c r="HM9" s="12" t="str">
        <f t="shared" si="77"/>
        <v/>
      </c>
      <c r="HN9" s="12" t="str">
        <f t="shared" si="78"/>
        <v/>
      </c>
      <c r="HO9" s="12" t="str">
        <f t="shared" si="79"/>
        <v/>
      </c>
      <c r="HP9" s="12" t="str">
        <f t="shared" si="80"/>
        <v/>
      </c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15" t="str">
        <f t="shared" si="81"/>
        <v/>
      </c>
      <c r="IG9" s="15" t="str">
        <f t="shared" si="82"/>
        <v/>
      </c>
      <c r="IH9" s="15" t="str">
        <f t="shared" si="83"/>
        <v/>
      </c>
      <c r="II9" s="15" t="str">
        <f t="shared" si="84"/>
        <v/>
      </c>
      <c r="IJ9" s="15" t="str">
        <f t="shared" si="85"/>
        <v/>
      </c>
      <c r="IK9" s="15" t="str">
        <f t="shared" si="86"/>
        <v/>
      </c>
      <c r="IL9" s="15" t="str">
        <f t="shared" si="87"/>
        <v/>
      </c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12" t="str">
        <f t="shared" si="88"/>
        <v/>
      </c>
      <c r="JC9" s="12" t="str">
        <f t="shared" si="89"/>
        <v/>
      </c>
      <c r="JD9" s="12" t="str">
        <f t="shared" si="90"/>
        <v/>
      </c>
      <c r="JE9" s="12" t="str">
        <f t="shared" si="91"/>
        <v/>
      </c>
      <c r="JF9" s="12" t="str">
        <f t="shared" si="92"/>
        <v/>
      </c>
      <c r="JG9" s="12" t="str">
        <f t="shared" si="93"/>
        <v/>
      </c>
      <c r="JH9" s="12" t="str">
        <f t="shared" si="94"/>
        <v/>
      </c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15" t="str">
        <f t="shared" si="95"/>
        <v/>
      </c>
      <c r="JY9" s="15" t="str">
        <f t="shared" si="96"/>
        <v/>
      </c>
      <c r="JZ9" s="15" t="str">
        <f t="shared" si="97"/>
        <v/>
      </c>
      <c r="KA9" s="15" t="str">
        <f t="shared" si="98"/>
        <v/>
      </c>
      <c r="KB9" s="15" t="str">
        <f t="shared" si="99"/>
        <v/>
      </c>
      <c r="KC9" s="15" t="str">
        <f t="shared" si="100"/>
        <v/>
      </c>
      <c r="KD9" s="15" t="str">
        <f t="shared" si="101"/>
        <v/>
      </c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12" t="str">
        <f t="shared" si="102"/>
        <v/>
      </c>
      <c r="KU9" s="12" t="str">
        <f t="shared" si="103"/>
        <v/>
      </c>
      <c r="KV9" s="12" t="str">
        <f t="shared" si="104"/>
        <v/>
      </c>
      <c r="KW9" s="12" t="str">
        <f t="shared" si="105"/>
        <v/>
      </c>
      <c r="KX9" s="12" t="str">
        <f t="shared" si="106"/>
        <v/>
      </c>
      <c r="KY9" s="12" t="str">
        <f t="shared" si="107"/>
        <v/>
      </c>
      <c r="KZ9" s="12" t="str">
        <f t="shared" si="108"/>
        <v/>
      </c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15" t="str">
        <f t="shared" si="109"/>
        <v/>
      </c>
      <c r="LQ9" s="15" t="str">
        <f t="shared" si="110"/>
        <v/>
      </c>
      <c r="LR9" s="15" t="str">
        <f t="shared" si="111"/>
        <v/>
      </c>
      <c r="LS9" s="15" t="str">
        <f t="shared" si="112"/>
        <v/>
      </c>
      <c r="LT9" s="15" t="str">
        <f t="shared" si="113"/>
        <v/>
      </c>
      <c r="LU9" s="15" t="str">
        <f t="shared" si="114"/>
        <v/>
      </c>
      <c r="LV9" s="15" t="str">
        <f t="shared" si="115"/>
        <v/>
      </c>
      <c r="LW9" s="63">
        <f t="shared" si="126"/>
        <v>14.4</v>
      </c>
      <c r="LX9" s="63">
        <f t="shared" si="127"/>
        <v>8.3249999999999993</v>
      </c>
      <c r="LY9" s="63">
        <f t="shared" si="128"/>
        <v>2.75</v>
      </c>
      <c r="LZ9" s="63">
        <f t="shared" si="129"/>
        <v>14.112500000000001</v>
      </c>
      <c r="MA9" s="63">
        <f t="shared" si="130"/>
        <v>0</v>
      </c>
      <c r="MB9" s="63">
        <f t="shared" si="131"/>
        <v>10.45</v>
      </c>
      <c r="MC9" s="63">
        <f t="shared" si="132"/>
        <v>7.2</v>
      </c>
      <c r="MD9" s="63">
        <f t="shared" si="133"/>
        <v>10.7</v>
      </c>
      <c r="ME9" s="63">
        <f t="shared" si="134"/>
        <v>11.752500000000001</v>
      </c>
      <c r="MF9" s="63">
        <f t="shared" si="135"/>
        <v>0</v>
      </c>
      <c r="MG9" s="63">
        <f t="shared" si="136"/>
        <v>7.7</v>
      </c>
      <c r="MH9" s="63">
        <f t="shared" si="137"/>
        <v>4.55</v>
      </c>
      <c r="MI9" s="63">
        <f t="shared" si="138"/>
        <v>5.85</v>
      </c>
      <c r="MJ9" s="63">
        <f t="shared" si="139"/>
        <v>7.7374999999999998</v>
      </c>
      <c r="MK9" s="63">
        <f t="shared" si="140"/>
        <v>0</v>
      </c>
      <c r="ML9" s="74" t="s">
        <v>119</v>
      </c>
      <c r="MM9" s="12">
        <f t="shared" si="141"/>
        <v>10.7</v>
      </c>
      <c r="MN9" s="12">
        <f t="shared" si="142"/>
        <v>39.587500000000006</v>
      </c>
      <c r="MO9" s="12">
        <f t="shared" si="143"/>
        <v>40.102499999999999</v>
      </c>
      <c r="MP9" s="12">
        <f t="shared" si="144"/>
        <v>79.69</v>
      </c>
      <c r="MQ9" s="12">
        <f t="shared" si="145"/>
        <v>5.85</v>
      </c>
      <c r="MR9" s="12">
        <f t="shared" si="146"/>
        <v>25.837500000000002</v>
      </c>
      <c r="MS9" s="12">
        <f t="shared" si="147"/>
        <v>105.5275</v>
      </c>
    </row>
    <row r="10" spans="1:357" x14ac:dyDescent="0.2">
      <c r="A10" s="6">
        <f t="shared" si="0"/>
        <v>4</v>
      </c>
      <c r="B10" s="7" t="s">
        <v>82</v>
      </c>
      <c r="C10" s="8" t="s">
        <v>5</v>
      </c>
      <c r="D10" s="6">
        <v>2001</v>
      </c>
      <c r="E10" s="16">
        <f t="shared" si="1"/>
        <v>203.27500000000001</v>
      </c>
      <c r="F10" s="4" t="str">
        <f t="shared" si="123"/>
        <v>P</v>
      </c>
      <c r="G10" s="4" t="str">
        <f t="shared" si="124"/>
        <v>P</v>
      </c>
      <c r="H10" s="4" t="str">
        <f t="shared" si="2"/>
        <v>P</v>
      </c>
      <c r="I10" t="str">
        <f t="shared" si="125"/>
        <v>National Team</v>
      </c>
      <c r="J10" s="15">
        <f t="shared" si="3"/>
        <v>98.8</v>
      </c>
      <c r="K10" s="15" t="str">
        <f t="shared" si="4"/>
        <v>2018 Nationals</v>
      </c>
      <c r="L10" s="15" t="str">
        <f t="shared" si="5"/>
        <v/>
      </c>
      <c r="M10" s="15" t="str">
        <f t="shared" si="6"/>
        <v/>
      </c>
      <c r="N10" s="15" t="str">
        <f t="shared" si="7"/>
        <v/>
      </c>
      <c r="O10" s="15" t="str">
        <f t="shared" si="8"/>
        <v/>
      </c>
      <c r="P10" s="15">
        <f t="shared" si="9"/>
        <v>53.44</v>
      </c>
      <c r="Q10" s="15" t="str">
        <f t="shared" si="10"/>
        <v>2018 Nationals</v>
      </c>
      <c r="R10" s="15">
        <f t="shared" si="11"/>
        <v>51.034999999999997</v>
      </c>
      <c r="S10" s="25" t="str">
        <f t="shared" si="12"/>
        <v>(Vol 2)</v>
      </c>
      <c r="T10" s="15" t="str">
        <f t="shared" si="13"/>
        <v>2018 Pacific Rim (Apr 29)</v>
      </c>
      <c r="U10" s="63">
        <v>17.100000000000001</v>
      </c>
      <c r="V10" s="63">
        <v>9.4</v>
      </c>
      <c r="W10" s="63">
        <v>3.7</v>
      </c>
      <c r="X10" s="63">
        <v>16.82</v>
      </c>
      <c r="Y10" s="63">
        <v>0</v>
      </c>
      <c r="Z10" s="63">
        <v>13.7</v>
      </c>
      <c r="AA10" s="63">
        <v>8.9</v>
      </c>
      <c r="AB10" s="63">
        <v>13.5</v>
      </c>
      <c r="AC10" s="63">
        <v>15.68</v>
      </c>
      <c r="AD10" s="63">
        <v>0</v>
      </c>
      <c r="AE10" s="63">
        <v>15.3</v>
      </c>
      <c r="AF10" s="63">
        <v>8.8000000000000007</v>
      </c>
      <c r="AG10" s="63">
        <v>13.1</v>
      </c>
      <c r="AH10" s="63">
        <v>16.239999999999998</v>
      </c>
      <c r="AI10" s="63">
        <v>0</v>
      </c>
      <c r="AJ10" s="74"/>
      <c r="AK10" s="12">
        <f t="shared" si="14"/>
        <v>13.5</v>
      </c>
      <c r="AL10" s="12">
        <f t="shared" si="15"/>
        <v>47.019999999999996</v>
      </c>
      <c r="AM10" s="12">
        <f t="shared" si="16"/>
        <v>51.78</v>
      </c>
      <c r="AN10" s="12">
        <f t="shared" si="17"/>
        <v>98.8</v>
      </c>
      <c r="AO10" s="12">
        <f t="shared" si="18"/>
        <v>13.1</v>
      </c>
      <c r="AP10" s="12">
        <f t="shared" si="19"/>
        <v>53.44</v>
      </c>
      <c r="AQ10" s="12">
        <f t="shared" si="20"/>
        <v>152.24</v>
      </c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75"/>
      <c r="BH10" s="15" t="str">
        <f t="shared" si="21"/>
        <v/>
      </c>
      <c r="BI10" s="15" t="str">
        <f t="shared" si="22"/>
        <v/>
      </c>
      <c r="BJ10" s="15" t="str">
        <f t="shared" si="23"/>
        <v/>
      </c>
      <c r="BK10" s="15" t="str">
        <f t="shared" si="24"/>
        <v/>
      </c>
      <c r="BL10" s="15" t="str">
        <f t="shared" si="25"/>
        <v/>
      </c>
      <c r="BM10" s="15" t="str">
        <f t="shared" si="26"/>
        <v/>
      </c>
      <c r="BN10" s="15" t="str">
        <f t="shared" si="27"/>
        <v/>
      </c>
      <c r="BO10" s="24">
        <f t="shared" si="28"/>
        <v>43.564999999999998</v>
      </c>
      <c r="BP10" s="24">
        <f t="shared" si="29"/>
        <v>51.034999999999997</v>
      </c>
      <c r="BQ10" s="24" t="str">
        <f t="shared" si="30"/>
        <v/>
      </c>
      <c r="BR10" s="24" t="str">
        <f t="shared" si="31"/>
        <v/>
      </c>
      <c r="BS10" s="36">
        <v>17.2</v>
      </c>
      <c r="BT10" s="36">
        <v>0</v>
      </c>
      <c r="BU10" s="36">
        <v>9.3000000000000007</v>
      </c>
      <c r="BV10" s="36">
        <v>16.670000000000002</v>
      </c>
      <c r="BW10" s="36">
        <v>0</v>
      </c>
      <c r="BX10" s="36">
        <v>13.6</v>
      </c>
      <c r="BY10" s="36">
        <v>12.8</v>
      </c>
      <c r="BZ10" s="36">
        <v>9.5</v>
      </c>
      <c r="CA10" s="36">
        <v>15.135</v>
      </c>
      <c r="CB10" s="36">
        <v>0</v>
      </c>
      <c r="CC10" s="36">
        <v>13.7</v>
      </c>
      <c r="CD10" s="36">
        <v>8.85</v>
      </c>
      <c r="CE10" s="36">
        <v>12.9</v>
      </c>
      <c r="CF10" s="36">
        <v>15.225</v>
      </c>
      <c r="CG10" s="36">
        <v>0</v>
      </c>
      <c r="CH10" s="12">
        <f t="shared" si="32"/>
        <v>9.5</v>
      </c>
      <c r="CI10" s="12">
        <f t="shared" si="33"/>
        <v>43.17</v>
      </c>
      <c r="CJ10" s="12">
        <f t="shared" si="34"/>
        <v>51.034999999999997</v>
      </c>
      <c r="CK10" s="12">
        <f t="shared" si="35"/>
        <v>94.204999999999998</v>
      </c>
      <c r="CL10" s="12">
        <f t="shared" si="36"/>
        <v>12.9</v>
      </c>
      <c r="CM10" s="12">
        <f t="shared" si="37"/>
        <v>50.674999999999997</v>
      </c>
      <c r="CN10" s="12">
        <f t="shared" si="38"/>
        <v>144.88</v>
      </c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>
        <v>14.3</v>
      </c>
      <c r="CZ10" s="37">
        <v>9.25</v>
      </c>
      <c r="DA10" s="37">
        <v>12.8</v>
      </c>
      <c r="DB10" s="37">
        <v>15.345000000000001</v>
      </c>
      <c r="DC10" s="37">
        <v>0</v>
      </c>
      <c r="DD10" s="15" t="str">
        <f t="shared" si="39"/>
        <v/>
      </c>
      <c r="DE10" s="15" t="str">
        <f t="shared" si="40"/>
        <v/>
      </c>
      <c r="DF10" s="15" t="str">
        <f t="shared" si="41"/>
        <v/>
      </c>
      <c r="DG10" s="15" t="str">
        <f t="shared" si="42"/>
        <v/>
      </c>
      <c r="DH10" s="15">
        <f t="shared" si="43"/>
        <v>12.8</v>
      </c>
      <c r="DI10" s="15">
        <f t="shared" si="44"/>
        <v>51.695</v>
      </c>
      <c r="DJ10" s="15">
        <f t="shared" si="45"/>
        <v>51.695</v>
      </c>
      <c r="DK10" s="36">
        <v>17</v>
      </c>
      <c r="DL10" s="36">
        <v>9.6</v>
      </c>
      <c r="DM10" s="36">
        <v>0</v>
      </c>
      <c r="DN10" s="36">
        <v>16.965</v>
      </c>
      <c r="DO10" s="36">
        <v>0</v>
      </c>
      <c r="DP10" s="36">
        <v>3</v>
      </c>
      <c r="DQ10" s="36">
        <v>1.6</v>
      </c>
      <c r="DR10" s="36">
        <v>2.9</v>
      </c>
      <c r="DS10" s="36">
        <v>3.41</v>
      </c>
      <c r="DT10" s="36">
        <v>0</v>
      </c>
      <c r="DU10" s="36"/>
      <c r="DV10" s="36"/>
      <c r="DW10" s="36"/>
      <c r="DX10" s="36"/>
      <c r="DY10" s="36"/>
      <c r="DZ10" s="12">
        <f t="shared" si="46"/>
        <v>2.9</v>
      </c>
      <c r="EA10" s="12">
        <f t="shared" si="47"/>
        <v>43.564999999999998</v>
      </c>
      <c r="EB10" s="12">
        <f t="shared" si="48"/>
        <v>10.91</v>
      </c>
      <c r="EC10" s="12">
        <f t="shared" si="49"/>
        <v>54.474999999999994</v>
      </c>
      <c r="ED10" s="12" t="str">
        <f t="shared" si="50"/>
        <v/>
      </c>
      <c r="EE10" s="12" t="str">
        <f t="shared" si="51"/>
        <v/>
      </c>
      <c r="EF10" s="12">
        <f t="shared" si="52"/>
        <v>54.474999999999994</v>
      </c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15" t="str">
        <f t="shared" si="53"/>
        <v/>
      </c>
      <c r="EW10" s="15" t="str">
        <f t="shared" si="54"/>
        <v/>
      </c>
      <c r="EX10" s="15" t="str">
        <f t="shared" si="55"/>
        <v/>
      </c>
      <c r="EY10" s="15" t="str">
        <f t="shared" si="56"/>
        <v/>
      </c>
      <c r="EZ10" s="15" t="str">
        <f t="shared" si="57"/>
        <v/>
      </c>
      <c r="FA10" s="15" t="str">
        <f t="shared" si="58"/>
        <v/>
      </c>
      <c r="FB10" s="15" t="str">
        <f t="shared" si="59"/>
        <v/>
      </c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12" t="str">
        <f t="shared" si="60"/>
        <v/>
      </c>
      <c r="FS10" s="12" t="str">
        <f t="shared" si="61"/>
        <v/>
      </c>
      <c r="FT10" s="12" t="str">
        <f t="shared" si="62"/>
        <v/>
      </c>
      <c r="FU10" s="12" t="str">
        <f t="shared" si="63"/>
        <v/>
      </c>
      <c r="FV10" s="12" t="str">
        <f t="shared" si="64"/>
        <v/>
      </c>
      <c r="FW10" s="12" t="str">
        <f t="shared" si="65"/>
        <v/>
      </c>
      <c r="FX10" s="12" t="str">
        <f t="shared" si="66"/>
        <v/>
      </c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15" t="str">
        <f t="shared" si="67"/>
        <v/>
      </c>
      <c r="GO10" s="15" t="str">
        <f t="shared" si="68"/>
        <v/>
      </c>
      <c r="GP10" s="15" t="str">
        <f t="shared" si="69"/>
        <v/>
      </c>
      <c r="GQ10" s="15" t="str">
        <f t="shared" si="70"/>
        <v/>
      </c>
      <c r="GR10" s="15" t="str">
        <f t="shared" si="71"/>
        <v/>
      </c>
      <c r="GS10" s="15" t="str">
        <f t="shared" si="72"/>
        <v/>
      </c>
      <c r="GT10" s="15" t="str">
        <f t="shared" si="73"/>
        <v/>
      </c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12" t="str">
        <f t="shared" si="74"/>
        <v/>
      </c>
      <c r="HK10" s="12" t="str">
        <f t="shared" si="75"/>
        <v/>
      </c>
      <c r="HL10" s="12" t="str">
        <f t="shared" si="76"/>
        <v/>
      </c>
      <c r="HM10" s="12" t="str">
        <f t="shared" si="77"/>
        <v/>
      </c>
      <c r="HN10" s="12" t="str">
        <f t="shared" si="78"/>
        <v/>
      </c>
      <c r="HO10" s="12" t="str">
        <f t="shared" si="79"/>
        <v/>
      </c>
      <c r="HP10" s="12" t="str">
        <f t="shared" si="80"/>
        <v/>
      </c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15" t="str">
        <f t="shared" si="81"/>
        <v/>
      </c>
      <c r="IG10" s="15" t="str">
        <f t="shared" si="82"/>
        <v/>
      </c>
      <c r="IH10" s="15" t="str">
        <f t="shared" si="83"/>
        <v/>
      </c>
      <c r="II10" s="15" t="str">
        <f t="shared" si="84"/>
        <v/>
      </c>
      <c r="IJ10" s="15" t="str">
        <f t="shared" si="85"/>
        <v/>
      </c>
      <c r="IK10" s="15" t="str">
        <f t="shared" si="86"/>
        <v/>
      </c>
      <c r="IL10" s="15" t="str">
        <f t="shared" si="87"/>
        <v/>
      </c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12" t="str">
        <f t="shared" si="88"/>
        <v/>
      </c>
      <c r="JC10" s="12" t="str">
        <f t="shared" si="89"/>
        <v/>
      </c>
      <c r="JD10" s="12" t="str">
        <f t="shared" si="90"/>
        <v/>
      </c>
      <c r="JE10" s="12" t="str">
        <f t="shared" si="91"/>
        <v/>
      </c>
      <c r="JF10" s="12" t="str">
        <f t="shared" si="92"/>
        <v/>
      </c>
      <c r="JG10" s="12" t="str">
        <f t="shared" si="93"/>
        <v/>
      </c>
      <c r="JH10" s="12" t="str">
        <f t="shared" si="94"/>
        <v/>
      </c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15" t="str">
        <f t="shared" si="95"/>
        <v/>
      </c>
      <c r="JY10" s="15" t="str">
        <f t="shared" si="96"/>
        <v/>
      </c>
      <c r="JZ10" s="15" t="str">
        <f t="shared" si="97"/>
        <v/>
      </c>
      <c r="KA10" s="15" t="str">
        <f t="shared" si="98"/>
        <v/>
      </c>
      <c r="KB10" s="15" t="str">
        <f t="shared" si="99"/>
        <v/>
      </c>
      <c r="KC10" s="15" t="str">
        <f t="shared" si="100"/>
        <v/>
      </c>
      <c r="KD10" s="15" t="str">
        <f t="shared" si="101"/>
        <v/>
      </c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12" t="str">
        <f t="shared" si="102"/>
        <v/>
      </c>
      <c r="KU10" s="12" t="str">
        <f t="shared" si="103"/>
        <v/>
      </c>
      <c r="KV10" s="12" t="str">
        <f t="shared" si="104"/>
        <v/>
      </c>
      <c r="KW10" s="12" t="str">
        <f t="shared" si="105"/>
        <v/>
      </c>
      <c r="KX10" s="12" t="str">
        <f t="shared" si="106"/>
        <v/>
      </c>
      <c r="KY10" s="12" t="str">
        <f t="shared" si="107"/>
        <v/>
      </c>
      <c r="KZ10" s="12" t="str">
        <f t="shared" si="108"/>
        <v/>
      </c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15" t="str">
        <f t="shared" si="109"/>
        <v/>
      </c>
      <c r="LQ10" s="15" t="str">
        <f t="shared" si="110"/>
        <v/>
      </c>
      <c r="LR10" s="15" t="str">
        <f t="shared" si="111"/>
        <v/>
      </c>
      <c r="LS10" s="15" t="str">
        <f t="shared" si="112"/>
        <v/>
      </c>
      <c r="LT10" s="15" t="str">
        <f t="shared" si="113"/>
        <v/>
      </c>
      <c r="LU10" s="15" t="str">
        <f t="shared" si="114"/>
        <v/>
      </c>
      <c r="LV10" s="15" t="str">
        <f t="shared" si="115"/>
        <v/>
      </c>
      <c r="LW10" s="63">
        <f t="shared" si="126"/>
        <v>8.5500000000000007</v>
      </c>
      <c r="LX10" s="63">
        <f t="shared" si="127"/>
        <v>4.7</v>
      </c>
      <c r="LY10" s="63">
        <f t="shared" si="128"/>
        <v>1.85</v>
      </c>
      <c r="LZ10" s="63">
        <f t="shared" si="129"/>
        <v>8.41</v>
      </c>
      <c r="MA10" s="63">
        <f t="shared" si="130"/>
        <v>0</v>
      </c>
      <c r="MB10" s="63">
        <f t="shared" si="131"/>
        <v>6.85</v>
      </c>
      <c r="MC10" s="63">
        <f t="shared" si="132"/>
        <v>4.45</v>
      </c>
      <c r="MD10" s="63">
        <f t="shared" si="133"/>
        <v>6.75</v>
      </c>
      <c r="ME10" s="63">
        <f t="shared" si="134"/>
        <v>7.84</v>
      </c>
      <c r="MF10" s="63">
        <f t="shared" si="135"/>
        <v>0</v>
      </c>
      <c r="MG10" s="63">
        <f t="shared" si="136"/>
        <v>7.65</v>
      </c>
      <c r="MH10" s="63">
        <f t="shared" si="137"/>
        <v>4.4000000000000004</v>
      </c>
      <c r="MI10" s="63">
        <f t="shared" si="138"/>
        <v>6.55</v>
      </c>
      <c r="MJ10" s="63">
        <f t="shared" si="139"/>
        <v>8.1199999999999992</v>
      </c>
      <c r="MK10" s="63">
        <f t="shared" si="140"/>
        <v>0</v>
      </c>
      <c r="ML10" s="74" t="s">
        <v>119</v>
      </c>
      <c r="MM10" s="12">
        <f t="shared" si="141"/>
        <v>6.75</v>
      </c>
      <c r="MN10" s="12">
        <f t="shared" si="142"/>
        <v>23.509999999999998</v>
      </c>
      <c r="MO10" s="12">
        <f t="shared" si="143"/>
        <v>25.89</v>
      </c>
      <c r="MP10" s="12">
        <f t="shared" si="144"/>
        <v>49.4</v>
      </c>
      <c r="MQ10" s="12">
        <f t="shared" si="145"/>
        <v>6.55</v>
      </c>
      <c r="MR10" s="12">
        <f t="shared" si="146"/>
        <v>26.72</v>
      </c>
      <c r="MS10" s="12">
        <f t="shared" si="147"/>
        <v>76.12</v>
      </c>
    </row>
    <row r="11" spans="1:357" x14ac:dyDescent="0.2">
      <c r="A11" s="6" t="str">
        <f t="shared" si="0"/>
        <v/>
      </c>
      <c r="B11" s="9" t="s">
        <v>81</v>
      </c>
      <c r="C11" s="5" t="s">
        <v>3</v>
      </c>
      <c r="D11" s="6">
        <v>2000</v>
      </c>
      <c r="E11" s="16">
        <f t="shared" si="1"/>
        <v>186.83500000000004</v>
      </c>
      <c r="F11" s="4" t="str">
        <f t="shared" si="123"/>
        <v>P</v>
      </c>
      <c r="G11" s="4" t="str">
        <f t="shared" si="124"/>
        <v>P</v>
      </c>
      <c r="H11" s="4" t="str">
        <f t="shared" si="2"/>
        <v/>
      </c>
      <c r="I11" t="str">
        <f t="shared" si="125"/>
        <v/>
      </c>
      <c r="J11" s="15">
        <f t="shared" si="3"/>
        <v>93.88000000000001</v>
      </c>
      <c r="K11" s="15" t="str">
        <f t="shared" si="4"/>
        <v>2018 Nationals</v>
      </c>
      <c r="L11" s="15" t="str">
        <f t="shared" si="5"/>
        <v/>
      </c>
      <c r="M11" s="15" t="str">
        <f t="shared" si="6"/>
        <v/>
      </c>
      <c r="N11" s="15" t="str">
        <f t="shared" si="7"/>
        <v/>
      </c>
      <c r="O11" s="15" t="str">
        <f t="shared" si="8"/>
        <v/>
      </c>
      <c r="P11" s="15">
        <f t="shared" si="9"/>
        <v>51.099999999999994</v>
      </c>
      <c r="Q11" s="15" t="str">
        <f t="shared" si="10"/>
        <v>2018 Nationals</v>
      </c>
      <c r="R11" s="15">
        <f t="shared" si="11"/>
        <v>41.855000000000004</v>
      </c>
      <c r="S11" s="25" t="str">
        <f t="shared" si="12"/>
        <v>(Vol 1)</v>
      </c>
      <c r="T11" s="15" t="str">
        <f t="shared" si="13"/>
        <v>2018 World Age Groups (Nov 18)</v>
      </c>
      <c r="U11" s="63">
        <v>15.7</v>
      </c>
      <c r="V11" s="63">
        <v>9.35</v>
      </c>
      <c r="W11" s="63">
        <v>4.0999999999999996</v>
      </c>
      <c r="X11" s="63">
        <v>16.675000000000001</v>
      </c>
      <c r="Y11" s="63">
        <v>0</v>
      </c>
      <c r="Z11" s="63">
        <v>10.199999999999999</v>
      </c>
      <c r="AA11" s="63">
        <v>8.4499999999999993</v>
      </c>
      <c r="AB11" s="63">
        <v>13.8</v>
      </c>
      <c r="AC11" s="63">
        <v>15.605</v>
      </c>
      <c r="AD11" s="63">
        <v>0</v>
      </c>
      <c r="AE11" s="63">
        <v>14.1</v>
      </c>
      <c r="AF11" s="63">
        <v>8.5</v>
      </c>
      <c r="AG11" s="63">
        <v>12.7</v>
      </c>
      <c r="AH11" s="63">
        <v>15.8</v>
      </c>
      <c r="AI11" s="63">
        <v>0</v>
      </c>
      <c r="AJ11" s="74"/>
      <c r="AK11" s="12">
        <f t="shared" si="14"/>
        <v>13.8</v>
      </c>
      <c r="AL11" s="12">
        <f t="shared" si="15"/>
        <v>45.825000000000003</v>
      </c>
      <c r="AM11" s="12">
        <f t="shared" si="16"/>
        <v>48.055000000000007</v>
      </c>
      <c r="AN11" s="12">
        <f t="shared" si="17"/>
        <v>93.88000000000001</v>
      </c>
      <c r="AO11" s="12">
        <f t="shared" si="18"/>
        <v>12.7</v>
      </c>
      <c r="AP11" s="12">
        <f t="shared" si="19"/>
        <v>51.099999999999994</v>
      </c>
      <c r="AQ11" s="12">
        <f t="shared" si="20"/>
        <v>144.98000000000002</v>
      </c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75"/>
      <c r="BH11" s="15" t="str">
        <f t="shared" si="21"/>
        <v/>
      </c>
      <c r="BI11" s="15" t="str">
        <f t="shared" si="22"/>
        <v/>
      </c>
      <c r="BJ11" s="15" t="str">
        <f t="shared" si="23"/>
        <v/>
      </c>
      <c r="BK11" s="15" t="str">
        <f t="shared" si="24"/>
        <v/>
      </c>
      <c r="BL11" s="15" t="str">
        <f t="shared" si="25"/>
        <v/>
      </c>
      <c r="BM11" s="15" t="str">
        <f t="shared" si="26"/>
        <v/>
      </c>
      <c r="BN11" s="15" t="str">
        <f t="shared" si="27"/>
        <v/>
      </c>
      <c r="BO11" s="24">
        <f t="shared" si="28"/>
        <v>41.855000000000004</v>
      </c>
      <c r="BP11" s="24">
        <f t="shared" si="29"/>
        <v>11.164999999999999</v>
      </c>
      <c r="BQ11" s="24" t="str">
        <f t="shared" si="30"/>
        <v/>
      </c>
      <c r="BR11" s="24" t="str">
        <f t="shared" si="31"/>
        <v/>
      </c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12" t="str">
        <f t="shared" si="32"/>
        <v/>
      </c>
      <c r="CI11" s="12" t="str">
        <f t="shared" si="33"/>
        <v/>
      </c>
      <c r="CJ11" s="12" t="str">
        <f t="shared" si="34"/>
        <v/>
      </c>
      <c r="CK11" s="12" t="str">
        <f t="shared" si="35"/>
        <v/>
      </c>
      <c r="CL11" s="12" t="str">
        <f t="shared" si="36"/>
        <v/>
      </c>
      <c r="CM11" s="12" t="str">
        <f t="shared" si="37"/>
        <v/>
      </c>
      <c r="CN11" s="12" t="str">
        <f t="shared" si="38"/>
        <v/>
      </c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15" t="str">
        <f t="shared" si="39"/>
        <v/>
      </c>
      <c r="DE11" s="15" t="str">
        <f t="shared" si="40"/>
        <v/>
      </c>
      <c r="DF11" s="15" t="str">
        <f t="shared" si="41"/>
        <v/>
      </c>
      <c r="DG11" s="15" t="str">
        <f t="shared" si="42"/>
        <v/>
      </c>
      <c r="DH11" s="15" t="str">
        <f t="shared" si="43"/>
        <v/>
      </c>
      <c r="DI11" s="15" t="str">
        <f t="shared" si="44"/>
        <v/>
      </c>
      <c r="DJ11" s="15" t="str">
        <f t="shared" si="45"/>
        <v/>
      </c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12" t="str">
        <f t="shared" si="46"/>
        <v/>
      </c>
      <c r="EA11" s="12" t="str">
        <f t="shared" si="47"/>
        <v/>
      </c>
      <c r="EB11" s="12" t="str">
        <f t="shared" si="48"/>
        <v/>
      </c>
      <c r="EC11" s="12" t="str">
        <f t="shared" si="49"/>
        <v/>
      </c>
      <c r="ED11" s="12" t="str">
        <f t="shared" si="50"/>
        <v/>
      </c>
      <c r="EE11" s="12" t="str">
        <f t="shared" si="51"/>
        <v/>
      </c>
      <c r="EF11" s="12" t="str">
        <f t="shared" si="52"/>
        <v/>
      </c>
      <c r="EG11" s="37">
        <v>15.9</v>
      </c>
      <c r="EH11" s="37">
        <v>9.1999999999999993</v>
      </c>
      <c r="EI11" s="37">
        <v>0</v>
      </c>
      <c r="EJ11" s="37">
        <v>16.754999999999999</v>
      </c>
      <c r="EK11" s="37">
        <v>0</v>
      </c>
      <c r="EL11" s="37">
        <v>3</v>
      </c>
      <c r="EM11" s="37">
        <v>1.8</v>
      </c>
      <c r="EN11" s="37">
        <v>3</v>
      </c>
      <c r="EO11" s="37">
        <v>3.3650000000000002</v>
      </c>
      <c r="EP11" s="37">
        <v>0</v>
      </c>
      <c r="EQ11" s="37"/>
      <c r="ER11" s="37"/>
      <c r="ES11" s="37"/>
      <c r="ET11" s="37"/>
      <c r="EU11" s="37"/>
      <c r="EV11" s="15">
        <f t="shared" si="53"/>
        <v>3</v>
      </c>
      <c r="EW11" s="15">
        <f t="shared" si="54"/>
        <v>41.855000000000004</v>
      </c>
      <c r="EX11" s="15">
        <f t="shared" si="55"/>
        <v>11.164999999999999</v>
      </c>
      <c r="EY11" s="15">
        <f t="shared" si="56"/>
        <v>53.02</v>
      </c>
      <c r="EZ11" s="15" t="str">
        <f t="shared" si="57"/>
        <v/>
      </c>
      <c r="FA11" s="15" t="str">
        <f t="shared" si="58"/>
        <v/>
      </c>
      <c r="FB11" s="15">
        <f t="shared" si="59"/>
        <v>53.02</v>
      </c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12" t="str">
        <f t="shared" si="60"/>
        <v/>
      </c>
      <c r="FS11" s="12" t="str">
        <f t="shared" si="61"/>
        <v/>
      </c>
      <c r="FT11" s="12" t="str">
        <f t="shared" si="62"/>
        <v/>
      </c>
      <c r="FU11" s="12" t="str">
        <f t="shared" si="63"/>
        <v/>
      </c>
      <c r="FV11" s="12" t="str">
        <f t="shared" si="64"/>
        <v/>
      </c>
      <c r="FW11" s="12" t="str">
        <f t="shared" si="65"/>
        <v/>
      </c>
      <c r="FX11" s="12" t="str">
        <f t="shared" si="66"/>
        <v/>
      </c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15" t="str">
        <f t="shared" si="67"/>
        <v/>
      </c>
      <c r="GO11" s="15" t="str">
        <f t="shared" si="68"/>
        <v/>
      </c>
      <c r="GP11" s="15" t="str">
        <f t="shared" si="69"/>
        <v/>
      </c>
      <c r="GQ11" s="15" t="str">
        <f t="shared" si="70"/>
        <v/>
      </c>
      <c r="GR11" s="15" t="str">
        <f t="shared" si="71"/>
        <v/>
      </c>
      <c r="GS11" s="15" t="str">
        <f t="shared" si="72"/>
        <v/>
      </c>
      <c r="GT11" s="15" t="str">
        <f t="shared" si="73"/>
        <v/>
      </c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12" t="str">
        <f t="shared" si="74"/>
        <v/>
      </c>
      <c r="HK11" s="12" t="str">
        <f t="shared" si="75"/>
        <v/>
      </c>
      <c r="HL11" s="12" t="str">
        <f t="shared" si="76"/>
        <v/>
      </c>
      <c r="HM11" s="12" t="str">
        <f t="shared" si="77"/>
        <v/>
      </c>
      <c r="HN11" s="12" t="str">
        <f t="shared" si="78"/>
        <v/>
      </c>
      <c r="HO11" s="12" t="str">
        <f t="shared" si="79"/>
        <v/>
      </c>
      <c r="HP11" s="12" t="str">
        <f t="shared" si="80"/>
        <v/>
      </c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15" t="str">
        <f t="shared" si="81"/>
        <v/>
      </c>
      <c r="IG11" s="15" t="str">
        <f t="shared" si="82"/>
        <v/>
      </c>
      <c r="IH11" s="15" t="str">
        <f t="shared" si="83"/>
        <v/>
      </c>
      <c r="II11" s="15" t="str">
        <f t="shared" si="84"/>
        <v/>
      </c>
      <c r="IJ11" s="15" t="str">
        <f t="shared" si="85"/>
        <v/>
      </c>
      <c r="IK11" s="15" t="str">
        <f t="shared" si="86"/>
        <v/>
      </c>
      <c r="IL11" s="15" t="str">
        <f t="shared" si="87"/>
        <v/>
      </c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12" t="str">
        <f t="shared" si="88"/>
        <v/>
      </c>
      <c r="JC11" s="12" t="str">
        <f t="shared" si="89"/>
        <v/>
      </c>
      <c r="JD11" s="12" t="str">
        <f t="shared" si="90"/>
        <v/>
      </c>
      <c r="JE11" s="12" t="str">
        <f t="shared" si="91"/>
        <v/>
      </c>
      <c r="JF11" s="12" t="str">
        <f t="shared" si="92"/>
        <v/>
      </c>
      <c r="JG11" s="12" t="str">
        <f t="shared" si="93"/>
        <v/>
      </c>
      <c r="JH11" s="12" t="str">
        <f t="shared" si="94"/>
        <v/>
      </c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15" t="str">
        <f t="shared" si="95"/>
        <v/>
      </c>
      <c r="JY11" s="15" t="str">
        <f t="shared" si="96"/>
        <v/>
      </c>
      <c r="JZ11" s="15" t="str">
        <f t="shared" si="97"/>
        <v/>
      </c>
      <c r="KA11" s="15" t="str">
        <f t="shared" si="98"/>
        <v/>
      </c>
      <c r="KB11" s="15" t="str">
        <f t="shared" si="99"/>
        <v/>
      </c>
      <c r="KC11" s="15" t="str">
        <f t="shared" si="100"/>
        <v/>
      </c>
      <c r="KD11" s="15" t="str">
        <f t="shared" si="101"/>
        <v/>
      </c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12" t="str">
        <f t="shared" si="102"/>
        <v/>
      </c>
      <c r="KU11" s="12" t="str">
        <f t="shared" si="103"/>
        <v/>
      </c>
      <c r="KV11" s="12" t="str">
        <f t="shared" si="104"/>
        <v/>
      </c>
      <c r="KW11" s="12" t="str">
        <f t="shared" si="105"/>
        <v/>
      </c>
      <c r="KX11" s="12" t="str">
        <f t="shared" si="106"/>
        <v/>
      </c>
      <c r="KY11" s="12" t="str">
        <f t="shared" si="107"/>
        <v/>
      </c>
      <c r="KZ11" s="12" t="str">
        <f t="shared" si="108"/>
        <v/>
      </c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15" t="str">
        <f t="shared" si="109"/>
        <v/>
      </c>
      <c r="LQ11" s="15" t="str">
        <f t="shared" si="110"/>
        <v/>
      </c>
      <c r="LR11" s="15" t="str">
        <f t="shared" si="111"/>
        <v/>
      </c>
      <c r="LS11" s="15" t="str">
        <f t="shared" si="112"/>
        <v/>
      </c>
      <c r="LT11" s="15" t="str">
        <f t="shared" si="113"/>
        <v/>
      </c>
      <c r="LU11" s="15" t="str">
        <f t="shared" si="114"/>
        <v/>
      </c>
      <c r="LV11" s="15" t="str">
        <f t="shared" si="115"/>
        <v/>
      </c>
      <c r="LW11" s="63">
        <f t="shared" si="126"/>
        <v>7.85</v>
      </c>
      <c r="LX11" s="63">
        <f t="shared" si="127"/>
        <v>4.6749999999999998</v>
      </c>
      <c r="LY11" s="63">
        <f t="shared" si="128"/>
        <v>2.0499999999999998</v>
      </c>
      <c r="LZ11" s="63">
        <f t="shared" si="129"/>
        <v>8.3375000000000004</v>
      </c>
      <c r="MA11" s="63">
        <f t="shared" si="130"/>
        <v>0</v>
      </c>
      <c r="MB11" s="63">
        <f t="shared" si="131"/>
        <v>5.0999999999999996</v>
      </c>
      <c r="MC11" s="63">
        <f t="shared" si="132"/>
        <v>4.2249999999999996</v>
      </c>
      <c r="MD11" s="63">
        <f t="shared" si="133"/>
        <v>6.9</v>
      </c>
      <c r="ME11" s="63">
        <f t="shared" si="134"/>
        <v>7.8025000000000002</v>
      </c>
      <c r="MF11" s="63">
        <f t="shared" si="135"/>
        <v>0</v>
      </c>
      <c r="MG11" s="63">
        <f t="shared" si="136"/>
        <v>7.05</v>
      </c>
      <c r="MH11" s="63">
        <f t="shared" si="137"/>
        <v>4.25</v>
      </c>
      <c r="MI11" s="63">
        <f t="shared" si="138"/>
        <v>6.35</v>
      </c>
      <c r="MJ11" s="63">
        <f t="shared" si="139"/>
        <v>7.9</v>
      </c>
      <c r="MK11" s="63">
        <f t="shared" si="140"/>
        <v>0</v>
      </c>
      <c r="ML11" s="74" t="s">
        <v>119</v>
      </c>
      <c r="MM11" s="12">
        <f t="shared" si="141"/>
        <v>6.9</v>
      </c>
      <c r="MN11" s="12">
        <f t="shared" si="142"/>
        <v>22.912500000000001</v>
      </c>
      <c r="MO11" s="12">
        <f t="shared" si="143"/>
        <v>24.027500000000003</v>
      </c>
      <c r="MP11" s="12">
        <f t="shared" si="144"/>
        <v>46.940000000000005</v>
      </c>
      <c r="MQ11" s="12">
        <f t="shared" si="145"/>
        <v>6.35</v>
      </c>
      <c r="MR11" s="12">
        <f t="shared" si="146"/>
        <v>25.549999999999997</v>
      </c>
      <c r="MS11" s="12">
        <f t="shared" si="147"/>
        <v>72.490000000000009</v>
      </c>
    </row>
    <row r="12" spans="1:357" x14ac:dyDescent="0.2">
      <c r="A12" s="6">
        <f t="shared" si="0"/>
        <v>5</v>
      </c>
      <c r="B12" s="7" t="s">
        <v>83</v>
      </c>
      <c r="C12" s="8" t="s">
        <v>4</v>
      </c>
      <c r="D12" s="6">
        <v>2002</v>
      </c>
      <c r="E12" s="16">
        <f t="shared" si="1"/>
        <v>251.98499999999999</v>
      </c>
      <c r="F12" s="4" t="str">
        <f t="shared" si="123"/>
        <v/>
      </c>
      <c r="G12" s="4" t="str">
        <f t="shared" si="124"/>
        <v/>
      </c>
      <c r="H12" s="4" t="str">
        <f t="shared" si="2"/>
        <v>P</v>
      </c>
      <c r="I12" t="str">
        <f t="shared" si="125"/>
        <v>No DD</v>
      </c>
      <c r="J12" s="15">
        <f t="shared" si="3"/>
        <v>98.86</v>
      </c>
      <c r="K12" s="15" t="str">
        <f t="shared" si="4"/>
        <v>2018 Nationals</v>
      </c>
      <c r="L12" s="15">
        <f t="shared" si="5"/>
        <v>46.325000000000003</v>
      </c>
      <c r="M12" s="15" t="str">
        <f t="shared" si="6"/>
        <v>2019 Elite Canada</v>
      </c>
      <c r="N12" s="15">
        <f t="shared" si="7"/>
        <v>16.64</v>
      </c>
      <c r="O12" s="15" t="str">
        <f t="shared" si="8"/>
        <v>2019 Elite Canada</v>
      </c>
      <c r="P12" s="15">
        <f t="shared" si="9"/>
        <v>54.599999999999994</v>
      </c>
      <c r="Q12" s="15" t="str">
        <f t="shared" si="10"/>
        <v>2018 Nationals</v>
      </c>
      <c r="R12" s="15">
        <f t="shared" si="11"/>
        <v>35.56</v>
      </c>
      <c r="S12" s="25" t="str">
        <f t="shared" si="12"/>
        <v>(Vol 2)</v>
      </c>
      <c r="T12" s="15" t="str">
        <f t="shared" si="13"/>
        <v>2018 World Age Groups (Nov 18)</v>
      </c>
      <c r="U12" s="63">
        <v>17.3</v>
      </c>
      <c r="V12" s="63">
        <v>9.25</v>
      </c>
      <c r="W12" s="63">
        <v>3.1</v>
      </c>
      <c r="X12" s="63">
        <v>16.245000000000001</v>
      </c>
      <c r="Y12" s="63">
        <v>0</v>
      </c>
      <c r="Z12" s="63">
        <v>15.8</v>
      </c>
      <c r="AA12" s="63">
        <v>9.35</v>
      </c>
      <c r="AB12" s="63">
        <v>12</v>
      </c>
      <c r="AC12" s="63">
        <v>15.815</v>
      </c>
      <c r="AD12" s="63">
        <v>0</v>
      </c>
      <c r="AE12" s="63">
        <v>16.899999999999999</v>
      </c>
      <c r="AF12" s="63">
        <v>9.4499999999999993</v>
      </c>
      <c r="AG12" s="63">
        <v>12.2</v>
      </c>
      <c r="AH12" s="63">
        <v>16.05</v>
      </c>
      <c r="AI12" s="63">
        <v>0</v>
      </c>
      <c r="AJ12" s="74"/>
      <c r="AK12" s="12">
        <f t="shared" si="14"/>
        <v>12</v>
      </c>
      <c r="AL12" s="12">
        <f t="shared" si="15"/>
        <v>45.895000000000003</v>
      </c>
      <c r="AM12" s="12">
        <f t="shared" si="16"/>
        <v>52.964999999999996</v>
      </c>
      <c r="AN12" s="12">
        <f t="shared" si="17"/>
        <v>98.86</v>
      </c>
      <c r="AO12" s="12">
        <f t="shared" si="18"/>
        <v>12.2</v>
      </c>
      <c r="AP12" s="12">
        <f t="shared" si="19"/>
        <v>54.599999999999994</v>
      </c>
      <c r="AQ12" s="12">
        <f t="shared" si="20"/>
        <v>153.45999999999998</v>
      </c>
      <c r="AR12" s="69">
        <v>17.100000000000001</v>
      </c>
      <c r="AS12" s="69">
        <v>8.9499999999999993</v>
      </c>
      <c r="AT12" s="69">
        <v>4</v>
      </c>
      <c r="AU12" s="69">
        <v>16.274999999999999</v>
      </c>
      <c r="AV12" s="69">
        <v>0</v>
      </c>
      <c r="AW12" s="69">
        <v>4.5</v>
      </c>
      <c r="AX12" s="69">
        <v>2.5</v>
      </c>
      <c r="AY12" s="69">
        <v>4.5999999999999996</v>
      </c>
      <c r="AZ12" s="69">
        <v>5.04</v>
      </c>
      <c r="BA12" s="69">
        <v>0</v>
      </c>
      <c r="BB12" s="69"/>
      <c r="BC12" s="69"/>
      <c r="BD12" s="69"/>
      <c r="BE12" s="69"/>
      <c r="BF12" s="69"/>
      <c r="BG12" s="75"/>
      <c r="BH12" s="15">
        <f t="shared" si="21"/>
        <v>4.5999999999999996</v>
      </c>
      <c r="BI12" s="15">
        <f t="shared" si="22"/>
        <v>46.325000000000003</v>
      </c>
      <c r="BJ12" s="15">
        <f t="shared" si="23"/>
        <v>16.64</v>
      </c>
      <c r="BK12" s="15">
        <f t="shared" si="24"/>
        <v>62.965000000000003</v>
      </c>
      <c r="BL12" s="15" t="str">
        <f t="shared" si="25"/>
        <v/>
      </c>
      <c r="BM12" s="15" t="str">
        <f t="shared" si="26"/>
        <v/>
      </c>
      <c r="BN12" s="15">
        <f t="shared" si="27"/>
        <v>62.965000000000003</v>
      </c>
      <c r="BO12" s="24" t="str">
        <f t="shared" si="28"/>
        <v/>
      </c>
      <c r="BP12" s="24">
        <f t="shared" si="29"/>
        <v>35.56</v>
      </c>
      <c r="BQ12" s="24" t="str">
        <f t="shared" si="30"/>
        <v/>
      </c>
      <c r="BR12" s="24" t="str">
        <f t="shared" si="31"/>
        <v/>
      </c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12" t="str">
        <f t="shared" si="32"/>
        <v/>
      </c>
      <c r="CI12" s="12" t="str">
        <f t="shared" si="33"/>
        <v/>
      </c>
      <c r="CJ12" s="12" t="str">
        <f t="shared" si="34"/>
        <v/>
      </c>
      <c r="CK12" s="12" t="str">
        <f t="shared" si="35"/>
        <v/>
      </c>
      <c r="CL12" s="12" t="str">
        <f t="shared" si="36"/>
        <v/>
      </c>
      <c r="CM12" s="12" t="str">
        <f t="shared" si="37"/>
        <v/>
      </c>
      <c r="CN12" s="12" t="str">
        <f t="shared" si="38"/>
        <v/>
      </c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15" t="str">
        <f t="shared" si="39"/>
        <v/>
      </c>
      <c r="DE12" s="15" t="str">
        <f t="shared" si="40"/>
        <v/>
      </c>
      <c r="DF12" s="15" t="str">
        <f t="shared" si="41"/>
        <v/>
      </c>
      <c r="DG12" s="15" t="str">
        <f t="shared" si="42"/>
        <v/>
      </c>
      <c r="DH12" s="15" t="str">
        <f t="shared" si="43"/>
        <v/>
      </c>
      <c r="DI12" s="15" t="str">
        <f t="shared" si="44"/>
        <v/>
      </c>
      <c r="DJ12" s="15" t="str">
        <f t="shared" si="45"/>
        <v/>
      </c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12" t="str">
        <f t="shared" si="46"/>
        <v/>
      </c>
      <c r="EA12" s="12" t="str">
        <f t="shared" si="47"/>
        <v/>
      </c>
      <c r="EB12" s="12" t="str">
        <f t="shared" si="48"/>
        <v/>
      </c>
      <c r="EC12" s="12" t="str">
        <f t="shared" si="49"/>
        <v/>
      </c>
      <c r="ED12" s="12" t="str">
        <f t="shared" si="50"/>
        <v/>
      </c>
      <c r="EE12" s="12" t="str">
        <f t="shared" si="51"/>
        <v/>
      </c>
      <c r="EF12" s="12" t="str">
        <f t="shared" si="52"/>
        <v/>
      </c>
      <c r="EG12" s="37">
        <v>16.2</v>
      </c>
      <c r="EH12" s="37">
        <v>8.8000000000000007</v>
      </c>
      <c r="EI12" s="37">
        <v>0</v>
      </c>
      <c r="EJ12" s="37">
        <v>16.425000000000001</v>
      </c>
      <c r="EK12" s="37">
        <v>0</v>
      </c>
      <c r="EL12" s="37">
        <v>15</v>
      </c>
      <c r="EM12" s="37">
        <v>9.3000000000000007</v>
      </c>
      <c r="EN12" s="37">
        <v>12.3</v>
      </c>
      <c r="EO12" s="37">
        <v>15.6</v>
      </c>
      <c r="EP12" s="37">
        <v>0</v>
      </c>
      <c r="EQ12" s="37"/>
      <c r="ER12" s="37"/>
      <c r="ES12" s="37"/>
      <c r="ET12" s="37"/>
      <c r="EU12" s="37"/>
      <c r="EV12" s="15">
        <f t="shared" si="53"/>
        <v>12.3</v>
      </c>
      <c r="EW12" s="15">
        <f t="shared" si="54"/>
        <v>41.424999999999997</v>
      </c>
      <c r="EX12" s="15">
        <f t="shared" si="55"/>
        <v>52.2</v>
      </c>
      <c r="EY12" s="15">
        <f t="shared" si="56"/>
        <v>93.625</v>
      </c>
      <c r="EZ12" s="15" t="str">
        <f t="shared" si="57"/>
        <v/>
      </c>
      <c r="FA12" s="15" t="str">
        <f t="shared" si="58"/>
        <v/>
      </c>
      <c r="FB12" s="15">
        <f t="shared" si="59"/>
        <v>93.625</v>
      </c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12" t="str">
        <f t="shared" si="60"/>
        <v/>
      </c>
      <c r="FS12" s="12" t="str">
        <f t="shared" si="61"/>
        <v/>
      </c>
      <c r="FT12" s="12" t="str">
        <f t="shared" si="62"/>
        <v/>
      </c>
      <c r="FU12" s="12" t="str">
        <f t="shared" si="63"/>
        <v/>
      </c>
      <c r="FV12" s="12" t="str">
        <f t="shared" si="64"/>
        <v/>
      </c>
      <c r="FW12" s="12" t="str">
        <f t="shared" si="65"/>
        <v/>
      </c>
      <c r="FX12" s="12" t="str">
        <f t="shared" si="66"/>
        <v/>
      </c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15" t="str">
        <f t="shared" si="67"/>
        <v/>
      </c>
      <c r="GO12" s="15" t="str">
        <f t="shared" si="68"/>
        <v/>
      </c>
      <c r="GP12" s="15" t="str">
        <f t="shared" si="69"/>
        <v/>
      </c>
      <c r="GQ12" s="15" t="str">
        <f t="shared" si="70"/>
        <v/>
      </c>
      <c r="GR12" s="15" t="str">
        <f t="shared" si="71"/>
        <v/>
      </c>
      <c r="GS12" s="15" t="str">
        <f t="shared" si="72"/>
        <v/>
      </c>
      <c r="GT12" s="15" t="str">
        <f t="shared" si="73"/>
        <v/>
      </c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12" t="str">
        <f t="shared" si="74"/>
        <v/>
      </c>
      <c r="HK12" s="12" t="str">
        <f t="shared" si="75"/>
        <v/>
      </c>
      <c r="HL12" s="12" t="str">
        <f t="shared" si="76"/>
        <v/>
      </c>
      <c r="HM12" s="12" t="str">
        <f t="shared" si="77"/>
        <v/>
      </c>
      <c r="HN12" s="12" t="str">
        <f t="shared" si="78"/>
        <v/>
      </c>
      <c r="HO12" s="12" t="str">
        <f t="shared" si="79"/>
        <v/>
      </c>
      <c r="HP12" s="12" t="str">
        <f t="shared" si="80"/>
        <v/>
      </c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15" t="str">
        <f t="shared" si="81"/>
        <v/>
      </c>
      <c r="IG12" s="15" t="str">
        <f t="shared" si="82"/>
        <v/>
      </c>
      <c r="IH12" s="15" t="str">
        <f t="shared" si="83"/>
        <v/>
      </c>
      <c r="II12" s="15" t="str">
        <f t="shared" si="84"/>
        <v/>
      </c>
      <c r="IJ12" s="15" t="str">
        <f t="shared" si="85"/>
        <v/>
      </c>
      <c r="IK12" s="15" t="str">
        <f t="shared" si="86"/>
        <v/>
      </c>
      <c r="IL12" s="15" t="str">
        <f t="shared" si="87"/>
        <v/>
      </c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12" t="str">
        <f t="shared" si="88"/>
        <v/>
      </c>
      <c r="JC12" s="12" t="str">
        <f t="shared" si="89"/>
        <v/>
      </c>
      <c r="JD12" s="12" t="str">
        <f t="shared" si="90"/>
        <v/>
      </c>
      <c r="JE12" s="12" t="str">
        <f t="shared" si="91"/>
        <v/>
      </c>
      <c r="JF12" s="12" t="str">
        <f t="shared" si="92"/>
        <v/>
      </c>
      <c r="JG12" s="12" t="str">
        <f t="shared" si="93"/>
        <v/>
      </c>
      <c r="JH12" s="12" t="str">
        <f t="shared" si="94"/>
        <v/>
      </c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15" t="str">
        <f t="shared" si="95"/>
        <v/>
      </c>
      <c r="JY12" s="15" t="str">
        <f t="shared" si="96"/>
        <v/>
      </c>
      <c r="JZ12" s="15" t="str">
        <f t="shared" si="97"/>
        <v/>
      </c>
      <c r="KA12" s="15" t="str">
        <f t="shared" si="98"/>
        <v/>
      </c>
      <c r="KB12" s="15" t="str">
        <f t="shared" si="99"/>
        <v/>
      </c>
      <c r="KC12" s="15" t="str">
        <f t="shared" si="100"/>
        <v/>
      </c>
      <c r="KD12" s="15" t="str">
        <f t="shared" si="101"/>
        <v/>
      </c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12" t="str">
        <f t="shared" si="102"/>
        <v/>
      </c>
      <c r="KU12" s="12" t="str">
        <f t="shared" si="103"/>
        <v/>
      </c>
      <c r="KV12" s="12" t="str">
        <f t="shared" si="104"/>
        <v/>
      </c>
      <c r="KW12" s="12" t="str">
        <f t="shared" si="105"/>
        <v/>
      </c>
      <c r="KX12" s="12" t="str">
        <f t="shared" si="106"/>
        <v/>
      </c>
      <c r="KY12" s="12" t="str">
        <f t="shared" si="107"/>
        <v/>
      </c>
      <c r="KZ12" s="12" t="str">
        <f t="shared" si="108"/>
        <v/>
      </c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15" t="str">
        <f t="shared" si="109"/>
        <v/>
      </c>
      <c r="LQ12" s="15" t="str">
        <f t="shared" si="110"/>
        <v/>
      </c>
      <c r="LR12" s="15" t="str">
        <f t="shared" si="111"/>
        <v/>
      </c>
      <c r="LS12" s="15" t="str">
        <f t="shared" si="112"/>
        <v/>
      </c>
      <c r="LT12" s="15" t="str">
        <f t="shared" si="113"/>
        <v/>
      </c>
      <c r="LU12" s="15" t="str">
        <f t="shared" si="114"/>
        <v/>
      </c>
      <c r="LV12" s="15" t="str">
        <f t="shared" si="115"/>
        <v/>
      </c>
      <c r="LW12" s="63">
        <f t="shared" si="126"/>
        <v>17.200000000000003</v>
      </c>
      <c r="LX12" s="63">
        <f t="shared" si="127"/>
        <v>9.1</v>
      </c>
      <c r="LY12" s="63">
        <f t="shared" si="128"/>
        <v>3.55</v>
      </c>
      <c r="LZ12" s="63">
        <f t="shared" si="129"/>
        <v>16.259999999999998</v>
      </c>
      <c r="MA12" s="63">
        <f t="shared" si="130"/>
        <v>0</v>
      </c>
      <c r="MB12" s="63">
        <f t="shared" si="131"/>
        <v>10.15</v>
      </c>
      <c r="MC12" s="63">
        <f t="shared" si="132"/>
        <v>5.9249999999999998</v>
      </c>
      <c r="MD12" s="63">
        <f t="shared" si="133"/>
        <v>8.3000000000000007</v>
      </c>
      <c r="ME12" s="63">
        <f t="shared" si="134"/>
        <v>10.4275</v>
      </c>
      <c r="MF12" s="63">
        <f t="shared" si="135"/>
        <v>0</v>
      </c>
      <c r="MG12" s="63">
        <f t="shared" si="136"/>
        <v>8.4499999999999993</v>
      </c>
      <c r="MH12" s="63">
        <f t="shared" si="137"/>
        <v>4.7249999999999996</v>
      </c>
      <c r="MI12" s="63">
        <f t="shared" si="138"/>
        <v>6.1</v>
      </c>
      <c r="MJ12" s="63">
        <f t="shared" si="139"/>
        <v>8.0250000000000004</v>
      </c>
      <c r="MK12" s="63">
        <f t="shared" si="140"/>
        <v>0</v>
      </c>
      <c r="ML12" s="74" t="s">
        <v>119</v>
      </c>
      <c r="MM12" s="12">
        <f t="shared" si="141"/>
        <v>8.3000000000000007</v>
      </c>
      <c r="MN12" s="12">
        <f t="shared" si="142"/>
        <v>46.11</v>
      </c>
      <c r="MO12" s="12">
        <f t="shared" si="143"/>
        <v>34.802500000000002</v>
      </c>
      <c r="MP12" s="12">
        <f t="shared" si="144"/>
        <v>80.912499999999994</v>
      </c>
      <c r="MQ12" s="12">
        <f t="shared" si="145"/>
        <v>6.1</v>
      </c>
      <c r="MR12" s="12">
        <f t="shared" si="146"/>
        <v>27.299999999999997</v>
      </c>
      <c r="MS12" s="12">
        <f t="shared" si="147"/>
        <v>108.21249999999999</v>
      </c>
    </row>
    <row r="13" spans="1:357" x14ac:dyDescent="0.2">
      <c r="A13" s="6" t="str">
        <f t="shared" si="0"/>
        <v/>
      </c>
      <c r="B13" s="7" t="s">
        <v>92</v>
      </c>
      <c r="C13" s="8" t="s">
        <v>4</v>
      </c>
      <c r="D13" s="6">
        <v>2001</v>
      </c>
      <c r="E13" s="16">
        <f t="shared" si="1"/>
        <v>241.10499999999999</v>
      </c>
      <c r="F13" s="4" t="str">
        <f t="shared" si="123"/>
        <v/>
      </c>
      <c r="G13" s="4" t="str">
        <f t="shared" si="124"/>
        <v/>
      </c>
      <c r="H13" s="4" t="str">
        <f t="shared" si="2"/>
        <v/>
      </c>
      <c r="I13" t="str">
        <f t="shared" si="125"/>
        <v/>
      </c>
      <c r="J13" s="15">
        <f t="shared" si="3"/>
        <v>95.46</v>
      </c>
      <c r="K13" s="15" t="str">
        <f t="shared" si="4"/>
        <v>2019 Elite Canada</v>
      </c>
      <c r="L13" s="15">
        <f t="shared" si="5"/>
        <v>43.75</v>
      </c>
      <c r="M13" s="15" t="str">
        <f t="shared" si="6"/>
        <v>2018 Nationals</v>
      </c>
      <c r="N13" s="15">
        <f t="shared" si="7"/>
        <v>49.735000000000007</v>
      </c>
      <c r="O13" s="15" t="str">
        <f t="shared" si="8"/>
        <v>2018 Nationals</v>
      </c>
      <c r="P13" s="15">
        <f t="shared" si="9"/>
        <v>52.16</v>
      </c>
      <c r="Q13" s="15" t="str">
        <f t="shared" si="10"/>
        <v>2019 Elite Canada</v>
      </c>
      <c r="R13" s="15" t="str">
        <f t="shared" si="11"/>
        <v/>
      </c>
      <c r="S13" s="25" t="str">
        <f t="shared" si="12"/>
        <v/>
      </c>
      <c r="T13" s="15" t="str">
        <f t="shared" si="13"/>
        <v/>
      </c>
      <c r="U13" s="63">
        <v>14.7</v>
      </c>
      <c r="V13" s="63">
        <v>9.4499999999999993</v>
      </c>
      <c r="W13" s="63">
        <v>4</v>
      </c>
      <c r="X13" s="63">
        <v>15.6</v>
      </c>
      <c r="Y13" s="63">
        <v>0</v>
      </c>
      <c r="Z13" s="63">
        <v>12.8</v>
      </c>
      <c r="AA13" s="63">
        <v>8.9</v>
      </c>
      <c r="AB13" s="63">
        <v>12.7</v>
      </c>
      <c r="AC13" s="63">
        <v>15.335000000000001</v>
      </c>
      <c r="AD13" s="63">
        <v>0</v>
      </c>
      <c r="AE13" s="63"/>
      <c r="AF13" s="63"/>
      <c r="AG13" s="63"/>
      <c r="AH13" s="63"/>
      <c r="AI13" s="63"/>
      <c r="AJ13" s="74"/>
      <c r="AK13" s="12">
        <f t="shared" si="14"/>
        <v>12.7</v>
      </c>
      <c r="AL13" s="12">
        <f t="shared" si="15"/>
        <v>43.75</v>
      </c>
      <c r="AM13" s="12">
        <f t="shared" si="16"/>
        <v>49.735000000000007</v>
      </c>
      <c r="AN13" s="12">
        <f t="shared" si="17"/>
        <v>93.485000000000014</v>
      </c>
      <c r="AO13" s="12" t="str">
        <f t="shared" si="18"/>
        <v/>
      </c>
      <c r="AP13" s="12" t="str">
        <f t="shared" si="19"/>
        <v/>
      </c>
      <c r="AQ13" s="12">
        <f t="shared" si="20"/>
        <v>93.485000000000014</v>
      </c>
      <c r="AR13" s="69">
        <v>15.3</v>
      </c>
      <c r="AS13" s="69">
        <v>9</v>
      </c>
      <c r="AT13" s="69">
        <v>3.5</v>
      </c>
      <c r="AU13" s="69">
        <v>15.86</v>
      </c>
      <c r="AV13" s="69">
        <v>0</v>
      </c>
      <c r="AW13" s="69">
        <v>15.2</v>
      </c>
      <c r="AX13" s="69">
        <v>9.0500000000000007</v>
      </c>
      <c r="AY13" s="69">
        <v>12</v>
      </c>
      <c r="AZ13" s="69">
        <v>15.55</v>
      </c>
      <c r="BA13" s="69">
        <v>0</v>
      </c>
      <c r="BB13" s="69">
        <v>15</v>
      </c>
      <c r="BC13" s="69">
        <v>9.25</v>
      </c>
      <c r="BD13" s="69">
        <v>12</v>
      </c>
      <c r="BE13" s="69">
        <v>15.91</v>
      </c>
      <c r="BF13" s="69">
        <v>0</v>
      </c>
      <c r="BG13" s="75"/>
      <c r="BH13" s="15">
        <f t="shared" si="21"/>
        <v>12</v>
      </c>
      <c r="BI13" s="15">
        <f t="shared" si="22"/>
        <v>43.66</v>
      </c>
      <c r="BJ13" s="15">
        <f t="shared" si="23"/>
        <v>51.8</v>
      </c>
      <c r="BK13" s="15">
        <f t="shared" si="24"/>
        <v>95.46</v>
      </c>
      <c r="BL13" s="15">
        <f t="shared" si="25"/>
        <v>12</v>
      </c>
      <c r="BM13" s="15">
        <f t="shared" si="26"/>
        <v>52.16</v>
      </c>
      <c r="BN13" s="15">
        <f t="shared" si="27"/>
        <v>147.62</v>
      </c>
      <c r="BO13" s="24" t="str">
        <f t="shared" si="28"/>
        <v/>
      </c>
      <c r="BP13" s="24" t="str">
        <f t="shared" si="29"/>
        <v/>
      </c>
      <c r="BQ13" s="24" t="str">
        <f t="shared" si="30"/>
        <v/>
      </c>
      <c r="BR13" s="24" t="str">
        <f t="shared" si="31"/>
        <v/>
      </c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12" t="str">
        <f t="shared" si="32"/>
        <v/>
      </c>
      <c r="CI13" s="12" t="str">
        <f t="shared" si="33"/>
        <v/>
      </c>
      <c r="CJ13" s="12" t="str">
        <f t="shared" si="34"/>
        <v/>
      </c>
      <c r="CK13" s="12" t="str">
        <f t="shared" si="35"/>
        <v/>
      </c>
      <c r="CL13" s="12" t="str">
        <f t="shared" si="36"/>
        <v/>
      </c>
      <c r="CM13" s="12" t="str">
        <f t="shared" si="37"/>
        <v/>
      </c>
      <c r="CN13" s="12" t="str">
        <f t="shared" si="38"/>
        <v/>
      </c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15" t="str">
        <f t="shared" si="39"/>
        <v/>
      </c>
      <c r="DE13" s="15" t="str">
        <f t="shared" si="40"/>
        <v/>
      </c>
      <c r="DF13" s="15" t="str">
        <f t="shared" si="41"/>
        <v/>
      </c>
      <c r="DG13" s="15" t="str">
        <f t="shared" si="42"/>
        <v/>
      </c>
      <c r="DH13" s="15" t="str">
        <f t="shared" si="43"/>
        <v/>
      </c>
      <c r="DI13" s="15" t="str">
        <f t="shared" si="44"/>
        <v/>
      </c>
      <c r="DJ13" s="15" t="str">
        <f t="shared" si="45"/>
        <v/>
      </c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12" t="str">
        <f t="shared" si="46"/>
        <v/>
      </c>
      <c r="EA13" s="12" t="str">
        <f t="shared" si="47"/>
        <v/>
      </c>
      <c r="EB13" s="12" t="str">
        <f t="shared" si="48"/>
        <v/>
      </c>
      <c r="EC13" s="12" t="str">
        <f t="shared" si="49"/>
        <v/>
      </c>
      <c r="ED13" s="12" t="str">
        <f t="shared" si="50"/>
        <v/>
      </c>
      <c r="EE13" s="12" t="str">
        <f t="shared" si="51"/>
        <v/>
      </c>
      <c r="EF13" s="12" t="str">
        <f t="shared" si="52"/>
        <v/>
      </c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15" t="str">
        <f t="shared" si="53"/>
        <v/>
      </c>
      <c r="EW13" s="15" t="str">
        <f t="shared" si="54"/>
        <v/>
      </c>
      <c r="EX13" s="15" t="str">
        <f t="shared" si="55"/>
        <v/>
      </c>
      <c r="EY13" s="15" t="str">
        <f t="shared" si="56"/>
        <v/>
      </c>
      <c r="EZ13" s="15" t="str">
        <f t="shared" si="57"/>
        <v/>
      </c>
      <c r="FA13" s="15" t="str">
        <f t="shared" si="58"/>
        <v/>
      </c>
      <c r="FB13" s="15" t="str">
        <f t="shared" si="59"/>
        <v/>
      </c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12" t="str">
        <f t="shared" si="60"/>
        <v/>
      </c>
      <c r="FS13" s="12" t="str">
        <f t="shared" si="61"/>
        <v/>
      </c>
      <c r="FT13" s="12" t="str">
        <f t="shared" si="62"/>
        <v/>
      </c>
      <c r="FU13" s="12" t="str">
        <f t="shared" si="63"/>
        <v/>
      </c>
      <c r="FV13" s="12" t="str">
        <f t="shared" si="64"/>
        <v/>
      </c>
      <c r="FW13" s="12" t="str">
        <f t="shared" si="65"/>
        <v/>
      </c>
      <c r="FX13" s="12" t="str">
        <f t="shared" si="66"/>
        <v/>
      </c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15" t="str">
        <f t="shared" si="67"/>
        <v/>
      </c>
      <c r="GO13" s="15" t="str">
        <f t="shared" si="68"/>
        <v/>
      </c>
      <c r="GP13" s="15" t="str">
        <f t="shared" si="69"/>
        <v/>
      </c>
      <c r="GQ13" s="15" t="str">
        <f t="shared" si="70"/>
        <v/>
      </c>
      <c r="GR13" s="15" t="str">
        <f t="shared" si="71"/>
        <v/>
      </c>
      <c r="GS13" s="15" t="str">
        <f t="shared" si="72"/>
        <v/>
      </c>
      <c r="GT13" s="15" t="str">
        <f t="shared" si="73"/>
        <v/>
      </c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12" t="str">
        <f t="shared" si="74"/>
        <v/>
      </c>
      <c r="HK13" s="12" t="str">
        <f t="shared" si="75"/>
        <v/>
      </c>
      <c r="HL13" s="12" t="str">
        <f t="shared" si="76"/>
        <v/>
      </c>
      <c r="HM13" s="12" t="str">
        <f t="shared" si="77"/>
        <v/>
      </c>
      <c r="HN13" s="12" t="str">
        <f t="shared" si="78"/>
        <v/>
      </c>
      <c r="HO13" s="12" t="str">
        <f t="shared" si="79"/>
        <v/>
      </c>
      <c r="HP13" s="12" t="str">
        <f t="shared" si="80"/>
        <v/>
      </c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15" t="str">
        <f t="shared" si="81"/>
        <v/>
      </c>
      <c r="IG13" s="15" t="str">
        <f t="shared" si="82"/>
        <v/>
      </c>
      <c r="IH13" s="15" t="str">
        <f t="shared" si="83"/>
        <v/>
      </c>
      <c r="II13" s="15" t="str">
        <f t="shared" si="84"/>
        <v/>
      </c>
      <c r="IJ13" s="15" t="str">
        <f t="shared" si="85"/>
        <v/>
      </c>
      <c r="IK13" s="15" t="str">
        <f t="shared" si="86"/>
        <v/>
      </c>
      <c r="IL13" s="15" t="str">
        <f t="shared" si="87"/>
        <v/>
      </c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12" t="str">
        <f t="shared" si="88"/>
        <v/>
      </c>
      <c r="JC13" s="12" t="str">
        <f t="shared" si="89"/>
        <v/>
      </c>
      <c r="JD13" s="12" t="str">
        <f t="shared" si="90"/>
        <v/>
      </c>
      <c r="JE13" s="12" t="str">
        <f t="shared" si="91"/>
        <v/>
      </c>
      <c r="JF13" s="12" t="str">
        <f t="shared" si="92"/>
        <v/>
      </c>
      <c r="JG13" s="12" t="str">
        <f t="shared" si="93"/>
        <v/>
      </c>
      <c r="JH13" s="12" t="str">
        <f t="shared" si="94"/>
        <v/>
      </c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15" t="str">
        <f t="shared" si="95"/>
        <v/>
      </c>
      <c r="JY13" s="15" t="str">
        <f t="shared" si="96"/>
        <v/>
      </c>
      <c r="JZ13" s="15" t="str">
        <f t="shared" si="97"/>
        <v/>
      </c>
      <c r="KA13" s="15" t="str">
        <f t="shared" si="98"/>
        <v/>
      </c>
      <c r="KB13" s="15" t="str">
        <f t="shared" si="99"/>
        <v/>
      </c>
      <c r="KC13" s="15" t="str">
        <f t="shared" si="100"/>
        <v/>
      </c>
      <c r="KD13" s="15" t="str">
        <f t="shared" si="101"/>
        <v/>
      </c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12" t="str">
        <f t="shared" si="102"/>
        <v/>
      </c>
      <c r="KU13" s="12" t="str">
        <f t="shared" si="103"/>
        <v/>
      </c>
      <c r="KV13" s="12" t="str">
        <f t="shared" si="104"/>
        <v/>
      </c>
      <c r="KW13" s="12" t="str">
        <f t="shared" si="105"/>
        <v/>
      </c>
      <c r="KX13" s="12" t="str">
        <f t="shared" si="106"/>
        <v/>
      </c>
      <c r="KY13" s="12" t="str">
        <f t="shared" si="107"/>
        <v/>
      </c>
      <c r="KZ13" s="12" t="str">
        <f t="shared" si="108"/>
        <v/>
      </c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15" t="str">
        <f t="shared" si="109"/>
        <v/>
      </c>
      <c r="LQ13" s="15" t="str">
        <f t="shared" si="110"/>
        <v/>
      </c>
      <c r="LR13" s="15" t="str">
        <f t="shared" si="111"/>
        <v/>
      </c>
      <c r="LS13" s="15" t="str">
        <f t="shared" si="112"/>
        <v/>
      </c>
      <c r="LT13" s="15" t="str">
        <f t="shared" si="113"/>
        <v/>
      </c>
      <c r="LU13" s="15" t="str">
        <f t="shared" si="114"/>
        <v/>
      </c>
      <c r="LV13" s="15" t="str">
        <f t="shared" si="115"/>
        <v/>
      </c>
      <c r="LW13" s="63">
        <f t="shared" si="126"/>
        <v>15</v>
      </c>
      <c r="LX13" s="63">
        <f t="shared" si="127"/>
        <v>9.2249999999999996</v>
      </c>
      <c r="LY13" s="63">
        <f t="shared" si="128"/>
        <v>3.75</v>
      </c>
      <c r="LZ13" s="63">
        <f t="shared" si="129"/>
        <v>15.73</v>
      </c>
      <c r="MA13" s="63">
        <f t="shared" si="130"/>
        <v>0</v>
      </c>
      <c r="MB13" s="63">
        <f t="shared" si="131"/>
        <v>14</v>
      </c>
      <c r="MC13" s="63">
        <f t="shared" si="132"/>
        <v>8.9750000000000014</v>
      </c>
      <c r="MD13" s="63">
        <f t="shared" si="133"/>
        <v>12.35</v>
      </c>
      <c r="ME13" s="63">
        <f t="shared" si="134"/>
        <v>15.442500000000001</v>
      </c>
      <c r="MF13" s="63">
        <f t="shared" si="135"/>
        <v>0</v>
      </c>
      <c r="MG13" s="63">
        <f t="shared" si="136"/>
        <v>7.5</v>
      </c>
      <c r="MH13" s="63">
        <f t="shared" si="137"/>
        <v>4.625</v>
      </c>
      <c r="MI13" s="63">
        <f t="shared" si="138"/>
        <v>6</v>
      </c>
      <c r="MJ13" s="63">
        <f t="shared" si="139"/>
        <v>7.9550000000000001</v>
      </c>
      <c r="MK13" s="63">
        <f t="shared" si="140"/>
        <v>0</v>
      </c>
      <c r="ML13" s="74" t="s">
        <v>119</v>
      </c>
      <c r="MM13" s="12">
        <f t="shared" si="141"/>
        <v>12.35</v>
      </c>
      <c r="MN13" s="12">
        <f t="shared" si="142"/>
        <v>43.704999999999998</v>
      </c>
      <c r="MO13" s="12">
        <f t="shared" si="143"/>
        <v>50.767500000000005</v>
      </c>
      <c r="MP13" s="12">
        <f t="shared" si="144"/>
        <v>94.472499999999997</v>
      </c>
      <c r="MQ13" s="12">
        <f t="shared" si="145"/>
        <v>6</v>
      </c>
      <c r="MR13" s="12">
        <f t="shared" si="146"/>
        <v>26.08</v>
      </c>
      <c r="MS13" s="12">
        <f t="shared" si="147"/>
        <v>120.55249999999999</v>
      </c>
    </row>
    <row r="14" spans="1:357" x14ac:dyDescent="0.2">
      <c r="A14" s="6" t="str">
        <f t="shared" si="0"/>
        <v/>
      </c>
      <c r="B14" s="7" t="s">
        <v>114</v>
      </c>
      <c r="C14" s="8" t="s">
        <v>3</v>
      </c>
      <c r="D14" s="27">
        <v>2003</v>
      </c>
      <c r="E14" s="16">
        <f t="shared" si="1"/>
        <v>232.87499999999997</v>
      </c>
      <c r="F14" s="4" t="str">
        <f t="shared" si="123"/>
        <v/>
      </c>
      <c r="G14" s="4" t="str">
        <f t="shared" si="124"/>
        <v/>
      </c>
      <c r="H14" s="4" t="str">
        <f t="shared" si="2"/>
        <v/>
      </c>
      <c r="I14" t="str">
        <f t="shared" si="125"/>
        <v/>
      </c>
      <c r="J14" s="15">
        <f t="shared" si="3"/>
        <v>92.52</v>
      </c>
      <c r="K14" s="15" t="str">
        <f t="shared" si="4"/>
        <v>2018 Nationals</v>
      </c>
      <c r="L14" s="15">
        <f t="shared" si="5"/>
        <v>44.4</v>
      </c>
      <c r="M14" s="15" t="str">
        <f t="shared" si="6"/>
        <v>2019 Elite Canada</v>
      </c>
      <c r="N14" s="15">
        <f t="shared" si="7"/>
        <v>45.569999999999993</v>
      </c>
      <c r="O14" s="15" t="str">
        <f t="shared" si="8"/>
        <v>2019 Elite Canada</v>
      </c>
      <c r="P14" s="15">
        <f t="shared" si="9"/>
        <v>50.384999999999998</v>
      </c>
      <c r="Q14" s="15" t="str">
        <f t="shared" si="10"/>
        <v>2018 Nationals</v>
      </c>
      <c r="R14" s="15" t="str">
        <f t="shared" si="11"/>
        <v/>
      </c>
      <c r="S14" s="25" t="str">
        <f t="shared" si="12"/>
        <v/>
      </c>
      <c r="T14" s="15" t="str">
        <f t="shared" si="13"/>
        <v/>
      </c>
      <c r="U14" s="63">
        <v>15.4</v>
      </c>
      <c r="V14" s="63">
        <v>9.25</v>
      </c>
      <c r="W14" s="63">
        <v>4.5</v>
      </c>
      <c r="X14" s="63">
        <v>14.734999999999999</v>
      </c>
      <c r="Y14" s="63">
        <v>0</v>
      </c>
      <c r="Z14" s="63">
        <v>12.7</v>
      </c>
      <c r="AA14" s="63">
        <v>8.9499999999999993</v>
      </c>
      <c r="AB14" s="63">
        <v>13.1</v>
      </c>
      <c r="AC14" s="63">
        <v>13.885</v>
      </c>
      <c r="AD14" s="63">
        <v>0</v>
      </c>
      <c r="AE14" s="63">
        <v>13.7</v>
      </c>
      <c r="AF14" s="63">
        <v>9.75</v>
      </c>
      <c r="AG14" s="63">
        <v>13.1</v>
      </c>
      <c r="AH14" s="63">
        <v>14.135</v>
      </c>
      <c r="AI14" s="63">
        <v>0.3</v>
      </c>
      <c r="AJ14" s="74"/>
      <c r="AK14" s="12">
        <f t="shared" si="14"/>
        <v>13.1</v>
      </c>
      <c r="AL14" s="12">
        <f t="shared" si="15"/>
        <v>43.884999999999998</v>
      </c>
      <c r="AM14" s="12">
        <f t="shared" si="16"/>
        <v>48.634999999999998</v>
      </c>
      <c r="AN14" s="12">
        <f t="shared" si="17"/>
        <v>92.52</v>
      </c>
      <c r="AO14" s="12">
        <f t="shared" si="18"/>
        <v>13.1</v>
      </c>
      <c r="AP14" s="12">
        <f t="shared" si="19"/>
        <v>50.384999999999998</v>
      </c>
      <c r="AQ14" s="12">
        <f t="shared" si="20"/>
        <v>142.905</v>
      </c>
      <c r="AR14" s="69">
        <v>15.1</v>
      </c>
      <c r="AS14" s="69">
        <v>9.1</v>
      </c>
      <c r="AT14" s="69">
        <v>4.8</v>
      </c>
      <c r="AU14" s="69">
        <v>15.4</v>
      </c>
      <c r="AV14" s="69">
        <v>0</v>
      </c>
      <c r="AW14" s="69">
        <v>9.6</v>
      </c>
      <c r="AX14" s="69">
        <v>8.6999999999999993</v>
      </c>
      <c r="AY14" s="69">
        <v>12.7</v>
      </c>
      <c r="AZ14" s="69">
        <v>14.57</v>
      </c>
      <c r="BA14" s="69">
        <v>0</v>
      </c>
      <c r="BB14" s="69">
        <v>1.4</v>
      </c>
      <c r="BC14" s="69">
        <v>0.9</v>
      </c>
      <c r="BD14" s="69">
        <v>1.7</v>
      </c>
      <c r="BE14" s="69">
        <v>1.63</v>
      </c>
      <c r="BF14" s="69">
        <v>0</v>
      </c>
      <c r="BG14" s="75"/>
      <c r="BH14" s="15">
        <f t="shared" si="21"/>
        <v>12.7</v>
      </c>
      <c r="BI14" s="15">
        <f t="shared" si="22"/>
        <v>44.4</v>
      </c>
      <c r="BJ14" s="15">
        <f t="shared" si="23"/>
        <v>45.569999999999993</v>
      </c>
      <c r="BK14" s="15">
        <f t="shared" si="24"/>
        <v>89.97</v>
      </c>
      <c r="BL14" s="15">
        <f t="shared" si="25"/>
        <v>1.7</v>
      </c>
      <c r="BM14" s="15">
        <f t="shared" si="26"/>
        <v>5.63</v>
      </c>
      <c r="BN14" s="15">
        <f t="shared" si="27"/>
        <v>95.6</v>
      </c>
      <c r="BO14" s="24" t="str">
        <f t="shared" si="28"/>
        <v/>
      </c>
      <c r="BP14" s="24" t="str">
        <f t="shared" si="29"/>
        <v/>
      </c>
      <c r="BQ14" s="24" t="str">
        <f t="shared" si="30"/>
        <v/>
      </c>
      <c r="BR14" s="24" t="str">
        <f t="shared" si="31"/>
        <v/>
      </c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12" t="str">
        <f t="shared" si="32"/>
        <v/>
      </c>
      <c r="CI14" s="12" t="str">
        <f t="shared" si="33"/>
        <v/>
      </c>
      <c r="CJ14" s="12" t="str">
        <f t="shared" si="34"/>
        <v/>
      </c>
      <c r="CK14" s="12" t="str">
        <f t="shared" si="35"/>
        <v/>
      </c>
      <c r="CL14" s="12" t="str">
        <f t="shared" si="36"/>
        <v/>
      </c>
      <c r="CM14" s="12" t="str">
        <f t="shared" si="37"/>
        <v/>
      </c>
      <c r="CN14" s="12" t="str">
        <f t="shared" si="38"/>
        <v/>
      </c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15" t="str">
        <f t="shared" si="39"/>
        <v/>
      </c>
      <c r="DE14" s="15" t="str">
        <f t="shared" si="40"/>
        <v/>
      </c>
      <c r="DF14" s="15" t="str">
        <f t="shared" si="41"/>
        <v/>
      </c>
      <c r="DG14" s="15" t="str">
        <f t="shared" si="42"/>
        <v/>
      </c>
      <c r="DH14" s="15" t="str">
        <f t="shared" si="43"/>
        <v/>
      </c>
      <c r="DI14" s="15" t="str">
        <f t="shared" si="44"/>
        <v/>
      </c>
      <c r="DJ14" s="15" t="str">
        <f t="shared" si="45"/>
        <v/>
      </c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12" t="str">
        <f t="shared" si="46"/>
        <v/>
      </c>
      <c r="EA14" s="12" t="str">
        <f t="shared" si="47"/>
        <v/>
      </c>
      <c r="EB14" s="12" t="str">
        <f t="shared" si="48"/>
        <v/>
      </c>
      <c r="EC14" s="12" t="str">
        <f t="shared" si="49"/>
        <v/>
      </c>
      <c r="ED14" s="12" t="str">
        <f t="shared" si="50"/>
        <v/>
      </c>
      <c r="EE14" s="12" t="str">
        <f t="shared" si="51"/>
        <v/>
      </c>
      <c r="EF14" s="12" t="str">
        <f t="shared" si="52"/>
        <v/>
      </c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15" t="str">
        <f t="shared" si="53"/>
        <v/>
      </c>
      <c r="EW14" s="15" t="str">
        <f t="shared" si="54"/>
        <v/>
      </c>
      <c r="EX14" s="15" t="str">
        <f t="shared" si="55"/>
        <v/>
      </c>
      <c r="EY14" s="15" t="str">
        <f t="shared" si="56"/>
        <v/>
      </c>
      <c r="EZ14" s="15" t="str">
        <f t="shared" si="57"/>
        <v/>
      </c>
      <c r="FA14" s="15" t="str">
        <f t="shared" si="58"/>
        <v/>
      </c>
      <c r="FB14" s="15" t="str">
        <f t="shared" si="59"/>
        <v/>
      </c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12" t="str">
        <f t="shared" si="60"/>
        <v/>
      </c>
      <c r="FS14" s="12" t="str">
        <f t="shared" si="61"/>
        <v/>
      </c>
      <c r="FT14" s="12" t="str">
        <f t="shared" si="62"/>
        <v/>
      </c>
      <c r="FU14" s="12" t="str">
        <f t="shared" si="63"/>
        <v/>
      </c>
      <c r="FV14" s="12" t="str">
        <f t="shared" si="64"/>
        <v/>
      </c>
      <c r="FW14" s="12" t="str">
        <f t="shared" si="65"/>
        <v/>
      </c>
      <c r="FX14" s="12" t="str">
        <f t="shared" si="66"/>
        <v/>
      </c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15" t="str">
        <f t="shared" si="67"/>
        <v/>
      </c>
      <c r="GO14" s="15" t="str">
        <f t="shared" si="68"/>
        <v/>
      </c>
      <c r="GP14" s="15" t="str">
        <f t="shared" si="69"/>
        <v/>
      </c>
      <c r="GQ14" s="15" t="str">
        <f t="shared" si="70"/>
        <v/>
      </c>
      <c r="GR14" s="15" t="str">
        <f t="shared" si="71"/>
        <v/>
      </c>
      <c r="GS14" s="15" t="str">
        <f t="shared" si="72"/>
        <v/>
      </c>
      <c r="GT14" s="15" t="str">
        <f t="shared" si="73"/>
        <v/>
      </c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12" t="str">
        <f t="shared" si="74"/>
        <v/>
      </c>
      <c r="HK14" s="12" t="str">
        <f t="shared" si="75"/>
        <v/>
      </c>
      <c r="HL14" s="12" t="str">
        <f t="shared" si="76"/>
        <v/>
      </c>
      <c r="HM14" s="12" t="str">
        <f t="shared" si="77"/>
        <v/>
      </c>
      <c r="HN14" s="12" t="str">
        <f t="shared" si="78"/>
        <v/>
      </c>
      <c r="HO14" s="12" t="str">
        <f t="shared" si="79"/>
        <v/>
      </c>
      <c r="HP14" s="12" t="str">
        <f t="shared" si="80"/>
        <v/>
      </c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15" t="str">
        <f t="shared" si="81"/>
        <v/>
      </c>
      <c r="IG14" s="15" t="str">
        <f t="shared" si="82"/>
        <v/>
      </c>
      <c r="IH14" s="15" t="str">
        <f t="shared" si="83"/>
        <v/>
      </c>
      <c r="II14" s="15" t="str">
        <f t="shared" si="84"/>
        <v/>
      </c>
      <c r="IJ14" s="15" t="str">
        <f t="shared" si="85"/>
        <v/>
      </c>
      <c r="IK14" s="15" t="str">
        <f t="shared" si="86"/>
        <v/>
      </c>
      <c r="IL14" s="15" t="str">
        <f t="shared" si="87"/>
        <v/>
      </c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12" t="str">
        <f t="shared" si="88"/>
        <v/>
      </c>
      <c r="JC14" s="12" t="str">
        <f t="shared" si="89"/>
        <v/>
      </c>
      <c r="JD14" s="12" t="str">
        <f t="shared" si="90"/>
        <v/>
      </c>
      <c r="JE14" s="12" t="str">
        <f t="shared" si="91"/>
        <v/>
      </c>
      <c r="JF14" s="12" t="str">
        <f t="shared" si="92"/>
        <v/>
      </c>
      <c r="JG14" s="12" t="str">
        <f t="shared" si="93"/>
        <v/>
      </c>
      <c r="JH14" s="12" t="str">
        <f t="shared" si="94"/>
        <v/>
      </c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15" t="str">
        <f t="shared" si="95"/>
        <v/>
      </c>
      <c r="JY14" s="15" t="str">
        <f t="shared" si="96"/>
        <v/>
      </c>
      <c r="JZ14" s="15" t="str">
        <f t="shared" si="97"/>
        <v/>
      </c>
      <c r="KA14" s="15" t="str">
        <f t="shared" si="98"/>
        <v/>
      </c>
      <c r="KB14" s="15" t="str">
        <f t="shared" si="99"/>
        <v/>
      </c>
      <c r="KC14" s="15" t="str">
        <f t="shared" si="100"/>
        <v/>
      </c>
      <c r="KD14" s="15" t="str">
        <f t="shared" si="101"/>
        <v/>
      </c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12" t="str">
        <f t="shared" si="102"/>
        <v/>
      </c>
      <c r="KU14" s="12" t="str">
        <f t="shared" si="103"/>
        <v/>
      </c>
      <c r="KV14" s="12" t="str">
        <f t="shared" si="104"/>
        <v/>
      </c>
      <c r="KW14" s="12" t="str">
        <f t="shared" si="105"/>
        <v/>
      </c>
      <c r="KX14" s="12" t="str">
        <f t="shared" si="106"/>
        <v/>
      </c>
      <c r="KY14" s="12" t="str">
        <f t="shared" si="107"/>
        <v/>
      </c>
      <c r="KZ14" s="12" t="str">
        <f t="shared" si="108"/>
        <v/>
      </c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15" t="str">
        <f t="shared" si="109"/>
        <v/>
      </c>
      <c r="LQ14" s="15" t="str">
        <f t="shared" si="110"/>
        <v/>
      </c>
      <c r="LR14" s="15" t="str">
        <f t="shared" si="111"/>
        <v/>
      </c>
      <c r="LS14" s="15" t="str">
        <f t="shared" si="112"/>
        <v/>
      </c>
      <c r="LT14" s="15" t="str">
        <f t="shared" si="113"/>
        <v/>
      </c>
      <c r="LU14" s="15" t="str">
        <f t="shared" si="114"/>
        <v/>
      </c>
      <c r="LV14" s="15" t="str">
        <f t="shared" si="115"/>
        <v/>
      </c>
      <c r="LW14" s="63">
        <f t="shared" si="126"/>
        <v>15.25</v>
      </c>
      <c r="LX14" s="63">
        <f t="shared" si="127"/>
        <v>9.1750000000000007</v>
      </c>
      <c r="LY14" s="63">
        <f t="shared" si="128"/>
        <v>4.6500000000000004</v>
      </c>
      <c r="LZ14" s="63">
        <f t="shared" si="129"/>
        <v>15.067499999999999</v>
      </c>
      <c r="MA14" s="63">
        <f t="shared" si="130"/>
        <v>0</v>
      </c>
      <c r="MB14" s="63">
        <f t="shared" si="131"/>
        <v>11.149999999999999</v>
      </c>
      <c r="MC14" s="63">
        <f t="shared" si="132"/>
        <v>8.8249999999999993</v>
      </c>
      <c r="MD14" s="63">
        <f t="shared" si="133"/>
        <v>12.899999999999999</v>
      </c>
      <c r="ME14" s="63">
        <f t="shared" si="134"/>
        <v>14.227499999999999</v>
      </c>
      <c r="MF14" s="63">
        <f t="shared" si="135"/>
        <v>0</v>
      </c>
      <c r="MG14" s="63">
        <f t="shared" si="136"/>
        <v>7.55</v>
      </c>
      <c r="MH14" s="63">
        <f t="shared" si="137"/>
        <v>5.3250000000000002</v>
      </c>
      <c r="MI14" s="63">
        <f t="shared" si="138"/>
        <v>7.3999999999999995</v>
      </c>
      <c r="MJ14" s="63">
        <f t="shared" si="139"/>
        <v>7.8825000000000003</v>
      </c>
      <c r="MK14" s="63">
        <f t="shared" si="140"/>
        <v>0.15</v>
      </c>
      <c r="ML14" s="74" t="s">
        <v>119</v>
      </c>
      <c r="MM14" s="12">
        <f t="shared" si="141"/>
        <v>12.899999999999999</v>
      </c>
      <c r="MN14" s="12">
        <f t="shared" si="142"/>
        <v>44.142499999999998</v>
      </c>
      <c r="MO14" s="12">
        <f t="shared" si="143"/>
        <v>47.102499999999999</v>
      </c>
      <c r="MP14" s="12">
        <f t="shared" si="144"/>
        <v>91.245000000000005</v>
      </c>
      <c r="MQ14" s="12">
        <f t="shared" si="145"/>
        <v>7.3999999999999995</v>
      </c>
      <c r="MR14" s="12">
        <f t="shared" si="146"/>
        <v>28.0075</v>
      </c>
      <c r="MS14" s="12">
        <f t="shared" si="147"/>
        <v>119.2525</v>
      </c>
    </row>
    <row r="15" spans="1:357" x14ac:dyDescent="0.2">
      <c r="A15" s="6">
        <f t="shared" si="0"/>
        <v>6</v>
      </c>
      <c r="B15" s="9" t="s">
        <v>89</v>
      </c>
      <c r="C15" s="5" t="s">
        <v>6</v>
      </c>
      <c r="D15" s="8">
        <v>2000</v>
      </c>
      <c r="E15" s="16">
        <f t="shared" si="1"/>
        <v>194.08500000000001</v>
      </c>
      <c r="F15" s="4" t="str">
        <f t="shared" si="123"/>
        <v/>
      </c>
      <c r="G15" s="4" t="str">
        <f t="shared" si="124"/>
        <v/>
      </c>
      <c r="H15" s="4" t="str">
        <f t="shared" si="2"/>
        <v>P</v>
      </c>
      <c r="I15" t="str">
        <f t="shared" si="125"/>
        <v>No DD</v>
      </c>
      <c r="J15" s="15">
        <f t="shared" si="3"/>
        <v>98.34</v>
      </c>
      <c r="K15" s="15" t="str">
        <f t="shared" si="4"/>
        <v>2018 Nationals</v>
      </c>
      <c r="L15" s="15" t="str">
        <f t="shared" si="5"/>
        <v/>
      </c>
      <c r="M15" s="15" t="str">
        <f t="shared" si="6"/>
        <v/>
      </c>
      <c r="N15" s="15" t="str">
        <f t="shared" si="7"/>
        <v/>
      </c>
      <c r="O15" s="15" t="str">
        <f t="shared" si="8"/>
        <v/>
      </c>
      <c r="P15" s="15">
        <f t="shared" si="9"/>
        <v>53.019999999999996</v>
      </c>
      <c r="Q15" s="15" t="str">
        <f t="shared" si="10"/>
        <v>2018 Nationals</v>
      </c>
      <c r="R15" s="15">
        <f t="shared" si="11"/>
        <v>42.724999999999994</v>
      </c>
      <c r="S15" s="25" t="str">
        <f t="shared" si="12"/>
        <v>(Vol 1)</v>
      </c>
      <c r="T15" s="15" t="str">
        <f t="shared" si="13"/>
        <v>2018 World Age Groups (Nov 18)</v>
      </c>
      <c r="U15" s="63">
        <v>16.600000000000001</v>
      </c>
      <c r="V15" s="63">
        <v>9.5500000000000007</v>
      </c>
      <c r="W15" s="63">
        <v>3.9</v>
      </c>
      <c r="X15" s="63">
        <v>16.164999999999999</v>
      </c>
      <c r="Y15" s="63">
        <v>0</v>
      </c>
      <c r="Z15" s="63">
        <v>15.8</v>
      </c>
      <c r="AA15" s="63">
        <v>9.0500000000000007</v>
      </c>
      <c r="AB15" s="63">
        <v>11.5</v>
      </c>
      <c r="AC15" s="63">
        <v>15.775</v>
      </c>
      <c r="AD15" s="63">
        <v>0</v>
      </c>
      <c r="AE15" s="63">
        <v>16.5</v>
      </c>
      <c r="AF15" s="63">
        <v>8.9</v>
      </c>
      <c r="AG15" s="63">
        <v>11.7</v>
      </c>
      <c r="AH15" s="63">
        <v>15.92</v>
      </c>
      <c r="AI15" s="63">
        <v>0</v>
      </c>
      <c r="AJ15" s="74"/>
      <c r="AK15" s="12">
        <f t="shared" si="14"/>
        <v>11.5</v>
      </c>
      <c r="AL15" s="12">
        <f t="shared" si="15"/>
        <v>46.215000000000003</v>
      </c>
      <c r="AM15" s="12">
        <f t="shared" si="16"/>
        <v>52.125</v>
      </c>
      <c r="AN15" s="12">
        <f t="shared" si="17"/>
        <v>98.34</v>
      </c>
      <c r="AO15" s="12">
        <f t="shared" si="18"/>
        <v>11.7</v>
      </c>
      <c r="AP15" s="12">
        <f t="shared" si="19"/>
        <v>53.019999999999996</v>
      </c>
      <c r="AQ15" s="12">
        <f t="shared" si="20"/>
        <v>151.36000000000001</v>
      </c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75"/>
      <c r="BH15" s="15" t="str">
        <f t="shared" si="21"/>
        <v/>
      </c>
      <c r="BI15" s="15" t="str">
        <f t="shared" si="22"/>
        <v/>
      </c>
      <c r="BJ15" s="15" t="str">
        <f t="shared" si="23"/>
        <v/>
      </c>
      <c r="BK15" s="15" t="str">
        <f t="shared" si="24"/>
        <v/>
      </c>
      <c r="BL15" s="15" t="str">
        <f t="shared" si="25"/>
        <v/>
      </c>
      <c r="BM15" s="15" t="str">
        <f t="shared" si="26"/>
        <v/>
      </c>
      <c r="BN15" s="15" t="str">
        <f t="shared" si="27"/>
        <v/>
      </c>
      <c r="BO15" s="24">
        <f t="shared" si="28"/>
        <v>42.724999999999994</v>
      </c>
      <c r="BP15" s="24">
        <f t="shared" si="29"/>
        <v>35.49</v>
      </c>
      <c r="BQ15" s="24" t="str">
        <f t="shared" si="30"/>
        <v/>
      </c>
      <c r="BR15" s="24" t="str">
        <f t="shared" si="31"/>
        <v/>
      </c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12" t="str">
        <f t="shared" si="32"/>
        <v/>
      </c>
      <c r="CI15" s="12" t="str">
        <f t="shared" si="33"/>
        <v/>
      </c>
      <c r="CJ15" s="12" t="str">
        <f t="shared" si="34"/>
        <v/>
      </c>
      <c r="CK15" s="12" t="str">
        <f t="shared" si="35"/>
        <v/>
      </c>
      <c r="CL15" s="12" t="str">
        <f t="shared" si="36"/>
        <v/>
      </c>
      <c r="CM15" s="12" t="str">
        <f t="shared" si="37"/>
        <v/>
      </c>
      <c r="CN15" s="12" t="str">
        <f t="shared" si="38"/>
        <v/>
      </c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15" t="str">
        <f t="shared" si="39"/>
        <v/>
      </c>
      <c r="DE15" s="15" t="str">
        <f t="shared" si="40"/>
        <v/>
      </c>
      <c r="DF15" s="15" t="str">
        <f t="shared" si="41"/>
        <v/>
      </c>
      <c r="DG15" s="15" t="str">
        <f t="shared" si="42"/>
        <v/>
      </c>
      <c r="DH15" s="15" t="str">
        <f t="shared" si="43"/>
        <v/>
      </c>
      <c r="DI15" s="15" t="str">
        <f t="shared" si="44"/>
        <v/>
      </c>
      <c r="DJ15" s="15" t="str">
        <f t="shared" si="45"/>
        <v/>
      </c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12" t="str">
        <f t="shared" si="46"/>
        <v/>
      </c>
      <c r="EA15" s="12" t="str">
        <f t="shared" si="47"/>
        <v/>
      </c>
      <c r="EB15" s="12" t="str">
        <f t="shared" si="48"/>
        <v/>
      </c>
      <c r="EC15" s="12" t="str">
        <f t="shared" si="49"/>
        <v/>
      </c>
      <c r="ED15" s="12" t="str">
        <f t="shared" si="50"/>
        <v/>
      </c>
      <c r="EE15" s="12" t="str">
        <f t="shared" si="51"/>
        <v/>
      </c>
      <c r="EF15" s="12" t="str">
        <f t="shared" si="52"/>
        <v/>
      </c>
      <c r="EG15" s="37">
        <v>16.399999999999999</v>
      </c>
      <c r="EH15" s="37">
        <v>9.6999999999999993</v>
      </c>
      <c r="EI15" s="37">
        <v>0</v>
      </c>
      <c r="EJ15" s="37">
        <v>16.625</v>
      </c>
      <c r="EK15" s="37">
        <v>0</v>
      </c>
      <c r="EL15" s="37">
        <v>9.4</v>
      </c>
      <c r="EM15" s="37">
        <v>5.8</v>
      </c>
      <c r="EN15" s="37">
        <v>9.3000000000000007</v>
      </c>
      <c r="EO15" s="37">
        <v>10.99</v>
      </c>
      <c r="EP15" s="37">
        <v>0</v>
      </c>
      <c r="EQ15" s="37"/>
      <c r="ER15" s="37"/>
      <c r="ES15" s="37"/>
      <c r="ET15" s="37"/>
      <c r="EU15" s="37"/>
      <c r="EV15" s="15">
        <f t="shared" si="53"/>
        <v>9.3000000000000007</v>
      </c>
      <c r="EW15" s="15">
        <f t="shared" si="54"/>
        <v>42.724999999999994</v>
      </c>
      <c r="EX15" s="15">
        <f t="shared" si="55"/>
        <v>35.49</v>
      </c>
      <c r="EY15" s="15">
        <f t="shared" si="56"/>
        <v>78.215000000000003</v>
      </c>
      <c r="EZ15" s="15" t="str">
        <f t="shared" si="57"/>
        <v/>
      </c>
      <c r="FA15" s="15" t="str">
        <f t="shared" si="58"/>
        <v/>
      </c>
      <c r="FB15" s="15">
        <f t="shared" si="59"/>
        <v>78.215000000000003</v>
      </c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12" t="str">
        <f t="shared" si="60"/>
        <v/>
      </c>
      <c r="FS15" s="12" t="str">
        <f t="shared" si="61"/>
        <v/>
      </c>
      <c r="FT15" s="12" t="str">
        <f t="shared" si="62"/>
        <v/>
      </c>
      <c r="FU15" s="12" t="str">
        <f t="shared" si="63"/>
        <v/>
      </c>
      <c r="FV15" s="12" t="str">
        <f t="shared" si="64"/>
        <v/>
      </c>
      <c r="FW15" s="12" t="str">
        <f t="shared" si="65"/>
        <v/>
      </c>
      <c r="FX15" s="12" t="str">
        <f t="shared" si="66"/>
        <v/>
      </c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15" t="str">
        <f t="shared" si="67"/>
        <v/>
      </c>
      <c r="GO15" s="15" t="str">
        <f t="shared" si="68"/>
        <v/>
      </c>
      <c r="GP15" s="15" t="str">
        <f t="shared" si="69"/>
        <v/>
      </c>
      <c r="GQ15" s="15" t="str">
        <f t="shared" si="70"/>
        <v/>
      </c>
      <c r="GR15" s="15" t="str">
        <f t="shared" si="71"/>
        <v/>
      </c>
      <c r="GS15" s="15" t="str">
        <f t="shared" si="72"/>
        <v/>
      </c>
      <c r="GT15" s="15" t="str">
        <f t="shared" si="73"/>
        <v/>
      </c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12" t="str">
        <f t="shared" si="74"/>
        <v/>
      </c>
      <c r="HK15" s="12" t="str">
        <f t="shared" si="75"/>
        <v/>
      </c>
      <c r="HL15" s="12" t="str">
        <f t="shared" si="76"/>
        <v/>
      </c>
      <c r="HM15" s="12" t="str">
        <f t="shared" si="77"/>
        <v/>
      </c>
      <c r="HN15" s="12" t="str">
        <f t="shared" si="78"/>
        <v/>
      </c>
      <c r="HO15" s="12" t="str">
        <f t="shared" si="79"/>
        <v/>
      </c>
      <c r="HP15" s="12" t="str">
        <f t="shared" si="80"/>
        <v/>
      </c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15" t="str">
        <f t="shared" si="81"/>
        <v/>
      </c>
      <c r="IG15" s="15" t="str">
        <f t="shared" si="82"/>
        <v/>
      </c>
      <c r="IH15" s="15" t="str">
        <f t="shared" si="83"/>
        <v/>
      </c>
      <c r="II15" s="15" t="str">
        <f t="shared" si="84"/>
        <v/>
      </c>
      <c r="IJ15" s="15" t="str">
        <f t="shared" si="85"/>
        <v/>
      </c>
      <c r="IK15" s="15" t="str">
        <f t="shared" si="86"/>
        <v/>
      </c>
      <c r="IL15" s="15" t="str">
        <f t="shared" si="87"/>
        <v/>
      </c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12" t="str">
        <f t="shared" si="88"/>
        <v/>
      </c>
      <c r="JC15" s="12" t="str">
        <f t="shared" si="89"/>
        <v/>
      </c>
      <c r="JD15" s="12" t="str">
        <f t="shared" si="90"/>
        <v/>
      </c>
      <c r="JE15" s="12" t="str">
        <f t="shared" si="91"/>
        <v/>
      </c>
      <c r="JF15" s="12" t="str">
        <f t="shared" si="92"/>
        <v/>
      </c>
      <c r="JG15" s="12" t="str">
        <f t="shared" si="93"/>
        <v/>
      </c>
      <c r="JH15" s="12" t="str">
        <f t="shared" si="94"/>
        <v/>
      </c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15" t="str">
        <f t="shared" si="95"/>
        <v/>
      </c>
      <c r="JY15" s="15" t="str">
        <f t="shared" si="96"/>
        <v/>
      </c>
      <c r="JZ15" s="15" t="str">
        <f t="shared" si="97"/>
        <v/>
      </c>
      <c r="KA15" s="15" t="str">
        <f t="shared" si="98"/>
        <v/>
      </c>
      <c r="KB15" s="15" t="str">
        <f t="shared" si="99"/>
        <v/>
      </c>
      <c r="KC15" s="15" t="str">
        <f t="shared" si="100"/>
        <v/>
      </c>
      <c r="KD15" s="15" t="str">
        <f t="shared" si="101"/>
        <v/>
      </c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12" t="str">
        <f t="shared" si="102"/>
        <v/>
      </c>
      <c r="KU15" s="12" t="str">
        <f t="shared" si="103"/>
        <v/>
      </c>
      <c r="KV15" s="12" t="str">
        <f t="shared" si="104"/>
        <v/>
      </c>
      <c r="KW15" s="12" t="str">
        <f t="shared" si="105"/>
        <v/>
      </c>
      <c r="KX15" s="12" t="str">
        <f t="shared" si="106"/>
        <v/>
      </c>
      <c r="KY15" s="12" t="str">
        <f t="shared" si="107"/>
        <v/>
      </c>
      <c r="KZ15" s="12" t="str">
        <f t="shared" si="108"/>
        <v/>
      </c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15" t="str">
        <f t="shared" si="109"/>
        <v/>
      </c>
      <c r="LQ15" s="15" t="str">
        <f t="shared" si="110"/>
        <v/>
      </c>
      <c r="LR15" s="15" t="str">
        <f t="shared" si="111"/>
        <v/>
      </c>
      <c r="LS15" s="15" t="str">
        <f t="shared" si="112"/>
        <v/>
      </c>
      <c r="LT15" s="15" t="str">
        <f t="shared" si="113"/>
        <v/>
      </c>
      <c r="LU15" s="15" t="str">
        <f t="shared" si="114"/>
        <v/>
      </c>
      <c r="LV15" s="15" t="str">
        <f t="shared" si="115"/>
        <v/>
      </c>
      <c r="LW15" s="63">
        <f t="shared" si="126"/>
        <v>8.3000000000000007</v>
      </c>
      <c r="LX15" s="63">
        <f t="shared" si="127"/>
        <v>4.7750000000000004</v>
      </c>
      <c r="LY15" s="63">
        <f t="shared" si="128"/>
        <v>1.95</v>
      </c>
      <c r="LZ15" s="63">
        <f t="shared" si="129"/>
        <v>8.0824999999999996</v>
      </c>
      <c r="MA15" s="63">
        <f t="shared" si="130"/>
        <v>0</v>
      </c>
      <c r="MB15" s="63">
        <f t="shared" si="131"/>
        <v>7.9</v>
      </c>
      <c r="MC15" s="63">
        <f t="shared" si="132"/>
        <v>4.5250000000000004</v>
      </c>
      <c r="MD15" s="63">
        <f t="shared" si="133"/>
        <v>5.75</v>
      </c>
      <c r="ME15" s="63">
        <f t="shared" si="134"/>
        <v>7.8875000000000002</v>
      </c>
      <c r="MF15" s="63">
        <f t="shared" si="135"/>
        <v>0</v>
      </c>
      <c r="MG15" s="63">
        <f t="shared" si="136"/>
        <v>8.25</v>
      </c>
      <c r="MH15" s="63">
        <f t="shared" si="137"/>
        <v>4.45</v>
      </c>
      <c r="MI15" s="63">
        <f t="shared" si="138"/>
        <v>5.85</v>
      </c>
      <c r="MJ15" s="63">
        <f t="shared" si="139"/>
        <v>7.96</v>
      </c>
      <c r="MK15" s="63">
        <f t="shared" si="140"/>
        <v>0</v>
      </c>
      <c r="ML15" s="74" t="s">
        <v>119</v>
      </c>
      <c r="MM15" s="12">
        <f t="shared" si="141"/>
        <v>5.75</v>
      </c>
      <c r="MN15" s="12">
        <f t="shared" si="142"/>
        <v>23.107500000000002</v>
      </c>
      <c r="MO15" s="12">
        <f t="shared" si="143"/>
        <v>26.0625</v>
      </c>
      <c r="MP15" s="12">
        <f t="shared" si="144"/>
        <v>49.17</v>
      </c>
      <c r="MQ15" s="12">
        <f t="shared" si="145"/>
        <v>5.85</v>
      </c>
      <c r="MR15" s="12">
        <f t="shared" si="146"/>
        <v>26.509999999999998</v>
      </c>
      <c r="MS15" s="12">
        <f t="shared" si="147"/>
        <v>75.680000000000007</v>
      </c>
    </row>
    <row r="16" spans="1:357" x14ac:dyDescent="0.2">
      <c r="A16" s="6" t="str">
        <f t="shared" si="0"/>
        <v/>
      </c>
      <c r="B16" s="7" t="s">
        <v>90</v>
      </c>
      <c r="C16" s="8" t="s">
        <v>3</v>
      </c>
      <c r="D16" s="27">
        <v>2001</v>
      </c>
      <c r="E16" s="16">
        <f t="shared" si="1"/>
        <v>186.66</v>
      </c>
      <c r="F16" s="4" t="str">
        <f t="shared" si="123"/>
        <v/>
      </c>
      <c r="G16" s="4" t="str">
        <f t="shared" si="124"/>
        <v/>
      </c>
      <c r="H16" s="4" t="str">
        <f t="shared" si="2"/>
        <v/>
      </c>
      <c r="I16" t="str">
        <f t="shared" si="125"/>
        <v/>
      </c>
      <c r="J16" s="15">
        <f t="shared" si="3"/>
        <v>97.635000000000005</v>
      </c>
      <c r="K16" s="15" t="str">
        <f t="shared" si="4"/>
        <v>2018 Nationals</v>
      </c>
      <c r="L16" s="15">
        <f t="shared" si="5"/>
        <v>45.744999999999997</v>
      </c>
      <c r="M16" s="15" t="str">
        <f t="shared" si="6"/>
        <v>2019 Elite Canada</v>
      </c>
      <c r="N16" s="15">
        <f t="shared" si="7"/>
        <v>31.97</v>
      </c>
      <c r="O16" s="15" t="str">
        <f t="shared" si="8"/>
        <v>2019 Elite Canada</v>
      </c>
      <c r="P16" s="15">
        <f t="shared" si="9"/>
        <v>11.31</v>
      </c>
      <c r="Q16" s="15" t="str">
        <f t="shared" si="10"/>
        <v>2019 Elite Canada</v>
      </c>
      <c r="R16" s="15" t="str">
        <f t="shared" si="11"/>
        <v/>
      </c>
      <c r="S16" s="25" t="str">
        <f t="shared" si="12"/>
        <v/>
      </c>
      <c r="T16" s="15" t="str">
        <f t="shared" si="13"/>
        <v/>
      </c>
      <c r="U16" s="63">
        <v>17.600000000000001</v>
      </c>
      <c r="V16" s="63">
        <v>9.1999999999999993</v>
      </c>
      <c r="W16" s="63">
        <v>3.5</v>
      </c>
      <c r="X16" s="63">
        <v>16.245000000000001</v>
      </c>
      <c r="Y16" s="63">
        <v>0</v>
      </c>
      <c r="Z16" s="63">
        <v>13.4</v>
      </c>
      <c r="AA16" s="63">
        <v>9.1999999999999993</v>
      </c>
      <c r="AB16" s="63">
        <v>13.4</v>
      </c>
      <c r="AC16" s="63">
        <v>15.09</v>
      </c>
      <c r="AD16" s="63">
        <v>0</v>
      </c>
      <c r="AE16" s="63">
        <v>3.2</v>
      </c>
      <c r="AF16" s="63">
        <v>2</v>
      </c>
      <c r="AG16" s="63">
        <v>2.5</v>
      </c>
      <c r="AH16" s="63">
        <v>3.33</v>
      </c>
      <c r="AI16" s="63">
        <v>0</v>
      </c>
      <c r="AJ16" s="74"/>
      <c r="AK16" s="12">
        <f t="shared" si="14"/>
        <v>13.4</v>
      </c>
      <c r="AL16" s="12">
        <f t="shared" si="15"/>
        <v>46.545000000000002</v>
      </c>
      <c r="AM16" s="12">
        <f t="shared" si="16"/>
        <v>51.09</v>
      </c>
      <c r="AN16" s="12">
        <f t="shared" si="17"/>
        <v>97.635000000000005</v>
      </c>
      <c r="AO16" s="12">
        <f t="shared" si="18"/>
        <v>2.5</v>
      </c>
      <c r="AP16" s="12">
        <f t="shared" si="19"/>
        <v>11.030000000000001</v>
      </c>
      <c r="AQ16" s="12">
        <f t="shared" si="20"/>
        <v>108.66500000000001</v>
      </c>
      <c r="AR16" s="69">
        <v>15.3</v>
      </c>
      <c r="AS16" s="69">
        <v>9.25</v>
      </c>
      <c r="AT16" s="69">
        <v>4.0999999999999996</v>
      </c>
      <c r="AU16" s="69">
        <v>17.094999999999999</v>
      </c>
      <c r="AV16" s="69">
        <v>0</v>
      </c>
      <c r="AW16" s="69">
        <v>8.6</v>
      </c>
      <c r="AX16" s="69">
        <v>5.55</v>
      </c>
      <c r="AY16" s="69">
        <v>8.1999999999999993</v>
      </c>
      <c r="AZ16" s="69">
        <v>9.6199999999999992</v>
      </c>
      <c r="BA16" s="69">
        <v>0</v>
      </c>
      <c r="BB16" s="69">
        <v>2.8</v>
      </c>
      <c r="BC16" s="69">
        <v>1.7</v>
      </c>
      <c r="BD16" s="69">
        <v>3.8</v>
      </c>
      <c r="BE16" s="69">
        <v>3.41</v>
      </c>
      <c r="BF16" s="69">
        <v>0.4</v>
      </c>
      <c r="BG16" s="75"/>
      <c r="BH16" s="15">
        <f t="shared" si="21"/>
        <v>8.1999999999999993</v>
      </c>
      <c r="BI16" s="15">
        <f t="shared" si="22"/>
        <v>45.744999999999997</v>
      </c>
      <c r="BJ16" s="15">
        <f t="shared" si="23"/>
        <v>31.97</v>
      </c>
      <c r="BK16" s="15">
        <f t="shared" si="24"/>
        <v>77.715000000000003</v>
      </c>
      <c r="BL16" s="15">
        <f t="shared" si="25"/>
        <v>3.8</v>
      </c>
      <c r="BM16" s="15">
        <f t="shared" si="26"/>
        <v>11.31</v>
      </c>
      <c r="BN16" s="15">
        <f t="shared" si="27"/>
        <v>89.025000000000006</v>
      </c>
      <c r="BO16" s="24" t="str">
        <f t="shared" si="28"/>
        <v/>
      </c>
      <c r="BP16" s="24" t="str">
        <f t="shared" si="29"/>
        <v/>
      </c>
      <c r="BQ16" s="24" t="str">
        <f t="shared" si="30"/>
        <v/>
      </c>
      <c r="BR16" s="24" t="str">
        <f t="shared" si="31"/>
        <v/>
      </c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12" t="str">
        <f t="shared" si="32"/>
        <v/>
      </c>
      <c r="CI16" s="12" t="str">
        <f t="shared" si="33"/>
        <v/>
      </c>
      <c r="CJ16" s="12" t="str">
        <f t="shared" si="34"/>
        <v/>
      </c>
      <c r="CK16" s="12" t="str">
        <f t="shared" si="35"/>
        <v/>
      </c>
      <c r="CL16" s="12" t="str">
        <f t="shared" si="36"/>
        <v/>
      </c>
      <c r="CM16" s="12" t="str">
        <f t="shared" si="37"/>
        <v/>
      </c>
      <c r="CN16" s="12" t="str">
        <f t="shared" si="38"/>
        <v/>
      </c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15" t="str">
        <f t="shared" si="39"/>
        <v/>
      </c>
      <c r="DE16" s="15" t="str">
        <f t="shared" si="40"/>
        <v/>
      </c>
      <c r="DF16" s="15" t="str">
        <f t="shared" si="41"/>
        <v/>
      </c>
      <c r="DG16" s="15" t="str">
        <f t="shared" si="42"/>
        <v/>
      </c>
      <c r="DH16" s="15" t="str">
        <f t="shared" si="43"/>
        <v/>
      </c>
      <c r="DI16" s="15" t="str">
        <f t="shared" si="44"/>
        <v/>
      </c>
      <c r="DJ16" s="15" t="str">
        <f t="shared" si="45"/>
        <v/>
      </c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12" t="str">
        <f t="shared" si="46"/>
        <v/>
      </c>
      <c r="EA16" s="12" t="str">
        <f t="shared" si="47"/>
        <v/>
      </c>
      <c r="EB16" s="12" t="str">
        <f t="shared" si="48"/>
        <v/>
      </c>
      <c r="EC16" s="12" t="str">
        <f t="shared" si="49"/>
        <v/>
      </c>
      <c r="ED16" s="12" t="str">
        <f t="shared" si="50"/>
        <v/>
      </c>
      <c r="EE16" s="12" t="str">
        <f t="shared" si="51"/>
        <v/>
      </c>
      <c r="EF16" s="12" t="str">
        <f t="shared" si="52"/>
        <v/>
      </c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15" t="str">
        <f t="shared" si="53"/>
        <v/>
      </c>
      <c r="EW16" s="15" t="str">
        <f t="shared" si="54"/>
        <v/>
      </c>
      <c r="EX16" s="15" t="str">
        <f t="shared" si="55"/>
        <v/>
      </c>
      <c r="EY16" s="15" t="str">
        <f t="shared" si="56"/>
        <v/>
      </c>
      <c r="EZ16" s="15" t="str">
        <f t="shared" si="57"/>
        <v/>
      </c>
      <c r="FA16" s="15" t="str">
        <f t="shared" si="58"/>
        <v/>
      </c>
      <c r="FB16" s="15" t="str">
        <f t="shared" si="59"/>
        <v/>
      </c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12" t="str">
        <f t="shared" si="60"/>
        <v/>
      </c>
      <c r="FS16" s="12" t="str">
        <f t="shared" si="61"/>
        <v/>
      </c>
      <c r="FT16" s="12" t="str">
        <f t="shared" si="62"/>
        <v/>
      </c>
      <c r="FU16" s="12" t="str">
        <f t="shared" si="63"/>
        <v/>
      </c>
      <c r="FV16" s="12" t="str">
        <f t="shared" si="64"/>
        <v/>
      </c>
      <c r="FW16" s="12" t="str">
        <f t="shared" si="65"/>
        <v/>
      </c>
      <c r="FX16" s="12" t="str">
        <f t="shared" si="66"/>
        <v/>
      </c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15" t="str">
        <f t="shared" si="67"/>
        <v/>
      </c>
      <c r="GO16" s="15" t="str">
        <f t="shared" si="68"/>
        <v/>
      </c>
      <c r="GP16" s="15" t="str">
        <f t="shared" si="69"/>
        <v/>
      </c>
      <c r="GQ16" s="15" t="str">
        <f t="shared" si="70"/>
        <v/>
      </c>
      <c r="GR16" s="15" t="str">
        <f t="shared" si="71"/>
        <v/>
      </c>
      <c r="GS16" s="15" t="str">
        <f t="shared" si="72"/>
        <v/>
      </c>
      <c r="GT16" s="15" t="str">
        <f t="shared" si="73"/>
        <v/>
      </c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12" t="str">
        <f t="shared" si="74"/>
        <v/>
      </c>
      <c r="HK16" s="12" t="str">
        <f t="shared" si="75"/>
        <v/>
      </c>
      <c r="HL16" s="12" t="str">
        <f t="shared" si="76"/>
        <v/>
      </c>
      <c r="HM16" s="12" t="str">
        <f t="shared" si="77"/>
        <v/>
      </c>
      <c r="HN16" s="12" t="str">
        <f t="shared" si="78"/>
        <v/>
      </c>
      <c r="HO16" s="12" t="str">
        <f t="shared" si="79"/>
        <v/>
      </c>
      <c r="HP16" s="12" t="str">
        <f t="shared" si="80"/>
        <v/>
      </c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15" t="str">
        <f t="shared" si="81"/>
        <v/>
      </c>
      <c r="IG16" s="15" t="str">
        <f t="shared" si="82"/>
        <v/>
      </c>
      <c r="IH16" s="15" t="str">
        <f t="shared" si="83"/>
        <v/>
      </c>
      <c r="II16" s="15" t="str">
        <f t="shared" si="84"/>
        <v/>
      </c>
      <c r="IJ16" s="15" t="str">
        <f t="shared" si="85"/>
        <v/>
      </c>
      <c r="IK16" s="15" t="str">
        <f t="shared" si="86"/>
        <v/>
      </c>
      <c r="IL16" s="15" t="str">
        <f t="shared" si="87"/>
        <v/>
      </c>
      <c r="IM16" s="36"/>
      <c r="IN16" s="36"/>
      <c r="IO16" s="36"/>
      <c r="IP16" s="36"/>
      <c r="IQ16" s="36"/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12" t="str">
        <f t="shared" si="88"/>
        <v/>
      </c>
      <c r="JC16" s="12" t="str">
        <f t="shared" si="89"/>
        <v/>
      </c>
      <c r="JD16" s="12" t="str">
        <f t="shared" si="90"/>
        <v/>
      </c>
      <c r="JE16" s="12" t="str">
        <f t="shared" si="91"/>
        <v/>
      </c>
      <c r="JF16" s="12" t="str">
        <f t="shared" si="92"/>
        <v/>
      </c>
      <c r="JG16" s="12" t="str">
        <f t="shared" si="93"/>
        <v/>
      </c>
      <c r="JH16" s="12" t="str">
        <f t="shared" si="94"/>
        <v/>
      </c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15" t="str">
        <f t="shared" si="95"/>
        <v/>
      </c>
      <c r="JY16" s="15" t="str">
        <f t="shared" si="96"/>
        <v/>
      </c>
      <c r="JZ16" s="15" t="str">
        <f t="shared" si="97"/>
        <v/>
      </c>
      <c r="KA16" s="15" t="str">
        <f t="shared" si="98"/>
        <v/>
      </c>
      <c r="KB16" s="15" t="str">
        <f t="shared" si="99"/>
        <v/>
      </c>
      <c r="KC16" s="15" t="str">
        <f t="shared" si="100"/>
        <v/>
      </c>
      <c r="KD16" s="15" t="str">
        <f t="shared" si="101"/>
        <v/>
      </c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12" t="str">
        <f t="shared" si="102"/>
        <v/>
      </c>
      <c r="KU16" s="12" t="str">
        <f t="shared" si="103"/>
        <v/>
      </c>
      <c r="KV16" s="12" t="str">
        <f t="shared" si="104"/>
        <v/>
      </c>
      <c r="KW16" s="12" t="str">
        <f t="shared" si="105"/>
        <v/>
      </c>
      <c r="KX16" s="12" t="str">
        <f t="shared" si="106"/>
        <v/>
      </c>
      <c r="KY16" s="12" t="str">
        <f t="shared" si="107"/>
        <v/>
      </c>
      <c r="KZ16" s="12" t="str">
        <f t="shared" si="108"/>
        <v/>
      </c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15" t="str">
        <f t="shared" si="109"/>
        <v/>
      </c>
      <c r="LQ16" s="15" t="str">
        <f t="shared" si="110"/>
        <v/>
      </c>
      <c r="LR16" s="15" t="str">
        <f t="shared" si="111"/>
        <v/>
      </c>
      <c r="LS16" s="15" t="str">
        <f t="shared" si="112"/>
        <v/>
      </c>
      <c r="LT16" s="15" t="str">
        <f t="shared" si="113"/>
        <v/>
      </c>
      <c r="LU16" s="15" t="str">
        <f t="shared" si="114"/>
        <v/>
      </c>
      <c r="LV16" s="15" t="str">
        <f t="shared" si="115"/>
        <v/>
      </c>
      <c r="LW16" s="63">
        <f t="shared" si="126"/>
        <v>16.450000000000003</v>
      </c>
      <c r="LX16" s="63">
        <f t="shared" si="127"/>
        <v>9.2249999999999996</v>
      </c>
      <c r="LY16" s="63">
        <f t="shared" si="128"/>
        <v>3.8</v>
      </c>
      <c r="LZ16" s="63">
        <f t="shared" si="129"/>
        <v>16.670000000000002</v>
      </c>
      <c r="MA16" s="63">
        <f t="shared" si="130"/>
        <v>0</v>
      </c>
      <c r="MB16" s="63">
        <f t="shared" si="131"/>
        <v>11</v>
      </c>
      <c r="MC16" s="63">
        <f t="shared" si="132"/>
        <v>7.375</v>
      </c>
      <c r="MD16" s="63">
        <f t="shared" si="133"/>
        <v>10.8</v>
      </c>
      <c r="ME16" s="63">
        <f t="shared" si="134"/>
        <v>12.355</v>
      </c>
      <c r="MF16" s="63">
        <f t="shared" si="135"/>
        <v>0</v>
      </c>
      <c r="MG16" s="63">
        <f t="shared" si="136"/>
        <v>3</v>
      </c>
      <c r="MH16" s="63">
        <f t="shared" si="137"/>
        <v>1.85</v>
      </c>
      <c r="MI16" s="63">
        <f t="shared" si="138"/>
        <v>3.15</v>
      </c>
      <c r="MJ16" s="63">
        <f t="shared" si="139"/>
        <v>3.37</v>
      </c>
      <c r="MK16" s="63">
        <f t="shared" si="140"/>
        <v>0.2</v>
      </c>
      <c r="ML16" s="74" t="s">
        <v>119</v>
      </c>
      <c r="MM16" s="12">
        <f t="shared" si="141"/>
        <v>10.8</v>
      </c>
      <c r="MN16" s="12">
        <f t="shared" si="142"/>
        <v>46.14500000000001</v>
      </c>
      <c r="MO16" s="12">
        <f t="shared" si="143"/>
        <v>41.53</v>
      </c>
      <c r="MP16" s="12">
        <f t="shared" si="144"/>
        <v>87.675000000000011</v>
      </c>
      <c r="MQ16" s="12">
        <f t="shared" si="145"/>
        <v>3.15</v>
      </c>
      <c r="MR16" s="12">
        <f t="shared" si="146"/>
        <v>11.170000000000002</v>
      </c>
      <c r="MS16" s="12">
        <f t="shared" si="147"/>
        <v>98.845000000000013</v>
      </c>
    </row>
    <row r="17" spans="1:357" x14ac:dyDescent="0.2">
      <c r="A17" s="6" t="str">
        <f t="shared" si="0"/>
        <v/>
      </c>
      <c r="B17" s="9" t="s">
        <v>87</v>
      </c>
      <c r="C17" s="5" t="s">
        <v>6</v>
      </c>
      <c r="D17" s="27">
        <v>2001</v>
      </c>
      <c r="E17" s="16">
        <f t="shared" si="1"/>
        <v>163.6925</v>
      </c>
      <c r="F17" s="4" t="str">
        <f t="shared" si="123"/>
        <v/>
      </c>
      <c r="G17" s="4" t="str">
        <f t="shared" si="124"/>
        <v/>
      </c>
      <c r="H17" s="4" t="str">
        <f t="shared" si="2"/>
        <v/>
      </c>
      <c r="I17" t="str">
        <f t="shared" si="125"/>
        <v/>
      </c>
      <c r="J17" s="15">
        <f t="shared" si="3"/>
        <v>71.02</v>
      </c>
      <c r="K17" s="15" t="str">
        <f t="shared" si="4"/>
        <v>2018 Nationals</v>
      </c>
      <c r="L17" s="15">
        <f t="shared" si="5"/>
        <v>28.895</v>
      </c>
      <c r="M17" s="15" t="str">
        <f t="shared" si="6"/>
        <v>2019 Elite Canada</v>
      </c>
      <c r="N17" s="15">
        <f t="shared" si="7"/>
        <v>37.72</v>
      </c>
      <c r="O17" s="15" t="str">
        <f t="shared" si="8"/>
        <v>2019 Elite Canada</v>
      </c>
      <c r="P17" s="15">
        <f t="shared" si="9"/>
        <v>26.057500000000001</v>
      </c>
      <c r="Q17" s="15" t="str">
        <f t="shared" si="10"/>
        <v>2019 Elite Canada</v>
      </c>
      <c r="R17" s="15" t="str">
        <f t="shared" si="11"/>
        <v/>
      </c>
      <c r="S17" s="25" t="str">
        <f t="shared" si="12"/>
        <v/>
      </c>
      <c r="T17" s="15" t="str">
        <f t="shared" si="13"/>
        <v/>
      </c>
      <c r="U17" s="63">
        <v>17</v>
      </c>
      <c r="V17" s="63">
        <v>9.0500000000000007</v>
      </c>
      <c r="W17" s="63">
        <v>5</v>
      </c>
      <c r="X17" s="63">
        <v>17.239999999999998</v>
      </c>
      <c r="Y17" s="63">
        <v>0</v>
      </c>
      <c r="Z17" s="63">
        <v>6</v>
      </c>
      <c r="AA17" s="63">
        <v>3.75</v>
      </c>
      <c r="AB17" s="63">
        <v>6.3</v>
      </c>
      <c r="AC17" s="63">
        <v>6.68</v>
      </c>
      <c r="AD17" s="63">
        <v>0</v>
      </c>
      <c r="AE17" s="63"/>
      <c r="AF17" s="63"/>
      <c r="AG17" s="63"/>
      <c r="AH17" s="63"/>
      <c r="AI17" s="63"/>
      <c r="AJ17" s="74"/>
      <c r="AK17" s="12">
        <f t="shared" si="14"/>
        <v>6.3</v>
      </c>
      <c r="AL17" s="12">
        <f t="shared" si="15"/>
        <v>48.29</v>
      </c>
      <c r="AM17" s="12">
        <f t="shared" si="16"/>
        <v>22.73</v>
      </c>
      <c r="AN17" s="12">
        <f t="shared" si="17"/>
        <v>71.02</v>
      </c>
      <c r="AO17" s="12" t="str">
        <f t="shared" si="18"/>
        <v/>
      </c>
      <c r="AP17" s="12" t="str">
        <f t="shared" si="19"/>
        <v/>
      </c>
      <c r="AQ17" s="12">
        <f t="shared" si="20"/>
        <v>71.02</v>
      </c>
      <c r="AR17" s="69">
        <v>10.15</v>
      </c>
      <c r="AS17" s="69">
        <v>5.5</v>
      </c>
      <c r="AT17" s="69">
        <v>2.85</v>
      </c>
      <c r="AU17" s="69">
        <v>10.395</v>
      </c>
      <c r="AV17" s="69">
        <v>0</v>
      </c>
      <c r="AW17" s="69">
        <v>10.15</v>
      </c>
      <c r="AX17" s="69">
        <v>6.35</v>
      </c>
      <c r="AY17" s="69">
        <v>9.6999999999999993</v>
      </c>
      <c r="AZ17" s="69">
        <v>11.52</v>
      </c>
      <c r="BA17" s="69">
        <v>0</v>
      </c>
      <c r="BB17" s="69">
        <v>7.15</v>
      </c>
      <c r="BC17" s="69">
        <v>4.3499999999999996</v>
      </c>
      <c r="BD17" s="69">
        <v>6.6</v>
      </c>
      <c r="BE17" s="69">
        <v>7.9574999999999996</v>
      </c>
      <c r="BF17" s="69">
        <v>0</v>
      </c>
      <c r="BG17" s="75" t="s">
        <v>119</v>
      </c>
      <c r="BH17" s="15">
        <f t="shared" si="21"/>
        <v>9.6999999999999993</v>
      </c>
      <c r="BI17" s="15">
        <f t="shared" si="22"/>
        <v>28.895</v>
      </c>
      <c r="BJ17" s="15">
        <f t="shared" si="23"/>
        <v>37.72</v>
      </c>
      <c r="BK17" s="15">
        <f t="shared" si="24"/>
        <v>66.614999999999995</v>
      </c>
      <c r="BL17" s="15">
        <f t="shared" si="25"/>
        <v>6.6</v>
      </c>
      <c r="BM17" s="15">
        <f t="shared" si="26"/>
        <v>26.057500000000001</v>
      </c>
      <c r="BN17" s="15">
        <f t="shared" si="27"/>
        <v>92.672499999999999</v>
      </c>
      <c r="BO17" s="24" t="str">
        <f t="shared" si="28"/>
        <v/>
      </c>
      <c r="BP17" s="24" t="str">
        <f t="shared" si="29"/>
        <v/>
      </c>
      <c r="BQ17" s="24" t="str">
        <f t="shared" si="30"/>
        <v/>
      </c>
      <c r="BR17" s="24" t="str">
        <f t="shared" si="31"/>
        <v/>
      </c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12" t="str">
        <f t="shared" si="32"/>
        <v/>
      </c>
      <c r="CI17" s="12" t="str">
        <f t="shared" si="33"/>
        <v/>
      </c>
      <c r="CJ17" s="12" t="str">
        <f t="shared" si="34"/>
        <v/>
      </c>
      <c r="CK17" s="12" t="str">
        <f t="shared" si="35"/>
        <v/>
      </c>
      <c r="CL17" s="12" t="str">
        <f t="shared" si="36"/>
        <v/>
      </c>
      <c r="CM17" s="12" t="str">
        <f t="shared" si="37"/>
        <v/>
      </c>
      <c r="CN17" s="12" t="str">
        <f t="shared" si="38"/>
        <v/>
      </c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15" t="str">
        <f t="shared" si="39"/>
        <v/>
      </c>
      <c r="DE17" s="15" t="str">
        <f t="shared" si="40"/>
        <v/>
      </c>
      <c r="DF17" s="15" t="str">
        <f t="shared" si="41"/>
        <v/>
      </c>
      <c r="DG17" s="15" t="str">
        <f t="shared" si="42"/>
        <v/>
      </c>
      <c r="DH17" s="15" t="str">
        <f t="shared" si="43"/>
        <v/>
      </c>
      <c r="DI17" s="15" t="str">
        <f t="shared" si="44"/>
        <v/>
      </c>
      <c r="DJ17" s="15" t="str">
        <f t="shared" si="45"/>
        <v/>
      </c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12" t="str">
        <f t="shared" si="46"/>
        <v/>
      </c>
      <c r="EA17" s="12" t="str">
        <f t="shared" si="47"/>
        <v/>
      </c>
      <c r="EB17" s="12" t="str">
        <f t="shared" si="48"/>
        <v/>
      </c>
      <c r="EC17" s="12" t="str">
        <f t="shared" si="49"/>
        <v/>
      </c>
      <c r="ED17" s="12" t="str">
        <f t="shared" si="50"/>
        <v/>
      </c>
      <c r="EE17" s="12" t="str">
        <f t="shared" si="51"/>
        <v/>
      </c>
      <c r="EF17" s="12" t="str">
        <f t="shared" si="52"/>
        <v/>
      </c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15" t="str">
        <f t="shared" si="53"/>
        <v/>
      </c>
      <c r="EW17" s="15" t="str">
        <f t="shared" si="54"/>
        <v/>
      </c>
      <c r="EX17" s="15" t="str">
        <f t="shared" si="55"/>
        <v/>
      </c>
      <c r="EY17" s="15" t="str">
        <f t="shared" si="56"/>
        <v/>
      </c>
      <c r="EZ17" s="15" t="str">
        <f t="shared" si="57"/>
        <v/>
      </c>
      <c r="FA17" s="15" t="str">
        <f t="shared" si="58"/>
        <v/>
      </c>
      <c r="FB17" s="15" t="str">
        <f t="shared" si="59"/>
        <v/>
      </c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12" t="str">
        <f t="shared" si="60"/>
        <v/>
      </c>
      <c r="FS17" s="12" t="str">
        <f t="shared" si="61"/>
        <v/>
      </c>
      <c r="FT17" s="12" t="str">
        <f t="shared" si="62"/>
        <v/>
      </c>
      <c r="FU17" s="12" t="str">
        <f t="shared" si="63"/>
        <v/>
      </c>
      <c r="FV17" s="12" t="str">
        <f t="shared" si="64"/>
        <v/>
      </c>
      <c r="FW17" s="12" t="str">
        <f t="shared" si="65"/>
        <v/>
      </c>
      <c r="FX17" s="12" t="str">
        <f t="shared" si="66"/>
        <v/>
      </c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15" t="str">
        <f t="shared" si="67"/>
        <v/>
      </c>
      <c r="GO17" s="15" t="str">
        <f t="shared" si="68"/>
        <v/>
      </c>
      <c r="GP17" s="15" t="str">
        <f t="shared" si="69"/>
        <v/>
      </c>
      <c r="GQ17" s="15" t="str">
        <f t="shared" si="70"/>
        <v/>
      </c>
      <c r="GR17" s="15" t="str">
        <f t="shared" si="71"/>
        <v/>
      </c>
      <c r="GS17" s="15" t="str">
        <f t="shared" si="72"/>
        <v/>
      </c>
      <c r="GT17" s="15" t="str">
        <f t="shared" si="73"/>
        <v/>
      </c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12" t="str">
        <f t="shared" si="74"/>
        <v/>
      </c>
      <c r="HK17" s="12" t="str">
        <f t="shared" si="75"/>
        <v/>
      </c>
      <c r="HL17" s="12" t="str">
        <f t="shared" si="76"/>
        <v/>
      </c>
      <c r="HM17" s="12" t="str">
        <f t="shared" si="77"/>
        <v/>
      </c>
      <c r="HN17" s="12" t="str">
        <f t="shared" si="78"/>
        <v/>
      </c>
      <c r="HO17" s="12" t="str">
        <f t="shared" si="79"/>
        <v/>
      </c>
      <c r="HP17" s="12" t="str">
        <f t="shared" si="80"/>
        <v/>
      </c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15" t="str">
        <f t="shared" si="81"/>
        <v/>
      </c>
      <c r="IG17" s="15" t="str">
        <f t="shared" si="82"/>
        <v/>
      </c>
      <c r="IH17" s="15" t="str">
        <f t="shared" si="83"/>
        <v/>
      </c>
      <c r="II17" s="15" t="str">
        <f t="shared" si="84"/>
        <v/>
      </c>
      <c r="IJ17" s="15" t="str">
        <f t="shared" si="85"/>
        <v/>
      </c>
      <c r="IK17" s="15" t="str">
        <f t="shared" si="86"/>
        <v/>
      </c>
      <c r="IL17" s="15" t="str">
        <f t="shared" si="87"/>
        <v/>
      </c>
      <c r="IM17" s="36"/>
      <c r="IN17" s="36"/>
      <c r="IO17" s="36"/>
      <c r="IP17" s="36"/>
      <c r="IQ17" s="36"/>
      <c r="IR17" s="36"/>
      <c r="IS17" s="36"/>
      <c r="IT17" s="36"/>
      <c r="IU17" s="36"/>
      <c r="IV17" s="36"/>
      <c r="IW17" s="36"/>
      <c r="IX17" s="36"/>
      <c r="IY17" s="36"/>
      <c r="IZ17" s="36"/>
      <c r="JA17" s="36"/>
      <c r="JB17" s="12" t="str">
        <f t="shared" si="88"/>
        <v/>
      </c>
      <c r="JC17" s="12" t="str">
        <f t="shared" si="89"/>
        <v/>
      </c>
      <c r="JD17" s="12" t="str">
        <f t="shared" si="90"/>
        <v/>
      </c>
      <c r="JE17" s="12" t="str">
        <f t="shared" si="91"/>
        <v/>
      </c>
      <c r="JF17" s="12" t="str">
        <f t="shared" si="92"/>
        <v/>
      </c>
      <c r="JG17" s="12" t="str">
        <f t="shared" si="93"/>
        <v/>
      </c>
      <c r="JH17" s="12" t="str">
        <f t="shared" si="94"/>
        <v/>
      </c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15" t="str">
        <f t="shared" si="95"/>
        <v/>
      </c>
      <c r="JY17" s="15" t="str">
        <f t="shared" si="96"/>
        <v/>
      </c>
      <c r="JZ17" s="15" t="str">
        <f t="shared" si="97"/>
        <v/>
      </c>
      <c r="KA17" s="15" t="str">
        <f t="shared" si="98"/>
        <v/>
      </c>
      <c r="KB17" s="15" t="str">
        <f t="shared" si="99"/>
        <v/>
      </c>
      <c r="KC17" s="15" t="str">
        <f t="shared" si="100"/>
        <v/>
      </c>
      <c r="KD17" s="15" t="str">
        <f t="shared" si="101"/>
        <v/>
      </c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12" t="str">
        <f t="shared" si="102"/>
        <v/>
      </c>
      <c r="KU17" s="12" t="str">
        <f t="shared" si="103"/>
        <v/>
      </c>
      <c r="KV17" s="12" t="str">
        <f t="shared" si="104"/>
        <v/>
      </c>
      <c r="KW17" s="12" t="str">
        <f t="shared" si="105"/>
        <v/>
      </c>
      <c r="KX17" s="12" t="str">
        <f t="shared" si="106"/>
        <v/>
      </c>
      <c r="KY17" s="12" t="str">
        <f t="shared" si="107"/>
        <v/>
      </c>
      <c r="KZ17" s="12" t="str">
        <f t="shared" si="108"/>
        <v/>
      </c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15" t="str">
        <f t="shared" si="109"/>
        <v/>
      </c>
      <c r="LQ17" s="15" t="str">
        <f t="shared" si="110"/>
        <v/>
      </c>
      <c r="LR17" s="15" t="str">
        <f t="shared" si="111"/>
        <v/>
      </c>
      <c r="LS17" s="15" t="str">
        <f t="shared" si="112"/>
        <v/>
      </c>
      <c r="LT17" s="15" t="str">
        <f t="shared" si="113"/>
        <v/>
      </c>
      <c r="LU17" s="15" t="str">
        <f t="shared" si="114"/>
        <v/>
      </c>
      <c r="LV17" s="15" t="str">
        <f t="shared" si="115"/>
        <v/>
      </c>
      <c r="LW17" s="63">
        <f t="shared" si="126"/>
        <v>10.15</v>
      </c>
      <c r="LX17" s="63">
        <f t="shared" si="127"/>
        <v>5.5</v>
      </c>
      <c r="LY17" s="63">
        <f t="shared" si="128"/>
        <v>2.85</v>
      </c>
      <c r="LZ17" s="63">
        <f t="shared" si="129"/>
        <v>10.395</v>
      </c>
      <c r="MA17" s="63">
        <f t="shared" si="130"/>
        <v>0</v>
      </c>
      <c r="MB17" s="63">
        <f t="shared" si="131"/>
        <v>10.15</v>
      </c>
      <c r="MC17" s="63">
        <f t="shared" si="132"/>
        <v>6.35</v>
      </c>
      <c r="MD17" s="63">
        <f t="shared" si="133"/>
        <v>9.6999999999999993</v>
      </c>
      <c r="ME17" s="63">
        <f t="shared" si="134"/>
        <v>11.52</v>
      </c>
      <c r="MF17" s="63">
        <f t="shared" si="135"/>
        <v>0</v>
      </c>
      <c r="MG17" s="63">
        <f t="shared" si="136"/>
        <v>7.15</v>
      </c>
      <c r="MH17" s="63">
        <f t="shared" si="137"/>
        <v>4.3499999999999996</v>
      </c>
      <c r="MI17" s="63">
        <f t="shared" si="138"/>
        <v>6.6</v>
      </c>
      <c r="MJ17" s="63">
        <f t="shared" si="139"/>
        <v>7.9574999999999996</v>
      </c>
      <c r="MK17" s="63">
        <f t="shared" si="140"/>
        <v>0</v>
      </c>
      <c r="ML17" s="74" t="s">
        <v>119</v>
      </c>
      <c r="MM17" s="12">
        <f t="shared" si="141"/>
        <v>9.6999999999999993</v>
      </c>
      <c r="MN17" s="12">
        <f t="shared" si="142"/>
        <v>28.895</v>
      </c>
      <c r="MO17" s="12">
        <f t="shared" si="143"/>
        <v>37.72</v>
      </c>
      <c r="MP17" s="12">
        <f t="shared" si="144"/>
        <v>66.614999999999995</v>
      </c>
      <c r="MQ17" s="12">
        <f t="shared" si="145"/>
        <v>6.6</v>
      </c>
      <c r="MR17" s="12">
        <f t="shared" si="146"/>
        <v>26.057500000000001</v>
      </c>
      <c r="MS17" s="12">
        <f t="shared" si="147"/>
        <v>92.672499999999999</v>
      </c>
    </row>
    <row r="18" spans="1:357" x14ac:dyDescent="0.2">
      <c r="A18" s="6" t="str">
        <f t="shared" si="0"/>
        <v/>
      </c>
      <c r="B18" s="7" t="s">
        <v>95</v>
      </c>
      <c r="C18" s="8" t="s">
        <v>96</v>
      </c>
      <c r="D18" s="27">
        <v>2001</v>
      </c>
      <c r="E18" s="16">
        <f t="shared" si="1"/>
        <v>158.13499999999999</v>
      </c>
      <c r="F18" s="4" t="str">
        <f t="shared" si="123"/>
        <v/>
      </c>
      <c r="G18" s="4" t="str">
        <f t="shared" si="124"/>
        <v/>
      </c>
      <c r="H18" s="4" t="str">
        <f t="shared" si="2"/>
        <v/>
      </c>
      <c r="I18" t="str">
        <f t="shared" si="125"/>
        <v/>
      </c>
      <c r="J18" s="15">
        <f t="shared" si="3"/>
        <v>82.625</v>
      </c>
      <c r="K18" s="15" t="str">
        <f t="shared" si="4"/>
        <v>2019 Elite Canada</v>
      </c>
      <c r="L18" s="15">
        <f t="shared" si="5"/>
        <v>5.26</v>
      </c>
      <c r="M18" s="15" t="str">
        <f t="shared" si="6"/>
        <v>2018 Nationals</v>
      </c>
      <c r="N18" s="15">
        <f t="shared" si="7"/>
        <v>33.204999999999998</v>
      </c>
      <c r="O18" s="15" t="str">
        <f t="shared" si="8"/>
        <v>2018 Nationals</v>
      </c>
      <c r="P18" s="15">
        <f t="shared" si="9"/>
        <v>37.045000000000002</v>
      </c>
      <c r="Q18" s="15" t="str">
        <f t="shared" si="10"/>
        <v>2019 Elite Canada</v>
      </c>
      <c r="R18" s="15" t="str">
        <f t="shared" si="11"/>
        <v/>
      </c>
      <c r="S18" s="25" t="str">
        <f t="shared" si="12"/>
        <v/>
      </c>
      <c r="T18" s="15" t="str">
        <f t="shared" si="13"/>
        <v/>
      </c>
      <c r="U18" s="63">
        <v>1.2</v>
      </c>
      <c r="V18" s="63">
        <v>0.8</v>
      </c>
      <c r="W18" s="63">
        <v>1.7</v>
      </c>
      <c r="X18" s="63">
        <v>1.56</v>
      </c>
      <c r="Y18" s="63">
        <v>0</v>
      </c>
      <c r="Z18" s="63">
        <v>8.9</v>
      </c>
      <c r="AA18" s="63">
        <v>6.1</v>
      </c>
      <c r="AB18" s="63">
        <v>8.3000000000000007</v>
      </c>
      <c r="AC18" s="63">
        <v>9.9049999999999994</v>
      </c>
      <c r="AD18" s="63">
        <v>0</v>
      </c>
      <c r="AE18" s="63"/>
      <c r="AF18" s="63"/>
      <c r="AG18" s="63"/>
      <c r="AH18" s="63"/>
      <c r="AI18" s="63"/>
      <c r="AJ18" s="74"/>
      <c r="AK18" s="12">
        <f t="shared" si="14"/>
        <v>8.3000000000000007</v>
      </c>
      <c r="AL18" s="12">
        <f t="shared" si="15"/>
        <v>5.26</v>
      </c>
      <c r="AM18" s="12">
        <f t="shared" si="16"/>
        <v>33.204999999999998</v>
      </c>
      <c r="AN18" s="12">
        <f t="shared" si="17"/>
        <v>38.464999999999996</v>
      </c>
      <c r="AO18" s="12" t="str">
        <f t="shared" si="18"/>
        <v/>
      </c>
      <c r="AP18" s="12" t="str">
        <f t="shared" si="19"/>
        <v/>
      </c>
      <c r="AQ18" s="12">
        <f t="shared" si="20"/>
        <v>38.464999999999996</v>
      </c>
      <c r="AR18" s="69">
        <v>14.5</v>
      </c>
      <c r="AS18" s="69">
        <v>9.25</v>
      </c>
      <c r="AT18" s="69">
        <v>4.3</v>
      </c>
      <c r="AU18" s="69">
        <v>15.685</v>
      </c>
      <c r="AV18" s="69">
        <v>2</v>
      </c>
      <c r="AW18" s="69">
        <v>10.4</v>
      </c>
      <c r="AX18" s="69">
        <v>6.8</v>
      </c>
      <c r="AY18" s="69">
        <v>11.2</v>
      </c>
      <c r="AZ18" s="69">
        <v>12.49</v>
      </c>
      <c r="BA18" s="69">
        <v>0</v>
      </c>
      <c r="BB18" s="69">
        <v>9.3000000000000007</v>
      </c>
      <c r="BC18" s="69">
        <v>6.65</v>
      </c>
      <c r="BD18" s="69">
        <v>10</v>
      </c>
      <c r="BE18" s="69">
        <v>11.095000000000001</v>
      </c>
      <c r="BF18" s="69">
        <v>0</v>
      </c>
      <c r="BG18" s="75"/>
      <c r="BH18" s="15">
        <f t="shared" si="21"/>
        <v>11.2</v>
      </c>
      <c r="BI18" s="15">
        <f t="shared" si="22"/>
        <v>41.734999999999999</v>
      </c>
      <c r="BJ18" s="15">
        <f t="shared" si="23"/>
        <v>40.89</v>
      </c>
      <c r="BK18" s="15">
        <f t="shared" si="24"/>
        <v>82.625</v>
      </c>
      <c r="BL18" s="15">
        <f t="shared" si="25"/>
        <v>10</v>
      </c>
      <c r="BM18" s="15">
        <f t="shared" si="26"/>
        <v>37.045000000000002</v>
      </c>
      <c r="BN18" s="15">
        <f t="shared" si="27"/>
        <v>119.67</v>
      </c>
      <c r="BO18" s="24" t="str">
        <f t="shared" si="28"/>
        <v/>
      </c>
      <c r="BP18" s="24" t="str">
        <f t="shared" si="29"/>
        <v/>
      </c>
      <c r="BQ18" s="24" t="str">
        <f t="shared" si="30"/>
        <v/>
      </c>
      <c r="BR18" s="24" t="str">
        <f t="shared" si="31"/>
        <v/>
      </c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12" t="str">
        <f t="shared" si="32"/>
        <v/>
      </c>
      <c r="CI18" s="12" t="str">
        <f t="shared" si="33"/>
        <v/>
      </c>
      <c r="CJ18" s="12" t="str">
        <f t="shared" si="34"/>
        <v/>
      </c>
      <c r="CK18" s="12" t="str">
        <f t="shared" si="35"/>
        <v/>
      </c>
      <c r="CL18" s="12" t="str">
        <f t="shared" si="36"/>
        <v/>
      </c>
      <c r="CM18" s="12" t="str">
        <f t="shared" si="37"/>
        <v/>
      </c>
      <c r="CN18" s="12" t="str">
        <f t="shared" si="38"/>
        <v/>
      </c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15" t="str">
        <f t="shared" si="39"/>
        <v/>
      </c>
      <c r="DE18" s="15" t="str">
        <f t="shared" si="40"/>
        <v/>
      </c>
      <c r="DF18" s="15" t="str">
        <f t="shared" si="41"/>
        <v/>
      </c>
      <c r="DG18" s="15" t="str">
        <f t="shared" si="42"/>
        <v/>
      </c>
      <c r="DH18" s="15" t="str">
        <f t="shared" si="43"/>
        <v/>
      </c>
      <c r="DI18" s="15" t="str">
        <f t="shared" si="44"/>
        <v/>
      </c>
      <c r="DJ18" s="15" t="str">
        <f t="shared" si="45"/>
        <v/>
      </c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  <c r="DW18" s="36"/>
      <c r="DX18" s="36"/>
      <c r="DY18" s="36"/>
      <c r="DZ18" s="12" t="str">
        <f t="shared" si="46"/>
        <v/>
      </c>
      <c r="EA18" s="12" t="str">
        <f t="shared" si="47"/>
        <v/>
      </c>
      <c r="EB18" s="12" t="str">
        <f t="shared" si="48"/>
        <v/>
      </c>
      <c r="EC18" s="12" t="str">
        <f t="shared" si="49"/>
        <v/>
      </c>
      <c r="ED18" s="12" t="str">
        <f t="shared" si="50"/>
        <v/>
      </c>
      <c r="EE18" s="12" t="str">
        <f t="shared" si="51"/>
        <v/>
      </c>
      <c r="EF18" s="12" t="str">
        <f t="shared" si="52"/>
        <v/>
      </c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15" t="str">
        <f t="shared" si="53"/>
        <v/>
      </c>
      <c r="EW18" s="15" t="str">
        <f t="shared" si="54"/>
        <v/>
      </c>
      <c r="EX18" s="15" t="str">
        <f t="shared" si="55"/>
        <v/>
      </c>
      <c r="EY18" s="15" t="str">
        <f t="shared" si="56"/>
        <v/>
      </c>
      <c r="EZ18" s="15" t="str">
        <f t="shared" si="57"/>
        <v/>
      </c>
      <c r="FA18" s="15" t="str">
        <f t="shared" si="58"/>
        <v/>
      </c>
      <c r="FB18" s="15" t="str">
        <f t="shared" si="59"/>
        <v/>
      </c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/>
      <c r="FO18" s="36"/>
      <c r="FP18" s="36"/>
      <c r="FQ18" s="36"/>
      <c r="FR18" s="12" t="str">
        <f t="shared" si="60"/>
        <v/>
      </c>
      <c r="FS18" s="12" t="str">
        <f t="shared" si="61"/>
        <v/>
      </c>
      <c r="FT18" s="12" t="str">
        <f t="shared" si="62"/>
        <v/>
      </c>
      <c r="FU18" s="12" t="str">
        <f t="shared" si="63"/>
        <v/>
      </c>
      <c r="FV18" s="12" t="str">
        <f t="shared" si="64"/>
        <v/>
      </c>
      <c r="FW18" s="12" t="str">
        <f t="shared" si="65"/>
        <v/>
      </c>
      <c r="FX18" s="12" t="str">
        <f t="shared" si="66"/>
        <v/>
      </c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15" t="str">
        <f t="shared" si="67"/>
        <v/>
      </c>
      <c r="GO18" s="15" t="str">
        <f t="shared" si="68"/>
        <v/>
      </c>
      <c r="GP18" s="15" t="str">
        <f t="shared" si="69"/>
        <v/>
      </c>
      <c r="GQ18" s="15" t="str">
        <f t="shared" si="70"/>
        <v/>
      </c>
      <c r="GR18" s="15" t="str">
        <f t="shared" si="71"/>
        <v/>
      </c>
      <c r="GS18" s="15" t="str">
        <f t="shared" si="72"/>
        <v/>
      </c>
      <c r="GT18" s="15" t="str">
        <f t="shared" si="73"/>
        <v/>
      </c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12" t="str">
        <f t="shared" si="74"/>
        <v/>
      </c>
      <c r="HK18" s="12" t="str">
        <f t="shared" si="75"/>
        <v/>
      </c>
      <c r="HL18" s="12" t="str">
        <f t="shared" si="76"/>
        <v/>
      </c>
      <c r="HM18" s="12" t="str">
        <f t="shared" si="77"/>
        <v/>
      </c>
      <c r="HN18" s="12" t="str">
        <f t="shared" si="78"/>
        <v/>
      </c>
      <c r="HO18" s="12" t="str">
        <f t="shared" si="79"/>
        <v/>
      </c>
      <c r="HP18" s="12" t="str">
        <f t="shared" si="80"/>
        <v/>
      </c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15" t="str">
        <f t="shared" si="81"/>
        <v/>
      </c>
      <c r="IG18" s="15" t="str">
        <f t="shared" si="82"/>
        <v/>
      </c>
      <c r="IH18" s="15" t="str">
        <f t="shared" si="83"/>
        <v/>
      </c>
      <c r="II18" s="15" t="str">
        <f t="shared" si="84"/>
        <v/>
      </c>
      <c r="IJ18" s="15" t="str">
        <f t="shared" si="85"/>
        <v/>
      </c>
      <c r="IK18" s="15" t="str">
        <f t="shared" si="86"/>
        <v/>
      </c>
      <c r="IL18" s="15" t="str">
        <f t="shared" si="87"/>
        <v/>
      </c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12" t="str">
        <f t="shared" si="88"/>
        <v/>
      </c>
      <c r="JC18" s="12" t="str">
        <f t="shared" si="89"/>
        <v/>
      </c>
      <c r="JD18" s="12" t="str">
        <f t="shared" si="90"/>
        <v/>
      </c>
      <c r="JE18" s="12" t="str">
        <f t="shared" si="91"/>
        <v/>
      </c>
      <c r="JF18" s="12" t="str">
        <f t="shared" si="92"/>
        <v/>
      </c>
      <c r="JG18" s="12" t="str">
        <f t="shared" si="93"/>
        <v/>
      </c>
      <c r="JH18" s="12" t="str">
        <f t="shared" si="94"/>
        <v/>
      </c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15" t="str">
        <f t="shared" si="95"/>
        <v/>
      </c>
      <c r="JY18" s="15" t="str">
        <f t="shared" si="96"/>
        <v/>
      </c>
      <c r="JZ18" s="15" t="str">
        <f t="shared" si="97"/>
        <v/>
      </c>
      <c r="KA18" s="15" t="str">
        <f t="shared" si="98"/>
        <v/>
      </c>
      <c r="KB18" s="15" t="str">
        <f t="shared" si="99"/>
        <v/>
      </c>
      <c r="KC18" s="15" t="str">
        <f t="shared" si="100"/>
        <v/>
      </c>
      <c r="KD18" s="15" t="str">
        <f t="shared" si="101"/>
        <v/>
      </c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12" t="str">
        <f t="shared" si="102"/>
        <v/>
      </c>
      <c r="KU18" s="12" t="str">
        <f t="shared" si="103"/>
        <v/>
      </c>
      <c r="KV18" s="12" t="str">
        <f t="shared" si="104"/>
        <v/>
      </c>
      <c r="KW18" s="12" t="str">
        <f t="shared" si="105"/>
        <v/>
      </c>
      <c r="KX18" s="12" t="str">
        <f t="shared" si="106"/>
        <v/>
      </c>
      <c r="KY18" s="12" t="str">
        <f t="shared" si="107"/>
        <v/>
      </c>
      <c r="KZ18" s="12" t="str">
        <f t="shared" si="108"/>
        <v/>
      </c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15" t="str">
        <f t="shared" si="109"/>
        <v/>
      </c>
      <c r="LQ18" s="15" t="str">
        <f t="shared" si="110"/>
        <v/>
      </c>
      <c r="LR18" s="15" t="str">
        <f t="shared" si="111"/>
        <v/>
      </c>
      <c r="LS18" s="15" t="str">
        <f t="shared" si="112"/>
        <v/>
      </c>
      <c r="LT18" s="15" t="str">
        <f t="shared" si="113"/>
        <v/>
      </c>
      <c r="LU18" s="15" t="str">
        <f t="shared" si="114"/>
        <v/>
      </c>
      <c r="LV18" s="15" t="str">
        <f t="shared" si="115"/>
        <v/>
      </c>
      <c r="LW18" s="63">
        <f t="shared" si="126"/>
        <v>7.85</v>
      </c>
      <c r="LX18" s="63">
        <f t="shared" si="127"/>
        <v>5.0250000000000004</v>
      </c>
      <c r="LY18" s="63">
        <f t="shared" si="128"/>
        <v>3</v>
      </c>
      <c r="LZ18" s="63">
        <f t="shared" si="129"/>
        <v>8.6225000000000005</v>
      </c>
      <c r="MA18" s="63">
        <f t="shared" si="130"/>
        <v>1</v>
      </c>
      <c r="MB18" s="63">
        <f t="shared" si="131"/>
        <v>9.65</v>
      </c>
      <c r="MC18" s="63">
        <f t="shared" si="132"/>
        <v>6.4499999999999993</v>
      </c>
      <c r="MD18" s="63">
        <f t="shared" si="133"/>
        <v>9.75</v>
      </c>
      <c r="ME18" s="63">
        <f t="shared" si="134"/>
        <v>11.1975</v>
      </c>
      <c r="MF18" s="63">
        <f t="shared" si="135"/>
        <v>0</v>
      </c>
      <c r="MG18" s="63">
        <f t="shared" si="136"/>
        <v>4.6500000000000004</v>
      </c>
      <c r="MH18" s="63">
        <f t="shared" si="137"/>
        <v>3.3250000000000002</v>
      </c>
      <c r="MI18" s="63">
        <f t="shared" si="138"/>
        <v>5</v>
      </c>
      <c r="MJ18" s="63">
        <f t="shared" si="139"/>
        <v>5.5475000000000003</v>
      </c>
      <c r="MK18" s="63">
        <f t="shared" si="140"/>
        <v>0</v>
      </c>
      <c r="ML18" s="74" t="s">
        <v>119</v>
      </c>
      <c r="MM18" s="12">
        <f t="shared" si="141"/>
        <v>9.75</v>
      </c>
      <c r="MN18" s="12">
        <f t="shared" si="142"/>
        <v>23.497500000000002</v>
      </c>
      <c r="MO18" s="12">
        <f t="shared" si="143"/>
        <v>37.047499999999999</v>
      </c>
      <c r="MP18" s="12">
        <f t="shared" si="144"/>
        <v>60.545000000000002</v>
      </c>
      <c r="MQ18" s="12">
        <f t="shared" si="145"/>
        <v>5</v>
      </c>
      <c r="MR18" s="12">
        <f t="shared" si="146"/>
        <v>18.522500000000001</v>
      </c>
      <c r="MS18" s="12">
        <f t="shared" si="147"/>
        <v>79.067499999999995</v>
      </c>
    </row>
    <row r="19" spans="1:357" x14ac:dyDescent="0.2">
      <c r="A19" s="6" t="str">
        <f t="shared" si="0"/>
        <v/>
      </c>
      <c r="B19" s="9" t="s">
        <v>86</v>
      </c>
      <c r="C19" s="5" t="s">
        <v>4</v>
      </c>
      <c r="D19" s="8">
        <v>2002</v>
      </c>
      <c r="E19" s="16">
        <f t="shared" si="1"/>
        <v>116.33000000000001</v>
      </c>
      <c r="F19" s="4" t="str">
        <f t="shared" si="123"/>
        <v/>
      </c>
      <c r="G19" s="4" t="str">
        <f t="shared" si="124"/>
        <v/>
      </c>
      <c r="H19" s="4" t="str">
        <f t="shared" si="2"/>
        <v/>
      </c>
      <c r="I19" t="str">
        <f t="shared" si="125"/>
        <v/>
      </c>
      <c r="J19" s="15">
        <f t="shared" si="3"/>
        <v>74.935000000000002</v>
      </c>
      <c r="K19" s="15" t="str">
        <f t="shared" si="4"/>
        <v>2018 Nationals</v>
      </c>
      <c r="L19" s="15" t="str">
        <f t="shared" si="5"/>
        <v/>
      </c>
      <c r="M19" s="15" t="str">
        <f t="shared" si="6"/>
        <v/>
      </c>
      <c r="N19" s="15" t="str">
        <f t="shared" si="7"/>
        <v/>
      </c>
      <c r="O19" s="15" t="str">
        <f t="shared" si="8"/>
        <v/>
      </c>
      <c r="P19" s="15" t="str">
        <f t="shared" si="9"/>
        <v/>
      </c>
      <c r="Q19" s="15" t="str">
        <f t="shared" si="10"/>
        <v/>
      </c>
      <c r="R19" s="15">
        <f t="shared" si="11"/>
        <v>41.395000000000003</v>
      </c>
      <c r="S19" s="25" t="str">
        <f t="shared" si="12"/>
        <v>(Vol 2)</v>
      </c>
      <c r="T19" s="15" t="str">
        <f t="shared" si="13"/>
        <v>2018 Junior Pan Am Championships (June 23)</v>
      </c>
      <c r="U19" s="63">
        <v>14.5</v>
      </c>
      <c r="V19" s="63">
        <v>9.3000000000000007</v>
      </c>
      <c r="W19" s="63">
        <v>5.6</v>
      </c>
      <c r="X19" s="63">
        <v>14.795</v>
      </c>
      <c r="Y19" s="63">
        <v>0</v>
      </c>
      <c r="Z19" s="63">
        <v>8.6</v>
      </c>
      <c r="AA19" s="63">
        <v>5.45</v>
      </c>
      <c r="AB19" s="63">
        <v>7.9</v>
      </c>
      <c r="AC19" s="63">
        <v>8.7899999999999991</v>
      </c>
      <c r="AD19" s="63">
        <v>0</v>
      </c>
      <c r="AE19" s="63"/>
      <c r="AF19" s="63"/>
      <c r="AG19" s="63"/>
      <c r="AH19" s="63"/>
      <c r="AI19" s="63"/>
      <c r="AJ19" s="74"/>
      <c r="AK19" s="12">
        <f t="shared" si="14"/>
        <v>7.9</v>
      </c>
      <c r="AL19" s="12">
        <f t="shared" si="15"/>
        <v>44.195</v>
      </c>
      <c r="AM19" s="12">
        <f t="shared" si="16"/>
        <v>30.740000000000002</v>
      </c>
      <c r="AN19" s="12">
        <f t="shared" si="17"/>
        <v>74.935000000000002</v>
      </c>
      <c r="AO19" s="12" t="str">
        <f t="shared" si="18"/>
        <v/>
      </c>
      <c r="AP19" s="12" t="str">
        <f t="shared" si="19"/>
        <v/>
      </c>
      <c r="AQ19" s="12">
        <f t="shared" si="20"/>
        <v>74.935000000000002</v>
      </c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75"/>
      <c r="BH19" s="15" t="str">
        <f t="shared" si="21"/>
        <v/>
      </c>
      <c r="BI19" s="15" t="str">
        <f t="shared" si="22"/>
        <v/>
      </c>
      <c r="BJ19" s="15" t="str">
        <f t="shared" si="23"/>
        <v/>
      </c>
      <c r="BK19" s="15" t="str">
        <f t="shared" si="24"/>
        <v/>
      </c>
      <c r="BL19" s="15" t="str">
        <f t="shared" si="25"/>
        <v/>
      </c>
      <c r="BM19" s="15" t="str">
        <f t="shared" si="26"/>
        <v/>
      </c>
      <c r="BN19" s="15" t="str">
        <f t="shared" si="27"/>
        <v/>
      </c>
      <c r="BO19" s="24">
        <f t="shared" si="28"/>
        <v>39.17</v>
      </c>
      <c r="BP19" s="24">
        <f t="shared" si="29"/>
        <v>41.395000000000003</v>
      </c>
      <c r="BQ19" s="24">
        <f t="shared" si="30"/>
        <v>5.6299999999999955</v>
      </c>
      <c r="BR19" s="24" t="str">
        <f t="shared" si="31"/>
        <v/>
      </c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12" t="str">
        <f t="shared" si="32"/>
        <v/>
      </c>
      <c r="CI19" s="12" t="str">
        <f t="shared" si="33"/>
        <v/>
      </c>
      <c r="CJ19" s="12" t="str">
        <f t="shared" si="34"/>
        <v/>
      </c>
      <c r="CK19" s="12" t="str">
        <f t="shared" si="35"/>
        <v/>
      </c>
      <c r="CL19" s="12" t="str">
        <f t="shared" si="36"/>
        <v/>
      </c>
      <c r="CM19" s="12" t="str">
        <f t="shared" si="37"/>
        <v/>
      </c>
      <c r="CN19" s="12" t="str">
        <f t="shared" si="38"/>
        <v/>
      </c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15" t="str">
        <f t="shared" si="39"/>
        <v/>
      </c>
      <c r="DE19" s="15" t="str">
        <f t="shared" si="40"/>
        <v/>
      </c>
      <c r="DF19" s="15" t="str">
        <f t="shared" si="41"/>
        <v/>
      </c>
      <c r="DG19" s="15" t="str">
        <f t="shared" si="42"/>
        <v/>
      </c>
      <c r="DH19" s="15" t="str">
        <f t="shared" si="43"/>
        <v/>
      </c>
      <c r="DI19" s="15" t="str">
        <f t="shared" si="44"/>
        <v/>
      </c>
      <c r="DJ19" s="15" t="str">
        <f t="shared" si="45"/>
        <v/>
      </c>
      <c r="DK19" s="36">
        <v>15.1</v>
      </c>
      <c r="DL19" s="36">
        <v>8.5500000000000007</v>
      </c>
      <c r="DM19" s="36">
        <v>0</v>
      </c>
      <c r="DN19" s="36">
        <v>15.52</v>
      </c>
      <c r="DO19" s="36">
        <v>0</v>
      </c>
      <c r="DP19" s="36">
        <v>12</v>
      </c>
      <c r="DQ19" s="36">
        <v>7.1</v>
      </c>
      <c r="DR19" s="36">
        <v>10.199999999999999</v>
      </c>
      <c r="DS19" s="36">
        <v>12.095000000000001</v>
      </c>
      <c r="DT19" s="36">
        <v>0</v>
      </c>
      <c r="DU19" s="36"/>
      <c r="DV19" s="36"/>
      <c r="DW19" s="36"/>
      <c r="DX19" s="36"/>
      <c r="DY19" s="36"/>
      <c r="DZ19" s="12">
        <f t="shared" si="46"/>
        <v>10.199999999999999</v>
      </c>
      <c r="EA19" s="12">
        <f t="shared" si="47"/>
        <v>39.17</v>
      </c>
      <c r="EB19" s="12">
        <f t="shared" si="48"/>
        <v>41.395000000000003</v>
      </c>
      <c r="EC19" s="12">
        <f t="shared" si="49"/>
        <v>80.564999999999998</v>
      </c>
      <c r="ED19" s="12" t="str">
        <f t="shared" si="50"/>
        <v/>
      </c>
      <c r="EE19" s="12" t="str">
        <f t="shared" si="51"/>
        <v/>
      </c>
      <c r="EF19" s="12">
        <f t="shared" si="52"/>
        <v>80.564999999999998</v>
      </c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15" t="str">
        <f t="shared" si="53"/>
        <v/>
      </c>
      <c r="EW19" s="15" t="str">
        <f t="shared" si="54"/>
        <v/>
      </c>
      <c r="EX19" s="15" t="str">
        <f t="shared" si="55"/>
        <v/>
      </c>
      <c r="EY19" s="15" t="str">
        <f t="shared" si="56"/>
        <v/>
      </c>
      <c r="EZ19" s="15" t="str">
        <f t="shared" si="57"/>
        <v/>
      </c>
      <c r="FA19" s="15" t="str">
        <f t="shared" si="58"/>
        <v/>
      </c>
      <c r="FB19" s="15" t="str">
        <f t="shared" si="59"/>
        <v/>
      </c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12" t="str">
        <f t="shared" si="60"/>
        <v/>
      </c>
      <c r="FS19" s="12" t="str">
        <f t="shared" si="61"/>
        <v/>
      </c>
      <c r="FT19" s="12" t="str">
        <f t="shared" si="62"/>
        <v/>
      </c>
      <c r="FU19" s="12" t="str">
        <f t="shared" si="63"/>
        <v/>
      </c>
      <c r="FV19" s="12" t="str">
        <f t="shared" si="64"/>
        <v/>
      </c>
      <c r="FW19" s="12" t="str">
        <f t="shared" si="65"/>
        <v/>
      </c>
      <c r="FX19" s="12" t="str">
        <f t="shared" si="66"/>
        <v/>
      </c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15" t="str">
        <f t="shared" si="67"/>
        <v/>
      </c>
      <c r="GO19" s="15" t="str">
        <f t="shared" si="68"/>
        <v/>
      </c>
      <c r="GP19" s="15" t="str">
        <f t="shared" si="69"/>
        <v/>
      </c>
      <c r="GQ19" s="15" t="str">
        <f t="shared" si="70"/>
        <v/>
      </c>
      <c r="GR19" s="15" t="str">
        <f t="shared" si="71"/>
        <v/>
      </c>
      <c r="GS19" s="15" t="str">
        <f t="shared" si="72"/>
        <v/>
      </c>
      <c r="GT19" s="15" t="str">
        <f t="shared" si="73"/>
        <v/>
      </c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12" t="str">
        <f t="shared" si="74"/>
        <v/>
      </c>
      <c r="HK19" s="12" t="str">
        <f t="shared" si="75"/>
        <v/>
      </c>
      <c r="HL19" s="12" t="str">
        <f t="shared" si="76"/>
        <v/>
      </c>
      <c r="HM19" s="12" t="str">
        <f t="shared" si="77"/>
        <v/>
      </c>
      <c r="HN19" s="12" t="str">
        <f t="shared" si="78"/>
        <v/>
      </c>
      <c r="HO19" s="12" t="str">
        <f t="shared" si="79"/>
        <v/>
      </c>
      <c r="HP19" s="12" t="str">
        <f t="shared" si="80"/>
        <v/>
      </c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15" t="str">
        <f t="shared" si="81"/>
        <v/>
      </c>
      <c r="IG19" s="15" t="str">
        <f t="shared" si="82"/>
        <v/>
      </c>
      <c r="IH19" s="15" t="str">
        <f t="shared" si="83"/>
        <v/>
      </c>
      <c r="II19" s="15" t="str">
        <f t="shared" si="84"/>
        <v/>
      </c>
      <c r="IJ19" s="15" t="str">
        <f t="shared" si="85"/>
        <v/>
      </c>
      <c r="IK19" s="15" t="str">
        <f t="shared" si="86"/>
        <v/>
      </c>
      <c r="IL19" s="15" t="str">
        <f t="shared" si="87"/>
        <v/>
      </c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12" t="str">
        <f t="shared" si="88"/>
        <v/>
      </c>
      <c r="JC19" s="12" t="str">
        <f t="shared" si="89"/>
        <v/>
      </c>
      <c r="JD19" s="12" t="str">
        <f t="shared" si="90"/>
        <v/>
      </c>
      <c r="JE19" s="12" t="str">
        <f t="shared" si="91"/>
        <v/>
      </c>
      <c r="JF19" s="12" t="str">
        <f t="shared" si="92"/>
        <v/>
      </c>
      <c r="JG19" s="12" t="str">
        <f t="shared" si="93"/>
        <v/>
      </c>
      <c r="JH19" s="12" t="str">
        <f t="shared" si="94"/>
        <v/>
      </c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15" t="str">
        <f t="shared" si="95"/>
        <v/>
      </c>
      <c r="JY19" s="15" t="str">
        <f t="shared" si="96"/>
        <v/>
      </c>
      <c r="JZ19" s="15" t="str">
        <f t="shared" si="97"/>
        <v/>
      </c>
      <c r="KA19" s="15" t="str">
        <f t="shared" si="98"/>
        <v/>
      </c>
      <c r="KB19" s="15" t="str">
        <f t="shared" si="99"/>
        <v/>
      </c>
      <c r="KC19" s="15" t="str">
        <f t="shared" si="100"/>
        <v/>
      </c>
      <c r="KD19" s="15" t="str">
        <f t="shared" si="101"/>
        <v/>
      </c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12" t="str">
        <f t="shared" si="102"/>
        <v/>
      </c>
      <c r="KU19" s="12" t="str">
        <f t="shared" si="103"/>
        <v/>
      </c>
      <c r="KV19" s="12" t="str">
        <f t="shared" si="104"/>
        <v/>
      </c>
      <c r="KW19" s="12" t="str">
        <f t="shared" si="105"/>
        <v/>
      </c>
      <c r="KX19" s="12" t="str">
        <f t="shared" si="106"/>
        <v/>
      </c>
      <c r="KY19" s="12" t="str">
        <f t="shared" si="107"/>
        <v/>
      </c>
      <c r="KZ19" s="12" t="str">
        <f t="shared" si="108"/>
        <v/>
      </c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15" t="str">
        <f t="shared" si="109"/>
        <v/>
      </c>
      <c r="LQ19" s="15" t="str">
        <f t="shared" si="110"/>
        <v/>
      </c>
      <c r="LR19" s="15" t="str">
        <f t="shared" si="111"/>
        <v/>
      </c>
      <c r="LS19" s="15" t="str">
        <f t="shared" si="112"/>
        <v/>
      </c>
      <c r="LT19" s="15" t="str">
        <f t="shared" si="113"/>
        <v/>
      </c>
      <c r="LU19" s="15" t="str">
        <f t="shared" si="114"/>
        <v/>
      </c>
      <c r="LV19" s="15" t="str">
        <f t="shared" si="115"/>
        <v/>
      </c>
      <c r="LW19" s="63">
        <f t="shared" si="126"/>
        <v>7.25</v>
      </c>
      <c r="LX19" s="63">
        <f t="shared" si="127"/>
        <v>4.6500000000000004</v>
      </c>
      <c r="LY19" s="63">
        <f t="shared" si="128"/>
        <v>2.8</v>
      </c>
      <c r="LZ19" s="63">
        <f t="shared" si="129"/>
        <v>7.3975</v>
      </c>
      <c r="MA19" s="63">
        <f t="shared" si="130"/>
        <v>0</v>
      </c>
      <c r="MB19" s="63">
        <f t="shared" si="131"/>
        <v>4.3</v>
      </c>
      <c r="MC19" s="63">
        <f t="shared" si="132"/>
        <v>2.7250000000000001</v>
      </c>
      <c r="MD19" s="63">
        <f t="shared" si="133"/>
        <v>3.95</v>
      </c>
      <c r="ME19" s="63">
        <f t="shared" si="134"/>
        <v>4.3949999999999996</v>
      </c>
      <c r="MF19" s="63">
        <f t="shared" si="135"/>
        <v>0</v>
      </c>
      <c r="MG19" s="63">
        <f t="shared" si="136"/>
        <v>0</v>
      </c>
      <c r="MH19" s="63">
        <f t="shared" si="137"/>
        <v>0</v>
      </c>
      <c r="MI19" s="63">
        <f t="shared" si="138"/>
        <v>0</v>
      </c>
      <c r="MJ19" s="63">
        <f t="shared" si="139"/>
        <v>0</v>
      </c>
      <c r="MK19" s="63">
        <f t="shared" si="140"/>
        <v>0</v>
      </c>
      <c r="ML19" s="74" t="s">
        <v>119</v>
      </c>
      <c r="MM19" s="12">
        <f t="shared" si="141"/>
        <v>3.95</v>
      </c>
      <c r="MN19" s="12">
        <f t="shared" si="142"/>
        <v>22.0975</v>
      </c>
      <c r="MO19" s="12">
        <f t="shared" si="143"/>
        <v>15.370000000000001</v>
      </c>
      <c r="MP19" s="12">
        <f t="shared" si="144"/>
        <v>37.467500000000001</v>
      </c>
      <c r="MQ19" s="12" t="str">
        <f t="shared" si="145"/>
        <v/>
      </c>
      <c r="MR19" s="12" t="str">
        <f t="shared" si="146"/>
        <v/>
      </c>
      <c r="MS19" s="12">
        <f t="shared" si="147"/>
        <v>37.467500000000001</v>
      </c>
    </row>
    <row r="20" spans="1:357" x14ac:dyDescent="0.2">
      <c r="A20" s="6" t="str">
        <f t="shared" si="0"/>
        <v/>
      </c>
      <c r="B20" s="7" t="s">
        <v>93</v>
      </c>
      <c r="C20" s="8" t="s">
        <v>4</v>
      </c>
      <c r="D20" s="27">
        <v>2003</v>
      </c>
      <c r="E20" s="16">
        <f t="shared" si="1"/>
        <v>93.079999999999984</v>
      </c>
      <c r="F20" s="4" t="str">
        <f t="shared" si="123"/>
        <v/>
      </c>
      <c r="G20" s="4" t="str">
        <f t="shared" si="124"/>
        <v/>
      </c>
      <c r="H20" s="4" t="str">
        <f t="shared" si="2"/>
        <v/>
      </c>
      <c r="I20" t="str">
        <f t="shared" si="125"/>
        <v/>
      </c>
      <c r="J20" s="15">
        <f t="shared" si="3"/>
        <v>93.079999999999984</v>
      </c>
      <c r="K20" s="15" t="str">
        <f t="shared" si="4"/>
        <v>2018 Nationals</v>
      </c>
      <c r="L20" s="15" t="str">
        <f t="shared" si="5"/>
        <v/>
      </c>
      <c r="M20" s="15" t="str">
        <f t="shared" si="6"/>
        <v/>
      </c>
      <c r="N20" s="15" t="str">
        <f t="shared" si="7"/>
        <v/>
      </c>
      <c r="O20" s="15" t="str">
        <f t="shared" si="8"/>
        <v/>
      </c>
      <c r="P20" s="15" t="str">
        <f t="shared" si="9"/>
        <v/>
      </c>
      <c r="Q20" s="15" t="str">
        <f t="shared" si="10"/>
        <v/>
      </c>
      <c r="R20" s="15" t="str">
        <f t="shared" si="11"/>
        <v/>
      </c>
      <c r="S20" s="25" t="str">
        <f t="shared" si="12"/>
        <v/>
      </c>
      <c r="T20" s="15" t="str">
        <f t="shared" si="13"/>
        <v/>
      </c>
      <c r="U20" s="63">
        <v>13.5</v>
      </c>
      <c r="V20" s="63">
        <v>9.25</v>
      </c>
      <c r="W20" s="63">
        <v>5.4</v>
      </c>
      <c r="X20" s="63">
        <v>15.955</v>
      </c>
      <c r="Y20" s="63">
        <v>0</v>
      </c>
      <c r="Z20" s="63">
        <v>13.3</v>
      </c>
      <c r="AA20" s="63">
        <v>8.8000000000000007</v>
      </c>
      <c r="AB20" s="63">
        <v>11.2</v>
      </c>
      <c r="AC20" s="63">
        <v>15.675000000000001</v>
      </c>
      <c r="AD20" s="63">
        <v>0</v>
      </c>
      <c r="AE20" s="63"/>
      <c r="AF20" s="63"/>
      <c r="AG20" s="63"/>
      <c r="AH20" s="63"/>
      <c r="AI20" s="63"/>
      <c r="AJ20" s="74"/>
      <c r="AK20" s="12">
        <f t="shared" si="14"/>
        <v>11.2</v>
      </c>
      <c r="AL20" s="12">
        <f t="shared" si="15"/>
        <v>44.104999999999997</v>
      </c>
      <c r="AM20" s="12">
        <f t="shared" si="16"/>
        <v>48.974999999999994</v>
      </c>
      <c r="AN20" s="12">
        <f t="shared" si="17"/>
        <v>93.079999999999984</v>
      </c>
      <c r="AO20" s="12" t="str">
        <f t="shared" si="18"/>
        <v/>
      </c>
      <c r="AP20" s="12" t="str">
        <f t="shared" si="19"/>
        <v/>
      </c>
      <c r="AQ20" s="12">
        <f t="shared" si="20"/>
        <v>93.079999999999984</v>
      </c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75"/>
      <c r="BH20" s="15" t="str">
        <f t="shared" si="21"/>
        <v/>
      </c>
      <c r="BI20" s="15" t="str">
        <f t="shared" si="22"/>
        <v/>
      </c>
      <c r="BJ20" s="15" t="str">
        <f t="shared" si="23"/>
        <v/>
      </c>
      <c r="BK20" s="15" t="str">
        <f t="shared" si="24"/>
        <v/>
      </c>
      <c r="BL20" s="15" t="str">
        <f t="shared" si="25"/>
        <v/>
      </c>
      <c r="BM20" s="15" t="str">
        <f t="shared" si="26"/>
        <v/>
      </c>
      <c r="BN20" s="15" t="str">
        <f t="shared" si="27"/>
        <v/>
      </c>
      <c r="BO20" s="24" t="str">
        <f t="shared" si="28"/>
        <v/>
      </c>
      <c r="BP20" s="24" t="str">
        <f t="shared" si="29"/>
        <v/>
      </c>
      <c r="BQ20" s="24" t="str">
        <f t="shared" si="30"/>
        <v/>
      </c>
      <c r="BR20" s="24" t="str">
        <f t="shared" si="31"/>
        <v/>
      </c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12" t="str">
        <f t="shared" si="32"/>
        <v/>
      </c>
      <c r="CI20" s="12" t="str">
        <f t="shared" si="33"/>
        <v/>
      </c>
      <c r="CJ20" s="12" t="str">
        <f t="shared" si="34"/>
        <v/>
      </c>
      <c r="CK20" s="12" t="str">
        <f t="shared" si="35"/>
        <v/>
      </c>
      <c r="CL20" s="12" t="str">
        <f t="shared" si="36"/>
        <v/>
      </c>
      <c r="CM20" s="12" t="str">
        <f t="shared" si="37"/>
        <v/>
      </c>
      <c r="CN20" s="12" t="str">
        <f t="shared" si="38"/>
        <v/>
      </c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15" t="str">
        <f t="shared" si="39"/>
        <v/>
      </c>
      <c r="DE20" s="15" t="str">
        <f t="shared" si="40"/>
        <v/>
      </c>
      <c r="DF20" s="15" t="str">
        <f t="shared" si="41"/>
        <v/>
      </c>
      <c r="DG20" s="15" t="str">
        <f t="shared" si="42"/>
        <v/>
      </c>
      <c r="DH20" s="15" t="str">
        <f t="shared" si="43"/>
        <v/>
      </c>
      <c r="DI20" s="15" t="str">
        <f t="shared" si="44"/>
        <v/>
      </c>
      <c r="DJ20" s="15" t="str">
        <f t="shared" si="45"/>
        <v/>
      </c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12" t="str">
        <f t="shared" si="46"/>
        <v/>
      </c>
      <c r="EA20" s="12" t="str">
        <f t="shared" si="47"/>
        <v/>
      </c>
      <c r="EB20" s="12" t="str">
        <f t="shared" si="48"/>
        <v/>
      </c>
      <c r="EC20" s="12" t="str">
        <f t="shared" si="49"/>
        <v/>
      </c>
      <c r="ED20" s="12" t="str">
        <f t="shared" si="50"/>
        <v/>
      </c>
      <c r="EE20" s="12" t="str">
        <f t="shared" si="51"/>
        <v/>
      </c>
      <c r="EF20" s="12" t="str">
        <f t="shared" si="52"/>
        <v/>
      </c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15" t="str">
        <f t="shared" si="53"/>
        <v/>
      </c>
      <c r="EW20" s="15" t="str">
        <f t="shared" si="54"/>
        <v/>
      </c>
      <c r="EX20" s="15" t="str">
        <f t="shared" si="55"/>
        <v/>
      </c>
      <c r="EY20" s="15" t="str">
        <f t="shared" si="56"/>
        <v/>
      </c>
      <c r="EZ20" s="15" t="str">
        <f t="shared" si="57"/>
        <v/>
      </c>
      <c r="FA20" s="15" t="str">
        <f t="shared" si="58"/>
        <v/>
      </c>
      <c r="FB20" s="15" t="str">
        <f t="shared" si="59"/>
        <v/>
      </c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12" t="str">
        <f t="shared" si="60"/>
        <v/>
      </c>
      <c r="FS20" s="12" t="str">
        <f t="shared" si="61"/>
        <v/>
      </c>
      <c r="FT20" s="12" t="str">
        <f t="shared" si="62"/>
        <v/>
      </c>
      <c r="FU20" s="12" t="str">
        <f t="shared" si="63"/>
        <v/>
      </c>
      <c r="FV20" s="12" t="str">
        <f t="shared" si="64"/>
        <v/>
      </c>
      <c r="FW20" s="12" t="str">
        <f t="shared" si="65"/>
        <v/>
      </c>
      <c r="FX20" s="12" t="str">
        <f t="shared" si="66"/>
        <v/>
      </c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15" t="str">
        <f t="shared" si="67"/>
        <v/>
      </c>
      <c r="GO20" s="15" t="str">
        <f t="shared" si="68"/>
        <v/>
      </c>
      <c r="GP20" s="15" t="str">
        <f t="shared" si="69"/>
        <v/>
      </c>
      <c r="GQ20" s="15" t="str">
        <f t="shared" si="70"/>
        <v/>
      </c>
      <c r="GR20" s="15" t="str">
        <f t="shared" si="71"/>
        <v/>
      </c>
      <c r="GS20" s="15" t="str">
        <f t="shared" si="72"/>
        <v/>
      </c>
      <c r="GT20" s="15" t="str">
        <f t="shared" si="73"/>
        <v/>
      </c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12" t="str">
        <f t="shared" si="74"/>
        <v/>
      </c>
      <c r="HK20" s="12" t="str">
        <f t="shared" si="75"/>
        <v/>
      </c>
      <c r="HL20" s="12" t="str">
        <f t="shared" si="76"/>
        <v/>
      </c>
      <c r="HM20" s="12" t="str">
        <f t="shared" si="77"/>
        <v/>
      </c>
      <c r="HN20" s="12" t="str">
        <f t="shared" si="78"/>
        <v/>
      </c>
      <c r="HO20" s="12" t="str">
        <f t="shared" si="79"/>
        <v/>
      </c>
      <c r="HP20" s="12" t="str">
        <f t="shared" si="80"/>
        <v/>
      </c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15" t="str">
        <f t="shared" si="81"/>
        <v/>
      </c>
      <c r="IG20" s="15" t="str">
        <f t="shared" si="82"/>
        <v/>
      </c>
      <c r="IH20" s="15" t="str">
        <f t="shared" si="83"/>
        <v/>
      </c>
      <c r="II20" s="15" t="str">
        <f t="shared" si="84"/>
        <v/>
      </c>
      <c r="IJ20" s="15" t="str">
        <f t="shared" si="85"/>
        <v/>
      </c>
      <c r="IK20" s="15" t="str">
        <f t="shared" si="86"/>
        <v/>
      </c>
      <c r="IL20" s="15" t="str">
        <f t="shared" si="87"/>
        <v/>
      </c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12" t="str">
        <f t="shared" si="88"/>
        <v/>
      </c>
      <c r="JC20" s="12" t="str">
        <f t="shared" si="89"/>
        <v/>
      </c>
      <c r="JD20" s="12" t="str">
        <f t="shared" si="90"/>
        <v/>
      </c>
      <c r="JE20" s="12" t="str">
        <f t="shared" si="91"/>
        <v/>
      </c>
      <c r="JF20" s="12" t="str">
        <f t="shared" si="92"/>
        <v/>
      </c>
      <c r="JG20" s="12" t="str">
        <f t="shared" si="93"/>
        <v/>
      </c>
      <c r="JH20" s="12" t="str">
        <f t="shared" si="94"/>
        <v/>
      </c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15" t="str">
        <f t="shared" si="95"/>
        <v/>
      </c>
      <c r="JY20" s="15" t="str">
        <f t="shared" si="96"/>
        <v/>
      </c>
      <c r="JZ20" s="15" t="str">
        <f t="shared" si="97"/>
        <v/>
      </c>
      <c r="KA20" s="15" t="str">
        <f t="shared" si="98"/>
        <v/>
      </c>
      <c r="KB20" s="15" t="str">
        <f t="shared" si="99"/>
        <v/>
      </c>
      <c r="KC20" s="15" t="str">
        <f t="shared" si="100"/>
        <v/>
      </c>
      <c r="KD20" s="15" t="str">
        <f t="shared" si="101"/>
        <v/>
      </c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12" t="str">
        <f t="shared" si="102"/>
        <v/>
      </c>
      <c r="KU20" s="12" t="str">
        <f t="shared" si="103"/>
        <v/>
      </c>
      <c r="KV20" s="12" t="str">
        <f t="shared" si="104"/>
        <v/>
      </c>
      <c r="KW20" s="12" t="str">
        <f t="shared" si="105"/>
        <v/>
      </c>
      <c r="KX20" s="12" t="str">
        <f t="shared" si="106"/>
        <v/>
      </c>
      <c r="KY20" s="12" t="str">
        <f t="shared" si="107"/>
        <v/>
      </c>
      <c r="KZ20" s="12" t="str">
        <f t="shared" si="108"/>
        <v/>
      </c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15" t="str">
        <f t="shared" si="109"/>
        <v/>
      </c>
      <c r="LQ20" s="15" t="str">
        <f t="shared" si="110"/>
        <v/>
      </c>
      <c r="LR20" s="15" t="str">
        <f t="shared" si="111"/>
        <v/>
      </c>
      <c r="LS20" s="15" t="str">
        <f t="shared" si="112"/>
        <v/>
      </c>
      <c r="LT20" s="15" t="str">
        <f t="shared" si="113"/>
        <v/>
      </c>
      <c r="LU20" s="15" t="str">
        <f t="shared" si="114"/>
        <v/>
      </c>
      <c r="LV20" s="15" t="str">
        <f t="shared" si="115"/>
        <v/>
      </c>
      <c r="LW20" s="63">
        <f t="shared" si="126"/>
        <v>6.75</v>
      </c>
      <c r="LX20" s="63">
        <f t="shared" si="127"/>
        <v>4.625</v>
      </c>
      <c r="LY20" s="63">
        <f t="shared" si="128"/>
        <v>2.7</v>
      </c>
      <c r="LZ20" s="63">
        <f t="shared" si="129"/>
        <v>7.9775</v>
      </c>
      <c r="MA20" s="63">
        <f t="shared" si="130"/>
        <v>0</v>
      </c>
      <c r="MB20" s="63">
        <f t="shared" si="131"/>
        <v>6.65</v>
      </c>
      <c r="MC20" s="63">
        <f t="shared" si="132"/>
        <v>4.4000000000000004</v>
      </c>
      <c r="MD20" s="63">
        <f t="shared" si="133"/>
        <v>5.6</v>
      </c>
      <c r="ME20" s="63">
        <f t="shared" si="134"/>
        <v>7.8375000000000004</v>
      </c>
      <c r="MF20" s="63">
        <f t="shared" si="135"/>
        <v>0</v>
      </c>
      <c r="MG20" s="63">
        <f t="shared" si="136"/>
        <v>0</v>
      </c>
      <c r="MH20" s="63">
        <f t="shared" si="137"/>
        <v>0</v>
      </c>
      <c r="MI20" s="63">
        <f t="shared" si="138"/>
        <v>0</v>
      </c>
      <c r="MJ20" s="63">
        <f t="shared" si="139"/>
        <v>0</v>
      </c>
      <c r="MK20" s="63">
        <f t="shared" si="140"/>
        <v>0</v>
      </c>
      <c r="ML20" s="74" t="s">
        <v>119</v>
      </c>
      <c r="MM20" s="12">
        <f t="shared" si="141"/>
        <v>5.6</v>
      </c>
      <c r="MN20" s="12">
        <f t="shared" si="142"/>
        <v>22.052499999999998</v>
      </c>
      <c r="MO20" s="12">
        <f t="shared" si="143"/>
        <v>24.487499999999997</v>
      </c>
      <c r="MP20" s="12">
        <f t="shared" si="144"/>
        <v>46.539999999999992</v>
      </c>
      <c r="MQ20" s="12" t="str">
        <f t="shared" si="145"/>
        <v/>
      </c>
      <c r="MR20" s="12" t="str">
        <f t="shared" si="146"/>
        <v/>
      </c>
      <c r="MS20" s="12">
        <f t="shared" si="147"/>
        <v>46.539999999999992</v>
      </c>
    </row>
    <row r="21" spans="1:357" x14ac:dyDescent="0.2">
      <c r="A21" s="6" t="str">
        <f t="shared" si="0"/>
        <v/>
      </c>
      <c r="B21" s="7" t="s">
        <v>91</v>
      </c>
      <c r="C21" s="8" t="s">
        <v>6</v>
      </c>
      <c r="D21" s="27">
        <v>2000</v>
      </c>
      <c r="E21" s="16">
        <f t="shared" si="1"/>
        <v>79.42</v>
      </c>
      <c r="F21" s="4" t="str">
        <f t="shared" si="123"/>
        <v/>
      </c>
      <c r="G21" s="4" t="str">
        <f t="shared" si="124"/>
        <v/>
      </c>
      <c r="H21" s="4" t="str">
        <f t="shared" si="2"/>
        <v/>
      </c>
      <c r="I21" t="str">
        <f t="shared" si="125"/>
        <v/>
      </c>
      <c r="J21" s="15">
        <f t="shared" si="3"/>
        <v>79.42</v>
      </c>
      <c r="K21" s="15" t="str">
        <f t="shared" si="4"/>
        <v>2018 Nationals</v>
      </c>
      <c r="L21" s="15" t="str">
        <f t="shared" si="5"/>
        <v/>
      </c>
      <c r="M21" s="15" t="str">
        <f t="shared" si="6"/>
        <v/>
      </c>
      <c r="N21" s="15" t="str">
        <f t="shared" si="7"/>
        <v/>
      </c>
      <c r="O21" s="15" t="str">
        <f t="shared" si="8"/>
        <v/>
      </c>
      <c r="P21" s="15" t="str">
        <f t="shared" si="9"/>
        <v/>
      </c>
      <c r="Q21" s="15" t="str">
        <f t="shared" si="10"/>
        <v/>
      </c>
      <c r="R21" s="15" t="str">
        <f t="shared" si="11"/>
        <v/>
      </c>
      <c r="S21" s="25" t="str">
        <f t="shared" si="12"/>
        <v/>
      </c>
      <c r="T21" s="15" t="str">
        <f t="shared" si="13"/>
        <v/>
      </c>
      <c r="U21" s="63">
        <v>10.7</v>
      </c>
      <c r="V21" s="63">
        <v>5.4</v>
      </c>
      <c r="W21" s="63">
        <v>1.2</v>
      </c>
      <c r="X21" s="63">
        <v>10.555</v>
      </c>
      <c r="Y21" s="63">
        <v>0</v>
      </c>
      <c r="Z21" s="63">
        <v>15.5</v>
      </c>
      <c r="AA21" s="63">
        <v>8.9</v>
      </c>
      <c r="AB21" s="63">
        <v>11.4</v>
      </c>
      <c r="AC21" s="63">
        <v>15.765000000000001</v>
      </c>
      <c r="AD21" s="63">
        <v>0</v>
      </c>
      <c r="AE21" s="63"/>
      <c r="AF21" s="63"/>
      <c r="AG21" s="63"/>
      <c r="AH21" s="63"/>
      <c r="AI21" s="63"/>
      <c r="AJ21" s="74"/>
      <c r="AK21" s="12">
        <f t="shared" si="14"/>
        <v>11.4</v>
      </c>
      <c r="AL21" s="12">
        <f t="shared" si="15"/>
        <v>27.855</v>
      </c>
      <c r="AM21" s="12">
        <f t="shared" si="16"/>
        <v>51.564999999999998</v>
      </c>
      <c r="AN21" s="12">
        <f t="shared" si="17"/>
        <v>79.42</v>
      </c>
      <c r="AO21" s="12" t="str">
        <f t="shared" si="18"/>
        <v/>
      </c>
      <c r="AP21" s="12" t="str">
        <f t="shared" si="19"/>
        <v/>
      </c>
      <c r="AQ21" s="12">
        <f t="shared" si="20"/>
        <v>79.42</v>
      </c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75"/>
      <c r="BH21" s="15" t="str">
        <f t="shared" si="21"/>
        <v/>
      </c>
      <c r="BI21" s="15" t="str">
        <f t="shared" si="22"/>
        <v/>
      </c>
      <c r="BJ21" s="15" t="str">
        <f t="shared" si="23"/>
        <v/>
      </c>
      <c r="BK21" s="15" t="str">
        <f t="shared" si="24"/>
        <v/>
      </c>
      <c r="BL21" s="15" t="str">
        <f t="shared" si="25"/>
        <v/>
      </c>
      <c r="BM21" s="15" t="str">
        <f t="shared" si="26"/>
        <v/>
      </c>
      <c r="BN21" s="15" t="str">
        <f t="shared" si="27"/>
        <v/>
      </c>
      <c r="BO21" s="24" t="str">
        <f t="shared" si="28"/>
        <v/>
      </c>
      <c r="BP21" s="24" t="str">
        <f t="shared" si="29"/>
        <v/>
      </c>
      <c r="BQ21" s="24" t="str">
        <f t="shared" si="30"/>
        <v/>
      </c>
      <c r="BR21" s="24" t="str">
        <f t="shared" si="31"/>
        <v/>
      </c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12" t="str">
        <f t="shared" si="32"/>
        <v/>
      </c>
      <c r="CI21" s="12" t="str">
        <f t="shared" si="33"/>
        <v/>
      </c>
      <c r="CJ21" s="12" t="str">
        <f t="shared" si="34"/>
        <v/>
      </c>
      <c r="CK21" s="12" t="str">
        <f t="shared" si="35"/>
        <v/>
      </c>
      <c r="CL21" s="12" t="str">
        <f t="shared" si="36"/>
        <v/>
      </c>
      <c r="CM21" s="12" t="str">
        <f t="shared" si="37"/>
        <v/>
      </c>
      <c r="CN21" s="12" t="str">
        <f t="shared" si="38"/>
        <v/>
      </c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15" t="str">
        <f t="shared" si="39"/>
        <v/>
      </c>
      <c r="DE21" s="15" t="str">
        <f t="shared" si="40"/>
        <v/>
      </c>
      <c r="DF21" s="15" t="str">
        <f t="shared" si="41"/>
        <v/>
      </c>
      <c r="DG21" s="15" t="str">
        <f t="shared" si="42"/>
        <v/>
      </c>
      <c r="DH21" s="15" t="str">
        <f t="shared" si="43"/>
        <v/>
      </c>
      <c r="DI21" s="15" t="str">
        <f t="shared" si="44"/>
        <v/>
      </c>
      <c r="DJ21" s="15" t="str">
        <f t="shared" si="45"/>
        <v/>
      </c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12" t="str">
        <f t="shared" si="46"/>
        <v/>
      </c>
      <c r="EA21" s="12" t="str">
        <f t="shared" si="47"/>
        <v/>
      </c>
      <c r="EB21" s="12" t="str">
        <f t="shared" si="48"/>
        <v/>
      </c>
      <c r="EC21" s="12" t="str">
        <f t="shared" si="49"/>
        <v/>
      </c>
      <c r="ED21" s="12" t="str">
        <f t="shared" si="50"/>
        <v/>
      </c>
      <c r="EE21" s="12" t="str">
        <f t="shared" si="51"/>
        <v/>
      </c>
      <c r="EF21" s="12" t="str">
        <f t="shared" si="52"/>
        <v/>
      </c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15" t="str">
        <f t="shared" si="53"/>
        <v/>
      </c>
      <c r="EW21" s="15" t="str">
        <f t="shared" si="54"/>
        <v/>
      </c>
      <c r="EX21" s="15" t="str">
        <f t="shared" si="55"/>
        <v/>
      </c>
      <c r="EY21" s="15" t="str">
        <f t="shared" si="56"/>
        <v/>
      </c>
      <c r="EZ21" s="15" t="str">
        <f t="shared" si="57"/>
        <v/>
      </c>
      <c r="FA21" s="15" t="str">
        <f t="shared" si="58"/>
        <v/>
      </c>
      <c r="FB21" s="15" t="str">
        <f t="shared" si="59"/>
        <v/>
      </c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12" t="str">
        <f t="shared" si="60"/>
        <v/>
      </c>
      <c r="FS21" s="12" t="str">
        <f t="shared" si="61"/>
        <v/>
      </c>
      <c r="FT21" s="12" t="str">
        <f t="shared" si="62"/>
        <v/>
      </c>
      <c r="FU21" s="12" t="str">
        <f t="shared" si="63"/>
        <v/>
      </c>
      <c r="FV21" s="12" t="str">
        <f t="shared" si="64"/>
        <v/>
      </c>
      <c r="FW21" s="12" t="str">
        <f t="shared" si="65"/>
        <v/>
      </c>
      <c r="FX21" s="12" t="str">
        <f t="shared" si="66"/>
        <v/>
      </c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15" t="str">
        <f t="shared" si="67"/>
        <v/>
      </c>
      <c r="GO21" s="15" t="str">
        <f t="shared" si="68"/>
        <v/>
      </c>
      <c r="GP21" s="15" t="str">
        <f t="shared" si="69"/>
        <v/>
      </c>
      <c r="GQ21" s="15" t="str">
        <f t="shared" si="70"/>
        <v/>
      </c>
      <c r="GR21" s="15" t="str">
        <f t="shared" si="71"/>
        <v/>
      </c>
      <c r="GS21" s="15" t="str">
        <f t="shared" si="72"/>
        <v/>
      </c>
      <c r="GT21" s="15" t="str">
        <f t="shared" si="73"/>
        <v/>
      </c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12" t="str">
        <f t="shared" si="74"/>
        <v/>
      </c>
      <c r="HK21" s="12" t="str">
        <f t="shared" si="75"/>
        <v/>
      </c>
      <c r="HL21" s="12" t="str">
        <f t="shared" si="76"/>
        <v/>
      </c>
      <c r="HM21" s="12" t="str">
        <f t="shared" si="77"/>
        <v/>
      </c>
      <c r="HN21" s="12" t="str">
        <f t="shared" si="78"/>
        <v/>
      </c>
      <c r="HO21" s="12" t="str">
        <f t="shared" si="79"/>
        <v/>
      </c>
      <c r="HP21" s="12" t="str">
        <f t="shared" si="80"/>
        <v/>
      </c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15" t="str">
        <f t="shared" si="81"/>
        <v/>
      </c>
      <c r="IG21" s="15" t="str">
        <f t="shared" si="82"/>
        <v/>
      </c>
      <c r="IH21" s="15" t="str">
        <f t="shared" si="83"/>
        <v/>
      </c>
      <c r="II21" s="15" t="str">
        <f t="shared" si="84"/>
        <v/>
      </c>
      <c r="IJ21" s="15" t="str">
        <f t="shared" si="85"/>
        <v/>
      </c>
      <c r="IK21" s="15" t="str">
        <f t="shared" si="86"/>
        <v/>
      </c>
      <c r="IL21" s="15" t="str">
        <f t="shared" si="87"/>
        <v/>
      </c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12" t="str">
        <f t="shared" si="88"/>
        <v/>
      </c>
      <c r="JC21" s="12" t="str">
        <f t="shared" si="89"/>
        <v/>
      </c>
      <c r="JD21" s="12" t="str">
        <f t="shared" si="90"/>
        <v/>
      </c>
      <c r="JE21" s="12" t="str">
        <f t="shared" si="91"/>
        <v/>
      </c>
      <c r="JF21" s="12" t="str">
        <f t="shared" si="92"/>
        <v/>
      </c>
      <c r="JG21" s="12" t="str">
        <f t="shared" si="93"/>
        <v/>
      </c>
      <c r="JH21" s="12" t="str">
        <f t="shared" si="94"/>
        <v/>
      </c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15" t="str">
        <f t="shared" si="95"/>
        <v/>
      </c>
      <c r="JY21" s="15" t="str">
        <f t="shared" si="96"/>
        <v/>
      </c>
      <c r="JZ21" s="15" t="str">
        <f t="shared" si="97"/>
        <v/>
      </c>
      <c r="KA21" s="15" t="str">
        <f t="shared" si="98"/>
        <v/>
      </c>
      <c r="KB21" s="15" t="str">
        <f t="shared" si="99"/>
        <v/>
      </c>
      <c r="KC21" s="15" t="str">
        <f t="shared" si="100"/>
        <v/>
      </c>
      <c r="KD21" s="15" t="str">
        <f t="shared" si="101"/>
        <v/>
      </c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12" t="str">
        <f t="shared" si="102"/>
        <v/>
      </c>
      <c r="KU21" s="12" t="str">
        <f t="shared" si="103"/>
        <v/>
      </c>
      <c r="KV21" s="12" t="str">
        <f t="shared" si="104"/>
        <v/>
      </c>
      <c r="KW21" s="12" t="str">
        <f t="shared" si="105"/>
        <v/>
      </c>
      <c r="KX21" s="12" t="str">
        <f t="shared" si="106"/>
        <v/>
      </c>
      <c r="KY21" s="12" t="str">
        <f t="shared" si="107"/>
        <v/>
      </c>
      <c r="KZ21" s="12" t="str">
        <f t="shared" si="108"/>
        <v/>
      </c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15" t="str">
        <f t="shared" si="109"/>
        <v/>
      </c>
      <c r="LQ21" s="15" t="str">
        <f t="shared" si="110"/>
        <v/>
      </c>
      <c r="LR21" s="15" t="str">
        <f t="shared" si="111"/>
        <v/>
      </c>
      <c r="LS21" s="15" t="str">
        <f t="shared" si="112"/>
        <v/>
      </c>
      <c r="LT21" s="15" t="str">
        <f t="shared" si="113"/>
        <v/>
      </c>
      <c r="LU21" s="15" t="str">
        <f t="shared" si="114"/>
        <v/>
      </c>
      <c r="LV21" s="15" t="str">
        <f t="shared" si="115"/>
        <v/>
      </c>
      <c r="LW21" s="63">
        <f t="shared" si="126"/>
        <v>5.35</v>
      </c>
      <c r="LX21" s="63">
        <f t="shared" si="127"/>
        <v>2.7</v>
      </c>
      <c r="LY21" s="63">
        <f t="shared" si="128"/>
        <v>0.6</v>
      </c>
      <c r="LZ21" s="63">
        <f t="shared" si="129"/>
        <v>5.2774999999999999</v>
      </c>
      <c r="MA21" s="63">
        <f t="shared" si="130"/>
        <v>0</v>
      </c>
      <c r="MB21" s="63">
        <f t="shared" si="131"/>
        <v>7.75</v>
      </c>
      <c r="MC21" s="63">
        <f t="shared" si="132"/>
        <v>4.45</v>
      </c>
      <c r="MD21" s="63">
        <f t="shared" si="133"/>
        <v>5.7</v>
      </c>
      <c r="ME21" s="63">
        <f t="shared" si="134"/>
        <v>7.8825000000000003</v>
      </c>
      <c r="MF21" s="63">
        <f t="shared" si="135"/>
        <v>0</v>
      </c>
      <c r="MG21" s="63">
        <f t="shared" si="136"/>
        <v>0</v>
      </c>
      <c r="MH21" s="63">
        <f t="shared" si="137"/>
        <v>0</v>
      </c>
      <c r="MI21" s="63">
        <f t="shared" si="138"/>
        <v>0</v>
      </c>
      <c r="MJ21" s="63">
        <f t="shared" si="139"/>
        <v>0</v>
      </c>
      <c r="MK21" s="63">
        <f t="shared" si="140"/>
        <v>0</v>
      </c>
      <c r="ML21" s="74" t="s">
        <v>119</v>
      </c>
      <c r="MM21" s="12">
        <f t="shared" si="141"/>
        <v>5.7</v>
      </c>
      <c r="MN21" s="12">
        <f t="shared" si="142"/>
        <v>13.9275</v>
      </c>
      <c r="MO21" s="12">
        <f t="shared" si="143"/>
        <v>25.782499999999999</v>
      </c>
      <c r="MP21" s="12">
        <f t="shared" si="144"/>
        <v>39.71</v>
      </c>
      <c r="MQ21" s="12" t="str">
        <f t="shared" si="145"/>
        <v/>
      </c>
      <c r="MR21" s="12" t="str">
        <f t="shared" si="146"/>
        <v/>
      </c>
      <c r="MS21" s="12">
        <f t="shared" si="147"/>
        <v>39.71</v>
      </c>
    </row>
    <row r="22" spans="1:357" x14ac:dyDescent="0.2">
      <c r="A22" s="6" t="str">
        <f t="shared" si="0"/>
        <v/>
      </c>
      <c r="B22" s="7" t="s">
        <v>94</v>
      </c>
      <c r="C22" s="8" t="s">
        <v>5</v>
      </c>
      <c r="D22" s="27">
        <v>2001</v>
      </c>
      <c r="E22" s="16">
        <f t="shared" si="1"/>
        <v>62.25</v>
      </c>
      <c r="F22" s="4" t="str">
        <f t="shared" si="123"/>
        <v/>
      </c>
      <c r="G22" s="4" t="str">
        <f t="shared" si="124"/>
        <v/>
      </c>
      <c r="H22" s="4" t="str">
        <f t="shared" si="2"/>
        <v/>
      </c>
      <c r="I22" t="str">
        <f t="shared" si="125"/>
        <v/>
      </c>
      <c r="J22" s="15">
        <f t="shared" si="3"/>
        <v>62.25</v>
      </c>
      <c r="K22" s="15" t="str">
        <f t="shared" si="4"/>
        <v>2018 Nationals</v>
      </c>
      <c r="L22" s="15" t="str">
        <f t="shared" si="5"/>
        <v/>
      </c>
      <c r="M22" s="15" t="str">
        <f t="shared" si="6"/>
        <v/>
      </c>
      <c r="N22" s="15" t="str">
        <f t="shared" si="7"/>
        <v/>
      </c>
      <c r="O22" s="15" t="str">
        <f t="shared" si="8"/>
        <v/>
      </c>
      <c r="P22" s="15" t="str">
        <f t="shared" si="9"/>
        <v/>
      </c>
      <c r="Q22" s="15" t="str">
        <f t="shared" si="10"/>
        <v/>
      </c>
      <c r="R22" s="15" t="str">
        <f t="shared" si="11"/>
        <v/>
      </c>
      <c r="S22" s="25" t="str">
        <f t="shared" si="12"/>
        <v/>
      </c>
      <c r="T22" s="15" t="str">
        <f t="shared" si="13"/>
        <v/>
      </c>
      <c r="U22" s="63">
        <v>14.2</v>
      </c>
      <c r="V22" s="63">
        <v>8.85</v>
      </c>
      <c r="W22" s="63">
        <v>3.4</v>
      </c>
      <c r="X22" s="63">
        <v>15.63</v>
      </c>
      <c r="Y22" s="63">
        <v>0</v>
      </c>
      <c r="Z22" s="63">
        <v>5.3</v>
      </c>
      <c r="AA22" s="63">
        <v>3.45</v>
      </c>
      <c r="AB22" s="63">
        <v>5.2</v>
      </c>
      <c r="AC22" s="63">
        <v>6.22</v>
      </c>
      <c r="AD22" s="63">
        <v>0</v>
      </c>
      <c r="AE22" s="63"/>
      <c r="AF22" s="63"/>
      <c r="AG22" s="63"/>
      <c r="AH22" s="63"/>
      <c r="AI22" s="63"/>
      <c r="AJ22" s="74"/>
      <c r="AK22" s="12">
        <f t="shared" si="14"/>
        <v>5.2</v>
      </c>
      <c r="AL22" s="12">
        <f t="shared" si="15"/>
        <v>42.08</v>
      </c>
      <c r="AM22" s="12">
        <f t="shared" si="16"/>
        <v>20.169999999999998</v>
      </c>
      <c r="AN22" s="12">
        <f t="shared" si="17"/>
        <v>62.25</v>
      </c>
      <c r="AO22" s="12" t="str">
        <f t="shared" si="18"/>
        <v/>
      </c>
      <c r="AP22" s="12" t="str">
        <f t="shared" si="19"/>
        <v/>
      </c>
      <c r="AQ22" s="12">
        <f t="shared" si="20"/>
        <v>62.25</v>
      </c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75"/>
      <c r="BH22" s="15" t="str">
        <f t="shared" si="21"/>
        <v/>
      </c>
      <c r="BI22" s="15" t="str">
        <f t="shared" si="22"/>
        <v/>
      </c>
      <c r="BJ22" s="15" t="str">
        <f t="shared" si="23"/>
        <v/>
      </c>
      <c r="BK22" s="15" t="str">
        <f t="shared" si="24"/>
        <v/>
      </c>
      <c r="BL22" s="15" t="str">
        <f t="shared" si="25"/>
        <v/>
      </c>
      <c r="BM22" s="15" t="str">
        <f t="shared" si="26"/>
        <v/>
      </c>
      <c r="BN22" s="15" t="str">
        <f t="shared" si="27"/>
        <v/>
      </c>
      <c r="BO22" s="24" t="str">
        <f t="shared" si="28"/>
        <v/>
      </c>
      <c r="BP22" s="24" t="str">
        <f t="shared" si="29"/>
        <v/>
      </c>
      <c r="BQ22" s="24" t="str">
        <f t="shared" si="30"/>
        <v/>
      </c>
      <c r="BR22" s="24" t="str">
        <f t="shared" si="31"/>
        <v/>
      </c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12" t="str">
        <f t="shared" si="32"/>
        <v/>
      </c>
      <c r="CI22" s="12" t="str">
        <f t="shared" si="33"/>
        <v/>
      </c>
      <c r="CJ22" s="12" t="str">
        <f t="shared" si="34"/>
        <v/>
      </c>
      <c r="CK22" s="12" t="str">
        <f t="shared" si="35"/>
        <v/>
      </c>
      <c r="CL22" s="12" t="str">
        <f t="shared" si="36"/>
        <v/>
      </c>
      <c r="CM22" s="12" t="str">
        <f t="shared" si="37"/>
        <v/>
      </c>
      <c r="CN22" s="12" t="str">
        <f t="shared" si="38"/>
        <v/>
      </c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15" t="str">
        <f t="shared" si="39"/>
        <v/>
      </c>
      <c r="DE22" s="15" t="str">
        <f t="shared" si="40"/>
        <v/>
      </c>
      <c r="DF22" s="15" t="str">
        <f t="shared" si="41"/>
        <v/>
      </c>
      <c r="DG22" s="15" t="str">
        <f t="shared" si="42"/>
        <v/>
      </c>
      <c r="DH22" s="15" t="str">
        <f t="shared" si="43"/>
        <v/>
      </c>
      <c r="DI22" s="15" t="str">
        <f t="shared" si="44"/>
        <v/>
      </c>
      <c r="DJ22" s="15" t="str">
        <f t="shared" si="45"/>
        <v/>
      </c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12" t="str">
        <f t="shared" si="46"/>
        <v/>
      </c>
      <c r="EA22" s="12" t="str">
        <f t="shared" si="47"/>
        <v/>
      </c>
      <c r="EB22" s="12" t="str">
        <f t="shared" si="48"/>
        <v/>
      </c>
      <c r="EC22" s="12" t="str">
        <f t="shared" si="49"/>
        <v/>
      </c>
      <c r="ED22" s="12" t="str">
        <f t="shared" si="50"/>
        <v/>
      </c>
      <c r="EE22" s="12" t="str">
        <f t="shared" si="51"/>
        <v/>
      </c>
      <c r="EF22" s="12" t="str">
        <f t="shared" si="52"/>
        <v/>
      </c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15" t="str">
        <f t="shared" si="53"/>
        <v/>
      </c>
      <c r="EW22" s="15" t="str">
        <f t="shared" si="54"/>
        <v/>
      </c>
      <c r="EX22" s="15" t="str">
        <f t="shared" si="55"/>
        <v/>
      </c>
      <c r="EY22" s="15" t="str">
        <f t="shared" si="56"/>
        <v/>
      </c>
      <c r="EZ22" s="15" t="str">
        <f t="shared" si="57"/>
        <v/>
      </c>
      <c r="FA22" s="15" t="str">
        <f t="shared" si="58"/>
        <v/>
      </c>
      <c r="FB22" s="15" t="str">
        <f t="shared" si="59"/>
        <v/>
      </c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12" t="str">
        <f t="shared" si="60"/>
        <v/>
      </c>
      <c r="FS22" s="12" t="str">
        <f t="shared" si="61"/>
        <v/>
      </c>
      <c r="FT22" s="12" t="str">
        <f t="shared" si="62"/>
        <v/>
      </c>
      <c r="FU22" s="12" t="str">
        <f t="shared" si="63"/>
        <v/>
      </c>
      <c r="FV22" s="12" t="str">
        <f t="shared" si="64"/>
        <v/>
      </c>
      <c r="FW22" s="12" t="str">
        <f t="shared" si="65"/>
        <v/>
      </c>
      <c r="FX22" s="12" t="str">
        <f t="shared" si="66"/>
        <v/>
      </c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15" t="str">
        <f t="shared" si="67"/>
        <v/>
      </c>
      <c r="GO22" s="15" t="str">
        <f t="shared" si="68"/>
        <v/>
      </c>
      <c r="GP22" s="15" t="str">
        <f t="shared" si="69"/>
        <v/>
      </c>
      <c r="GQ22" s="15" t="str">
        <f t="shared" si="70"/>
        <v/>
      </c>
      <c r="GR22" s="15" t="str">
        <f t="shared" si="71"/>
        <v/>
      </c>
      <c r="GS22" s="15" t="str">
        <f t="shared" si="72"/>
        <v/>
      </c>
      <c r="GT22" s="15" t="str">
        <f t="shared" si="73"/>
        <v/>
      </c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12" t="str">
        <f t="shared" si="74"/>
        <v/>
      </c>
      <c r="HK22" s="12" t="str">
        <f t="shared" si="75"/>
        <v/>
      </c>
      <c r="HL22" s="12" t="str">
        <f t="shared" si="76"/>
        <v/>
      </c>
      <c r="HM22" s="12" t="str">
        <f t="shared" si="77"/>
        <v/>
      </c>
      <c r="HN22" s="12" t="str">
        <f t="shared" si="78"/>
        <v/>
      </c>
      <c r="HO22" s="12" t="str">
        <f t="shared" si="79"/>
        <v/>
      </c>
      <c r="HP22" s="12" t="str">
        <f t="shared" si="80"/>
        <v/>
      </c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15" t="str">
        <f t="shared" si="81"/>
        <v/>
      </c>
      <c r="IG22" s="15" t="str">
        <f t="shared" si="82"/>
        <v/>
      </c>
      <c r="IH22" s="15" t="str">
        <f t="shared" si="83"/>
        <v/>
      </c>
      <c r="II22" s="15" t="str">
        <f t="shared" si="84"/>
        <v/>
      </c>
      <c r="IJ22" s="15" t="str">
        <f t="shared" si="85"/>
        <v/>
      </c>
      <c r="IK22" s="15" t="str">
        <f t="shared" si="86"/>
        <v/>
      </c>
      <c r="IL22" s="15" t="str">
        <f t="shared" si="87"/>
        <v/>
      </c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12" t="str">
        <f t="shared" si="88"/>
        <v/>
      </c>
      <c r="JC22" s="12" t="str">
        <f t="shared" si="89"/>
        <v/>
      </c>
      <c r="JD22" s="12" t="str">
        <f t="shared" si="90"/>
        <v/>
      </c>
      <c r="JE22" s="12" t="str">
        <f t="shared" si="91"/>
        <v/>
      </c>
      <c r="JF22" s="12" t="str">
        <f t="shared" si="92"/>
        <v/>
      </c>
      <c r="JG22" s="12" t="str">
        <f t="shared" si="93"/>
        <v/>
      </c>
      <c r="JH22" s="12" t="str">
        <f t="shared" si="94"/>
        <v/>
      </c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15" t="str">
        <f t="shared" si="95"/>
        <v/>
      </c>
      <c r="JY22" s="15" t="str">
        <f t="shared" si="96"/>
        <v/>
      </c>
      <c r="JZ22" s="15" t="str">
        <f t="shared" si="97"/>
        <v/>
      </c>
      <c r="KA22" s="15" t="str">
        <f t="shared" si="98"/>
        <v/>
      </c>
      <c r="KB22" s="15" t="str">
        <f t="shared" si="99"/>
        <v/>
      </c>
      <c r="KC22" s="15" t="str">
        <f t="shared" si="100"/>
        <v/>
      </c>
      <c r="KD22" s="15" t="str">
        <f t="shared" si="101"/>
        <v/>
      </c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12" t="str">
        <f t="shared" si="102"/>
        <v/>
      </c>
      <c r="KU22" s="12" t="str">
        <f t="shared" si="103"/>
        <v/>
      </c>
      <c r="KV22" s="12" t="str">
        <f t="shared" si="104"/>
        <v/>
      </c>
      <c r="KW22" s="12" t="str">
        <f t="shared" si="105"/>
        <v/>
      </c>
      <c r="KX22" s="12" t="str">
        <f t="shared" si="106"/>
        <v/>
      </c>
      <c r="KY22" s="12" t="str">
        <f t="shared" si="107"/>
        <v/>
      </c>
      <c r="KZ22" s="12" t="str">
        <f t="shared" si="108"/>
        <v/>
      </c>
      <c r="LA22" s="37"/>
      <c r="LB22" s="37"/>
      <c r="LC22" s="37"/>
      <c r="LD22" s="37"/>
      <c r="LE22" s="37"/>
      <c r="LF22" s="37"/>
      <c r="LG22" s="37"/>
      <c r="LH22" s="37"/>
      <c r="LI22" s="37"/>
      <c r="LJ22" s="37"/>
      <c r="LK22" s="37"/>
      <c r="LL22" s="37"/>
      <c r="LM22" s="37"/>
      <c r="LN22" s="37"/>
      <c r="LO22" s="37"/>
      <c r="LP22" s="15" t="str">
        <f t="shared" si="109"/>
        <v/>
      </c>
      <c r="LQ22" s="15" t="str">
        <f t="shared" si="110"/>
        <v/>
      </c>
      <c r="LR22" s="15" t="str">
        <f t="shared" si="111"/>
        <v/>
      </c>
      <c r="LS22" s="15" t="str">
        <f t="shared" si="112"/>
        <v/>
      </c>
      <c r="LT22" s="15" t="str">
        <f t="shared" si="113"/>
        <v/>
      </c>
      <c r="LU22" s="15" t="str">
        <f t="shared" si="114"/>
        <v/>
      </c>
      <c r="LV22" s="15" t="str">
        <f t="shared" si="115"/>
        <v/>
      </c>
      <c r="LW22" s="63">
        <f t="shared" si="126"/>
        <v>7.1</v>
      </c>
      <c r="LX22" s="63">
        <f t="shared" si="127"/>
        <v>4.4249999999999998</v>
      </c>
      <c r="LY22" s="63">
        <f t="shared" si="128"/>
        <v>1.7</v>
      </c>
      <c r="LZ22" s="63">
        <f t="shared" si="129"/>
        <v>7.8150000000000004</v>
      </c>
      <c r="MA22" s="63">
        <f t="shared" si="130"/>
        <v>0</v>
      </c>
      <c r="MB22" s="63">
        <f t="shared" si="131"/>
        <v>2.65</v>
      </c>
      <c r="MC22" s="63">
        <f t="shared" si="132"/>
        <v>1.7250000000000001</v>
      </c>
      <c r="MD22" s="63">
        <f t="shared" si="133"/>
        <v>2.6</v>
      </c>
      <c r="ME22" s="63">
        <f t="shared" si="134"/>
        <v>3.11</v>
      </c>
      <c r="MF22" s="63">
        <f t="shared" si="135"/>
        <v>0</v>
      </c>
      <c r="MG22" s="63">
        <f t="shared" si="136"/>
        <v>0</v>
      </c>
      <c r="MH22" s="63">
        <f t="shared" si="137"/>
        <v>0</v>
      </c>
      <c r="MI22" s="63">
        <f t="shared" si="138"/>
        <v>0</v>
      </c>
      <c r="MJ22" s="63">
        <f t="shared" si="139"/>
        <v>0</v>
      </c>
      <c r="MK22" s="63">
        <f t="shared" si="140"/>
        <v>0</v>
      </c>
      <c r="ML22" s="74" t="s">
        <v>119</v>
      </c>
      <c r="MM22" s="12">
        <f t="shared" ref="MM22" si="148">IF(MD22&gt;0,MD22,"")</f>
        <v>2.6</v>
      </c>
      <c r="MN22" s="12">
        <f t="shared" ref="MN22" si="149">IF(SUM(LW22:LZ22)-MA22&gt;0,SUM(LW22:LZ22)-MA22,"")</f>
        <v>21.04</v>
      </c>
      <c r="MO22" s="12">
        <f t="shared" ref="MO22" si="150">IF(SUM(MB22:ME22)-MF22&gt;0,SUM(MB22:ME22)-MF22,"")</f>
        <v>10.084999999999999</v>
      </c>
      <c r="MP22" s="12">
        <f t="shared" ref="MP22" si="151">IF(SUM(MN22:MO22)&gt;0,SUM(MN22:MO22),"")</f>
        <v>31.125</v>
      </c>
      <c r="MQ22" s="12" t="str">
        <f t="shared" si="145"/>
        <v/>
      </c>
      <c r="MR22" s="12" t="str">
        <f t="shared" ref="MR22" si="152">IF(SUM(MG22:MJ22)-MK22&gt;0,SUM(MG22:MJ22)-MK22,"")</f>
        <v/>
      </c>
      <c r="MS22" s="12">
        <f t="shared" ref="MS22" si="153">IF(SUM(MP22,MR22)&gt;0,SUM(MP22,MR22),"")</f>
        <v>31.125</v>
      </c>
    </row>
    <row r="23" spans="1:357" x14ac:dyDescent="0.2">
      <c r="A23" s="6" t="str">
        <f t="shared" si="0"/>
        <v/>
      </c>
      <c r="B23" s="7" t="s">
        <v>85</v>
      </c>
      <c r="C23" s="8" t="s">
        <v>3</v>
      </c>
      <c r="D23" s="27">
        <v>2000</v>
      </c>
      <c r="E23" s="16">
        <f t="shared" si="1"/>
        <v>51.355000000000004</v>
      </c>
      <c r="F23" s="4" t="str">
        <f t="shared" si="123"/>
        <v/>
      </c>
      <c r="G23" s="4" t="str">
        <f t="shared" si="124"/>
        <v/>
      </c>
      <c r="H23" s="4" t="str">
        <f t="shared" si="2"/>
        <v/>
      </c>
      <c r="I23" t="str">
        <f t="shared" si="125"/>
        <v/>
      </c>
      <c r="J23" s="15">
        <f t="shared" si="3"/>
        <v>51.355000000000004</v>
      </c>
      <c r="K23" s="15" t="str">
        <f t="shared" si="4"/>
        <v>2018 Nationals</v>
      </c>
      <c r="L23" s="15" t="str">
        <f t="shared" si="5"/>
        <v/>
      </c>
      <c r="M23" s="15" t="str">
        <f t="shared" si="6"/>
        <v/>
      </c>
      <c r="N23" s="15" t="str">
        <f t="shared" si="7"/>
        <v/>
      </c>
      <c r="O23" s="15" t="str">
        <f t="shared" si="8"/>
        <v/>
      </c>
      <c r="P23" s="15" t="str">
        <f t="shared" si="9"/>
        <v/>
      </c>
      <c r="Q23" s="15" t="str">
        <f t="shared" si="10"/>
        <v/>
      </c>
      <c r="R23" s="15" t="str">
        <f t="shared" si="11"/>
        <v/>
      </c>
      <c r="S23" s="25" t="str">
        <f t="shared" si="12"/>
        <v/>
      </c>
      <c r="T23" s="15" t="str">
        <f t="shared" si="13"/>
        <v/>
      </c>
      <c r="U23" s="63">
        <v>15.7</v>
      </c>
      <c r="V23" s="63">
        <v>9</v>
      </c>
      <c r="W23" s="63">
        <v>5</v>
      </c>
      <c r="X23" s="63">
        <v>15.855</v>
      </c>
      <c r="Y23" s="63">
        <v>0</v>
      </c>
      <c r="Z23" s="63">
        <v>1.6</v>
      </c>
      <c r="AA23" s="63">
        <v>0.8</v>
      </c>
      <c r="AB23" s="63">
        <v>1.7</v>
      </c>
      <c r="AC23" s="63">
        <v>1.7</v>
      </c>
      <c r="AD23" s="63">
        <v>0</v>
      </c>
      <c r="AE23" s="63"/>
      <c r="AF23" s="63"/>
      <c r="AG23" s="63"/>
      <c r="AH23" s="63"/>
      <c r="AI23" s="63"/>
      <c r="AJ23" s="74"/>
      <c r="AK23" s="12">
        <f t="shared" si="14"/>
        <v>1.7</v>
      </c>
      <c r="AL23" s="12">
        <f t="shared" si="15"/>
        <v>45.555</v>
      </c>
      <c r="AM23" s="12">
        <f t="shared" si="16"/>
        <v>5.8000000000000007</v>
      </c>
      <c r="AN23" s="12">
        <f t="shared" si="17"/>
        <v>51.355000000000004</v>
      </c>
      <c r="AO23" s="12" t="str">
        <f t="shared" si="18"/>
        <v/>
      </c>
      <c r="AP23" s="12" t="str">
        <f t="shared" si="19"/>
        <v/>
      </c>
      <c r="AQ23" s="12">
        <f t="shared" si="20"/>
        <v>51.355000000000004</v>
      </c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75"/>
      <c r="BH23" s="15" t="str">
        <f t="shared" si="21"/>
        <v/>
      </c>
      <c r="BI23" s="15" t="str">
        <f t="shared" si="22"/>
        <v/>
      </c>
      <c r="BJ23" s="15" t="str">
        <f t="shared" si="23"/>
        <v/>
      </c>
      <c r="BK23" s="15" t="str">
        <f t="shared" si="24"/>
        <v/>
      </c>
      <c r="BL23" s="15" t="str">
        <f t="shared" si="25"/>
        <v/>
      </c>
      <c r="BM23" s="15" t="str">
        <f t="shared" si="26"/>
        <v/>
      </c>
      <c r="BN23" s="15" t="str">
        <f t="shared" si="27"/>
        <v/>
      </c>
      <c r="BO23" s="24" t="str">
        <f t="shared" si="28"/>
        <v/>
      </c>
      <c r="BP23" s="24" t="str">
        <f t="shared" si="29"/>
        <v/>
      </c>
      <c r="BQ23" s="24" t="str">
        <f t="shared" si="30"/>
        <v/>
      </c>
      <c r="BR23" s="24" t="str">
        <f t="shared" si="31"/>
        <v/>
      </c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12" t="str">
        <f t="shared" si="32"/>
        <v/>
      </c>
      <c r="CI23" s="12" t="str">
        <f t="shared" si="33"/>
        <v/>
      </c>
      <c r="CJ23" s="12" t="str">
        <f t="shared" si="34"/>
        <v/>
      </c>
      <c r="CK23" s="12" t="str">
        <f t="shared" si="35"/>
        <v/>
      </c>
      <c r="CL23" s="12" t="str">
        <f t="shared" si="36"/>
        <v/>
      </c>
      <c r="CM23" s="12" t="str">
        <f t="shared" si="37"/>
        <v/>
      </c>
      <c r="CN23" s="12" t="str">
        <f t="shared" si="38"/>
        <v/>
      </c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15" t="str">
        <f t="shared" si="39"/>
        <v/>
      </c>
      <c r="DE23" s="15" t="str">
        <f t="shared" si="40"/>
        <v/>
      </c>
      <c r="DF23" s="15" t="str">
        <f t="shared" si="41"/>
        <v/>
      </c>
      <c r="DG23" s="15" t="str">
        <f t="shared" si="42"/>
        <v/>
      </c>
      <c r="DH23" s="15" t="str">
        <f t="shared" si="43"/>
        <v/>
      </c>
      <c r="DI23" s="15" t="str">
        <f t="shared" si="44"/>
        <v/>
      </c>
      <c r="DJ23" s="15" t="str">
        <f t="shared" si="45"/>
        <v/>
      </c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12" t="str">
        <f t="shared" si="46"/>
        <v/>
      </c>
      <c r="EA23" s="12" t="str">
        <f t="shared" si="47"/>
        <v/>
      </c>
      <c r="EB23" s="12" t="str">
        <f t="shared" si="48"/>
        <v/>
      </c>
      <c r="EC23" s="12" t="str">
        <f t="shared" si="49"/>
        <v/>
      </c>
      <c r="ED23" s="12" t="str">
        <f t="shared" si="50"/>
        <v/>
      </c>
      <c r="EE23" s="12" t="str">
        <f t="shared" si="51"/>
        <v/>
      </c>
      <c r="EF23" s="12" t="str">
        <f t="shared" si="52"/>
        <v/>
      </c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15" t="str">
        <f t="shared" si="53"/>
        <v/>
      </c>
      <c r="EW23" s="15" t="str">
        <f t="shared" si="54"/>
        <v/>
      </c>
      <c r="EX23" s="15" t="str">
        <f t="shared" si="55"/>
        <v/>
      </c>
      <c r="EY23" s="15" t="str">
        <f t="shared" si="56"/>
        <v/>
      </c>
      <c r="EZ23" s="15" t="str">
        <f t="shared" si="57"/>
        <v/>
      </c>
      <c r="FA23" s="15" t="str">
        <f t="shared" si="58"/>
        <v/>
      </c>
      <c r="FB23" s="15" t="str">
        <f t="shared" si="59"/>
        <v/>
      </c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12" t="str">
        <f t="shared" si="60"/>
        <v/>
      </c>
      <c r="FS23" s="12" t="str">
        <f t="shared" si="61"/>
        <v/>
      </c>
      <c r="FT23" s="12" t="str">
        <f t="shared" si="62"/>
        <v/>
      </c>
      <c r="FU23" s="12" t="str">
        <f t="shared" si="63"/>
        <v/>
      </c>
      <c r="FV23" s="12" t="str">
        <f t="shared" si="64"/>
        <v/>
      </c>
      <c r="FW23" s="12" t="str">
        <f t="shared" si="65"/>
        <v/>
      </c>
      <c r="FX23" s="12" t="str">
        <f t="shared" si="66"/>
        <v/>
      </c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15" t="str">
        <f t="shared" si="67"/>
        <v/>
      </c>
      <c r="GO23" s="15" t="str">
        <f t="shared" si="68"/>
        <v/>
      </c>
      <c r="GP23" s="15" t="str">
        <f t="shared" si="69"/>
        <v/>
      </c>
      <c r="GQ23" s="15" t="str">
        <f t="shared" si="70"/>
        <v/>
      </c>
      <c r="GR23" s="15" t="str">
        <f t="shared" si="71"/>
        <v/>
      </c>
      <c r="GS23" s="15" t="str">
        <f t="shared" si="72"/>
        <v/>
      </c>
      <c r="GT23" s="15" t="str">
        <f t="shared" si="73"/>
        <v/>
      </c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12" t="str">
        <f t="shared" si="74"/>
        <v/>
      </c>
      <c r="HK23" s="12" t="str">
        <f t="shared" si="75"/>
        <v/>
      </c>
      <c r="HL23" s="12" t="str">
        <f t="shared" si="76"/>
        <v/>
      </c>
      <c r="HM23" s="12" t="str">
        <f t="shared" si="77"/>
        <v/>
      </c>
      <c r="HN23" s="12" t="str">
        <f t="shared" si="78"/>
        <v/>
      </c>
      <c r="HO23" s="12" t="str">
        <f t="shared" si="79"/>
        <v/>
      </c>
      <c r="HP23" s="12" t="str">
        <f t="shared" si="80"/>
        <v/>
      </c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15" t="str">
        <f t="shared" si="81"/>
        <v/>
      </c>
      <c r="IG23" s="15" t="str">
        <f t="shared" si="82"/>
        <v/>
      </c>
      <c r="IH23" s="15" t="str">
        <f t="shared" si="83"/>
        <v/>
      </c>
      <c r="II23" s="15" t="str">
        <f t="shared" si="84"/>
        <v/>
      </c>
      <c r="IJ23" s="15" t="str">
        <f t="shared" si="85"/>
        <v/>
      </c>
      <c r="IK23" s="15" t="str">
        <f t="shared" si="86"/>
        <v/>
      </c>
      <c r="IL23" s="15" t="str">
        <f t="shared" si="87"/>
        <v/>
      </c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12" t="str">
        <f t="shared" si="88"/>
        <v/>
      </c>
      <c r="JC23" s="12" t="str">
        <f t="shared" si="89"/>
        <v/>
      </c>
      <c r="JD23" s="12" t="str">
        <f t="shared" si="90"/>
        <v/>
      </c>
      <c r="JE23" s="12" t="str">
        <f t="shared" si="91"/>
        <v/>
      </c>
      <c r="JF23" s="12" t="str">
        <f t="shared" si="92"/>
        <v/>
      </c>
      <c r="JG23" s="12" t="str">
        <f t="shared" si="93"/>
        <v/>
      </c>
      <c r="JH23" s="12" t="str">
        <f t="shared" si="94"/>
        <v/>
      </c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15" t="str">
        <f t="shared" si="95"/>
        <v/>
      </c>
      <c r="JY23" s="15" t="str">
        <f t="shared" si="96"/>
        <v/>
      </c>
      <c r="JZ23" s="15" t="str">
        <f t="shared" si="97"/>
        <v/>
      </c>
      <c r="KA23" s="15" t="str">
        <f t="shared" si="98"/>
        <v/>
      </c>
      <c r="KB23" s="15" t="str">
        <f t="shared" si="99"/>
        <v/>
      </c>
      <c r="KC23" s="15" t="str">
        <f t="shared" si="100"/>
        <v/>
      </c>
      <c r="KD23" s="15" t="str">
        <f t="shared" si="101"/>
        <v/>
      </c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12" t="str">
        <f t="shared" si="102"/>
        <v/>
      </c>
      <c r="KU23" s="12" t="str">
        <f t="shared" si="103"/>
        <v/>
      </c>
      <c r="KV23" s="12" t="str">
        <f t="shared" si="104"/>
        <v/>
      </c>
      <c r="KW23" s="12" t="str">
        <f t="shared" si="105"/>
        <v/>
      </c>
      <c r="KX23" s="12" t="str">
        <f t="shared" si="106"/>
        <v/>
      </c>
      <c r="KY23" s="12" t="str">
        <f t="shared" si="107"/>
        <v/>
      </c>
      <c r="KZ23" s="12" t="str">
        <f t="shared" si="108"/>
        <v/>
      </c>
      <c r="LA23" s="37"/>
      <c r="LB23" s="37"/>
      <c r="LC23" s="37"/>
      <c r="LD23" s="37"/>
      <c r="LE23" s="37"/>
      <c r="LF23" s="37"/>
      <c r="LG23" s="37"/>
      <c r="LH23" s="37"/>
      <c r="LI23" s="37"/>
      <c r="LJ23" s="37"/>
      <c r="LK23" s="37"/>
      <c r="LL23" s="37"/>
      <c r="LM23" s="37"/>
      <c r="LN23" s="37"/>
      <c r="LO23" s="37"/>
      <c r="LP23" s="15" t="str">
        <f t="shared" si="109"/>
        <v/>
      </c>
      <c r="LQ23" s="15" t="str">
        <f t="shared" si="110"/>
        <v/>
      </c>
      <c r="LR23" s="15" t="str">
        <f t="shared" si="111"/>
        <v/>
      </c>
      <c r="LS23" s="15" t="str">
        <f t="shared" si="112"/>
        <v/>
      </c>
      <c r="LT23" s="15" t="str">
        <f t="shared" si="113"/>
        <v/>
      </c>
      <c r="LU23" s="15" t="str">
        <f t="shared" si="114"/>
        <v/>
      </c>
      <c r="LV23" s="15" t="str">
        <f t="shared" si="115"/>
        <v/>
      </c>
      <c r="LW23" s="63">
        <f t="shared" si="126"/>
        <v>7.85</v>
      </c>
      <c r="LX23" s="63">
        <f t="shared" si="127"/>
        <v>4.5</v>
      </c>
      <c r="LY23" s="63">
        <f t="shared" si="128"/>
        <v>2.5</v>
      </c>
      <c r="LZ23" s="63">
        <f t="shared" si="129"/>
        <v>7.9275000000000002</v>
      </c>
      <c r="MA23" s="63">
        <f t="shared" si="130"/>
        <v>0</v>
      </c>
      <c r="MB23" s="63">
        <f t="shared" si="131"/>
        <v>0.8</v>
      </c>
      <c r="MC23" s="63">
        <f t="shared" si="132"/>
        <v>0.4</v>
      </c>
      <c r="MD23" s="63">
        <f t="shared" si="133"/>
        <v>0.85</v>
      </c>
      <c r="ME23" s="63">
        <f t="shared" si="134"/>
        <v>0.85</v>
      </c>
      <c r="MF23" s="63">
        <f t="shared" si="135"/>
        <v>0</v>
      </c>
      <c r="MG23" s="63">
        <f t="shared" si="136"/>
        <v>0</v>
      </c>
      <c r="MH23" s="63">
        <f t="shared" si="137"/>
        <v>0</v>
      </c>
      <c r="MI23" s="63">
        <f t="shared" si="138"/>
        <v>0</v>
      </c>
      <c r="MJ23" s="63">
        <f t="shared" si="139"/>
        <v>0</v>
      </c>
      <c r="MK23" s="63">
        <f t="shared" si="140"/>
        <v>0</v>
      </c>
      <c r="ML23" s="74" t="s">
        <v>119</v>
      </c>
      <c r="MM23" s="12">
        <f t="shared" ref="MM23" si="154">IF(MD23&gt;0,MD23,"")</f>
        <v>0.85</v>
      </c>
      <c r="MN23" s="12">
        <f t="shared" ref="MN23" si="155">IF(SUM(LW23:LZ23)-MA23&gt;0,SUM(LW23:LZ23)-MA23,"")</f>
        <v>22.7775</v>
      </c>
      <c r="MO23" s="12">
        <f t="shared" ref="MO23" si="156">IF(SUM(MB23:ME23)-MF23&gt;0,SUM(MB23:ME23)-MF23,"")</f>
        <v>2.9000000000000004</v>
      </c>
      <c r="MP23" s="12">
        <f t="shared" ref="MP23" si="157">IF(SUM(MN23:MO23)&gt;0,SUM(MN23:MO23),"")</f>
        <v>25.677500000000002</v>
      </c>
      <c r="MQ23" s="12" t="str">
        <f t="shared" si="145"/>
        <v/>
      </c>
      <c r="MR23" s="12" t="str">
        <f t="shared" ref="MR23" si="158">IF(SUM(MG23:MJ23)-MK23&gt;0,SUM(MG23:MJ23)-MK23,"")</f>
        <v/>
      </c>
      <c r="MS23" s="12">
        <f t="shared" ref="MS23" si="159">IF(SUM(MP23,MR23)&gt;0,SUM(MP23,MR23),"")</f>
        <v>25.677500000000002</v>
      </c>
    </row>
    <row r="24" spans="1:357" x14ac:dyDescent="0.2">
      <c r="B24" s="7"/>
      <c r="D24" s="1"/>
    </row>
    <row r="26" spans="1:357" x14ac:dyDescent="0.2">
      <c r="B26" s="64" t="s">
        <v>51</v>
      </c>
      <c r="C26" s="50"/>
      <c r="AL26" s="58">
        <v>13.5</v>
      </c>
      <c r="BH26" s="50"/>
      <c r="BI26" s="58">
        <v>13.5</v>
      </c>
      <c r="CH26" s="50"/>
      <c r="CI26" s="58">
        <v>13.5</v>
      </c>
      <c r="DD26" s="50"/>
      <c r="DE26" s="58">
        <v>13.5</v>
      </c>
      <c r="DZ26" s="50"/>
      <c r="EA26" s="58">
        <v>13.5</v>
      </c>
      <c r="EV26" s="50"/>
      <c r="EW26" s="58">
        <v>13.5</v>
      </c>
      <c r="FR26" s="50"/>
      <c r="FS26" s="58">
        <v>13.5</v>
      </c>
      <c r="GN26" s="50"/>
      <c r="GO26" s="58">
        <v>13.5</v>
      </c>
      <c r="HJ26" s="50"/>
      <c r="HK26" s="58">
        <v>13.5</v>
      </c>
      <c r="IF26" s="50"/>
      <c r="IG26" s="58">
        <v>13.5</v>
      </c>
      <c r="JB26" s="50"/>
      <c r="JC26" s="58">
        <v>13.5</v>
      </c>
      <c r="JX26" s="50"/>
      <c r="JY26" s="77">
        <v>13.5</v>
      </c>
      <c r="KT26" s="50"/>
      <c r="KU26" s="77">
        <v>13.5</v>
      </c>
      <c r="LP26" s="50"/>
      <c r="LQ26" s="77">
        <v>13.5</v>
      </c>
    </row>
    <row r="27" spans="1:357" x14ac:dyDescent="0.2">
      <c r="A27" s="50"/>
      <c r="B27" s="91" t="s">
        <v>76</v>
      </c>
      <c r="C27" s="50"/>
      <c r="AL27" s="93">
        <v>13.5</v>
      </c>
      <c r="AN27" s="48"/>
      <c r="AO27" s="48"/>
      <c r="AP27" s="48"/>
      <c r="BH27" s="50"/>
      <c r="BI27" s="93">
        <v>13.5</v>
      </c>
      <c r="BL27" s="48"/>
      <c r="CH27" s="50"/>
      <c r="CI27" s="93">
        <v>13.5</v>
      </c>
      <c r="CL27" s="48"/>
      <c r="DD27" s="50"/>
      <c r="DE27" s="93">
        <v>13.5</v>
      </c>
      <c r="DH27" s="48"/>
      <c r="DZ27" s="50"/>
      <c r="EA27" s="93">
        <v>13.5</v>
      </c>
      <c r="ED27" s="48"/>
      <c r="EV27" s="50"/>
      <c r="EW27" s="93">
        <v>13.5</v>
      </c>
      <c r="EZ27" s="48"/>
      <c r="FR27" s="50"/>
      <c r="FS27" s="93">
        <v>13.5</v>
      </c>
      <c r="FV27" s="48"/>
      <c r="GN27" s="50"/>
      <c r="GO27" s="93">
        <v>13.5</v>
      </c>
      <c r="GR27" s="48"/>
      <c r="HJ27" s="50"/>
      <c r="HK27" s="93">
        <v>13.5</v>
      </c>
      <c r="HN27" s="48"/>
      <c r="IF27" s="50"/>
      <c r="IG27" s="93">
        <v>13.5</v>
      </c>
      <c r="IJ27" s="48"/>
      <c r="JB27" s="50"/>
      <c r="JC27" s="93">
        <v>13.5</v>
      </c>
      <c r="JF27" s="48"/>
      <c r="JX27" s="50"/>
      <c r="JY27" s="94">
        <v>13.5</v>
      </c>
      <c r="KB27" s="48"/>
      <c r="KT27" s="50"/>
      <c r="KU27" s="94">
        <v>13.5</v>
      </c>
      <c r="KX27" s="48"/>
      <c r="LP27" s="50"/>
      <c r="LQ27" s="94">
        <v>13.5</v>
      </c>
      <c r="LT27" s="48"/>
    </row>
    <row r="28" spans="1:357" x14ac:dyDescent="0.2">
      <c r="A28" s="50"/>
      <c r="B28" s="65" t="s">
        <v>48</v>
      </c>
      <c r="C28" s="50"/>
      <c r="AL28" s="59">
        <v>98</v>
      </c>
      <c r="AN28" s="48"/>
      <c r="AO28" s="48"/>
      <c r="AP28" s="48"/>
      <c r="BH28" s="50"/>
      <c r="BI28" s="59">
        <v>98</v>
      </c>
      <c r="BL28" s="48"/>
      <c r="CH28" s="50"/>
      <c r="CI28" s="59">
        <v>98</v>
      </c>
      <c r="CL28" s="48"/>
      <c r="DD28" s="50"/>
      <c r="DE28" s="59">
        <v>98</v>
      </c>
      <c r="DH28" s="48"/>
      <c r="DZ28" s="50"/>
      <c r="EA28" s="59">
        <v>98</v>
      </c>
      <c r="ED28" s="48"/>
      <c r="EV28" s="50"/>
      <c r="EW28" s="59">
        <v>98</v>
      </c>
      <c r="EZ28" s="48"/>
      <c r="FR28" s="50"/>
      <c r="FS28" s="59">
        <v>98</v>
      </c>
      <c r="FV28" s="48"/>
      <c r="GN28" s="50"/>
      <c r="GO28" s="59">
        <v>98</v>
      </c>
      <c r="GR28" s="48"/>
      <c r="HJ28" s="50"/>
      <c r="HK28" s="59">
        <v>98</v>
      </c>
      <c r="HN28" s="48"/>
      <c r="IF28" s="50"/>
      <c r="IG28" s="59">
        <v>98</v>
      </c>
      <c r="IJ28" s="48"/>
      <c r="JB28" s="50"/>
      <c r="JC28" s="59">
        <v>98</v>
      </c>
      <c r="JF28" s="48"/>
      <c r="JX28" s="50"/>
      <c r="JY28" s="78">
        <v>98</v>
      </c>
      <c r="KB28" s="48"/>
      <c r="KT28" s="50"/>
      <c r="KU28" s="78">
        <v>98</v>
      </c>
      <c r="KX28" s="48"/>
      <c r="LP28" s="50"/>
      <c r="LQ28" s="78">
        <v>98</v>
      </c>
      <c r="LT28" s="48"/>
    </row>
    <row r="29" spans="1:357" hidden="1" x14ac:dyDescent="0.2">
      <c r="A29" s="50"/>
      <c r="B29" s="66" t="s">
        <v>49</v>
      </c>
      <c r="C29" s="50"/>
      <c r="AL29" s="60">
        <v>101.2</v>
      </c>
      <c r="AN29" s="48"/>
      <c r="AO29" s="48"/>
      <c r="AP29" s="48"/>
      <c r="BH29" s="50"/>
      <c r="BI29" s="60">
        <v>101.2</v>
      </c>
      <c r="BL29" s="48"/>
      <c r="CH29" s="50"/>
      <c r="CI29" s="60">
        <v>101.2</v>
      </c>
      <c r="CL29" s="48"/>
      <c r="DD29" s="50"/>
      <c r="DE29" s="60">
        <v>101.2</v>
      </c>
      <c r="DH29" s="48"/>
      <c r="DZ29" s="50"/>
      <c r="EA29" s="60">
        <v>101.2</v>
      </c>
      <c r="ED29" s="48"/>
      <c r="EV29" s="50"/>
      <c r="EW29" s="60">
        <v>101.2</v>
      </c>
      <c r="EZ29" s="48"/>
      <c r="FR29" s="50"/>
      <c r="FS29" s="60">
        <v>101.2</v>
      </c>
      <c r="FV29" s="48"/>
      <c r="GN29" s="50"/>
      <c r="GO29" s="60">
        <v>101.2</v>
      </c>
      <c r="GR29" s="48"/>
      <c r="HJ29" s="50"/>
      <c r="HK29" s="60">
        <v>101.2</v>
      </c>
      <c r="HN29" s="48"/>
      <c r="IF29" s="50"/>
      <c r="IG29" s="60">
        <v>101.2</v>
      </c>
      <c r="IJ29" s="48"/>
      <c r="JB29" s="50"/>
      <c r="JC29" s="60">
        <v>101.2</v>
      </c>
      <c r="JF29" s="48"/>
      <c r="JX29" s="50"/>
      <c r="JY29" s="60">
        <v>101.2</v>
      </c>
      <c r="KB29" s="48"/>
      <c r="KT29" s="50"/>
      <c r="KU29" s="60">
        <v>101.2</v>
      </c>
      <c r="KX29" s="48"/>
      <c r="LP29" s="50"/>
      <c r="LQ29" s="60">
        <v>101.2</v>
      </c>
      <c r="LT29" s="48"/>
    </row>
    <row r="30" spans="1:357" x14ac:dyDescent="0.2">
      <c r="A30" s="50"/>
      <c r="B30" s="67" t="s">
        <v>70</v>
      </c>
      <c r="C30" s="50"/>
      <c r="AL30" s="61">
        <v>101.2</v>
      </c>
      <c r="AN30" s="48"/>
      <c r="AO30" s="48"/>
      <c r="AP30" s="48"/>
      <c r="BH30" s="50"/>
      <c r="BI30" s="61">
        <v>101.2</v>
      </c>
      <c r="BL30" s="48"/>
      <c r="CH30" s="50"/>
      <c r="CI30" s="61">
        <v>101.2</v>
      </c>
      <c r="CL30" s="48"/>
      <c r="DD30" s="50"/>
      <c r="DE30" s="61">
        <v>101.2</v>
      </c>
      <c r="DH30" s="48"/>
      <c r="DZ30" s="50"/>
      <c r="EA30" s="61">
        <v>101.2</v>
      </c>
      <c r="ED30" s="48"/>
      <c r="EV30" s="50"/>
      <c r="EW30" s="61">
        <v>101.2</v>
      </c>
      <c r="EZ30" s="48"/>
      <c r="FR30" s="50"/>
      <c r="FS30" s="61">
        <v>101.2</v>
      </c>
      <c r="FV30" s="48"/>
      <c r="GN30" s="50"/>
      <c r="GO30" s="61">
        <v>101.2</v>
      </c>
      <c r="GR30" s="48"/>
      <c r="HJ30" s="50"/>
      <c r="HK30" s="61">
        <v>101.2</v>
      </c>
      <c r="HN30" s="48"/>
      <c r="IF30" s="50"/>
      <c r="IG30" s="61">
        <v>101.2</v>
      </c>
      <c r="IJ30" s="48"/>
      <c r="JB30" s="50"/>
      <c r="JC30" s="61">
        <v>101.2</v>
      </c>
      <c r="JF30" s="48"/>
      <c r="JX30" s="50"/>
      <c r="JY30" s="80">
        <v>101.2</v>
      </c>
      <c r="KB30" s="48"/>
      <c r="KT30" s="50"/>
      <c r="KU30" s="80">
        <v>101.2</v>
      </c>
      <c r="KX30" s="48"/>
      <c r="LP30" s="50"/>
      <c r="LQ30" s="80">
        <v>101.2</v>
      </c>
      <c r="LT30" s="48"/>
    </row>
    <row r="31" spans="1:357" x14ac:dyDescent="0.2">
      <c r="A31" s="50"/>
      <c r="B31" s="68" t="s">
        <v>35</v>
      </c>
      <c r="C31" s="50"/>
      <c r="AL31" s="62">
        <v>56</v>
      </c>
      <c r="AN31" s="48"/>
      <c r="AO31" s="48"/>
      <c r="AP31" s="48"/>
      <c r="BH31" s="50"/>
      <c r="BI31" s="62">
        <v>56.7</v>
      </c>
      <c r="BL31" s="48"/>
      <c r="CH31" s="50"/>
      <c r="CI31" s="62">
        <v>56</v>
      </c>
      <c r="CL31" s="48"/>
      <c r="DD31" s="50"/>
      <c r="DE31" s="62">
        <v>56</v>
      </c>
      <c r="DH31" s="48"/>
      <c r="DZ31" s="50"/>
      <c r="EA31" s="62">
        <v>56</v>
      </c>
      <c r="ED31" s="48"/>
      <c r="EV31" s="50"/>
      <c r="EW31" s="62">
        <v>56</v>
      </c>
      <c r="EZ31" s="48"/>
      <c r="FR31" s="50"/>
      <c r="FS31" s="62">
        <v>56.7</v>
      </c>
      <c r="FV31" s="48"/>
      <c r="GN31" s="50"/>
      <c r="GO31" s="62">
        <v>56.7</v>
      </c>
      <c r="GR31" s="48"/>
      <c r="HJ31" s="50"/>
      <c r="HK31" s="62">
        <v>56.7</v>
      </c>
      <c r="HN31" s="48"/>
      <c r="IF31" s="50"/>
      <c r="IG31" s="62">
        <v>56.7</v>
      </c>
      <c r="IJ31" s="48"/>
      <c r="JB31" s="50"/>
      <c r="JC31" s="62">
        <v>56.7</v>
      </c>
      <c r="JF31" s="48"/>
      <c r="JX31" s="50"/>
      <c r="JY31" s="81">
        <v>56.7</v>
      </c>
      <c r="KB31" s="48"/>
      <c r="KT31" s="50"/>
      <c r="KU31" s="81">
        <v>56.7</v>
      </c>
      <c r="KX31" s="48"/>
      <c r="LP31" s="50"/>
      <c r="LQ31" s="81">
        <v>56.7</v>
      </c>
      <c r="LT31" s="48"/>
    </row>
    <row r="32" spans="1:357" x14ac:dyDescent="0.2">
      <c r="B32" s="76" t="s">
        <v>55</v>
      </c>
      <c r="C32" s="3"/>
      <c r="AM32" s="48"/>
      <c r="AN32" s="48"/>
      <c r="AO32" s="48"/>
      <c r="AP32" s="48"/>
      <c r="BL32" s="48"/>
      <c r="CL32" s="48"/>
      <c r="DE32" s="48"/>
      <c r="DH32" s="48"/>
      <c r="ED32" s="48"/>
      <c r="EZ32" s="48"/>
      <c r="FV32" s="48"/>
      <c r="GR32" s="48"/>
      <c r="HN32" s="48"/>
      <c r="IJ32" s="48"/>
      <c r="JF32" s="48"/>
      <c r="KB32" s="48"/>
      <c r="KX32" s="48"/>
      <c r="LT32" s="48"/>
    </row>
    <row r="33" spans="1:42" x14ac:dyDescent="0.2">
      <c r="A33" s="50"/>
      <c r="B33" s="50"/>
      <c r="C33" s="49"/>
      <c r="AL33" s="48"/>
      <c r="AM33" s="48"/>
      <c r="AN33" s="48"/>
      <c r="AP33" s="48"/>
    </row>
    <row r="34" spans="1:42" ht="17" x14ac:dyDescent="0.2">
      <c r="A34" s="50"/>
      <c r="B34" s="50"/>
      <c r="C34" s="49"/>
      <c r="R34" s="19"/>
      <c r="S34" s="19"/>
      <c r="AL34" s="48"/>
      <c r="AM34" s="48"/>
      <c r="AN34" s="48"/>
      <c r="AP34" s="48"/>
    </row>
    <row r="35" spans="1:42" ht="17" x14ac:dyDescent="0.2">
      <c r="A35" s="50"/>
      <c r="B35" s="50"/>
      <c r="C35" s="49"/>
      <c r="R35" s="19"/>
      <c r="AL35" s="48"/>
      <c r="AM35" s="48"/>
      <c r="AN35" s="48"/>
      <c r="AP35" s="48"/>
    </row>
    <row r="36" spans="1:42" ht="17" x14ac:dyDescent="0.2">
      <c r="R36" s="19"/>
      <c r="S36" s="19"/>
      <c r="AL36" s="48"/>
      <c r="AM36" s="48"/>
      <c r="AN36" s="48"/>
      <c r="AP36" s="48"/>
    </row>
    <row r="37" spans="1:42" ht="17" x14ac:dyDescent="0.2">
      <c r="R37" s="19"/>
      <c r="S37" s="19"/>
      <c r="AL37" s="48"/>
      <c r="AM37" s="48"/>
      <c r="AN37" s="48"/>
      <c r="AP37" s="48"/>
    </row>
    <row r="38" spans="1:42" ht="17" x14ac:dyDescent="0.2">
      <c r="R38" s="19"/>
      <c r="S38" s="19"/>
      <c r="AL38" s="48"/>
      <c r="AM38" s="48"/>
      <c r="AN38" s="48"/>
      <c r="AP38" s="48"/>
    </row>
    <row r="39" spans="1:42" ht="17" x14ac:dyDescent="0.2">
      <c r="R39" s="19"/>
      <c r="S39" s="19"/>
      <c r="T39" s="19"/>
    </row>
    <row r="40" spans="1:42" ht="17" x14ac:dyDescent="0.2">
      <c r="R40" s="19"/>
      <c r="S40" s="19"/>
      <c r="T40" s="19"/>
    </row>
    <row r="41" spans="1:42" ht="17" x14ac:dyDescent="0.2">
      <c r="R41" s="19"/>
      <c r="S41" s="19"/>
      <c r="T41" s="19"/>
    </row>
    <row r="42" spans="1:42" ht="17" x14ac:dyDescent="0.2">
      <c r="R42" s="19"/>
      <c r="S42" s="19"/>
      <c r="T42" s="19"/>
    </row>
    <row r="43" spans="1:42" ht="17" x14ac:dyDescent="0.2">
      <c r="R43" s="19"/>
      <c r="S43" s="19"/>
      <c r="T43" s="19"/>
    </row>
    <row r="44" spans="1:42" ht="17" x14ac:dyDescent="0.2">
      <c r="R44" s="19"/>
      <c r="S44" s="19"/>
      <c r="T44" s="19"/>
    </row>
    <row r="45" spans="1:42" ht="17" x14ac:dyDescent="0.2">
      <c r="R45" s="19"/>
      <c r="S45" s="19"/>
      <c r="T45" s="19"/>
    </row>
    <row r="46" spans="1:42" ht="17" x14ac:dyDescent="0.2">
      <c r="R46" s="19"/>
      <c r="S46" s="19"/>
      <c r="T46" s="19"/>
    </row>
    <row r="47" spans="1:42" ht="17" x14ac:dyDescent="0.2">
      <c r="R47" s="19"/>
      <c r="S47" s="19"/>
      <c r="T47" s="19"/>
    </row>
    <row r="48" spans="1:42" ht="17" x14ac:dyDescent="0.2">
      <c r="R48" s="19"/>
      <c r="S48" s="19"/>
      <c r="T48" s="19"/>
    </row>
    <row r="49" spans="18:20" ht="17" x14ac:dyDescent="0.2">
      <c r="R49" s="19"/>
      <c r="S49" s="19"/>
      <c r="T49" s="19"/>
    </row>
    <row r="50" spans="18:20" ht="17" x14ac:dyDescent="0.2">
      <c r="R50" s="19"/>
      <c r="S50" s="19"/>
      <c r="T50" s="19"/>
    </row>
    <row r="51" spans="18:20" ht="17" x14ac:dyDescent="0.2">
      <c r="R51" s="19"/>
      <c r="S51" s="19"/>
      <c r="T51" s="19"/>
    </row>
    <row r="52" spans="18:20" ht="17" x14ac:dyDescent="0.2">
      <c r="R52" s="19"/>
      <c r="S52" s="19"/>
      <c r="T52" s="19"/>
    </row>
    <row r="53" spans="18:20" ht="17" x14ac:dyDescent="0.2">
      <c r="R53" s="19"/>
      <c r="S53" s="19"/>
      <c r="T53" s="19"/>
    </row>
  </sheetData>
  <sheetProtection sheet="1" formatCells="0" formatColumns="0" formatRows="0"/>
  <autoFilter ref="A1:LV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23">
      <sortCondition descending="1" ref="F1:F21"/>
    </sortState>
  </autoFilter>
  <sortState xmlns:xlrd2="http://schemas.microsoft.com/office/spreadsheetml/2017/richdata2" ref="A1:O3">
    <sortCondition ref="A1"/>
  </sortState>
  <mergeCells count="81">
    <mergeCell ref="LW1:MS1"/>
    <mergeCell ref="LW2:MA2"/>
    <mergeCell ref="MB2:MF2"/>
    <mergeCell ref="MG2:MK2"/>
    <mergeCell ref="HQ1:IL1"/>
    <mergeCell ref="IM1:JH1"/>
    <mergeCell ref="KE2:KI2"/>
    <mergeCell ref="JS2:JW2"/>
    <mergeCell ref="LA1:LV1"/>
    <mergeCell ref="JI1:KD1"/>
    <mergeCell ref="KE1:KZ1"/>
    <mergeCell ref="LK2:LO2"/>
    <mergeCell ref="LF2:LJ2"/>
    <mergeCell ref="LA2:LE2"/>
    <mergeCell ref="KO2:KS2"/>
    <mergeCell ref="KJ2:KN2"/>
    <mergeCell ref="DK2:DO2"/>
    <mergeCell ref="DK1:EF1"/>
    <mergeCell ref="JN2:JR2"/>
    <mergeCell ref="JI2:JM2"/>
    <mergeCell ref="IW2:JA2"/>
    <mergeCell ref="IR2:IV2"/>
    <mergeCell ref="EG1:FB1"/>
    <mergeCell ref="IM2:IQ2"/>
    <mergeCell ref="IA2:IE2"/>
    <mergeCell ref="HV2:HZ2"/>
    <mergeCell ref="HQ2:HU2"/>
    <mergeCell ref="EQ2:EU2"/>
    <mergeCell ref="EL2:EP2"/>
    <mergeCell ref="EG2:EK2"/>
    <mergeCell ref="GU1:HP1"/>
    <mergeCell ref="HE2:HI2"/>
    <mergeCell ref="GZ2:HD2"/>
    <mergeCell ref="GU2:GY2"/>
    <mergeCell ref="FC1:FX1"/>
    <mergeCell ref="FY1:GT1"/>
    <mergeCell ref="GD2:GH2"/>
    <mergeCell ref="FY2:GC2"/>
    <mergeCell ref="FM2:FQ2"/>
    <mergeCell ref="FH2:FL2"/>
    <mergeCell ref="FC2:FG2"/>
    <mergeCell ref="GI2:GM2"/>
    <mergeCell ref="CO2:CS2"/>
    <mergeCell ref="AR1:BN1"/>
    <mergeCell ref="AR2:AV2"/>
    <mergeCell ref="AW2:BA2"/>
    <mergeCell ref="CC2:CG2"/>
    <mergeCell ref="BX2:CB2"/>
    <mergeCell ref="BS1:CN1"/>
    <mergeCell ref="BB2:BF2"/>
    <mergeCell ref="BS2:BW2"/>
    <mergeCell ref="BO1:BR1"/>
    <mergeCell ref="CO1:DJ1"/>
    <mergeCell ref="CY2:DC2"/>
    <mergeCell ref="R1:R3"/>
    <mergeCell ref="T1:T3"/>
    <mergeCell ref="S1:S3"/>
    <mergeCell ref="U2:Y2"/>
    <mergeCell ref="H1:H3"/>
    <mergeCell ref="I1:I3"/>
    <mergeCell ref="J1:J3"/>
    <mergeCell ref="L1:L3"/>
    <mergeCell ref="N1:N3"/>
    <mergeCell ref="K1:K3"/>
    <mergeCell ref="M1:M3"/>
    <mergeCell ref="DU2:DY2"/>
    <mergeCell ref="DP2:DT2"/>
    <mergeCell ref="CT2:CX2"/>
    <mergeCell ref="A1:A3"/>
    <mergeCell ref="B1:B3"/>
    <mergeCell ref="C1:C3"/>
    <mergeCell ref="E1:E3"/>
    <mergeCell ref="G1:G3"/>
    <mergeCell ref="D1:D3"/>
    <mergeCell ref="F1:F3"/>
    <mergeCell ref="O1:O3"/>
    <mergeCell ref="Q1:Q3"/>
    <mergeCell ref="U1:AQ1"/>
    <mergeCell ref="Z2:AD2"/>
    <mergeCell ref="AE2:AI2"/>
    <mergeCell ref="P1:P3"/>
  </mergeCells>
  <conditionalFormatting sqref="A1:A1048576">
    <cfRule type="expression" dxfId="156" priority="276">
      <formula>AND(H1="P",F1="")</formula>
    </cfRule>
  </conditionalFormatting>
  <conditionalFormatting sqref="I1:I1048576">
    <cfRule type="containsText" dxfId="155" priority="17" operator="containsText" text="No DD">
      <formula>NOT(ISERROR(SEARCH("No DD",I1)))</formula>
    </cfRule>
    <cfRule type="containsText" dxfId="154" priority="277" operator="containsText" text="Merit">
      <formula>NOT(ISERROR(SEARCH("Merit",I1)))</formula>
    </cfRule>
    <cfRule type="containsText" dxfId="153" priority="278" operator="containsText" text="Excellence">
      <formula>NOT(ISERROR(SEARCH("Excellence",I1)))</formula>
    </cfRule>
    <cfRule type="containsText" dxfId="152" priority="279" operator="containsText" text="Worlds Team">
      <formula>NOT(ISERROR(SEARCH("Worlds Team",I1)))</formula>
    </cfRule>
    <cfRule type="containsText" dxfId="151" priority="827" operator="containsText" text="National Team">
      <formula>NOT(ISERROR(SEARCH("National Team",I1)))</formula>
    </cfRule>
  </conditionalFormatting>
  <conditionalFormatting sqref="U4:AQ23">
    <cfRule type="expression" dxfId="150" priority="39">
      <formula>IF($AJ4&lt;&gt;"",1,0)</formula>
    </cfRule>
  </conditionalFormatting>
  <conditionalFormatting sqref="AR4:BN23">
    <cfRule type="expression" dxfId="149" priority="38">
      <formula>IF($BG4&lt;&gt;"",1,0)</formula>
    </cfRule>
  </conditionalFormatting>
  <conditionalFormatting sqref="LR1:LR1048576 KV1:KV1048576 JZ1:JZ1048576 JD1:JD1048576 IH1:IH1048576 HL1:HL1048576 GP1:GP1048576 FT1:FT1048576 EX1:EX1048576 EB1:EB1048576 DF1:DF1048576 CJ1:CJ1048576">
    <cfRule type="cellIs" dxfId="148" priority="5649" operator="between">
      <formula>CI$31</formula>
      <formula>1000</formula>
    </cfRule>
  </conditionalFormatting>
  <conditionalFormatting sqref="LU1:LU1048576">
    <cfRule type="cellIs" dxfId="147" priority="5685" operator="between">
      <formula>LQ$31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46" priority="5721" operator="between">
      <formula>CI$30</formula>
      <formula>1000</formula>
    </cfRule>
    <cfRule type="cellIs" dxfId="145" priority="5722" operator="between">
      <formula>CI$29</formula>
      <formula>CI$30</formula>
    </cfRule>
    <cfRule type="cellIs" dxfId="144" priority="5723" operator="between">
      <formula>CI$28</formula>
      <formula>CI$29</formula>
    </cfRule>
  </conditionalFormatting>
  <conditionalFormatting sqref="CH1:CH1048576 DD1:DD1048576 DZ1:DZ1048576 EV1:EV1048576 FR1:FR1048576 GN1:GN1048576 HJ1:HJ1048576 IF1:IF1048576 JB1:JB1048576 JX1:JX1048576 KT1:KT1048576 LP1:LP1048576">
    <cfRule type="expression" dxfId="143" priority="18">
      <formula>IF(AND(CH1&gt;=CI$26,CH1&lt;CI$27),1,0)</formula>
    </cfRule>
    <cfRule type="expression" dxfId="142" priority="19">
      <formula>IF(AND(CH1&gt;=CI$27,CH1&lt;100),1,0)</formula>
    </cfRule>
  </conditionalFormatting>
  <conditionalFormatting sqref="Q1:Q1048576 O1:O1048576 M1:M1048576 K1:K1048576">
    <cfRule type="expression" dxfId="141" priority="8402">
      <formula>IF(K1=$AR$1,1,0)</formula>
    </cfRule>
    <cfRule type="expression" dxfId="140" priority="8403">
      <formula>IF(K1=$U$1,1,0)</formula>
    </cfRule>
  </conditionalFormatting>
  <conditionalFormatting sqref="AK1:AK1048576 BH1:BH1048576">
    <cfRule type="expression" dxfId="139" priority="12437">
      <formula>IF(AND(AK1&gt;=AL$27,AK1&lt;100,AJ1=""),1,0)</formula>
    </cfRule>
    <cfRule type="expression" dxfId="138" priority="12438">
      <formula>IF(AND(AK1&gt;=AL$26,AK1&lt;AL$27,AJ1=""),1,0)</formula>
    </cfRule>
  </conditionalFormatting>
  <conditionalFormatting sqref="AN1:AN1048576 BK1:BK1048576">
    <cfRule type="expression" dxfId="137" priority="12445">
      <formula>IF(AND(AN1&gt;=AL$30,AN1&lt;1000,AJ1=""),1,0)</formula>
    </cfRule>
    <cfRule type="expression" dxfId="136" priority="12446">
      <formula>IF(AND(AN1&gt;=AL$29,AN1&lt;AL$30,AJ1=""),1,0)</formula>
    </cfRule>
    <cfRule type="expression" dxfId="135" priority="12447">
      <formula>IF(AND(AN1&gt;=AL$28,AN1&lt;AL$29,AJ1=""),1,0)</formula>
    </cfRule>
  </conditionalFormatting>
  <conditionalFormatting sqref="BJ1:BJ1048576 AM1:AM1048576">
    <cfRule type="expression" dxfId="134" priority="12457">
      <formula>IF(AND(AM1&gt;=AL$31,AM1&lt;1000,AJ1=""),1,0)</formula>
    </cfRule>
  </conditionalFormatting>
  <conditionalFormatting sqref="BM1:BM1048576">
    <cfRule type="expression" dxfId="133" priority="12461">
      <formula>IF(AND(BM1&gt;=BI$31,BM1&lt;1000,BG1=""),1,0)</formula>
    </cfRule>
  </conditionalFormatting>
  <conditionalFormatting sqref="AP1:AP1048576">
    <cfRule type="expression" dxfId="132" priority="14536">
      <formula>IF(AND(AP1&gt;=AL$31,AP1&lt;1000,AJ1=""),1,0)</formula>
    </cfRule>
  </conditionalFormatting>
  <conditionalFormatting sqref="CM1:CM1048576 DI1:DI1048576 EE1:EE1048576 FW1:FW1048576 HO1:HO1048576 JG1:JG1048576 KY1:KY1048576 FA1:FA1048576 GS1:GS1048576 IK1:IK1048576 KC1:KC1048576">
    <cfRule type="cellIs" dxfId="131" priority="14537" operator="between">
      <formula>CI$31</formula>
      <formula>1000</formula>
    </cfRule>
  </conditionalFormatting>
  <conditionalFormatting sqref="LT1:LT1048576 KX1:KX1048576 KB1:KB1048576 JF1:JF1048576 IJ1:IJ1048576 HN1:HN1048576 GR1:GR1048576 FV1:FV1048576 EZ1:EZ1048576 ED1:ED1048576 DH1:DH1048576 CL1:CL1048576">
    <cfRule type="expression" dxfId="130" priority="3">
      <formula>IF(AND(CL1&gt;=CI$27,CL1&lt;100),1,0)</formula>
    </cfRule>
    <cfRule type="expression" dxfId="129" priority="4">
      <formula>IF(AND(CL1&gt;=CI$26,CL1&lt;CI$27),1,0)</formula>
    </cfRule>
  </conditionalFormatting>
  <conditionalFormatting sqref="BL1:BL1048576 AO1:AO1048576">
    <cfRule type="expression" dxfId="128" priority="1">
      <formula>IF(AND(AO1&gt;=AL$27,AO1&lt;100,AJ1=""),1,0)</formula>
    </cfRule>
    <cfRule type="expression" dxfId="127" priority="2">
      <formula>IF(AND(AO1&gt;=AL$26,AO1&lt;AL$27,AJ1=""),1,0)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S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12" t="s">
        <v>1</v>
      </c>
      <c r="B1" s="112" t="s">
        <v>26</v>
      </c>
      <c r="C1" s="112" t="s">
        <v>0</v>
      </c>
      <c r="D1" s="112" t="s">
        <v>56</v>
      </c>
      <c r="E1" s="112" t="s">
        <v>2</v>
      </c>
      <c r="F1" s="113" t="s">
        <v>51</v>
      </c>
      <c r="G1" s="113" t="s">
        <v>50</v>
      </c>
      <c r="H1" s="112" t="s">
        <v>8</v>
      </c>
      <c r="I1" s="112" t="s">
        <v>9</v>
      </c>
      <c r="J1" s="114" t="s">
        <v>10</v>
      </c>
      <c r="K1" s="114" t="s">
        <v>33</v>
      </c>
      <c r="L1" s="114" t="s">
        <v>11</v>
      </c>
      <c r="M1" s="114" t="s">
        <v>33</v>
      </c>
      <c r="N1" s="114" t="s">
        <v>12</v>
      </c>
      <c r="O1" s="114" t="s">
        <v>33</v>
      </c>
      <c r="P1" s="114" t="s">
        <v>13</v>
      </c>
      <c r="Q1" s="114" t="s">
        <v>33</v>
      </c>
      <c r="R1" s="116" t="s">
        <v>14</v>
      </c>
      <c r="S1" s="114" t="s">
        <v>34</v>
      </c>
      <c r="T1" s="114" t="s">
        <v>33</v>
      </c>
      <c r="U1" s="115" t="s">
        <v>53</v>
      </c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7" t="s">
        <v>122</v>
      </c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8" t="s">
        <v>14</v>
      </c>
      <c r="BP1" s="118"/>
      <c r="BQ1" s="118"/>
      <c r="BR1" s="118"/>
      <c r="BS1" s="115" t="s">
        <v>63</v>
      </c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7" t="s">
        <v>62</v>
      </c>
      <c r="CP1" s="117"/>
      <c r="CQ1" s="117"/>
      <c r="CR1" s="117"/>
      <c r="CS1" s="117"/>
      <c r="CT1" s="117"/>
      <c r="CU1" s="117"/>
      <c r="CV1" s="117"/>
      <c r="CW1" s="117"/>
      <c r="CX1" s="117"/>
      <c r="CY1" s="117"/>
      <c r="CZ1" s="117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5" t="s">
        <v>64</v>
      </c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7" t="s">
        <v>65</v>
      </c>
      <c r="EH1" s="117"/>
      <c r="EI1" s="117"/>
      <c r="EJ1" s="117"/>
      <c r="EK1" s="117"/>
      <c r="EL1" s="117"/>
      <c r="EM1" s="117"/>
      <c r="EN1" s="117"/>
      <c r="EO1" s="117"/>
      <c r="EP1" s="117"/>
      <c r="EQ1" s="117"/>
      <c r="ER1" s="117"/>
      <c r="ES1" s="117"/>
      <c r="ET1" s="117"/>
      <c r="EU1" s="117"/>
      <c r="EV1" s="117"/>
      <c r="EW1" s="117"/>
      <c r="EX1" s="117"/>
      <c r="EY1" s="117"/>
      <c r="EZ1" s="117"/>
      <c r="FA1" s="117"/>
      <c r="FB1" s="117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7"/>
      <c r="FZ1" s="117"/>
      <c r="GA1" s="117"/>
      <c r="GB1" s="117"/>
      <c r="GC1" s="117"/>
      <c r="GD1" s="117"/>
      <c r="GE1" s="117"/>
      <c r="GF1" s="117"/>
      <c r="GG1" s="117"/>
      <c r="GH1" s="117"/>
      <c r="GI1" s="117"/>
      <c r="GJ1" s="117"/>
      <c r="GK1" s="117"/>
      <c r="GL1" s="117"/>
      <c r="GM1" s="117"/>
      <c r="GN1" s="117"/>
      <c r="GO1" s="117"/>
      <c r="GP1" s="117"/>
      <c r="GQ1" s="117"/>
      <c r="GR1" s="117"/>
      <c r="GS1" s="117"/>
      <c r="GT1" s="117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7"/>
      <c r="HR1" s="117"/>
      <c r="HS1" s="117"/>
      <c r="HT1" s="117"/>
      <c r="HU1" s="117"/>
      <c r="HV1" s="117"/>
      <c r="HW1" s="117"/>
      <c r="HX1" s="117"/>
      <c r="HY1" s="117"/>
      <c r="HZ1" s="117"/>
      <c r="IA1" s="117"/>
      <c r="IB1" s="117"/>
      <c r="IC1" s="117"/>
      <c r="ID1" s="117"/>
      <c r="IE1" s="117"/>
      <c r="IF1" s="117"/>
      <c r="IG1" s="117"/>
      <c r="IH1" s="117"/>
      <c r="II1" s="117"/>
      <c r="IJ1" s="117"/>
      <c r="IK1" s="117"/>
      <c r="IL1" s="117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7"/>
      <c r="JJ1" s="117"/>
      <c r="JK1" s="117"/>
      <c r="JL1" s="117"/>
      <c r="JM1" s="117"/>
      <c r="JN1" s="117"/>
      <c r="JO1" s="117"/>
      <c r="JP1" s="117"/>
      <c r="JQ1" s="117"/>
      <c r="JR1" s="117"/>
      <c r="JS1" s="117"/>
      <c r="JT1" s="117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7"/>
      <c r="LB1" s="117"/>
      <c r="LC1" s="117"/>
      <c r="LD1" s="117"/>
      <c r="LE1" s="117"/>
      <c r="LF1" s="117"/>
      <c r="LG1" s="117"/>
      <c r="LH1" s="117"/>
      <c r="LI1" s="117"/>
      <c r="LJ1" s="117"/>
      <c r="LK1" s="117"/>
      <c r="LL1" s="117"/>
      <c r="LM1" s="117"/>
      <c r="LN1" s="117"/>
      <c r="LO1" s="117"/>
      <c r="LP1" s="117"/>
      <c r="LQ1" s="117"/>
      <c r="LR1" s="117"/>
      <c r="LS1" s="117"/>
      <c r="LT1" s="117"/>
      <c r="LU1" s="117"/>
      <c r="LV1" s="117"/>
      <c r="LW1" s="115" t="s">
        <v>120</v>
      </c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</row>
    <row r="2" spans="1:357" x14ac:dyDescent="0.2">
      <c r="A2" s="112"/>
      <c r="B2" s="112"/>
      <c r="C2" s="112"/>
      <c r="D2" s="112"/>
      <c r="E2" s="112"/>
      <c r="F2" s="113"/>
      <c r="G2" s="113"/>
      <c r="H2" s="112"/>
      <c r="I2" s="112"/>
      <c r="J2" s="114"/>
      <c r="K2" s="114"/>
      <c r="L2" s="114"/>
      <c r="M2" s="114"/>
      <c r="N2" s="114"/>
      <c r="O2" s="114"/>
      <c r="P2" s="114"/>
      <c r="Q2" s="114"/>
      <c r="R2" s="116"/>
      <c r="S2" s="114"/>
      <c r="T2" s="114"/>
      <c r="U2" s="110" t="s">
        <v>19</v>
      </c>
      <c r="V2" s="110"/>
      <c r="W2" s="110"/>
      <c r="X2" s="110"/>
      <c r="Y2" s="110"/>
      <c r="Z2" s="110" t="s">
        <v>20</v>
      </c>
      <c r="AA2" s="110"/>
      <c r="AB2" s="110"/>
      <c r="AC2" s="110"/>
      <c r="AD2" s="110"/>
      <c r="AE2" s="110" t="s">
        <v>23</v>
      </c>
      <c r="AF2" s="110"/>
      <c r="AG2" s="110"/>
      <c r="AH2" s="110"/>
      <c r="AI2" s="110"/>
      <c r="AJ2" s="72"/>
      <c r="AK2" s="52" t="s">
        <v>66</v>
      </c>
      <c r="AL2" s="10" t="s">
        <v>21</v>
      </c>
      <c r="AM2" s="10" t="s">
        <v>22</v>
      </c>
      <c r="AN2" s="10" t="s">
        <v>24</v>
      </c>
      <c r="AO2" s="10" t="s">
        <v>131</v>
      </c>
      <c r="AP2" s="10" t="s">
        <v>23</v>
      </c>
      <c r="AQ2" s="10" t="s">
        <v>18</v>
      </c>
      <c r="AR2" s="111" t="s">
        <v>19</v>
      </c>
      <c r="AS2" s="111"/>
      <c r="AT2" s="111"/>
      <c r="AU2" s="111"/>
      <c r="AV2" s="111"/>
      <c r="AW2" s="111" t="s">
        <v>20</v>
      </c>
      <c r="AX2" s="111"/>
      <c r="AY2" s="111"/>
      <c r="AZ2" s="111"/>
      <c r="BA2" s="111"/>
      <c r="BB2" s="111" t="s">
        <v>23</v>
      </c>
      <c r="BC2" s="111"/>
      <c r="BD2" s="111"/>
      <c r="BE2" s="111"/>
      <c r="BF2" s="111"/>
      <c r="BG2" s="73"/>
      <c r="BH2" s="51" t="s">
        <v>66</v>
      </c>
      <c r="BI2" s="13" t="s">
        <v>21</v>
      </c>
      <c r="BJ2" s="13" t="s">
        <v>22</v>
      </c>
      <c r="BK2" s="13" t="s">
        <v>24</v>
      </c>
      <c r="BL2" s="13" t="s">
        <v>131</v>
      </c>
      <c r="BM2" s="13" t="s">
        <v>23</v>
      </c>
      <c r="BN2" s="13" t="s">
        <v>18</v>
      </c>
      <c r="BO2" s="22" t="s">
        <v>21</v>
      </c>
      <c r="BP2" s="22" t="s">
        <v>22</v>
      </c>
      <c r="BQ2" s="22" t="s">
        <v>24</v>
      </c>
      <c r="BR2" s="22" t="s">
        <v>23</v>
      </c>
      <c r="BS2" s="110" t="s">
        <v>19</v>
      </c>
      <c r="BT2" s="110"/>
      <c r="BU2" s="110"/>
      <c r="BV2" s="110"/>
      <c r="BW2" s="110"/>
      <c r="BX2" s="110" t="s">
        <v>20</v>
      </c>
      <c r="BY2" s="110"/>
      <c r="BZ2" s="110"/>
      <c r="CA2" s="110"/>
      <c r="CB2" s="110"/>
      <c r="CC2" s="110" t="s">
        <v>23</v>
      </c>
      <c r="CD2" s="110"/>
      <c r="CE2" s="110"/>
      <c r="CF2" s="110"/>
      <c r="CG2" s="110"/>
      <c r="CH2" s="52" t="s">
        <v>66</v>
      </c>
      <c r="CI2" s="10" t="s">
        <v>21</v>
      </c>
      <c r="CJ2" s="10" t="s">
        <v>22</v>
      </c>
      <c r="CK2" s="10" t="s">
        <v>24</v>
      </c>
      <c r="CL2" s="10" t="s">
        <v>131</v>
      </c>
      <c r="CM2" s="10" t="s">
        <v>23</v>
      </c>
      <c r="CN2" s="10" t="s">
        <v>18</v>
      </c>
      <c r="CO2" s="111" t="s">
        <v>19</v>
      </c>
      <c r="CP2" s="111"/>
      <c r="CQ2" s="111"/>
      <c r="CR2" s="111"/>
      <c r="CS2" s="111"/>
      <c r="CT2" s="111" t="s">
        <v>20</v>
      </c>
      <c r="CU2" s="111"/>
      <c r="CV2" s="111"/>
      <c r="CW2" s="111"/>
      <c r="CX2" s="111"/>
      <c r="CY2" s="111" t="s">
        <v>23</v>
      </c>
      <c r="CZ2" s="111"/>
      <c r="DA2" s="111"/>
      <c r="DB2" s="111"/>
      <c r="DC2" s="111"/>
      <c r="DD2" s="51" t="s">
        <v>66</v>
      </c>
      <c r="DE2" s="13" t="s">
        <v>21</v>
      </c>
      <c r="DF2" s="13" t="s">
        <v>22</v>
      </c>
      <c r="DG2" s="13" t="s">
        <v>24</v>
      </c>
      <c r="DH2" s="13" t="s">
        <v>131</v>
      </c>
      <c r="DI2" s="13" t="s">
        <v>23</v>
      </c>
      <c r="DJ2" s="13" t="s">
        <v>18</v>
      </c>
      <c r="DK2" s="110" t="s">
        <v>19</v>
      </c>
      <c r="DL2" s="110"/>
      <c r="DM2" s="110"/>
      <c r="DN2" s="110"/>
      <c r="DO2" s="110"/>
      <c r="DP2" s="110" t="s">
        <v>20</v>
      </c>
      <c r="DQ2" s="110"/>
      <c r="DR2" s="110"/>
      <c r="DS2" s="110"/>
      <c r="DT2" s="110"/>
      <c r="DU2" s="110" t="s">
        <v>23</v>
      </c>
      <c r="DV2" s="110"/>
      <c r="DW2" s="110"/>
      <c r="DX2" s="110"/>
      <c r="DY2" s="110"/>
      <c r="DZ2" s="52" t="s">
        <v>66</v>
      </c>
      <c r="EA2" s="10" t="s">
        <v>21</v>
      </c>
      <c r="EB2" s="10" t="s">
        <v>22</v>
      </c>
      <c r="EC2" s="10" t="s">
        <v>24</v>
      </c>
      <c r="ED2" s="10" t="s">
        <v>131</v>
      </c>
      <c r="EE2" s="10" t="s">
        <v>23</v>
      </c>
      <c r="EF2" s="10" t="s">
        <v>18</v>
      </c>
      <c r="EG2" s="111" t="s">
        <v>19</v>
      </c>
      <c r="EH2" s="111"/>
      <c r="EI2" s="111"/>
      <c r="EJ2" s="111"/>
      <c r="EK2" s="111"/>
      <c r="EL2" s="111" t="s">
        <v>20</v>
      </c>
      <c r="EM2" s="111"/>
      <c r="EN2" s="111"/>
      <c r="EO2" s="111"/>
      <c r="EP2" s="111"/>
      <c r="EQ2" s="111" t="s">
        <v>23</v>
      </c>
      <c r="ER2" s="111"/>
      <c r="ES2" s="111"/>
      <c r="ET2" s="111"/>
      <c r="EU2" s="111"/>
      <c r="EV2" s="51" t="s">
        <v>66</v>
      </c>
      <c r="EW2" s="13" t="s">
        <v>21</v>
      </c>
      <c r="EX2" s="13" t="s">
        <v>22</v>
      </c>
      <c r="EY2" s="13" t="s">
        <v>24</v>
      </c>
      <c r="EZ2" s="13" t="s">
        <v>131</v>
      </c>
      <c r="FA2" s="13" t="s">
        <v>23</v>
      </c>
      <c r="FB2" s="13" t="s">
        <v>18</v>
      </c>
      <c r="FC2" s="110" t="s">
        <v>19</v>
      </c>
      <c r="FD2" s="110"/>
      <c r="FE2" s="110"/>
      <c r="FF2" s="110"/>
      <c r="FG2" s="110"/>
      <c r="FH2" s="110" t="s">
        <v>20</v>
      </c>
      <c r="FI2" s="110"/>
      <c r="FJ2" s="110"/>
      <c r="FK2" s="110"/>
      <c r="FL2" s="110"/>
      <c r="FM2" s="110" t="s">
        <v>23</v>
      </c>
      <c r="FN2" s="110"/>
      <c r="FO2" s="110"/>
      <c r="FP2" s="110"/>
      <c r="FQ2" s="110"/>
      <c r="FR2" s="52" t="s">
        <v>66</v>
      </c>
      <c r="FS2" s="10" t="s">
        <v>21</v>
      </c>
      <c r="FT2" s="10" t="s">
        <v>22</v>
      </c>
      <c r="FU2" s="10" t="s">
        <v>24</v>
      </c>
      <c r="FV2" s="10" t="s">
        <v>131</v>
      </c>
      <c r="FW2" s="10" t="s">
        <v>23</v>
      </c>
      <c r="FX2" s="10" t="s">
        <v>18</v>
      </c>
      <c r="FY2" s="111" t="s">
        <v>19</v>
      </c>
      <c r="FZ2" s="111"/>
      <c r="GA2" s="111"/>
      <c r="GB2" s="111"/>
      <c r="GC2" s="111"/>
      <c r="GD2" s="111" t="s">
        <v>20</v>
      </c>
      <c r="GE2" s="111"/>
      <c r="GF2" s="111"/>
      <c r="GG2" s="111"/>
      <c r="GH2" s="111"/>
      <c r="GI2" s="111" t="s">
        <v>23</v>
      </c>
      <c r="GJ2" s="111"/>
      <c r="GK2" s="111"/>
      <c r="GL2" s="111"/>
      <c r="GM2" s="111"/>
      <c r="GN2" s="51" t="s">
        <v>66</v>
      </c>
      <c r="GO2" s="13" t="s">
        <v>21</v>
      </c>
      <c r="GP2" s="13" t="s">
        <v>22</v>
      </c>
      <c r="GQ2" s="13" t="s">
        <v>24</v>
      </c>
      <c r="GR2" s="13" t="s">
        <v>131</v>
      </c>
      <c r="GS2" s="13" t="s">
        <v>23</v>
      </c>
      <c r="GT2" s="13" t="s">
        <v>18</v>
      </c>
      <c r="GU2" s="110" t="s">
        <v>19</v>
      </c>
      <c r="GV2" s="110"/>
      <c r="GW2" s="110"/>
      <c r="GX2" s="110"/>
      <c r="GY2" s="110"/>
      <c r="GZ2" s="110" t="s">
        <v>20</v>
      </c>
      <c r="HA2" s="110"/>
      <c r="HB2" s="110"/>
      <c r="HC2" s="110"/>
      <c r="HD2" s="110"/>
      <c r="HE2" s="110" t="s">
        <v>23</v>
      </c>
      <c r="HF2" s="110"/>
      <c r="HG2" s="110"/>
      <c r="HH2" s="110"/>
      <c r="HI2" s="110"/>
      <c r="HJ2" s="21" t="s">
        <v>66</v>
      </c>
      <c r="HK2" s="10" t="s">
        <v>21</v>
      </c>
      <c r="HL2" s="10" t="s">
        <v>22</v>
      </c>
      <c r="HM2" s="10" t="s">
        <v>24</v>
      </c>
      <c r="HN2" s="10" t="s">
        <v>131</v>
      </c>
      <c r="HO2" s="10" t="s">
        <v>23</v>
      </c>
      <c r="HP2" s="10" t="s">
        <v>18</v>
      </c>
      <c r="HQ2" s="111" t="s">
        <v>19</v>
      </c>
      <c r="HR2" s="111"/>
      <c r="HS2" s="111"/>
      <c r="HT2" s="111"/>
      <c r="HU2" s="111"/>
      <c r="HV2" s="111" t="s">
        <v>20</v>
      </c>
      <c r="HW2" s="111"/>
      <c r="HX2" s="111"/>
      <c r="HY2" s="111"/>
      <c r="HZ2" s="111"/>
      <c r="IA2" s="111" t="s">
        <v>23</v>
      </c>
      <c r="IB2" s="111"/>
      <c r="IC2" s="111"/>
      <c r="ID2" s="111"/>
      <c r="IE2" s="111"/>
      <c r="IF2" s="51" t="s">
        <v>66</v>
      </c>
      <c r="IG2" s="13" t="s">
        <v>21</v>
      </c>
      <c r="IH2" s="13" t="s">
        <v>22</v>
      </c>
      <c r="II2" s="13" t="s">
        <v>24</v>
      </c>
      <c r="IJ2" s="13" t="s">
        <v>131</v>
      </c>
      <c r="IK2" s="13" t="s">
        <v>23</v>
      </c>
      <c r="IL2" s="13" t="s">
        <v>18</v>
      </c>
      <c r="IM2" s="110" t="s">
        <v>19</v>
      </c>
      <c r="IN2" s="110"/>
      <c r="IO2" s="110"/>
      <c r="IP2" s="110"/>
      <c r="IQ2" s="110"/>
      <c r="IR2" s="110" t="s">
        <v>20</v>
      </c>
      <c r="IS2" s="110"/>
      <c r="IT2" s="110"/>
      <c r="IU2" s="110"/>
      <c r="IV2" s="110"/>
      <c r="IW2" s="110" t="s">
        <v>23</v>
      </c>
      <c r="IX2" s="110"/>
      <c r="IY2" s="110"/>
      <c r="IZ2" s="110"/>
      <c r="JA2" s="110"/>
      <c r="JB2" s="21" t="s">
        <v>66</v>
      </c>
      <c r="JC2" s="10" t="s">
        <v>21</v>
      </c>
      <c r="JD2" s="10" t="s">
        <v>22</v>
      </c>
      <c r="JE2" s="10" t="s">
        <v>24</v>
      </c>
      <c r="JF2" s="10" t="s">
        <v>131</v>
      </c>
      <c r="JG2" s="10" t="s">
        <v>23</v>
      </c>
      <c r="JH2" s="10" t="s">
        <v>18</v>
      </c>
      <c r="JI2" s="111" t="s">
        <v>19</v>
      </c>
      <c r="JJ2" s="111"/>
      <c r="JK2" s="111"/>
      <c r="JL2" s="111"/>
      <c r="JM2" s="111"/>
      <c r="JN2" s="111" t="s">
        <v>20</v>
      </c>
      <c r="JO2" s="111"/>
      <c r="JP2" s="111"/>
      <c r="JQ2" s="111"/>
      <c r="JR2" s="111"/>
      <c r="JS2" s="111" t="s">
        <v>23</v>
      </c>
      <c r="JT2" s="111"/>
      <c r="JU2" s="111"/>
      <c r="JV2" s="111"/>
      <c r="JW2" s="111"/>
      <c r="JX2" s="20" t="s">
        <v>66</v>
      </c>
      <c r="JY2" s="13" t="s">
        <v>21</v>
      </c>
      <c r="JZ2" s="13" t="s">
        <v>22</v>
      </c>
      <c r="KA2" s="13" t="s">
        <v>24</v>
      </c>
      <c r="KB2" s="13" t="s">
        <v>131</v>
      </c>
      <c r="KC2" s="13" t="s">
        <v>23</v>
      </c>
      <c r="KD2" s="13" t="s">
        <v>18</v>
      </c>
      <c r="KE2" s="110" t="s">
        <v>19</v>
      </c>
      <c r="KF2" s="110"/>
      <c r="KG2" s="110"/>
      <c r="KH2" s="110"/>
      <c r="KI2" s="110"/>
      <c r="KJ2" s="110" t="s">
        <v>20</v>
      </c>
      <c r="KK2" s="110"/>
      <c r="KL2" s="110"/>
      <c r="KM2" s="110"/>
      <c r="KN2" s="110"/>
      <c r="KO2" s="110" t="s">
        <v>23</v>
      </c>
      <c r="KP2" s="110"/>
      <c r="KQ2" s="110"/>
      <c r="KR2" s="110"/>
      <c r="KS2" s="110"/>
      <c r="KT2" s="21" t="s">
        <v>66</v>
      </c>
      <c r="KU2" s="10" t="s">
        <v>21</v>
      </c>
      <c r="KV2" s="10" t="s">
        <v>22</v>
      </c>
      <c r="KW2" s="10" t="s">
        <v>24</v>
      </c>
      <c r="KX2" s="10" t="s">
        <v>131</v>
      </c>
      <c r="KY2" s="10" t="s">
        <v>23</v>
      </c>
      <c r="KZ2" s="10" t="s">
        <v>18</v>
      </c>
      <c r="LA2" s="111" t="s">
        <v>19</v>
      </c>
      <c r="LB2" s="111"/>
      <c r="LC2" s="111"/>
      <c r="LD2" s="111"/>
      <c r="LE2" s="111"/>
      <c r="LF2" s="111" t="s">
        <v>20</v>
      </c>
      <c r="LG2" s="111"/>
      <c r="LH2" s="111"/>
      <c r="LI2" s="111"/>
      <c r="LJ2" s="111"/>
      <c r="LK2" s="111" t="s">
        <v>23</v>
      </c>
      <c r="LL2" s="111"/>
      <c r="LM2" s="111"/>
      <c r="LN2" s="111"/>
      <c r="LO2" s="111"/>
      <c r="LP2" s="20" t="s">
        <v>66</v>
      </c>
      <c r="LQ2" s="13" t="s">
        <v>21</v>
      </c>
      <c r="LR2" s="13" t="s">
        <v>22</v>
      </c>
      <c r="LS2" s="13" t="s">
        <v>24</v>
      </c>
      <c r="LT2" s="13" t="s">
        <v>131</v>
      </c>
      <c r="LU2" s="13" t="s">
        <v>23</v>
      </c>
      <c r="LV2" s="13" t="s">
        <v>18</v>
      </c>
      <c r="LW2" s="110" t="s">
        <v>19</v>
      </c>
      <c r="LX2" s="110"/>
      <c r="LY2" s="110"/>
      <c r="LZ2" s="110"/>
      <c r="MA2" s="110"/>
      <c r="MB2" s="110" t="s">
        <v>20</v>
      </c>
      <c r="MC2" s="110"/>
      <c r="MD2" s="110"/>
      <c r="ME2" s="110"/>
      <c r="MF2" s="110"/>
      <c r="MG2" s="110" t="s">
        <v>23</v>
      </c>
      <c r="MH2" s="110"/>
      <c r="MI2" s="110"/>
      <c r="MJ2" s="110"/>
      <c r="MK2" s="110"/>
      <c r="ML2" s="105"/>
      <c r="MM2" s="105" t="s">
        <v>66</v>
      </c>
      <c r="MN2" s="10" t="s">
        <v>21</v>
      </c>
      <c r="MO2" s="10" t="s">
        <v>22</v>
      </c>
      <c r="MP2" s="10" t="s">
        <v>24</v>
      </c>
      <c r="MQ2" s="10" t="s">
        <v>131</v>
      </c>
      <c r="MR2" s="10" t="s">
        <v>23</v>
      </c>
      <c r="MS2" s="10" t="s">
        <v>18</v>
      </c>
    </row>
    <row r="3" spans="1:357" x14ac:dyDescent="0.2">
      <c r="A3" s="112"/>
      <c r="B3" s="112"/>
      <c r="C3" s="112"/>
      <c r="D3" s="112"/>
      <c r="E3" s="112"/>
      <c r="F3" s="113"/>
      <c r="G3" s="113"/>
      <c r="H3" s="112"/>
      <c r="I3" s="112"/>
      <c r="J3" s="114"/>
      <c r="K3" s="114"/>
      <c r="L3" s="114"/>
      <c r="M3" s="114"/>
      <c r="N3" s="114"/>
      <c r="O3" s="114"/>
      <c r="P3" s="114"/>
      <c r="Q3" s="114"/>
      <c r="R3" s="116"/>
      <c r="S3" s="114"/>
      <c r="T3" s="114"/>
      <c r="U3" s="52" t="s">
        <v>15</v>
      </c>
      <c r="V3" s="52" t="s">
        <v>16</v>
      </c>
      <c r="W3" s="52" t="s">
        <v>7</v>
      </c>
      <c r="X3" s="52" t="s">
        <v>17</v>
      </c>
      <c r="Y3" s="52" t="s">
        <v>28</v>
      </c>
      <c r="Z3" s="52" t="s">
        <v>15</v>
      </c>
      <c r="AA3" s="52" t="s">
        <v>16</v>
      </c>
      <c r="AB3" s="52" t="s">
        <v>7</v>
      </c>
      <c r="AC3" s="52" t="s">
        <v>17</v>
      </c>
      <c r="AD3" s="52" t="s">
        <v>28</v>
      </c>
      <c r="AE3" s="52" t="s">
        <v>15</v>
      </c>
      <c r="AF3" s="52" t="s">
        <v>16</v>
      </c>
      <c r="AG3" s="52" t="s">
        <v>7</v>
      </c>
      <c r="AH3" s="52" t="s">
        <v>17</v>
      </c>
      <c r="AI3" s="52" t="s">
        <v>28</v>
      </c>
      <c r="AJ3" s="72" t="s">
        <v>54</v>
      </c>
      <c r="AK3" s="11"/>
      <c r="AL3" s="10"/>
      <c r="AM3" s="10"/>
      <c r="AN3" s="10"/>
      <c r="AO3" s="10"/>
      <c r="AP3" s="11"/>
      <c r="AQ3" s="11"/>
      <c r="AR3" s="51" t="s">
        <v>15</v>
      </c>
      <c r="AS3" s="51" t="s">
        <v>16</v>
      </c>
      <c r="AT3" s="51" t="s">
        <v>7</v>
      </c>
      <c r="AU3" s="51" t="s">
        <v>17</v>
      </c>
      <c r="AV3" s="51" t="s">
        <v>28</v>
      </c>
      <c r="AW3" s="51" t="s">
        <v>15</v>
      </c>
      <c r="AX3" s="51" t="s">
        <v>16</v>
      </c>
      <c r="AY3" s="51" t="s">
        <v>7</v>
      </c>
      <c r="AZ3" s="51" t="s">
        <v>17</v>
      </c>
      <c r="BA3" s="51" t="s">
        <v>28</v>
      </c>
      <c r="BB3" s="51" t="s">
        <v>15</v>
      </c>
      <c r="BC3" s="51" t="s">
        <v>16</v>
      </c>
      <c r="BD3" s="51" t="s">
        <v>7</v>
      </c>
      <c r="BE3" s="51" t="s">
        <v>17</v>
      </c>
      <c r="BF3" s="51" t="s">
        <v>28</v>
      </c>
      <c r="BG3" s="73" t="s">
        <v>54</v>
      </c>
      <c r="BH3" s="14"/>
      <c r="BI3" s="13"/>
      <c r="BJ3" s="13"/>
      <c r="BK3" s="13"/>
      <c r="BL3" s="13"/>
      <c r="BM3" s="14"/>
      <c r="BN3" s="14"/>
      <c r="BO3" s="23"/>
      <c r="BP3" s="23"/>
      <c r="BQ3" s="23"/>
      <c r="BR3" s="23"/>
      <c r="BS3" s="52" t="s">
        <v>15</v>
      </c>
      <c r="BT3" s="52" t="s">
        <v>16</v>
      </c>
      <c r="BU3" s="52" t="s">
        <v>7</v>
      </c>
      <c r="BV3" s="52" t="s">
        <v>17</v>
      </c>
      <c r="BW3" s="52" t="s">
        <v>28</v>
      </c>
      <c r="BX3" s="52" t="s">
        <v>15</v>
      </c>
      <c r="BY3" s="52" t="s">
        <v>16</v>
      </c>
      <c r="BZ3" s="52" t="s">
        <v>7</v>
      </c>
      <c r="CA3" s="52" t="s">
        <v>17</v>
      </c>
      <c r="CB3" s="52" t="s">
        <v>28</v>
      </c>
      <c r="CC3" s="52" t="s">
        <v>15</v>
      </c>
      <c r="CD3" s="52" t="s">
        <v>16</v>
      </c>
      <c r="CE3" s="52" t="s">
        <v>7</v>
      </c>
      <c r="CF3" s="52" t="s">
        <v>17</v>
      </c>
      <c r="CG3" s="52" t="s">
        <v>28</v>
      </c>
      <c r="CH3" s="11"/>
      <c r="CI3" s="10"/>
      <c r="CJ3" s="10"/>
      <c r="CK3" s="10"/>
      <c r="CL3" s="10"/>
      <c r="CM3" s="11"/>
      <c r="CN3" s="11"/>
      <c r="CO3" s="51" t="s">
        <v>15</v>
      </c>
      <c r="CP3" s="51" t="s">
        <v>16</v>
      </c>
      <c r="CQ3" s="51" t="s">
        <v>7</v>
      </c>
      <c r="CR3" s="51" t="s">
        <v>17</v>
      </c>
      <c r="CS3" s="51" t="s">
        <v>28</v>
      </c>
      <c r="CT3" s="51" t="s">
        <v>15</v>
      </c>
      <c r="CU3" s="51" t="s">
        <v>16</v>
      </c>
      <c r="CV3" s="51" t="s">
        <v>7</v>
      </c>
      <c r="CW3" s="51" t="s">
        <v>17</v>
      </c>
      <c r="CX3" s="51" t="s">
        <v>28</v>
      </c>
      <c r="CY3" s="51" t="s">
        <v>15</v>
      </c>
      <c r="CZ3" s="51" t="s">
        <v>16</v>
      </c>
      <c r="DA3" s="51" t="s">
        <v>7</v>
      </c>
      <c r="DB3" s="51" t="s">
        <v>17</v>
      </c>
      <c r="DC3" s="51" t="s">
        <v>28</v>
      </c>
      <c r="DD3" s="14"/>
      <c r="DE3" s="13"/>
      <c r="DF3" s="13"/>
      <c r="DG3" s="13"/>
      <c r="DH3" s="13"/>
      <c r="DI3" s="14"/>
      <c r="DJ3" s="14"/>
      <c r="DK3" s="52" t="s">
        <v>15</v>
      </c>
      <c r="DL3" s="52" t="s">
        <v>16</v>
      </c>
      <c r="DM3" s="52" t="s">
        <v>7</v>
      </c>
      <c r="DN3" s="52" t="s">
        <v>17</v>
      </c>
      <c r="DO3" s="52" t="s">
        <v>28</v>
      </c>
      <c r="DP3" s="52" t="s">
        <v>15</v>
      </c>
      <c r="DQ3" s="52" t="s">
        <v>16</v>
      </c>
      <c r="DR3" s="52" t="s">
        <v>7</v>
      </c>
      <c r="DS3" s="52" t="s">
        <v>17</v>
      </c>
      <c r="DT3" s="52" t="s">
        <v>28</v>
      </c>
      <c r="DU3" s="52" t="s">
        <v>15</v>
      </c>
      <c r="DV3" s="52" t="s">
        <v>16</v>
      </c>
      <c r="DW3" s="52" t="s">
        <v>7</v>
      </c>
      <c r="DX3" s="52" t="s">
        <v>17</v>
      </c>
      <c r="DY3" s="52" t="s">
        <v>28</v>
      </c>
      <c r="DZ3" s="11"/>
      <c r="EA3" s="10"/>
      <c r="EB3" s="10"/>
      <c r="EC3" s="10"/>
      <c r="ED3" s="10"/>
      <c r="EE3" s="11"/>
      <c r="EF3" s="11"/>
      <c r="EG3" s="51" t="s">
        <v>15</v>
      </c>
      <c r="EH3" s="51" t="s">
        <v>16</v>
      </c>
      <c r="EI3" s="51" t="s">
        <v>7</v>
      </c>
      <c r="EJ3" s="51" t="s">
        <v>17</v>
      </c>
      <c r="EK3" s="51" t="s">
        <v>28</v>
      </c>
      <c r="EL3" s="51" t="s">
        <v>15</v>
      </c>
      <c r="EM3" s="51" t="s">
        <v>16</v>
      </c>
      <c r="EN3" s="51" t="s">
        <v>7</v>
      </c>
      <c r="EO3" s="51" t="s">
        <v>17</v>
      </c>
      <c r="EP3" s="51" t="s">
        <v>28</v>
      </c>
      <c r="EQ3" s="51" t="s">
        <v>15</v>
      </c>
      <c r="ER3" s="51" t="s">
        <v>16</v>
      </c>
      <c r="ES3" s="51" t="s">
        <v>7</v>
      </c>
      <c r="ET3" s="51" t="s">
        <v>17</v>
      </c>
      <c r="EU3" s="51" t="s">
        <v>28</v>
      </c>
      <c r="EV3" s="14"/>
      <c r="EW3" s="13"/>
      <c r="EX3" s="13"/>
      <c r="EY3" s="13"/>
      <c r="EZ3" s="13"/>
      <c r="FA3" s="14"/>
      <c r="FB3" s="14"/>
      <c r="FC3" s="52" t="s">
        <v>15</v>
      </c>
      <c r="FD3" s="52" t="s">
        <v>16</v>
      </c>
      <c r="FE3" s="52" t="s">
        <v>7</v>
      </c>
      <c r="FF3" s="52" t="s">
        <v>17</v>
      </c>
      <c r="FG3" s="52" t="s">
        <v>28</v>
      </c>
      <c r="FH3" s="52" t="s">
        <v>15</v>
      </c>
      <c r="FI3" s="52" t="s">
        <v>16</v>
      </c>
      <c r="FJ3" s="52" t="s">
        <v>7</v>
      </c>
      <c r="FK3" s="52" t="s">
        <v>17</v>
      </c>
      <c r="FL3" s="52" t="s">
        <v>28</v>
      </c>
      <c r="FM3" s="52" t="s">
        <v>15</v>
      </c>
      <c r="FN3" s="52" t="s">
        <v>16</v>
      </c>
      <c r="FO3" s="52" t="s">
        <v>7</v>
      </c>
      <c r="FP3" s="52" t="s">
        <v>17</v>
      </c>
      <c r="FQ3" s="52" t="s">
        <v>28</v>
      </c>
      <c r="FR3" s="11"/>
      <c r="FS3" s="10"/>
      <c r="FT3" s="10"/>
      <c r="FU3" s="10"/>
      <c r="FV3" s="10"/>
      <c r="FW3" s="11"/>
      <c r="FX3" s="11"/>
      <c r="FY3" s="51" t="s">
        <v>15</v>
      </c>
      <c r="FZ3" s="51" t="s">
        <v>16</v>
      </c>
      <c r="GA3" s="51" t="s">
        <v>7</v>
      </c>
      <c r="GB3" s="51" t="s">
        <v>17</v>
      </c>
      <c r="GC3" s="51" t="s">
        <v>28</v>
      </c>
      <c r="GD3" s="51" t="s">
        <v>15</v>
      </c>
      <c r="GE3" s="51" t="s">
        <v>16</v>
      </c>
      <c r="GF3" s="51" t="s">
        <v>7</v>
      </c>
      <c r="GG3" s="51" t="s">
        <v>17</v>
      </c>
      <c r="GH3" s="51" t="s">
        <v>28</v>
      </c>
      <c r="GI3" s="51" t="s">
        <v>15</v>
      </c>
      <c r="GJ3" s="51" t="s">
        <v>16</v>
      </c>
      <c r="GK3" s="51" t="s">
        <v>7</v>
      </c>
      <c r="GL3" s="51" t="s">
        <v>17</v>
      </c>
      <c r="GM3" s="51" t="s">
        <v>28</v>
      </c>
      <c r="GN3" s="14"/>
      <c r="GO3" s="13"/>
      <c r="GP3" s="13"/>
      <c r="GQ3" s="13"/>
      <c r="GR3" s="13"/>
      <c r="GS3" s="14"/>
      <c r="GT3" s="14"/>
      <c r="GU3" s="29" t="s">
        <v>15</v>
      </c>
      <c r="GV3" s="29" t="s">
        <v>16</v>
      </c>
      <c r="GW3" s="29" t="s">
        <v>7</v>
      </c>
      <c r="GX3" s="29" t="s">
        <v>17</v>
      </c>
      <c r="GY3" s="43" t="s">
        <v>28</v>
      </c>
      <c r="GZ3" s="29" t="s">
        <v>15</v>
      </c>
      <c r="HA3" s="29" t="s">
        <v>16</v>
      </c>
      <c r="HB3" s="29" t="s">
        <v>7</v>
      </c>
      <c r="HC3" s="29" t="s">
        <v>17</v>
      </c>
      <c r="HD3" s="43" t="s">
        <v>28</v>
      </c>
      <c r="HE3" s="29" t="s">
        <v>15</v>
      </c>
      <c r="HF3" s="29" t="s">
        <v>16</v>
      </c>
      <c r="HG3" s="29" t="s">
        <v>7</v>
      </c>
      <c r="HH3" s="29" t="s">
        <v>17</v>
      </c>
      <c r="HI3" s="43" t="s">
        <v>28</v>
      </c>
      <c r="HJ3" s="11"/>
      <c r="HK3" s="10"/>
      <c r="HL3" s="10"/>
      <c r="HM3" s="10"/>
      <c r="HN3" s="10"/>
      <c r="HO3" s="11"/>
      <c r="HP3" s="11"/>
      <c r="HQ3" s="51" t="s">
        <v>15</v>
      </c>
      <c r="HR3" s="51" t="s">
        <v>16</v>
      </c>
      <c r="HS3" s="51" t="s">
        <v>7</v>
      </c>
      <c r="HT3" s="51" t="s">
        <v>17</v>
      </c>
      <c r="HU3" s="51" t="s">
        <v>28</v>
      </c>
      <c r="HV3" s="51" t="s">
        <v>15</v>
      </c>
      <c r="HW3" s="51" t="s">
        <v>16</v>
      </c>
      <c r="HX3" s="51" t="s">
        <v>7</v>
      </c>
      <c r="HY3" s="51" t="s">
        <v>17</v>
      </c>
      <c r="HZ3" s="51" t="s">
        <v>28</v>
      </c>
      <c r="IA3" s="51" t="s">
        <v>15</v>
      </c>
      <c r="IB3" s="51" t="s">
        <v>16</v>
      </c>
      <c r="IC3" s="51" t="s">
        <v>7</v>
      </c>
      <c r="ID3" s="51" t="s">
        <v>17</v>
      </c>
      <c r="IE3" s="51" t="s">
        <v>28</v>
      </c>
      <c r="IF3" s="14"/>
      <c r="IG3" s="13"/>
      <c r="IH3" s="13"/>
      <c r="II3" s="13"/>
      <c r="IJ3" s="13"/>
      <c r="IK3" s="14"/>
      <c r="IL3" s="14"/>
      <c r="IM3" s="29" t="s">
        <v>15</v>
      </c>
      <c r="IN3" s="29" t="s">
        <v>16</v>
      </c>
      <c r="IO3" s="29" t="s">
        <v>7</v>
      </c>
      <c r="IP3" s="29" t="s">
        <v>17</v>
      </c>
      <c r="IQ3" s="43" t="s">
        <v>28</v>
      </c>
      <c r="IR3" s="29" t="s">
        <v>15</v>
      </c>
      <c r="IS3" s="29" t="s">
        <v>16</v>
      </c>
      <c r="IT3" s="29" t="s">
        <v>7</v>
      </c>
      <c r="IU3" s="29" t="s">
        <v>17</v>
      </c>
      <c r="IV3" s="43" t="s">
        <v>28</v>
      </c>
      <c r="IW3" s="29" t="s">
        <v>15</v>
      </c>
      <c r="IX3" s="29" t="s">
        <v>16</v>
      </c>
      <c r="IY3" s="29" t="s">
        <v>7</v>
      </c>
      <c r="IZ3" s="29" t="s">
        <v>17</v>
      </c>
      <c r="JA3" s="43" t="s">
        <v>28</v>
      </c>
      <c r="JB3" s="11"/>
      <c r="JC3" s="10"/>
      <c r="JD3" s="10"/>
      <c r="JE3" s="10"/>
      <c r="JF3" s="10"/>
      <c r="JG3" s="11"/>
      <c r="JH3" s="11"/>
      <c r="JI3" s="28" t="s">
        <v>15</v>
      </c>
      <c r="JJ3" s="28" t="s">
        <v>16</v>
      </c>
      <c r="JK3" s="28" t="s">
        <v>7</v>
      </c>
      <c r="JL3" s="28" t="s">
        <v>17</v>
      </c>
      <c r="JM3" s="44" t="s">
        <v>28</v>
      </c>
      <c r="JN3" s="28" t="s">
        <v>15</v>
      </c>
      <c r="JO3" s="28" t="s">
        <v>16</v>
      </c>
      <c r="JP3" s="28" t="s">
        <v>7</v>
      </c>
      <c r="JQ3" s="28" t="s">
        <v>17</v>
      </c>
      <c r="JR3" s="44" t="s">
        <v>28</v>
      </c>
      <c r="JS3" s="28" t="s">
        <v>15</v>
      </c>
      <c r="JT3" s="28" t="s">
        <v>16</v>
      </c>
      <c r="JU3" s="28" t="s">
        <v>7</v>
      </c>
      <c r="JV3" s="28" t="s">
        <v>17</v>
      </c>
      <c r="JW3" s="44" t="s">
        <v>28</v>
      </c>
      <c r="JX3" s="14"/>
      <c r="JY3" s="13"/>
      <c r="JZ3" s="13"/>
      <c r="KA3" s="13"/>
      <c r="KB3" s="13"/>
      <c r="KC3" s="14"/>
      <c r="KD3" s="14"/>
      <c r="KE3" s="29" t="s">
        <v>15</v>
      </c>
      <c r="KF3" s="29" t="s">
        <v>16</v>
      </c>
      <c r="KG3" s="29" t="s">
        <v>7</v>
      </c>
      <c r="KH3" s="29" t="s">
        <v>17</v>
      </c>
      <c r="KI3" s="43" t="s">
        <v>28</v>
      </c>
      <c r="KJ3" s="29" t="s">
        <v>15</v>
      </c>
      <c r="KK3" s="29" t="s">
        <v>16</v>
      </c>
      <c r="KL3" s="29" t="s">
        <v>7</v>
      </c>
      <c r="KM3" s="29" t="s">
        <v>17</v>
      </c>
      <c r="KN3" s="43" t="s">
        <v>28</v>
      </c>
      <c r="KO3" s="29" t="s">
        <v>15</v>
      </c>
      <c r="KP3" s="29" t="s">
        <v>16</v>
      </c>
      <c r="KQ3" s="29" t="s">
        <v>7</v>
      </c>
      <c r="KR3" s="29" t="s">
        <v>17</v>
      </c>
      <c r="KS3" s="43" t="s">
        <v>28</v>
      </c>
      <c r="KT3" s="11"/>
      <c r="KU3" s="10"/>
      <c r="KV3" s="10"/>
      <c r="KW3" s="10"/>
      <c r="KX3" s="10"/>
      <c r="KY3" s="11"/>
      <c r="KZ3" s="11"/>
      <c r="LA3" s="28" t="s">
        <v>15</v>
      </c>
      <c r="LB3" s="28" t="s">
        <v>16</v>
      </c>
      <c r="LC3" s="28" t="s">
        <v>7</v>
      </c>
      <c r="LD3" s="28" t="s">
        <v>17</v>
      </c>
      <c r="LE3" s="44" t="s">
        <v>28</v>
      </c>
      <c r="LF3" s="44" t="s">
        <v>15</v>
      </c>
      <c r="LG3" s="28" t="s">
        <v>16</v>
      </c>
      <c r="LH3" s="28" t="s">
        <v>7</v>
      </c>
      <c r="LI3" s="28" t="s">
        <v>17</v>
      </c>
      <c r="LJ3" s="44" t="s">
        <v>28</v>
      </c>
      <c r="LK3" s="28" t="s">
        <v>15</v>
      </c>
      <c r="LL3" s="28" t="s">
        <v>16</v>
      </c>
      <c r="LM3" s="28" t="s">
        <v>7</v>
      </c>
      <c r="LN3" s="28" t="s">
        <v>17</v>
      </c>
      <c r="LO3" s="44" t="s">
        <v>28</v>
      </c>
      <c r="LP3" s="14"/>
      <c r="LQ3" s="13"/>
      <c r="LR3" s="13"/>
      <c r="LS3" s="13"/>
      <c r="LT3" s="13"/>
      <c r="LU3" s="14"/>
      <c r="LV3" s="14"/>
      <c r="LW3" s="105" t="s">
        <v>15</v>
      </c>
      <c r="LX3" s="105" t="s">
        <v>16</v>
      </c>
      <c r="LY3" s="105" t="s">
        <v>7</v>
      </c>
      <c r="LZ3" s="105" t="s">
        <v>17</v>
      </c>
      <c r="MA3" s="105" t="s">
        <v>28</v>
      </c>
      <c r="MB3" s="105" t="s">
        <v>15</v>
      </c>
      <c r="MC3" s="105" t="s">
        <v>16</v>
      </c>
      <c r="MD3" s="105" t="s">
        <v>7</v>
      </c>
      <c r="ME3" s="105" t="s">
        <v>17</v>
      </c>
      <c r="MF3" s="105" t="s">
        <v>28</v>
      </c>
      <c r="MG3" s="105" t="s">
        <v>15</v>
      </c>
      <c r="MH3" s="105" t="s">
        <v>16</v>
      </c>
      <c r="MI3" s="105" t="s">
        <v>7</v>
      </c>
      <c r="MJ3" s="105" t="s">
        <v>17</v>
      </c>
      <c r="MK3" s="105" t="s">
        <v>28</v>
      </c>
      <c r="ML3" s="105" t="s">
        <v>54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15" si="0">IF(AND(F4="P",H4="P"),SUMPRODUCT((F$4:F$16="P")*(H$4:H$16="P")*(E$4:E$16&gt;E4))+1,IF(H4="P",SUMPRODUCT((F$4:F$16="")*(H$4:H$16="P")*(E$4:E$16&gt;E4))+1+SUMPRODUCT((F$4:F$16="P")*(H$4:H$16="P")),""))</f>
        <v>1</v>
      </c>
      <c r="B4" s="9" t="s">
        <v>97</v>
      </c>
      <c r="C4" s="5" t="s">
        <v>4</v>
      </c>
      <c r="D4" s="27">
        <v>2002</v>
      </c>
      <c r="E4" s="16">
        <f t="shared" ref="E4:E15" si="1">SUM(J4:R4)</f>
        <v>239.715</v>
      </c>
      <c r="F4" s="4" t="str">
        <f>IF(OR(AND($AK4&gt;=$AL$18,NOT($AK4=""),$AJ4=""),AND($BH4&gt;=$BI$18,NOT($BH4=""),$BG4=""),AND($CH4&gt;=$CI$18,NOT($CH4="")),AND($DD4&gt;=$DE$18,NOT($DD4="")),AND($DZ4&gt;=$EA$18,NOT($DZ4="")),AND($EV4&gt;=$EW$18,NOT($EV4="")),AND($FR4&gt;=$FS$18,NOT($FR4="")),AND($GN4&gt;=$GO$18,NOT($GN4="")),AND($HJ4&gt;=$HK$18,NOT($HJ4="")),AND($IF4&gt;=$IG$18,NOT($IF4="")),AND($JB4&gt;=$JC$18,NOT($JB4="")),AND($JX4&gt;=$JY$18,NOT($JX4="")),AND($KT4&gt;=$KU$18,NOT($KT4="")),AND($LP4&gt;=$LQ$18,NOT($LP4="")),AND($AO4&gt;=$AL$18,NOT($AO4=""),$AJ4=""),AND($BL4&gt;=$BI$18,NOT($BL4=""),$BG4=""),AND($CL4&gt;=$CI$18,NOT($CL4="")),AND($DH4&gt;=$DE$18,NOT($DH4="")),AND($ED4&gt;=$EA$18,NOT($ED4="")),AND($EZ4&gt;=$EW$18,NOT($EZ4="")),AND($FV4&gt;=$FS$18,NOT($FV4="")),AND($GR4&gt;=$GO$18,NOT($GR4="")),AND($HN4&gt;=$HK$18,NOT($HN4="")),AND($IJ4&gt;=$IG$18,NOT($IJ4="")),AND($JF4&gt;=$JC$18,NOT($JF4="")),AND($KB4&gt;=$JY$18,NOT($KB4="")),AND($KX4&gt;=$KU$18,NOT($KX4="")),AND($LT4&gt;=$LQ$18,NOT($LT4=""))),"P","")</f>
        <v>P</v>
      </c>
      <c r="G4" s="4" t="str">
        <f t="shared" ref="G4:G15" si="2">IF(OR(AND($AK4&gt;=$AL$19,NOT($AK4=""),$AJ4=""),AND($BH4&gt;=$BI$19,NOT($BH4=""),$BG4=""),AND($CH4&gt;=$CI$19,NOT($CH4="")),AND($DD4&gt;=$DE$19,NOT($DD4="")),AND($DZ4&gt;=$EA$19,NOT($DZ4="")),AND($EV4&gt;=$EW$19,NOT($EV4="")),AND($FR4&gt;=$FS$19,NOT($FR4="")),AND($GN4&gt;=$GO$19,NOT($GN4="")),AND($HJ4&gt;=$HK$19,NOT($HJ4="")),AND($IF4&gt;=$IG$19,NOT($IF4="")),AND($JB4&gt;=$JC$19,NOT($JB4="")),AND($JX4&gt;=$JY$19,NOT($JX4="")),AND($KT4&gt;=$KU$19,NOT($KT4="")),AND($LP4&gt;=$LQ$19,NOT($LP4="")),AND($AO4&gt;=$AL$19,NOT($AO4=""),$AJ4=""),AND($BL4&gt;=$BI$19,NOT($BL4=""),$BG4=""),AND($CL4&gt;=$CI$19,NOT($CL4="")),AND($DH4&gt;=$DE$19,NOT($DH4="")),AND($ED4&gt;=$EA$19,NOT($ED4="")),AND($EZ4&gt;=$EW$19,NOT($EZ4="")),AND($FV4&gt;=$FS$19,NOT($FV4="")),AND($GR4&gt;=$GO$19,NOT($GR4="")),AND($HN4&gt;=$HK$19,NOT($HN4="")),AND($IJ4&gt;=$IG$19,NOT($IJ4="")),AND($JF4&gt;=$JC$19,NOT($JF4="")),AND($KB4&gt;=$JY$19,NOT($KB4="")),AND($KX4&gt;=$KU$19,NOT($KX4="")),AND($LT4&gt;=$LQ$19,NOT($LT4=""))),"P","")</f>
        <v>P</v>
      </c>
      <c r="H4" s="4" t="str">
        <f>IF(OR(AND($AN4&gt;=$AL$20,NOT($AN4=""),$AJ4=""),AND($BK4&gt;=$BI$20,NOT($BK4=""),$BG4=""),AND($CK4&gt;=$CI$20,NOT($CK4="")),AND($DG4&gt;=$DE$20,NOT($DG4="")),AND($EC4&gt;=$EA$20,NOT($EC4="")),AND($EY4&gt;=$EW$20,NOT($EY4="")),AND($FU4&gt;=$FS$20,NOT($FU4="")),AND($GQ4&gt;=$GO$20,NOT($GQ4="")),AND($HM4&gt;=$HK$20,NOT($HM4="")),AND($II4&gt;=$IG$20,NOT($II4="")),AND($JE4&gt;=$JC$20,NOT($JE4="")),AND($KA4&gt;=$JY$20,NOT($KA4="")),AND($KW4&gt;=$KU$20,NOT($KW4="")),AND($LS4&gt;=$LQ$20,NOT($LS4=""))),"P","")</f>
        <v>P</v>
      </c>
      <c r="I4" t="str">
        <f t="shared" ref="I4:I15" si="3">IF(AND(H4="P",F4=""),"No DD",IF(AND(G4="P",OR(AND($AM4&gt;$AL$23,NOT($AM4=""),$AJ4=""),AND($AP4&gt;$AL$23,NOT($AP4=""),$AJ4=""),AND($BJ4&gt;$BI$23,NOT($BJ4=""),$BG4=""),AND($BM4&gt;$BI$23,NOT($BM4=""),$BG4=""),AND($CJ4&gt;$CI$23,NOT($CJ4="")),AND($CM4&gt;$CI$23,NOT($CM4="")),AND($DF4&gt;$DE$23,NOT($DF4="")),AND($DI4&gt;$DE$23,NOT($DI4="")),AND($EB4&gt;$EA$23,NOT($EB4="")),AND($EE4&gt;$EA$23,NOT($EE4="")),AND($EX4&gt;$EW$23,NOT($EX4="")),AND($FA4&gt;$EW$23,NOT($FA4="")),AND($FT4&gt;$FS$23,NOT($FT4="")),AND($FW4&gt;$FS$23,NOT($FW4="")),AND($GP4&gt;$GO$23,NOT($GP4="")),AND($GS4&gt;$GO$23,NOT($GS4="")),AND($HL4&gt;$HK$23,NOT($HL4="")),AND($HO4&gt;$HK$23,NOT($HO4="")),AND($IH4&gt;$IG$23,NOT($IH4="")),AND($IK4&gt;$IG$23,NOT($IK4="")),AND($JD4&gt;$JC$23,NOT($JD4="")),AND($JG4&gt;$JC$23,NOT($JG4="")),AND($JZ4&gt;$JY$23,NOT($JZ4="")),AND($KC4&gt;$JY$23,NOT($KC4="")),AND($KV4&gt;$KU$23,NOT($KV4="")),AND($KY4&gt;$KU$23,NOT($KY4="")),AND($LR4&gt;$LQ$23,NOT($LR4="")),AND($LU4&gt;$LQ$23,NOT($LU4="")))),"Merit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Excellence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Worlds Team",IF(AND(F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National Team","")))))</f>
        <v>National Team</v>
      </c>
      <c r="J4" s="15">
        <f t="shared" ref="J4:J15" si="4">IF(MAX(AN4,BK4)&gt;0,MAX(AN4,BK4),"")</f>
        <v>93.6</v>
      </c>
      <c r="K4" s="15" t="str">
        <f t="shared" ref="K4:K15" si="5">IF(J4="","",IF(J4=BK4,$AR$1,IF(J4=AN4,$U$1,"")))</f>
        <v>2019 Elite Canada</v>
      </c>
      <c r="L4" s="15">
        <f t="shared" ref="L4:L15" si="6">IF($J4=$AN4,BI4,IF($J4=$BK4,AL4,MAX(AL4,BI4)))</f>
        <v>44.835000000000001</v>
      </c>
      <c r="M4" s="15" t="str">
        <f t="shared" ref="M4:M15" si="7">IF(L4="","",IF(L4=BI4,$AR$1,IF(L4=AL4,$U$1,"")))</f>
        <v>2018 Nationals</v>
      </c>
      <c r="N4" s="15">
        <f t="shared" ref="N4:N15" si="8">IF($J4=$AN4,BJ4,IF($J4=$BK4,AM4,MAX(AM4,BJ4)))</f>
        <v>30.659999999999997</v>
      </c>
      <c r="O4" s="15" t="str">
        <f t="shared" ref="O4:O15" si="9">IF(N4="","",IF(AND(N4=BJ4,$K4&lt;&gt;$AR$1),$AR$1,IF(AND(N4=AM4,$K4&lt;&gt;$U$1),$U$1,"")))</f>
        <v>2018 Nationals</v>
      </c>
      <c r="P4" s="15">
        <f t="shared" ref="P4:P15" si="10">IF(MAX(AP4,BM4)&gt;0,MAX(AP4,BM4),"")</f>
        <v>51.394999999999996</v>
      </c>
      <c r="Q4" s="15" t="str">
        <f t="shared" ref="Q4:Q15" si="11">IF(P4="","",IF(P4=BM4,$AR$1,IF(P4=AP4,$U$1,"")))</f>
        <v>2018 Nationals</v>
      </c>
      <c r="R4" s="15">
        <f t="shared" ref="R4:R15" si="12">IF(MAX(BO4,BP4,BQ4,BR4)&gt;0,MAX(BO4,BP4,BQ4,BR4),"")</f>
        <v>19.224999999999994</v>
      </c>
      <c r="S4" s="25" t="str">
        <f t="shared" ref="S4:S15" si="13">IF(R4="","",IF(R4=BO4,"(Vol 1)",IF(R4=BP4,"(Vol 2)",IF(R4=BQ4,"(Prelim)",IF(R4=BR4,"(Final)")))))</f>
        <v>(Vol 2)</v>
      </c>
      <c r="T4" s="15" t="str">
        <f t="shared" ref="T4:T15" si="14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World Age Groups (Nov 18)</v>
      </c>
      <c r="U4" s="36">
        <v>17.7</v>
      </c>
      <c r="V4" s="36">
        <v>9.4499999999999993</v>
      </c>
      <c r="W4" s="36">
        <v>3</v>
      </c>
      <c r="X4" s="36">
        <v>14.685</v>
      </c>
      <c r="Y4" s="36">
        <v>0</v>
      </c>
      <c r="Z4" s="36">
        <v>9.4</v>
      </c>
      <c r="AA4" s="36">
        <v>5.75</v>
      </c>
      <c r="AB4" s="36">
        <v>6.5</v>
      </c>
      <c r="AC4" s="36">
        <v>9.01</v>
      </c>
      <c r="AD4" s="36">
        <v>0</v>
      </c>
      <c r="AE4" s="36">
        <v>15.6</v>
      </c>
      <c r="AF4" s="36">
        <v>9.5500000000000007</v>
      </c>
      <c r="AG4" s="36">
        <v>11.4</v>
      </c>
      <c r="AH4" s="36">
        <v>14.845000000000001</v>
      </c>
      <c r="AI4" s="36">
        <v>0</v>
      </c>
      <c r="AJ4" s="74"/>
      <c r="AK4" s="12">
        <f t="shared" ref="AK4:AK15" si="15">IF(AB4&gt;0,AB4,"")</f>
        <v>6.5</v>
      </c>
      <c r="AL4" s="12">
        <f t="shared" ref="AL4:AL15" si="16">IF(SUM(U4:X4)-Y4&gt;0,SUM(U4:X4)-Y4,"")</f>
        <v>44.835000000000001</v>
      </c>
      <c r="AM4" s="12">
        <f t="shared" ref="AM4:AM15" si="17">IF(SUM(Z4:AC4)-AD4&gt;0,SUM(Z4:AC4)-AD4,"")</f>
        <v>30.659999999999997</v>
      </c>
      <c r="AN4" s="12">
        <f t="shared" ref="AN4:AN15" si="18">IF(SUM(AL4:AM4)&gt;0,SUM(AL4:AM4),"")</f>
        <v>75.495000000000005</v>
      </c>
      <c r="AO4" s="12">
        <f t="shared" ref="AO4:AO15" si="19">IF(AG4&gt;0,AG4,"")</f>
        <v>11.4</v>
      </c>
      <c r="AP4" s="12">
        <f t="shared" ref="AP4:AP15" si="20">IF(SUM(AE4:AH4)-AI4&gt;0,SUM(AE4:AH4)-AI4,"")</f>
        <v>51.394999999999996</v>
      </c>
      <c r="AQ4" s="12">
        <f t="shared" ref="AQ4:AQ15" si="21">IF(SUM(AN4,AP4)&gt;0,SUM(AN4,AP4),"")</f>
        <v>126.89</v>
      </c>
      <c r="AR4" s="69">
        <v>16</v>
      </c>
      <c r="AS4" s="69">
        <v>9.6999999999999993</v>
      </c>
      <c r="AT4" s="69">
        <v>3.7</v>
      </c>
      <c r="AU4" s="69">
        <v>14.945</v>
      </c>
      <c r="AV4" s="69">
        <v>0</v>
      </c>
      <c r="AW4" s="69">
        <v>14.9</v>
      </c>
      <c r="AX4" s="69">
        <v>9.1999999999999993</v>
      </c>
      <c r="AY4" s="69">
        <v>11</v>
      </c>
      <c r="AZ4" s="69">
        <v>14.154999999999999</v>
      </c>
      <c r="BA4" s="69">
        <v>0</v>
      </c>
      <c r="BB4" s="69">
        <v>15.7</v>
      </c>
      <c r="BC4" s="69">
        <v>9.3000000000000007</v>
      </c>
      <c r="BD4" s="69">
        <v>9.6</v>
      </c>
      <c r="BE4" s="69">
        <v>14.37</v>
      </c>
      <c r="BF4" s="69">
        <v>0</v>
      </c>
      <c r="BG4" s="75"/>
      <c r="BH4" s="15">
        <f t="shared" ref="BH4:BH15" si="22">IF(AY4&gt;0,AY4,"")</f>
        <v>11</v>
      </c>
      <c r="BI4" s="15">
        <f t="shared" ref="BI4:BI15" si="23">IF(SUM(AR4:AU4)-AV4&gt;0,SUM(AR4:AU4)-AV4,"")</f>
        <v>44.344999999999999</v>
      </c>
      <c r="BJ4" s="15">
        <f t="shared" ref="BJ4:BJ15" si="24">IF(SUM(AW4:AZ4)-BA4&gt;0,SUM(AW4:AZ4)-BA4,"")</f>
        <v>49.255000000000003</v>
      </c>
      <c r="BK4" s="15">
        <f t="shared" ref="BK4:BK15" si="25">IF(SUM(BI4:BJ4)&gt;0,SUM(BI4:BJ4),"")</f>
        <v>93.6</v>
      </c>
      <c r="BL4" s="15">
        <f t="shared" ref="BL4:BL15" si="26">IF(BD4&gt;0,BD4,"")</f>
        <v>9.6</v>
      </c>
      <c r="BM4" s="15">
        <f t="shared" ref="BM4:BM15" si="27">IF(SUM(BB4:BE4)-BF4&gt;0,SUM(BB4:BE4)-BF4,"")</f>
        <v>48.97</v>
      </c>
      <c r="BN4" s="15">
        <f t="shared" ref="BN4:BN15" si="28">IF(SUM(BK4,BM4)&gt;0,SUM(BK4,BM4),"")</f>
        <v>142.57</v>
      </c>
      <c r="BO4" s="24" t="str">
        <f t="shared" ref="BO4:BO15" si="29">IF(MAX(CI4,DE4,EA4,EW4,FS4,GO4,HK4,IG4,JC4,JY4,KU4,LQ4)-IF(L4="",0,L4)&gt;0.001,MAX(CI4,DE4,EA4,EW4,FS4,GO4,HK4,IG4,JC4,JY4,KU4,LQ4)-IF(L4="",0,L4),"")</f>
        <v/>
      </c>
      <c r="BP4" s="24">
        <f t="shared" ref="BP4:BP15" si="30">IF(MAX(CJ4,DF4,EB4,EX4,FT4,GP4,HL4,IH4,JD4,JZ4,KV4,LR4)-IF(N4="",0,N4)&gt;0.001,MAX(CJ4,DF4,EB4,EX4,FT4,GP4,HL4,IH4,JD4,JZ4,KV4,LR4)-IF(N4="",0,N4),"")</f>
        <v>19.224999999999994</v>
      </c>
      <c r="BQ4" s="24" t="str">
        <f t="shared" ref="BQ4:BQ15" si="31">IF(MAX(CK4,DG4,EC4,EY4,FU4,GQ4,HM4,II4,JE4,KA4,KW4,LS4)-IF(J4="",0,J4)&gt;0.001,MAX(CK4,DG4,EC4,EY4,FU4,GQ4,HM4,II4,JE4,KA4,KW4,LS4)-IF(J4="",0,J4),"")</f>
        <v/>
      </c>
      <c r="BR4" s="24" t="str">
        <f t="shared" ref="BR4:BR15" si="32">IF(MAX(CM4,DI4,EE4,FA4,FW4,GS4,HO4,IK4,JG4,KC4,KY4,LU4)-IF(P4="",0,P4)&gt;0.001,MAX(CM4,DI4,EE4,FA4,FW4,GS4,HO4,IK4,JG4,KC4,KY4,LU4)-IF(P4="",0,P4),"")</f>
        <v/>
      </c>
      <c r="BS4" s="36">
        <v>17.3</v>
      </c>
      <c r="BT4" s="36">
        <v>0</v>
      </c>
      <c r="BU4" s="36">
        <v>9.8000000000000007</v>
      </c>
      <c r="BV4" s="36">
        <v>14.55</v>
      </c>
      <c r="BW4" s="36">
        <v>0</v>
      </c>
      <c r="BX4" s="36">
        <v>14.9</v>
      </c>
      <c r="BY4" s="36">
        <v>10.3</v>
      </c>
      <c r="BZ4" s="36">
        <v>9.1</v>
      </c>
      <c r="CA4" s="36">
        <v>14.49</v>
      </c>
      <c r="CB4" s="36">
        <v>0</v>
      </c>
      <c r="CC4" s="36">
        <v>15.8</v>
      </c>
      <c r="CD4" s="36">
        <v>9.4499999999999993</v>
      </c>
      <c r="CE4" s="36">
        <v>10.1</v>
      </c>
      <c r="CF4" s="36">
        <v>14.965</v>
      </c>
      <c r="CG4" s="36">
        <v>0</v>
      </c>
      <c r="CH4" s="12">
        <f t="shared" ref="CH4:CH15" si="33">IF(BZ4&gt;0,BZ4,"")</f>
        <v>9.1</v>
      </c>
      <c r="CI4" s="12">
        <f t="shared" ref="CI4:CI15" si="34">IF(SUM(BS4:BV4)-BW4&gt;0,SUM(BS4:BV4)-BW4,"")</f>
        <v>41.650000000000006</v>
      </c>
      <c r="CJ4" s="12">
        <f t="shared" ref="CJ4:CJ15" si="35">IF(SUM(BX4:CA4)-CB4&gt;0,SUM(BX4:CA4)-CB4,"")</f>
        <v>48.790000000000006</v>
      </c>
      <c r="CK4" s="12">
        <f t="shared" ref="CK4:CK15" si="36">IF(SUM(CI4:CJ4)&gt;0,SUM(CI4:CJ4),"")</f>
        <v>90.440000000000012</v>
      </c>
      <c r="CL4" s="12">
        <f t="shared" ref="CL4:CL15" si="37">IF(CE4&gt;0,CE4,"")</f>
        <v>10.1</v>
      </c>
      <c r="CM4" s="12">
        <f t="shared" ref="CM4:CM15" si="38">IF(SUM(CC4:CF4)-CG4&gt;0,SUM(CC4:CF4)-CG4,"")</f>
        <v>50.314999999999998</v>
      </c>
      <c r="CN4" s="12">
        <f t="shared" ref="CN4:CN15" si="39">IF(SUM(CK4,CM4)&gt;0,SUM(CK4,CM4),"")</f>
        <v>140.755</v>
      </c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>
        <v>13.1</v>
      </c>
      <c r="CZ4" s="37">
        <v>9.3000000000000007</v>
      </c>
      <c r="DA4" s="37">
        <v>10.3</v>
      </c>
      <c r="DB4" s="37">
        <v>14.455</v>
      </c>
      <c r="DC4" s="37">
        <v>0</v>
      </c>
      <c r="DD4" s="15" t="str">
        <f t="shared" ref="DD4:DD15" si="40">IF(CV4&gt;0,CV4,"")</f>
        <v/>
      </c>
      <c r="DE4" s="15" t="str">
        <f t="shared" ref="DE4:DE15" si="41">IF(SUM(CO4:CR4)-CS4&gt;0,SUM(CO4:CR4)-CS4,"")</f>
        <v/>
      </c>
      <c r="DF4" s="15" t="str">
        <f t="shared" ref="DF4:DF15" si="42">IF(SUM(CT4:CW4)-CX4&gt;0,SUM(CT4:CW4)-CX4,"")</f>
        <v/>
      </c>
      <c r="DG4" s="15" t="str">
        <f t="shared" ref="DG4:DG15" si="43">IF(SUM(DE4:DF4)&gt;0,SUM(DE4:DF4),"")</f>
        <v/>
      </c>
      <c r="DH4" s="15">
        <f t="shared" ref="DH4:DH15" si="44">IF(DA4&gt;0,DA4,"")</f>
        <v>10.3</v>
      </c>
      <c r="DI4" s="15">
        <f t="shared" ref="DI4:DI15" si="45">IF(SUM(CY4:DB4)-DC4&gt;0,SUM(CY4:DB4)-DC4,"")</f>
        <v>47.155000000000001</v>
      </c>
      <c r="DJ4" s="15">
        <f t="shared" ref="DJ4:DJ15" si="46">IF(SUM(DG4,DI4)&gt;0,SUM(DG4,DI4),"")</f>
        <v>47.155000000000001</v>
      </c>
      <c r="DK4" s="36">
        <v>16.8</v>
      </c>
      <c r="DL4" s="36">
        <v>9.1999999999999993</v>
      </c>
      <c r="DM4" s="36">
        <v>0</v>
      </c>
      <c r="DN4" s="36">
        <v>14.975</v>
      </c>
      <c r="DO4" s="36">
        <v>0</v>
      </c>
      <c r="DP4" s="36">
        <v>15.2</v>
      </c>
      <c r="DQ4" s="36">
        <v>8.9</v>
      </c>
      <c r="DR4" s="36">
        <v>10.1</v>
      </c>
      <c r="DS4" s="36">
        <v>14.82</v>
      </c>
      <c r="DT4" s="36">
        <v>0</v>
      </c>
      <c r="DU4" s="36">
        <v>8.8000000000000007</v>
      </c>
      <c r="DV4" s="36">
        <v>4.5</v>
      </c>
      <c r="DW4" s="36">
        <v>4.5999999999999996</v>
      </c>
      <c r="DX4" s="36">
        <v>8.85</v>
      </c>
      <c r="DY4" s="36">
        <v>0</v>
      </c>
      <c r="DZ4" s="12">
        <f t="shared" ref="DZ4:DZ15" si="47">IF(DR4&gt;0,DR4,"")</f>
        <v>10.1</v>
      </c>
      <c r="EA4" s="12">
        <f t="shared" ref="EA4:EA15" si="48">IF(SUM(DK4:DN4)-DO4&gt;0,SUM(DK4:DN4)-DO4,"")</f>
        <v>40.975000000000001</v>
      </c>
      <c r="EB4" s="12">
        <f t="shared" ref="EB4:EB15" si="49">IF(SUM(DP4:DS4)-DT4&gt;0,SUM(DP4:DS4)-DT4,"")</f>
        <v>49.02</v>
      </c>
      <c r="EC4" s="12">
        <f t="shared" ref="EC4:EC15" si="50">IF(SUM(EA4:EB4)&gt;0,SUM(EA4:EB4),"")</f>
        <v>89.995000000000005</v>
      </c>
      <c r="ED4" s="12">
        <f t="shared" ref="ED4:ED15" si="51">IF(DW4&gt;0,DW4,"")</f>
        <v>4.5999999999999996</v>
      </c>
      <c r="EE4" s="12">
        <f t="shared" ref="EE4:EE15" si="52">IF(SUM(DU4:DX4)-DY4&gt;0,SUM(DU4:DX4)-DY4,"")</f>
        <v>26.75</v>
      </c>
      <c r="EF4" s="12">
        <f t="shared" ref="EF4:EF15" si="53">IF(SUM(EC4,EE4)&gt;0,SUM(EC4,EE4),"")</f>
        <v>116.745</v>
      </c>
      <c r="EG4" s="37">
        <v>17.399999999999999</v>
      </c>
      <c r="EH4" s="37">
        <v>9</v>
      </c>
      <c r="EI4" s="37">
        <v>0</v>
      </c>
      <c r="EJ4" s="37">
        <v>14.525</v>
      </c>
      <c r="EK4" s="37">
        <v>0</v>
      </c>
      <c r="EL4" s="37">
        <v>15</v>
      </c>
      <c r="EM4" s="37">
        <v>8.9</v>
      </c>
      <c r="EN4" s="37">
        <v>11.7</v>
      </c>
      <c r="EO4" s="37">
        <v>14.285</v>
      </c>
      <c r="EP4" s="37">
        <v>0</v>
      </c>
      <c r="EQ4" s="37"/>
      <c r="ER4" s="37"/>
      <c r="ES4" s="37"/>
      <c r="ET4" s="37"/>
      <c r="EU4" s="37"/>
      <c r="EV4" s="15">
        <f t="shared" ref="EV4:EV15" si="54">IF(EN4&gt;0,EN4,"")</f>
        <v>11.7</v>
      </c>
      <c r="EW4" s="15">
        <f t="shared" ref="EW4:EW15" si="55">IF(SUM(EG4:EJ4)-EK4&gt;0,SUM(EG4:EJ4)-EK4,"")</f>
        <v>40.924999999999997</v>
      </c>
      <c r="EX4" s="15">
        <f t="shared" ref="EX4:EX15" si="56">IF(SUM(EL4:EO4)-EP4&gt;0,SUM(EL4:EO4)-EP4,"")</f>
        <v>49.884999999999991</v>
      </c>
      <c r="EY4" s="15">
        <f t="shared" ref="EY4:EY15" si="57">IF(SUM(EW4:EX4)&gt;0,SUM(EW4:EX4),"")</f>
        <v>90.809999999999988</v>
      </c>
      <c r="EZ4" s="15" t="str">
        <f t="shared" ref="EZ4:EZ15" si="58">IF(ES4&gt;0,ES4,"")</f>
        <v/>
      </c>
      <c r="FA4" s="15" t="str">
        <f t="shared" ref="FA4:FA15" si="59">IF(SUM(EQ4:ET4)-EU4&gt;0,SUM(EQ4:ET4)-EU4,"")</f>
        <v/>
      </c>
      <c r="FB4" s="15">
        <f t="shared" ref="FB4:FB15" si="60">IF(SUM(EY4,FA4)&gt;0,SUM(EY4,FA4),"")</f>
        <v>90.809999999999988</v>
      </c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12" t="str">
        <f t="shared" ref="FR4:FR15" si="61">IF(FJ4&gt;0,FJ4,"")</f>
        <v/>
      </c>
      <c r="FS4" s="12" t="str">
        <f t="shared" ref="FS4:FS15" si="62">IF(SUM(FC4:FF4)-FG4&gt;0,SUM(FC4:FF4)-FG4,"")</f>
        <v/>
      </c>
      <c r="FT4" s="12" t="str">
        <f t="shared" ref="FT4:FT15" si="63">IF(SUM(FH4:FK4)-FL4&gt;0,SUM(FH4:FK4)-FL4,"")</f>
        <v/>
      </c>
      <c r="FU4" s="12" t="str">
        <f t="shared" ref="FU4:FU15" si="64">IF(SUM(FS4:FT4)&gt;0,SUM(FS4:FT4),"")</f>
        <v/>
      </c>
      <c r="FV4" s="12" t="str">
        <f t="shared" ref="FV4:FV15" si="65">IF(FO4&gt;0,FO4,"")</f>
        <v/>
      </c>
      <c r="FW4" s="12" t="str">
        <f t="shared" ref="FW4:FW15" si="66">IF(SUM(FM4:FP4)-FQ4&gt;0,SUM(FM4:FP4)-FQ4,"")</f>
        <v/>
      </c>
      <c r="FX4" s="12" t="str">
        <f t="shared" ref="FX4:FX15" si="67">IF(SUM(FU4,FW4)&gt;0,SUM(FU4,FW4),"")</f>
        <v/>
      </c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15" t="str">
        <f t="shared" ref="GN4:GN15" si="68">IF(GF4&gt;0,GF4,"")</f>
        <v/>
      </c>
      <c r="GO4" s="15" t="str">
        <f t="shared" ref="GO4:GO15" si="69">IF(SUM(FY4:GB4)-GC4&gt;0,SUM(FY4:GB4)-GC4,"")</f>
        <v/>
      </c>
      <c r="GP4" s="15" t="str">
        <f t="shared" ref="GP4:GP15" si="70">IF(SUM(GD4:GG4)-GH4&gt;0,SUM(GD4:GG4)-GH4,"")</f>
        <v/>
      </c>
      <c r="GQ4" s="15" t="str">
        <f t="shared" ref="GQ4:GQ15" si="71">IF(SUM(GO4:GP4)&gt;0,SUM(GO4:GP4),"")</f>
        <v/>
      </c>
      <c r="GR4" s="15" t="str">
        <f t="shared" ref="GR4:GR15" si="72">IF(GK4&gt;0,GK4,"")</f>
        <v/>
      </c>
      <c r="GS4" s="15" t="str">
        <f t="shared" ref="GS4:GS15" si="73">IF(SUM(GI4:GL4)-GM4&gt;0,SUM(GI4:GL4)-GM4,"")</f>
        <v/>
      </c>
      <c r="GT4" s="15" t="str">
        <f t="shared" ref="GT4:GT15" si="74">IF(SUM(GQ4,GS4)&gt;0,SUM(GQ4,GS4),"")</f>
        <v/>
      </c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12" t="str">
        <f t="shared" ref="HJ4:HJ15" si="75">IF(HB4&gt;0,HB4,"")</f>
        <v/>
      </c>
      <c r="HK4" s="12" t="str">
        <f t="shared" ref="HK4:HK15" si="76">IF(SUM(GU4:GX4)-GY4&gt;0,SUM(GU4:GX4)-GY4,"")</f>
        <v/>
      </c>
      <c r="HL4" s="12" t="str">
        <f t="shared" ref="HL4:HL15" si="77">IF(SUM(GZ4:HC4)-HD4&gt;0,SUM(GZ4:HC4)-HD4,"")</f>
        <v/>
      </c>
      <c r="HM4" s="12" t="str">
        <f t="shared" ref="HM4:HM15" si="78">IF(SUM(HK4:HL4)&gt;0,SUM(HK4:HL4),"")</f>
        <v/>
      </c>
      <c r="HN4" s="12" t="str">
        <f t="shared" ref="HN4:HN15" si="79">IF(HG4&gt;0,HG4,"")</f>
        <v/>
      </c>
      <c r="HO4" s="12" t="str">
        <f t="shared" ref="HO4:HO15" si="80">IF(SUM(HE4:HH4)-HI4&gt;0,SUM(HE4:HH4)-HI4,"")</f>
        <v/>
      </c>
      <c r="HP4" s="12" t="str">
        <f t="shared" ref="HP4:HP15" si="81">IF(SUM(HM4,HO4)&gt;0,SUM(HM4,HO4),"")</f>
        <v/>
      </c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15" t="str">
        <f t="shared" ref="IF4:IF15" si="82">IF(HX4&gt;0,HX4,"")</f>
        <v/>
      </c>
      <c r="IG4" s="15" t="str">
        <f t="shared" ref="IG4:IG15" si="83">IF(SUM(HQ4:HT4)-HU4&gt;0,SUM(HQ4:HT4)-HU4,"")</f>
        <v/>
      </c>
      <c r="IH4" s="15" t="str">
        <f t="shared" ref="IH4:IH15" si="84">IF(SUM(HV4:HY4)-HZ4&gt;0,SUM(HV4:HY4)-HZ4,"")</f>
        <v/>
      </c>
      <c r="II4" s="15" t="str">
        <f t="shared" ref="II4:II15" si="85">IF(SUM(IG4:IH4)&gt;0,SUM(IG4:IH4),"")</f>
        <v/>
      </c>
      <c r="IJ4" s="15" t="str">
        <f t="shared" ref="IJ4:IJ15" si="86">IF(IC4&gt;0,IC4,"")</f>
        <v/>
      </c>
      <c r="IK4" s="15" t="str">
        <f t="shared" ref="IK4:IK15" si="87">IF(SUM(IA4:ID4)-IE4&gt;0,SUM(IA4:ID4)-IE4,"")</f>
        <v/>
      </c>
      <c r="IL4" s="15" t="str">
        <f t="shared" ref="IL4:IL15" si="88">IF(SUM(II4,IK4)&gt;0,SUM(II4,IK4),"")</f>
        <v/>
      </c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12" t="str">
        <f t="shared" ref="JB4:JB15" si="89">IF(IT4&gt;0,IT4,"")</f>
        <v/>
      </c>
      <c r="JC4" s="12" t="str">
        <f t="shared" ref="JC4:JC15" si="90">IF(SUM(IM4:IP4)-IQ4&gt;0,SUM(IM4:IP4)-IQ4,"")</f>
        <v/>
      </c>
      <c r="JD4" s="12" t="str">
        <f t="shared" ref="JD4:JD15" si="91">IF(SUM(IR4:IU4)-IV4&gt;0,SUM(IR4:IU4)-IV4,"")</f>
        <v/>
      </c>
      <c r="JE4" s="12" t="str">
        <f t="shared" ref="JE4:JE15" si="92">IF(SUM(JC4:JD4)&gt;0,SUM(JC4:JD4),"")</f>
        <v/>
      </c>
      <c r="JF4" s="12" t="str">
        <f t="shared" ref="JF4:JF15" si="93">IF(IY4&gt;0,IY4,"")</f>
        <v/>
      </c>
      <c r="JG4" s="12" t="str">
        <f t="shared" ref="JG4:JG15" si="94">IF(SUM(IW4:IZ4)-JA4&gt;0,SUM(IW4:IZ4)-JA4,"")</f>
        <v/>
      </c>
      <c r="JH4" s="12" t="str">
        <f t="shared" ref="JH4:JH15" si="95">IF(SUM(JE4,JG4)&gt;0,SUM(JE4,JG4),"")</f>
        <v/>
      </c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15" t="str">
        <f t="shared" ref="JX4:JX15" si="96">IF(JP4&gt;0,JP4,"")</f>
        <v/>
      </c>
      <c r="JY4" s="15" t="str">
        <f t="shared" ref="JY4:JY15" si="97">IF(SUM(JI4:JL4)-JM4&gt;0,SUM(JI4:JL4)-JM4,"")</f>
        <v/>
      </c>
      <c r="JZ4" s="15" t="str">
        <f t="shared" ref="JZ4:JZ15" si="98">IF(SUM(JN4:JQ4)-JR4&gt;0,SUM(JN4:JQ4)-JR4,"")</f>
        <v/>
      </c>
      <c r="KA4" s="15" t="str">
        <f t="shared" ref="KA4:KA15" si="99">IF(SUM(JY4:JZ4)&gt;0,SUM(JY4:JZ4),"")</f>
        <v/>
      </c>
      <c r="KB4" s="15" t="str">
        <f t="shared" ref="KB4:KB15" si="100">IF(JU4&gt;0,JU4,"")</f>
        <v/>
      </c>
      <c r="KC4" s="15" t="str">
        <f t="shared" ref="KC4:KC15" si="101">IF(SUM(JS4:JV4)-JW4&gt;0,SUM(JS4:JV4)-JW4,"")</f>
        <v/>
      </c>
      <c r="KD4" s="15" t="str">
        <f t="shared" ref="KD4:KD15" si="102">IF(SUM(KA4,KC4)&gt;0,SUM(KA4,KC4),"")</f>
        <v/>
      </c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12" t="str">
        <f t="shared" ref="KT4:KT15" si="103">IF(KL4&gt;0,KL4,"")</f>
        <v/>
      </c>
      <c r="KU4" s="12" t="str">
        <f t="shared" ref="KU4:KU15" si="104">IF(SUM(KE4:KH4)-KI4&gt;0,SUM(KE4:KH4)-KI4,"")</f>
        <v/>
      </c>
      <c r="KV4" s="12" t="str">
        <f t="shared" ref="KV4:KV15" si="105">IF(SUM(KJ4:KM4)-KN4&gt;0,SUM(KJ4:KM4)-KN4,"")</f>
        <v/>
      </c>
      <c r="KW4" s="12" t="str">
        <f t="shared" ref="KW4:KW15" si="106">IF(SUM(KU4:KV4)&gt;0,SUM(KU4:KV4),"")</f>
        <v/>
      </c>
      <c r="KX4" s="12" t="str">
        <f t="shared" ref="KX4:KX15" si="107">IF(KQ4&gt;0,KQ4,"")</f>
        <v/>
      </c>
      <c r="KY4" s="12" t="str">
        <f t="shared" ref="KY4:KY15" si="108">IF(SUM(KO4:KR4)-KS4&gt;0,SUM(KO4:KR4)-KS4,"")</f>
        <v/>
      </c>
      <c r="KZ4" s="12" t="str">
        <f t="shared" ref="KZ4:KZ15" si="109">IF(SUM(KW4,KY4)&gt;0,SUM(KW4,KY4),"")</f>
        <v/>
      </c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15" t="str">
        <f t="shared" ref="LP4:LP15" si="110">IF(LH4&gt;0,LH4,"")</f>
        <v/>
      </c>
      <c r="LQ4" s="15" t="str">
        <f t="shared" ref="LQ4:LQ15" si="111">IF(SUM(LA4:LD4)-LE4&gt;0,SUM(LA4:LD4)-LE4,"")</f>
        <v/>
      </c>
      <c r="LR4" s="15" t="str">
        <f t="shared" ref="LR4:LR15" si="112">IF(SUM(LF4:LI4)-LJ4&gt;0,SUM(LF4:LI4)-LJ4,"")</f>
        <v/>
      </c>
      <c r="LS4" s="15" t="str">
        <f t="shared" ref="LS4:LS15" si="113">IF(SUM(LQ4:LR4)&gt;0,SUM(LQ4:LR4),"")</f>
        <v/>
      </c>
      <c r="LT4" s="15" t="str">
        <f t="shared" ref="LT4:LT15" si="114">IF(LM4&gt;0,LM4,"")</f>
        <v/>
      </c>
      <c r="LU4" s="15" t="str">
        <f t="shared" ref="LU4:LU15" si="115">IF(SUM(LK4:LN4)-LO4&gt;0,SUM(LK4:LN4)-LO4,"")</f>
        <v/>
      </c>
      <c r="LV4" s="15" t="str">
        <f t="shared" ref="LV4:LV15" si="116">IF(SUM(LS4,LU4)&gt;0,SUM(LS4,LU4),"")</f>
        <v/>
      </c>
      <c r="LW4" s="63">
        <f t="shared" ref="LW4:MK4" si="117">IF($BG4="P",AR4,(U4+AR4)/2)</f>
        <v>16.850000000000001</v>
      </c>
      <c r="LX4" s="63">
        <f t="shared" si="117"/>
        <v>9.5749999999999993</v>
      </c>
      <c r="LY4" s="63">
        <f t="shared" si="117"/>
        <v>3.35</v>
      </c>
      <c r="LZ4" s="63">
        <f t="shared" si="117"/>
        <v>14.815000000000001</v>
      </c>
      <c r="MA4" s="63">
        <f t="shared" si="117"/>
        <v>0</v>
      </c>
      <c r="MB4" s="63">
        <f t="shared" si="117"/>
        <v>12.15</v>
      </c>
      <c r="MC4" s="63">
        <f t="shared" si="117"/>
        <v>7.4749999999999996</v>
      </c>
      <c r="MD4" s="63">
        <f t="shared" si="117"/>
        <v>8.75</v>
      </c>
      <c r="ME4" s="63">
        <f t="shared" si="117"/>
        <v>11.5825</v>
      </c>
      <c r="MF4" s="63">
        <f t="shared" si="117"/>
        <v>0</v>
      </c>
      <c r="MG4" s="63">
        <f t="shared" si="117"/>
        <v>15.649999999999999</v>
      </c>
      <c r="MH4" s="63">
        <f t="shared" si="117"/>
        <v>9.4250000000000007</v>
      </c>
      <c r="MI4" s="63">
        <f t="shared" si="117"/>
        <v>10.5</v>
      </c>
      <c r="MJ4" s="63">
        <f t="shared" si="117"/>
        <v>14.6075</v>
      </c>
      <c r="MK4" s="63">
        <f t="shared" si="117"/>
        <v>0</v>
      </c>
      <c r="ML4" s="74" t="s">
        <v>119</v>
      </c>
      <c r="MM4" s="12">
        <f t="shared" ref="MM4" si="118">IF(MD4&gt;0,MD4,"")</f>
        <v>8.75</v>
      </c>
      <c r="MN4" s="12">
        <f t="shared" ref="MN4" si="119">IF(SUM(LW4:LZ4)-MA4&gt;0,SUM(LW4:LZ4)-MA4,"")</f>
        <v>44.59</v>
      </c>
      <c r="MO4" s="12">
        <f t="shared" ref="MO4" si="120">IF(SUM(MB4:ME4)-MF4&gt;0,SUM(MB4:ME4)-MF4,"")</f>
        <v>39.957499999999996</v>
      </c>
      <c r="MP4" s="12">
        <f t="shared" ref="MP4" si="121">IF(SUM(MN4:MO4)&gt;0,SUM(MN4:MO4),"")</f>
        <v>84.547499999999999</v>
      </c>
      <c r="MQ4" s="12">
        <f>IF(MI4&gt;0,MI4,"")</f>
        <v>10.5</v>
      </c>
      <c r="MR4" s="12">
        <f t="shared" ref="MR4" si="122">IF(SUM(MG4:MJ4)-MK4&gt;0,SUM(MG4:MJ4)-MK4,"")</f>
        <v>50.182500000000005</v>
      </c>
      <c r="MS4" s="12">
        <f t="shared" ref="MS4" si="123">IF(SUM(MP4,MR4)&gt;0,SUM(MP4,MR4),"")</f>
        <v>134.73000000000002</v>
      </c>
    </row>
    <row r="5" spans="1:357" x14ac:dyDescent="0.2">
      <c r="A5" s="6">
        <f t="shared" si="0"/>
        <v>2</v>
      </c>
      <c r="B5" s="9" t="s">
        <v>99</v>
      </c>
      <c r="C5" s="5" t="s">
        <v>5</v>
      </c>
      <c r="D5" s="27">
        <v>2002</v>
      </c>
      <c r="E5" s="16">
        <f t="shared" si="1"/>
        <v>233.36</v>
      </c>
      <c r="F5" s="4" t="str">
        <f t="shared" ref="F5:F15" si="124">IF(OR(AND($AK5&gt;=$AL$18,NOT($AK5=""),$AJ5=""),AND($BH5&gt;=$BI$18,NOT($BH5=""),$BG5=""),AND($CH5&gt;=$CI$18,NOT($CH5="")),AND($DD5&gt;=$DE$18,NOT($DD5="")),AND($DZ5&gt;=$EA$18,NOT($DZ5="")),AND($EV5&gt;=$EW$18,NOT($EV5="")),AND($FR5&gt;=$FS$18,NOT($FR5="")),AND($GN5&gt;=$GO$18,NOT($GN5="")),AND($HJ5&gt;=$HK$18,NOT($HJ5="")),AND($IF5&gt;=$IG$18,NOT($IF5="")),AND($JB5&gt;=$JC$18,NOT($JB5="")),AND($JX5&gt;=$JY$18,NOT($JX5="")),AND($KT5&gt;=$KU$18,NOT($KT5="")),AND($LP5&gt;=$LQ$18,NOT($LP5="")),AND($AO5&gt;=$AL$18,NOT($AO5=""),$AJ5=""),AND($BL5&gt;=$BI$18,NOT($BL5=""),$BG5=""),AND($CL5&gt;=$CI$18,NOT($CL5="")),AND($DH5&gt;=$DE$18,NOT($DH5="")),AND($ED5&gt;=$EA$18,NOT($ED5="")),AND($EZ5&gt;=$EW$18,NOT($EZ5="")),AND($FV5&gt;=$FS$18,NOT($FV5="")),AND($GR5&gt;=$GO$18,NOT($GR5="")),AND($HN5&gt;=$HK$18,NOT($HN5="")),AND($IJ5&gt;=$IG$18,NOT($IJ5="")),AND($JF5&gt;=$JC$18,NOT($JF5="")),AND($KB5&gt;=$JY$18,NOT($KB5="")),AND($KX5&gt;=$KU$18,NOT($KX5="")),AND($LT5&gt;=$LQ$18,NOT($LT5=""))),"P","")</f>
        <v>P</v>
      </c>
      <c r="G5" s="4" t="str">
        <f t="shared" si="2"/>
        <v>P</v>
      </c>
      <c r="H5" s="4" t="str">
        <f t="shared" ref="H5:H15" si="125">IF(OR(AND($AN5&gt;=$AL$20,NOT($AN5=""),$AJ5=""),AND($BK5&gt;=$BI$20,NOT($BK5=""),$BG5=""),AND($CK5&gt;=$CI$20,NOT($CK5="")),AND($DG5&gt;=$DE$20,NOT($DG5="")),AND($EC5&gt;=$EA$20,NOT($EC5="")),AND($EY5&gt;=$EW$20,NOT($EY5="")),AND($FU5&gt;=$FS$20,NOT($FU5="")),AND($GQ5&gt;=$GO$20,NOT($GQ5="")),AND($HM5&gt;=$HK$20,NOT($HM5="")),AND($II5&gt;=$IG$20,NOT($II5="")),AND($JE5&gt;=$JC$20,NOT($JE5="")),AND($KA5&gt;=$JY$20,NOT($KA5="")),AND($KW5&gt;=$KU$20,NOT($KW5="")),AND($LS5&gt;=$LQ$20,NOT($LS5=""))),"P","")</f>
        <v>P</v>
      </c>
      <c r="I5" t="str">
        <f t="shared" si="3"/>
        <v>National Team</v>
      </c>
      <c r="J5" s="15">
        <f t="shared" si="4"/>
        <v>93.805000000000007</v>
      </c>
      <c r="K5" s="15" t="str">
        <f t="shared" si="5"/>
        <v>2019 Elite Canada</v>
      </c>
      <c r="L5" s="15">
        <f t="shared" si="6"/>
        <v>42.334999999999994</v>
      </c>
      <c r="M5" s="15" t="str">
        <f t="shared" si="7"/>
        <v>2018 Nationals</v>
      </c>
      <c r="N5" s="15">
        <f t="shared" si="8"/>
        <v>47.46</v>
      </c>
      <c r="O5" s="15" t="str">
        <f t="shared" si="9"/>
        <v>2018 Nationals</v>
      </c>
      <c r="P5" s="15">
        <f t="shared" si="10"/>
        <v>49.24</v>
      </c>
      <c r="Q5" s="15" t="str">
        <f t="shared" si="11"/>
        <v>2018 Nationals</v>
      </c>
      <c r="R5" s="15">
        <f t="shared" si="12"/>
        <v>0.52000000000000313</v>
      </c>
      <c r="S5" s="25" t="str">
        <f t="shared" si="13"/>
        <v>(Vol 2)</v>
      </c>
      <c r="T5" s="15" t="str">
        <f t="shared" si="14"/>
        <v>2018 World Age Groups (Nov 18)</v>
      </c>
      <c r="U5" s="36">
        <v>15.6</v>
      </c>
      <c r="V5" s="36">
        <v>8.9499999999999993</v>
      </c>
      <c r="W5" s="36">
        <v>3.2</v>
      </c>
      <c r="X5" s="36">
        <v>14.585000000000001</v>
      </c>
      <c r="Y5" s="36">
        <v>0</v>
      </c>
      <c r="Z5" s="36">
        <v>14.4</v>
      </c>
      <c r="AA5" s="36">
        <v>8.75</v>
      </c>
      <c r="AB5" s="36">
        <v>10</v>
      </c>
      <c r="AC5" s="36">
        <v>14.31</v>
      </c>
      <c r="AD5" s="36">
        <v>0</v>
      </c>
      <c r="AE5" s="36">
        <v>14.9</v>
      </c>
      <c r="AF5" s="36">
        <v>9.25</v>
      </c>
      <c r="AG5" s="36">
        <v>10.6</v>
      </c>
      <c r="AH5" s="36">
        <v>14.49</v>
      </c>
      <c r="AI5" s="36">
        <v>0</v>
      </c>
      <c r="AJ5" s="74"/>
      <c r="AK5" s="12">
        <f t="shared" si="15"/>
        <v>10</v>
      </c>
      <c r="AL5" s="12">
        <f t="shared" si="16"/>
        <v>42.334999999999994</v>
      </c>
      <c r="AM5" s="12">
        <f t="shared" si="17"/>
        <v>47.46</v>
      </c>
      <c r="AN5" s="12">
        <f t="shared" si="18"/>
        <v>89.794999999999987</v>
      </c>
      <c r="AO5" s="12">
        <f t="shared" si="19"/>
        <v>10.6</v>
      </c>
      <c r="AP5" s="12">
        <f t="shared" si="20"/>
        <v>49.24</v>
      </c>
      <c r="AQ5" s="12">
        <f t="shared" si="21"/>
        <v>139.035</v>
      </c>
      <c r="AR5" s="69">
        <v>16.399999999999999</v>
      </c>
      <c r="AS5" s="69">
        <v>9.0500000000000007</v>
      </c>
      <c r="AT5" s="69">
        <v>3.2</v>
      </c>
      <c r="AU5" s="69">
        <v>15.175000000000001</v>
      </c>
      <c r="AV5" s="69">
        <v>0</v>
      </c>
      <c r="AW5" s="69">
        <v>14.7</v>
      </c>
      <c r="AX5" s="69">
        <v>9.1999999999999993</v>
      </c>
      <c r="AY5" s="69">
        <v>11.3</v>
      </c>
      <c r="AZ5" s="69">
        <v>14.78</v>
      </c>
      <c r="BA5" s="69">
        <v>0</v>
      </c>
      <c r="BB5" s="69">
        <v>12.9</v>
      </c>
      <c r="BC5" s="69">
        <v>9.15</v>
      </c>
      <c r="BD5" s="69">
        <v>10.1</v>
      </c>
      <c r="BE5" s="69">
        <v>13.63</v>
      </c>
      <c r="BF5" s="69">
        <v>0</v>
      </c>
      <c r="BG5" s="75"/>
      <c r="BH5" s="15">
        <f t="shared" si="22"/>
        <v>11.3</v>
      </c>
      <c r="BI5" s="15">
        <f t="shared" si="23"/>
        <v>43.825000000000003</v>
      </c>
      <c r="BJ5" s="15">
        <f t="shared" si="24"/>
        <v>49.980000000000004</v>
      </c>
      <c r="BK5" s="15">
        <f t="shared" si="25"/>
        <v>93.805000000000007</v>
      </c>
      <c r="BL5" s="15">
        <f t="shared" si="26"/>
        <v>10.1</v>
      </c>
      <c r="BM5" s="15">
        <f t="shared" si="27"/>
        <v>45.78</v>
      </c>
      <c r="BN5" s="15">
        <f t="shared" si="28"/>
        <v>139.58500000000001</v>
      </c>
      <c r="BO5" s="24" t="str">
        <f t="shared" si="29"/>
        <v/>
      </c>
      <c r="BP5" s="24">
        <f t="shared" si="30"/>
        <v>0.52000000000000313</v>
      </c>
      <c r="BQ5" s="24" t="str">
        <f t="shared" si="31"/>
        <v/>
      </c>
      <c r="BR5" s="24" t="str">
        <f t="shared" si="32"/>
        <v/>
      </c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12" t="str">
        <f t="shared" si="33"/>
        <v/>
      </c>
      <c r="CI5" s="12" t="str">
        <f t="shared" si="34"/>
        <v/>
      </c>
      <c r="CJ5" s="12" t="str">
        <f t="shared" si="35"/>
        <v/>
      </c>
      <c r="CK5" s="12" t="str">
        <f t="shared" si="36"/>
        <v/>
      </c>
      <c r="CL5" s="12" t="str">
        <f t="shared" si="37"/>
        <v/>
      </c>
      <c r="CM5" s="12" t="str">
        <f t="shared" si="38"/>
        <v/>
      </c>
      <c r="CN5" s="12" t="str">
        <f t="shared" si="39"/>
        <v/>
      </c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15" t="str">
        <f t="shared" si="40"/>
        <v/>
      </c>
      <c r="DE5" s="15" t="str">
        <f t="shared" si="41"/>
        <v/>
      </c>
      <c r="DF5" s="15" t="str">
        <f t="shared" si="42"/>
        <v/>
      </c>
      <c r="DG5" s="15" t="str">
        <f t="shared" si="43"/>
        <v/>
      </c>
      <c r="DH5" s="15" t="str">
        <f t="shared" si="44"/>
        <v/>
      </c>
      <c r="DI5" s="15" t="str">
        <f t="shared" si="45"/>
        <v/>
      </c>
      <c r="DJ5" s="15" t="str">
        <f t="shared" si="46"/>
        <v/>
      </c>
      <c r="DK5" s="36">
        <v>15.8</v>
      </c>
      <c r="DL5" s="36">
        <v>9.15</v>
      </c>
      <c r="DM5" s="36">
        <v>0</v>
      </c>
      <c r="DN5" s="36">
        <v>15.414999999999999</v>
      </c>
      <c r="DO5" s="36">
        <v>2</v>
      </c>
      <c r="DP5" s="36">
        <v>13.8</v>
      </c>
      <c r="DQ5" s="36">
        <v>9.0500000000000007</v>
      </c>
      <c r="DR5" s="36">
        <v>7.7</v>
      </c>
      <c r="DS5" s="36">
        <v>14.255000000000001</v>
      </c>
      <c r="DT5" s="36">
        <v>0</v>
      </c>
      <c r="DU5" s="36"/>
      <c r="DV5" s="36"/>
      <c r="DW5" s="36"/>
      <c r="DX5" s="36"/>
      <c r="DY5" s="36"/>
      <c r="DZ5" s="12">
        <f t="shared" si="47"/>
        <v>7.7</v>
      </c>
      <c r="EA5" s="12">
        <f t="shared" si="48"/>
        <v>38.365000000000002</v>
      </c>
      <c r="EB5" s="12">
        <f t="shared" si="49"/>
        <v>44.805</v>
      </c>
      <c r="EC5" s="12">
        <f t="shared" si="50"/>
        <v>83.17</v>
      </c>
      <c r="ED5" s="12" t="str">
        <f t="shared" si="51"/>
        <v/>
      </c>
      <c r="EE5" s="12" t="str">
        <f t="shared" si="52"/>
        <v/>
      </c>
      <c r="EF5" s="12">
        <f t="shared" si="53"/>
        <v>83.17</v>
      </c>
      <c r="EG5" s="37">
        <v>17.2</v>
      </c>
      <c r="EH5" s="37">
        <v>9.6</v>
      </c>
      <c r="EI5" s="37">
        <v>0</v>
      </c>
      <c r="EJ5" s="37">
        <v>14.8</v>
      </c>
      <c r="EK5" s="37">
        <v>0</v>
      </c>
      <c r="EL5" s="37">
        <v>13.7</v>
      </c>
      <c r="EM5" s="37">
        <v>9.1999999999999993</v>
      </c>
      <c r="EN5" s="37">
        <v>11.1</v>
      </c>
      <c r="EO5" s="37">
        <v>13.98</v>
      </c>
      <c r="EP5" s="37">
        <v>0</v>
      </c>
      <c r="EQ5" s="37"/>
      <c r="ER5" s="37"/>
      <c r="ES5" s="37"/>
      <c r="ET5" s="37"/>
      <c r="EU5" s="37"/>
      <c r="EV5" s="15">
        <f t="shared" si="54"/>
        <v>11.1</v>
      </c>
      <c r="EW5" s="15">
        <f t="shared" si="55"/>
        <v>41.599999999999994</v>
      </c>
      <c r="EX5" s="15">
        <f t="shared" si="56"/>
        <v>47.980000000000004</v>
      </c>
      <c r="EY5" s="15">
        <f t="shared" si="57"/>
        <v>89.58</v>
      </c>
      <c r="EZ5" s="15" t="str">
        <f t="shared" si="58"/>
        <v/>
      </c>
      <c r="FA5" s="15" t="str">
        <f t="shared" si="59"/>
        <v/>
      </c>
      <c r="FB5" s="15">
        <f t="shared" si="60"/>
        <v>89.58</v>
      </c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12" t="str">
        <f t="shared" si="61"/>
        <v/>
      </c>
      <c r="FS5" s="12" t="str">
        <f t="shared" si="62"/>
        <v/>
      </c>
      <c r="FT5" s="12" t="str">
        <f t="shared" si="63"/>
        <v/>
      </c>
      <c r="FU5" s="12" t="str">
        <f t="shared" si="64"/>
        <v/>
      </c>
      <c r="FV5" s="12" t="str">
        <f t="shared" si="65"/>
        <v/>
      </c>
      <c r="FW5" s="12" t="str">
        <f t="shared" si="66"/>
        <v/>
      </c>
      <c r="FX5" s="12" t="str">
        <f t="shared" si="67"/>
        <v/>
      </c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15" t="str">
        <f t="shared" si="68"/>
        <v/>
      </c>
      <c r="GO5" s="15" t="str">
        <f t="shared" si="69"/>
        <v/>
      </c>
      <c r="GP5" s="15" t="str">
        <f t="shared" si="70"/>
        <v/>
      </c>
      <c r="GQ5" s="15" t="str">
        <f t="shared" si="71"/>
        <v/>
      </c>
      <c r="GR5" s="15" t="str">
        <f t="shared" si="72"/>
        <v/>
      </c>
      <c r="GS5" s="15" t="str">
        <f t="shared" si="73"/>
        <v/>
      </c>
      <c r="GT5" s="15" t="str">
        <f t="shared" si="74"/>
        <v/>
      </c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12" t="str">
        <f t="shared" si="75"/>
        <v/>
      </c>
      <c r="HK5" s="12" t="str">
        <f t="shared" si="76"/>
        <v/>
      </c>
      <c r="HL5" s="12" t="str">
        <f t="shared" si="77"/>
        <v/>
      </c>
      <c r="HM5" s="12" t="str">
        <f t="shared" si="78"/>
        <v/>
      </c>
      <c r="HN5" s="12" t="str">
        <f t="shared" si="79"/>
        <v/>
      </c>
      <c r="HO5" s="12" t="str">
        <f t="shared" si="80"/>
        <v/>
      </c>
      <c r="HP5" s="12" t="str">
        <f t="shared" si="81"/>
        <v/>
      </c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15" t="str">
        <f t="shared" si="82"/>
        <v/>
      </c>
      <c r="IG5" s="15" t="str">
        <f t="shared" si="83"/>
        <v/>
      </c>
      <c r="IH5" s="15" t="str">
        <f t="shared" si="84"/>
        <v/>
      </c>
      <c r="II5" s="15" t="str">
        <f t="shared" si="85"/>
        <v/>
      </c>
      <c r="IJ5" s="15" t="str">
        <f t="shared" si="86"/>
        <v/>
      </c>
      <c r="IK5" s="15" t="str">
        <f t="shared" si="87"/>
        <v/>
      </c>
      <c r="IL5" s="15" t="str">
        <f t="shared" si="88"/>
        <v/>
      </c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12" t="str">
        <f t="shared" si="89"/>
        <v/>
      </c>
      <c r="JC5" s="12" t="str">
        <f t="shared" si="90"/>
        <v/>
      </c>
      <c r="JD5" s="12" t="str">
        <f t="shared" si="91"/>
        <v/>
      </c>
      <c r="JE5" s="12" t="str">
        <f t="shared" si="92"/>
        <v/>
      </c>
      <c r="JF5" s="12" t="str">
        <f t="shared" si="93"/>
        <v/>
      </c>
      <c r="JG5" s="12" t="str">
        <f t="shared" si="94"/>
        <v/>
      </c>
      <c r="JH5" s="12" t="str">
        <f t="shared" si="95"/>
        <v/>
      </c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15" t="str">
        <f t="shared" si="96"/>
        <v/>
      </c>
      <c r="JY5" s="15" t="str">
        <f t="shared" si="97"/>
        <v/>
      </c>
      <c r="JZ5" s="15" t="str">
        <f t="shared" si="98"/>
        <v/>
      </c>
      <c r="KA5" s="15" t="str">
        <f t="shared" si="99"/>
        <v/>
      </c>
      <c r="KB5" s="15" t="str">
        <f t="shared" si="100"/>
        <v/>
      </c>
      <c r="KC5" s="15" t="str">
        <f t="shared" si="101"/>
        <v/>
      </c>
      <c r="KD5" s="15" t="str">
        <f t="shared" si="102"/>
        <v/>
      </c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12" t="str">
        <f t="shared" si="103"/>
        <v/>
      </c>
      <c r="KU5" s="12" t="str">
        <f t="shared" si="104"/>
        <v/>
      </c>
      <c r="KV5" s="12" t="str">
        <f t="shared" si="105"/>
        <v/>
      </c>
      <c r="KW5" s="12" t="str">
        <f t="shared" si="106"/>
        <v/>
      </c>
      <c r="KX5" s="12" t="str">
        <f t="shared" si="107"/>
        <v/>
      </c>
      <c r="KY5" s="12" t="str">
        <f t="shared" si="108"/>
        <v/>
      </c>
      <c r="KZ5" s="12" t="str">
        <f t="shared" si="109"/>
        <v/>
      </c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15" t="str">
        <f t="shared" si="110"/>
        <v/>
      </c>
      <c r="LQ5" s="15" t="str">
        <f t="shared" si="111"/>
        <v/>
      </c>
      <c r="LR5" s="15" t="str">
        <f t="shared" si="112"/>
        <v/>
      </c>
      <c r="LS5" s="15" t="str">
        <f t="shared" si="113"/>
        <v/>
      </c>
      <c r="LT5" s="15" t="str">
        <f t="shared" si="114"/>
        <v/>
      </c>
      <c r="LU5" s="15" t="str">
        <f t="shared" si="115"/>
        <v/>
      </c>
      <c r="LV5" s="15" t="str">
        <f t="shared" si="116"/>
        <v/>
      </c>
      <c r="LW5" s="63">
        <f t="shared" ref="LW5:LW15" si="126">IF($BG5="P",AR5,(U5+AR5)/2)</f>
        <v>16</v>
      </c>
      <c r="LX5" s="63">
        <f t="shared" ref="LX5:LX15" si="127">IF($BG5="P",AS5,(V5+AS5)/2)</f>
        <v>9</v>
      </c>
      <c r="LY5" s="63">
        <f t="shared" ref="LY5:LY15" si="128">IF($BG5="P",AT5,(W5+AT5)/2)</f>
        <v>3.2</v>
      </c>
      <c r="LZ5" s="63">
        <f t="shared" ref="LZ5:LZ15" si="129">IF($BG5="P",AU5,(X5+AU5)/2)</f>
        <v>14.88</v>
      </c>
      <c r="MA5" s="63">
        <f t="shared" ref="MA5:MA15" si="130">IF($BG5="P",AV5,(Y5+AV5)/2)</f>
        <v>0</v>
      </c>
      <c r="MB5" s="63">
        <f t="shared" ref="MB5:MB15" si="131">IF($BG5="P",AW5,(Z5+AW5)/2)</f>
        <v>14.55</v>
      </c>
      <c r="MC5" s="63">
        <f t="shared" ref="MC5:MC15" si="132">IF($BG5="P",AX5,(AA5+AX5)/2)</f>
        <v>8.9749999999999996</v>
      </c>
      <c r="MD5" s="63">
        <f t="shared" ref="MD5:MD15" si="133">IF($BG5="P",AY5,(AB5+AY5)/2)</f>
        <v>10.65</v>
      </c>
      <c r="ME5" s="63">
        <f t="shared" ref="ME5:ME15" si="134">IF($BG5="P",AZ5,(AC5+AZ5)/2)</f>
        <v>14.545</v>
      </c>
      <c r="MF5" s="63">
        <f t="shared" ref="MF5:MF15" si="135">IF($BG5="P",BA5,(AD5+BA5)/2)</f>
        <v>0</v>
      </c>
      <c r="MG5" s="63">
        <f t="shared" ref="MG5:MG15" si="136">IF($BG5="P",BB5,(AE5+BB5)/2)</f>
        <v>13.9</v>
      </c>
      <c r="MH5" s="63">
        <f t="shared" ref="MH5:MH15" si="137">IF($BG5="P",BC5,(AF5+BC5)/2)</f>
        <v>9.1999999999999993</v>
      </c>
      <c r="MI5" s="63">
        <f t="shared" ref="MI5:MI15" si="138">IF($BG5="P",BD5,(AG5+BD5)/2)</f>
        <v>10.35</v>
      </c>
      <c r="MJ5" s="63">
        <f t="shared" ref="MJ5:MJ15" si="139">IF($BG5="P",BE5,(AH5+BE5)/2)</f>
        <v>14.06</v>
      </c>
      <c r="MK5" s="63">
        <f t="shared" ref="MK5:MK15" si="140">IF($BG5="P",BF5,(AI5+BF5)/2)</f>
        <v>0</v>
      </c>
      <c r="ML5" s="74" t="s">
        <v>119</v>
      </c>
      <c r="MM5" s="12">
        <f t="shared" ref="MM5:MM13" si="141">IF(MD5&gt;0,MD5,"")</f>
        <v>10.65</v>
      </c>
      <c r="MN5" s="12">
        <f t="shared" ref="MN5:MN13" si="142">IF(SUM(LW5:LZ5)-MA5&gt;0,SUM(LW5:LZ5)-MA5,"")</f>
        <v>43.08</v>
      </c>
      <c r="MO5" s="12">
        <f t="shared" ref="MO5:MO13" si="143">IF(SUM(MB5:ME5)-MF5&gt;0,SUM(MB5:ME5)-MF5,"")</f>
        <v>48.72</v>
      </c>
      <c r="MP5" s="12">
        <f t="shared" ref="MP5:MP13" si="144">IF(SUM(MN5:MO5)&gt;0,SUM(MN5:MO5),"")</f>
        <v>91.8</v>
      </c>
      <c r="MQ5" s="12">
        <f t="shared" ref="MQ5:MQ15" si="145">IF(MI5&gt;0,MI5,"")</f>
        <v>10.35</v>
      </c>
      <c r="MR5" s="12">
        <f t="shared" ref="MR5:MR13" si="146">IF(SUM(MG5:MJ5)-MK5&gt;0,SUM(MG5:MJ5)-MK5,"")</f>
        <v>47.510000000000005</v>
      </c>
      <c r="MS5" s="12">
        <f t="shared" ref="MS5:MS13" si="147">IF(SUM(MP5,MR5)&gt;0,SUM(MP5,MR5),"")</f>
        <v>139.31</v>
      </c>
    </row>
    <row r="6" spans="1:357" x14ac:dyDescent="0.2">
      <c r="A6" s="6">
        <f t="shared" si="0"/>
        <v>3</v>
      </c>
      <c r="B6" s="9" t="s">
        <v>104</v>
      </c>
      <c r="C6" s="5" t="s">
        <v>5</v>
      </c>
      <c r="D6" s="27">
        <v>2001</v>
      </c>
      <c r="E6" s="16">
        <f t="shared" si="1"/>
        <v>231.14499999999998</v>
      </c>
      <c r="F6" s="4" t="str">
        <f t="shared" si="124"/>
        <v>P</v>
      </c>
      <c r="G6" s="4" t="str">
        <f t="shared" si="2"/>
        <v>P</v>
      </c>
      <c r="H6" s="4" t="str">
        <f t="shared" si="125"/>
        <v>P</v>
      </c>
      <c r="I6" t="str">
        <f t="shared" si="3"/>
        <v>National Team</v>
      </c>
      <c r="J6" s="15">
        <f t="shared" si="4"/>
        <v>94.539999999999992</v>
      </c>
      <c r="K6" s="15" t="str">
        <f t="shared" si="5"/>
        <v>2019 Elite Canada</v>
      </c>
      <c r="L6" s="15">
        <f t="shared" si="6"/>
        <v>43.47</v>
      </c>
      <c r="M6" s="15" t="str">
        <f t="shared" si="7"/>
        <v>2018 Nationals</v>
      </c>
      <c r="N6" s="15">
        <f t="shared" si="8"/>
        <v>46.004999999999995</v>
      </c>
      <c r="O6" s="15" t="str">
        <f t="shared" si="9"/>
        <v>2018 Nationals</v>
      </c>
      <c r="P6" s="15">
        <f t="shared" si="10"/>
        <v>47.129999999999995</v>
      </c>
      <c r="Q6" s="15" t="str">
        <f t="shared" si="11"/>
        <v>2018 Nationals</v>
      </c>
      <c r="R6" s="15" t="str">
        <f t="shared" si="12"/>
        <v/>
      </c>
      <c r="S6" s="25" t="str">
        <f t="shared" si="13"/>
        <v/>
      </c>
      <c r="T6" s="15" t="str">
        <f t="shared" si="14"/>
        <v/>
      </c>
      <c r="U6" s="36">
        <v>15.4</v>
      </c>
      <c r="V6" s="36">
        <v>9.25</v>
      </c>
      <c r="W6" s="36">
        <v>4.4000000000000004</v>
      </c>
      <c r="X6" s="36">
        <v>14.42</v>
      </c>
      <c r="Y6" s="36">
        <v>0</v>
      </c>
      <c r="Z6" s="36">
        <v>12.9</v>
      </c>
      <c r="AA6" s="36">
        <v>9</v>
      </c>
      <c r="AB6" s="36">
        <v>10</v>
      </c>
      <c r="AC6" s="36">
        <v>14.105</v>
      </c>
      <c r="AD6" s="36">
        <v>0</v>
      </c>
      <c r="AE6" s="36">
        <v>13.7</v>
      </c>
      <c r="AF6" s="36">
        <v>8.35</v>
      </c>
      <c r="AG6" s="36">
        <v>10.5</v>
      </c>
      <c r="AH6" s="36">
        <v>14.58</v>
      </c>
      <c r="AI6" s="36">
        <v>0</v>
      </c>
      <c r="AJ6" s="74"/>
      <c r="AK6" s="12">
        <f t="shared" si="15"/>
        <v>10</v>
      </c>
      <c r="AL6" s="12">
        <f t="shared" si="16"/>
        <v>43.47</v>
      </c>
      <c r="AM6" s="12">
        <f t="shared" si="17"/>
        <v>46.004999999999995</v>
      </c>
      <c r="AN6" s="12">
        <f t="shared" si="18"/>
        <v>89.474999999999994</v>
      </c>
      <c r="AO6" s="12">
        <f t="shared" si="19"/>
        <v>10.5</v>
      </c>
      <c r="AP6" s="12">
        <f t="shared" si="20"/>
        <v>47.129999999999995</v>
      </c>
      <c r="AQ6" s="12">
        <f t="shared" si="21"/>
        <v>136.60499999999999</v>
      </c>
      <c r="AR6" s="69">
        <v>15.8</v>
      </c>
      <c r="AS6" s="69">
        <v>9.6999999999999993</v>
      </c>
      <c r="AT6" s="69">
        <v>3.5</v>
      </c>
      <c r="AU6" s="69">
        <v>15.51</v>
      </c>
      <c r="AV6" s="69">
        <v>0</v>
      </c>
      <c r="AW6" s="69">
        <v>13.4</v>
      </c>
      <c r="AX6" s="69">
        <v>9.15</v>
      </c>
      <c r="AY6" s="69">
        <v>13.1</v>
      </c>
      <c r="AZ6" s="69">
        <v>14.38</v>
      </c>
      <c r="BA6" s="69">
        <v>0</v>
      </c>
      <c r="BB6" s="69">
        <v>11</v>
      </c>
      <c r="BC6" s="69">
        <v>8.85</v>
      </c>
      <c r="BD6" s="69">
        <v>12.9</v>
      </c>
      <c r="BE6" s="69">
        <v>13.984999999999999</v>
      </c>
      <c r="BF6" s="69">
        <v>0</v>
      </c>
      <c r="BG6" s="75"/>
      <c r="BH6" s="15">
        <f t="shared" si="22"/>
        <v>13.1</v>
      </c>
      <c r="BI6" s="15">
        <f t="shared" si="23"/>
        <v>44.51</v>
      </c>
      <c r="BJ6" s="15">
        <f t="shared" si="24"/>
        <v>50.03</v>
      </c>
      <c r="BK6" s="15">
        <f t="shared" si="25"/>
        <v>94.539999999999992</v>
      </c>
      <c r="BL6" s="15">
        <f t="shared" si="26"/>
        <v>12.9</v>
      </c>
      <c r="BM6" s="15">
        <f t="shared" si="27"/>
        <v>46.734999999999999</v>
      </c>
      <c r="BN6" s="15">
        <f t="shared" si="28"/>
        <v>141.27499999999998</v>
      </c>
      <c r="BO6" s="24" t="str">
        <f t="shared" si="29"/>
        <v/>
      </c>
      <c r="BP6" s="24" t="str">
        <f t="shared" si="30"/>
        <v/>
      </c>
      <c r="BQ6" s="24" t="str">
        <f t="shared" si="31"/>
        <v/>
      </c>
      <c r="BR6" s="24" t="str">
        <f t="shared" si="32"/>
        <v/>
      </c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12" t="str">
        <f t="shared" si="33"/>
        <v/>
      </c>
      <c r="CI6" s="12" t="str">
        <f t="shared" si="34"/>
        <v/>
      </c>
      <c r="CJ6" s="12" t="str">
        <f t="shared" si="35"/>
        <v/>
      </c>
      <c r="CK6" s="12" t="str">
        <f t="shared" si="36"/>
        <v/>
      </c>
      <c r="CL6" s="12" t="str">
        <f t="shared" si="37"/>
        <v/>
      </c>
      <c r="CM6" s="12" t="str">
        <f t="shared" si="38"/>
        <v/>
      </c>
      <c r="CN6" s="12" t="str">
        <f t="shared" si="39"/>
        <v/>
      </c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15" t="str">
        <f t="shared" si="40"/>
        <v/>
      </c>
      <c r="DE6" s="15" t="str">
        <f t="shared" si="41"/>
        <v/>
      </c>
      <c r="DF6" s="15" t="str">
        <f t="shared" si="42"/>
        <v/>
      </c>
      <c r="DG6" s="15" t="str">
        <f t="shared" si="43"/>
        <v/>
      </c>
      <c r="DH6" s="15" t="str">
        <f t="shared" si="44"/>
        <v/>
      </c>
      <c r="DI6" s="15" t="str">
        <f t="shared" si="45"/>
        <v/>
      </c>
      <c r="DJ6" s="15" t="str">
        <f t="shared" si="46"/>
        <v/>
      </c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12" t="str">
        <f t="shared" si="47"/>
        <v/>
      </c>
      <c r="EA6" s="12" t="str">
        <f t="shared" si="48"/>
        <v/>
      </c>
      <c r="EB6" s="12" t="str">
        <f t="shared" si="49"/>
        <v/>
      </c>
      <c r="EC6" s="12" t="str">
        <f t="shared" si="50"/>
        <v/>
      </c>
      <c r="ED6" s="12" t="str">
        <f t="shared" si="51"/>
        <v/>
      </c>
      <c r="EE6" s="12" t="str">
        <f t="shared" si="52"/>
        <v/>
      </c>
      <c r="EF6" s="12" t="str">
        <f t="shared" si="53"/>
        <v/>
      </c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15" t="str">
        <f t="shared" si="54"/>
        <v/>
      </c>
      <c r="EW6" s="15" t="str">
        <f t="shared" si="55"/>
        <v/>
      </c>
      <c r="EX6" s="15" t="str">
        <f t="shared" si="56"/>
        <v/>
      </c>
      <c r="EY6" s="15" t="str">
        <f t="shared" si="57"/>
        <v/>
      </c>
      <c r="EZ6" s="15" t="str">
        <f t="shared" si="58"/>
        <v/>
      </c>
      <c r="FA6" s="15" t="str">
        <f t="shared" si="59"/>
        <v/>
      </c>
      <c r="FB6" s="15" t="str">
        <f t="shared" si="60"/>
        <v/>
      </c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12" t="str">
        <f t="shared" si="61"/>
        <v/>
      </c>
      <c r="FS6" s="12" t="str">
        <f t="shared" si="62"/>
        <v/>
      </c>
      <c r="FT6" s="12" t="str">
        <f t="shared" si="63"/>
        <v/>
      </c>
      <c r="FU6" s="12" t="str">
        <f t="shared" si="64"/>
        <v/>
      </c>
      <c r="FV6" s="12" t="str">
        <f t="shared" si="65"/>
        <v/>
      </c>
      <c r="FW6" s="12" t="str">
        <f t="shared" si="66"/>
        <v/>
      </c>
      <c r="FX6" s="12" t="str">
        <f t="shared" si="67"/>
        <v/>
      </c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15" t="str">
        <f t="shared" si="68"/>
        <v/>
      </c>
      <c r="GO6" s="15" t="str">
        <f t="shared" si="69"/>
        <v/>
      </c>
      <c r="GP6" s="15" t="str">
        <f t="shared" si="70"/>
        <v/>
      </c>
      <c r="GQ6" s="15" t="str">
        <f t="shared" si="71"/>
        <v/>
      </c>
      <c r="GR6" s="15" t="str">
        <f t="shared" si="72"/>
        <v/>
      </c>
      <c r="GS6" s="15" t="str">
        <f t="shared" si="73"/>
        <v/>
      </c>
      <c r="GT6" s="15" t="str">
        <f t="shared" si="74"/>
        <v/>
      </c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12" t="str">
        <f t="shared" si="75"/>
        <v/>
      </c>
      <c r="HK6" s="12" t="str">
        <f t="shared" si="76"/>
        <v/>
      </c>
      <c r="HL6" s="12" t="str">
        <f t="shared" si="77"/>
        <v/>
      </c>
      <c r="HM6" s="12" t="str">
        <f t="shared" si="78"/>
        <v/>
      </c>
      <c r="HN6" s="12" t="str">
        <f t="shared" si="79"/>
        <v/>
      </c>
      <c r="HO6" s="12" t="str">
        <f t="shared" si="80"/>
        <v/>
      </c>
      <c r="HP6" s="12" t="str">
        <f t="shared" si="81"/>
        <v/>
      </c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15" t="str">
        <f t="shared" si="82"/>
        <v/>
      </c>
      <c r="IG6" s="15" t="str">
        <f t="shared" si="83"/>
        <v/>
      </c>
      <c r="IH6" s="15" t="str">
        <f t="shared" si="84"/>
        <v/>
      </c>
      <c r="II6" s="15" t="str">
        <f t="shared" si="85"/>
        <v/>
      </c>
      <c r="IJ6" s="15" t="str">
        <f t="shared" si="86"/>
        <v/>
      </c>
      <c r="IK6" s="15" t="str">
        <f t="shared" si="87"/>
        <v/>
      </c>
      <c r="IL6" s="15" t="str">
        <f t="shared" si="88"/>
        <v/>
      </c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12" t="str">
        <f t="shared" si="89"/>
        <v/>
      </c>
      <c r="JC6" s="12" t="str">
        <f t="shared" si="90"/>
        <v/>
      </c>
      <c r="JD6" s="12" t="str">
        <f t="shared" si="91"/>
        <v/>
      </c>
      <c r="JE6" s="12" t="str">
        <f t="shared" si="92"/>
        <v/>
      </c>
      <c r="JF6" s="12" t="str">
        <f t="shared" si="93"/>
        <v/>
      </c>
      <c r="JG6" s="12" t="str">
        <f t="shared" si="94"/>
        <v/>
      </c>
      <c r="JH6" s="12" t="str">
        <f t="shared" si="95"/>
        <v/>
      </c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15" t="str">
        <f t="shared" si="96"/>
        <v/>
      </c>
      <c r="JY6" s="15" t="str">
        <f t="shared" si="97"/>
        <v/>
      </c>
      <c r="JZ6" s="15" t="str">
        <f t="shared" si="98"/>
        <v/>
      </c>
      <c r="KA6" s="15" t="str">
        <f t="shared" si="99"/>
        <v/>
      </c>
      <c r="KB6" s="15" t="str">
        <f t="shared" si="100"/>
        <v/>
      </c>
      <c r="KC6" s="15" t="str">
        <f t="shared" si="101"/>
        <v/>
      </c>
      <c r="KD6" s="15" t="str">
        <f t="shared" si="102"/>
        <v/>
      </c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12" t="str">
        <f t="shared" si="103"/>
        <v/>
      </c>
      <c r="KU6" s="12" t="str">
        <f t="shared" si="104"/>
        <v/>
      </c>
      <c r="KV6" s="12" t="str">
        <f t="shared" si="105"/>
        <v/>
      </c>
      <c r="KW6" s="12" t="str">
        <f t="shared" si="106"/>
        <v/>
      </c>
      <c r="KX6" s="12" t="str">
        <f t="shared" si="107"/>
        <v/>
      </c>
      <c r="KY6" s="12" t="str">
        <f t="shared" si="108"/>
        <v/>
      </c>
      <c r="KZ6" s="12" t="str">
        <f t="shared" si="109"/>
        <v/>
      </c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15" t="str">
        <f t="shared" si="110"/>
        <v/>
      </c>
      <c r="LQ6" s="15" t="str">
        <f t="shared" si="111"/>
        <v/>
      </c>
      <c r="LR6" s="15" t="str">
        <f t="shared" si="112"/>
        <v/>
      </c>
      <c r="LS6" s="15" t="str">
        <f t="shared" si="113"/>
        <v/>
      </c>
      <c r="LT6" s="15" t="str">
        <f t="shared" si="114"/>
        <v/>
      </c>
      <c r="LU6" s="15" t="str">
        <f t="shared" si="115"/>
        <v/>
      </c>
      <c r="LV6" s="15" t="str">
        <f t="shared" si="116"/>
        <v/>
      </c>
      <c r="LW6" s="63">
        <f t="shared" si="126"/>
        <v>15.600000000000001</v>
      </c>
      <c r="LX6" s="63">
        <f t="shared" si="127"/>
        <v>9.4749999999999996</v>
      </c>
      <c r="LY6" s="63">
        <f t="shared" si="128"/>
        <v>3.95</v>
      </c>
      <c r="LZ6" s="63">
        <f t="shared" si="129"/>
        <v>14.965</v>
      </c>
      <c r="MA6" s="63">
        <f t="shared" si="130"/>
        <v>0</v>
      </c>
      <c r="MB6" s="63">
        <f t="shared" si="131"/>
        <v>13.15</v>
      </c>
      <c r="MC6" s="63">
        <f t="shared" si="132"/>
        <v>9.0749999999999993</v>
      </c>
      <c r="MD6" s="63">
        <f t="shared" si="133"/>
        <v>11.55</v>
      </c>
      <c r="ME6" s="63">
        <f t="shared" si="134"/>
        <v>14.2425</v>
      </c>
      <c r="MF6" s="63">
        <f t="shared" si="135"/>
        <v>0</v>
      </c>
      <c r="MG6" s="63">
        <f t="shared" si="136"/>
        <v>12.35</v>
      </c>
      <c r="MH6" s="63">
        <f t="shared" si="137"/>
        <v>8.6</v>
      </c>
      <c r="MI6" s="63">
        <f t="shared" si="138"/>
        <v>11.7</v>
      </c>
      <c r="MJ6" s="63">
        <f t="shared" si="139"/>
        <v>14.282499999999999</v>
      </c>
      <c r="MK6" s="63">
        <f t="shared" si="140"/>
        <v>0</v>
      </c>
      <c r="ML6" s="74" t="s">
        <v>119</v>
      </c>
      <c r="MM6" s="12">
        <f t="shared" si="141"/>
        <v>11.55</v>
      </c>
      <c r="MN6" s="12">
        <f t="shared" si="142"/>
        <v>43.99</v>
      </c>
      <c r="MO6" s="12">
        <f t="shared" si="143"/>
        <v>48.017500000000005</v>
      </c>
      <c r="MP6" s="12">
        <f t="shared" si="144"/>
        <v>92.007500000000007</v>
      </c>
      <c r="MQ6" s="12">
        <f t="shared" si="145"/>
        <v>11.7</v>
      </c>
      <c r="MR6" s="12">
        <f t="shared" si="146"/>
        <v>46.932499999999997</v>
      </c>
      <c r="MS6" s="12">
        <f t="shared" si="147"/>
        <v>138.94</v>
      </c>
    </row>
    <row r="7" spans="1:357" x14ac:dyDescent="0.2">
      <c r="A7" s="6">
        <f t="shared" si="0"/>
        <v>4</v>
      </c>
      <c r="B7" s="9" t="s">
        <v>126</v>
      </c>
      <c r="C7" s="5" t="s">
        <v>3</v>
      </c>
      <c r="D7" s="27">
        <v>2002</v>
      </c>
      <c r="E7" s="16">
        <f t="shared" si="1"/>
        <v>226.38499999999999</v>
      </c>
      <c r="F7" s="4" t="str">
        <f t="shared" si="124"/>
        <v/>
      </c>
      <c r="G7" s="4" t="str">
        <f t="shared" si="2"/>
        <v/>
      </c>
      <c r="H7" s="4" t="str">
        <f t="shared" si="125"/>
        <v>P</v>
      </c>
      <c r="I7" t="str">
        <f t="shared" si="3"/>
        <v>No DD</v>
      </c>
      <c r="J7" s="15">
        <f t="shared" si="4"/>
        <v>92.36999999999999</v>
      </c>
      <c r="K7" s="15" t="str">
        <f t="shared" si="5"/>
        <v>2019 Elite Canada</v>
      </c>
      <c r="L7" s="15">
        <f t="shared" si="6"/>
        <v>39.295000000000002</v>
      </c>
      <c r="M7" s="15" t="str">
        <f t="shared" si="7"/>
        <v>2018 Nationals</v>
      </c>
      <c r="N7" s="15">
        <f t="shared" si="8"/>
        <v>46.730000000000004</v>
      </c>
      <c r="O7" s="15" t="str">
        <f t="shared" si="9"/>
        <v>2018 Nationals</v>
      </c>
      <c r="P7" s="15">
        <f t="shared" si="10"/>
        <v>47.989999999999995</v>
      </c>
      <c r="Q7" s="15" t="str">
        <f t="shared" si="11"/>
        <v>2018 Nationals</v>
      </c>
      <c r="R7" s="15" t="str">
        <f t="shared" si="12"/>
        <v/>
      </c>
      <c r="S7" s="25" t="str">
        <f t="shared" si="13"/>
        <v/>
      </c>
      <c r="T7" s="15" t="str">
        <f t="shared" si="14"/>
        <v/>
      </c>
      <c r="U7" s="36">
        <v>15.5</v>
      </c>
      <c r="V7" s="36">
        <v>9.4499999999999993</v>
      </c>
      <c r="W7" s="36">
        <v>0</v>
      </c>
      <c r="X7" s="36">
        <v>14.345000000000001</v>
      </c>
      <c r="Y7" s="36">
        <v>0</v>
      </c>
      <c r="Z7" s="36">
        <v>13.9</v>
      </c>
      <c r="AA7" s="36">
        <v>9.4499999999999993</v>
      </c>
      <c r="AB7" s="36">
        <v>9.1</v>
      </c>
      <c r="AC7" s="36">
        <v>14.28</v>
      </c>
      <c r="AD7" s="36">
        <v>0</v>
      </c>
      <c r="AE7" s="36">
        <v>15.8</v>
      </c>
      <c r="AF7" s="36">
        <v>9.5</v>
      </c>
      <c r="AG7" s="36">
        <v>8.5</v>
      </c>
      <c r="AH7" s="36">
        <v>14.19</v>
      </c>
      <c r="AI7" s="36">
        <v>0</v>
      </c>
      <c r="AJ7" s="74"/>
      <c r="AK7" s="12">
        <f t="shared" si="15"/>
        <v>9.1</v>
      </c>
      <c r="AL7" s="12">
        <f t="shared" si="16"/>
        <v>39.295000000000002</v>
      </c>
      <c r="AM7" s="12">
        <f t="shared" si="17"/>
        <v>46.730000000000004</v>
      </c>
      <c r="AN7" s="12">
        <f t="shared" si="18"/>
        <v>86.025000000000006</v>
      </c>
      <c r="AO7" s="12">
        <f t="shared" si="19"/>
        <v>8.5</v>
      </c>
      <c r="AP7" s="12">
        <f t="shared" si="20"/>
        <v>47.989999999999995</v>
      </c>
      <c r="AQ7" s="12">
        <f t="shared" si="21"/>
        <v>134.01499999999999</v>
      </c>
      <c r="AR7" s="69">
        <v>15</v>
      </c>
      <c r="AS7" s="69">
        <v>8.75</v>
      </c>
      <c r="AT7" s="69">
        <v>4.4000000000000004</v>
      </c>
      <c r="AU7" s="69">
        <v>15.01</v>
      </c>
      <c r="AV7" s="69">
        <v>0</v>
      </c>
      <c r="AW7" s="69">
        <v>15.1</v>
      </c>
      <c r="AX7" s="69">
        <v>8.9499999999999993</v>
      </c>
      <c r="AY7" s="69">
        <v>10.5</v>
      </c>
      <c r="AZ7" s="69">
        <v>14.66</v>
      </c>
      <c r="BA7" s="69">
        <v>0</v>
      </c>
      <c r="BB7" s="69">
        <v>14.7</v>
      </c>
      <c r="BC7" s="69">
        <v>8.6999999999999993</v>
      </c>
      <c r="BD7" s="69">
        <v>9.3000000000000007</v>
      </c>
      <c r="BE7" s="69">
        <v>14.64</v>
      </c>
      <c r="BF7" s="69">
        <v>0.2</v>
      </c>
      <c r="BG7" s="75"/>
      <c r="BH7" s="15">
        <f t="shared" si="22"/>
        <v>10.5</v>
      </c>
      <c r="BI7" s="15">
        <f t="shared" si="23"/>
        <v>43.16</v>
      </c>
      <c r="BJ7" s="15">
        <f t="shared" si="24"/>
        <v>49.209999999999994</v>
      </c>
      <c r="BK7" s="15">
        <f t="shared" si="25"/>
        <v>92.36999999999999</v>
      </c>
      <c r="BL7" s="15">
        <f t="shared" si="26"/>
        <v>9.3000000000000007</v>
      </c>
      <c r="BM7" s="15">
        <f t="shared" si="27"/>
        <v>47.14</v>
      </c>
      <c r="BN7" s="15">
        <f t="shared" si="28"/>
        <v>139.51</v>
      </c>
      <c r="BO7" s="24" t="str">
        <f t="shared" si="29"/>
        <v/>
      </c>
      <c r="BP7" s="24" t="str">
        <f t="shared" si="30"/>
        <v/>
      </c>
      <c r="BQ7" s="24" t="str">
        <f t="shared" si="31"/>
        <v/>
      </c>
      <c r="BR7" s="24" t="str">
        <f t="shared" si="32"/>
        <v/>
      </c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12" t="str">
        <f t="shared" si="33"/>
        <v/>
      </c>
      <c r="CI7" s="12" t="str">
        <f t="shared" si="34"/>
        <v/>
      </c>
      <c r="CJ7" s="12" t="str">
        <f t="shared" si="35"/>
        <v/>
      </c>
      <c r="CK7" s="12" t="str">
        <f t="shared" si="36"/>
        <v/>
      </c>
      <c r="CL7" s="12" t="str">
        <f t="shared" si="37"/>
        <v/>
      </c>
      <c r="CM7" s="12" t="str">
        <f t="shared" si="38"/>
        <v/>
      </c>
      <c r="CN7" s="12" t="str">
        <f t="shared" si="39"/>
        <v/>
      </c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15" t="str">
        <f t="shared" si="40"/>
        <v/>
      </c>
      <c r="DE7" s="15" t="str">
        <f t="shared" si="41"/>
        <v/>
      </c>
      <c r="DF7" s="15" t="str">
        <f t="shared" si="42"/>
        <v/>
      </c>
      <c r="DG7" s="15" t="str">
        <f t="shared" si="43"/>
        <v/>
      </c>
      <c r="DH7" s="15" t="str">
        <f t="shared" si="44"/>
        <v/>
      </c>
      <c r="DI7" s="15" t="str">
        <f t="shared" si="45"/>
        <v/>
      </c>
      <c r="DJ7" s="15" t="str">
        <f t="shared" si="46"/>
        <v/>
      </c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12" t="str">
        <f t="shared" si="47"/>
        <v/>
      </c>
      <c r="EA7" s="12" t="str">
        <f t="shared" si="48"/>
        <v/>
      </c>
      <c r="EB7" s="12" t="str">
        <f t="shared" si="49"/>
        <v/>
      </c>
      <c r="EC7" s="12" t="str">
        <f t="shared" si="50"/>
        <v/>
      </c>
      <c r="ED7" s="12" t="str">
        <f t="shared" si="51"/>
        <v/>
      </c>
      <c r="EE7" s="12" t="str">
        <f t="shared" si="52"/>
        <v/>
      </c>
      <c r="EF7" s="12" t="str">
        <f t="shared" si="53"/>
        <v/>
      </c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15" t="str">
        <f t="shared" si="54"/>
        <v/>
      </c>
      <c r="EW7" s="15" t="str">
        <f t="shared" si="55"/>
        <v/>
      </c>
      <c r="EX7" s="15" t="str">
        <f t="shared" si="56"/>
        <v/>
      </c>
      <c r="EY7" s="15" t="str">
        <f t="shared" si="57"/>
        <v/>
      </c>
      <c r="EZ7" s="15" t="str">
        <f t="shared" si="58"/>
        <v/>
      </c>
      <c r="FA7" s="15" t="str">
        <f t="shared" si="59"/>
        <v/>
      </c>
      <c r="FB7" s="15" t="str">
        <f t="shared" si="60"/>
        <v/>
      </c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12" t="str">
        <f t="shared" si="61"/>
        <v/>
      </c>
      <c r="FS7" s="12" t="str">
        <f t="shared" si="62"/>
        <v/>
      </c>
      <c r="FT7" s="12" t="str">
        <f t="shared" si="63"/>
        <v/>
      </c>
      <c r="FU7" s="12" t="str">
        <f t="shared" si="64"/>
        <v/>
      </c>
      <c r="FV7" s="12" t="str">
        <f t="shared" si="65"/>
        <v/>
      </c>
      <c r="FW7" s="12" t="str">
        <f t="shared" si="66"/>
        <v/>
      </c>
      <c r="FX7" s="12" t="str">
        <f t="shared" si="67"/>
        <v/>
      </c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15" t="str">
        <f t="shared" si="68"/>
        <v/>
      </c>
      <c r="GO7" s="15" t="str">
        <f t="shared" si="69"/>
        <v/>
      </c>
      <c r="GP7" s="15" t="str">
        <f t="shared" si="70"/>
        <v/>
      </c>
      <c r="GQ7" s="15" t="str">
        <f t="shared" si="71"/>
        <v/>
      </c>
      <c r="GR7" s="15" t="str">
        <f t="shared" si="72"/>
        <v/>
      </c>
      <c r="GS7" s="15" t="str">
        <f t="shared" si="73"/>
        <v/>
      </c>
      <c r="GT7" s="15" t="str">
        <f t="shared" si="74"/>
        <v/>
      </c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12" t="str">
        <f t="shared" si="75"/>
        <v/>
      </c>
      <c r="HK7" s="12" t="str">
        <f t="shared" si="76"/>
        <v/>
      </c>
      <c r="HL7" s="12" t="str">
        <f t="shared" si="77"/>
        <v/>
      </c>
      <c r="HM7" s="12" t="str">
        <f t="shared" si="78"/>
        <v/>
      </c>
      <c r="HN7" s="12" t="str">
        <f t="shared" si="79"/>
        <v/>
      </c>
      <c r="HO7" s="12" t="str">
        <f t="shared" si="80"/>
        <v/>
      </c>
      <c r="HP7" s="12" t="str">
        <f t="shared" si="81"/>
        <v/>
      </c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15" t="str">
        <f t="shared" si="82"/>
        <v/>
      </c>
      <c r="IG7" s="15" t="str">
        <f t="shared" si="83"/>
        <v/>
      </c>
      <c r="IH7" s="15" t="str">
        <f t="shared" si="84"/>
        <v/>
      </c>
      <c r="II7" s="15" t="str">
        <f t="shared" si="85"/>
        <v/>
      </c>
      <c r="IJ7" s="15" t="str">
        <f t="shared" si="86"/>
        <v/>
      </c>
      <c r="IK7" s="15" t="str">
        <f t="shared" si="87"/>
        <v/>
      </c>
      <c r="IL7" s="15" t="str">
        <f t="shared" si="88"/>
        <v/>
      </c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12" t="str">
        <f t="shared" si="89"/>
        <v/>
      </c>
      <c r="JC7" s="12" t="str">
        <f t="shared" si="90"/>
        <v/>
      </c>
      <c r="JD7" s="12" t="str">
        <f t="shared" si="91"/>
        <v/>
      </c>
      <c r="JE7" s="12" t="str">
        <f t="shared" si="92"/>
        <v/>
      </c>
      <c r="JF7" s="12" t="str">
        <f t="shared" si="93"/>
        <v/>
      </c>
      <c r="JG7" s="12" t="str">
        <f t="shared" si="94"/>
        <v/>
      </c>
      <c r="JH7" s="12" t="str">
        <f t="shared" si="95"/>
        <v/>
      </c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15" t="str">
        <f t="shared" si="96"/>
        <v/>
      </c>
      <c r="JY7" s="15" t="str">
        <f t="shared" si="97"/>
        <v/>
      </c>
      <c r="JZ7" s="15" t="str">
        <f t="shared" si="98"/>
        <v/>
      </c>
      <c r="KA7" s="15" t="str">
        <f t="shared" si="99"/>
        <v/>
      </c>
      <c r="KB7" s="15" t="str">
        <f t="shared" si="100"/>
        <v/>
      </c>
      <c r="KC7" s="15" t="str">
        <f t="shared" si="101"/>
        <v/>
      </c>
      <c r="KD7" s="15" t="str">
        <f t="shared" si="102"/>
        <v/>
      </c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12" t="str">
        <f t="shared" si="103"/>
        <v/>
      </c>
      <c r="KU7" s="12" t="str">
        <f t="shared" si="104"/>
        <v/>
      </c>
      <c r="KV7" s="12" t="str">
        <f t="shared" si="105"/>
        <v/>
      </c>
      <c r="KW7" s="12" t="str">
        <f t="shared" si="106"/>
        <v/>
      </c>
      <c r="KX7" s="12" t="str">
        <f t="shared" si="107"/>
        <v/>
      </c>
      <c r="KY7" s="12" t="str">
        <f t="shared" si="108"/>
        <v/>
      </c>
      <c r="KZ7" s="12" t="str">
        <f t="shared" si="109"/>
        <v/>
      </c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15" t="str">
        <f t="shared" si="110"/>
        <v/>
      </c>
      <c r="LQ7" s="15" t="str">
        <f t="shared" si="111"/>
        <v/>
      </c>
      <c r="LR7" s="15" t="str">
        <f t="shared" si="112"/>
        <v/>
      </c>
      <c r="LS7" s="15" t="str">
        <f t="shared" si="113"/>
        <v/>
      </c>
      <c r="LT7" s="15" t="str">
        <f t="shared" si="114"/>
        <v/>
      </c>
      <c r="LU7" s="15" t="str">
        <f t="shared" si="115"/>
        <v/>
      </c>
      <c r="LV7" s="15" t="str">
        <f t="shared" si="116"/>
        <v/>
      </c>
      <c r="LW7" s="63">
        <f t="shared" si="126"/>
        <v>15.25</v>
      </c>
      <c r="LX7" s="63">
        <f t="shared" si="127"/>
        <v>9.1</v>
      </c>
      <c r="LY7" s="63">
        <f t="shared" si="128"/>
        <v>2.2000000000000002</v>
      </c>
      <c r="LZ7" s="63">
        <f t="shared" si="129"/>
        <v>14.6775</v>
      </c>
      <c r="MA7" s="63">
        <f t="shared" si="130"/>
        <v>0</v>
      </c>
      <c r="MB7" s="63">
        <f t="shared" si="131"/>
        <v>14.5</v>
      </c>
      <c r="MC7" s="63">
        <f t="shared" si="132"/>
        <v>9.1999999999999993</v>
      </c>
      <c r="MD7" s="63">
        <f t="shared" si="133"/>
        <v>9.8000000000000007</v>
      </c>
      <c r="ME7" s="63">
        <f t="shared" si="134"/>
        <v>14.469999999999999</v>
      </c>
      <c r="MF7" s="63">
        <f t="shared" si="135"/>
        <v>0</v>
      </c>
      <c r="MG7" s="63">
        <f t="shared" si="136"/>
        <v>15.25</v>
      </c>
      <c r="MH7" s="63">
        <f t="shared" si="137"/>
        <v>9.1</v>
      </c>
      <c r="MI7" s="63">
        <f t="shared" si="138"/>
        <v>8.9</v>
      </c>
      <c r="MJ7" s="63">
        <f t="shared" si="139"/>
        <v>14.414999999999999</v>
      </c>
      <c r="MK7" s="63">
        <f t="shared" si="140"/>
        <v>0.1</v>
      </c>
      <c r="ML7" s="74" t="s">
        <v>119</v>
      </c>
      <c r="MM7" s="12">
        <f t="shared" si="141"/>
        <v>9.8000000000000007</v>
      </c>
      <c r="MN7" s="12">
        <f t="shared" si="142"/>
        <v>41.227499999999999</v>
      </c>
      <c r="MO7" s="12">
        <f t="shared" si="143"/>
        <v>47.97</v>
      </c>
      <c r="MP7" s="12">
        <f t="shared" si="144"/>
        <v>89.197499999999991</v>
      </c>
      <c r="MQ7" s="12">
        <f t="shared" si="145"/>
        <v>8.9</v>
      </c>
      <c r="MR7" s="12">
        <f t="shared" si="146"/>
        <v>47.564999999999998</v>
      </c>
      <c r="MS7" s="12">
        <f t="shared" si="147"/>
        <v>136.76249999999999</v>
      </c>
    </row>
    <row r="8" spans="1:357" x14ac:dyDescent="0.2">
      <c r="A8" s="6" t="str">
        <f t="shared" si="0"/>
        <v/>
      </c>
      <c r="B8" s="9" t="s">
        <v>124</v>
      </c>
      <c r="C8" s="5" t="s">
        <v>4</v>
      </c>
      <c r="D8" s="27">
        <v>2001</v>
      </c>
      <c r="E8" s="16">
        <f t="shared" si="1"/>
        <v>208.77500000000001</v>
      </c>
      <c r="F8" s="4" t="str">
        <f t="shared" si="124"/>
        <v/>
      </c>
      <c r="G8" s="4" t="str">
        <f t="shared" si="2"/>
        <v/>
      </c>
      <c r="H8" s="4" t="str">
        <f t="shared" si="125"/>
        <v/>
      </c>
      <c r="I8" t="str">
        <f t="shared" si="3"/>
        <v/>
      </c>
      <c r="J8" s="15">
        <f t="shared" si="4"/>
        <v>89.63</v>
      </c>
      <c r="K8" s="15" t="str">
        <f t="shared" si="5"/>
        <v>2018 Nationals</v>
      </c>
      <c r="L8" s="15">
        <f t="shared" si="6"/>
        <v>25.689999999999998</v>
      </c>
      <c r="M8" s="15" t="str">
        <f t="shared" si="7"/>
        <v>2019 Elite Canada</v>
      </c>
      <c r="N8" s="15">
        <f t="shared" si="8"/>
        <v>44.935000000000002</v>
      </c>
      <c r="O8" s="15" t="str">
        <f t="shared" si="9"/>
        <v>2019 Elite Canada</v>
      </c>
      <c r="P8" s="15">
        <f t="shared" si="10"/>
        <v>48.52</v>
      </c>
      <c r="Q8" s="15" t="str">
        <f t="shared" si="11"/>
        <v>2018 Nationals</v>
      </c>
      <c r="R8" s="15" t="str">
        <f t="shared" si="12"/>
        <v/>
      </c>
      <c r="S8" s="25" t="str">
        <f t="shared" si="13"/>
        <v/>
      </c>
      <c r="T8" s="15" t="str">
        <f t="shared" si="14"/>
        <v/>
      </c>
      <c r="U8" s="36">
        <v>16.100000000000001</v>
      </c>
      <c r="V8" s="36">
        <v>9.1999999999999993</v>
      </c>
      <c r="W8" s="36">
        <v>2.7</v>
      </c>
      <c r="X8" s="36">
        <v>14.574999999999999</v>
      </c>
      <c r="Y8" s="36">
        <v>0</v>
      </c>
      <c r="Z8" s="36">
        <v>13.6</v>
      </c>
      <c r="AA8" s="36">
        <v>9.4499999999999993</v>
      </c>
      <c r="AB8" s="36">
        <v>10</v>
      </c>
      <c r="AC8" s="36">
        <v>14.005000000000001</v>
      </c>
      <c r="AD8" s="36">
        <v>0</v>
      </c>
      <c r="AE8" s="36">
        <v>15.2</v>
      </c>
      <c r="AF8" s="36">
        <v>9.5</v>
      </c>
      <c r="AG8" s="36">
        <v>10</v>
      </c>
      <c r="AH8" s="36">
        <v>13.82</v>
      </c>
      <c r="AI8" s="36">
        <v>0</v>
      </c>
      <c r="AJ8" s="74"/>
      <c r="AK8" s="12">
        <f t="shared" si="15"/>
        <v>10</v>
      </c>
      <c r="AL8" s="12">
        <f t="shared" si="16"/>
        <v>42.575000000000003</v>
      </c>
      <c r="AM8" s="12">
        <f t="shared" si="17"/>
        <v>47.055</v>
      </c>
      <c r="AN8" s="12">
        <f t="shared" si="18"/>
        <v>89.63</v>
      </c>
      <c r="AO8" s="12">
        <f t="shared" si="19"/>
        <v>10</v>
      </c>
      <c r="AP8" s="12">
        <f t="shared" si="20"/>
        <v>48.52</v>
      </c>
      <c r="AQ8" s="12">
        <f t="shared" si="21"/>
        <v>138.15</v>
      </c>
      <c r="AR8" s="69">
        <v>9.1</v>
      </c>
      <c r="AS8" s="69">
        <v>5.5</v>
      </c>
      <c r="AT8" s="69">
        <v>2.4</v>
      </c>
      <c r="AU8" s="69">
        <v>8.69</v>
      </c>
      <c r="AV8" s="69">
        <v>0</v>
      </c>
      <c r="AW8" s="69">
        <v>14.1</v>
      </c>
      <c r="AX8" s="69">
        <v>9.35</v>
      </c>
      <c r="AY8" s="69">
        <v>8.4</v>
      </c>
      <c r="AZ8" s="69">
        <v>14.185</v>
      </c>
      <c r="BA8" s="69">
        <v>1.1000000000000001</v>
      </c>
      <c r="BB8" s="69">
        <v>11.8</v>
      </c>
      <c r="BC8" s="69">
        <v>7.35</v>
      </c>
      <c r="BD8" s="69">
        <v>8.6999999999999993</v>
      </c>
      <c r="BE8" s="69">
        <v>11.28</v>
      </c>
      <c r="BF8" s="69">
        <v>0</v>
      </c>
      <c r="BG8" s="75"/>
      <c r="BH8" s="15">
        <f t="shared" si="22"/>
        <v>8.4</v>
      </c>
      <c r="BI8" s="15">
        <f t="shared" si="23"/>
        <v>25.689999999999998</v>
      </c>
      <c r="BJ8" s="15">
        <f t="shared" si="24"/>
        <v>44.935000000000002</v>
      </c>
      <c r="BK8" s="15">
        <f t="shared" si="25"/>
        <v>70.625</v>
      </c>
      <c r="BL8" s="15">
        <f t="shared" si="26"/>
        <v>8.6999999999999993</v>
      </c>
      <c r="BM8" s="15">
        <f t="shared" si="27"/>
        <v>39.129999999999995</v>
      </c>
      <c r="BN8" s="15">
        <f t="shared" si="28"/>
        <v>109.755</v>
      </c>
      <c r="BO8" s="24" t="str">
        <f t="shared" si="29"/>
        <v/>
      </c>
      <c r="BP8" s="24" t="str">
        <f t="shared" si="30"/>
        <v/>
      </c>
      <c r="BQ8" s="24" t="str">
        <f t="shared" si="31"/>
        <v/>
      </c>
      <c r="BR8" s="24" t="str">
        <f t="shared" si="32"/>
        <v/>
      </c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12" t="str">
        <f t="shared" si="33"/>
        <v/>
      </c>
      <c r="CI8" s="12" t="str">
        <f t="shared" si="34"/>
        <v/>
      </c>
      <c r="CJ8" s="12" t="str">
        <f t="shared" si="35"/>
        <v/>
      </c>
      <c r="CK8" s="12" t="str">
        <f t="shared" si="36"/>
        <v/>
      </c>
      <c r="CL8" s="12" t="str">
        <f t="shared" si="37"/>
        <v/>
      </c>
      <c r="CM8" s="12" t="str">
        <f t="shared" si="38"/>
        <v/>
      </c>
      <c r="CN8" s="12" t="str">
        <f t="shared" si="39"/>
        <v/>
      </c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15" t="str">
        <f t="shared" si="40"/>
        <v/>
      </c>
      <c r="DE8" s="15" t="str">
        <f t="shared" si="41"/>
        <v/>
      </c>
      <c r="DF8" s="15" t="str">
        <f t="shared" si="42"/>
        <v/>
      </c>
      <c r="DG8" s="15" t="str">
        <f t="shared" si="43"/>
        <v/>
      </c>
      <c r="DH8" s="15" t="str">
        <f t="shared" si="44"/>
        <v/>
      </c>
      <c r="DI8" s="15" t="str">
        <f t="shared" si="45"/>
        <v/>
      </c>
      <c r="DJ8" s="15" t="str">
        <f t="shared" si="46"/>
        <v/>
      </c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12" t="str">
        <f t="shared" si="47"/>
        <v/>
      </c>
      <c r="EA8" s="12" t="str">
        <f t="shared" si="48"/>
        <v/>
      </c>
      <c r="EB8" s="12" t="str">
        <f t="shared" si="49"/>
        <v/>
      </c>
      <c r="EC8" s="12" t="str">
        <f t="shared" si="50"/>
        <v/>
      </c>
      <c r="ED8" s="12" t="str">
        <f t="shared" si="51"/>
        <v/>
      </c>
      <c r="EE8" s="12" t="str">
        <f t="shared" si="52"/>
        <v/>
      </c>
      <c r="EF8" s="12" t="str">
        <f t="shared" si="53"/>
        <v/>
      </c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15" t="str">
        <f t="shared" si="54"/>
        <v/>
      </c>
      <c r="EW8" s="15" t="str">
        <f t="shared" si="55"/>
        <v/>
      </c>
      <c r="EX8" s="15" t="str">
        <f t="shared" si="56"/>
        <v/>
      </c>
      <c r="EY8" s="15" t="str">
        <f t="shared" si="57"/>
        <v/>
      </c>
      <c r="EZ8" s="15" t="str">
        <f t="shared" si="58"/>
        <v/>
      </c>
      <c r="FA8" s="15" t="str">
        <f t="shared" si="59"/>
        <v/>
      </c>
      <c r="FB8" s="15" t="str">
        <f t="shared" si="60"/>
        <v/>
      </c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12" t="str">
        <f t="shared" si="61"/>
        <v/>
      </c>
      <c r="FS8" s="12" t="str">
        <f t="shared" si="62"/>
        <v/>
      </c>
      <c r="FT8" s="12" t="str">
        <f t="shared" si="63"/>
        <v/>
      </c>
      <c r="FU8" s="12" t="str">
        <f t="shared" si="64"/>
        <v/>
      </c>
      <c r="FV8" s="12" t="str">
        <f t="shared" si="65"/>
        <v/>
      </c>
      <c r="FW8" s="12" t="str">
        <f t="shared" si="66"/>
        <v/>
      </c>
      <c r="FX8" s="12" t="str">
        <f t="shared" si="67"/>
        <v/>
      </c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15" t="str">
        <f t="shared" si="68"/>
        <v/>
      </c>
      <c r="GO8" s="15" t="str">
        <f t="shared" si="69"/>
        <v/>
      </c>
      <c r="GP8" s="15" t="str">
        <f t="shared" si="70"/>
        <v/>
      </c>
      <c r="GQ8" s="15" t="str">
        <f t="shared" si="71"/>
        <v/>
      </c>
      <c r="GR8" s="15" t="str">
        <f t="shared" si="72"/>
        <v/>
      </c>
      <c r="GS8" s="15" t="str">
        <f t="shared" si="73"/>
        <v/>
      </c>
      <c r="GT8" s="15" t="str">
        <f t="shared" si="74"/>
        <v/>
      </c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12" t="str">
        <f t="shared" si="75"/>
        <v/>
      </c>
      <c r="HK8" s="12" t="str">
        <f t="shared" si="76"/>
        <v/>
      </c>
      <c r="HL8" s="12" t="str">
        <f t="shared" si="77"/>
        <v/>
      </c>
      <c r="HM8" s="12" t="str">
        <f t="shared" si="78"/>
        <v/>
      </c>
      <c r="HN8" s="12" t="str">
        <f t="shared" si="79"/>
        <v/>
      </c>
      <c r="HO8" s="12" t="str">
        <f t="shared" si="80"/>
        <v/>
      </c>
      <c r="HP8" s="12" t="str">
        <f t="shared" si="81"/>
        <v/>
      </c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15" t="str">
        <f t="shared" si="82"/>
        <v/>
      </c>
      <c r="IG8" s="15" t="str">
        <f t="shared" si="83"/>
        <v/>
      </c>
      <c r="IH8" s="15" t="str">
        <f t="shared" si="84"/>
        <v/>
      </c>
      <c r="II8" s="15" t="str">
        <f t="shared" si="85"/>
        <v/>
      </c>
      <c r="IJ8" s="15" t="str">
        <f t="shared" si="86"/>
        <v/>
      </c>
      <c r="IK8" s="15" t="str">
        <f t="shared" si="87"/>
        <v/>
      </c>
      <c r="IL8" s="15" t="str">
        <f t="shared" si="88"/>
        <v/>
      </c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12" t="str">
        <f t="shared" si="89"/>
        <v/>
      </c>
      <c r="JC8" s="12" t="str">
        <f t="shared" si="90"/>
        <v/>
      </c>
      <c r="JD8" s="12" t="str">
        <f t="shared" si="91"/>
        <v/>
      </c>
      <c r="JE8" s="12" t="str">
        <f t="shared" si="92"/>
        <v/>
      </c>
      <c r="JF8" s="12" t="str">
        <f t="shared" si="93"/>
        <v/>
      </c>
      <c r="JG8" s="12" t="str">
        <f t="shared" si="94"/>
        <v/>
      </c>
      <c r="JH8" s="12" t="str">
        <f t="shared" si="95"/>
        <v/>
      </c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15" t="str">
        <f t="shared" si="96"/>
        <v/>
      </c>
      <c r="JY8" s="15" t="str">
        <f t="shared" si="97"/>
        <v/>
      </c>
      <c r="JZ8" s="15" t="str">
        <f t="shared" si="98"/>
        <v/>
      </c>
      <c r="KA8" s="15" t="str">
        <f t="shared" si="99"/>
        <v/>
      </c>
      <c r="KB8" s="15" t="str">
        <f t="shared" si="100"/>
        <v/>
      </c>
      <c r="KC8" s="15" t="str">
        <f t="shared" si="101"/>
        <v/>
      </c>
      <c r="KD8" s="15" t="str">
        <f t="shared" si="102"/>
        <v/>
      </c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12" t="str">
        <f t="shared" si="103"/>
        <v/>
      </c>
      <c r="KU8" s="12" t="str">
        <f t="shared" si="104"/>
        <v/>
      </c>
      <c r="KV8" s="12" t="str">
        <f t="shared" si="105"/>
        <v/>
      </c>
      <c r="KW8" s="12" t="str">
        <f t="shared" si="106"/>
        <v/>
      </c>
      <c r="KX8" s="12" t="str">
        <f t="shared" si="107"/>
        <v/>
      </c>
      <c r="KY8" s="12" t="str">
        <f t="shared" si="108"/>
        <v/>
      </c>
      <c r="KZ8" s="12" t="str">
        <f t="shared" si="109"/>
        <v/>
      </c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15" t="str">
        <f t="shared" si="110"/>
        <v/>
      </c>
      <c r="LQ8" s="15" t="str">
        <f t="shared" si="111"/>
        <v/>
      </c>
      <c r="LR8" s="15" t="str">
        <f t="shared" si="112"/>
        <v/>
      </c>
      <c r="LS8" s="15" t="str">
        <f t="shared" si="113"/>
        <v/>
      </c>
      <c r="LT8" s="15" t="str">
        <f t="shared" si="114"/>
        <v/>
      </c>
      <c r="LU8" s="15" t="str">
        <f t="shared" si="115"/>
        <v/>
      </c>
      <c r="LV8" s="15" t="str">
        <f t="shared" si="116"/>
        <v/>
      </c>
      <c r="LW8" s="63">
        <f t="shared" si="126"/>
        <v>12.600000000000001</v>
      </c>
      <c r="LX8" s="63">
        <f t="shared" si="127"/>
        <v>7.35</v>
      </c>
      <c r="LY8" s="63">
        <f t="shared" si="128"/>
        <v>2.5499999999999998</v>
      </c>
      <c r="LZ8" s="63">
        <f t="shared" si="129"/>
        <v>11.6325</v>
      </c>
      <c r="MA8" s="63">
        <f t="shared" si="130"/>
        <v>0</v>
      </c>
      <c r="MB8" s="63">
        <f t="shared" si="131"/>
        <v>13.85</v>
      </c>
      <c r="MC8" s="63">
        <f t="shared" si="132"/>
        <v>9.3999999999999986</v>
      </c>
      <c r="MD8" s="63">
        <f t="shared" si="133"/>
        <v>9.1999999999999993</v>
      </c>
      <c r="ME8" s="63">
        <f t="shared" si="134"/>
        <v>14.095000000000001</v>
      </c>
      <c r="MF8" s="63">
        <f t="shared" si="135"/>
        <v>0.55000000000000004</v>
      </c>
      <c r="MG8" s="63">
        <f t="shared" si="136"/>
        <v>13.5</v>
      </c>
      <c r="MH8" s="63">
        <f t="shared" si="137"/>
        <v>8.4250000000000007</v>
      </c>
      <c r="MI8" s="63">
        <f t="shared" si="138"/>
        <v>9.35</v>
      </c>
      <c r="MJ8" s="63">
        <f t="shared" si="139"/>
        <v>12.55</v>
      </c>
      <c r="MK8" s="63">
        <f t="shared" si="140"/>
        <v>0</v>
      </c>
      <c r="ML8" s="74" t="s">
        <v>119</v>
      </c>
      <c r="MM8" s="12">
        <f t="shared" si="141"/>
        <v>9.1999999999999993</v>
      </c>
      <c r="MN8" s="12">
        <f t="shared" si="142"/>
        <v>34.132500000000007</v>
      </c>
      <c r="MO8" s="12">
        <f t="shared" si="143"/>
        <v>45.995000000000005</v>
      </c>
      <c r="MP8" s="12">
        <f t="shared" si="144"/>
        <v>80.127500000000012</v>
      </c>
      <c r="MQ8" s="12">
        <f t="shared" si="145"/>
        <v>9.35</v>
      </c>
      <c r="MR8" s="12">
        <f t="shared" si="146"/>
        <v>43.825000000000003</v>
      </c>
      <c r="MS8" s="12">
        <f t="shared" si="147"/>
        <v>123.95250000000001</v>
      </c>
    </row>
    <row r="9" spans="1:357" x14ac:dyDescent="0.2">
      <c r="A9" s="6" t="str">
        <f t="shared" si="0"/>
        <v/>
      </c>
      <c r="B9" s="9" t="s">
        <v>98</v>
      </c>
      <c r="C9" s="5" t="s">
        <v>5</v>
      </c>
      <c r="D9" s="27">
        <v>2002</v>
      </c>
      <c r="E9" s="16">
        <f t="shared" si="1"/>
        <v>190.44</v>
      </c>
      <c r="F9" s="4" t="str">
        <f t="shared" si="124"/>
        <v/>
      </c>
      <c r="G9" s="4" t="str">
        <f t="shared" si="2"/>
        <v/>
      </c>
      <c r="H9" s="4" t="str">
        <f t="shared" si="125"/>
        <v/>
      </c>
      <c r="I9" t="str">
        <f t="shared" si="3"/>
        <v/>
      </c>
      <c r="J9" s="15">
        <f t="shared" si="4"/>
        <v>92.085000000000008</v>
      </c>
      <c r="K9" s="15" t="str">
        <f t="shared" si="5"/>
        <v>2018 Nationals</v>
      </c>
      <c r="L9" s="15" t="str">
        <f t="shared" si="6"/>
        <v/>
      </c>
      <c r="M9" s="15" t="str">
        <f t="shared" si="7"/>
        <v/>
      </c>
      <c r="N9" s="15" t="str">
        <f t="shared" si="8"/>
        <v/>
      </c>
      <c r="O9" s="15" t="str">
        <f t="shared" si="9"/>
        <v/>
      </c>
      <c r="P9" s="15">
        <f t="shared" si="10"/>
        <v>49.48</v>
      </c>
      <c r="Q9" s="15" t="str">
        <f t="shared" si="11"/>
        <v>2018 Nationals</v>
      </c>
      <c r="R9" s="15">
        <f t="shared" si="12"/>
        <v>48.875</v>
      </c>
      <c r="S9" s="25" t="str">
        <f t="shared" si="13"/>
        <v>(Vol 2)</v>
      </c>
      <c r="T9" s="15" t="str">
        <f t="shared" si="14"/>
        <v>2018 World Age Groups (Nov 18)</v>
      </c>
      <c r="U9" s="36">
        <v>16.899999999999999</v>
      </c>
      <c r="V9" s="36">
        <v>9.6</v>
      </c>
      <c r="W9" s="36">
        <v>3.1</v>
      </c>
      <c r="X9" s="36">
        <v>14.515000000000001</v>
      </c>
      <c r="Y9" s="36">
        <v>0</v>
      </c>
      <c r="Z9" s="36">
        <v>15.7</v>
      </c>
      <c r="AA9" s="36">
        <v>9.15</v>
      </c>
      <c r="AB9" s="36">
        <v>9.1</v>
      </c>
      <c r="AC9" s="36">
        <v>14.02</v>
      </c>
      <c r="AD9" s="36">
        <v>0</v>
      </c>
      <c r="AE9" s="36">
        <v>16.899999999999999</v>
      </c>
      <c r="AF9" s="36">
        <v>8.75</v>
      </c>
      <c r="AG9" s="36">
        <v>9.6999999999999993</v>
      </c>
      <c r="AH9" s="36">
        <v>14.13</v>
      </c>
      <c r="AI9" s="36">
        <v>0</v>
      </c>
      <c r="AJ9" s="74"/>
      <c r="AK9" s="12">
        <f t="shared" si="15"/>
        <v>9.1</v>
      </c>
      <c r="AL9" s="12">
        <f t="shared" si="16"/>
        <v>44.115000000000002</v>
      </c>
      <c r="AM9" s="12">
        <f t="shared" si="17"/>
        <v>47.97</v>
      </c>
      <c r="AN9" s="12">
        <f t="shared" si="18"/>
        <v>92.085000000000008</v>
      </c>
      <c r="AO9" s="12">
        <f t="shared" si="19"/>
        <v>9.6999999999999993</v>
      </c>
      <c r="AP9" s="12">
        <f t="shared" si="20"/>
        <v>49.48</v>
      </c>
      <c r="AQ9" s="12">
        <f t="shared" si="21"/>
        <v>141.565</v>
      </c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75"/>
      <c r="BH9" s="15" t="str">
        <f t="shared" si="22"/>
        <v/>
      </c>
      <c r="BI9" s="15" t="str">
        <f t="shared" si="23"/>
        <v/>
      </c>
      <c r="BJ9" s="15" t="str">
        <f t="shared" si="24"/>
        <v/>
      </c>
      <c r="BK9" s="15" t="str">
        <f t="shared" si="25"/>
        <v/>
      </c>
      <c r="BL9" s="15" t="str">
        <f t="shared" si="26"/>
        <v/>
      </c>
      <c r="BM9" s="15" t="str">
        <f t="shared" si="27"/>
        <v/>
      </c>
      <c r="BN9" s="15" t="str">
        <f t="shared" si="28"/>
        <v/>
      </c>
      <c r="BO9" s="24">
        <f t="shared" si="29"/>
        <v>40.994999999999997</v>
      </c>
      <c r="BP9" s="24">
        <f t="shared" si="30"/>
        <v>48.875</v>
      </c>
      <c r="BQ9" s="24" t="str">
        <f t="shared" si="31"/>
        <v/>
      </c>
      <c r="BR9" s="24" t="str">
        <f t="shared" si="32"/>
        <v/>
      </c>
      <c r="BS9" s="36">
        <v>17.100000000000001</v>
      </c>
      <c r="BT9" s="36">
        <v>0</v>
      </c>
      <c r="BU9" s="36">
        <v>9.15</v>
      </c>
      <c r="BV9" s="36">
        <v>14.744999999999999</v>
      </c>
      <c r="BW9" s="36">
        <v>0</v>
      </c>
      <c r="BX9" s="36">
        <v>15.9</v>
      </c>
      <c r="BY9" s="36">
        <v>9.6999999999999993</v>
      </c>
      <c r="BZ9" s="36">
        <v>8.9499999999999993</v>
      </c>
      <c r="CA9" s="36">
        <v>14.035</v>
      </c>
      <c r="CB9" s="36">
        <v>0</v>
      </c>
      <c r="CC9" s="36"/>
      <c r="CD9" s="36"/>
      <c r="CE9" s="36"/>
      <c r="CF9" s="36"/>
      <c r="CG9" s="36"/>
      <c r="CH9" s="12">
        <f t="shared" si="33"/>
        <v>8.9499999999999993</v>
      </c>
      <c r="CI9" s="12">
        <f t="shared" si="34"/>
        <v>40.994999999999997</v>
      </c>
      <c r="CJ9" s="12">
        <f t="shared" si="35"/>
        <v>48.584999999999994</v>
      </c>
      <c r="CK9" s="12">
        <f t="shared" si="36"/>
        <v>89.579999999999984</v>
      </c>
      <c r="CL9" s="12" t="str">
        <f t="shared" si="37"/>
        <v/>
      </c>
      <c r="CM9" s="12" t="str">
        <f t="shared" si="38"/>
        <v/>
      </c>
      <c r="CN9" s="12">
        <f t="shared" si="39"/>
        <v>89.579999999999984</v>
      </c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15" t="str">
        <f t="shared" si="40"/>
        <v/>
      </c>
      <c r="DE9" s="15" t="str">
        <f t="shared" si="41"/>
        <v/>
      </c>
      <c r="DF9" s="15" t="str">
        <f t="shared" si="42"/>
        <v/>
      </c>
      <c r="DG9" s="15" t="str">
        <f t="shared" si="43"/>
        <v/>
      </c>
      <c r="DH9" s="15" t="str">
        <f t="shared" si="44"/>
        <v/>
      </c>
      <c r="DI9" s="15" t="str">
        <f t="shared" si="45"/>
        <v/>
      </c>
      <c r="DJ9" s="15" t="str">
        <f t="shared" si="46"/>
        <v/>
      </c>
      <c r="DK9" s="36">
        <v>14.5</v>
      </c>
      <c r="DL9" s="36">
        <v>9.1</v>
      </c>
      <c r="DM9" s="36">
        <v>0</v>
      </c>
      <c r="DN9" s="36">
        <v>15.035</v>
      </c>
      <c r="DO9" s="36">
        <v>0</v>
      </c>
      <c r="DP9" s="36">
        <v>0</v>
      </c>
      <c r="DQ9" s="36">
        <v>0</v>
      </c>
      <c r="DR9" s="36">
        <v>0</v>
      </c>
      <c r="DS9" s="36">
        <v>0</v>
      </c>
      <c r="DT9" s="36">
        <v>0</v>
      </c>
      <c r="DU9" s="36"/>
      <c r="DV9" s="36"/>
      <c r="DW9" s="36"/>
      <c r="DX9" s="36"/>
      <c r="DY9" s="36"/>
      <c r="DZ9" s="12" t="str">
        <f t="shared" si="47"/>
        <v/>
      </c>
      <c r="EA9" s="12">
        <f t="shared" si="48"/>
        <v>38.635000000000005</v>
      </c>
      <c r="EB9" s="12" t="str">
        <f t="shared" si="49"/>
        <v/>
      </c>
      <c r="EC9" s="12">
        <f t="shared" si="50"/>
        <v>38.635000000000005</v>
      </c>
      <c r="ED9" s="12" t="str">
        <f t="shared" si="51"/>
        <v/>
      </c>
      <c r="EE9" s="12" t="str">
        <f t="shared" si="52"/>
        <v/>
      </c>
      <c r="EF9" s="12">
        <f t="shared" si="53"/>
        <v>38.635000000000005</v>
      </c>
      <c r="EG9" s="37">
        <v>16.5</v>
      </c>
      <c r="EH9" s="37">
        <v>9.3000000000000007</v>
      </c>
      <c r="EI9" s="37">
        <v>0</v>
      </c>
      <c r="EJ9" s="37">
        <v>14.47</v>
      </c>
      <c r="EK9" s="37">
        <v>0</v>
      </c>
      <c r="EL9" s="37">
        <v>15.6</v>
      </c>
      <c r="EM9" s="37">
        <v>9.6999999999999993</v>
      </c>
      <c r="EN9" s="37">
        <v>9.5</v>
      </c>
      <c r="EO9" s="37">
        <v>14.074999999999999</v>
      </c>
      <c r="EP9" s="37">
        <v>0</v>
      </c>
      <c r="EQ9" s="37"/>
      <c r="ER9" s="37"/>
      <c r="ES9" s="37"/>
      <c r="ET9" s="37"/>
      <c r="EU9" s="37"/>
      <c r="EV9" s="15">
        <f t="shared" si="54"/>
        <v>9.5</v>
      </c>
      <c r="EW9" s="15">
        <f t="shared" si="55"/>
        <v>40.270000000000003</v>
      </c>
      <c r="EX9" s="15">
        <f t="shared" si="56"/>
        <v>48.875</v>
      </c>
      <c r="EY9" s="15">
        <f t="shared" si="57"/>
        <v>89.14500000000001</v>
      </c>
      <c r="EZ9" s="15" t="str">
        <f t="shared" si="58"/>
        <v/>
      </c>
      <c r="FA9" s="15" t="str">
        <f t="shared" si="59"/>
        <v/>
      </c>
      <c r="FB9" s="15">
        <f t="shared" si="60"/>
        <v>89.14500000000001</v>
      </c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12" t="str">
        <f t="shared" si="61"/>
        <v/>
      </c>
      <c r="FS9" s="12" t="str">
        <f t="shared" si="62"/>
        <v/>
      </c>
      <c r="FT9" s="12" t="str">
        <f t="shared" si="63"/>
        <v/>
      </c>
      <c r="FU9" s="12" t="str">
        <f t="shared" si="64"/>
        <v/>
      </c>
      <c r="FV9" s="12" t="str">
        <f t="shared" si="65"/>
        <v/>
      </c>
      <c r="FW9" s="12" t="str">
        <f t="shared" si="66"/>
        <v/>
      </c>
      <c r="FX9" s="12" t="str">
        <f t="shared" si="67"/>
        <v/>
      </c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15" t="str">
        <f t="shared" si="68"/>
        <v/>
      </c>
      <c r="GO9" s="15" t="str">
        <f t="shared" si="69"/>
        <v/>
      </c>
      <c r="GP9" s="15" t="str">
        <f t="shared" si="70"/>
        <v/>
      </c>
      <c r="GQ9" s="15" t="str">
        <f t="shared" si="71"/>
        <v/>
      </c>
      <c r="GR9" s="15" t="str">
        <f t="shared" si="72"/>
        <v/>
      </c>
      <c r="GS9" s="15" t="str">
        <f t="shared" si="73"/>
        <v/>
      </c>
      <c r="GT9" s="15" t="str">
        <f t="shared" si="74"/>
        <v/>
      </c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12" t="str">
        <f t="shared" si="75"/>
        <v/>
      </c>
      <c r="HK9" s="12" t="str">
        <f t="shared" si="76"/>
        <v/>
      </c>
      <c r="HL9" s="12" t="str">
        <f t="shared" si="77"/>
        <v/>
      </c>
      <c r="HM9" s="12" t="str">
        <f t="shared" si="78"/>
        <v/>
      </c>
      <c r="HN9" s="12" t="str">
        <f t="shared" si="79"/>
        <v/>
      </c>
      <c r="HO9" s="12" t="str">
        <f t="shared" si="80"/>
        <v/>
      </c>
      <c r="HP9" s="12" t="str">
        <f t="shared" si="81"/>
        <v/>
      </c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15" t="str">
        <f t="shared" si="82"/>
        <v/>
      </c>
      <c r="IG9" s="15" t="str">
        <f t="shared" si="83"/>
        <v/>
      </c>
      <c r="IH9" s="15" t="str">
        <f t="shared" si="84"/>
        <v/>
      </c>
      <c r="II9" s="15" t="str">
        <f t="shared" si="85"/>
        <v/>
      </c>
      <c r="IJ9" s="15" t="str">
        <f t="shared" si="86"/>
        <v/>
      </c>
      <c r="IK9" s="15" t="str">
        <f t="shared" si="87"/>
        <v/>
      </c>
      <c r="IL9" s="15" t="str">
        <f t="shared" si="88"/>
        <v/>
      </c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12" t="str">
        <f t="shared" si="89"/>
        <v/>
      </c>
      <c r="JC9" s="12" t="str">
        <f t="shared" si="90"/>
        <v/>
      </c>
      <c r="JD9" s="12" t="str">
        <f t="shared" si="91"/>
        <v/>
      </c>
      <c r="JE9" s="12" t="str">
        <f t="shared" si="92"/>
        <v/>
      </c>
      <c r="JF9" s="12" t="str">
        <f t="shared" si="93"/>
        <v/>
      </c>
      <c r="JG9" s="12" t="str">
        <f t="shared" si="94"/>
        <v/>
      </c>
      <c r="JH9" s="12" t="str">
        <f t="shared" si="95"/>
        <v/>
      </c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15" t="str">
        <f t="shared" si="96"/>
        <v/>
      </c>
      <c r="JY9" s="15" t="str">
        <f t="shared" si="97"/>
        <v/>
      </c>
      <c r="JZ9" s="15" t="str">
        <f t="shared" si="98"/>
        <v/>
      </c>
      <c r="KA9" s="15" t="str">
        <f t="shared" si="99"/>
        <v/>
      </c>
      <c r="KB9" s="15" t="str">
        <f t="shared" si="100"/>
        <v/>
      </c>
      <c r="KC9" s="15" t="str">
        <f t="shared" si="101"/>
        <v/>
      </c>
      <c r="KD9" s="15" t="str">
        <f t="shared" si="102"/>
        <v/>
      </c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12" t="str">
        <f t="shared" si="103"/>
        <v/>
      </c>
      <c r="KU9" s="12" t="str">
        <f t="shared" si="104"/>
        <v/>
      </c>
      <c r="KV9" s="12" t="str">
        <f t="shared" si="105"/>
        <v/>
      </c>
      <c r="KW9" s="12" t="str">
        <f t="shared" si="106"/>
        <v/>
      </c>
      <c r="KX9" s="12" t="str">
        <f t="shared" si="107"/>
        <v/>
      </c>
      <c r="KY9" s="12" t="str">
        <f t="shared" si="108"/>
        <v/>
      </c>
      <c r="KZ9" s="12" t="str">
        <f t="shared" si="109"/>
        <v/>
      </c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15" t="str">
        <f t="shared" si="110"/>
        <v/>
      </c>
      <c r="LQ9" s="15" t="str">
        <f t="shared" si="111"/>
        <v/>
      </c>
      <c r="LR9" s="15" t="str">
        <f t="shared" si="112"/>
        <v/>
      </c>
      <c r="LS9" s="15" t="str">
        <f t="shared" si="113"/>
        <v/>
      </c>
      <c r="LT9" s="15" t="str">
        <f t="shared" si="114"/>
        <v/>
      </c>
      <c r="LU9" s="15" t="str">
        <f t="shared" si="115"/>
        <v/>
      </c>
      <c r="LV9" s="15" t="str">
        <f t="shared" si="116"/>
        <v/>
      </c>
      <c r="LW9" s="63">
        <f t="shared" si="126"/>
        <v>8.4499999999999993</v>
      </c>
      <c r="LX9" s="63">
        <f t="shared" si="127"/>
        <v>4.8</v>
      </c>
      <c r="LY9" s="63">
        <f t="shared" si="128"/>
        <v>1.55</v>
      </c>
      <c r="LZ9" s="63">
        <f t="shared" si="129"/>
        <v>7.2575000000000003</v>
      </c>
      <c r="MA9" s="63">
        <f t="shared" si="130"/>
        <v>0</v>
      </c>
      <c r="MB9" s="63">
        <f t="shared" si="131"/>
        <v>7.85</v>
      </c>
      <c r="MC9" s="63">
        <f t="shared" si="132"/>
        <v>4.5750000000000002</v>
      </c>
      <c r="MD9" s="63">
        <f t="shared" si="133"/>
        <v>4.55</v>
      </c>
      <c r="ME9" s="63">
        <f t="shared" si="134"/>
        <v>7.01</v>
      </c>
      <c r="MF9" s="63">
        <f t="shared" si="135"/>
        <v>0</v>
      </c>
      <c r="MG9" s="63">
        <f t="shared" si="136"/>
        <v>8.4499999999999993</v>
      </c>
      <c r="MH9" s="63">
        <f t="shared" si="137"/>
        <v>4.375</v>
      </c>
      <c r="MI9" s="63">
        <f t="shared" si="138"/>
        <v>4.8499999999999996</v>
      </c>
      <c r="MJ9" s="63">
        <f t="shared" si="139"/>
        <v>7.0650000000000004</v>
      </c>
      <c r="MK9" s="63">
        <f t="shared" si="140"/>
        <v>0</v>
      </c>
      <c r="ML9" s="74" t="s">
        <v>119</v>
      </c>
      <c r="MM9" s="12">
        <f t="shared" si="141"/>
        <v>4.55</v>
      </c>
      <c r="MN9" s="12">
        <f t="shared" si="142"/>
        <v>22.057500000000001</v>
      </c>
      <c r="MO9" s="12">
        <f t="shared" si="143"/>
        <v>23.984999999999999</v>
      </c>
      <c r="MP9" s="12">
        <f t="shared" si="144"/>
        <v>46.042500000000004</v>
      </c>
      <c r="MQ9" s="12">
        <f t="shared" si="145"/>
        <v>4.8499999999999996</v>
      </c>
      <c r="MR9" s="12">
        <f t="shared" si="146"/>
        <v>24.74</v>
      </c>
      <c r="MS9" s="12">
        <f t="shared" si="147"/>
        <v>70.782499999999999</v>
      </c>
    </row>
    <row r="10" spans="1:357" x14ac:dyDescent="0.2">
      <c r="A10" s="6" t="str">
        <f t="shared" si="0"/>
        <v/>
      </c>
      <c r="B10" s="9" t="s">
        <v>100</v>
      </c>
      <c r="C10" s="5" t="s">
        <v>6</v>
      </c>
      <c r="D10" s="27">
        <v>2002</v>
      </c>
      <c r="E10" s="16">
        <f t="shared" si="1"/>
        <v>183.27500000000001</v>
      </c>
      <c r="F10" s="4" t="str">
        <f t="shared" si="124"/>
        <v/>
      </c>
      <c r="G10" s="4" t="str">
        <f t="shared" si="2"/>
        <v/>
      </c>
      <c r="H10" s="4" t="str">
        <f t="shared" si="125"/>
        <v/>
      </c>
      <c r="I10" t="str">
        <f t="shared" si="3"/>
        <v/>
      </c>
      <c r="J10" s="15">
        <f t="shared" si="4"/>
        <v>86.56</v>
      </c>
      <c r="K10" s="15" t="str">
        <f t="shared" si="5"/>
        <v>2018 Nationals</v>
      </c>
      <c r="L10" s="15" t="str">
        <f t="shared" si="6"/>
        <v/>
      </c>
      <c r="M10" s="15" t="str">
        <f t="shared" si="7"/>
        <v/>
      </c>
      <c r="N10" s="15" t="str">
        <f t="shared" si="8"/>
        <v/>
      </c>
      <c r="O10" s="15" t="str">
        <f t="shared" si="9"/>
        <v/>
      </c>
      <c r="P10" s="15">
        <f t="shared" si="10"/>
        <v>48.81</v>
      </c>
      <c r="Q10" s="15" t="str">
        <f t="shared" si="11"/>
        <v>2018 Nationals</v>
      </c>
      <c r="R10" s="15">
        <f t="shared" si="12"/>
        <v>47.905000000000001</v>
      </c>
      <c r="S10" s="25" t="str">
        <f t="shared" si="13"/>
        <v>(Vol 2)</v>
      </c>
      <c r="T10" s="15" t="str">
        <f t="shared" si="14"/>
        <v>2018 Junior Pan Am Championships (June 23)</v>
      </c>
      <c r="U10" s="63">
        <v>15</v>
      </c>
      <c r="V10" s="63">
        <v>8.6999999999999993</v>
      </c>
      <c r="W10" s="63">
        <v>2.4</v>
      </c>
      <c r="X10" s="63">
        <v>14.925000000000001</v>
      </c>
      <c r="Y10" s="63">
        <v>0</v>
      </c>
      <c r="Z10" s="63">
        <v>15.8</v>
      </c>
      <c r="AA10" s="63">
        <v>9.1</v>
      </c>
      <c r="AB10" s="63">
        <v>7.6</v>
      </c>
      <c r="AC10" s="63">
        <v>15.035</v>
      </c>
      <c r="AD10" s="63">
        <v>2</v>
      </c>
      <c r="AE10" s="63">
        <v>16</v>
      </c>
      <c r="AF10" s="63">
        <v>9.15</v>
      </c>
      <c r="AG10" s="63">
        <v>8</v>
      </c>
      <c r="AH10" s="63">
        <v>15.66</v>
      </c>
      <c r="AI10" s="63">
        <v>0</v>
      </c>
      <c r="AJ10" s="74"/>
      <c r="AK10" s="12">
        <f t="shared" si="15"/>
        <v>7.6</v>
      </c>
      <c r="AL10" s="12">
        <f t="shared" si="16"/>
        <v>41.024999999999999</v>
      </c>
      <c r="AM10" s="12">
        <f t="shared" si="17"/>
        <v>45.534999999999997</v>
      </c>
      <c r="AN10" s="12">
        <f t="shared" si="18"/>
        <v>86.56</v>
      </c>
      <c r="AO10" s="12">
        <f t="shared" si="19"/>
        <v>8</v>
      </c>
      <c r="AP10" s="12">
        <f t="shared" si="20"/>
        <v>48.81</v>
      </c>
      <c r="AQ10" s="12">
        <f t="shared" si="21"/>
        <v>135.37</v>
      </c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75"/>
      <c r="BH10" s="15" t="str">
        <f t="shared" si="22"/>
        <v/>
      </c>
      <c r="BI10" s="15" t="str">
        <f t="shared" si="23"/>
        <v/>
      </c>
      <c r="BJ10" s="15" t="str">
        <f t="shared" si="24"/>
        <v/>
      </c>
      <c r="BK10" s="15" t="str">
        <f t="shared" si="25"/>
        <v/>
      </c>
      <c r="BL10" s="15" t="str">
        <f t="shared" si="26"/>
        <v/>
      </c>
      <c r="BM10" s="15" t="str">
        <f t="shared" si="27"/>
        <v/>
      </c>
      <c r="BN10" s="15" t="str">
        <f t="shared" si="28"/>
        <v/>
      </c>
      <c r="BO10" s="24">
        <f t="shared" si="29"/>
        <v>38.069999999999993</v>
      </c>
      <c r="BP10" s="24">
        <f t="shared" si="30"/>
        <v>47.905000000000001</v>
      </c>
      <c r="BQ10" s="24" t="str">
        <f t="shared" si="31"/>
        <v/>
      </c>
      <c r="BR10" s="24" t="str">
        <f t="shared" si="32"/>
        <v/>
      </c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12" t="str">
        <f t="shared" si="33"/>
        <v/>
      </c>
      <c r="CI10" s="12" t="str">
        <f t="shared" si="34"/>
        <v/>
      </c>
      <c r="CJ10" s="12" t="str">
        <f t="shared" si="35"/>
        <v/>
      </c>
      <c r="CK10" s="12" t="str">
        <f t="shared" si="36"/>
        <v/>
      </c>
      <c r="CL10" s="12" t="str">
        <f t="shared" si="37"/>
        <v/>
      </c>
      <c r="CM10" s="12" t="str">
        <f t="shared" si="38"/>
        <v/>
      </c>
      <c r="CN10" s="12" t="str">
        <f t="shared" si="39"/>
        <v/>
      </c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15" t="str">
        <f t="shared" si="40"/>
        <v/>
      </c>
      <c r="DE10" s="15" t="str">
        <f t="shared" si="41"/>
        <v/>
      </c>
      <c r="DF10" s="15" t="str">
        <f t="shared" si="42"/>
        <v/>
      </c>
      <c r="DG10" s="15" t="str">
        <f t="shared" si="43"/>
        <v/>
      </c>
      <c r="DH10" s="15" t="str">
        <f t="shared" si="44"/>
        <v/>
      </c>
      <c r="DI10" s="15" t="str">
        <f t="shared" si="45"/>
        <v/>
      </c>
      <c r="DJ10" s="15" t="str">
        <f t="shared" si="46"/>
        <v/>
      </c>
      <c r="DK10" s="36">
        <v>17.7</v>
      </c>
      <c r="DL10" s="36">
        <v>9.1</v>
      </c>
      <c r="DM10" s="36">
        <v>0</v>
      </c>
      <c r="DN10" s="36">
        <v>15.27</v>
      </c>
      <c r="DO10" s="36">
        <v>4</v>
      </c>
      <c r="DP10" s="36">
        <v>18.100000000000001</v>
      </c>
      <c r="DQ10" s="36">
        <v>9</v>
      </c>
      <c r="DR10" s="36">
        <v>5.4</v>
      </c>
      <c r="DS10" s="36">
        <v>15.404999999999999</v>
      </c>
      <c r="DT10" s="36">
        <v>0</v>
      </c>
      <c r="DU10" s="36"/>
      <c r="DV10" s="36"/>
      <c r="DW10" s="36"/>
      <c r="DX10" s="36"/>
      <c r="DY10" s="36"/>
      <c r="DZ10" s="12">
        <f t="shared" si="47"/>
        <v>5.4</v>
      </c>
      <c r="EA10" s="12">
        <f t="shared" si="48"/>
        <v>38.069999999999993</v>
      </c>
      <c r="EB10" s="12">
        <f t="shared" si="49"/>
        <v>47.905000000000001</v>
      </c>
      <c r="EC10" s="12">
        <f t="shared" si="50"/>
        <v>85.974999999999994</v>
      </c>
      <c r="ED10" s="12" t="str">
        <f t="shared" si="51"/>
        <v/>
      </c>
      <c r="EE10" s="12" t="str">
        <f t="shared" si="52"/>
        <v/>
      </c>
      <c r="EF10" s="12">
        <f t="shared" si="53"/>
        <v>85.974999999999994</v>
      </c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15" t="str">
        <f t="shared" si="54"/>
        <v/>
      </c>
      <c r="EW10" s="15" t="str">
        <f t="shared" si="55"/>
        <v/>
      </c>
      <c r="EX10" s="15" t="str">
        <f t="shared" si="56"/>
        <v/>
      </c>
      <c r="EY10" s="15" t="str">
        <f t="shared" si="57"/>
        <v/>
      </c>
      <c r="EZ10" s="15" t="str">
        <f t="shared" si="58"/>
        <v/>
      </c>
      <c r="FA10" s="15" t="str">
        <f t="shared" si="59"/>
        <v/>
      </c>
      <c r="FB10" s="15" t="str">
        <f t="shared" si="60"/>
        <v/>
      </c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12" t="str">
        <f t="shared" si="61"/>
        <v/>
      </c>
      <c r="FS10" s="12" t="str">
        <f t="shared" si="62"/>
        <v/>
      </c>
      <c r="FT10" s="12" t="str">
        <f t="shared" si="63"/>
        <v/>
      </c>
      <c r="FU10" s="12" t="str">
        <f t="shared" si="64"/>
        <v/>
      </c>
      <c r="FV10" s="12" t="str">
        <f t="shared" si="65"/>
        <v/>
      </c>
      <c r="FW10" s="12" t="str">
        <f t="shared" si="66"/>
        <v/>
      </c>
      <c r="FX10" s="12" t="str">
        <f t="shared" si="67"/>
        <v/>
      </c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15" t="str">
        <f t="shared" si="68"/>
        <v/>
      </c>
      <c r="GO10" s="15" t="str">
        <f t="shared" si="69"/>
        <v/>
      </c>
      <c r="GP10" s="15" t="str">
        <f t="shared" si="70"/>
        <v/>
      </c>
      <c r="GQ10" s="15" t="str">
        <f t="shared" si="71"/>
        <v/>
      </c>
      <c r="GR10" s="15" t="str">
        <f t="shared" si="72"/>
        <v/>
      </c>
      <c r="GS10" s="15" t="str">
        <f t="shared" si="73"/>
        <v/>
      </c>
      <c r="GT10" s="15" t="str">
        <f t="shared" si="74"/>
        <v/>
      </c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12" t="str">
        <f t="shared" si="75"/>
        <v/>
      </c>
      <c r="HK10" s="12" t="str">
        <f t="shared" si="76"/>
        <v/>
      </c>
      <c r="HL10" s="12" t="str">
        <f t="shared" si="77"/>
        <v/>
      </c>
      <c r="HM10" s="12" t="str">
        <f t="shared" si="78"/>
        <v/>
      </c>
      <c r="HN10" s="12" t="str">
        <f t="shared" si="79"/>
        <v/>
      </c>
      <c r="HO10" s="12" t="str">
        <f t="shared" si="80"/>
        <v/>
      </c>
      <c r="HP10" s="12" t="str">
        <f t="shared" si="81"/>
        <v/>
      </c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15" t="str">
        <f t="shared" si="82"/>
        <v/>
      </c>
      <c r="IG10" s="15" t="str">
        <f t="shared" si="83"/>
        <v/>
      </c>
      <c r="IH10" s="15" t="str">
        <f t="shared" si="84"/>
        <v/>
      </c>
      <c r="II10" s="15" t="str">
        <f t="shared" si="85"/>
        <v/>
      </c>
      <c r="IJ10" s="15" t="str">
        <f t="shared" si="86"/>
        <v/>
      </c>
      <c r="IK10" s="15" t="str">
        <f t="shared" si="87"/>
        <v/>
      </c>
      <c r="IL10" s="15" t="str">
        <f t="shared" si="88"/>
        <v/>
      </c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12" t="str">
        <f t="shared" si="89"/>
        <v/>
      </c>
      <c r="JC10" s="12" t="str">
        <f t="shared" si="90"/>
        <v/>
      </c>
      <c r="JD10" s="12" t="str">
        <f t="shared" si="91"/>
        <v/>
      </c>
      <c r="JE10" s="12" t="str">
        <f t="shared" si="92"/>
        <v/>
      </c>
      <c r="JF10" s="12" t="str">
        <f t="shared" si="93"/>
        <v/>
      </c>
      <c r="JG10" s="12" t="str">
        <f t="shared" si="94"/>
        <v/>
      </c>
      <c r="JH10" s="12" t="str">
        <f t="shared" si="95"/>
        <v/>
      </c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15" t="str">
        <f t="shared" si="96"/>
        <v/>
      </c>
      <c r="JY10" s="15" t="str">
        <f t="shared" si="97"/>
        <v/>
      </c>
      <c r="JZ10" s="15" t="str">
        <f t="shared" si="98"/>
        <v/>
      </c>
      <c r="KA10" s="15" t="str">
        <f t="shared" si="99"/>
        <v/>
      </c>
      <c r="KB10" s="15" t="str">
        <f t="shared" si="100"/>
        <v/>
      </c>
      <c r="KC10" s="15" t="str">
        <f t="shared" si="101"/>
        <v/>
      </c>
      <c r="KD10" s="15" t="str">
        <f t="shared" si="102"/>
        <v/>
      </c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12" t="str">
        <f t="shared" si="103"/>
        <v/>
      </c>
      <c r="KU10" s="12" t="str">
        <f t="shared" si="104"/>
        <v/>
      </c>
      <c r="KV10" s="12" t="str">
        <f t="shared" si="105"/>
        <v/>
      </c>
      <c r="KW10" s="12" t="str">
        <f t="shared" si="106"/>
        <v/>
      </c>
      <c r="KX10" s="12" t="str">
        <f t="shared" si="107"/>
        <v/>
      </c>
      <c r="KY10" s="12" t="str">
        <f t="shared" si="108"/>
        <v/>
      </c>
      <c r="KZ10" s="12" t="str">
        <f t="shared" si="109"/>
        <v/>
      </c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15" t="str">
        <f t="shared" si="110"/>
        <v/>
      </c>
      <c r="LQ10" s="15" t="str">
        <f t="shared" si="111"/>
        <v/>
      </c>
      <c r="LR10" s="15" t="str">
        <f t="shared" si="112"/>
        <v/>
      </c>
      <c r="LS10" s="15" t="str">
        <f t="shared" si="113"/>
        <v/>
      </c>
      <c r="LT10" s="15" t="str">
        <f t="shared" si="114"/>
        <v/>
      </c>
      <c r="LU10" s="15" t="str">
        <f t="shared" si="115"/>
        <v/>
      </c>
      <c r="LV10" s="15" t="str">
        <f t="shared" si="116"/>
        <v/>
      </c>
      <c r="LW10" s="63">
        <f t="shared" si="126"/>
        <v>7.5</v>
      </c>
      <c r="LX10" s="63">
        <f t="shared" si="127"/>
        <v>4.3499999999999996</v>
      </c>
      <c r="LY10" s="63">
        <f t="shared" si="128"/>
        <v>1.2</v>
      </c>
      <c r="LZ10" s="63">
        <f t="shared" si="129"/>
        <v>7.4625000000000004</v>
      </c>
      <c r="MA10" s="63">
        <f t="shared" si="130"/>
        <v>0</v>
      </c>
      <c r="MB10" s="63">
        <f t="shared" si="131"/>
        <v>7.9</v>
      </c>
      <c r="MC10" s="63">
        <f t="shared" si="132"/>
        <v>4.55</v>
      </c>
      <c r="MD10" s="63">
        <f t="shared" si="133"/>
        <v>3.8</v>
      </c>
      <c r="ME10" s="63">
        <f t="shared" si="134"/>
        <v>7.5175000000000001</v>
      </c>
      <c r="MF10" s="63">
        <f t="shared" si="135"/>
        <v>1</v>
      </c>
      <c r="MG10" s="63">
        <f t="shared" si="136"/>
        <v>8</v>
      </c>
      <c r="MH10" s="63">
        <f t="shared" si="137"/>
        <v>4.5750000000000002</v>
      </c>
      <c r="MI10" s="63">
        <f t="shared" si="138"/>
        <v>4</v>
      </c>
      <c r="MJ10" s="63">
        <f t="shared" si="139"/>
        <v>7.83</v>
      </c>
      <c r="MK10" s="63">
        <f t="shared" si="140"/>
        <v>0</v>
      </c>
      <c r="ML10" s="74" t="s">
        <v>119</v>
      </c>
      <c r="MM10" s="12">
        <f t="shared" si="141"/>
        <v>3.8</v>
      </c>
      <c r="MN10" s="12">
        <f t="shared" si="142"/>
        <v>20.512499999999999</v>
      </c>
      <c r="MO10" s="12">
        <f t="shared" si="143"/>
        <v>22.767499999999998</v>
      </c>
      <c r="MP10" s="12">
        <f t="shared" si="144"/>
        <v>43.28</v>
      </c>
      <c r="MQ10" s="12">
        <f t="shared" si="145"/>
        <v>4</v>
      </c>
      <c r="MR10" s="12">
        <f t="shared" si="146"/>
        <v>24.405000000000001</v>
      </c>
      <c r="MS10" s="12">
        <f t="shared" si="147"/>
        <v>67.685000000000002</v>
      </c>
    </row>
    <row r="11" spans="1:357" x14ac:dyDescent="0.2">
      <c r="A11" s="6" t="str">
        <f t="shared" si="0"/>
        <v/>
      </c>
      <c r="B11" s="9" t="s">
        <v>101</v>
      </c>
      <c r="C11" s="5" t="s">
        <v>3</v>
      </c>
      <c r="D11" s="27">
        <v>2001</v>
      </c>
      <c r="E11" s="16">
        <f t="shared" si="1"/>
        <v>180.53</v>
      </c>
      <c r="F11" s="4" t="str">
        <f t="shared" si="124"/>
        <v/>
      </c>
      <c r="G11" s="4" t="str">
        <f t="shared" si="2"/>
        <v/>
      </c>
      <c r="H11" s="4" t="str">
        <f t="shared" si="125"/>
        <v/>
      </c>
      <c r="I11" t="str">
        <f t="shared" si="3"/>
        <v/>
      </c>
      <c r="J11" s="15">
        <f t="shared" si="4"/>
        <v>73.435000000000002</v>
      </c>
      <c r="K11" s="15" t="str">
        <f t="shared" si="5"/>
        <v>2019 Elite Canada</v>
      </c>
      <c r="L11" s="15">
        <f t="shared" si="6"/>
        <v>16.254999999999999</v>
      </c>
      <c r="M11" s="15" t="str">
        <f t="shared" si="7"/>
        <v>2018 Nationals</v>
      </c>
      <c r="N11" s="15">
        <f t="shared" si="8"/>
        <v>42.43</v>
      </c>
      <c r="O11" s="15" t="str">
        <f t="shared" si="9"/>
        <v>2018 Nationals</v>
      </c>
      <c r="P11" s="15">
        <f t="shared" si="10"/>
        <v>48.41</v>
      </c>
      <c r="Q11" s="15" t="str">
        <f t="shared" si="11"/>
        <v>2018 Nationals</v>
      </c>
      <c r="R11" s="15" t="str">
        <f t="shared" si="12"/>
        <v/>
      </c>
      <c r="S11" s="25" t="str">
        <f t="shared" si="13"/>
        <v/>
      </c>
      <c r="T11" s="15" t="str">
        <f t="shared" si="14"/>
        <v/>
      </c>
      <c r="U11" s="36">
        <v>6.2</v>
      </c>
      <c r="V11" s="36">
        <v>3.55</v>
      </c>
      <c r="W11" s="36">
        <v>0.6</v>
      </c>
      <c r="X11" s="36">
        <v>5.9050000000000002</v>
      </c>
      <c r="Y11" s="36">
        <v>0</v>
      </c>
      <c r="Z11" s="36">
        <v>10.199999999999999</v>
      </c>
      <c r="AA11" s="36">
        <v>8.65</v>
      </c>
      <c r="AB11" s="36">
        <v>9.9</v>
      </c>
      <c r="AC11" s="36">
        <v>13.68</v>
      </c>
      <c r="AD11" s="36">
        <v>0</v>
      </c>
      <c r="AE11" s="36">
        <v>14.8</v>
      </c>
      <c r="AF11" s="36">
        <v>9.15</v>
      </c>
      <c r="AG11" s="36">
        <v>10.3</v>
      </c>
      <c r="AH11" s="36">
        <v>14.16</v>
      </c>
      <c r="AI11" s="36">
        <v>0</v>
      </c>
      <c r="AJ11" s="74"/>
      <c r="AK11" s="12">
        <f t="shared" si="15"/>
        <v>9.9</v>
      </c>
      <c r="AL11" s="12">
        <f t="shared" si="16"/>
        <v>16.254999999999999</v>
      </c>
      <c r="AM11" s="12">
        <f t="shared" si="17"/>
        <v>42.43</v>
      </c>
      <c r="AN11" s="12">
        <f t="shared" si="18"/>
        <v>58.685000000000002</v>
      </c>
      <c r="AO11" s="12">
        <f t="shared" si="19"/>
        <v>10.3</v>
      </c>
      <c r="AP11" s="12">
        <f t="shared" si="20"/>
        <v>48.41</v>
      </c>
      <c r="AQ11" s="12">
        <f t="shared" si="21"/>
        <v>107.095</v>
      </c>
      <c r="AR11" s="69">
        <v>16.3</v>
      </c>
      <c r="AS11" s="69">
        <v>9.75</v>
      </c>
      <c r="AT11" s="69">
        <v>3.9</v>
      </c>
      <c r="AU11" s="69">
        <v>14.385</v>
      </c>
      <c r="AV11" s="69">
        <v>0</v>
      </c>
      <c r="AW11" s="69">
        <v>9</v>
      </c>
      <c r="AX11" s="69">
        <v>5.25</v>
      </c>
      <c r="AY11" s="69">
        <v>6.4</v>
      </c>
      <c r="AZ11" s="69">
        <v>8.4499999999999993</v>
      </c>
      <c r="BA11" s="69">
        <v>0</v>
      </c>
      <c r="BB11" s="69">
        <v>15.1</v>
      </c>
      <c r="BC11" s="69">
        <v>9.1</v>
      </c>
      <c r="BD11" s="69">
        <v>10.3</v>
      </c>
      <c r="BE11" s="69">
        <v>13.84</v>
      </c>
      <c r="BF11" s="69">
        <v>0</v>
      </c>
      <c r="BG11" s="75"/>
      <c r="BH11" s="15">
        <f t="shared" si="22"/>
        <v>6.4</v>
      </c>
      <c r="BI11" s="15">
        <f t="shared" si="23"/>
        <v>44.335000000000001</v>
      </c>
      <c r="BJ11" s="15">
        <f t="shared" si="24"/>
        <v>29.099999999999998</v>
      </c>
      <c r="BK11" s="15">
        <f t="shared" si="25"/>
        <v>73.435000000000002</v>
      </c>
      <c r="BL11" s="15">
        <f t="shared" si="26"/>
        <v>10.3</v>
      </c>
      <c r="BM11" s="15">
        <f t="shared" si="27"/>
        <v>48.34</v>
      </c>
      <c r="BN11" s="15">
        <f t="shared" si="28"/>
        <v>121.77500000000001</v>
      </c>
      <c r="BO11" s="24" t="str">
        <f t="shared" si="29"/>
        <v/>
      </c>
      <c r="BP11" s="24" t="str">
        <f t="shared" si="30"/>
        <v/>
      </c>
      <c r="BQ11" s="24" t="str">
        <f t="shared" si="31"/>
        <v/>
      </c>
      <c r="BR11" s="24" t="str">
        <f t="shared" si="32"/>
        <v/>
      </c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12" t="str">
        <f t="shared" si="33"/>
        <v/>
      </c>
      <c r="CI11" s="12" t="str">
        <f t="shared" si="34"/>
        <v/>
      </c>
      <c r="CJ11" s="12" t="str">
        <f t="shared" si="35"/>
        <v/>
      </c>
      <c r="CK11" s="12" t="str">
        <f t="shared" si="36"/>
        <v/>
      </c>
      <c r="CL11" s="12" t="str">
        <f t="shared" si="37"/>
        <v/>
      </c>
      <c r="CM11" s="12" t="str">
        <f t="shared" si="38"/>
        <v/>
      </c>
      <c r="CN11" s="12" t="str">
        <f t="shared" si="39"/>
        <v/>
      </c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15" t="str">
        <f t="shared" si="40"/>
        <v/>
      </c>
      <c r="DE11" s="15" t="str">
        <f t="shared" si="41"/>
        <v/>
      </c>
      <c r="DF11" s="15" t="str">
        <f t="shared" si="42"/>
        <v/>
      </c>
      <c r="DG11" s="15" t="str">
        <f t="shared" si="43"/>
        <v/>
      </c>
      <c r="DH11" s="15" t="str">
        <f t="shared" si="44"/>
        <v/>
      </c>
      <c r="DI11" s="15" t="str">
        <f t="shared" si="45"/>
        <v/>
      </c>
      <c r="DJ11" s="15" t="str">
        <f t="shared" si="46"/>
        <v/>
      </c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12" t="str">
        <f t="shared" si="47"/>
        <v/>
      </c>
      <c r="EA11" s="12" t="str">
        <f t="shared" si="48"/>
        <v/>
      </c>
      <c r="EB11" s="12" t="str">
        <f t="shared" si="49"/>
        <v/>
      </c>
      <c r="EC11" s="12" t="str">
        <f t="shared" si="50"/>
        <v/>
      </c>
      <c r="ED11" s="12" t="str">
        <f t="shared" si="51"/>
        <v/>
      </c>
      <c r="EE11" s="12" t="str">
        <f t="shared" si="52"/>
        <v/>
      </c>
      <c r="EF11" s="12" t="str">
        <f t="shared" si="53"/>
        <v/>
      </c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15" t="str">
        <f t="shared" si="54"/>
        <v/>
      </c>
      <c r="EW11" s="15" t="str">
        <f t="shared" si="55"/>
        <v/>
      </c>
      <c r="EX11" s="15" t="str">
        <f t="shared" si="56"/>
        <v/>
      </c>
      <c r="EY11" s="15" t="str">
        <f t="shared" si="57"/>
        <v/>
      </c>
      <c r="EZ11" s="15" t="str">
        <f t="shared" si="58"/>
        <v/>
      </c>
      <c r="FA11" s="15" t="str">
        <f t="shared" si="59"/>
        <v/>
      </c>
      <c r="FB11" s="15" t="str">
        <f t="shared" si="60"/>
        <v/>
      </c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12" t="str">
        <f t="shared" si="61"/>
        <v/>
      </c>
      <c r="FS11" s="12" t="str">
        <f t="shared" si="62"/>
        <v/>
      </c>
      <c r="FT11" s="12" t="str">
        <f t="shared" si="63"/>
        <v/>
      </c>
      <c r="FU11" s="12" t="str">
        <f t="shared" si="64"/>
        <v/>
      </c>
      <c r="FV11" s="12" t="str">
        <f t="shared" si="65"/>
        <v/>
      </c>
      <c r="FW11" s="12" t="str">
        <f t="shared" si="66"/>
        <v/>
      </c>
      <c r="FX11" s="12" t="str">
        <f t="shared" si="67"/>
        <v/>
      </c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15" t="str">
        <f t="shared" si="68"/>
        <v/>
      </c>
      <c r="GO11" s="15" t="str">
        <f t="shared" si="69"/>
        <v/>
      </c>
      <c r="GP11" s="15" t="str">
        <f t="shared" si="70"/>
        <v/>
      </c>
      <c r="GQ11" s="15" t="str">
        <f t="shared" si="71"/>
        <v/>
      </c>
      <c r="GR11" s="15" t="str">
        <f t="shared" si="72"/>
        <v/>
      </c>
      <c r="GS11" s="15" t="str">
        <f t="shared" si="73"/>
        <v/>
      </c>
      <c r="GT11" s="15" t="str">
        <f t="shared" si="74"/>
        <v/>
      </c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12" t="str">
        <f t="shared" si="75"/>
        <v/>
      </c>
      <c r="HK11" s="12" t="str">
        <f t="shared" si="76"/>
        <v/>
      </c>
      <c r="HL11" s="12" t="str">
        <f t="shared" si="77"/>
        <v/>
      </c>
      <c r="HM11" s="12" t="str">
        <f t="shared" si="78"/>
        <v/>
      </c>
      <c r="HN11" s="12" t="str">
        <f t="shared" si="79"/>
        <v/>
      </c>
      <c r="HO11" s="12" t="str">
        <f t="shared" si="80"/>
        <v/>
      </c>
      <c r="HP11" s="12" t="str">
        <f t="shared" si="81"/>
        <v/>
      </c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15" t="str">
        <f t="shared" si="82"/>
        <v/>
      </c>
      <c r="IG11" s="15" t="str">
        <f t="shared" si="83"/>
        <v/>
      </c>
      <c r="IH11" s="15" t="str">
        <f t="shared" si="84"/>
        <v/>
      </c>
      <c r="II11" s="15" t="str">
        <f t="shared" si="85"/>
        <v/>
      </c>
      <c r="IJ11" s="15" t="str">
        <f t="shared" si="86"/>
        <v/>
      </c>
      <c r="IK11" s="15" t="str">
        <f t="shared" si="87"/>
        <v/>
      </c>
      <c r="IL11" s="15" t="str">
        <f t="shared" si="88"/>
        <v/>
      </c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12" t="str">
        <f t="shared" si="89"/>
        <v/>
      </c>
      <c r="JC11" s="12" t="str">
        <f t="shared" si="90"/>
        <v/>
      </c>
      <c r="JD11" s="12" t="str">
        <f t="shared" si="91"/>
        <v/>
      </c>
      <c r="JE11" s="12" t="str">
        <f t="shared" si="92"/>
        <v/>
      </c>
      <c r="JF11" s="12" t="str">
        <f t="shared" si="93"/>
        <v/>
      </c>
      <c r="JG11" s="12" t="str">
        <f t="shared" si="94"/>
        <v/>
      </c>
      <c r="JH11" s="12" t="str">
        <f t="shared" si="95"/>
        <v/>
      </c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15" t="str">
        <f t="shared" si="96"/>
        <v/>
      </c>
      <c r="JY11" s="15" t="str">
        <f t="shared" si="97"/>
        <v/>
      </c>
      <c r="JZ11" s="15" t="str">
        <f t="shared" si="98"/>
        <v/>
      </c>
      <c r="KA11" s="15" t="str">
        <f t="shared" si="99"/>
        <v/>
      </c>
      <c r="KB11" s="15" t="str">
        <f t="shared" si="100"/>
        <v/>
      </c>
      <c r="KC11" s="15" t="str">
        <f t="shared" si="101"/>
        <v/>
      </c>
      <c r="KD11" s="15" t="str">
        <f t="shared" si="102"/>
        <v/>
      </c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12" t="str">
        <f t="shared" si="103"/>
        <v/>
      </c>
      <c r="KU11" s="12" t="str">
        <f t="shared" si="104"/>
        <v/>
      </c>
      <c r="KV11" s="12" t="str">
        <f t="shared" si="105"/>
        <v/>
      </c>
      <c r="KW11" s="12" t="str">
        <f t="shared" si="106"/>
        <v/>
      </c>
      <c r="KX11" s="12" t="str">
        <f t="shared" si="107"/>
        <v/>
      </c>
      <c r="KY11" s="12" t="str">
        <f t="shared" si="108"/>
        <v/>
      </c>
      <c r="KZ11" s="12" t="str">
        <f t="shared" si="109"/>
        <v/>
      </c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15" t="str">
        <f t="shared" si="110"/>
        <v/>
      </c>
      <c r="LQ11" s="15" t="str">
        <f t="shared" si="111"/>
        <v/>
      </c>
      <c r="LR11" s="15" t="str">
        <f t="shared" si="112"/>
        <v/>
      </c>
      <c r="LS11" s="15" t="str">
        <f t="shared" si="113"/>
        <v/>
      </c>
      <c r="LT11" s="15" t="str">
        <f t="shared" si="114"/>
        <v/>
      </c>
      <c r="LU11" s="15" t="str">
        <f t="shared" si="115"/>
        <v/>
      </c>
      <c r="LV11" s="15" t="str">
        <f t="shared" si="116"/>
        <v/>
      </c>
      <c r="LW11" s="63">
        <f t="shared" si="126"/>
        <v>11.25</v>
      </c>
      <c r="LX11" s="63">
        <f t="shared" si="127"/>
        <v>6.65</v>
      </c>
      <c r="LY11" s="63">
        <f t="shared" si="128"/>
        <v>2.25</v>
      </c>
      <c r="LZ11" s="63">
        <f t="shared" si="129"/>
        <v>10.145</v>
      </c>
      <c r="MA11" s="63">
        <f t="shared" si="130"/>
        <v>0</v>
      </c>
      <c r="MB11" s="63">
        <f t="shared" si="131"/>
        <v>9.6</v>
      </c>
      <c r="MC11" s="63">
        <f t="shared" si="132"/>
        <v>6.95</v>
      </c>
      <c r="MD11" s="63">
        <f t="shared" si="133"/>
        <v>8.15</v>
      </c>
      <c r="ME11" s="63">
        <f t="shared" si="134"/>
        <v>11.065</v>
      </c>
      <c r="MF11" s="63">
        <f t="shared" si="135"/>
        <v>0</v>
      </c>
      <c r="MG11" s="63">
        <f t="shared" si="136"/>
        <v>14.95</v>
      </c>
      <c r="MH11" s="63">
        <f t="shared" si="137"/>
        <v>9.125</v>
      </c>
      <c r="MI11" s="63">
        <f t="shared" si="138"/>
        <v>10.3</v>
      </c>
      <c r="MJ11" s="63">
        <f t="shared" si="139"/>
        <v>14</v>
      </c>
      <c r="MK11" s="63">
        <f t="shared" si="140"/>
        <v>0</v>
      </c>
      <c r="ML11" s="74" t="s">
        <v>119</v>
      </c>
      <c r="MM11" s="12">
        <f t="shared" si="141"/>
        <v>8.15</v>
      </c>
      <c r="MN11" s="12">
        <f t="shared" si="142"/>
        <v>30.294999999999998</v>
      </c>
      <c r="MO11" s="12">
        <f t="shared" si="143"/>
        <v>35.765000000000001</v>
      </c>
      <c r="MP11" s="12">
        <f t="shared" si="144"/>
        <v>66.06</v>
      </c>
      <c r="MQ11" s="12">
        <f t="shared" si="145"/>
        <v>10.3</v>
      </c>
      <c r="MR11" s="12">
        <f t="shared" si="146"/>
        <v>48.375</v>
      </c>
      <c r="MS11" s="12">
        <f t="shared" si="147"/>
        <v>114.435</v>
      </c>
    </row>
    <row r="12" spans="1:357" x14ac:dyDescent="0.2">
      <c r="A12" s="6">
        <f t="shared" si="0"/>
        <v>5</v>
      </c>
      <c r="B12" s="9" t="s">
        <v>125</v>
      </c>
      <c r="C12" s="5" t="s">
        <v>6</v>
      </c>
      <c r="D12" s="27">
        <v>2002</v>
      </c>
      <c r="E12" s="16">
        <f t="shared" si="1"/>
        <v>142.48500000000001</v>
      </c>
      <c r="F12" s="4" t="str">
        <f t="shared" si="124"/>
        <v/>
      </c>
      <c r="G12" s="4" t="str">
        <f t="shared" si="2"/>
        <v/>
      </c>
      <c r="H12" s="4" t="str">
        <f t="shared" si="125"/>
        <v>P</v>
      </c>
      <c r="I12" t="str">
        <f t="shared" si="3"/>
        <v>No DD</v>
      </c>
      <c r="J12" s="15">
        <f t="shared" si="4"/>
        <v>93.365000000000009</v>
      </c>
      <c r="K12" s="15" t="str">
        <f t="shared" si="5"/>
        <v>2019 Elite Canada</v>
      </c>
      <c r="L12" s="15" t="str">
        <f t="shared" si="6"/>
        <v/>
      </c>
      <c r="M12" s="15" t="str">
        <f t="shared" si="7"/>
        <v/>
      </c>
      <c r="N12" s="15" t="str">
        <f t="shared" si="8"/>
        <v/>
      </c>
      <c r="O12" s="15" t="str">
        <f t="shared" si="9"/>
        <v/>
      </c>
      <c r="P12" s="15">
        <f t="shared" si="10"/>
        <v>49.120000000000005</v>
      </c>
      <c r="Q12" s="15" t="str">
        <f t="shared" si="11"/>
        <v>2019 Elite Canada</v>
      </c>
      <c r="R12" s="15" t="str">
        <f t="shared" si="12"/>
        <v/>
      </c>
      <c r="S12" s="25" t="str">
        <f t="shared" si="13"/>
        <v/>
      </c>
      <c r="T12" s="15" t="str">
        <f t="shared" si="14"/>
        <v/>
      </c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74"/>
      <c r="AK12" s="12" t="str">
        <f t="shared" si="15"/>
        <v/>
      </c>
      <c r="AL12" s="12" t="str">
        <f t="shared" si="16"/>
        <v/>
      </c>
      <c r="AM12" s="12" t="str">
        <f t="shared" si="17"/>
        <v/>
      </c>
      <c r="AN12" s="12" t="str">
        <f t="shared" si="18"/>
        <v/>
      </c>
      <c r="AO12" s="12" t="str">
        <f t="shared" si="19"/>
        <v/>
      </c>
      <c r="AP12" s="12" t="str">
        <f t="shared" si="20"/>
        <v/>
      </c>
      <c r="AQ12" s="12" t="str">
        <f t="shared" si="21"/>
        <v/>
      </c>
      <c r="AR12" s="69">
        <v>17</v>
      </c>
      <c r="AS12" s="69">
        <v>9.4499999999999993</v>
      </c>
      <c r="AT12" s="69">
        <v>3.8</v>
      </c>
      <c r="AU12" s="69">
        <v>14.29</v>
      </c>
      <c r="AV12" s="69">
        <v>0</v>
      </c>
      <c r="AW12" s="69">
        <v>15</v>
      </c>
      <c r="AX12" s="69">
        <v>9.35</v>
      </c>
      <c r="AY12" s="69">
        <v>10.5</v>
      </c>
      <c r="AZ12" s="69">
        <v>13.975</v>
      </c>
      <c r="BA12" s="69">
        <v>0</v>
      </c>
      <c r="BB12" s="69">
        <v>15.4</v>
      </c>
      <c r="BC12" s="69">
        <v>9.3000000000000007</v>
      </c>
      <c r="BD12" s="69">
        <v>10.5</v>
      </c>
      <c r="BE12" s="69">
        <v>13.92</v>
      </c>
      <c r="BF12" s="69">
        <v>0</v>
      </c>
      <c r="BG12" s="75"/>
      <c r="BH12" s="15">
        <f t="shared" si="22"/>
        <v>10.5</v>
      </c>
      <c r="BI12" s="15">
        <f t="shared" si="23"/>
        <v>44.54</v>
      </c>
      <c r="BJ12" s="15">
        <f t="shared" si="24"/>
        <v>48.825000000000003</v>
      </c>
      <c r="BK12" s="15">
        <f t="shared" si="25"/>
        <v>93.365000000000009</v>
      </c>
      <c r="BL12" s="15">
        <f t="shared" si="26"/>
        <v>10.5</v>
      </c>
      <c r="BM12" s="15">
        <f t="shared" si="27"/>
        <v>49.120000000000005</v>
      </c>
      <c r="BN12" s="15">
        <f t="shared" si="28"/>
        <v>142.48500000000001</v>
      </c>
      <c r="BO12" s="24" t="str">
        <f t="shared" si="29"/>
        <v/>
      </c>
      <c r="BP12" s="24" t="str">
        <f t="shared" si="30"/>
        <v/>
      </c>
      <c r="BQ12" s="24" t="str">
        <f t="shared" si="31"/>
        <v/>
      </c>
      <c r="BR12" s="24" t="str">
        <f t="shared" si="32"/>
        <v/>
      </c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12" t="str">
        <f t="shared" si="33"/>
        <v/>
      </c>
      <c r="CI12" s="12" t="str">
        <f t="shared" si="34"/>
        <v/>
      </c>
      <c r="CJ12" s="12" t="str">
        <f t="shared" si="35"/>
        <v/>
      </c>
      <c r="CK12" s="12" t="str">
        <f t="shared" si="36"/>
        <v/>
      </c>
      <c r="CL12" s="12" t="str">
        <f t="shared" si="37"/>
        <v/>
      </c>
      <c r="CM12" s="12" t="str">
        <f t="shared" si="38"/>
        <v/>
      </c>
      <c r="CN12" s="12" t="str">
        <f t="shared" si="39"/>
        <v/>
      </c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15" t="str">
        <f t="shared" si="40"/>
        <v/>
      </c>
      <c r="DE12" s="15" t="str">
        <f t="shared" si="41"/>
        <v/>
      </c>
      <c r="DF12" s="15" t="str">
        <f t="shared" si="42"/>
        <v/>
      </c>
      <c r="DG12" s="15" t="str">
        <f t="shared" si="43"/>
        <v/>
      </c>
      <c r="DH12" s="15" t="str">
        <f t="shared" si="44"/>
        <v/>
      </c>
      <c r="DI12" s="15" t="str">
        <f t="shared" si="45"/>
        <v/>
      </c>
      <c r="DJ12" s="15" t="str">
        <f t="shared" si="46"/>
        <v/>
      </c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12" t="str">
        <f t="shared" si="47"/>
        <v/>
      </c>
      <c r="EA12" s="12" t="str">
        <f t="shared" si="48"/>
        <v/>
      </c>
      <c r="EB12" s="12" t="str">
        <f t="shared" si="49"/>
        <v/>
      </c>
      <c r="EC12" s="12" t="str">
        <f t="shared" si="50"/>
        <v/>
      </c>
      <c r="ED12" s="12" t="str">
        <f t="shared" si="51"/>
        <v/>
      </c>
      <c r="EE12" s="12" t="str">
        <f t="shared" si="52"/>
        <v/>
      </c>
      <c r="EF12" s="12" t="str">
        <f t="shared" si="53"/>
        <v/>
      </c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15" t="str">
        <f t="shared" si="54"/>
        <v/>
      </c>
      <c r="EW12" s="15" t="str">
        <f t="shared" si="55"/>
        <v/>
      </c>
      <c r="EX12" s="15" t="str">
        <f t="shared" si="56"/>
        <v/>
      </c>
      <c r="EY12" s="15" t="str">
        <f t="shared" si="57"/>
        <v/>
      </c>
      <c r="EZ12" s="15" t="str">
        <f t="shared" si="58"/>
        <v/>
      </c>
      <c r="FA12" s="15" t="str">
        <f t="shared" si="59"/>
        <v/>
      </c>
      <c r="FB12" s="15" t="str">
        <f t="shared" si="60"/>
        <v/>
      </c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12" t="str">
        <f t="shared" si="61"/>
        <v/>
      </c>
      <c r="FS12" s="12" t="str">
        <f t="shared" si="62"/>
        <v/>
      </c>
      <c r="FT12" s="12" t="str">
        <f t="shared" si="63"/>
        <v/>
      </c>
      <c r="FU12" s="12" t="str">
        <f t="shared" si="64"/>
        <v/>
      </c>
      <c r="FV12" s="12" t="str">
        <f t="shared" si="65"/>
        <v/>
      </c>
      <c r="FW12" s="12" t="str">
        <f t="shared" si="66"/>
        <v/>
      </c>
      <c r="FX12" s="12" t="str">
        <f t="shared" si="67"/>
        <v/>
      </c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15" t="str">
        <f t="shared" si="68"/>
        <v/>
      </c>
      <c r="GO12" s="15" t="str">
        <f t="shared" si="69"/>
        <v/>
      </c>
      <c r="GP12" s="15" t="str">
        <f t="shared" si="70"/>
        <v/>
      </c>
      <c r="GQ12" s="15" t="str">
        <f t="shared" si="71"/>
        <v/>
      </c>
      <c r="GR12" s="15" t="str">
        <f t="shared" si="72"/>
        <v/>
      </c>
      <c r="GS12" s="15" t="str">
        <f t="shared" si="73"/>
        <v/>
      </c>
      <c r="GT12" s="15" t="str">
        <f t="shared" si="74"/>
        <v/>
      </c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12" t="str">
        <f t="shared" si="75"/>
        <v/>
      </c>
      <c r="HK12" s="12" t="str">
        <f t="shared" si="76"/>
        <v/>
      </c>
      <c r="HL12" s="12" t="str">
        <f t="shared" si="77"/>
        <v/>
      </c>
      <c r="HM12" s="12" t="str">
        <f t="shared" si="78"/>
        <v/>
      </c>
      <c r="HN12" s="12" t="str">
        <f t="shared" si="79"/>
        <v/>
      </c>
      <c r="HO12" s="12" t="str">
        <f t="shared" si="80"/>
        <v/>
      </c>
      <c r="HP12" s="12" t="str">
        <f t="shared" si="81"/>
        <v/>
      </c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15" t="str">
        <f t="shared" si="82"/>
        <v/>
      </c>
      <c r="IG12" s="15" t="str">
        <f t="shared" si="83"/>
        <v/>
      </c>
      <c r="IH12" s="15" t="str">
        <f t="shared" si="84"/>
        <v/>
      </c>
      <c r="II12" s="15" t="str">
        <f t="shared" si="85"/>
        <v/>
      </c>
      <c r="IJ12" s="15" t="str">
        <f t="shared" si="86"/>
        <v/>
      </c>
      <c r="IK12" s="15" t="str">
        <f t="shared" si="87"/>
        <v/>
      </c>
      <c r="IL12" s="15" t="str">
        <f t="shared" si="88"/>
        <v/>
      </c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12" t="str">
        <f t="shared" si="89"/>
        <v/>
      </c>
      <c r="JC12" s="12" t="str">
        <f t="shared" si="90"/>
        <v/>
      </c>
      <c r="JD12" s="12" t="str">
        <f t="shared" si="91"/>
        <v/>
      </c>
      <c r="JE12" s="12" t="str">
        <f t="shared" si="92"/>
        <v/>
      </c>
      <c r="JF12" s="12" t="str">
        <f t="shared" si="93"/>
        <v/>
      </c>
      <c r="JG12" s="12" t="str">
        <f t="shared" si="94"/>
        <v/>
      </c>
      <c r="JH12" s="12" t="str">
        <f t="shared" si="95"/>
        <v/>
      </c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15" t="str">
        <f t="shared" si="96"/>
        <v/>
      </c>
      <c r="JY12" s="15" t="str">
        <f t="shared" si="97"/>
        <v/>
      </c>
      <c r="JZ12" s="15" t="str">
        <f t="shared" si="98"/>
        <v/>
      </c>
      <c r="KA12" s="15" t="str">
        <f t="shared" si="99"/>
        <v/>
      </c>
      <c r="KB12" s="15" t="str">
        <f t="shared" si="100"/>
        <v/>
      </c>
      <c r="KC12" s="15" t="str">
        <f t="shared" si="101"/>
        <v/>
      </c>
      <c r="KD12" s="15" t="str">
        <f t="shared" si="102"/>
        <v/>
      </c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12" t="str">
        <f t="shared" si="103"/>
        <v/>
      </c>
      <c r="KU12" s="12" t="str">
        <f t="shared" si="104"/>
        <v/>
      </c>
      <c r="KV12" s="12" t="str">
        <f t="shared" si="105"/>
        <v/>
      </c>
      <c r="KW12" s="12" t="str">
        <f t="shared" si="106"/>
        <v/>
      </c>
      <c r="KX12" s="12" t="str">
        <f t="shared" si="107"/>
        <v/>
      </c>
      <c r="KY12" s="12" t="str">
        <f t="shared" si="108"/>
        <v/>
      </c>
      <c r="KZ12" s="12" t="str">
        <f t="shared" si="109"/>
        <v/>
      </c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15" t="str">
        <f t="shared" si="110"/>
        <v/>
      </c>
      <c r="LQ12" s="15" t="str">
        <f t="shared" si="111"/>
        <v/>
      </c>
      <c r="LR12" s="15" t="str">
        <f t="shared" si="112"/>
        <v/>
      </c>
      <c r="LS12" s="15" t="str">
        <f t="shared" si="113"/>
        <v/>
      </c>
      <c r="LT12" s="15" t="str">
        <f t="shared" si="114"/>
        <v/>
      </c>
      <c r="LU12" s="15" t="str">
        <f t="shared" si="115"/>
        <v/>
      </c>
      <c r="LV12" s="15" t="str">
        <f t="shared" si="116"/>
        <v/>
      </c>
      <c r="LW12" s="63">
        <f t="shared" si="126"/>
        <v>8.5</v>
      </c>
      <c r="LX12" s="63">
        <f t="shared" si="127"/>
        <v>4.7249999999999996</v>
      </c>
      <c r="LY12" s="63">
        <f t="shared" si="128"/>
        <v>1.9</v>
      </c>
      <c r="LZ12" s="63">
        <f t="shared" si="129"/>
        <v>7.1449999999999996</v>
      </c>
      <c r="MA12" s="63">
        <f t="shared" si="130"/>
        <v>0</v>
      </c>
      <c r="MB12" s="63">
        <f t="shared" si="131"/>
        <v>7.5</v>
      </c>
      <c r="MC12" s="63">
        <f t="shared" si="132"/>
        <v>4.6749999999999998</v>
      </c>
      <c r="MD12" s="63">
        <f t="shared" si="133"/>
        <v>5.25</v>
      </c>
      <c r="ME12" s="63">
        <f t="shared" si="134"/>
        <v>6.9874999999999998</v>
      </c>
      <c r="MF12" s="63">
        <f t="shared" si="135"/>
        <v>0</v>
      </c>
      <c r="MG12" s="63">
        <f t="shared" si="136"/>
        <v>7.7</v>
      </c>
      <c r="MH12" s="63">
        <f t="shared" si="137"/>
        <v>4.6500000000000004</v>
      </c>
      <c r="MI12" s="63">
        <f t="shared" si="138"/>
        <v>5.25</v>
      </c>
      <c r="MJ12" s="63">
        <f t="shared" si="139"/>
        <v>6.96</v>
      </c>
      <c r="MK12" s="63">
        <f t="shared" si="140"/>
        <v>0</v>
      </c>
      <c r="ML12" s="74" t="s">
        <v>119</v>
      </c>
      <c r="MM12" s="12">
        <f t="shared" si="141"/>
        <v>5.25</v>
      </c>
      <c r="MN12" s="12">
        <f t="shared" si="142"/>
        <v>22.27</v>
      </c>
      <c r="MO12" s="12">
        <f t="shared" si="143"/>
        <v>24.412500000000001</v>
      </c>
      <c r="MP12" s="12">
        <f t="shared" si="144"/>
        <v>46.682500000000005</v>
      </c>
      <c r="MQ12" s="12">
        <f t="shared" si="145"/>
        <v>5.25</v>
      </c>
      <c r="MR12" s="12">
        <f t="shared" si="146"/>
        <v>24.560000000000002</v>
      </c>
      <c r="MS12" s="12">
        <f t="shared" si="147"/>
        <v>71.242500000000007</v>
      </c>
    </row>
    <row r="13" spans="1:357" x14ac:dyDescent="0.2">
      <c r="A13" s="6" t="str">
        <f t="shared" si="0"/>
        <v/>
      </c>
      <c r="B13" s="9" t="s">
        <v>102</v>
      </c>
      <c r="C13" s="5" t="s">
        <v>3</v>
      </c>
      <c r="D13" s="27">
        <v>2000</v>
      </c>
      <c r="E13" s="16">
        <f t="shared" si="1"/>
        <v>137</v>
      </c>
      <c r="F13" s="4" t="str">
        <f t="shared" si="124"/>
        <v/>
      </c>
      <c r="G13" s="4" t="str">
        <f t="shared" si="2"/>
        <v/>
      </c>
      <c r="H13" s="4" t="str">
        <f t="shared" si="125"/>
        <v/>
      </c>
      <c r="I13" t="str">
        <f t="shared" si="3"/>
        <v/>
      </c>
      <c r="J13" s="15">
        <f t="shared" si="4"/>
        <v>90.47</v>
      </c>
      <c r="K13" s="15" t="str">
        <f t="shared" si="5"/>
        <v>2018 Nationals</v>
      </c>
      <c r="L13" s="15" t="str">
        <f t="shared" si="6"/>
        <v/>
      </c>
      <c r="M13" s="15" t="str">
        <f t="shared" si="7"/>
        <v/>
      </c>
      <c r="N13" s="15" t="str">
        <f t="shared" si="8"/>
        <v/>
      </c>
      <c r="O13" s="15" t="str">
        <f t="shared" si="9"/>
        <v/>
      </c>
      <c r="P13" s="15">
        <f t="shared" si="10"/>
        <v>46.53</v>
      </c>
      <c r="Q13" s="15" t="str">
        <f t="shared" si="11"/>
        <v>2018 Nationals</v>
      </c>
      <c r="R13" s="15" t="str">
        <f t="shared" si="12"/>
        <v/>
      </c>
      <c r="S13" s="25" t="str">
        <f t="shared" si="13"/>
        <v/>
      </c>
      <c r="T13" s="15" t="str">
        <f t="shared" si="14"/>
        <v/>
      </c>
      <c r="U13" s="36">
        <v>16.600000000000001</v>
      </c>
      <c r="V13" s="36">
        <v>9.6</v>
      </c>
      <c r="W13" s="36">
        <v>3.9</v>
      </c>
      <c r="X13" s="36">
        <v>14.77</v>
      </c>
      <c r="Y13" s="36">
        <v>0</v>
      </c>
      <c r="Z13" s="36">
        <v>12.6</v>
      </c>
      <c r="AA13" s="36">
        <v>9.3000000000000007</v>
      </c>
      <c r="AB13" s="36">
        <v>9.8000000000000007</v>
      </c>
      <c r="AC13" s="36">
        <v>13.9</v>
      </c>
      <c r="AD13" s="36">
        <v>0</v>
      </c>
      <c r="AE13" s="36">
        <v>14.3</v>
      </c>
      <c r="AF13" s="36">
        <v>9.15</v>
      </c>
      <c r="AG13" s="36">
        <v>9.1</v>
      </c>
      <c r="AH13" s="36">
        <v>13.98</v>
      </c>
      <c r="AI13" s="36">
        <v>0</v>
      </c>
      <c r="AJ13" s="74"/>
      <c r="AK13" s="12">
        <f t="shared" si="15"/>
        <v>9.8000000000000007</v>
      </c>
      <c r="AL13" s="12">
        <f t="shared" si="16"/>
        <v>44.870000000000005</v>
      </c>
      <c r="AM13" s="12">
        <f t="shared" si="17"/>
        <v>45.6</v>
      </c>
      <c r="AN13" s="12">
        <f t="shared" si="18"/>
        <v>90.47</v>
      </c>
      <c r="AO13" s="12">
        <f t="shared" si="19"/>
        <v>9.1</v>
      </c>
      <c r="AP13" s="12">
        <f t="shared" si="20"/>
        <v>46.53</v>
      </c>
      <c r="AQ13" s="12">
        <f t="shared" si="21"/>
        <v>137</v>
      </c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75"/>
      <c r="BH13" s="15" t="str">
        <f t="shared" si="22"/>
        <v/>
      </c>
      <c r="BI13" s="15" t="str">
        <f t="shared" si="23"/>
        <v/>
      </c>
      <c r="BJ13" s="15" t="str">
        <f t="shared" si="24"/>
        <v/>
      </c>
      <c r="BK13" s="15" t="str">
        <f t="shared" si="25"/>
        <v/>
      </c>
      <c r="BL13" s="15" t="str">
        <f t="shared" si="26"/>
        <v/>
      </c>
      <c r="BM13" s="15" t="str">
        <f t="shared" si="27"/>
        <v/>
      </c>
      <c r="BN13" s="15" t="str">
        <f t="shared" si="28"/>
        <v/>
      </c>
      <c r="BO13" s="24" t="str">
        <f t="shared" si="29"/>
        <v/>
      </c>
      <c r="BP13" s="24" t="str">
        <f t="shared" si="30"/>
        <v/>
      </c>
      <c r="BQ13" s="24" t="str">
        <f t="shared" si="31"/>
        <v/>
      </c>
      <c r="BR13" s="24" t="str">
        <f t="shared" si="32"/>
        <v/>
      </c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12" t="str">
        <f t="shared" si="33"/>
        <v/>
      </c>
      <c r="CI13" s="12" t="str">
        <f t="shared" si="34"/>
        <v/>
      </c>
      <c r="CJ13" s="12" t="str">
        <f t="shared" si="35"/>
        <v/>
      </c>
      <c r="CK13" s="12" t="str">
        <f t="shared" si="36"/>
        <v/>
      </c>
      <c r="CL13" s="12" t="str">
        <f t="shared" si="37"/>
        <v/>
      </c>
      <c r="CM13" s="12" t="str">
        <f t="shared" si="38"/>
        <v/>
      </c>
      <c r="CN13" s="12" t="str">
        <f t="shared" si="39"/>
        <v/>
      </c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15" t="str">
        <f t="shared" si="40"/>
        <v/>
      </c>
      <c r="DE13" s="15" t="str">
        <f t="shared" si="41"/>
        <v/>
      </c>
      <c r="DF13" s="15" t="str">
        <f t="shared" si="42"/>
        <v/>
      </c>
      <c r="DG13" s="15" t="str">
        <f t="shared" si="43"/>
        <v/>
      </c>
      <c r="DH13" s="15" t="str">
        <f t="shared" si="44"/>
        <v/>
      </c>
      <c r="DI13" s="15" t="str">
        <f t="shared" si="45"/>
        <v/>
      </c>
      <c r="DJ13" s="15" t="str">
        <f t="shared" si="46"/>
        <v/>
      </c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12" t="str">
        <f t="shared" si="47"/>
        <v/>
      </c>
      <c r="EA13" s="12" t="str">
        <f t="shared" si="48"/>
        <v/>
      </c>
      <c r="EB13" s="12" t="str">
        <f t="shared" si="49"/>
        <v/>
      </c>
      <c r="EC13" s="12" t="str">
        <f t="shared" si="50"/>
        <v/>
      </c>
      <c r="ED13" s="12" t="str">
        <f t="shared" si="51"/>
        <v/>
      </c>
      <c r="EE13" s="12" t="str">
        <f t="shared" si="52"/>
        <v/>
      </c>
      <c r="EF13" s="12" t="str">
        <f t="shared" si="53"/>
        <v/>
      </c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15" t="str">
        <f t="shared" si="54"/>
        <v/>
      </c>
      <c r="EW13" s="15" t="str">
        <f t="shared" si="55"/>
        <v/>
      </c>
      <c r="EX13" s="15" t="str">
        <f t="shared" si="56"/>
        <v/>
      </c>
      <c r="EY13" s="15" t="str">
        <f t="shared" si="57"/>
        <v/>
      </c>
      <c r="EZ13" s="15" t="str">
        <f t="shared" si="58"/>
        <v/>
      </c>
      <c r="FA13" s="15" t="str">
        <f t="shared" si="59"/>
        <v/>
      </c>
      <c r="FB13" s="15" t="str">
        <f t="shared" si="60"/>
        <v/>
      </c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12" t="str">
        <f t="shared" si="61"/>
        <v/>
      </c>
      <c r="FS13" s="12" t="str">
        <f t="shared" si="62"/>
        <v/>
      </c>
      <c r="FT13" s="12" t="str">
        <f t="shared" si="63"/>
        <v/>
      </c>
      <c r="FU13" s="12" t="str">
        <f t="shared" si="64"/>
        <v/>
      </c>
      <c r="FV13" s="12" t="str">
        <f t="shared" si="65"/>
        <v/>
      </c>
      <c r="FW13" s="12" t="str">
        <f t="shared" si="66"/>
        <v/>
      </c>
      <c r="FX13" s="12" t="str">
        <f t="shared" si="67"/>
        <v/>
      </c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15" t="str">
        <f t="shared" si="68"/>
        <v/>
      </c>
      <c r="GO13" s="15" t="str">
        <f t="shared" si="69"/>
        <v/>
      </c>
      <c r="GP13" s="15" t="str">
        <f t="shared" si="70"/>
        <v/>
      </c>
      <c r="GQ13" s="15" t="str">
        <f t="shared" si="71"/>
        <v/>
      </c>
      <c r="GR13" s="15" t="str">
        <f t="shared" si="72"/>
        <v/>
      </c>
      <c r="GS13" s="15" t="str">
        <f t="shared" si="73"/>
        <v/>
      </c>
      <c r="GT13" s="15" t="str">
        <f t="shared" si="74"/>
        <v/>
      </c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12" t="str">
        <f t="shared" si="75"/>
        <v/>
      </c>
      <c r="HK13" s="12" t="str">
        <f t="shared" si="76"/>
        <v/>
      </c>
      <c r="HL13" s="12" t="str">
        <f t="shared" si="77"/>
        <v/>
      </c>
      <c r="HM13" s="12" t="str">
        <f t="shared" si="78"/>
        <v/>
      </c>
      <c r="HN13" s="12" t="str">
        <f t="shared" si="79"/>
        <v/>
      </c>
      <c r="HO13" s="12" t="str">
        <f t="shared" si="80"/>
        <v/>
      </c>
      <c r="HP13" s="12" t="str">
        <f t="shared" si="81"/>
        <v/>
      </c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15" t="str">
        <f t="shared" si="82"/>
        <v/>
      </c>
      <c r="IG13" s="15" t="str">
        <f t="shared" si="83"/>
        <v/>
      </c>
      <c r="IH13" s="15" t="str">
        <f t="shared" si="84"/>
        <v/>
      </c>
      <c r="II13" s="15" t="str">
        <f t="shared" si="85"/>
        <v/>
      </c>
      <c r="IJ13" s="15" t="str">
        <f t="shared" si="86"/>
        <v/>
      </c>
      <c r="IK13" s="15" t="str">
        <f t="shared" si="87"/>
        <v/>
      </c>
      <c r="IL13" s="15" t="str">
        <f t="shared" si="88"/>
        <v/>
      </c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12" t="str">
        <f t="shared" si="89"/>
        <v/>
      </c>
      <c r="JC13" s="12" t="str">
        <f t="shared" si="90"/>
        <v/>
      </c>
      <c r="JD13" s="12" t="str">
        <f t="shared" si="91"/>
        <v/>
      </c>
      <c r="JE13" s="12" t="str">
        <f t="shared" si="92"/>
        <v/>
      </c>
      <c r="JF13" s="12" t="str">
        <f t="shared" si="93"/>
        <v/>
      </c>
      <c r="JG13" s="12" t="str">
        <f t="shared" si="94"/>
        <v/>
      </c>
      <c r="JH13" s="12" t="str">
        <f t="shared" si="95"/>
        <v/>
      </c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15" t="str">
        <f t="shared" si="96"/>
        <v/>
      </c>
      <c r="JY13" s="15" t="str">
        <f t="shared" si="97"/>
        <v/>
      </c>
      <c r="JZ13" s="15" t="str">
        <f t="shared" si="98"/>
        <v/>
      </c>
      <c r="KA13" s="15" t="str">
        <f t="shared" si="99"/>
        <v/>
      </c>
      <c r="KB13" s="15" t="str">
        <f t="shared" si="100"/>
        <v/>
      </c>
      <c r="KC13" s="15" t="str">
        <f t="shared" si="101"/>
        <v/>
      </c>
      <c r="KD13" s="15" t="str">
        <f t="shared" si="102"/>
        <v/>
      </c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12" t="str">
        <f t="shared" si="103"/>
        <v/>
      </c>
      <c r="KU13" s="12" t="str">
        <f t="shared" si="104"/>
        <v/>
      </c>
      <c r="KV13" s="12" t="str">
        <f t="shared" si="105"/>
        <v/>
      </c>
      <c r="KW13" s="12" t="str">
        <f t="shared" si="106"/>
        <v/>
      </c>
      <c r="KX13" s="12" t="str">
        <f t="shared" si="107"/>
        <v/>
      </c>
      <c r="KY13" s="12" t="str">
        <f t="shared" si="108"/>
        <v/>
      </c>
      <c r="KZ13" s="12" t="str">
        <f t="shared" si="109"/>
        <v/>
      </c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15" t="str">
        <f t="shared" si="110"/>
        <v/>
      </c>
      <c r="LQ13" s="15" t="str">
        <f t="shared" si="111"/>
        <v/>
      </c>
      <c r="LR13" s="15" t="str">
        <f t="shared" si="112"/>
        <v/>
      </c>
      <c r="LS13" s="15" t="str">
        <f t="shared" si="113"/>
        <v/>
      </c>
      <c r="LT13" s="15" t="str">
        <f t="shared" si="114"/>
        <v/>
      </c>
      <c r="LU13" s="15" t="str">
        <f t="shared" si="115"/>
        <v/>
      </c>
      <c r="LV13" s="15" t="str">
        <f t="shared" si="116"/>
        <v/>
      </c>
      <c r="LW13" s="63">
        <f t="shared" si="126"/>
        <v>8.3000000000000007</v>
      </c>
      <c r="LX13" s="63">
        <f t="shared" si="127"/>
        <v>4.8</v>
      </c>
      <c r="LY13" s="63">
        <f t="shared" si="128"/>
        <v>1.95</v>
      </c>
      <c r="LZ13" s="63">
        <f t="shared" si="129"/>
        <v>7.3849999999999998</v>
      </c>
      <c r="MA13" s="63">
        <f t="shared" si="130"/>
        <v>0</v>
      </c>
      <c r="MB13" s="63">
        <f t="shared" si="131"/>
        <v>6.3</v>
      </c>
      <c r="MC13" s="63">
        <f t="shared" si="132"/>
        <v>4.6500000000000004</v>
      </c>
      <c r="MD13" s="63">
        <f t="shared" si="133"/>
        <v>4.9000000000000004</v>
      </c>
      <c r="ME13" s="63">
        <f t="shared" si="134"/>
        <v>6.95</v>
      </c>
      <c r="MF13" s="63">
        <f t="shared" si="135"/>
        <v>0</v>
      </c>
      <c r="MG13" s="63">
        <f t="shared" si="136"/>
        <v>7.15</v>
      </c>
      <c r="MH13" s="63">
        <f t="shared" si="137"/>
        <v>4.5750000000000002</v>
      </c>
      <c r="MI13" s="63">
        <f t="shared" si="138"/>
        <v>4.55</v>
      </c>
      <c r="MJ13" s="63">
        <f t="shared" si="139"/>
        <v>6.99</v>
      </c>
      <c r="MK13" s="63">
        <f t="shared" si="140"/>
        <v>0</v>
      </c>
      <c r="ML13" s="74" t="s">
        <v>119</v>
      </c>
      <c r="MM13" s="12">
        <f t="shared" si="141"/>
        <v>4.9000000000000004</v>
      </c>
      <c r="MN13" s="12">
        <f t="shared" si="142"/>
        <v>22.435000000000002</v>
      </c>
      <c r="MO13" s="12">
        <f t="shared" si="143"/>
        <v>22.8</v>
      </c>
      <c r="MP13" s="12">
        <f t="shared" si="144"/>
        <v>45.234999999999999</v>
      </c>
      <c r="MQ13" s="12">
        <f t="shared" si="145"/>
        <v>4.55</v>
      </c>
      <c r="MR13" s="12">
        <f t="shared" si="146"/>
        <v>23.265000000000001</v>
      </c>
      <c r="MS13" s="12">
        <f t="shared" si="147"/>
        <v>68.5</v>
      </c>
    </row>
    <row r="14" spans="1:357" x14ac:dyDescent="0.2">
      <c r="A14" s="6" t="str">
        <f t="shared" si="0"/>
        <v/>
      </c>
      <c r="B14" s="9" t="s">
        <v>103</v>
      </c>
      <c r="C14" s="5" t="s">
        <v>3</v>
      </c>
      <c r="D14" s="27">
        <v>2001</v>
      </c>
      <c r="E14" s="16">
        <f t="shared" si="1"/>
        <v>135.07999999999998</v>
      </c>
      <c r="F14" s="4" t="str">
        <f t="shared" si="124"/>
        <v/>
      </c>
      <c r="G14" s="4" t="str">
        <f t="shared" si="2"/>
        <v/>
      </c>
      <c r="H14" s="4" t="str">
        <f t="shared" si="125"/>
        <v/>
      </c>
      <c r="I14" t="str">
        <f t="shared" si="3"/>
        <v/>
      </c>
      <c r="J14" s="15">
        <f t="shared" si="4"/>
        <v>86.35499999999999</v>
      </c>
      <c r="K14" s="15" t="str">
        <f t="shared" si="5"/>
        <v>2018 Nationals</v>
      </c>
      <c r="L14" s="15" t="str">
        <f t="shared" si="6"/>
        <v/>
      </c>
      <c r="M14" s="15" t="str">
        <f t="shared" si="7"/>
        <v/>
      </c>
      <c r="N14" s="15" t="str">
        <f t="shared" si="8"/>
        <v/>
      </c>
      <c r="O14" s="15" t="str">
        <f t="shared" si="9"/>
        <v/>
      </c>
      <c r="P14" s="15">
        <f t="shared" si="10"/>
        <v>48.724999999999994</v>
      </c>
      <c r="Q14" s="15" t="str">
        <f t="shared" si="11"/>
        <v>2018 Nationals</v>
      </c>
      <c r="R14" s="15" t="str">
        <f t="shared" si="12"/>
        <v/>
      </c>
      <c r="S14" s="25" t="str">
        <f t="shared" si="13"/>
        <v/>
      </c>
      <c r="T14" s="15" t="str">
        <f t="shared" si="14"/>
        <v/>
      </c>
      <c r="U14" s="36">
        <v>16.7</v>
      </c>
      <c r="V14" s="36">
        <v>9.6</v>
      </c>
      <c r="W14" s="36">
        <v>3.4</v>
      </c>
      <c r="X14" s="36">
        <v>14.625</v>
      </c>
      <c r="Y14" s="36">
        <v>0</v>
      </c>
      <c r="Z14" s="36">
        <v>12.9</v>
      </c>
      <c r="AA14" s="36">
        <v>7.9</v>
      </c>
      <c r="AB14" s="36">
        <v>9.1999999999999993</v>
      </c>
      <c r="AC14" s="36">
        <v>12.03</v>
      </c>
      <c r="AD14" s="36">
        <v>0</v>
      </c>
      <c r="AE14" s="36">
        <v>14.6</v>
      </c>
      <c r="AF14" s="36">
        <v>9.3000000000000007</v>
      </c>
      <c r="AG14" s="36">
        <v>11.2</v>
      </c>
      <c r="AH14" s="36">
        <v>13.625</v>
      </c>
      <c r="AI14" s="36">
        <v>0</v>
      </c>
      <c r="AJ14" s="74"/>
      <c r="AK14" s="12">
        <f t="shared" si="15"/>
        <v>9.1999999999999993</v>
      </c>
      <c r="AL14" s="12">
        <f t="shared" si="16"/>
        <v>44.324999999999996</v>
      </c>
      <c r="AM14" s="12">
        <f t="shared" si="17"/>
        <v>42.03</v>
      </c>
      <c r="AN14" s="12">
        <f t="shared" si="18"/>
        <v>86.35499999999999</v>
      </c>
      <c r="AO14" s="12">
        <f t="shared" si="19"/>
        <v>11.2</v>
      </c>
      <c r="AP14" s="12">
        <f t="shared" si="20"/>
        <v>48.724999999999994</v>
      </c>
      <c r="AQ14" s="12">
        <f t="shared" si="21"/>
        <v>135.07999999999998</v>
      </c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75"/>
      <c r="BH14" s="15" t="str">
        <f t="shared" si="22"/>
        <v/>
      </c>
      <c r="BI14" s="15" t="str">
        <f t="shared" si="23"/>
        <v/>
      </c>
      <c r="BJ14" s="15" t="str">
        <f t="shared" si="24"/>
        <v/>
      </c>
      <c r="BK14" s="15" t="str">
        <f t="shared" si="25"/>
        <v/>
      </c>
      <c r="BL14" s="15" t="str">
        <f t="shared" si="26"/>
        <v/>
      </c>
      <c r="BM14" s="15" t="str">
        <f t="shared" si="27"/>
        <v/>
      </c>
      <c r="BN14" s="15" t="str">
        <f t="shared" si="28"/>
        <v/>
      </c>
      <c r="BO14" s="24" t="str">
        <f t="shared" si="29"/>
        <v/>
      </c>
      <c r="BP14" s="24" t="str">
        <f t="shared" si="30"/>
        <v/>
      </c>
      <c r="BQ14" s="24" t="str">
        <f t="shared" si="31"/>
        <v/>
      </c>
      <c r="BR14" s="24" t="str">
        <f t="shared" si="32"/>
        <v/>
      </c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12" t="str">
        <f t="shared" si="33"/>
        <v/>
      </c>
      <c r="CI14" s="12" t="str">
        <f t="shared" si="34"/>
        <v/>
      </c>
      <c r="CJ14" s="12" t="str">
        <f t="shared" si="35"/>
        <v/>
      </c>
      <c r="CK14" s="12" t="str">
        <f t="shared" si="36"/>
        <v/>
      </c>
      <c r="CL14" s="12" t="str">
        <f t="shared" si="37"/>
        <v/>
      </c>
      <c r="CM14" s="12" t="str">
        <f t="shared" si="38"/>
        <v/>
      </c>
      <c r="CN14" s="12" t="str">
        <f t="shared" si="39"/>
        <v/>
      </c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15" t="str">
        <f t="shared" si="40"/>
        <v/>
      </c>
      <c r="DE14" s="15" t="str">
        <f t="shared" si="41"/>
        <v/>
      </c>
      <c r="DF14" s="15" t="str">
        <f t="shared" si="42"/>
        <v/>
      </c>
      <c r="DG14" s="15" t="str">
        <f t="shared" si="43"/>
        <v/>
      </c>
      <c r="DH14" s="15" t="str">
        <f t="shared" si="44"/>
        <v/>
      </c>
      <c r="DI14" s="15" t="str">
        <f t="shared" si="45"/>
        <v/>
      </c>
      <c r="DJ14" s="15" t="str">
        <f t="shared" si="46"/>
        <v/>
      </c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12" t="str">
        <f t="shared" si="47"/>
        <v/>
      </c>
      <c r="EA14" s="12" t="str">
        <f t="shared" si="48"/>
        <v/>
      </c>
      <c r="EB14" s="12" t="str">
        <f t="shared" si="49"/>
        <v/>
      </c>
      <c r="EC14" s="12" t="str">
        <f t="shared" si="50"/>
        <v/>
      </c>
      <c r="ED14" s="12" t="str">
        <f t="shared" si="51"/>
        <v/>
      </c>
      <c r="EE14" s="12" t="str">
        <f t="shared" si="52"/>
        <v/>
      </c>
      <c r="EF14" s="12" t="str">
        <f t="shared" si="53"/>
        <v/>
      </c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15" t="str">
        <f t="shared" si="54"/>
        <v/>
      </c>
      <c r="EW14" s="15" t="str">
        <f t="shared" si="55"/>
        <v/>
      </c>
      <c r="EX14" s="15" t="str">
        <f t="shared" si="56"/>
        <v/>
      </c>
      <c r="EY14" s="15" t="str">
        <f t="shared" si="57"/>
        <v/>
      </c>
      <c r="EZ14" s="15" t="str">
        <f t="shared" si="58"/>
        <v/>
      </c>
      <c r="FA14" s="15" t="str">
        <f t="shared" si="59"/>
        <v/>
      </c>
      <c r="FB14" s="15" t="str">
        <f t="shared" si="60"/>
        <v/>
      </c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12" t="str">
        <f t="shared" si="61"/>
        <v/>
      </c>
      <c r="FS14" s="12" t="str">
        <f t="shared" si="62"/>
        <v/>
      </c>
      <c r="FT14" s="12" t="str">
        <f t="shared" si="63"/>
        <v/>
      </c>
      <c r="FU14" s="12" t="str">
        <f t="shared" si="64"/>
        <v/>
      </c>
      <c r="FV14" s="12" t="str">
        <f t="shared" si="65"/>
        <v/>
      </c>
      <c r="FW14" s="12" t="str">
        <f t="shared" si="66"/>
        <v/>
      </c>
      <c r="FX14" s="12" t="str">
        <f t="shared" si="67"/>
        <v/>
      </c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15" t="str">
        <f t="shared" si="68"/>
        <v/>
      </c>
      <c r="GO14" s="15" t="str">
        <f t="shared" si="69"/>
        <v/>
      </c>
      <c r="GP14" s="15" t="str">
        <f t="shared" si="70"/>
        <v/>
      </c>
      <c r="GQ14" s="15" t="str">
        <f t="shared" si="71"/>
        <v/>
      </c>
      <c r="GR14" s="15" t="str">
        <f t="shared" si="72"/>
        <v/>
      </c>
      <c r="GS14" s="15" t="str">
        <f t="shared" si="73"/>
        <v/>
      </c>
      <c r="GT14" s="15" t="str">
        <f t="shared" si="74"/>
        <v/>
      </c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12" t="str">
        <f t="shared" si="75"/>
        <v/>
      </c>
      <c r="HK14" s="12" t="str">
        <f t="shared" si="76"/>
        <v/>
      </c>
      <c r="HL14" s="12" t="str">
        <f t="shared" si="77"/>
        <v/>
      </c>
      <c r="HM14" s="12" t="str">
        <f t="shared" si="78"/>
        <v/>
      </c>
      <c r="HN14" s="12" t="str">
        <f t="shared" si="79"/>
        <v/>
      </c>
      <c r="HO14" s="12" t="str">
        <f t="shared" si="80"/>
        <v/>
      </c>
      <c r="HP14" s="12" t="str">
        <f t="shared" si="81"/>
        <v/>
      </c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15" t="str">
        <f t="shared" si="82"/>
        <v/>
      </c>
      <c r="IG14" s="15" t="str">
        <f t="shared" si="83"/>
        <v/>
      </c>
      <c r="IH14" s="15" t="str">
        <f t="shared" si="84"/>
        <v/>
      </c>
      <c r="II14" s="15" t="str">
        <f t="shared" si="85"/>
        <v/>
      </c>
      <c r="IJ14" s="15" t="str">
        <f t="shared" si="86"/>
        <v/>
      </c>
      <c r="IK14" s="15" t="str">
        <f t="shared" si="87"/>
        <v/>
      </c>
      <c r="IL14" s="15" t="str">
        <f t="shared" si="88"/>
        <v/>
      </c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12" t="str">
        <f t="shared" si="89"/>
        <v/>
      </c>
      <c r="JC14" s="12" t="str">
        <f t="shared" si="90"/>
        <v/>
      </c>
      <c r="JD14" s="12" t="str">
        <f t="shared" si="91"/>
        <v/>
      </c>
      <c r="JE14" s="12" t="str">
        <f t="shared" si="92"/>
        <v/>
      </c>
      <c r="JF14" s="12" t="str">
        <f t="shared" si="93"/>
        <v/>
      </c>
      <c r="JG14" s="12" t="str">
        <f t="shared" si="94"/>
        <v/>
      </c>
      <c r="JH14" s="12" t="str">
        <f t="shared" si="95"/>
        <v/>
      </c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15" t="str">
        <f t="shared" si="96"/>
        <v/>
      </c>
      <c r="JY14" s="15" t="str">
        <f t="shared" si="97"/>
        <v/>
      </c>
      <c r="JZ14" s="15" t="str">
        <f t="shared" si="98"/>
        <v/>
      </c>
      <c r="KA14" s="15" t="str">
        <f t="shared" si="99"/>
        <v/>
      </c>
      <c r="KB14" s="15" t="str">
        <f t="shared" si="100"/>
        <v/>
      </c>
      <c r="KC14" s="15" t="str">
        <f t="shared" si="101"/>
        <v/>
      </c>
      <c r="KD14" s="15" t="str">
        <f t="shared" si="102"/>
        <v/>
      </c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12" t="str">
        <f t="shared" si="103"/>
        <v/>
      </c>
      <c r="KU14" s="12" t="str">
        <f t="shared" si="104"/>
        <v/>
      </c>
      <c r="KV14" s="12" t="str">
        <f t="shared" si="105"/>
        <v/>
      </c>
      <c r="KW14" s="12" t="str">
        <f t="shared" si="106"/>
        <v/>
      </c>
      <c r="KX14" s="12" t="str">
        <f t="shared" si="107"/>
        <v/>
      </c>
      <c r="KY14" s="12" t="str">
        <f t="shared" si="108"/>
        <v/>
      </c>
      <c r="KZ14" s="12" t="str">
        <f t="shared" si="109"/>
        <v/>
      </c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15" t="str">
        <f t="shared" si="110"/>
        <v/>
      </c>
      <c r="LQ14" s="15" t="str">
        <f t="shared" si="111"/>
        <v/>
      </c>
      <c r="LR14" s="15" t="str">
        <f t="shared" si="112"/>
        <v/>
      </c>
      <c r="LS14" s="15" t="str">
        <f t="shared" si="113"/>
        <v/>
      </c>
      <c r="LT14" s="15" t="str">
        <f t="shared" si="114"/>
        <v/>
      </c>
      <c r="LU14" s="15" t="str">
        <f t="shared" si="115"/>
        <v/>
      </c>
      <c r="LV14" s="15" t="str">
        <f t="shared" si="116"/>
        <v/>
      </c>
      <c r="LW14" s="63">
        <f t="shared" si="126"/>
        <v>8.35</v>
      </c>
      <c r="LX14" s="63">
        <f t="shared" si="127"/>
        <v>4.8</v>
      </c>
      <c r="LY14" s="63">
        <f t="shared" si="128"/>
        <v>1.7</v>
      </c>
      <c r="LZ14" s="63">
        <f t="shared" si="129"/>
        <v>7.3125</v>
      </c>
      <c r="MA14" s="63">
        <f t="shared" si="130"/>
        <v>0</v>
      </c>
      <c r="MB14" s="63">
        <f t="shared" si="131"/>
        <v>6.45</v>
      </c>
      <c r="MC14" s="63">
        <f t="shared" si="132"/>
        <v>3.95</v>
      </c>
      <c r="MD14" s="63">
        <f t="shared" si="133"/>
        <v>4.5999999999999996</v>
      </c>
      <c r="ME14" s="63">
        <f t="shared" si="134"/>
        <v>6.0149999999999997</v>
      </c>
      <c r="MF14" s="63">
        <f t="shared" si="135"/>
        <v>0</v>
      </c>
      <c r="MG14" s="63">
        <f t="shared" si="136"/>
        <v>7.3</v>
      </c>
      <c r="MH14" s="63">
        <f t="shared" si="137"/>
        <v>4.6500000000000004</v>
      </c>
      <c r="MI14" s="63">
        <f t="shared" si="138"/>
        <v>5.6</v>
      </c>
      <c r="MJ14" s="63">
        <f t="shared" si="139"/>
        <v>6.8125</v>
      </c>
      <c r="MK14" s="63">
        <f t="shared" si="140"/>
        <v>0</v>
      </c>
      <c r="ML14" s="74" t="s">
        <v>119</v>
      </c>
      <c r="MM14" s="12">
        <f t="shared" ref="MM14" si="148">IF(MD14&gt;0,MD14,"")</f>
        <v>4.5999999999999996</v>
      </c>
      <c r="MN14" s="12">
        <f t="shared" ref="MN14" si="149">IF(SUM(LW14:LZ14)-MA14&gt;0,SUM(LW14:LZ14)-MA14,"")</f>
        <v>22.162499999999998</v>
      </c>
      <c r="MO14" s="12">
        <f t="shared" ref="MO14" si="150">IF(SUM(MB14:ME14)-MF14&gt;0,SUM(MB14:ME14)-MF14,"")</f>
        <v>21.015000000000001</v>
      </c>
      <c r="MP14" s="12">
        <f t="shared" ref="MP14" si="151">IF(SUM(MN14:MO14)&gt;0,SUM(MN14:MO14),"")</f>
        <v>43.177499999999995</v>
      </c>
      <c r="MQ14" s="12">
        <f t="shared" si="145"/>
        <v>5.6</v>
      </c>
      <c r="MR14" s="12">
        <f t="shared" ref="MR14" si="152">IF(SUM(MG14:MJ14)-MK14&gt;0,SUM(MG14:MJ14)-MK14,"")</f>
        <v>24.362499999999997</v>
      </c>
      <c r="MS14" s="12">
        <f t="shared" ref="MS14" si="153">IF(SUM(MP14,MR14)&gt;0,SUM(MP14,MR14),"")</f>
        <v>67.539999999999992</v>
      </c>
    </row>
    <row r="15" spans="1:357" x14ac:dyDescent="0.2">
      <c r="A15" s="6" t="str">
        <f t="shared" si="0"/>
        <v/>
      </c>
      <c r="B15" s="9" t="s">
        <v>105</v>
      </c>
      <c r="C15" s="5" t="s">
        <v>6</v>
      </c>
      <c r="D15" s="27">
        <v>2002</v>
      </c>
      <c r="E15" s="16">
        <f t="shared" si="1"/>
        <v>104.78</v>
      </c>
      <c r="F15" s="4" t="str">
        <f t="shared" si="124"/>
        <v/>
      </c>
      <c r="G15" s="4" t="str">
        <f t="shared" si="2"/>
        <v/>
      </c>
      <c r="H15" s="4" t="str">
        <f t="shared" si="125"/>
        <v/>
      </c>
      <c r="I15" t="str">
        <f t="shared" si="3"/>
        <v/>
      </c>
      <c r="J15" s="15">
        <f t="shared" si="4"/>
        <v>89.81</v>
      </c>
      <c r="K15" s="15" t="str">
        <f t="shared" si="5"/>
        <v>2018 Nationals</v>
      </c>
      <c r="L15" s="15" t="str">
        <f t="shared" si="6"/>
        <v/>
      </c>
      <c r="M15" s="15" t="str">
        <f t="shared" si="7"/>
        <v/>
      </c>
      <c r="N15" s="15" t="str">
        <f t="shared" si="8"/>
        <v/>
      </c>
      <c r="O15" s="15" t="str">
        <f t="shared" si="9"/>
        <v/>
      </c>
      <c r="P15" s="15">
        <f t="shared" si="10"/>
        <v>14.97</v>
      </c>
      <c r="Q15" s="15" t="str">
        <f t="shared" si="11"/>
        <v>2018 Nationals</v>
      </c>
      <c r="R15" s="15" t="str">
        <f t="shared" si="12"/>
        <v/>
      </c>
      <c r="S15" s="25" t="str">
        <f t="shared" si="13"/>
        <v/>
      </c>
      <c r="T15" s="15" t="str">
        <f t="shared" si="14"/>
        <v/>
      </c>
      <c r="U15" s="36">
        <v>16.100000000000001</v>
      </c>
      <c r="V15" s="36">
        <v>9.4499999999999993</v>
      </c>
      <c r="W15" s="36">
        <v>4.0999999999999996</v>
      </c>
      <c r="X15" s="36">
        <v>14</v>
      </c>
      <c r="Y15" s="36">
        <v>0</v>
      </c>
      <c r="Z15" s="36">
        <v>13.9</v>
      </c>
      <c r="AA15" s="36">
        <v>8.4499999999999993</v>
      </c>
      <c r="AB15" s="36">
        <v>10.3</v>
      </c>
      <c r="AC15" s="36">
        <v>13.51</v>
      </c>
      <c r="AD15" s="36">
        <v>0</v>
      </c>
      <c r="AE15" s="36">
        <v>4.5999999999999996</v>
      </c>
      <c r="AF15" s="36">
        <v>2.9</v>
      </c>
      <c r="AG15" s="36">
        <v>3.3</v>
      </c>
      <c r="AH15" s="36">
        <v>4.17</v>
      </c>
      <c r="AI15" s="36">
        <v>0</v>
      </c>
      <c r="AJ15" s="74"/>
      <c r="AK15" s="12">
        <f t="shared" si="15"/>
        <v>10.3</v>
      </c>
      <c r="AL15" s="12">
        <f t="shared" si="16"/>
        <v>43.65</v>
      </c>
      <c r="AM15" s="12">
        <f t="shared" si="17"/>
        <v>46.160000000000004</v>
      </c>
      <c r="AN15" s="12">
        <f t="shared" si="18"/>
        <v>89.81</v>
      </c>
      <c r="AO15" s="12">
        <f t="shared" si="19"/>
        <v>3.3</v>
      </c>
      <c r="AP15" s="12">
        <f t="shared" si="20"/>
        <v>14.97</v>
      </c>
      <c r="AQ15" s="12">
        <f t="shared" si="21"/>
        <v>104.78</v>
      </c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75"/>
      <c r="BH15" s="15" t="str">
        <f t="shared" si="22"/>
        <v/>
      </c>
      <c r="BI15" s="15" t="str">
        <f t="shared" si="23"/>
        <v/>
      </c>
      <c r="BJ15" s="15" t="str">
        <f t="shared" si="24"/>
        <v/>
      </c>
      <c r="BK15" s="15" t="str">
        <f t="shared" si="25"/>
        <v/>
      </c>
      <c r="BL15" s="15" t="str">
        <f t="shared" si="26"/>
        <v/>
      </c>
      <c r="BM15" s="15" t="str">
        <f t="shared" si="27"/>
        <v/>
      </c>
      <c r="BN15" s="15" t="str">
        <f t="shared" si="28"/>
        <v/>
      </c>
      <c r="BO15" s="24" t="str">
        <f t="shared" si="29"/>
        <v/>
      </c>
      <c r="BP15" s="24" t="str">
        <f t="shared" si="30"/>
        <v/>
      </c>
      <c r="BQ15" s="24" t="str">
        <f t="shared" si="31"/>
        <v/>
      </c>
      <c r="BR15" s="24" t="str">
        <f t="shared" si="32"/>
        <v/>
      </c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12" t="str">
        <f t="shared" si="33"/>
        <v/>
      </c>
      <c r="CI15" s="12" t="str">
        <f t="shared" si="34"/>
        <v/>
      </c>
      <c r="CJ15" s="12" t="str">
        <f t="shared" si="35"/>
        <v/>
      </c>
      <c r="CK15" s="12" t="str">
        <f t="shared" si="36"/>
        <v/>
      </c>
      <c r="CL15" s="12" t="str">
        <f t="shared" si="37"/>
        <v/>
      </c>
      <c r="CM15" s="12" t="str">
        <f t="shared" si="38"/>
        <v/>
      </c>
      <c r="CN15" s="12" t="str">
        <f t="shared" si="39"/>
        <v/>
      </c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15" t="str">
        <f t="shared" si="40"/>
        <v/>
      </c>
      <c r="DE15" s="15" t="str">
        <f t="shared" si="41"/>
        <v/>
      </c>
      <c r="DF15" s="15" t="str">
        <f t="shared" si="42"/>
        <v/>
      </c>
      <c r="DG15" s="15" t="str">
        <f t="shared" si="43"/>
        <v/>
      </c>
      <c r="DH15" s="15" t="str">
        <f t="shared" si="44"/>
        <v/>
      </c>
      <c r="DI15" s="15" t="str">
        <f t="shared" si="45"/>
        <v/>
      </c>
      <c r="DJ15" s="15" t="str">
        <f t="shared" si="46"/>
        <v/>
      </c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12" t="str">
        <f t="shared" si="47"/>
        <v/>
      </c>
      <c r="EA15" s="12" t="str">
        <f t="shared" si="48"/>
        <v/>
      </c>
      <c r="EB15" s="12" t="str">
        <f t="shared" si="49"/>
        <v/>
      </c>
      <c r="EC15" s="12" t="str">
        <f t="shared" si="50"/>
        <v/>
      </c>
      <c r="ED15" s="12" t="str">
        <f t="shared" si="51"/>
        <v/>
      </c>
      <c r="EE15" s="12" t="str">
        <f t="shared" si="52"/>
        <v/>
      </c>
      <c r="EF15" s="12" t="str">
        <f t="shared" si="53"/>
        <v/>
      </c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15" t="str">
        <f t="shared" si="54"/>
        <v/>
      </c>
      <c r="EW15" s="15" t="str">
        <f t="shared" si="55"/>
        <v/>
      </c>
      <c r="EX15" s="15" t="str">
        <f t="shared" si="56"/>
        <v/>
      </c>
      <c r="EY15" s="15" t="str">
        <f t="shared" si="57"/>
        <v/>
      </c>
      <c r="EZ15" s="15" t="str">
        <f t="shared" si="58"/>
        <v/>
      </c>
      <c r="FA15" s="15" t="str">
        <f t="shared" si="59"/>
        <v/>
      </c>
      <c r="FB15" s="15" t="str">
        <f t="shared" si="60"/>
        <v/>
      </c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12" t="str">
        <f t="shared" si="61"/>
        <v/>
      </c>
      <c r="FS15" s="12" t="str">
        <f t="shared" si="62"/>
        <v/>
      </c>
      <c r="FT15" s="12" t="str">
        <f t="shared" si="63"/>
        <v/>
      </c>
      <c r="FU15" s="12" t="str">
        <f t="shared" si="64"/>
        <v/>
      </c>
      <c r="FV15" s="12" t="str">
        <f t="shared" si="65"/>
        <v/>
      </c>
      <c r="FW15" s="12" t="str">
        <f t="shared" si="66"/>
        <v/>
      </c>
      <c r="FX15" s="12" t="str">
        <f t="shared" si="67"/>
        <v/>
      </c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15" t="str">
        <f t="shared" si="68"/>
        <v/>
      </c>
      <c r="GO15" s="15" t="str">
        <f t="shared" si="69"/>
        <v/>
      </c>
      <c r="GP15" s="15" t="str">
        <f t="shared" si="70"/>
        <v/>
      </c>
      <c r="GQ15" s="15" t="str">
        <f t="shared" si="71"/>
        <v/>
      </c>
      <c r="GR15" s="15" t="str">
        <f t="shared" si="72"/>
        <v/>
      </c>
      <c r="GS15" s="15" t="str">
        <f t="shared" si="73"/>
        <v/>
      </c>
      <c r="GT15" s="15" t="str">
        <f t="shared" si="74"/>
        <v/>
      </c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12" t="str">
        <f t="shared" si="75"/>
        <v/>
      </c>
      <c r="HK15" s="12" t="str">
        <f t="shared" si="76"/>
        <v/>
      </c>
      <c r="HL15" s="12" t="str">
        <f t="shared" si="77"/>
        <v/>
      </c>
      <c r="HM15" s="12" t="str">
        <f t="shared" si="78"/>
        <v/>
      </c>
      <c r="HN15" s="12" t="str">
        <f t="shared" si="79"/>
        <v/>
      </c>
      <c r="HO15" s="12" t="str">
        <f t="shared" si="80"/>
        <v/>
      </c>
      <c r="HP15" s="12" t="str">
        <f t="shared" si="81"/>
        <v/>
      </c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15" t="str">
        <f t="shared" si="82"/>
        <v/>
      </c>
      <c r="IG15" s="15" t="str">
        <f t="shared" si="83"/>
        <v/>
      </c>
      <c r="IH15" s="15" t="str">
        <f t="shared" si="84"/>
        <v/>
      </c>
      <c r="II15" s="15" t="str">
        <f t="shared" si="85"/>
        <v/>
      </c>
      <c r="IJ15" s="15" t="str">
        <f t="shared" si="86"/>
        <v/>
      </c>
      <c r="IK15" s="15" t="str">
        <f t="shared" si="87"/>
        <v/>
      </c>
      <c r="IL15" s="15" t="str">
        <f t="shared" si="88"/>
        <v/>
      </c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12" t="str">
        <f t="shared" si="89"/>
        <v/>
      </c>
      <c r="JC15" s="12" t="str">
        <f t="shared" si="90"/>
        <v/>
      </c>
      <c r="JD15" s="12" t="str">
        <f t="shared" si="91"/>
        <v/>
      </c>
      <c r="JE15" s="12" t="str">
        <f t="shared" si="92"/>
        <v/>
      </c>
      <c r="JF15" s="12" t="str">
        <f t="shared" si="93"/>
        <v/>
      </c>
      <c r="JG15" s="12" t="str">
        <f t="shared" si="94"/>
        <v/>
      </c>
      <c r="JH15" s="12" t="str">
        <f t="shared" si="95"/>
        <v/>
      </c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15" t="str">
        <f t="shared" si="96"/>
        <v/>
      </c>
      <c r="JY15" s="15" t="str">
        <f t="shared" si="97"/>
        <v/>
      </c>
      <c r="JZ15" s="15" t="str">
        <f t="shared" si="98"/>
        <v/>
      </c>
      <c r="KA15" s="15" t="str">
        <f t="shared" si="99"/>
        <v/>
      </c>
      <c r="KB15" s="15" t="str">
        <f t="shared" si="100"/>
        <v/>
      </c>
      <c r="KC15" s="15" t="str">
        <f t="shared" si="101"/>
        <v/>
      </c>
      <c r="KD15" s="15" t="str">
        <f t="shared" si="102"/>
        <v/>
      </c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12" t="str">
        <f t="shared" si="103"/>
        <v/>
      </c>
      <c r="KU15" s="12" t="str">
        <f t="shared" si="104"/>
        <v/>
      </c>
      <c r="KV15" s="12" t="str">
        <f t="shared" si="105"/>
        <v/>
      </c>
      <c r="KW15" s="12" t="str">
        <f t="shared" si="106"/>
        <v/>
      </c>
      <c r="KX15" s="12" t="str">
        <f t="shared" si="107"/>
        <v/>
      </c>
      <c r="KY15" s="12" t="str">
        <f t="shared" si="108"/>
        <v/>
      </c>
      <c r="KZ15" s="12" t="str">
        <f t="shared" si="109"/>
        <v/>
      </c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15" t="str">
        <f t="shared" si="110"/>
        <v/>
      </c>
      <c r="LQ15" s="15" t="str">
        <f t="shared" si="111"/>
        <v/>
      </c>
      <c r="LR15" s="15" t="str">
        <f t="shared" si="112"/>
        <v/>
      </c>
      <c r="LS15" s="15" t="str">
        <f t="shared" si="113"/>
        <v/>
      </c>
      <c r="LT15" s="15" t="str">
        <f t="shared" si="114"/>
        <v/>
      </c>
      <c r="LU15" s="15" t="str">
        <f t="shared" si="115"/>
        <v/>
      </c>
      <c r="LV15" s="15" t="str">
        <f t="shared" si="116"/>
        <v/>
      </c>
      <c r="LW15" s="63">
        <f t="shared" si="126"/>
        <v>8.0500000000000007</v>
      </c>
      <c r="LX15" s="63">
        <f t="shared" si="127"/>
        <v>4.7249999999999996</v>
      </c>
      <c r="LY15" s="63">
        <f t="shared" si="128"/>
        <v>2.0499999999999998</v>
      </c>
      <c r="LZ15" s="63">
        <f t="shared" si="129"/>
        <v>7</v>
      </c>
      <c r="MA15" s="63">
        <f t="shared" si="130"/>
        <v>0</v>
      </c>
      <c r="MB15" s="63">
        <f t="shared" si="131"/>
        <v>6.95</v>
      </c>
      <c r="MC15" s="63">
        <f t="shared" si="132"/>
        <v>4.2249999999999996</v>
      </c>
      <c r="MD15" s="63">
        <f t="shared" si="133"/>
        <v>5.15</v>
      </c>
      <c r="ME15" s="63">
        <f t="shared" si="134"/>
        <v>6.7549999999999999</v>
      </c>
      <c r="MF15" s="63">
        <f t="shared" si="135"/>
        <v>0</v>
      </c>
      <c r="MG15" s="63">
        <f t="shared" si="136"/>
        <v>2.2999999999999998</v>
      </c>
      <c r="MH15" s="63">
        <f t="shared" si="137"/>
        <v>1.45</v>
      </c>
      <c r="MI15" s="63">
        <f t="shared" si="138"/>
        <v>1.65</v>
      </c>
      <c r="MJ15" s="63">
        <f t="shared" si="139"/>
        <v>2.085</v>
      </c>
      <c r="MK15" s="63">
        <f t="shared" si="140"/>
        <v>0</v>
      </c>
      <c r="ML15" s="74" t="s">
        <v>119</v>
      </c>
      <c r="MM15" s="12">
        <f t="shared" ref="MM15" si="154">IF(MD15&gt;0,MD15,"")</f>
        <v>5.15</v>
      </c>
      <c r="MN15" s="12">
        <f t="shared" ref="MN15" si="155">IF(SUM(LW15:LZ15)-MA15&gt;0,SUM(LW15:LZ15)-MA15,"")</f>
        <v>21.824999999999999</v>
      </c>
      <c r="MO15" s="12">
        <f t="shared" ref="MO15" si="156">IF(SUM(MB15:ME15)-MF15&gt;0,SUM(MB15:ME15)-MF15,"")</f>
        <v>23.080000000000002</v>
      </c>
      <c r="MP15" s="12">
        <f t="shared" ref="MP15" si="157">IF(SUM(MN15:MO15)&gt;0,SUM(MN15:MO15),"")</f>
        <v>44.905000000000001</v>
      </c>
      <c r="MQ15" s="12">
        <f t="shared" si="145"/>
        <v>1.65</v>
      </c>
      <c r="MR15" s="12">
        <f t="shared" ref="MR15" si="158">IF(SUM(MG15:MJ15)-MK15&gt;0,SUM(MG15:MJ15)-MK15,"")</f>
        <v>7.4850000000000003</v>
      </c>
      <c r="MS15" s="12">
        <f t="shared" ref="MS15" si="159">IF(SUM(MP15,MR15)&gt;0,SUM(MP15,MR15),"")</f>
        <v>52.39</v>
      </c>
    </row>
    <row r="18" spans="1:329" x14ac:dyDescent="0.2">
      <c r="B18" s="64" t="s">
        <v>51</v>
      </c>
      <c r="AK18" s="50"/>
      <c r="AL18" s="58">
        <v>11.5</v>
      </c>
      <c r="BH18" s="50"/>
      <c r="BI18" s="58">
        <v>11.2</v>
      </c>
      <c r="CH18" s="50"/>
      <c r="CI18" s="58">
        <v>11.2</v>
      </c>
      <c r="DD18" s="50"/>
      <c r="DE18" s="58">
        <v>11.2</v>
      </c>
      <c r="DZ18" s="50"/>
      <c r="EA18" s="58">
        <v>11.2</v>
      </c>
      <c r="EV18" s="50"/>
      <c r="EW18" s="58">
        <v>11.2</v>
      </c>
      <c r="FR18" s="50"/>
      <c r="FS18" s="58">
        <v>11.2</v>
      </c>
      <c r="GN18" s="50"/>
      <c r="GO18" s="58">
        <v>11.2</v>
      </c>
      <c r="HJ18" s="50"/>
      <c r="HK18" s="58">
        <v>11.2</v>
      </c>
      <c r="IF18" s="50"/>
      <c r="IG18" s="58">
        <v>11.2</v>
      </c>
      <c r="JB18" s="50"/>
      <c r="JC18" s="58">
        <v>11.2</v>
      </c>
      <c r="JX18" s="50"/>
      <c r="JY18" s="58">
        <v>11.2</v>
      </c>
      <c r="KT18" s="50"/>
      <c r="KU18" s="58">
        <v>11.2</v>
      </c>
      <c r="LP18" s="50"/>
      <c r="LQ18" s="58">
        <v>11.2</v>
      </c>
    </row>
    <row r="19" spans="1:329" x14ac:dyDescent="0.2">
      <c r="A19" s="50"/>
      <c r="B19" s="91" t="s">
        <v>76</v>
      </c>
      <c r="C19" s="49"/>
      <c r="AK19" s="50"/>
      <c r="AL19" s="93">
        <v>11.5</v>
      </c>
      <c r="BH19" s="50"/>
      <c r="BI19" s="93">
        <v>11.2</v>
      </c>
      <c r="CH19" s="50"/>
      <c r="CI19" s="93">
        <v>11.2</v>
      </c>
      <c r="DD19" s="50"/>
      <c r="DE19" s="93">
        <v>11.2</v>
      </c>
      <c r="DZ19" s="50"/>
      <c r="EA19" s="93">
        <v>11.2</v>
      </c>
      <c r="EV19" s="50"/>
      <c r="EW19" s="93">
        <v>11.2</v>
      </c>
      <c r="FR19" s="50"/>
      <c r="FS19" s="93">
        <v>11.2</v>
      </c>
      <c r="GN19" s="50"/>
      <c r="GO19" s="93">
        <v>11.2</v>
      </c>
      <c r="HJ19" s="50"/>
      <c r="HK19" s="93">
        <v>11.2</v>
      </c>
      <c r="IF19" s="50"/>
      <c r="IG19" s="93">
        <v>11.2</v>
      </c>
      <c r="JB19" s="50"/>
      <c r="JC19" s="93">
        <v>11.2</v>
      </c>
      <c r="JX19" s="50"/>
      <c r="JY19" s="93">
        <v>11.2</v>
      </c>
      <c r="KT19" s="50"/>
      <c r="KU19" s="93">
        <v>11.2</v>
      </c>
      <c r="LP19" s="50"/>
      <c r="LQ19" s="93">
        <v>11.2</v>
      </c>
    </row>
    <row r="20" spans="1:329" x14ac:dyDescent="0.2">
      <c r="A20" s="50"/>
      <c r="B20" s="65" t="s">
        <v>48</v>
      </c>
      <c r="C20" s="49"/>
      <c r="AK20" s="50"/>
      <c r="AL20" s="59">
        <v>92.2</v>
      </c>
      <c r="BH20" s="50"/>
      <c r="BI20" s="59">
        <v>92.2</v>
      </c>
      <c r="CH20" s="50"/>
      <c r="CI20" s="59">
        <v>92.2</v>
      </c>
      <c r="DD20" s="50"/>
      <c r="DE20" s="59">
        <v>92.2</v>
      </c>
      <c r="DZ20" s="50"/>
      <c r="EA20" s="59">
        <v>92.2</v>
      </c>
      <c r="EV20" s="50"/>
      <c r="EW20" s="59">
        <v>92.2</v>
      </c>
      <c r="FR20" s="50"/>
      <c r="FS20" s="59">
        <v>92.2</v>
      </c>
      <c r="GN20" s="50"/>
      <c r="GO20" s="59">
        <v>92.2</v>
      </c>
      <c r="HJ20" s="50"/>
      <c r="HK20" s="59">
        <v>92.2</v>
      </c>
      <c r="IF20" s="50"/>
      <c r="IG20" s="59">
        <v>92.2</v>
      </c>
      <c r="JB20" s="50"/>
      <c r="JC20" s="59">
        <v>92.2</v>
      </c>
      <c r="JX20" s="50"/>
      <c r="JY20" s="59">
        <v>92.2</v>
      </c>
      <c r="KT20" s="50"/>
      <c r="KU20" s="59">
        <v>92.2</v>
      </c>
      <c r="LP20" s="50"/>
      <c r="LQ20" s="59">
        <v>92.2</v>
      </c>
    </row>
    <row r="21" spans="1:329" hidden="1" x14ac:dyDescent="0.2">
      <c r="A21" s="50"/>
      <c r="B21" s="66" t="s">
        <v>49</v>
      </c>
      <c r="C21" s="49"/>
      <c r="AK21" s="50"/>
      <c r="AL21" s="60">
        <v>95.1</v>
      </c>
      <c r="BH21" s="50"/>
      <c r="BI21" s="60">
        <v>95.1</v>
      </c>
      <c r="CH21" s="50"/>
      <c r="CI21" s="60">
        <v>95.1</v>
      </c>
      <c r="DD21" s="50"/>
      <c r="DE21" s="60">
        <v>95.1</v>
      </c>
      <c r="DZ21" s="50"/>
      <c r="EA21" s="60">
        <v>95.1</v>
      </c>
      <c r="EV21" s="50"/>
      <c r="EW21" s="60">
        <v>95.1</v>
      </c>
      <c r="FR21" s="50"/>
      <c r="FS21" s="60">
        <v>95.1</v>
      </c>
      <c r="GN21" s="50"/>
      <c r="GO21" s="60">
        <v>95.1</v>
      </c>
      <c r="HJ21" s="50"/>
      <c r="HK21" s="60">
        <v>95.1</v>
      </c>
      <c r="IF21" s="50"/>
      <c r="IG21" s="60">
        <v>95.1</v>
      </c>
      <c r="JB21" s="50"/>
      <c r="JC21" s="60">
        <v>95.1</v>
      </c>
      <c r="JX21" s="50"/>
      <c r="JY21" s="60">
        <v>95.1</v>
      </c>
      <c r="KT21" s="50"/>
      <c r="KU21" s="60">
        <v>95.1</v>
      </c>
      <c r="LP21" s="50"/>
      <c r="LQ21" s="60">
        <v>95.1</v>
      </c>
    </row>
    <row r="22" spans="1:329" x14ac:dyDescent="0.2">
      <c r="A22" s="50"/>
      <c r="B22" s="67" t="s">
        <v>70</v>
      </c>
      <c r="C22" s="49"/>
      <c r="AK22" s="50"/>
      <c r="AL22" s="61">
        <v>95.1</v>
      </c>
      <c r="BH22" s="50"/>
      <c r="BI22" s="61">
        <v>95.1</v>
      </c>
      <c r="CH22" s="50"/>
      <c r="CI22" s="61">
        <v>95.1</v>
      </c>
      <c r="DD22" s="50"/>
      <c r="DE22" s="61">
        <v>95.1</v>
      </c>
      <c r="DZ22" s="50"/>
      <c r="EA22" s="61">
        <v>95.1</v>
      </c>
      <c r="EV22" s="50"/>
      <c r="EW22" s="61">
        <v>95.1</v>
      </c>
      <c r="FR22" s="50"/>
      <c r="FS22" s="61">
        <v>95.1</v>
      </c>
      <c r="GN22" s="50"/>
      <c r="GO22" s="61">
        <v>95.1</v>
      </c>
      <c r="HJ22" s="50"/>
      <c r="HK22" s="61">
        <v>95.1</v>
      </c>
      <c r="IF22" s="50"/>
      <c r="IG22" s="61">
        <v>95.1</v>
      </c>
      <c r="JB22" s="50"/>
      <c r="JC22" s="61">
        <v>95.1</v>
      </c>
      <c r="JX22" s="50"/>
      <c r="JY22" s="61">
        <v>95.1</v>
      </c>
      <c r="KT22" s="50"/>
      <c r="KU22" s="61">
        <v>95.1</v>
      </c>
      <c r="LP22" s="50"/>
      <c r="LQ22" s="61">
        <v>95.1</v>
      </c>
    </row>
    <row r="23" spans="1:329" x14ac:dyDescent="0.2">
      <c r="A23" s="50"/>
      <c r="B23" s="68" t="s">
        <v>35</v>
      </c>
      <c r="C23" s="49"/>
      <c r="L23" s="2"/>
      <c r="AK23" s="50"/>
      <c r="AL23" s="62">
        <v>51.5</v>
      </c>
      <c r="BH23" s="50"/>
      <c r="BI23" s="62">
        <v>51.8</v>
      </c>
      <c r="CH23" s="50"/>
      <c r="CI23" s="62">
        <v>51.5</v>
      </c>
      <c r="DD23" s="50"/>
      <c r="DE23" s="62">
        <v>51.5</v>
      </c>
      <c r="DZ23" s="50"/>
      <c r="EA23" s="62">
        <v>51.5</v>
      </c>
      <c r="EV23" s="50"/>
      <c r="EW23" s="62">
        <v>51.5</v>
      </c>
      <c r="FR23" s="50"/>
      <c r="FS23" s="62">
        <v>51.8</v>
      </c>
      <c r="GN23" s="50"/>
      <c r="GO23" s="62">
        <v>51.8</v>
      </c>
      <c r="HJ23" s="50"/>
      <c r="HK23" s="62">
        <v>51.8</v>
      </c>
      <c r="IF23" s="50"/>
      <c r="IG23" s="62">
        <v>51.8</v>
      </c>
      <c r="JB23" s="50"/>
      <c r="JC23" s="62">
        <v>51.8</v>
      </c>
      <c r="JX23" s="50"/>
      <c r="JY23" s="62">
        <v>51.8</v>
      </c>
      <c r="KT23" s="50"/>
      <c r="KU23" s="62">
        <v>51.8</v>
      </c>
      <c r="LP23" s="50"/>
      <c r="LQ23" s="62">
        <v>51.8</v>
      </c>
    </row>
    <row r="24" spans="1:329" x14ac:dyDescent="0.2">
      <c r="A24" s="7"/>
      <c r="B24" s="76" t="s">
        <v>55</v>
      </c>
      <c r="C24" s="49"/>
      <c r="AK24" s="48"/>
      <c r="AL24" t="s">
        <v>132</v>
      </c>
      <c r="CI24" s="48"/>
      <c r="DE24" s="48"/>
      <c r="GO24" s="48"/>
    </row>
    <row r="25" spans="1:329" x14ac:dyDescent="0.2">
      <c r="A25" s="50"/>
      <c r="B25" s="50"/>
      <c r="C25" s="49"/>
    </row>
    <row r="26" spans="1:329" x14ac:dyDescent="0.2">
      <c r="A26" s="50"/>
      <c r="B26" s="50"/>
      <c r="C26" s="49"/>
    </row>
    <row r="27" spans="1:329" x14ac:dyDescent="0.2">
      <c r="A27" s="50"/>
      <c r="B27" s="50"/>
      <c r="C27" s="49"/>
    </row>
  </sheetData>
  <sheetProtection sheet="1" formatCells="0" formatColumns="0" formatRows="0"/>
  <autoFilter ref="A1:LV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15">
      <sortCondition descending="1" ref="F1:F13"/>
    </sortState>
  </autoFilter>
  <mergeCells count="81">
    <mergeCell ref="EG1:FB1"/>
    <mergeCell ref="LA2:LE2"/>
    <mergeCell ref="LF2:LJ2"/>
    <mergeCell ref="LK2:LO2"/>
    <mergeCell ref="JN2:JR2"/>
    <mergeCell ref="JS2:JW2"/>
    <mergeCell ref="KE2:KI2"/>
    <mergeCell ref="KJ2:KN2"/>
    <mergeCell ref="KO2:KS2"/>
    <mergeCell ref="GD2:GH2"/>
    <mergeCell ref="EQ2:EU2"/>
    <mergeCell ref="FC2:FG2"/>
    <mergeCell ref="HV2:HZ2"/>
    <mergeCell ref="IM2:IQ2"/>
    <mergeCell ref="HE2:HI2"/>
    <mergeCell ref="GZ2:HD2"/>
    <mergeCell ref="LW1:MS1"/>
    <mergeCell ref="LW2:MA2"/>
    <mergeCell ref="MB2:MF2"/>
    <mergeCell ref="MG2:MK2"/>
    <mergeCell ref="H1:H3"/>
    <mergeCell ref="LA1:LV1"/>
    <mergeCell ref="FC1:FX1"/>
    <mergeCell ref="FY1:GT1"/>
    <mergeCell ref="JI1:KD1"/>
    <mergeCell ref="GU1:HP1"/>
    <mergeCell ref="HQ1:IL1"/>
    <mergeCell ref="IM1:JH1"/>
    <mergeCell ref="KE1:KZ1"/>
    <mergeCell ref="IR2:IV2"/>
    <mergeCell ref="IW2:JA2"/>
    <mergeCell ref="JI2:JM2"/>
    <mergeCell ref="GI2:GM2"/>
    <mergeCell ref="GU2:GY2"/>
    <mergeCell ref="IA2:IE2"/>
    <mergeCell ref="HQ2:HU2"/>
    <mergeCell ref="BO1:BR1"/>
    <mergeCell ref="FY2:GC2"/>
    <mergeCell ref="EG2:EK2"/>
    <mergeCell ref="EL2:EP2"/>
    <mergeCell ref="CT2:CX2"/>
    <mergeCell ref="CY2:DC2"/>
    <mergeCell ref="DK2:DO2"/>
    <mergeCell ref="DP2:DT2"/>
    <mergeCell ref="FH2:FL2"/>
    <mergeCell ref="FM2:FQ2"/>
    <mergeCell ref="CO1:DJ1"/>
    <mergeCell ref="DK1:EF1"/>
    <mergeCell ref="AR2:AV2"/>
    <mergeCell ref="AW2:BA2"/>
    <mergeCell ref="BB2:BF2"/>
    <mergeCell ref="AR1:BN1"/>
    <mergeCell ref="A1:A3"/>
    <mergeCell ref="B1:B3"/>
    <mergeCell ref="C1:C3"/>
    <mergeCell ref="E1:E3"/>
    <mergeCell ref="G1:G3"/>
    <mergeCell ref="F1:F3"/>
    <mergeCell ref="D1:D3"/>
    <mergeCell ref="Q1:Q3"/>
    <mergeCell ref="CO2:CS2"/>
    <mergeCell ref="DU2:DY2"/>
    <mergeCell ref="BS2:BW2"/>
    <mergeCell ref="BX2:CB2"/>
    <mergeCell ref="CC2:CG2"/>
    <mergeCell ref="BS1:CN1"/>
    <mergeCell ref="I1:I3"/>
    <mergeCell ref="U2:Y2"/>
    <mergeCell ref="Z2:AD2"/>
    <mergeCell ref="U1:AQ1"/>
    <mergeCell ref="AE2:AI2"/>
    <mergeCell ref="S1:S3"/>
    <mergeCell ref="T1:T3"/>
    <mergeCell ref="R1:R3"/>
    <mergeCell ref="J1:J3"/>
    <mergeCell ref="L1:L3"/>
    <mergeCell ref="N1:N3"/>
    <mergeCell ref="P1:P3"/>
    <mergeCell ref="K1:K3"/>
    <mergeCell ref="M1:M3"/>
    <mergeCell ref="O1:O3"/>
  </mergeCells>
  <conditionalFormatting sqref="A1:A1048576">
    <cfRule type="expression" dxfId="126" priority="90">
      <formula>AND(H1="P",F1="")</formula>
    </cfRule>
  </conditionalFormatting>
  <conditionalFormatting sqref="U4:AQ15">
    <cfRule type="expression" dxfId="125" priority="23">
      <formula>IF($AJ4&lt;&gt;"",1,0)</formula>
    </cfRule>
  </conditionalFormatting>
  <conditionalFormatting sqref="AR4:BN15">
    <cfRule type="expression" dxfId="124" priority="20">
      <formula>IF($BG4&lt;&gt;"",1,0)</formula>
    </cfRule>
  </conditionalFormatting>
  <conditionalFormatting sqref="I1:I1048576">
    <cfRule type="containsText" dxfId="123" priority="7" operator="containsText" text="No DD">
      <formula>NOT(ISERROR(SEARCH("No DD",I1)))</formula>
    </cfRule>
    <cfRule type="containsText" dxfId="122" priority="15" operator="containsText" text="Merit">
      <formula>NOT(ISERROR(SEARCH("Merit",I1)))</formula>
    </cfRule>
    <cfRule type="containsText" dxfId="121" priority="16" operator="containsText" text="Excellence">
      <formula>NOT(ISERROR(SEARCH("Excellence",I1)))</formula>
    </cfRule>
    <cfRule type="containsText" dxfId="120" priority="17" operator="containsText" text="Worlds Team">
      <formula>NOT(ISERROR(SEARCH("Worlds Team",I1)))</formula>
    </cfRule>
    <cfRule type="containsText" dxfId="119" priority="18" operator="containsText" text="National Team">
      <formula>NOT(ISERROR(SEARCH("National Team",I1)))</formula>
    </cfRule>
  </conditionalFormatting>
  <conditionalFormatting sqref="K1:K1048576 M1:M1048576 O1:O1048576 Q1:Q1048576">
    <cfRule type="expression" dxfId="118" priority="382">
      <formula>IF(K1=$AR$1,1,0)</formula>
    </cfRule>
    <cfRule type="expression" dxfId="117" priority="384">
      <formula>IF(K1=$U$1,1,0)</formula>
    </cfRule>
  </conditionalFormatting>
  <conditionalFormatting sqref="CJ1:CJ1048576 DF1:DF1048576 EB1:EB1048576 EX1:EX1048576 FT1:FT1048576 GP1:GP1048576 HL1:HL1048576 IH1:IH1048576 JD1:JD1048576 JZ1:JZ1048576 KV1:KV1048576 LR1:LR1048576">
    <cfRule type="cellIs" dxfId="116" priority="14598" operator="between">
      <formula>CI$23</formula>
      <formula>1000</formula>
    </cfRule>
  </conditionalFormatting>
  <conditionalFormatting sqref="DI1:DI1048576 CM1:CM1048576 EE1:EE1048576 FW1:FW1048576 HO1:HO1048576 JG1:JG1048576 KY1:KY1048576 LU1:LU1048576 KC1:KC1048576 IK1:IK1048576 GS1:GS1048576 FA1:FA1048576">
    <cfRule type="cellIs" dxfId="115" priority="14634" operator="between">
      <formula>CI$23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14" priority="14637" operator="between">
      <formula>CI$22</formula>
      <formula>1000</formula>
    </cfRule>
    <cfRule type="cellIs" dxfId="113" priority="14638" operator="between">
      <formula>CI$21</formula>
      <formula>CI$22</formula>
    </cfRule>
    <cfRule type="cellIs" dxfId="112" priority="14639" operator="between">
      <formula>CI$20</formula>
      <formula>CI$21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11" priority="14745" operator="between">
      <formula>CI$19</formula>
      <formula>1000</formula>
    </cfRule>
    <cfRule type="cellIs" dxfId="110" priority="14746" operator="between">
      <formula>CI$18</formula>
      <formula>CI$19</formula>
    </cfRule>
  </conditionalFormatting>
  <conditionalFormatting sqref="AN1:AN1048576 BK1:BK1048576">
    <cfRule type="expression" dxfId="109" priority="14817">
      <formula>IF(AND(AN1&gt;=AL$22,AN1&lt;1000,AJ1=""),1,0)</formula>
    </cfRule>
    <cfRule type="expression" dxfId="108" priority="14818">
      <formula>IF(AND(AN1&gt;=AL$21,AN1&lt;AL$22,AJ1=""),1,0)</formula>
    </cfRule>
    <cfRule type="expression" dxfId="107" priority="14819">
      <formula>IF(AND(AN1&gt;=AL$20,AN1&lt;AL$21,AJ1=""),1,0)</formula>
    </cfRule>
  </conditionalFormatting>
  <conditionalFormatting sqref="AM1:AM1048576 BJ1:BJ1048576">
    <cfRule type="expression" dxfId="106" priority="14835">
      <formula>IF(AND(AM1&gt;=AL$23,AM1&lt;1000,AJ1=""),1,0)</formula>
    </cfRule>
  </conditionalFormatting>
  <conditionalFormatting sqref="BM1:BM1048576 AP1:AP1048576">
    <cfRule type="expression" dxfId="105" priority="14841">
      <formula>IF(AND(AP1&gt;=AL$23,AP1&lt;1000,AJ1=""),1,0)</formula>
    </cfRule>
  </conditionalFormatting>
  <conditionalFormatting sqref="AK1:AK1048576 BH1:BH1048576">
    <cfRule type="expression" dxfId="104" priority="14844">
      <formula>IF(AND(AK1&gt;=AL$19,AK1&lt;100,AJ1=""),1,0)</formula>
    </cfRule>
    <cfRule type="expression" dxfId="103" priority="14845">
      <formula>IF(AND(AK1&gt;=AL$18,AK1&lt;AL$19,AJ1=""),1,0)</formula>
    </cfRule>
  </conditionalFormatting>
  <conditionalFormatting sqref="AO1:AO1048576 BL1:BL1048576">
    <cfRule type="expression" dxfId="102" priority="14892">
      <formula>IF(AND(AO1&gt;=AL$19,AO1&lt;100,AJ1=""),1,0)</formula>
    </cfRule>
    <cfRule type="expression" dxfId="101" priority="14893">
      <formula>IF(AND(AO1&gt;=AL$18,AO1&lt;AL$19,AJ1=""),1,0)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00" priority="14904">
      <formula>IF(AND(CL1&gt;=CI$19,CL1&lt;100),1,0)</formula>
    </cfRule>
    <cfRule type="expression" dxfId="99" priority="14905">
      <formula>IF(AND(CL1&gt;=CI$18,CL1&lt;CI$19),1,0)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12" t="s">
        <v>1</v>
      </c>
      <c r="B1" s="112" t="s">
        <v>26</v>
      </c>
      <c r="C1" s="112" t="s">
        <v>0</v>
      </c>
      <c r="D1" s="112" t="s">
        <v>56</v>
      </c>
      <c r="E1" s="112" t="s">
        <v>2</v>
      </c>
      <c r="F1" s="119" t="s">
        <v>68</v>
      </c>
      <c r="G1" s="119" t="s">
        <v>69</v>
      </c>
      <c r="H1" s="119" t="s">
        <v>8</v>
      </c>
      <c r="I1" s="112" t="s">
        <v>9</v>
      </c>
      <c r="J1" s="114" t="s">
        <v>10</v>
      </c>
      <c r="K1" s="114" t="s">
        <v>33</v>
      </c>
      <c r="L1" s="114" t="s">
        <v>13</v>
      </c>
      <c r="M1" s="114" t="s">
        <v>33</v>
      </c>
      <c r="N1" s="116" t="s">
        <v>14</v>
      </c>
      <c r="O1" s="114" t="s">
        <v>34</v>
      </c>
      <c r="P1" s="114" t="s">
        <v>33</v>
      </c>
      <c r="Q1" s="115" t="s">
        <v>53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7" t="s">
        <v>122</v>
      </c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8" t="s">
        <v>67</v>
      </c>
      <c r="BH1" s="118"/>
      <c r="BI1" s="115" t="s">
        <v>65</v>
      </c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7"/>
      <c r="CD1" s="117"/>
      <c r="CE1" s="117"/>
      <c r="CF1" s="117"/>
      <c r="CG1" s="117"/>
      <c r="CH1" s="117"/>
      <c r="CI1" s="117"/>
      <c r="CJ1" s="117"/>
      <c r="CK1" s="117"/>
      <c r="CL1" s="117"/>
      <c r="CM1" s="117"/>
      <c r="CN1" s="117"/>
      <c r="CO1" s="117"/>
      <c r="CP1" s="117"/>
      <c r="CQ1" s="117"/>
      <c r="CR1" s="117"/>
      <c r="CS1" s="117"/>
      <c r="CT1" s="117"/>
      <c r="CU1" s="117"/>
      <c r="CV1" s="117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7"/>
      <c r="DR1" s="117"/>
      <c r="DS1" s="117"/>
      <c r="DT1" s="117"/>
      <c r="DU1" s="117"/>
      <c r="DV1" s="117"/>
      <c r="DW1" s="117"/>
      <c r="DX1" s="117"/>
      <c r="DY1" s="117"/>
      <c r="DZ1" s="117"/>
      <c r="EA1" s="117"/>
      <c r="EB1" s="117"/>
      <c r="EC1" s="117"/>
      <c r="ED1" s="117"/>
      <c r="EE1" s="117"/>
      <c r="EF1" s="117"/>
      <c r="EG1" s="117"/>
      <c r="EH1" s="117"/>
      <c r="EI1" s="117"/>
      <c r="EJ1" s="117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7"/>
      <c r="FF1" s="117"/>
      <c r="FG1" s="117"/>
      <c r="FH1" s="117"/>
      <c r="FI1" s="117"/>
      <c r="FJ1" s="117"/>
      <c r="FK1" s="117"/>
      <c r="FL1" s="117"/>
      <c r="FM1" s="117"/>
      <c r="FN1" s="117"/>
      <c r="FO1" s="117"/>
      <c r="FP1" s="117"/>
      <c r="FQ1" s="117"/>
      <c r="FR1" s="117"/>
      <c r="FS1" s="117"/>
      <c r="FT1" s="117"/>
      <c r="FU1" s="117"/>
      <c r="FV1" s="117"/>
      <c r="FW1" s="117"/>
      <c r="FX1" s="117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7"/>
      <c r="GT1" s="117"/>
      <c r="GU1" s="117"/>
      <c r="GV1" s="117"/>
      <c r="GW1" s="117"/>
      <c r="GX1" s="117"/>
      <c r="GY1" s="117"/>
      <c r="GZ1" s="117"/>
      <c r="HA1" s="117"/>
      <c r="HB1" s="117"/>
      <c r="HC1" s="117"/>
      <c r="HD1" s="117"/>
      <c r="HE1" s="117"/>
      <c r="HF1" s="117"/>
      <c r="HG1" s="117"/>
      <c r="HH1" s="117"/>
      <c r="HI1" s="117"/>
      <c r="HJ1" s="117"/>
      <c r="HK1" s="117"/>
      <c r="HL1" s="117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7"/>
      <c r="IH1" s="117"/>
      <c r="II1" s="117"/>
      <c r="IJ1" s="117"/>
      <c r="IK1" s="117"/>
      <c r="IL1" s="117"/>
      <c r="IM1" s="117"/>
      <c r="IN1" s="117"/>
      <c r="IO1" s="117"/>
      <c r="IP1" s="117"/>
      <c r="IQ1" s="117"/>
      <c r="IR1" s="117"/>
      <c r="IS1" s="117"/>
      <c r="IT1" s="117"/>
      <c r="IU1" s="117"/>
      <c r="IV1" s="117"/>
      <c r="IW1" s="117"/>
      <c r="IX1" s="117"/>
      <c r="IY1" s="117"/>
      <c r="IZ1" s="117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7"/>
      <c r="KF1" s="117"/>
      <c r="KG1" s="117"/>
      <c r="KH1" s="117"/>
      <c r="KI1" s="117"/>
      <c r="KJ1" s="117"/>
      <c r="KK1" s="117"/>
      <c r="KL1" s="117"/>
      <c r="KM1" s="117"/>
      <c r="KN1" s="117"/>
      <c r="KO1" s="115" t="s">
        <v>120</v>
      </c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</row>
    <row r="2" spans="1:321" x14ac:dyDescent="0.2">
      <c r="A2" s="112"/>
      <c r="B2" s="112"/>
      <c r="C2" s="112"/>
      <c r="D2" s="112"/>
      <c r="E2" s="112"/>
      <c r="F2" s="119"/>
      <c r="G2" s="119"/>
      <c r="H2" s="119"/>
      <c r="I2" s="112"/>
      <c r="J2" s="114"/>
      <c r="K2" s="114"/>
      <c r="L2" s="114"/>
      <c r="M2" s="114"/>
      <c r="N2" s="116"/>
      <c r="O2" s="114"/>
      <c r="P2" s="114"/>
      <c r="Q2" s="110" t="s">
        <v>27</v>
      </c>
      <c r="R2" s="110"/>
      <c r="S2" s="110"/>
      <c r="T2" s="110"/>
      <c r="U2" s="110" t="s">
        <v>30</v>
      </c>
      <c r="V2" s="110"/>
      <c r="W2" s="110"/>
      <c r="X2" s="110"/>
      <c r="Y2" s="110" t="s">
        <v>31</v>
      </c>
      <c r="Z2" s="110"/>
      <c r="AA2" s="110"/>
      <c r="AB2" s="110"/>
      <c r="AC2" s="121" t="s">
        <v>32</v>
      </c>
      <c r="AD2" s="121"/>
      <c r="AE2" s="121"/>
      <c r="AF2" s="121"/>
      <c r="AG2" s="72"/>
      <c r="AH2" s="52" t="s">
        <v>25</v>
      </c>
      <c r="AI2" s="10" t="s">
        <v>24</v>
      </c>
      <c r="AJ2" s="10" t="s">
        <v>23</v>
      </c>
      <c r="AK2" s="10" t="s">
        <v>18</v>
      </c>
      <c r="AL2" s="111" t="s">
        <v>27</v>
      </c>
      <c r="AM2" s="111"/>
      <c r="AN2" s="111"/>
      <c r="AO2" s="111"/>
      <c r="AP2" s="111" t="s">
        <v>30</v>
      </c>
      <c r="AQ2" s="111"/>
      <c r="AR2" s="111"/>
      <c r="AS2" s="111"/>
      <c r="AT2" s="111" t="s">
        <v>31</v>
      </c>
      <c r="AU2" s="111"/>
      <c r="AV2" s="111"/>
      <c r="AW2" s="111"/>
      <c r="AX2" s="120" t="s">
        <v>32</v>
      </c>
      <c r="AY2" s="120"/>
      <c r="AZ2" s="120"/>
      <c r="BA2" s="120"/>
      <c r="BB2" s="73"/>
      <c r="BC2" s="51" t="s">
        <v>25</v>
      </c>
      <c r="BD2" s="13" t="s">
        <v>24</v>
      </c>
      <c r="BE2" s="13" t="s">
        <v>23</v>
      </c>
      <c r="BF2" s="13" t="s">
        <v>18</v>
      </c>
      <c r="BG2" s="22" t="s">
        <v>24</v>
      </c>
      <c r="BH2" s="22" t="s">
        <v>23</v>
      </c>
      <c r="BI2" s="110" t="s">
        <v>27</v>
      </c>
      <c r="BJ2" s="110"/>
      <c r="BK2" s="110"/>
      <c r="BL2" s="110"/>
      <c r="BM2" s="110" t="s">
        <v>30</v>
      </c>
      <c r="BN2" s="110"/>
      <c r="BO2" s="110"/>
      <c r="BP2" s="110"/>
      <c r="BQ2" s="110" t="s">
        <v>31</v>
      </c>
      <c r="BR2" s="110"/>
      <c r="BS2" s="110"/>
      <c r="BT2" s="110"/>
      <c r="BU2" s="122" t="s">
        <v>32</v>
      </c>
      <c r="BV2" s="122"/>
      <c r="BW2" s="122"/>
      <c r="BX2" s="122"/>
      <c r="BY2" s="52" t="s">
        <v>25</v>
      </c>
      <c r="BZ2" s="10" t="s">
        <v>24</v>
      </c>
      <c r="CA2" s="10" t="s">
        <v>23</v>
      </c>
      <c r="CB2" s="10" t="s">
        <v>18</v>
      </c>
      <c r="CC2" s="111" t="s">
        <v>27</v>
      </c>
      <c r="CD2" s="111"/>
      <c r="CE2" s="111"/>
      <c r="CF2" s="111"/>
      <c r="CG2" s="111" t="s">
        <v>30</v>
      </c>
      <c r="CH2" s="111"/>
      <c r="CI2" s="111"/>
      <c r="CJ2" s="111"/>
      <c r="CK2" s="111" t="s">
        <v>31</v>
      </c>
      <c r="CL2" s="111"/>
      <c r="CM2" s="111"/>
      <c r="CN2" s="111"/>
      <c r="CO2" s="120" t="s">
        <v>32</v>
      </c>
      <c r="CP2" s="120"/>
      <c r="CQ2" s="120"/>
      <c r="CR2" s="120"/>
      <c r="CS2" s="51" t="s">
        <v>25</v>
      </c>
      <c r="CT2" s="13" t="s">
        <v>24</v>
      </c>
      <c r="CU2" s="13" t="s">
        <v>23</v>
      </c>
      <c r="CV2" s="13" t="s">
        <v>18</v>
      </c>
      <c r="CW2" s="110" t="s">
        <v>27</v>
      </c>
      <c r="CX2" s="110"/>
      <c r="CY2" s="110"/>
      <c r="CZ2" s="110"/>
      <c r="DA2" s="110" t="s">
        <v>30</v>
      </c>
      <c r="DB2" s="110"/>
      <c r="DC2" s="110"/>
      <c r="DD2" s="110"/>
      <c r="DE2" s="110" t="s">
        <v>31</v>
      </c>
      <c r="DF2" s="110"/>
      <c r="DG2" s="110"/>
      <c r="DH2" s="110"/>
      <c r="DI2" s="122" t="s">
        <v>32</v>
      </c>
      <c r="DJ2" s="122"/>
      <c r="DK2" s="122"/>
      <c r="DL2" s="122"/>
      <c r="DM2" s="52" t="s">
        <v>25</v>
      </c>
      <c r="DN2" s="10" t="s">
        <v>24</v>
      </c>
      <c r="DO2" s="10" t="s">
        <v>23</v>
      </c>
      <c r="DP2" s="10" t="s">
        <v>18</v>
      </c>
      <c r="DQ2" s="111" t="s">
        <v>27</v>
      </c>
      <c r="DR2" s="111"/>
      <c r="DS2" s="111"/>
      <c r="DT2" s="111"/>
      <c r="DU2" s="111" t="s">
        <v>30</v>
      </c>
      <c r="DV2" s="111"/>
      <c r="DW2" s="111"/>
      <c r="DX2" s="111"/>
      <c r="DY2" s="111" t="s">
        <v>31</v>
      </c>
      <c r="DZ2" s="111"/>
      <c r="EA2" s="111"/>
      <c r="EB2" s="111"/>
      <c r="EC2" s="120" t="s">
        <v>32</v>
      </c>
      <c r="ED2" s="120"/>
      <c r="EE2" s="120"/>
      <c r="EF2" s="120"/>
      <c r="EG2" s="20" t="s">
        <v>25</v>
      </c>
      <c r="EH2" s="13" t="s">
        <v>24</v>
      </c>
      <c r="EI2" s="13" t="s">
        <v>23</v>
      </c>
      <c r="EJ2" s="13" t="s">
        <v>18</v>
      </c>
      <c r="EK2" s="110" t="s">
        <v>27</v>
      </c>
      <c r="EL2" s="110"/>
      <c r="EM2" s="110"/>
      <c r="EN2" s="110"/>
      <c r="EO2" s="110" t="s">
        <v>30</v>
      </c>
      <c r="EP2" s="110"/>
      <c r="EQ2" s="110"/>
      <c r="ER2" s="110"/>
      <c r="ES2" s="110" t="s">
        <v>31</v>
      </c>
      <c r="ET2" s="110"/>
      <c r="EU2" s="110"/>
      <c r="EV2" s="110"/>
      <c r="EW2" s="122" t="s">
        <v>32</v>
      </c>
      <c r="EX2" s="122"/>
      <c r="EY2" s="122"/>
      <c r="EZ2" s="122"/>
      <c r="FA2" s="21" t="s">
        <v>25</v>
      </c>
      <c r="FB2" s="10" t="s">
        <v>24</v>
      </c>
      <c r="FC2" s="10" t="s">
        <v>23</v>
      </c>
      <c r="FD2" s="10" t="s">
        <v>18</v>
      </c>
      <c r="FE2" s="111" t="s">
        <v>27</v>
      </c>
      <c r="FF2" s="111"/>
      <c r="FG2" s="111"/>
      <c r="FH2" s="111"/>
      <c r="FI2" s="111" t="s">
        <v>30</v>
      </c>
      <c r="FJ2" s="111"/>
      <c r="FK2" s="111"/>
      <c r="FL2" s="111"/>
      <c r="FM2" s="111" t="s">
        <v>31</v>
      </c>
      <c r="FN2" s="111"/>
      <c r="FO2" s="111"/>
      <c r="FP2" s="111"/>
      <c r="FQ2" s="120" t="s">
        <v>32</v>
      </c>
      <c r="FR2" s="120"/>
      <c r="FS2" s="120"/>
      <c r="FT2" s="120"/>
      <c r="FU2" s="20" t="s">
        <v>25</v>
      </c>
      <c r="FV2" s="13" t="s">
        <v>24</v>
      </c>
      <c r="FW2" s="13" t="s">
        <v>23</v>
      </c>
      <c r="FX2" s="13" t="s">
        <v>18</v>
      </c>
      <c r="FY2" s="110" t="s">
        <v>27</v>
      </c>
      <c r="FZ2" s="110"/>
      <c r="GA2" s="110"/>
      <c r="GB2" s="110"/>
      <c r="GC2" s="110" t="s">
        <v>30</v>
      </c>
      <c r="GD2" s="110"/>
      <c r="GE2" s="110"/>
      <c r="GF2" s="110"/>
      <c r="GG2" s="110" t="s">
        <v>31</v>
      </c>
      <c r="GH2" s="110"/>
      <c r="GI2" s="110"/>
      <c r="GJ2" s="110"/>
      <c r="GK2" s="122" t="s">
        <v>32</v>
      </c>
      <c r="GL2" s="122"/>
      <c r="GM2" s="122"/>
      <c r="GN2" s="122"/>
      <c r="GO2" s="21" t="s">
        <v>25</v>
      </c>
      <c r="GP2" s="10" t="s">
        <v>24</v>
      </c>
      <c r="GQ2" s="10" t="s">
        <v>23</v>
      </c>
      <c r="GR2" s="10" t="s">
        <v>18</v>
      </c>
      <c r="GS2" s="111" t="s">
        <v>27</v>
      </c>
      <c r="GT2" s="111"/>
      <c r="GU2" s="111"/>
      <c r="GV2" s="111"/>
      <c r="GW2" s="111" t="s">
        <v>30</v>
      </c>
      <c r="GX2" s="111"/>
      <c r="GY2" s="111"/>
      <c r="GZ2" s="111"/>
      <c r="HA2" s="111" t="s">
        <v>31</v>
      </c>
      <c r="HB2" s="111"/>
      <c r="HC2" s="111"/>
      <c r="HD2" s="111"/>
      <c r="HE2" s="120" t="s">
        <v>32</v>
      </c>
      <c r="HF2" s="120"/>
      <c r="HG2" s="120"/>
      <c r="HH2" s="120"/>
      <c r="HI2" s="20" t="s">
        <v>25</v>
      </c>
      <c r="HJ2" s="13" t="s">
        <v>24</v>
      </c>
      <c r="HK2" s="13" t="s">
        <v>23</v>
      </c>
      <c r="HL2" s="13" t="s">
        <v>18</v>
      </c>
      <c r="HM2" s="110" t="s">
        <v>27</v>
      </c>
      <c r="HN2" s="110"/>
      <c r="HO2" s="110"/>
      <c r="HP2" s="110"/>
      <c r="HQ2" s="110" t="s">
        <v>30</v>
      </c>
      <c r="HR2" s="110"/>
      <c r="HS2" s="110"/>
      <c r="HT2" s="110"/>
      <c r="HU2" s="110" t="s">
        <v>31</v>
      </c>
      <c r="HV2" s="110"/>
      <c r="HW2" s="110"/>
      <c r="HX2" s="110"/>
      <c r="HY2" s="122" t="s">
        <v>32</v>
      </c>
      <c r="HZ2" s="122"/>
      <c r="IA2" s="122"/>
      <c r="IB2" s="122"/>
      <c r="IC2" s="21" t="s">
        <v>25</v>
      </c>
      <c r="ID2" s="10" t="s">
        <v>24</v>
      </c>
      <c r="IE2" s="10" t="s">
        <v>23</v>
      </c>
      <c r="IF2" s="10" t="s">
        <v>18</v>
      </c>
      <c r="IG2" s="111" t="s">
        <v>27</v>
      </c>
      <c r="IH2" s="111"/>
      <c r="II2" s="111"/>
      <c r="IJ2" s="111"/>
      <c r="IK2" s="111" t="s">
        <v>30</v>
      </c>
      <c r="IL2" s="111"/>
      <c r="IM2" s="111"/>
      <c r="IN2" s="111"/>
      <c r="IO2" s="111" t="s">
        <v>31</v>
      </c>
      <c r="IP2" s="111"/>
      <c r="IQ2" s="111"/>
      <c r="IR2" s="111"/>
      <c r="IS2" s="120" t="s">
        <v>32</v>
      </c>
      <c r="IT2" s="120"/>
      <c r="IU2" s="120"/>
      <c r="IV2" s="120"/>
      <c r="IW2" s="20" t="s">
        <v>25</v>
      </c>
      <c r="IX2" s="13" t="s">
        <v>24</v>
      </c>
      <c r="IY2" s="13" t="s">
        <v>23</v>
      </c>
      <c r="IZ2" s="13" t="s">
        <v>18</v>
      </c>
      <c r="JA2" s="110" t="s">
        <v>27</v>
      </c>
      <c r="JB2" s="110"/>
      <c r="JC2" s="110"/>
      <c r="JD2" s="110"/>
      <c r="JE2" s="110" t="s">
        <v>30</v>
      </c>
      <c r="JF2" s="110"/>
      <c r="JG2" s="110"/>
      <c r="JH2" s="110"/>
      <c r="JI2" s="110" t="s">
        <v>31</v>
      </c>
      <c r="JJ2" s="110"/>
      <c r="JK2" s="110"/>
      <c r="JL2" s="110"/>
      <c r="JM2" s="122" t="s">
        <v>32</v>
      </c>
      <c r="JN2" s="122"/>
      <c r="JO2" s="122"/>
      <c r="JP2" s="122"/>
      <c r="JQ2" s="21" t="s">
        <v>25</v>
      </c>
      <c r="JR2" s="10" t="s">
        <v>24</v>
      </c>
      <c r="JS2" s="10" t="s">
        <v>23</v>
      </c>
      <c r="JT2" s="10" t="s">
        <v>18</v>
      </c>
      <c r="JU2" s="111" t="s">
        <v>27</v>
      </c>
      <c r="JV2" s="111"/>
      <c r="JW2" s="111"/>
      <c r="JX2" s="111"/>
      <c r="JY2" s="111" t="s">
        <v>30</v>
      </c>
      <c r="JZ2" s="111"/>
      <c r="KA2" s="111"/>
      <c r="KB2" s="111"/>
      <c r="KC2" s="111" t="s">
        <v>31</v>
      </c>
      <c r="KD2" s="111"/>
      <c r="KE2" s="111"/>
      <c r="KF2" s="111"/>
      <c r="KG2" s="120" t="s">
        <v>32</v>
      </c>
      <c r="KH2" s="120"/>
      <c r="KI2" s="120"/>
      <c r="KJ2" s="120"/>
      <c r="KK2" s="20" t="s">
        <v>25</v>
      </c>
      <c r="KL2" s="13" t="s">
        <v>24</v>
      </c>
      <c r="KM2" s="13" t="s">
        <v>23</v>
      </c>
      <c r="KN2" s="13" t="s">
        <v>18</v>
      </c>
      <c r="KO2" s="110" t="s">
        <v>27</v>
      </c>
      <c r="KP2" s="110"/>
      <c r="KQ2" s="110"/>
      <c r="KR2" s="110"/>
      <c r="KS2" s="110" t="s">
        <v>30</v>
      </c>
      <c r="KT2" s="110"/>
      <c r="KU2" s="110"/>
      <c r="KV2" s="110"/>
      <c r="KW2" s="110" t="s">
        <v>31</v>
      </c>
      <c r="KX2" s="110"/>
      <c r="KY2" s="110"/>
      <c r="KZ2" s="110"/>
      <c r="LA2" s="121" t="s">
        <v>32</v>
      </c>
      <c r="LB2" s="121"/>
      <c r="LC2" s="121"/>
      <c r="LD2" s="121"/>
      <c r="LE2" s="105"/>
      <c r="LF2" s="105" t="s">
        <v>25</v>
      </c>
      <c r="LG2" s="10" t="s">
        <v>24</v>
      </c>
      <c r="LH2" s="10" t="s">
        <v>23</v>
      </c>
      <c r="LI2" s="10" t="s">
        <v>18</v>
      </c>
    </row>
    <row r="3" spans="1:321" x14ac:dyDescent="0.2">
      <c r="A3" s="112"/>
      <c r="B3" s="112"/>
      <c r="C3" s="112"/>
      <c r="D3" s="112"/>
      <c r="E3" s="112"/>
      <c r="F3" s="119"/>
      <c r="G3" s="119"/>
      <c r="H3" s="119"/>
      <c r="I3" s="112"/>
      <c r="J3" s="114"/>
      <c r="K3" s="114"/>
      <c r="L3" s="114"/>
      <c r="M3" s="114"/>
      <c r="N3" s="116"/>
      <c r="O3" s="114"/>
      <c r="P3" s="114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54</v>
      </c>
      <c r="AH3" s="11"/>
      <c r="AI3" s="10"/>
      <c r="AJ3" s="11"/>
      <c r="AK3" s="11"/>
      <c r="AL3" s="51" t="s">
        <v>15</v>
      </c>
      <c r="AM3" s="51" t="s">
        <v>7</v>
      </c>
      <c r="AN3" s="51" t="s">
        <v>28</v>
      </c>
      <c r="AO3" s="51" t="s">
        <v>29</v>
      </c>
      <c r="AP3" s="51" t="s">
        <v>15</v>
      </c>
      <c r="AQ3" s="51" t="s">
        <v>7</v>
      </c>
      <c r="AR3" s="51" t="s">
        <v>28</v>
      </c>
      <c r="AS3" s="51" t="s">
        <v>29</v>
      </c>
      <c r="AT3" s="51" t="s">
        <v>15</v>
      </c>
      <c r="AU3" s="51" t="s">
        <v>7</v>
      </c>
      <c r="AV3" s="51" t="s">
        <v>28</v>
      </c>
      <c r="AW3" s="51" t="s">
        <v>29</v>
      </c>
      <c r="AX3" s="53" t="s">
        <v>15</v>
      </c>
      <c r="AY3" s="53" t="s">
        <v>7</v>
      </c>
      <c r="AZ3" s="53" t="s">
        <v>28</v>
      </c>
      <c r="BA3" s="53" t="s">
        <v>29</v>
      </c>
      <c r="BB3" s="73" t="s">
        <v>54</v>
      </c>
      <c r="BC3" s="14"/>
      <c r="BD3" s="13"/>
      <c r="BE3" s="14"/>
      <c r="BF3" s="14"/>
      <c r="BG3" s="23"/>
      <c r="BH3" s="23"/>
      <c r="BI3" s="52" t="s">
        <v>15</v>
      </c>
      <c r="BJ3" s="52" t="s">
        <v>7</v>
      </c>
      <c r="BK3" s="52" t="s">
        <v>28</v>
      </c>
      <c r="BL3" s="52" t="s">
        <v>29</v>
      </c>
      <c r="BM3" s="52" t="s">
        <v>15</v>
      </c>
      <c r="BN3" s="52" t="s">
        <v>7</v>
      </c>
      <c r="BO3" s="52" t="s">
        <v>28</v>
      </c>
      <c r="BP3" s="52" t="s">
        <v>29</v>
      </c>
      <c r="BQ3" s="52" t="s">
        <v>15</v>
      </c>
      <c r="BR3" s="52" t="s">
        <v>7</v>
      </c>
      <c r="BS3" s="52" t="s">
        <v>28</v>
      </c>
      <c r="BT3" s="52" t="s">
        <v>29</v>
      </c>
      <c r="BU3" s="54" t="s">
        <v>15</v>
      </c>
      <c r="BV3" s="54" t="s">
        <v>7</v>
      </c>
      <c r="BW3" s="54" t="s">
        <v>28</v>
      </c>
      <c r="BX3" s="54" t="s">
        <v>29</v>
      </c>
      <c r="BY3" s="11"/>
      <c r="BZ3" s="10"/>
      <c r="CA3" s="11"/>
      <c r="CB3" s="11"/>
      <c r="CC3" s="51" t="s">
        <v>15</v>
      </c>
      <c r="CD3" s="51" t="s">
        <v>7</v>
      </c>
      <c r="CE3" s="51" t="s">
        <v>28</v>
      </c>
      <c r="CF3" s="51" t="s">
        <v>29</v>
      </c>
      <c r="CG3" s="51" t="s">
        <v>15</v>
      </c>
      <c r="CH3" s="51" t="s">
        <v>7</v>
      </c>
      <c r="CI3" s="51" t="s">
        <v>28</v>
      </c>
      <c r="CJ3" s="51" t="s">
        <v>29</v>
      </c>
      <c r="CK3" s="51" t="s">
        <v>15</v>
      </c>
      <c r="CL3" s="51" t="s">
        <v>7</v>
      </c>
      <c r="CM3" s="51" t="s">
        <v>28</v>
      </c>
      <c r="CN3" s="51" t="s">
        <v>29</v>
      </c>
      <c r="CO3" s="53" t="s">
        <v>15</v>
      </c>
      <c r="CP3" s="53" t="s">
        <v>7</v>
      </c>
      <c r="CQ3" s="53" t="s">
        <v>28</v>
      </c>
      <c r="CR3" s="53" t="s">
        <v>29</v>
      </c>
      <c r="CS3" s="14"/>
      <c r="CT3" s="13"/>
      <c r="CU3" s="14"/>
      <c r="CV3" s="14"/>
      <c r="CW3" s="52" t="s">
        <v>15</v>
      </c>
      <c r="CX3" s="52" t="s">
        <v>7</v>
      </c>
      <c r="CY3" s="52" t="s">
        <v>28</v>
      </c>
      <c r="CZ3" s="52" t="s">
        <v>29</v>
      </c>
      <c r="DA3" s="52" t="s">
        <v>15</v>
      </c>
      <c r="DB3" s="52" t="s">
        <v>7</v>
      </c>
      <c r="DC3" s="52" t="s">
        <v>28</v>
      </c>
      <c r="DD3" s="52" t="s">
        <v>29</v>
      </c>
      <c r="DE3" s="52" t="s">
        <v>15</v>
      </c>
      <c r="DF3" s="52" t="s">
        <v>7</v>
      </c>
      <c r="DG3" s="52" t="s">
        <v>28</v>
      </c>
      <c r="DH3" s="52" t="s">
        <v>29</v>
      </c>
      <c r="DI3" s="54" t="s">
        <v>15</v>
      </c>
      <c r="DJ3" s="54" t="s">
        <v>7</v>
      </c>
      <c r="DK3" s="54" t="s">
        <v>28</v>
      </c>
      <c r="DL3" s="54" t="s">
        <v>29</v>
      </c>
      <c r="DM3" s="11"/>
      <c r="DN3" s="10"/>
      <c r="DO3" s="11"/>
      <c r="DP3" s="11"/>
      <c r="DQ3" s="28" t="s">
        <v>15</v>
      </c>
      <c r="DR3" s="28" t="s">
        <v>7</v>
      </c>
      <c r="DS3" s="28" t="s">
        <v>28</v>
      </c>
      <c r="DT3" s="28" t="s">
        <v>29</v>
      </c>
      <c r="DU3" s="28" t="s">
        <v>15</v>
      </c>
      <c r="DV3" s="28" t="s">
        <v>7</v>
      </c>
      <c r="DW3" s="28" t="s">
        <v>28</v>
      </c>
      <c r="DX3" s="28" t="s">
        <v>29</v>
      </c>
      <c r="DY3" s="28" t="s">
        <v>15</v>
      </c>
      <c r="DZ3" s="28" t="s">
        <v>7</v>
      </c>
      <c r="EA3" s="28" t="s">
        <v>28</v>
      </c>
      <c r="EB3" s="28" t="s">
        <v>29</v>
      </c>
      <c r="EC3" s="31" t="s">
        <v>15</v>
      </c>
      <c r="ED3" s="31" t="s">
        <v>7</v>
      </c>
      <c r="EE3" s="31" t="s">
        <v>28</v>
      </c>
      <c r="EF3" s="31" t="s">
        <v>29</v>
      </c>
      <c r="EG3" s="14"/>
      <c r="EH3" s="13"/>
      <c r="EI3" s="14"/>
      <c r="EJ3" s="14"/>
      <c r="EK3" s="29" t="s">
        <v>15</v>
      </c>
      <c r="EL3" s="29" t="s">
        <v>7</v>
      </c>
      <c r="EM3" s="29" t="s">
        <v>28</v>
      </c>
      <c r="EN3" s="29" t="s">
        <v>29</v>
      </c>
      <c r="EO3" s="29" t="s">
        <v>15</v>
      </c>
      <c r="EP3" s="29" t="s">
        <v>7</v>
      </c>
      <c r="EQ3" s="29" t="s">
        <v>28</v>
      </c>
      <c r="ER3" s="29" t="s">
        <v>29</v>
      </c>
      <c r="ES3" s="29" t="s">
        <v>15</v>
      </c>
      <c r="ET3" s="29" t="s">
        <v>7</v>
      </c>
      <c r="EU3" s="29" t="s">
        <v>28</v>
      </c>
      <c r="EV3" s="29" t="s">
        <v>29</v>
      </c>
      <c r="EW3" s="30" t="s">
        <v>15</v>
      </c>
      <c r="EX3" s="30" t="s">
        <v>7</v>
      </c>
      <c r="EY3" s="30" t="s">
        <v>28</v>
      </c>
      <c r="EZ3" s="30" t="s">
        <v>29</v>
      </c>
      <c r="FA3" s="11"/>
      <c r="FB3" s="10"/>
      <c r="FC3" s="11"/>
      <c r="FD3" s="11"/>
      <c r="FE3" s="28" t="s">
        <v>15</v>
      </c>
      <c r="FF3" s="28" t="s">
        <v>7</v>
      </c>
      <c r="FG3" s="28" t="s">
        <v>28</v>
      </c>
      <c r="FH3" s="28" t="s">
        <v>29</v>
      </c>
      <c r="FI3" s="28" t="s">
        <v>15</v>
      </c>
      <c r="FJ3" s="28" t="s">
        <v>7</v>
      </c>
      <c r="FK3" s="28" t="s">
        <v>28</v>
      </c>
      <c r="FL3" s="28" t="s">
        <v>29</v>
      </c>
      <c r="FM3" s="28" t="s">
        <v>15</v>
      </c>
      <c r="FN3" s="28" t="s">
        <v>7</v>
      </c>
      <c r="FO3" s="28" t="s">
        <v>28</v>
      </c>
      <c r="FP3" s="28" t="s">
        <v>29</v>
      </c>
      <c r="FQ3" s="31" t="s">
        <v>15</v>
      </c>
      <c r="FR3" s="31" t="s">
        <v>7</v>
      </c>
      <c r="FS3" s="31" t="s">
        <v>28</v>
      </c>
      <c r="FT3" s="31" t="s">
        <v>29</v>
      </c>
      <c r="FU3" s="14"/>
      <c r="FV3" s="13"/>
      <c r="FW3" s="14"/>
      <c r="FX3" s="14"/>
      <c r="FY3" s="29" t="s">
        <v>15</v>
      </c>
      <c r="FZ3" s="29" t="s">
        <v>7</v>
      </c>
      <c r="GA3" s="29" t="s">
        <v>28</v>
      </c>
      <c r="GB3" s="29" t="s">
        <v>29</v>
      </c>
      <c r="GC3" s="29" t="s">
        <v>15</v>
      </c>
      <c r="GD3" s="29" t="s">
        <v>7</v>
      </c>
      <c r="GE3" s="29" t="s">
        <v>28</v>
      </c>
      <c r="GF3" s="29" t="s">
        <v>29</v>
      </c>
      <c r="GG3" s="29" t="s">
        <v>15</v>
      </c>
      <c r="GH3" s="29" t="s">
        <v>7</v>
      </c>
      <c r="GI3" s="29" t="s">
        <v>28</v>
      </c>
      <c r="GJ3" s="29" t="s">
        <v>29</v>
      </c>
      <c r="GK3" s="30" t="s">
        <v>15</v>
      </c>
      <c r="GL3" s="30" t="s">
        <v>7</v>
      </c>
      <c r="GM3" s="30" t="s">
        <v>28</v>
      </c>
      <c r="GN3" s="30" t="s">
        <v>29</v>
      </c>
      <c r="GO3" s="11"/>
      <c r="GP3" s="10"/>
      <c r="GQ3" s="11"/>
      <c r="GR3" s="11"/>
      <c r="GS3" s="28" t="s">
        <v>15</v>
      </c>
      <c r="GT3" s="28" t="s">
        <v>7</v>
      </c>
      <c r="GU3" s="28" t="s">
        <v>28</v>
      </c>
      <c r="GV3" s="28" t="s">
        <v>29</v>
      </c>
      <c r="GW3" s="28" t="s">
        <v>15</v>
      </c>
      <c r="GX3" s="28" t="s">
        <v>7</v>
      </c>
      <c r="GY3" s="28" t="s">
        <v>28</v>
      </c>
      <c r="GZ3" s="28" t="s">
        <v>29</v>
      </c>
      <c r="HA3" s="28" t="s">
        <v>15</v>
      </c>
      <c r="HB3" s="28" t="s">
        <v>7</v>
      </c>
      <c r="HC3" s="28" t="s">
        <v>28</v>
      </c>
      <c r="HD3" s="28" t="s">
        <v>29</v>
      </c>
      <c r="HE3" s="31" t="s">
        <v>15</v>
      </c>
      <c r="HF3" s="31" t="s">
        <v>7</v>
      </c>
      <c r="HG3" s="31" t="s">
        <v>28</v>
      </c>
      <c r="HH3" s="31" t="s">
        <v>29</v>
      </c>
      <c r="HI3" s="14"/>
      <c r="HJ3" s="13"/>
      <c r="HK3" s="14"/>
      <c r="HL3" s="14"/>
      <c r="HM3" s="29" t="s">
        <v>15</v>
      </c>
      <c r="HN3" s="29" t="s">
        <v>7</v>
      </c>
      <c r="HO3" s="29" t="s">
        <v>28</v>
      </c>
      <c r="HP3" s="29" t="s">
        <v>29</v>
      </c>
      <c r="HQ3" s="29" t="s">
        <v>15</v>
      </c>
      <c r="HR3" s="29" t="s">
        <v>7</v>
      </c>
      <c r="HS3" s="29" t="s">
        <v>28</v>
      </c>
      <c r="HT3" s="29" t="s">
        <v>29</v>
      </c>
      <c r="HU3" s="29" t="s">
        <v>15</v>
      </c>
      <c r="HV3" s="29" t="s">
        <v>7</v>
      </c>
      <c r="HW3" s="29" t="s">
        <v>28</v>
      </c>
      <c r="HX3" s="29" t="s">
        <v>29</v>
      </c>
      <c r="HY3" s="30" t="s">
        <v>15</v>
      </c>
      <c r="HZ3" s="30" t="s">
        <v>7</v>
      </c>
      <c r="IA3" s="30" t="s">
        <v>28</v>
      </c>
      <c r="IB3" s="30" t="s">
        <v>29</v>
      </c>
      <c r="IC3" s="11"/>
      <c r="ID3" s="10"/>
      <c r="IE3" s="11"/>
      <c r="IF3" s="11"/>
      <c r="IG3" s="28" t="s">
        <v>15</v>
      </c>
      <c r="IH3" s="28" t="s">
        <v>7</v>
      </c>
      <c r="II3" s="28" t="s">
        <v>28</v>
      </c>
      <c r="IJ3" s="28" t="s">
        <v>29</v>
      </c>
      <c r="IK3" s="28" t="s">
        <v>15</v>
      </c>
      <c r="IL3" s="28" t="s">
        <v>7</v>
      </c>
      <c r="IM3" s="28" t="s">
        <v>28</v>
      </c>
      <c r="IN3" s="28" t="s">
        <v>29</v>
      </c>
      <c r="IO3" s="28" t="s">
        <v>15</v>
      </c>
      <c r="IP3" s="28" t="s">
        <v>7</v>
      </c>
      <c r="IQ3" s="28" t="s">
        <v>28</v>
      </c>
      <c r="IR3" s="28" t="s">
        <v>29</v>
      </c>
      <c r="IS3" s="31" t="s">
        <v>15</v>
      </c>
      <c r="IT3" s="31" t="s">
        <v>7</v>
      </c>
      <c r="IU3" s="31" t="s">
        <v>28</v>
      </c>
      <c r="IV3" s="31" t="s">
        <v>29</v>
      </c>
      <c r="IW3" s="14"/>
      <c r="IX3" s="13"/>
      <c r="IY3" s="14"/>
      <c r="IZ3" s="14"/>
      <c r="JA3" s="29" t="s">
        <v>15</v>
      </c>
      <c r="JB3" s="29" t="s">
        <v>7</v>
      </c>
      <c r="JC3" s="29" t="s">
        <v>28</v>
      </c>
      <c r="JD3" s="29" t="s">
        <v>29</v>
      </c>
      <c r="JE3" s="29" t="s">
        <v>15</v>
      </c>
      <c r="JF3" s="29" t="s">
        <v>7</v>
      </c>
      <c r="JG3" s="29" t="s">
        <v>28</v>
      </c>
      <c r="JH3" s="29" t="s">
        <v>29</v>
      </c>
      <c r="JI3" s="29" t="s">
        <v>15</v>
      </c>
      <c r="JJ3" s="29" t="s">
        <v>7</v>
      </c>
      <c r="JK3" s="29" t="s">
        <v>28</v>
      </c>
      <c r="JL3" s="29" t="s">
        <v>29</v>
      </c>
      <c r="JM3" s="30" t="s">
        <v>15</v>
      </c>
      <c r="JN3" s="30" t="s">
        <v>7</v>
      </c>
      <c r="JO3" s="30" t="s">
        <v>28</v>
      </c>
      <c r="JP3" s="30" t="s">
        <v>29</v>
      </c>
      <c r="JQ3" s="11"/>
      <c r="JR3" s="10"/>
      <c r="JS3" s="11"/>
      <c r="JT3" s="11"/>
      <c r="JU3" s="28" t="s">
        <v>15</v>
      </c>
      <c r="JV3" s="28" t="s">
        <v>7</v>
      </c>
      <c r="JW3" s="28" t="s">
        <v>28</v>
      </c>
      <c r="JX3" s="28" t="s">
        <v>29</v>
      </c>
      <c r="JY3" s="28" t="s">
        <v>15</v>
      </c>
      <c r="JZ3" s="28" t="s">
        <v>7</v>
      </c>
      <c r="KA3" s="28" t="s">
        <v>28</v>
      </c>
      <c r="KB3" s="28" t="s">
        <v>29</v>
      </c>
      <c r="KC3" s="28" t="s">
        <v>15</v>
      </c>
      <c r="KD3" s="28" t="s">
        <v>7</v>
      </c>
      <c r="KE3" s="28" t="s">
        <v>28</v>
      </c>
      <c r="KF3" s="28" t="s">
        <v>29</v>
      </c>
      <c r="KG3" s="31" t="s">
        <v>15</v>
      </c>
      <c r="KH3" s="31" t="s">
        <v>7</v>
      </c>
      <c r="KI3" s="31" t="s">
        <v>28</v>
      </c>
      <c r="KJ3" s="31" t="s">
        <v>29</v>
      </c>
      <c r="KK3" s="14"/>
      <c r="KL3" s="13"/>
      <c r="KM3" s="14"/>
      <c r="KN3" s="14"/>
      <c r="KO3" s="105" t="s">
        <v>15</v>
      </c>
      <c r="KP3" s="105" t="s">
        <v>7</v>
      </c>
      <c r="KQ3" s="105" t="s">
        <v>28</v>
      </c>
      <c r="KR3" s="105" t="s">
        <v>29</v>
      </c>
      <c r="KS3" s="105" t="s">
        <v>15</v>
      </c>
      <c r="KT3" s="105" t="s">
        <v>7</v>
      </c>
      <c r="KU3" s="105" t="s">
        <v>28</v>
      </c>
      <c r="KV3" s="105" t="s">
        <v>29</v>
      </c>
      <c r="KW3" s="105" t="s">
        <v>15</v>
      </c>
      <c r="KX3" s="105" t="s">
        <v>7</v>
      </c>
      <c r="KY3" s="105" t="s">
        <v>28</v>
      </c>
      <c r="KZ3" s="105" t="s">
        <v>29</v>
      </c>
      <c r="LA3" s="106" t="s">
        <v>15</v>
      </c>
      <c r="LB3" s="106" t="s">
        <v>7</v>
      </c>
      <c r="LC3" s="106" t="s">
        <v>28</v>
      </c>
      <c r="LD3" s="106" t="s">
        <v>29</v>
      </c>
      <c r="LE3" s="105" t="s">
        <v>54</v>
      </c>
      <c r="LF3" s="11"/>
      <c r="LG3" s="10"/>
      <c r="LH3" s="11"/>
      <c r="LI3" s="11"/>
    </row>
    <row r="4" spans="1:321" x14ac:dyDescent="0.2">
      <c r="A4" s="6">
        <f t="shared" ref="A4:A9" si="0">IF(AND(F4="P",H4="P"),SUMPRODUCT((F$4:F$10="P")*(H$4:H$10="P")*(E$4:E$10&gt;E4))+1,IF(H4="P",SUMPRODUCT((F$4:F$10="")*(H$4:H$10="P")*(E$4:E$10&gt;E4))+1+SUMPRODUCT((F$4:F$10="P")*(H$4:H$10="P")),""))</f>
        <v>1</v>
      </c>
      <c r="B4" s="9" t="s">
        <v>106</v>
      </c>
      <c r="C4" s="5" t="s">
        <v>4</v>
      </c>
      <c r="D4" s="27">
        <v>2001</v>
      </c>
      <c r="E4" s="16">
        <f t="shared" ref="E4:E9" si="1">SUM(J4:N4)</f>
        <v>129.30000000000001</v>
      </c>
      <c r="F4" s="4" t="str">
        <f t="shared" ref="F4:F9" si="2">IF(OR(AND(AH4&gt;=AJ$12,AI4&gt;=AJ$14,AI4&lt;&gt;"",AG4=""),AND(BC4&gt;=BE$12,BD4&gt;=BE$14,BD4&lt;&gt;"",BB4=""),AND(BY4&gt;=CA$12,BZ4&gt;=CA$14,BZ4&lt;&gt;""),AND(CS4&gt;=CU$12,CT4&gt;=CU$14,CT4&lt;&gt;""),AND(DM4&gt;=DO$12,DN4&gt;=DO$14,DN4&lt;&gt;""),AND(EG4&gt;=EI$12,EH4&gt;=EI$14,EH4&lt;&gt;""),AND(FA4&gt;=FC$12,FB4&gt;=FC$14,FB4&lt;&gt;""),AND(FU4&gt;=FW$12,FV4&gt;=FW$14,FV4&lt;&gt;""),AND(GO4&gt;=GQ$12,GP4&gt;=GQ$14,GP4&lt;&gt;""),AND(HI4&gt;=HK$12,HJ4&gt;=HK$14,HJ4&lt;&gt;""),AND(IC4&gt;=IE$12,ID4&gt;=IE$14,ID4&lt;&gt;""),AND(IW4&gt;=IY$12,IX4&gt;=IY$14,IX4&lt;&gt;""),AND(JQ4&gt;=JS$12,JR4&gt;=JS$14,JR4&lt;&gt;""),AND(KK4&gt;=KM$12,KL4&gt;=KM$14,KL4&lt;&gt;"")),"P","")</f>
        <v>P</v>
      </c>
      <c r="G4" s="4" t="str">
        <f t="shared" ref="G4:G9" si="3">IF(OR(AND(AH4&gt;=AJ$12,AI4&gt;=AJ$15,AI4&lt;&gt;"",AG4=""),AND(BC4&gt;=BE$12,BD4&gt;=BE$15,BD4&lt;&gt;"",BB4=""),AND(BY4&gt;=CA$12,BZ4&gt;=CA$15,BZ4&lt;&gt;""),AND(CS4&gt;=CU$12,CT4&gt;=CU$15,CT4&lt;&gt;""),AND(DM4&gt;=DO$12,DN4&gt;=DO$15,DN4&lt;&gt;""),AND(EG4&gt;=EI$12,EH4&gt;=EI$15,EH4&lt;&gt;""),AND(FA4&gt;=FC$12,FB4&gt;=FC$15,FB4&lt;&gt;""),AND(FU4&gt;=FW$12,FV4&gt;=FW$15,FV4&lt;&gt;""),AND(GO4&gt;=GQ$12,GP4&gt;=GQ$15,GP4&lt;&gt;""),AND(HI4&gt;=HK$12,HJ4&gt;=HK$15,HJ4&lt;&gt;""),AND(IC4&gt;=IE$12,ID4&gt;=IE$15,ID4&lt;&gt;""),AND(IW4&gt;=IY$12,IX4&gt;=IY$15,IX4&lt;&gt;""),AND(JQ4&gt;=JS$12,JR4&gt;=JS$15,JR4&lt;&gt;""),AND(KK4&gt;=KM$12,KL4&gt;=KM$15,KL4&lt;&gt;"")),"P","")</f>
        <v/>
      </c>
      <c r="H4" s="4" t="str">
        <f t="shared" ref="H4:H9" si="4">IF(OR(AND(AI4&gt;=AJ$14,AI4&lt;&gt;"",AG4=""),AND(BD4&gt;=BE$14,BD4&lt;&gt;"",BB4=""),AND(BZ4&gt;=CA$14,BZ4&lt;&gt;""),AND(CT4&gt;=CU$14,CT4&lt;&gt;""),AND(DN4&gt;=DO$14,DN4&lt;&gt;""),AND(EH4&gt;=EI$14,EH4&lt;&gt;""),AND(FB4&gt;=FC$14,FB4&lt;&gt;""),AND(FV4&gt;=FW$14,FV4&lt;&gt;""),AND(GP4&gt;=GQ$14,GP4&lt;&gt;""),AND(HJ4&gt;=HK$14,HJ4&lt;&gt;""),AND(ID4&gt;=IE$14,ID4&lt;&gt;""),AND(IX4&gt;=IY$14,IX4&lt;&gt;""),AND(JR4&gt;=JS$14,JR4&lt;&gt;""),AND(KL4&gt;=KM$14,KL4&lt;&gt;"")),"P","")</f>
        <v>P</v>
      </c>
      <c r="I4" t="str">
        <f>IF(AND(H4="P",F4=""),"No DD",IF(OR(AND(AI4&gt;=AJ$17,AI4&lt;&gt;"",AH4&gt;=AJ$13,AH4&lt;&gt;"",AG4=""),AND(BD4&gt;=BE$17,BD4&lt;&gt;"",BC4&gt;=BE$13,BC4&lt;&gt;"",BB4=""),AND(BZ4&gt;=CA$17,BZ4&lt;&gt;"",BY4&gt;=CA$13,BY4&lt;&gt;""),AND(CT4&gt;=CU$17,CT4&lt;&gt;"",CS4&gt;=CU$13,CS4&lt;&gt;""),AND(DN4&gt;=DO$17,DN4&lt;&gt;"",DM4&gt;=DO$13,DM4&lt;&gt;""),AND(EH4&gt;=EI$17,EH4&lt;&gt;"",EG4&gt;=EI$13,EG4&lt;&gt;""),AND(FB4&gt;=FC$17,FB4&lt;&gt;"",FA4&gt;=FC$13,FA4&lt;&gt;""),AND(FV4&gt;=FW$17,FV4&lt;&gt;"",FU4&gt;=FW$13,FU4&lt;&gt;""),AND(GP4&gt;=GQ$17,GP4&lt;&gt;"",GO4&gt;=GQ$13,GO4&lt;&gt;""),AND(HJ4&gt;=HK$17,HJ4&lt;&gt;"",HI4&gt;=HK$13,HI4&lt;&gt;""),AND(ID4&gt;=IE$17,ID4&lt;&gt;"",IC4&gt;=IE$13,IC4&lt;&gt;""),AND(IX4&gt;=IY$17,IX4&lt;&gt;"",IW4&gt;=IY$13,IW4&lt;&gt;""),AND(JR4&gt;=JS$17,JR4&lt;&gt;"",JQ4&gt;=JS$13,JQ4&lt;&gt;""),AND(KL4&gt;=KM$17,KL4&lt;&gt;"",KK4&gt;=KM$13,KK4&lt;&gt;"")),"Merit",IF(OR(AND(AI4&gt;=AJ$16,AI4&lt;&gt;"",AH4&gt;=AJ$13,AH4&lt;&gt;"",AG4=""),AND(BD4&gt;=BE$16,BD4&lt;&gt;"",BC4&gt;=BE$13,BC4&lt;&gt;"",BB4=""),AND(BZ4&gt;=CA$16,BZ4&lt;&gt;"",BY4&gt;=CA$13,BY4&lt;&gt;""),AND(CT4&gt;=CU$16,CT4&lt;&gt;"",CS4&gt;=CU$13,CS4&lt;&gt;""),AND(DN4&gt;=DO$16,DN4&lt;&gt;"",DM4&gt;=DO$13,DM4&lt;&gt;""),AND(EH4&gt;=EI$16,EH4&lt;&gt;"",EG4&gt;=EI$13,EG4&lt;&gt;""),AND(FB4&gt;=FC$16,FB4&lt;&gt;"",FA4&gt;=FC$13,FA4&lt;&gt;""),AND(FV4&gt;=FW$16,FV4&lt;&gt;"",FU4&gt;=FW$13,FU4&lt;&gt;""),AND(GP4&gt;=GQ$16,GP4&lt;&gt;"",GO4&gt;=GQ$13,GO4&lt;&gt;""),AND(HJ4&gt;=HK$16,HJ4&lt;&gt;"",HI4&gt;=HK$13,HI4&lt;&gt;""),AND(ID4&gt;=IE$16,ID4&lt;&gt;"",IC4&gt;=IE$13,IC4&lt;&gt;""),AND(IX4&gt;=IY$16,IX4&lt;&gt;"",IW4&gt;=IY$13,IW4&lt;&gt;""),AND(JR4&gt;=JS$16,JR4&lt;&gt;"",JQ4&gt;=JS$13,JQ4&lt;&gt;""),AND(KL4&gt;=KM$16,KL4&lt;&gt;"",KK4&gt;=KM$13,KK4&lt;&gt;"")),"Excellence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Worlds Team",IF(OR(AND(AI4&gt;=AJ$14,AI4&lt;&gt;"",AH4&gt;=AJ$12,AH4&lt;&gt;"",AG4=""),AND(BD4&gt;=BE$14,BD4&lt;&gt;"",BC4&gt;=BE$12,BC4&lt;&gt;"",BB4=""),AND(BZ4&gt;=CA$14,BZ4&lt;&gt;"",BY4&gt;=CA$12,BY4&lt;&gt;""),AND(CT4&gt;=CU$14,CT4&lt;&gt;"",CS4&gt;=CU$12,CS4&lt;&gt;""),AND(DN4&gt;=DO$14,DN4&lt;&gt;"",DM4&gt;=DO$12,DM4&lt;&gt;""),AND(EH4&gt;=EI$14,EH4&lt;&gt;"",EG4&gt;=EI$12,EG4&lt;&gt;""),AND(FB4&gt;=FC$14,FB4&lt;&gt;"",FA4&gt;=FC$12,FA4&lt;&gt;""),AND(FV4&gt;=FW$14,FV4&lt;&gt;"",FU4&gt;=FW$12,FU4&lt;&gt;""),AND(GP4&gt;=GQ$14,GP4&lt;&gt;"",GO4&gt;=GQ$12,GO4&lt;&gt;""),AND(HJ4&gt;=HK$14,HJ4&lt;&gt;"",HI4&gt;=HK$12,HI4&lt;&gt;""),AND(ID4&gt;=IE$14,ID4&lt;&gt;"",IC4&gt;=IE$12,IC4&lt;&gt;""),AND(IX4&gt;=IY$14,IX4&lt;&gt;"",IW4&gt;=IY$12,IW4&lt;&gt;""),AND(JR4&gt;=JS$14,JR4&lt;&gt;"",JQ4&gt;=JS$12,JQ4&lt;&gt;""),AND(KL4&gt;=KM$14,KL4&lt;&gt;"",KK4&gt;=KM$12,KK4&lt;&gt;"")),"National Team","")))))</f>
        <v>National Team</v>
      </c>
      <c r="J4" s="15">
        <f t="shared" ref="J4:J9" si="5">IF(MAX(AI4,BD4)&gt;0,MAX(AI4,BD4),"")</f>
        <v>63.5</v>
      </c>
      <c r="K4" s="15" t="str">
        <f t="shared" ref="K4:K9" si="6">IF(J4="","",IF(J4=BD4,$AL$1,IF(J4=AI4,$Q$1,"")))</f>
        <v>2019 Elite Canada</v>
      </c>
      <c r="L4" s="15">
        <f t="shared" ref="L4:L9" si="7">IF(MAX(AJ4,BE4)&gt;0,MAX(AJ4,BE4),"")</f>
        <v>65.8</v>
      </c>
      <c r="M4" s="15" t="str">
        <f t="shared" ref="M4:M9" si="8">IF(L4="","",IF(L4=BE4,$AL$1,IF(L4=AJ4,$Q$1,"")))</f>
        <v>2018 Nationals</v>
      </c>
      <c r="N4" s="15" t="str">
        <f t="shared" ref="N4:N9" si="9">IF(MAX(BG4:BH4)&gt;0,MAX(BG4:BH4),"")</f>
        <v/>
      </c>
      <c r="O4" s="25" t="str">
        <f t="shared" ref="O4:O9" si="10">IF(N4="","",IF(N4=BG4,"(Prelim)",IF(N4=BH4,"(Final)")))</f>
        <v/>
      </c>
      <c r="P4" s="15" t="str">
        <f>IF(N4="","",IF(N4=BG4,IF(N4+IF(J4="",0,J4)=#REF!,$JU$1,IF(N4+IF(J4="",0,J4)=#REF!,$JA$1,IF(N4+IF(J4="",0,J4)=#REF!,$IG$1,IF(N4+IF(J4="",0,J4)=#REF!,$HM$1,IF(N4+IF(J4="",0,J4)=#REF!,$GS$1,IF(N4+IF(J4="",0,J4)=#REF!,$FY$1,IF(N4+IF(J4="",0,J4)=#REF!,$FE$1,IF(N4+IF(J4="",0,J4)=#REF!,$EK$1,IF(N4+IF(J4="",0,J4)=#REF!,$DQ$1,IF(N4+IF(J4="",0,J4)=#REF!,$CW$1,IF(N4+IF(J4="",0,J4)=#REF!,$CC$1,IF(N4+IF(J4="",0,J4)=#REF!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63">
        <v>24</v>
      </c>
      <c r="R4" s="63">
        <v>5.5</v>
      </c>
      <c r="S4" s="63">
        <v>0</v>
      </c>
      <c r="T4" s="63">
        <v>0</v>
      </c>
      <c r="U4" s="63">
        <v>23.9</v>
      </c>
      <c r="V4" s="63">
        <v>5.8</v>
      </c>
      <c r="W4" s="63">
        <v>0.3</v>
      </c>
      <c r="X4" s="63">
        <v>0</v>
      </c>
      <c r="Y4" s="63">
        <v>26.8</v>
      </c>
      <c r="Z4" s="63">
        <v>5.7</v>
      </c>
      <c r="AA4" s="63">
        <v>0</v>
      </c>
      <c r="AB4" s="63">
        <v>0</v>
      </c>
      <c r="AC4" s="63">
        <v>27.5</v>
      </c>
      <c r="AD4" s="63">
        <v>5.8</v>
      </c>
      <c r="AE4" s="63">
        <v>0</v>
      </c>
      <c r="AF4" s="63">
        <v>0</v>
      </c>
      <c r="AG4" s="74"/>
      <c r="AH4" s="12">
        <f t="shared" ref="AH4:AH9" si="11">IF(SUM(R4,V4)&gt;0,SUM(R4,V4),"")</f>
        <v>11.3</v>
      </c>
      <c r="AI4" s="12">
        <f t="shared" ref="AI4:AI9" si="12">IF(SUM(Q4:R4,T4:V4,X4)-S4-W4&gt;0,SUM(Q4:R4,T4:V4,X4)-S4-W4,"")</f>
        <v>58.9</v>
      </c>
      <c r="AJ4" s="12">
        <f t="shared" ref="AJ4:AJ9" si="13">IF(SUM(Y4:Z4,AB4:AD4,AF4)-SUM(AA4,AE4)&gt;0,SUM(Y4:Z4,AB4:AD4,AF4)-SUM(AA4,AE4),"")</f>
        <v>65.8</v>
      </c>
      <c r="AK4" s="12">
        <f t="shared" ref="AK4:AK9" si="14">IF(SUM(AI4,AJ4)&gt;0,SUM(AI4,AJ4),"")</f>
        <v>124.69999999999999</v>
      </c>
      <c r="AL4" s="37">
        <v>23.5</v>
      </c>
      <c r="AM4" s="37">
        <v>5.4</v>
      </c>
      <c r="AN4" s="37">
        <v>0</v>
      </c>
      <c r="AO4" s="37">
        <v>0</v>
      </c>
      <c r="AP4" s="37">
        <v>27.1</v>
      </c>
      <c r="AQ4" s="37">
        <v>6.5</v>
      </c>
      <c r="AR4" s="37">
        <v>0</v>
      </c>
      <c r="AS4" s="37">
        <v>1</v>
      </c>
      <c r="AT4" s="37">
        <v>24</v>
      </c>
      <c r="AU4" s="37">
        <v>3.5</v>
      </c>
      <c r="AV4" s="37">
        <v>3</v>
      </c>
      <c r="AW4" s="37">
        <v>0</v>
      </c>
      <c r="AX4" s="37">
        <v>27.5</v>
      </c>
      <c r="AY4" s="37">
        <v>6.5</v>
      </c>
      <c r="AZ4" s="37">
        <v>0</v>
      </c>
      <c r="BA4" s="37">
        <v>1</v>
      </c>
      <c r="BB4" s="75"/>
      <c r="BC4" s="15">
        <f t="shared" ref="BC4:BC9" si="15">IF(SUM(AM4,AQ4)&gt;0,SUM(AM4,AQ4),"")</f>
        <v>11.9</v>
      </c>
      <c r="BD4" s="15">
        <f t="shared" ref="BD4:BD9" si="16">IF(SUM(AL4:AM4,AO4:AQ4,AS4)-AN4-AR4&gt;0,SUM(AL4:AM4,AO4:AQ4,AS4)-AN4-AR4,"")</f>
        <v>63.5</v>
      </c>
      <c r="BE4" s="15">
        <f t="shared" ref="BE4:BE9" si="17">IF(SUM(AT4:AU4,AW4:AY4,BA4)-SUM(AV4,AZ4)&gt;0,SUM(AT4:AU4,AW4:AY4,BA4)-SUM(AV4,AZ4),"")</f>
        <v>59.5</v>
      </c>
      <c r="BF4" s="15">
        <f t="shared" ref="BF4:BF9" si="18">IF(SUM(BD4,BE4)&gt;0,SUM(BD4,BE4),"")</f>
        <v>123</v>
      </c>
      <c r="BG4" s="24" t="str">
        <f t="shared" ref="BG4:BG9" si="19">IF(MAX(BY4,CS4,DM4,EG4,FA4,FU4,GO4,HI4,IC4,IW4,JQ4,KK4)-IF(J4="",0,J4)&gt;0.001,MAX(BY4,CS4,DM4,EG4,FA4,FU4,GO4,HI4,IC4,IW4,JQ4,KK4)-IF(J4="",0,J4),"")</f>
        <v/>
      </c>
      <c r="BH4" s="24" t="str">
        <f t="shared" ref="BH4:BH9" si="20">IF(MAX(CA4,CU4,DO4,EI4,FC4,FW4,GQ4,HK4,IE4,IY4,JS4,KM4)-IF(L4="",0,L4)&gt;0.001,MAX(CA4,CU4,DO4,EI4,FC4,FW4,GQ4,HK4,IE4,IY4,JS4,KM4)-IF(L4="",0,L4),"")</f>
        <v/>
      </c>
      <c r="BI4" s="36">
        <v>26.8</v>
      </c>
      <c r="BJ4" s="36">
        <v>6.5</v>
      </c>
      <c r="BK4" s="36">
        <v>0</v>
      </c>
      <c r="BL4" s="36">
        <v>0</v>
      </c>
      <c r="BM4" s="36">
        <v>23</v>
      </c>
      <c r="BN4" s="36">
        <v>3.4</v>
      </c>
      <c r="BO4" s="36">
        <v>0</v>
      </c>
      <c r="BP4" s="36">
        <v>0</v>
      </c>
      <c r="BQ4" s="36"/>
      <c r="BR4" s="36"/>
      <c r="BS4" s="36"/>
      <c r="BT4" s="36"/>
      <c r="BU4" s="36"/>
      <c r="BV4" s="36"/>
      <c r="BW4" s="36"/>
      <c r="BX4" s="36"/>
      <c r="BY4" s="12">
        <f t="shared" ref="BY4:BY9" si="21">IF(SUM(BJ4,BN4)&gt;0,SUM(BJ4,BN4),"")</f>
        <v>9.9</v>
      </c>
      <c r="BZ4" s="12">
        <f t="shared" ref="BZ4:BZ9" si="22">IF(SUM(BI4:BJ4,BL4:BN4,BP4)-BK4-BO4&gt;0,SUM(BI4:BJ4,BL4:BN4,BP4)-BK4-BO4,"")</f>
        <v>59.699999999999996</v>
      </c>
      <c r="CA4" s="12" t="str">
        <f t="shared" ref="CA4:CA9" si="23">IF(SUM(BQ4:BR4,BT4:BV4,BX4)-SUM(BS4,BW4)&gt;0,SUM(BQ4:BR4,BT4:BV4,BX4)-SUM(BS4,BW4),"")</f>
        <v/>
      </c>
      <c r="CB4" s="12">
        <f t="shared" ref="CB4:CB9" si="24">IF(SUM(BZ4,CA4)&gt;0,SUM(BZ4,CA4),"")</f>
        <v>59.699999999999996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15" t="str">
        <f t="shared" ref="CS4:CS9" si="25">IF(SUM(CD4,CH4)&gt;0,SUM(CD4,CH4),"")</f>
        <v/>
      </c>
      <c r="CT4" s="15" t="str">
        <f t="shared" ref="CT4:CT9" si="26">IF(SUM(CC4:CD4,CF4:CH4,CJ4)-CE4-CI4&gt;0,SUM(CC4:CD4,CF4:CH4,CJ4)-CE4-CI4,"")</f>
        <v/>
      </c>
      <c r="CU4" s="15" t="str">
        <f t="shared" ref="CU4:CU9" si="27">IF(SUM(CK4:CL4,CN4:CP4,CR4)-SUM(CM4,CQ4)&gt;0,SUM(CK4:CL4,CN4:CP4,CR4)-SUM(CM4,CQ4),"")</f>
        <v/>
      </c>
      <c r="CV4" s="15" t="str">
        <f t="shared" ref="CV4:CV9" si="28">IF(SUM(CT4,CU4)&gt;0,SUM(CT4,CU4),"")</f>
        <v/>
      </c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12" t="str">
        <f t="shared" ref="DM4:DM9" si="29">IF(SUM(CX4,DB4)&gt;0,SUM(CX4,DB4),"")</f>
        <v/>
      </c>
      <c r="DN4" s="12" t="str">
        <f t="shared" ref="DN4:DN9" si="30">IF(SUM(CW4:CX4,CZ4:DB4,DD4)-CY4-DC4&gt;0,SUM(CW4:CX4,CZ4:DB4,DD4)-CY4-DC4,"")</f>
        <v/>
      </c>
      <c r="DO4" s="12" t="str">
        <f t="shared" ref="DO4:DO9" si="31">IF(SUM(DE4:DF4,DH4:DJ4,DL4)-SUM(DG4,DK4)&gt;0,SUM(DE4:DF4,DH4:DJ4,DL4)-SUM(DG4,DK4),"")</f>
        <v/>
      </c>
      <c r="DP4" s="12" t="str">
        <f t="shared" ref="DP4:DP9" si="32">IF(SUM(DN4,DO4)&gt;0,SUM(DN4,DO4),"")</f>
        <v/>
      </c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15" t="str">
        <f t="shared" ref="EG4:EG9" si="33">IF(SUM(DR4,DV4)&gt;0,SUM(DR4,DV4),"")</f>
        <v/>
      </c>
      <c r="EH4" s="15" t="str">
        <f t="shared" ref="EH4:EH9" si="34">IF(SUM(DQ4:DR4,DT4:DV4,DX4)-DS4-DW4&gt;0,SUM(DQ4:DR4,DT4:DV4,DX4)-DS4-DW4,"")</f>
        <v/>
      </c>
      <c r="EI4" s="15" t="str">
        <f t="shared" ref="EI4:EI9" si="35">IF(SUM(DY4:DZ4,EB4:ED4,EF4)-SUM(EA4,EE4)&gt;0,SUM(DY4:DZ4,EB4:ED4,EF4)-SUM(EA4,EE4),"")</f>
        <v/>
      </c>
      <c r="EJ4" s="15" t="str">
        <f t="shared" ref="EJ4:EJ9" si="36">IF(SUM(EH4,EI4)&gt;0,SUM(EH4,EI4),"")</f>
        <v/>
      </c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12" t="str">
        <f t="shared" ref="FA4:FA9" si="37">IF(SUM(EL4,EP4)&gt;0,SUM(EL4,EP4),"")</f>
        <v/>
      </c>
      <c r="FB4" s="12" t="str">
        <f t="shared" ref="FB4:FB9" si="38">IF(SUM(EK4:EL4,EN4:EP4,ER4)-EM4-EQ4&gt;0,SUM(EK4:EL4,EN4:EP4,ER4)-EM4-EQ4,"")</f>
        <v/>
      </c>
      <c r="FC4" s="12" t="str">
        <f t="shared" ref="FC4:FC9" si="39">IF(SUM(ES4:ET4,EV4:EX4,EZ4)-SUM(EU4,EY4)&gt;0,SUM(ES4:ET4,EV4:EX4,EZ4)-SUM(EU4,EY4),"")</f>
        <v/>
      </c>
      <c r="FD4" s="12" t="str">
        <f t="shared" ref="FD4:FD9" si="40">IF(SUM(FB4,FC4)&gt;0,SUM(FB4,FC4),"")</f>
        <v/>
      </c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15" t="str">
        <f t="shared" ref="FU4:FU9" si="41">IF(SUM(FF4,FJ4)&gt;0,SUM(FF4,FJ4),"")</f>
        <v/>
      </c>
      <c r="FV4" s="15" t="str">
        <f t="shared" ref="FV4:FV9" si="42">IF(SUM(FE4:FF4,FH4:FJ4,FL4)-FG4-FK4&gt;0,SUM(FE4:FF4,FH4:FJ4,FL4)-FG4-FK4,"")</f>
        <v/>
      </c>
      <c r="FW4" s="15" t="str">
        <f t="shared" ref="FW4:FW9" si="43">IF(SUM(FM4:FN4,FP4:FR4,FT4)-SUM(FO4,FS4)&gt;0,SUM(FM4:FN4,FP4:FR4,FT4)-SUM(FO4,FS4),"")</f>
        <v/>
      </c>
      <c r="FX4" s="15" t="str">
        <f t="shared" ref="FX4:FX9" si="44">IF(SUM(FV4,FW4)&gt;0,SUM(FV4,FW4),"")</f>
        <v/>
      </c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2" t="str">
        <f t="shared" ref="GO4:GO9" si="45">IF(SUM(FZ4,GD4)&gt;0,SUM(FZ4,GD4),"")</f>
        <v/>
      </c>
      <c r="GP4" s="12" t="str">
        <f t="shared" ref="GP4:GP9" si="46">IF(SUM(FY4:FZ4,GB4:GD4,GF4)-GA4-GE4&gt;0,SUM(FY4:FZ4,GB4:GD4,GF4)-GA4-GE4,"")</f>
        <v/>
      </c>
      <c r="GQ4" s="12" t="str">
        <f t="shared" ref="GQ4:GQ9" si="47">IF(SUM(GG4:GH4,GJ4:GL4,GN4)-SUM(GI4,GM4)&gt;0,SUM(GG4:GH4,GJ4:GL4,GN4)-SUM(GI4,GM4),"")</f>
        <v/>
      </c>
      <c r="GR4" s="12" t="str">
        <f t="shared" ref="GR4:GR9" si="48">IF(SUM(GP4,GQ4)&gt;0,SUM(GP4,GQ4),"")</f>
        <v/>
      </c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15" t="str">
        <f t="shared" ref="HI4:HI9" si="49">IF(SUM(GT4,GX4)&gt;0,SUM(GT4,GX4),"")</f>
        <v/>
      </c>
      <c r="HJ4" s="15" t="str">
        <f t="shared" ref="HJ4:HJ9" si="50">IF(SUM(GS4:GT4,GV4:GX4,GZ4)-GU4-GY4&gt;0,SUM(GS4:GT4,GV4:GX4,GZ4)-GU4-GY4,"")</f>
        <v/>
      </c>
      <c r="HK4" s="15" t="str">
        <f t="shared" ref="HK4:HK9" si="51">IF(SUM(HA4:HB4,HD4:HF4,HH4)-SUM(HC4,HG4)&gt;0,SUM(HA4:HB4,HD4:HF4,HH4)-SUM(HC4,HG4),"")</f>
        <v/>
      </c>
      <c r="HL4" s="15" t="str">
        <f t="shared" ref="HL4:HL9" si="52">IF(SUM(HJ4,HK4)&gt;0,SUM(HJ4,HK4),"")</f>
        <v/>
      </c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12" t="str">
        <f t="shared" ref="IC4:IC9" si="53">IF(SUM(HN4,HR4)&gt;0,SUM(HN4,HR4),"")</f>
        <v/>
      </c>
      <c r="ID4" s="12" t="str">
        <f t="shared" ref="ID4:ID9" si="54">IF(SUM(HM4:HN4,HP4:HR4,HT4)-HO4-HS4&gt;0,SUM(HM4:HN4,HP4:HR4,HT4)-HO4-HS4,"")</f>
        <v/>
      </c>
      <c r="IE4" s="12" t="str">
        <f t="shared" ref="IE4:IE9" si="55">IF(SUM(HU4:HV4,HX4:HZ4,IB4)-SUM(HW4,IA4)&gt;0,SUM(HU4:HV4,HX4:HZ4,IB4)-SUM(HW4,IA4),"")</f>
        <v/>
      </c>
      <c r="IF4" s="12" t="str">
        <f t="shared" ref="IF4:IF9" si="56">IF(SUM(ID4,IE4)&gt;0,SUM(ID4,IE4),"")</f>
        <v/>
      </c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15" t="str">
        <f t="shared" ref="IW4:IW9" si="57">IF(SUM(IH4,IL4)&gt;0,SUM(IH4,IL4),"")</f>
        <v/>
      </c>
      <c r="IX4" s="15" t="str">
        <f t="shared" ref="IX4:IX9" si="58">IF(SUM(IG4:IH4,IJ4:IL4,IN4)-II4-IM4&gt;0,SUM(IG4:IH4,IJ4:IL4,IN4)-II4-IM4,"")</f>
        <v/>
      </c>
      <c r="IY4" s="15" t="str">
        <f t="shared" ref="IY4:IY9" si="59">IF(SUM(IO4:IP4,IR4:IT4,IV4)-SUM(IQ4,IU4)&gt;0,SUM(IO4:IP4,IR4:IT4,IV4)-SUM(IQ4,IU4),"")</f>
        <v/>
      </c>
      <c r="IZ4" s="15" t="str">
        <f t="shared" ref="IZ4:IZ9" si="60">IF(SUM(IX4,IY4)&gt;0,SUM(IX4,IY4),"")</f>
        <v/>
      </c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12" t="str">
        <f t="shared" ref="JQ4:JQ9" si="61">IF(SUM(JB4,JF4)&gt;0,SUM(JB4,JF4),"")</f>
        <v/>
      </c>
      <c r="JR4" s="12" t="str">
        <f t="shared" ref="JR4:JR9" si="62">IF(SUM(JA4:JB4,JD4:JF4,JH4)-JC4-JG4&gt;0,SUM(JA4:JB4,JD4:JF4,JH4)-JC4-JG4,"")</f>
        <v/>
      </c>
      <c r="JS4" s="12" t="str">
        <f t="shared" ref="JS4:JS9" si="63">IF(SUM(JI4:JJ4,JL4:JN4,JP4)-SUM(JK4,JO4)&gt;0,SUM(JI4:JJ4,JL4:JN4,JP4)-SUM(JK4,JO4),"")</f>
        <v/>
      </c>
      <c r="JT4" s="12" t="str">
        <f t="shared" ref="JT4:JT9" si="64">IF(SUM(JR4,JS4)&gt;0,SUM(JR4,JS4),"")</f>
        <v/>
      </c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15" t="str">
        <f t="shared" ref="KK4:KK9" si="65">IF(SUM(JV4,JZ4)&gt;0,SUM(JV4,JZ4),"")</f>
        <v/>
      </c>
      <c r="KL4" s="15" t="str">
        <f t="shared" ref="KL4:KL9" si="66">IF(SUM(JU4:JV4,JX4:JZ4,KB4)-JW4-KA4&gt;0,SUM(JU4:JV4,JX4:JZ4,KB4)-JW4-KA4,"")</f>
        <v/>
      </c>
      <c r="KM4" s="15" t="str">
        <f t="shared" ref="KM4:KM9" si="67">IF(SUM(KC4:KD4,KF4:KH4,KJ4)-SUM(KE4,KI4)&gt;0,SUM(KC4:KD4,KF4:KH4,KJ4)-SUM(KE4,KI4),"")</f>
        <v/>
      </c>
      <c r="KN4" s="15" t="str">
        <f t="shared" ref="KN4:KN9" si="68">IF(SUM(KL4,KM4)&gt;0,SUM(KL4,KM4),"")</f>
        <v/>
      </c>
      <c r="KO4" s="63">
        <f>IF($BB4="P",AL4,(Q4+AL4)/2)</f>
        <v>23.75</v>
      </c>
      <c r="KP4" s="63">
        <f t="shared" ref="KP4:LD9" si="69">IF($BB4="P",AM4,(R4+AM4)/2)</f>
        <v>5.45</v>
      </c>
      <c r="KQ4" s="63">
        <f t="shared" si="69"/>
        <v>0</v>
      </c>
      <c r="KR4" s="63">
        <f t="shared" si="69"/>
        <v>0</v>
      </c>
      <c r="KS4" s="63">
        <f t="shared" si="69"/>
        <v>25.5</v>
      </c>
      <c r="KT4" s="63">
        <f t="shared" si="69"/>
        <v>6.15</v>
      </c>
      <c r="KU4" s="63">
        <f t="shared" si="69"/>
        <v>0.15</v>
      </c>
      <c r="KV4" s="63">
        <f t="shared" si="69"/>
        <v>0.5</v>
      </c>
      <c r="KW4" s="63">
        <f t="shared" si="69"/>
        <v>25.4</v>
      </c>
      <c r="KX4" s="63">
        <f t="shared" si="69"/>
        <v>4.5999999999999996</v>
      </c>
      <c r="KY4" s="63">
        <f t="shared" si="69"/>
        <v>1.5</v>
      </c>
      <c r="KZ4" s="63">
        <f t="shared" si="69"/>
        <v>0</v>
      </c>
      <c r="LA4" s="63">
        <f t="shared" si="69"/>
        <v>27.5</v>
      </c>
      <c r="LB4" s="63">
        <f t="shared" si="69"/>
        <v>6.15</v>
      </c>
      <c r="LC4" s="63">
        <f t="shared" si="69"/>
        <v>0</v>
      </c>
      <c r="LD4" s="63">
        <f t="shared" si="69"/>
        <v>0.5</v>
      </c>
      <c r="LE4" s="74" t="s">
        <v>119</v>
      </c>
      <c r="LF4" s="12">
        <f>IF(SUM(KP4,KT4)&gt;0,SUM(KP4,KT4),"")</f>
        <v>11.600000000000001</v>
      </c>
      <c r="LG4" s="12">
        <f t="shared" ref="LG4" si="70">IF(SUM(KO4:KP4,KR4:KT4,KV4)-KQ4-KU4&gt;0,SUM(KO4:KP4,KR4:KT4,KV4)-KQ4-KU4,"")</f>
        <v>61.2</v>
      </c>
      <c r="LH4" s="12">
        <f t="shared" ref="LH4" si="71">IF(SUM(KW4:KX4,KZ4:LB4,LD4)-SUM(KY4,LC4)&gt;0,SUM(KW4:KX4,KZ4:LB4,LD4)-SUM(KY4,LC4),"")</f>
        <v>62.650000000000006</v>
      </c>
      <c r="LI4" s="12">
        <f t="shared" ref="LI4" si="72">IF(SUM(LG4,LH4)&gt;0,SUM(LG4,LH4),"")</f>
        <v>123.85000000000001</v>
      </c>
    </row>
    <row r="5" spans="1:321" x14ac:dyDescent="0.2">
      <c r="A5" s="6">
        <f t="shared" si="0"/>
        <v>2</v>
      </c>
      <c r="B5" s="9" t="s">
        <v>108</v>
      </c>
      <c r="C5" s="5" t="s">
        <v>6</v>
      </c>
      <c r="D5" s="27">
        <v>1997</v>
      </c>
      <c r="E5" s="16">
        <f t="shared" si="1"/>
        <v>128.5</v>
      </c>
      <c r="F5" s="4" t="str">
        <f t="shared" si="2"/>
        <v/>
      </c>
      <c r="G5" s="4" t="str">
        <f t="shared" si="3"/>
        <v/>
      </c>
      <c r="H5" s="4" t="str">
        <f t="shared" si="4"/>
        <v>P</v>
      </c>
      <c r="I5" t="str">
        <f t="shared" ref="I5:I9" si="73">IF(AND(H5="P",F5=""),"No DD",IF(OR(AND(AI5&gt;=AJ$17,AI5&lt;&gt;"",AH5&gt;=AJ$13,AH5&lt;&gt;"",AG5=""),AND(BD5&gt;=BE$17,BD5&lt;&gt;"",BC5&gt;=BE$13,BC5&lt;&gt;"",BB5=""),AND(BZ5&gt;=CA$17,BZ5&lt;&gt;"",BY5&gt;=CA$13,BY5&lt;&gt;""),AND(CT5&gt;=CU$17,CT5&lt;&gt;"",CS5&gt;=CU$13,CS5&lt;&gt;""),AND(DN5&gt;=DO$17,DN5&lt;&gt;"",DM5&gt;=DO$13,DM5&lt;&gt;""),AND(EH5&gt;=EI$17,EH5&lt;&gt;"",EG5&gt;=EI$13,EG5&lt;&gt;""),AND(FB5&gt;=FC$17,FB5&lt;&gt;"",FA5&gt;=FC$13,FA5&lt;&gt;""),AND(FV5&gt;=FW$17,FV5&lt;&gt;"",FU5&gt;=FW$13,FU5&lt;&gt;""),AND(GP5&gt;=GQ$17,GP5&lt;&gt;"",GO5&gt;=GQ$13,GO5&lt;&gt;""),AND(HJ5&gt;=HK$17,HJ5&lt;&gt;"",HI5&gt;=HK$13,HI5&lt;&gt;""),AND(ID5&gt;=IE$17,ID5&lt;&gt;"",IC5&gt;=IE$13,IC5&lt;&gt;""),AND(IX5&gt;=IY$17,IX5&lt;&gt;"",IW5&gt;=IY$13,IW5&lt;&gt;""),AND(JR5&gt;=JS$17,JR5&lt;&gt;"",JQ5&gt;=JS$13,JQ5&lt;&gt;""),AND(KL5&gt;=KM$17,KL5&lt;&gt;"",KK5&gt;=KM$13,KK5&lt;&gt;"")),"Merit",IF(OR(AND(AI5&gt;=AJ$16,AI5&lt;&gt;"",AH5&gt;=AJ$13,AH5&lt;&gt;"",AG5=""),AND(BD5&gt;=BE$16,BD5&lt;&gt;"",BC5&gt;=BE$13,BC5&lt;&gt;"",BB5=""),AND(BZ5&gt;=CA$16,BZ5&lt;&gt;"",BY5&gt;=CA$13,BY5&lt;&gt;""),AND(CT5&gt;=CU$16,CT5&lt;&gt;"",CS5&gt;=CU$13,CS5&lt;&gt;""),AND(DN5&gt;=DO$16,DN5&lt;&gt;"",DM5&gt;=DO$13,DM5&lt;&gt;""),AND(EH5&gt;=EI$16,EH5&lt;&gt;"",EG5&gt;=EI$13,EG5&lt;&gt;""),AND(FB5&gt;=FC$16,FB5&lt;&gt;"",FA5&gt;=FC$13,FA5&lt;&gt;""),AND(FV5&gt;=FW$16,FV5&lt;&gt;"",FU5&gt;=FW$13,FU5&lt;&gt;""),AND(GP5&gt;=GQ$16,GP5&lt;&gt;"",GO5&gt;=GQ$13,GO5&lt;&gt;""),AND(HJ5&gt;=HK$16,HJ5&lt;&gt;"",HI5&gt;=HK$13,HI5&lt;&gt;""),AND(ID5&gt;=IE$16,ID5&lt;&gt;"",IC5&gt;=IE$13,IC5&lt;&gt;""),AND(IX5&gt;=IY$16,IX5&lt;&gt;"",IW5&gt;=IY$13,IW5&lt;&gt;""),AND(JR5&gt;=JS$16,JR5&lt;&gt;"",JQ5&gt;=JS$13,JQ5&lt;&gt;""),AND(KL5&gt;=KM$16,KL5&lt;&gt;"",KK5&gt;=KM$13,KK5&lt;&gt;"")),"Excellence",IF(OR(AND(AI5&gt;=AJ$15,AI5&lt;&gt;"",AH5&gt;=AJ$12,AH5&lt;&gt;"",AG5=""),AND(BD5&gt;=BE$15,BD5&lt;&gt;"",BC5&gt;=BE$12,BC5&lt;&gt;"",BB5=""),AND(BZ5&gt;=CA$15,BZ5&lt;&gt;"",BY5&gt;=CA$12,BY5&lt;&gt;""),AND(CT5&gt;=CU$15,CT5&lt;&gt;"",CS5&gt;=CU$12,CS5&lt;&gt;""),AND(DN5&gt;=DO$15,DN5&lt;&gt;"",DM5&gt;=DO$12,DM5&lt;&gt;""),AND(EH5&gt;=EI$15,EH5&lt;&gt;"",EG5&gt;=EI$12,EG5&lt;&gt;""),AND(FB5&gt;=FC$15,FB5&lt;&gt;"",FA5&gt;=FC$12,FA5&lt;&gt;""),AND(FV5&gt;=FW$15,FV5&lt;&gt;"",FU5&gt;=FW$12,FU5&lt;&gt;""),AND(GP5&gt;=GQ$15,GP5&lt;&gt;"",GO5&gt;=GQ$12,GO5&lt;&gt;""),AND(HJ5&gt;=HK$15,HJ5&lt;&gt;"",HI5&gt;=HK$12,HI5&lt;&gt;""),AND(ID5&gt;=IE$15,ID5&lt;&gt;"",IC5&gt;=IE$12,IC5&lt;&gt;""),AND(IX5&gt;=IY$15,IX5&lt;&gt;"",IW5&gt;=IY$12,IW5&lt;&gt;""),AND(JR5&gt;=JS$15,JR5&lt;&gt;"",JQ5&gt;=JS$12,JQ5&lt;&gt;""),AND(KL5&gt;=KM$15,KL5&lt;&gt;"",KK5&gt;=KM$12,KK5&lt;&gt;"")),"Worlds Team",IF(OR(AND(AI5&gt;=AJ$14,AI5&lt;&gt;"",AH5&gt;=AJ$12,AH5&lt;&gt;"",AG5=""),AND(BD5&gt;=BE$14,BD5&lt;&gt;"",BC5&gt;=BE$12,BC5&lt;&gt;"",BB5=""),AND(BZ5&gt;=CA$14,BZ5&lt;&gt;"",BY5&gt;=CA$12,BY5&lt;&gt;""),AND(CT5&gt;=CU$14,CT5&lt;&gt;"",CS5&gt;=CU$12,CS5&lt;&gt;""),AND(DN5&gt;=DO$14,DN5&lt;&gt;"",DM5&gt;=DO$12,DM5&lt;&gt;""),AND(EH5&gt;=EI$14,EH5&lt;&gt;"",EG5&gt;=EI$12,EG5&lt;&gt;""),AND(FB5&gt;=FC$14,FB5&lt;&gt;"",FA5&gt;=FC$12,FA5&lt;&gt;""),AND(FV5&gt;=FW$14,FV5&lt;&gt;"",FU5&gt;=FW$12,FU5&lt;&gt;""),AND(GP5&gt;=GQ$14,GP5&lt;&gt;"",GO5&gt;=GQ$12,GO5&lt;&gt;""),AND(HJ5&gt;=HK$14,HJ5&lt;&gt;"",HI5&gt;=HK$12,HI5&lt;&gt;""),AND(ID5&gt;=IE$14,ID5&lt;&gt;"",IC5&gt;=IE$12,IC5&lt;&gt;""),AND(IX5&gt;=IY$14,IX5&lt;&gt;"",IW5&gt;=IY$12,IW5&lt;&gt;""),AND(JR5&gt;=JS$14,JR5&lt;&gt;"",JQ5&gt;=JS$12,JQ5&lt;&gt;""),AND(KL5&gt;=KM$14,KL5&lt;&gt;"",KK5&gt;=KM$12,KK5&lt;&gt;"")),"National Team","")))))</f>
        <v>No DD</v>
      </c>
      <c r="J5" s="15">
        <f t="shared" si="5"/>
        <v>63.3</v>
      </c>
      <c r="K5" s="15" t="str">
        <f t="shared" si="6"/>
        <v>2018 Nationals</v>
      </c>
      <c r="L5" s="15">
        <f t="shared" si="7"/>
        <v>65.199999999999989</v>
      </c>
      <c r="M5" s="15" t="str">
        <f t="shared" si="8"/>
        <v>2018 Nationals</v>
      </c>
      <c r="N5" s="15" t="str">
        <f t="shared" si="9"/>
        <v/>
      </c>
      <c r="O5" s="25" t="str">
        <f t="shared" si="10"/>
        <v/>
      </c>
      <c r="P5" s="15" t="str">
        <f>IF(N5="","",IF(N5=BG5,IF(N5+IF(J5="",0,J5)=#REF!,$JU$1,IF(N5+IF(J5="",0,J5)=#REF!,$JA$1,IF(N5+IF(J5="",0,J5)=#REF!,$IG$1,IF(N5+IF(J5="",0,J5)=#REF!,$HM$1,IF(N5+IF(J5="",0,J5)=#REF!,$GS$1,IF(N5+IF(J5="",0,J5)=#REF!,$FY$1,IF(N5+IF(J5="",0,J5)=#REF!,$FE$1,IF(N5+IF(J5="",0,J5)=#REF!,$EK$1,IF(N5+IF(J5="",0,J5)=#REF!,$DQ$1,IF(N5+IF(J5="",0,J5)=#REF!,$CW$1,IF(N5+IF(J5="",0,J5)=#REF!,$CC$1,IF(N5+IF(J5="",0,J5)=#REF!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63">
        <v>26.2</v>
      </c>
      <c r="R5" s="63">
        <v>5.5</v>
      </c>
      <c r="S5" s="63">
        <v>0</v>
      </c>
      <c r="T5" s="63">
        <v>0</v>
      </c>
      <c r="U5" s="63">
        <v>27.6</v>
      </c>
      <c r="V5" s="63">
        <v>4</v>
      </c>
      <c r="W5" s="63">
        <v>0</v>
      </c>
      <c r="X5" s="63">
        <v>0</v>
      </c>
      <c r="Y5" s="63">
        <v>26.8</v>
      </c>
      <c r="Z5" s="63">
        <v>5.5</v>
      </c>
      <c r="AA5" s="63">
        <v>0</v>
      </c>
      <c r="AB5" s="63">
        <v>0</v>
      </c>
      <c r="AC5" s="63">
        <v>28.9</v>
      </c>
      <c r="AD5" s="63">
        <v>4</v>
      </c>
      <c r="AE5" s="63">
        <v>0</v>
      </c>
      <c r="AF5" s="63">
        <v>0</v>
      </c>
      <c r="AG5" s="74"/>
      <c r="AH5" s="12">
        <f t="shared" si="11"/>
        <v>9.5</v>
      </c>
      <c r="AI5" s="12">
        <f t="shared" si="12"/>
        <v>63.3</v>
      </c>
      <c r="AJ5" s="12">
        <f t="shared" si="13"/>
        <v>65.199999999999989</v>
      </c>
      <c r="AK5" s="12">
        <f t="shared" si="14"/>
        <v>128.5</v>
      </c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75"/>
      <c r="BC5" s="15" t="str">
        <f t="shared" si="15"/>
        <v/>
      </c>
      <c r="BD5" s="15" t="str">
        <f t="shared" si="16"/>
        <v/>
      </c>
      <c r="BE5" s="15" t="str">
        <f t="shared" si="17"/>
        <v/>
      </c>
      <c r="BF5" s="15" t="str">
        <f t="shared" si="18"/>
        <v/>
      </c>
      <c r="BG5" s="24" t="str">
        <f t="shared" si="19"/>
        <v/>
      </c>
      <c r="BH5" s="24" t="str">
        <f t="shared" si="20"/>
        <v/>
      </c>
      <c r="BI5" s="36">
        <v>23.7</v>
      </c>
      <c r="BJ5" s="36">
        <v>5.4</v>
      </c>
      <c r="BK5" s="36">
        <v>0</v>
      </c>
      <c r="BL5" s="36">
        <v>0</v>
      </c>
      <c r="BM5" s="36">
        <v>26.8</v>
      </c>
      <c r="BN5" s="36">
        <v>4</v>
      </c>
      <c r="BO5" s="36">
        <v>0</v>
      </c>
      <c r="BP5" s="36">
        <v>0</v>
      </c>
      <c r="BQ5" s="36"/>
      <c r="BR5" s="36"/>
      <c r="BS5" s="36"/>
      <c r="BT5" s="36"/>
      <c r="BU5" s="36"/>
      <c r="BV5" s="36"/>
      <c r="BW5" s="36"/>
      <c r="BX5" s="36"/>
      <c r="BY5" s="12">
        <f t="shared" si="21"/>
        <v>9.4</v>
      </c>
      <c r="BZ5" s="12">
        <f t="shared" si="22"/>
        <v>59.900000000000006</v>
      </c>
      <c r="CA5" s="12" t="str">
        <f t="shared" si="23"/>
        <v/>
      </c>
      <c r="CB5" s="12">
        <f t="shared" si="24"/>
        <v>59.900000000000006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15" t="str">
        <f t="shared" si="25"/>
        <v/>
      </c>
      <c r="CT5" s="15" t="str">
        <f t="shared" si="26"/>
        <v/>
      </c>
      <c r="CU5" s="15" t="str">
        <f t="shared" si="27"/>
        <v/>
      </c>
      <c r="CV5" s="15" t="str">
        <f t="shared" si="28"/>
        <v/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12" t="str">
        <f t="shared" si="29"/>
        <v/>
      </c>
      <c r="DN5" s="12" t="str">
        <f t="shared" si="30"/>
        <v/>
      </c>
      <c r="DO5" s="12" t="str">
        <f t="shared" si="31"/>
        <v/>
      </c>
      <c r="DP5" s="12" t="str">
        <f t="shared" si="32"/>
        <v/>
      </c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15" t="str">
        <f t="shared" si="33"/>
        <v/>
      </c>
      <c r="EH5" s="15" t="str">
        <f t="shared" si="34"/>
        <v/>
      </c>
      <c r="EI5" s="15" t="str">
        <f t="shared" si="35"/>
        <v/>
      </c>
      <c r="EJ5" s="15" t="str">
        <f t="shared" si="36"/>
        <v/>
      </c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12" t="str">
        <f t="shared" si="37"/>
        <v/>
      </c>
      <c r="FB5" s="12" t="str">
        <f t="shared" si="38"/>
        <v/>
      </c>
      <c r="FC5" s="12" t="str">
        <f t="shared" si="39"/>
        <v/>
      </c>
      <c r="FD5" s="12" t="str">
        <f t="shared" si="40"/>
        <v/>
      </c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15" t="str">
        <f t="shared" si="41"/>
        <v/>
      </c>
      <c r="FV5" s="15" t="str">
        <f t="shared" si="42"/>
        <v/>
      </c>
      <c r="FW5" s="15" t="str">
        <f t="shared" si="43"/>
        <v/>
      </c>
      <c r="FX5" s="15" t="str">
        <f t="shared" si="44"/>
        <v/>
      </c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2" t="str">
        <f t="shared" si="45"/>
        <v/>
      </c>
      <c r="GP5" s="12" t="str">
        <f t="shared" si="46"/>
        <v/>
      </c>
      <c r="GQ5" s="12" t="str">
        <f t="shared" si="47"/>
        <v/>
      </c>
      <c r="GR5" s="12" t="str">
        <f t="shared" si="48"/>
        <v/>
      </c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15" t="str">
        <f t="shared" si="49"/>
        <v/>
      </c>
      <c r="HJ5" s="15" t="str">
        <f t="shared" si="50"/>
        <v/>
      </c>
      <c r="HK5" s="15" t="str">
        <f t="shared" si="51"/>
        <v/>
      </c>
      <c r="HL5" s="15" t="str">
        <f t="shared" si="52"/>
        <v/>
      </c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12" t="str">
        <f t="shared" si="53"/>
        <v/>
      </c>
      <c r="ID5" s="12" t="str">
        <f t="shared" si="54"/>
        <v/>
      </c>
      <c r="IE5" s="12" t="str">
        <f t="shared" si="55"/>
        <v/>
      </c>
      <c r="IF5" s="12" t="str">
        <f t="shared" si="56"/>
        <v/>
      </c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15" t="str">
        <f t="shared" si="57"/>
        <v/>
      </c>
      <c r="IX5" s="15" t="str">
        <f t="shared" si="58"/>
        <v/>
      </c>
      <c r="IY5" s="15" t="str">
        <f t="shared" si="59"/>
        <v/>
      </c>
      <c r="IZ5" s="15" t="str">
        <f t="shared" si="60"/>
        <v/>
      </c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12" t="str">
        <f t="shared" si="61"/>
        <v/>
      </c>
      <c r="JR5" s="12" t="str">
        <f t="shared" si="62"/>
        <v/>
      </c>
      <c r="JS5" s="12" t="str">
        <f t="shared" si="63"/>
        <v/>
      </c>
      <c r="JT5" s="12" t="str">
        <f t="shared" si="64"/>
        <v/>
      </c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15" t="str">
        <f t="shared" si="65"/>
        <v/>
      </c>
      <c r="KL5" s="15" t="str">
        <f t="shared" si="66"/>
        <v/>
      </c>
      <c r="KM5" s="15" t="str">
        <f t="shared" si="67"/>
        <v/>
      </c>
      <c r="KN5" s="15" t="str">
        <f t="shared" si="68"/>
        <v/>
      </c>
      <c r="KO5" s="63">
        <f t="shared" ref="KO5:KO9" si="74">IF($BB5="P",AL5,(Q5+AL5)/2)</f>
        <v>13.1</v>
      </c>
      <c r="KP5" s="63">
        <f t="shared" si="69"/>
        <v>2.75</v>
      </c>
      <c r="KQ5" s="63">
        <f t="shared" si="69"/>
        <v>0</v>
      </c>
      <c r="KR5" s="63">
        <f t="shared" si="69"/>
        <v>0</v>
      </c>
      <c r="KS5" s="63">
        <f t="shared" si="69"/>
        <v>13.8</v>
      </c>
      <c r="KT5" s="63">
        <f t="shared" si="69"/>
        <v>2</v>
      </c>
      <c r="KU5" s="63">
        <f t="shared" si="69"/>
        <v>0</v>
      </c>
      <c r="KV5" s="63">
        <f t="shared" si="69"/>
        <v>0</v>
      </c>
      <c r="KW5" s="63">
        <f t="shared" si="69"/>
        <v>13.4</v>
      </c>
      <c r="KX5" s="63">
        <f t="shared" si="69"/>
        <v>2.75</v>
      </c>
      <c r="KY5" s="63">
        <f t="shared" si="69"/>
        <v>0</v>
      </c>
      <c r="KZ5" s="63">
        <f t="shared" si="69"/>
        <v>0</v>
      </c>
      <c r="LA5" s="63">
        <f t="shared" si="69"/>
        <v>14.45</v>
      </c>
      <c r="LB5" s="63">
        <f t="shared" si="69"/>
        <v>2</v>
      </c>
      <c r="LC5" s="63">
        <f t="shared" si="69"/>
        <v>0</v>
      </c>
      <c r="LD5" s="63">
        <f t="shared" si="69"/>
        <v>0</v>
      </c>
      <c r="LE5" s="74" t="s">
        <v>119</v>
      </c>
      <c r="LF5" s="12">
        <f t="shared" ref="LF5:LF9" si="75">IF(SUM(KP5,KT5)&gt;0,SUM(KP5,KT5),"")</f>
        <v>4.75</v>
      </c>
      <c r="LG5" s="12">
        <f t="shared" ref="LG5:LG9" si="76">IF(SUM(KO5:KP5,KR5:KT5,KV5)-KQ5-KU5&gt;0,SUM(KO5:KP5,KR5:KT5,KV5)-KQ5-KU5,"")</f>
        <v>31.65</v>
      </c>
      <c r="LH5" s="12">
        <f t="shared" ref="LH5:LH9" si="77">IF(SUM(KW5:KX5,KZ5:LB5,LD5)-SUM(KY5,LC5)&gt;0,SUM(KW5:KX5,KZ5:LB5,LD5)-SUM(KY5,LC5),"")</f>
        <v>32.599999999999994</v>
      </c>
      <c r="LI5" s="12">
        <f t="shared" ref="LI5:LI9" si="78">IF(SUM(LG5,LH5)&gt;0,SUM(LG5,LH5),"")</f>
        <v>64.25</v>
      </c>
    </row>
    <row r="6" spans="1:321" x14ac:dyDescent="0.2">
      <c r="A6" s="6" t="str">
        <f t="shared" si="0"/>
        <v/>
      </c>
      <c r="B6" s="7" t="s">
        <v>107</v>
      </c>
      <c r="C6" s="8" t="s">
        <v>3</v>
      </c>
      <c r="D6" s="6">
        <v>2001</v>
      </c>
      <c r="E6" s="16">
        <f t="shared" si="1"/>
        <v>123.69999999999999</v>
      </c>
      <c r="F6" s="4" t="str">
        <f t="shared" si="2"/>
        <v/>
      </c>
      <c r="G6" s="4" t="str">
        <f t="shared" si="3"/>
        <v/>
      </c>
      <c r="H6" s="4" t="str">
        <f t="shared" si="4"/>
        <v/>
      </c>
      <c r="I6" t="str">
        <f t="shared" si="73"/>
        <v/>
      </c>
      <c r="J6" s="15">
        <f t="shared" si="5"/>
        <v>61.3</v>
      </c>
      <c r="K6" s="15" t="str">
        <f t="shared" si="6"/>
        <v>2018 Nationals</v>
      </c>
      <c r="L6" s="15">
        <f t="shared" si="7"/>
        <v>62.4</v>
      </c>
      <c r="M6" s="15" t="str">
        <f t="shared" si="8"/>
        <v>2018 Nationals</v>
      </c>
      <c r="N6" s="15" t="str">
        <f t="shared" si="9"/>
        <v/>
      </c>
      <c r="O6" s="25" t="str">
        <f t="shared" si="10"/>
        <v/>
      </c>
      <c r="P6" s="15" t="str">
        <f>IF(N6="","",IF(N6=BG6,IF(N6+IF(J6="",0,J6)=#REF!,$JU$1,IF(N6+IF(J6="",0,J6)=#REF!,$JA$1,IF(N6+IF(J6="",0,J6)=#REF!,$IG$1,IF(N6+IF(J6="",0,J6)=#REF!,$HM$1,IF(N6+IF(J6="",0,J6)=#REF!,$GS$1,IF(N6+IF(J6="",0,J6)=#REF!,$FY$1,IF(N6+IF(J6="",0,J6)=#REF!,$FE$1,IF(N6+IF(J6="",0,J6)=#REF!,$EK$1,IF(N6+IF(J6="",0,J6)=#REF!,$DQ$1,IF(N6+IF(J6="",0,J6)=#REF!,$CW$1,IF(N6+IF(J6="",0,J6)=#REF!,$CC$1,IF(N6+IF(J6="",0,J6)=#REF!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63">
        <v>23.7</v>
      </c>
      <c r="R6" s="63">
        <v>5.5</v>
      </c>
      <c r="S6" s="63">
        <v>0.3</v>
      </c>
      <c r="T6" s="63">
        <v>0</v>
      </c>
      <c r="U6" s="63">
        <v>26.4</v>
      </c>
      <c r="V6" s="63">
        <v>6</v>
      </c>
      <c r="W6" s="63">
        <v>0</v>
      </c>
      <c r="X6" s="63">
        <v>0</v>
      </c>
      <c r="Y6" s="63">
        <v>25</v>
      </c>
      <c r="Z6" s="63">
        <v>6.5</v>
      </c>
      <c r="AA6" s="63">
        <v>0</v>
      </c>
      <c r="AB6" s="63">
        <v>0</v>
      </c>
      <c r="AC6" s="63">
        <v>25.5</v>
      </c>
      <c r="AD6" s="63">
        <v>6</v>
      </c>
      <c r="AE6" s="63">
        <v>0.6</v>
      </c>
      <c r="AF6" s="63">
        <v>0</v>
      </c>
      <c r="AG6" s="74"/>
      <c r="AH6" s="12">
        <f t="shared" si="11"/>
        <v>11.5</v>
      </c>
      <c r="AI6" s="12">
        <f t="shared" si="12"/>
        <v>61.3</v>
      </c>
      <c r="AJ6" s="12">
        <f t="shared" si="13"/>
        <v>62.4</v>
      </c>
      <c r="AK6" s="12">
        <f t="shared" si="14"/>
        <v>123.69999999999999</v>
      </c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75"/>
      <c r="BC6" s="15" t="str">
        <f t="shared" si="15"/>
        <v/>
      </c>
      <c r="BD6" s="15" t="str">
        <f t="shared" si="16"/>
        <v/>
      </c>
      <c r="BE6" s="15" t="str">
        <f t="shared" si="17"/>
        <v/>
      </c>
      <c r="BF6" s="15" t="str">
        <f t="shared" si="18"/>
        <v/>
      </c>
      <c r="BG6" s="24" t="str">
        <f t="shared" si="19"/>
        <v/>
      </c>
      <c r="BH6" s="24" t="str">
        <f t="shared" si="20"/>
        <v/>
      </c>
      <c r="BI6" s="36">
        <v>26.7</v>
      </c>
      <c r="BJ6" s="36">
        <v>5.5</v>
      </c>
      <c r="BK6" s="36">
        <v>0</v>
      </c>
      <c r="BL6" s="36">
        <v>0</v>
      </c>
      <c r="BM6" s="36">
        <v>24</v>
      </c>
      <c r="BN6" s="36">
        <v>5.5</v>
      </c>
      <c r="BO6" s="36">
        <v>0.3</v>
      </c>
      <c r="BP6" s="36">
        <v>0</v>
      </c>
      <c r="BQ6" s="36"/>
      <c r="BR6" s="36"/>
      <c r="BS6" s="36"/>
      <c r="BT6" s="36"/>
      <c r="BU6" s="36"/>
      <c r="BV6" s="36"/>
      <c r="BW6" s="36"/>
      <c r="BX6" s="36"/>
      <c r="BY6" s="12">
        <f t="shared" si="21"/>
        <v>11</v>
      </c>
      <c r="BZ6" s="12">
        <f t="shared" si="22"/>
        <v>61.400000000000006</v>
      </c>
      <c r="CA6" s="12" t="str">
        <f t="shared" si="23"/>
        <v/>
      </c>
      <c r="CB6" s="12">
        <f t="shared" si="24"/>
        <v>61.400000000000006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15" t="str">
        <f t="shared" si="25"/>
        <v/>
      </c>
      <c r="CT6" s="15" t="str">
        <f t="shared" si="26"/>
        <v/>
      </c>
      <c r="CU6" s="15" t="str">
        <f t="shared" si="27"/>
        <v/>
      </c>
      <c r="CV6" s="15" t="str">
        <f t="shared" si="28"/>
        <v/>
      </c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12" t="str">
        <f t="shared" si="29"/>
        <v/>
      </c>
      <c r="DN6" s="12" t="str">
        <f t="shared" si="30"/>
        <v/>
      </c>
      <c r="DO6" s="12" t="str">
        <f t="shared" si="31"/>
        <v/>
      </c>
      <c r="DP6" s="12" t="str">
        <f t="shared" si="32"/>
        <v/>
      </c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15" t="str">
        <f t="shared" si="33"/>
        <v/>
      </c>
      <c r="EH6" s="15" t="str">
        <f t="shared" si="34"/>
        <v/>
      </c>
      <c r="EI6" s="15" t="str">
        <f t="shared" si="35"/>
        <v/>
      </c>
      <c r="EJ6" s="15" t="str">
        <f t="shared" si="36"/>
        <v/>
      </c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12" t="str">
        <f t="shared" si="37"/>
        <v/>
      </c>
      <c r="FB6" s="12" t="str">
        <f t="shared" si="38"/>
        <v/>
      </c>
      <c r="FC6" s="12" t="str">
        <f t="shared" si="39"/>
        <v/>
      </c>
      <c r="FD6" s="12" t="str">
        <f t="shared" si="40"/>
        <v/>
      </c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15" t="str">
        <f t="shared" si="41"/>
        <v/>
      </c>
      <c r="FV6" s="15" t="str">
        <f t="shared" si="42"/>
        <v/>
      </c>
      <c r="FW6" s="15" t="str">
        <f t="shared" si="43"/>
        <v/>
      </c>
      <c r="FX6" s="15" t="str">
        <f t="shared" si="44"/>
        <v/>
      </c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2" t="str">
        <f t="shared" si="45"/>
        <v/>
      </c>
      <c r="GP6" s="12" t="str">
        <f t="shared" si="46"/>
        <v/>
      </c>
      <c r="GQ6" s="12" t="str">
        <f t="shared" si="47"/>
        <v/>
      </c>
      <c r="GR6" s="12" t="str">
        <f t="shared" si="48"/>
        <v/>
      </c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15" t="str">
        <f t="shared" si="49"/>
        <v/>
      </c>
      <c r="HJ6" s="15" t="str">
        <f t="shared" si="50"/>
        <v/>
      </c>
      <c r="HK6" s="15" t="str">
        <f t="shared" si="51"/>
        <v/>
      </c>
      <c r="HL6" s="15" t="str">
        <f t="shared" si="52"/>
        <v/>
      </c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12" t="str">
        <f t="shared" si="53"/>
        <v/>
      </c>
      <c r="ID6" s="12" t="str">
        <f t="shared" si="54"/>
        <v/>
      </c>
      <c r="IE6" s="12" t="str">
        <f t="shared" si="55"/>
        <v/>
      </c>
      <c r="IF6" s="12" t="str">
        <f t="shared" si="56"/>
        <v/>
      </c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15" t="str">
        <f t="shared" si="57"/>
        <v/>
      </c>
      <c r="IX6" s="15" t="str">
        <f t="shared" si="58"/>
        <v/>
      </c>
      <c r="IY6" s="15" t="str">
        <f t="shared" si="59"/>
        <v/>
      </c>
      <c r="IZ6" s="15" t="str">
        <f t="shared" si="60"/>
        <v/>
      </c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12" t="str">
        <f t="shared" si="61"/>
        <v/>
      </c>
      <c r="JR6" s="12" t="str">
        <f t="shared" si="62"/>
        <v/>
      </c>
      <c r="JS6" s="12" t="str">
        <f t="shared" si="63"/>
        <v/>
      </c>
      <c r="JT6" s="12" t="str">
        <f t="shared" si="64"/>
        <v/>
      </c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15" t="str">
        <f t="shared" si="65"/>
        <v/>
      </c>
      <c r="KL6" s="15" t="str">
        <f t="shared" si="66"/>
        <v/>
      </c>
      <c r="KM6" s="15" t="str">
        <f t="shared" si="67"/>
        <v/>
      </c>
      <c r="KN6" s="15" t="str">
        <f t="shared" si="68"/>
        <v/>
      </c>
      <c r="KO6" s="63">
        <f t="shared" si="74"/>
        <v>11.85</v>
      </c>
      <c r="KP6" s="63">
        <f t="shared" si="69"/>
        <v>2.75</v>
      </c>
      <c r="KQ6" s="63">
        <f t="shared" si="69"/>
        <v>0.15</v>
      </c>
      <c r="KR6" s="63">
        <f t="shared" si="69"/>
        <v>0</v>
      </c>
      <c r="KS6" s="63">
        <f t="shared" si="69"/>
        <v>13.2</v>
      </c>
      <c r="KT6" s="63">
        <f t="shared" si="69"/>
        <v>3</v>
      </c>
      <c r="KU6" s="63">
        <f t="shared" si="69"/>
        <v>0</v>
      </c>
      <c r="KV6" s="63">
        <f t="shared" si="69"/>
        <v>0</v>
      </c>
      <c r="KW6" s="63">
        <f t="shared" si="69"/>
        <v>12.5</v>
      </c>
      <c r="KX6" s="63">
        <f t="shared" si="69"/>
        <v>3.25</v>
      </c>
      <c r="KY6" s="63">
        <f t="shared" si="69"/>
        <v>0</v>
      </c>
      <c r="KZ6" s="63">
        <f t="shared" si="69"/>
        <v>0</v>
      </c>
      <c r="LA6" s="63">
        <f t="shared" si="69"/>
        <v>12.75</v>
      </c>
      <c r="LB6" s="63">
        <f t="shared" si="69"/>
        <v>3</v>
      </c>
      <c r="LC6" s="63">
        <f t="shared" si="69"/>
        <v>0.3</v>
      </c>
      <c r="LD6" s="63">
        <f t="shared" si="69"/>
        <v>0</v>
      </c>
      <c r="LE6" s="74" t="s">
        <v>119</v>
      </c>
      <c r="LF6" s="12">
        <f t="shared" si="75"/>
        <v>5.75</v>
      </c>
      <c r="LG6" s="12">
        <f t="shared" si="76"/>
        <v>30.65</v>
      </c>
      <c r="LH6" s="12">
        <f t="shared" si="77"/>
        <v>31.2</v>
      </c>
      <c r="LI6" s="12">
        <f t="shared" si="78"/>
        <v>61.849999999999994</v>
      </c>
    </row>
    <row r="7" spans="1:321" x14ac:dyDescent="0.2">
      <c r="A7" s="6" t="str">
        <f t="shared" si="0"/>
        <v/>
      </c>
      <c r="B7" s="9" t="s">
        <v>109</v>
      </c>
      <c r="C7" s="5" t="s">
        <v>6</v>
      </c>
      <c r="D7" s="27">
        <v>1999</v>
      </c>
      <c r="E7" s="16">
        <f t="shared" si="1"/>
        <v>123.69999999999999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73"/>
        <v/>
      </c>
      <c r="J7" s="15">
        <f t="shared" si="5"/>
        <v>61.9</v>
      </c>
      <c r="K7" s="15" t="str">
        <f t="shared" si="6"/>
        <v>2018 Nationals</v>
      </c>
      <c r="L7" s="15">
        <f t="shared" si="7"/>
        <v>61.8</v>
      </c>
      <c r="M7" s="15" t="str">
        <f t="shared" si="8"/>
        <v>2018 Nationals</v>
      </c>
      <c r="N7" s="15" t="str">
        <f t="shared" si="9"/>
        <v/>
      </c>
      <c r="O7" s="25" t="str">
        <f t="shared" si="10"/>
        <v/>
      </c>
      <c r="P7" s="15" t="str">
        <f>IF(N7="","",IF(N7=BG7,IF(N7+IF(J7="",0,J7)=#REF!,$JU$1,IF(N7+IF(J7="",0,J7)=#REF!,$JA$1,IF(N7+IF(J7="",0,J7)=#REF!,$IG$1,IF(N7+IF(J7="",0,J7)=#REF!,$HM$1,IF(N7+IF(J7="",0,J7)=#REF!,$GS$1,IF(N7+IF(J7="",0,J7)=#REF!,$FY$1,IF(N7+IF(J7="",0,J7)=#REF!,$FE$1,IF(N7+IF(J7="",0,J7)=#REF!,$EK$1,IF(N7+IF(J7="",0,J7)=#REF!,$DQ$1,IF(N7+IF(J7="",0,J7)=#REF!,$CW$1,IF(N7+IF(J7="",0,J7)=#REF!,$CC$1,IF(N7+IF(J7="",0,J7)=#REF!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63">
        <v>25.4</v>
      </c>
      <c r="R7" s="63">
        <v>5.2</v>
      </c>
      <c r="S7" s="63">
        <v>0</v>
      </c>
      <c r="T7" s="63">
        <v>0</v>
      </c>
      <c r="U7" s="63">
        <v>26.3</v>
      </c>
      <c r="V7" s="63">
        <v>5</v>
      </c>
      <c r="W7" s="63">
        <v>0</v>
      </c>
      <c r="X7" s="63">
        <v>0</v>
      </c>
      <c r="Y7" s="63">
        <v>26</v>
      </c>
      <c r="Z7" s="63">
        <v>5.2</v>
      </c>
      <c r="AA7" s="63">
        <v>0</v>
      </c>
      <c r="AB7" s="63">
        <v>0</v>
      </c>
      <c r="AC7" s="63">
        <v>25.6</v>
      </c>
      <c r="AD7" s="63">
        <v>5</v>
      </c>
      <c r="AE7" s="63">
        <v>0</v>
      </c>
      <c r="AF7" s="63">
        <v>0</v>
      </c>
      <c r="AG7" s="74"/>
      <c r="AH7" s="12">
        <f t="shared" si="11"/>
        <v>10.199999999999999</v>
      </c>
      <c r="AI7" s="12">
        <f t="shared" si="12"/>
        <v>61.9</v>
      </c>
      <c r="AJ7" s="12">
        <f t="shared" si="13"/>
        <v>61.8</v>
      </c>
      <c r="AK7" s="12">
        <f t="shared" si="14"/>
        <v>123.69999999999999</v>
      </c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75"/>
      <c r="BC7" s="15" t="str">
        <f t="shared" si="15"/>
        <v/>
      </c>
      <c r="BD7" s="15" t="str">
        <f t="shared" si="16"/>
        <v/>
      </c>
      <c r="BE7" s="15" t="str">
        <f t="shared" si="17"/>
        <v/>
      </c>
      <c r="BF7" s="15" t="str">
        <f t="shared" si="18"/>
        <v/>
      </c>
      <c r="BG7" s="24" t="str">
        <f t="shared" si="19"/>
        <v/>
      </c>
      <c r="BH7" s="24" t="str">
        <f t="shared" si="20"/>
        <v/>
      </c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12" t="str">
        <f t="shared" si="21"/>
        <v/>
      </c>
      <c r="BZ7" s="12" t="str">
        <f t="shared" si="22"/>
        <v/>
      </c>
      <c r="CA7" s="12" t="str">
        <f t="shared" si="23"/>
        <v/>
      </c>
      <c r="CB7" s="12" t="str">
        <f t="shared" si="24"/>
        <v/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15" t="str">
        <f t="shared" si="25"/>
        <v/>
      </c>
      <c r="CT7" s="15" t="str">
        <f t="shared" si="26"/>
        <v/>
      </c>
      <c r="CU7" s="15" t="str">
        <f t="shared" si="27"/>
        <v/>
      </c>
      <c r="CV7" s="15" t="str">
        <f t="shared" si="28"/>
        <v/>
      </c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12" t="str">
        <f t="shared" si="29"/>
        <v/>
      </c>
      <c r="DN7" s="12" t="str">
        <f t="shared" si="30"/>
        <v/>
      </c>
      <c r="DO7" s="12" t="str">
        <f t="shared" si="31"/>
        <v/>
      </c>
      <c r="DP7" s="12" t="str">
        <f t="shared" si="32"/>
        <v/>
      </c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15" t="str">
        <f t="shared" si="33"/>
        <v/>
      </c>
      <c r="EH7" s="15" t="str">
        <f t="shared" si="34"/>
        <v/>
      </c>
      <c r="EI7" s="15" t="str">
        <f t="shared" si="35"/>
        <v/>
      </c>
      <c r="EJ7" s="15" t="str">
        <f t="shared" si="36"/>
        <v/>
      </c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12" t="str">
        <f t="shared" si="37"/>
        <v/>
      </c>
      <c r="FB7" s="12" t="str">
        <f t="shared" si="38"/>
        <v/>
      </c>
      <c r="FC7" s="12" t="str">
        <f t="shared" si="39"/>
        <v/>
      </c>
      <c r="FD7" s="12" t="str">
        <f t="shared" si="40"/>
        <v/>
      </c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15" t="str">
        <f t="shared" si="41"/>
        <v/>
      </c>
      <c r="FV7" s="15" t="str">
        <f t="shared" si="42"/>
        <v/>
      </c>
      <c r="FW7" s="15" t="str">
        <f t="shared" si="43"/>
        <v/>
      </c>
      <c r="FX7" s="15" t="str">
        <f t="shared" si="44"/>
        <v/>
      </c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2" t="str">
        <f t="shared" si="45"/>
        <v/>
      </c>
      <c r="GP7" s="12" t="str">
        <f t="shared" si="46"/>
        <v/>
      </c>
      <c r="GQ7" s="12" t="str">
        <f t="shared" si="47"/>
        <v/>
      </c>
      <c r="GR7" s="12" t="str">
        <f t="shared" si="48"/>
        <v/>
      </c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15" t="str">
        <f t="shared" si="49"/>
        <v/>
      </c>
      <c r="HJ7" s="15" t="str">
        <f t="shared" si="50"/>
        <v/>
      </c>
      <c r="HK7" s="15" t="str">
        <f t="shared" si="51"/>
        <v/>
      </c>
      <c r="HL7" s="15" t="str">
        <f t="shared" si="52"/>
        <v/>
      </c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12" t="str">
        <f t="shared" si="53"/>
        <v/>
      </c>
      <c r="ID7" s="12" t="str">
        <f t="shared" si="54"/>
        <v/>
      </c>
      <c r="IE7" s="12" t="str">
        <f t="shared" si="55"/>
        <v/>
      </c>
      <c r="IF7" s="12" t="str">
        <f t="shared" si="56"/>
        <v/>
      </c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15" t="str">
        <f t="shared" si="57"/>
        <v/>
      </c>
      <c r="IX7" s="15" t="str">
        <f t="shared" si="58"/>
        <v/>
      </c>
      <c r="IY7" s="15" t="str">
        <f t="shared" si="59"/>
        <v/>
      </c>
      <c r="IZ7" s="15" t="str">
        <f t="shared" si="60"/>
        <v/>
      </c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12" t="str">
        <f t="shared" si="61"/>
        <v/>
      </c>
      <c r="JR7" s="12" t="str">
        <f t="shared" si="62"/>
        <v/>
      </c>
      <c r="JS7" s="12" t="str">
        <f t="shared" si="63"/>
        <v/>
      </c>
      <c r="JT7" s="12" t="str">
        <f t="shared" si="64"/>
        <v/>
      </c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15" t="str">
        <f t="shared" si="65"/>
        <v/>
      </c>
      <c r="KL7" s="15" t="str">
        <f t="shared" si="66"/>
        <v/>
      </c>
      <c r="KM7" s="15" t="str">
        <f t="shared" si="67"/>
        <v/>
      </c>
      <c r="KN7" s="15" t="str">
        <f t="shared" si="68"/>
        <v/>
      </c>
      <c r="KO7" s="63">
        <f t="shared" si="74"/>
        <v>12.7</v>
      </c>
      <c r="KP7" s="63">
        <f t="shared" si="69"/>
        <v>2.6</v>
      </c>
      <c r="KQ7" s="63">
        <f t="shared" si="69"/>
        <v>0</v>
      </c>
      <c r="KR7" s="63">
        <f t="shared" si="69"/>
        <v>0</v>
      </c>
      <c r="KS7" s="63">
        <f t="shared" si="69"/>
        <v>13.15</v>
      </c>
      <c r="KT7" s="63">
        <f t="shared" si="69"/>
        <v>2.5</v>
      </c>
      <c r="KU7" s="63">
        <f t="shared" si="69"/>
        <v>0</v>
      </c>
      <c r="KV7" s="63">
        <f t="shared" si="69"/>
        <v>0</v>
      </c>
      <c r="KW7" s="63">
        <f t="shared" si="69"/>
        <v>13</v>
      </c>
      <c r="KX7" s="63">
        <f t="shared" si="69"/>
        <v>2.6</v>
      </c>
      <c r="KY7" s="63">
        <f t="shared" si="69"/>
        <v>0</v>
      </c>
      <c r="KZ7" s="63">
        <f t="shared" si="69"/>
        <v>0</v>
      </c>
      <c r="LA7" s="63">
        <f t="shared" si="69"/>
        <v>12.8</v>
      </c>
      <c r="LB7" s="63">
        <f t="shared" si="69"/>
        <v>2.5</v>
      </c>
      <c r="LC7" s="63">
        <f t="shared" si="69"/>
        <v>0</v>
      </c>
      <c r="LD7" s="63">
        <f t="shared" si="69"/>
        <v>0</v>
      </c>
      <c r="LE7" s="74" t="s">
        <v>119</v>
      </c>
      <c r="LF7" s="12">
        <f t="shared" si="75"/>
        <v>5.0999999999999996</v>
      </c>
      <c r="LG7" s="12">
        <f t="shared" si="76"/>
        <v>30.95</v>
      </c>
      <c r="LH7" s="12">
        <f t="shared" si="77"/>
        <v>30.9</v>
      </c>
      <c r="LI7" s="12">
        <f t="shared" si="78"/>
        <v>61.849999999999994</v>
      </c>
    </row>
    <row r="8" spans="1:321" x14ac:dyDescent="0.2">
      <c r="A8" s="6" t="str">
        <f t="shared" si="0"/>
        <v/>
      </c>
      <c r="B8" s="7" t="s">
        <v>86</v>
      </c>
      <c r="C8" s="8" t="s">
        <v>4</v>
      </c>
      <c r="D8" s="27">
        <v>2002</v>
      </c>
      <c r="E8" s="16">
        <f t="shared" si="1"/>
        <v>122.60000000000001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73"/>
        <v/>
      </c>
      <c r="J8" s="15">
        <f t="shared" si="5"/>
        <v>60.800000000000004</v>
      </c>
      <c r="K8" s="15" t="str">
        <f t="shared" si="6"/>
        <v>2018 Nationals</v>
      </c>
      <c r="L8" s="15">
        <f t="shared" si="7"/>
        <v>61.800000000000004</v>
      </c>
      <c r="M8" s="15" t="str">
        <f t="shared" si="8"/>
        <v>2019 Elite Canada</v>
      </c>
      <c r="N8" s="15" t="str">
        <f t="shared" si="9"/>
        <v/>
      </c>
      <c r="O8" s="25" t="str">
        <f t="shared" si="10"/>
        <v/>
      </c>
      <c r="P8" s="15" t="str">
        <f>IF(N8="","",IF(N8=BG8,IF(N8+IF(J8="",0,J8)=#REF!,$JU$1,IF(N8+IF(J8="",0,J8)=#REF!,$JA$1,IF(N8+IF(J8="",0,J8)=#REF!,$IG$1,IF(N8+IF(J8="",0,J8)=#REF!,$HM$1,IF(N8+IF(J8="",0,J8)=#REF!,$GS$1,IF(N8+IF(J8="",0,J8)=#REF!,$FY$1,IF(N8+IF(J8="",0,J8)=#REF!,$FE$1,IF(N8+IF(J8="",0,J8)=#REF!,$EK$1,IF(N8+IF(J8="",0,J8)=#REF!,$DQ$1,IF(N8+IF(J8="",0,J8)=#REF!,$CW$1,IF(N8+IF(J8="",0,J8)=#REF!,$CC$1,IF(N8+IF(J8="",0,J8)=#REF!,$BI$1)))))))))))),IF(N8=BH8,IF(N8+IF(L8="",0,L8)=KM8,$JU$1,IF(N8+IF(L8="",0,L8)=JS8,$JA$1,IF(N8+IF(L8="",0,L8)=IY8,$IG$1,IF(N8+IF(L8="",0,L8)=IE8,$HM$1,IF(N8+IF(L8="",0,L8)=HK8,$GS$1,IF(N8+IF(L8="",0,L8)=GQ8,$FY$1,IF(N8+IF(L8="",0,L8)=FW8,$FE$1,IF(N8+IF(L8="",0,L8)=FC8,$EK$1,IF(N8+IF(L8="",0,L8)=EI8,$DQ$1,IF(N8+IF(L8="",0,L8)=DO8,$CW$1,IF(N8+IF(L8="",0,L8)=CU8,$CC$1,IF(N8+IF(L8="",0,L8)=CA8,$BI$1)))))))))))))))</f>
        <v/>
      </c>
      <c r="Q8" s="42">
        <v>25.1</v>
      </c>
      <c r="R8" s="42">
        <v>5.0999999999999996</v>
      </c>
      <c r="S8" s="42">
        <v>0.3</v>
      </c>
      <c r="T8" s="42">
        <v>0</v>
      </c>
      <c r="U8" s="42">
        <v>25.8</v>
      </c>
      <c r="V8" s="42">
        <v>5.0999999999999996</v>
      </c>
      <c r="W8" s="42">
        <v>0</v>
      </c>
      <c r="X8" s="42">
        <v>0</v>
      </c>
      <c r="Y8" s="42">
        <v>25.1</v>
      </c>
      <c r="Z8" s="42">
        <v>5.7</v>
      </c>
      <c r="AA8" s="42">
        <v>0</v>
      </c>
      <c r="AB8" s="42">
        <v>0</v>
      </c>
      <c r="AC8" s="42">
        <v>25.8</v>
      </c>
      <c r="AD8" s="42">
        <v>4.0999999999999996</v>
      </c>
      <c r="AE8" s="42">
        <v>0</v>
      </c>
      <c r="AF8" s="42">
        <v>0</v>
      </c>
      <c r="AG8" s="74"/>
      <c r="AH8" s="12">
        <f t="shared" si="11"/>
        <v>10.199999999999999</v>
      </c>
      <c r="AI8" s="12">
        <f t="shared" si="12"/>
        <v>60.800000000000004</v>
      </c>
      <c r="AJ8" s="12">
        <f t="shared" si="13"/>
        <v>60.7</v>
      </c>
      <c r="AK8" s="12">
        <f t="shared" si="14"/>
        <v>121.5</v>
      </c>
      <c r="AL8" s="37">
        <v>22.7</v>
      </c>
      <c r="AM8" s="37">
        <v>4.8</v>
      </c>
      <c r="AN8" s="37">
        <v>0</v>
      </c>
      <c r="AO8" s="37">
        <v>0</v>
      </c>
      <c r="AP8" s="37">
        <v>26</v>
      </c>
      <c r="AQ8" s="37">
        <v>4.7</v>
      </c>
      <c r="AR8" s="37">
        <v>0</v>
      </c>
      <c r="AS8" s="37">
        <v>0</v>
      </c>
      <c r="AT8" s="37">
        <v>25.1</v>
      </c>
      <c r="AU8" s="37">
        <v>5.7</v>
      </c>
      <c r="AV8" s="37">
        <v>0</v>
      </c>
      <c r="AW8" s="37">
        <v>0</v>
      </c>
      <c r="AX8" s="37">
        <v>26.3</v>
      </c>
      <c r="AY8" s="37">
        <v>4.7</v>
      </c>
      <c r="AZ8" s="37">
        <v>0</v>
      </c>
      <c r="BA8" s="37">
        <v>0</v>
      </c>
      <c r="BB8" s="75"/>
      <c r="BC8" s="15">
        <f t="shared" si="15"/>
        <v>9.5</v>
      </c>
      <c r="BD8" s="15">
        <f t="shared" si="16"/>
        <v>58.2</v>
      </c>
      <c r="BE8" s="15">
        <f t="shared" si="17"/>
        <v>61.800000000000004</v>
      </c>
      <c r="BF8" s="15">
        <f t="shared" si="18"/>
        <v>120</v>
      </c>
      <c r="BG8" s="24" t="str">
        <f t="shared" si="19"/>
        <v/>
      </c>
      <c r="BH8" s="24" t="str">
        <f t="shared" si="20"/>
        <v/>
      </c>
      <c r="BI8" s="36">
        <v>23.6</v>
      </c>
      <c r="BJ8" s="36">
        <v>5.5</v>
      </c>
      <c r="BK8" s="36">
        <v>0</v>
      </c>
      <c r="BL8" s="36">
        <v>0</v>
      </c>
      <c r="BM8" s="36">
        <v>26.8</v>
      </c>
      <c r="BN8" s="36">
        <v>5.5</v>
      </c>
      <c r="BO8" s="36">
        <v>0</v>
      </c>
      <c r="BP8" s="36">
        <v>0</v>
      </c>
      <c r="BQ8" s="36"/>
      <c r="BR8" s="36"/>
      <c r="BS8" s="36"/>
      <c r="BT8" s="36"/>
      <c r="BU8" s="36"/>
      <c r="BV8" s="36"/>
      <c r="BW8" s="36"/>
      <c r="BX8" s="36"/>
      <c r="BY8" s="12">
        <f t="shared" si="21"/>
        <v>11</v>
      </c>
      <c r="BZ8" s="12">
        <f t="shared" si="22"/>
        <v>61.400000000000006</v>
      </c>
      <c r="CA8" s="12" t="str">
        <f t="shared" si="23"/>
        <v/>
      </c>
      <c r="CB8" s="12">
        <f t="shared" si="24"/>
        <v>61.400000000000006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15" t="str">
        <f t="shared" si="25"/>
        <v/>
      </c>
      <c r="CT8" s="15" t="str">
        <f t="shared" si="26"/>
        <v/>
      </c>
      <c r="CU8" s="15" t="str">
        <f t="shared" si="27"/>
        <v/>
      </c>
      <c r="CV8" s="15" t="str">
        <f t="shared" si="28"/>
        <v/>
      </c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12" t="str">
        <f t="shared" si="29"/>
        <v/>
      </c>
      <c r="DN8" s="12" t="str">
        <f t="shared" si="30"/>
        <v/>
      </c>
      <c r="DO8" s="12" t="str">
        <f t="shared" si="31"/>
        <v/>
      </c>
      <c r="DP8" s="12" t="str">
        <f t="shared" si="32"/>
        <v/>
      </c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15" t="str">
        <f t="shared" si="33"/>
        <v/>
      </c>
      <c r="EH8" s="15" t="str">
        <f t="shared" si="34"/>
        <v/>
      </c>
      <c r="EI8" s="15" t="str">
        <f t="shared" si="35"/>
        <v/>
      </c>
      <c r="EJ8" s="15" t="str">
        <f t="shared" si="36"/>
        <v/>
      </c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12" t="str">
        <f t="shared" si="37"/>
        <v/>
      </c>
      <c r="FB8" s="12" t="str">
        <f t="shared" si="38"/>
        <v/>
      </c>
      <c r="FC8" s="12" t="str">
        <f t="shared" si="39"/>
        <v/>
      </c>
      <c r="FD8" s="12" t="str">
        <f t="shared" si="40"/>
        <v/>
      </c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15" t="str">
        <f t="shared" si="41"/>
        <v/>
      </c>
      <c r="FV8" s="15" t="str">
        <f t="shared" si="42"/>
        <v/>
      </c>
      <c r="FW8" s="15" t="str">
        <f t="shared" si="43"/>
        <v/>
      </c>
      <c r="FX8" s="15" t="str">
        <f t="shared" si="44"/>
        <v/>
      </c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2" t="str">
        <f t="shared" si="45"/>
        <v/>
      </c>
      <c r="GP8" s="12" t="str">
        <f t="shared" si="46"/>
        <v/>
      </c>
      <c r="GQ8" s="12" t="str">
        <f t="shared" si="47"/>
        <v/>
      </c>
      <c r="GR8" s="12" t="str">
        <f t="shared" si="48"/>
        <v/>
      </c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15" t="str">
        <f t="shared" si="49"/>
        <v/>
      </c>
      <c r="HJ8" s="15" t="str">
        <f t="shared" si="50"/>
        <v/>
      </c>
      <c r="HK8" s="15" t="str">
        <f t="shared" si="51"/>
        <v/>
      </c>
      <c r="HL8" s="15" t="str">
        <f t="shared" si="52"/>
        <v/>
      </c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12" t="str">
        <f t="shared" si="53"/>
        <v/>
      </c>
      <c r="ID8" s="12" t="str">
        <f t="shared" si="54"/>
        <v/>
      </c>
      <c r="IE8" s="12" t="str">
        <f t="shared" si="55"/>
        <v/>
      </c>
      <c r="IF8" s="12" t="str">
        <f t="shared" si="56"/>
        <v/>
      </c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15" t="str">
        <f t="shared" si="57"/>
        <v/>
      </c>
      <c r="IX8" s="15" t="str">
        <f t="shared" si="58"/>
        <v/>
      </c>
      <c r="IY8" s="15" t="str">
        <f t="shared" si="59"/>
        <v/>
      </c>
      <c r="IZ8" s="15" t="str">
        <f t="shared" si="60"/>
        <v/>
      </c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12" t="str">
        <f t="shared" si="61"/>
        <v/>
      </c>
      <c r="JR8" s="12" t="str">
        <f t="shared" si="62"/>
        <v/>
      </c>
      <c r="JS8" s="12" t="str">
        <f t="shared" si="63"/>
        <v/>
      </c>
      <c r="JT8" s="12" t="str">
        <f t="shared" si="64"/>
        <v/>
      </c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15" t="str">
        <f t="shared" si="65"/>
        <v/>
      </c>
      <c r="KL8" s="15" t="str">
        <f t="shared" si="66"/>
        <v/>
      </c>
      <c r="KM8" s="15" t="str">
        <f t="shared" si="67"/>
        <v/>
      </c>
      <c r="KN8" s="15" t="str">
        <f t="shared" si="68"/>
        <v/>
      </c>
      <c r="KO8" s="63">
        <f t="shared" si="74"/>
        <v>23.9</v>
      </c>
      <c r="KP8" s="63">
        <f t="shared" si="69"/>
        <v>4.9499999999999993</v>
      </c>
      <c r="KQ8" s="63">
        <f t="shared" si="69"/>
        <v>0.15</v>
      </c>
      <c r="KR8" s="63">
        <f t="shared" si="69"/>
        <v>0</v>
      </c>
      <c r="KS8" s="63">
        <f t="shared" si="69"/>
        <v>25.9</v>
      </c>
      <c r="KT8" s="63">
        <f t="shared" si="69"/>
        <v>4.9000000000000004</v>
      </c>
      <c r="KU8" s="63">
        <f t="shared" si="69"/>
        <v>0</v>
      </c>
      <c r="KV8" s="63">
        <f t="shared" si="69"/>
        <v>0</v>
      </c>
      <c r="KW8" s="63">
        <f t="shared" si="69"/>
        <v>25.1</v>
      </c>
      <c r="KX8" s="63">
        <f t="shared" si="69"/>
        <v>5.7</v>
      </c>
      <c r="KY8" s="63">
        <f t="shared" si="69"/>
        <v>0</v>
      </c>
      <c r="KZ8" s="63">
        <f t="shared" si="69"/>
        <v>0</v>
      </c>
      <c r="LA8" s="63">
        <f t="shared" si="69"/>
        <v>26.05</v>
      </c>
      <c r="LB8" s="63">
        <f t="shared" si="69"/>
        <v>4.4000000000000004</v>
      </c>
      <c r="LC8" s="63">
        <f t="shared" si="69"/>
        <v>0</v>
      </c>
      <c r="LD8" s="63">
        <f t="shared" si="69"/>
        <v>0</v>
      </c>
      <c r="LE8" s="74" t="s">
        <v>119</v>
      </c>
      <c r="LF8" s="12">
        <f t="shared" si="75"/>
        <v>9.85</v>
      </c>
      <c r="LG8" s="12">
        <f t="shared" si="76"/>
        <v>59.5</v>
      </c>
      <c r="LH8" s="12">
        <f t="shared" si="77"/>
        <v>61.25</v>
      </c>
      <c r="LI8" s="12">
        <f t="shared" si="78"/>
        <v>120.75</v>
      </c>
    </row>
    <row r="9" spans="1:321" x14ac:dyDescent="0.2">
      <c r="A9" s="6" t="str">
        <f t="shared" si="0"/>
        <v/>
      </c>
      <c r="B9" s="7" t="s">
        <v>110</v>
      </c>
      <c r="C9" s="8" t="s">
        <v>4</v>
      </c>
      <c r="D9" s="27">
        <v>1997</v>
      </c>
      <c r="E9" s="16">
        <f t="shared" si="1"/>
        <v>111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73"/>
        <v/>
      </c>
      <c r="J9" s="15">
        <f t="shared" si="5"/>
        <v>54.7</v>
      </c>
      <c r="K9" s="15" t="str">
        <f t="shared" si="6"/>
        <v>2018 Nationals</v>
      </c>
      <c r="L9" s="15">
        <f t="shared" si="7"/>
        <v>56.3</v>
      </c>
      <c r="M9" s="15" t="str">
        <f t="shared" si="8"/>
        <v>2018 Nationals</v>
      </c>
      <c r="N9" s="15" t="str">
        <f t="shared" si="9"/>
        <v/>
      </c>
      <c r="O9" s="25" t="str">
        <f t="shared" si="10"/>
        <v/>
      </c>
      <c r="P9" s="15" t="str">
        <f>IF(N9="","",IF(N9=BG9,IF(N9+IF(J9="",0,J9)=#REF!,$JU$1,IF(N9+IF(J9="",0,J9)=#REF!,$JA$1,IF(N9+IF(J9="",0,J9)=#REF!,$IG$1,IF(N9+IF(J9="",0,J9)=#REF!,$HM$1,IF(N9+IF(J9="",0,J9)=#REF!,$GS$1,IF(N9+IF(J9="",0,J9)=#REF!,$FY$1,IF(N9+IF(J9="",0,J9)=#REF!,$FE$1,IF(N9+IF(J9="",0,J9)=#REF!,$EK$1,IF(N9+IF(J9="",0,J9)=#REF!,$DQ$1,IF(N9+IF(J9="",0,J9)=#REF!,$CW$1,IF(N9+IF(J9="",0,J9)=#REF!,$CC$1,IF(N9+IF(J9="",0,J9)=#REF!,$BI$1)))))))))))),IF(N9=BH9,IF(N9+IF(L9="",0,L9)=KM9,$JU$1,IF(N9+IF(L9="",0,L9)=JS9,$JA$1,IF(N9+IF(L9="",0,L9)=IY9,$IG$1,IF(N9+IF(L9="",0,L9)=IE9,$HM$1,IF(N9+IF(L9="",0,L9)=HK9,$GS$1,IF(N9+IF(L9="",0,L9)=GQ9,$FY$1,IF(N9+IF(L9="",0,L9)=FW9,$FE$1,IF(N9+IF(L9="",0,L9)=FC9,$EK$1,IF(N9+IF(L9="",0,L9)=EI9,$DQ$1,IF(N9+IF(L9="",0,L9)=DO9,$CW$1,IF(N9+IF(L9="",0,L9)=CU9,$CC$1,IF(N9+IF(L9="",0,L9)=CA9,$BI$1)))))))))))))))</f>
        <v/>
      </c>
      <c r="Q9" s="42">
        <v>21.6</v>
      </c>
      <c r="R9" s="42">
        <v>3.5</v>
      </c>
      <c r="S9" s="42">
        <v>0.6</v>
      </c>
      <c r="T9" s="42">
        <v>0</v>
      </c>
      <c r="U9" s="42">
        <v>25.8</v>
      </c>
      <c r="V9" s="42">
        <v>4.4000000000000004</v>
      </c>
      <c r="W9" s="42">
        <v>0</v>
      </c>
      <c r="X9" s="42">
        <v>0</v>
      </c>
      <c r="Y9" s="42">
        <v>24.7</v>
      </c>
      <c r="Z9" s="42">
        <v>3.5</v>
      </c>
      <c r="AA9" s="42">
        <v>0.6</v>
      </c>
      <c r="AB9" s="42">
        <v>0</v>
      </c>
      <c r="AC9" s="42">
        <v>24.8</v>
      </c>
      <c r="AD9" s="42">
        <v>3.9</v>
      </c>
      <c r="AE9" s="42">
        <v>0</v>
      </c>
      <c r="AF9" s="42">
        <v>0</v>
      </c>
      <c r="AG9" s="74"/>
      <c r="AH9" s="12">
        <f t="shared" si="11"/>
        <v>7.9</v>
      </c>
      <c r="AI9" s="12">
        <f t="shared" si="12"/>
        <v>54.7</v>
      </c>
      <c r="AJ9" s="12">
        <f t="shared" si="13"/>
        <v>56.3</v>
      </c>
      <c r="AK9" s="12">
        <f t="shared" si="14"/>
        <v>111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75"/>
      <c r="BC9" s="15" t="str">
        <f t="shared" si="15"/>
        <v/>
      </c>
      <c r="BD9" s="15" t="str">
        <f t="shared" si="16"/>
        <v/>
      </c>
      <c r="BE9" s="15" t="str">
        <f t="shared" si="17"/>
        <v/>
      </c>
      <c r="BF9" s="15" t="str">
        <f t="shared" si="18"/>
        <v/>
      </c>
      <c r="BG9" s="24" t="str">
        <f t="shared" si="19"/>
        <v/>
      </c>
      <c r="BH9" s="24" t="str">
        <f t="shared" si="20"/>
        <v/>
      </c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12" t="str">
        <f t="shared" si="21"/>
        <v/>
      </c>
      <c r="BZ9" s="12" t="str">
        <f t="shared" si="22"/>
        <v/>
      </c>
      <c r="CA9" s="12" t="str">
        <f t="shared" si="23"/>
        <v/>
      </c>
      <c r="CB9" s="12" t="str">
        <f t="shared" si="24"/>
        <v/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15" t="str">
        <f t="shared" si="25"/>
        <v/>
      </c>
      <c r="CT9" s="15" t="str">
        <f t="shared" si="26"/>
        <v/>
      </c>
      <c r="CU9" s="15" t="str">
        <f t="shared" si="27"/>
        <v/>
      </c>
      <c r="CV9" s="15" t="str">
        <f t="shared" si="28"/>
        <v/>
      </c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12" t="str">
        <f t="shared" si="29"/>
        <v/>
      </c>
      <c r="DN9" s="12" t="str">
        <f t="shared" si="30"/>
        <v/>
      </c>
      <c r="DO9" s="12" t="str">
        <f t="shared" si="31"/>
        <v/>
      </c>
      <c r="DP9" s="12" t="str">
        <f t="shared" si="32"/>
        <v/>
      </c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15" t="str">
        <f t="shared" si="33"/>
        <v/>
      </c>
      <c r="EH9" s="15" t="str">
        <f t="shared" si="34"/>
        <v/>
      </c>
      <c r="EI9" s="15" t="str">
        <f t="shared" si="35"/>
        <v/>
      </c>
      <c r="EJ9" s="15" t="str">
        <f t="shared" si="36"/>
        <v/>
      </c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12" t="str">
        <f t="shared" si="37"/>
        <v/>
      </c>
      <c r="FB9" s="12" t="str">
        <f t="shared" si="38"/>
        <v/>
      </c>
      <c r="FC9" s="12" t="str">
        <f t="shared" si="39"/>
        <v/>
      </c>
      <c r="FD9" s="12" t="str">
        <f t="shared" si="40"/>
        <v/>
      </c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15" t="str">
        <f t="shared" si="41"/>
        <v/>
      </c>
      <c r="FV9" s="15" t="str">
        <f t="shared" si="42"/>
        <v/>
      </c>
      <c r="FW9" s="15" t="str">
        <f t="shared" si="43"/>
        <v/>
      </c>
      <c r="FX9" s="15" t="str">
        <f t="shared" si="44"/>
        <v/>
      </c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2" t="str">
        <f t="shared" si="45"/>
        <v/>
      </c>
      <c r="GP9" s="12" t="str">
        <f t="shared" si="46"/>
        <v/>
      </c>
      <c r="GQ9" s="12" t="str">
        <f t="shared" si="47"/>
        <v/>
      </c>
      <c r="GR9" s="12" t="str">
        <f t="shared" si="48"/>
        <v/>
      </c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15" t="str">
        <f t="shared" si="49"/>
        <v/>
      </c>
      <c r="HJ9" s="15" t="str">
        <f t="shared" si="50"/>
        <v/>
      </c>
      <c r="HK9" s="15" t="str">
        <f t="shared" si="51"/>
        <v/>
      </c>
      <c r="HL9" s="15" t="str">
        <f t="shared" si="52"/>
        <v/>
      </c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12" t="str">
        <f t="shared" si="53"/>
        <v/>
      </c>
      <c r="ID9" s="12" t="str">
        <f t="shared" si="54"/>
        <v/>
      </c>
      <c r="IE9" s="12" t="str">
        <f t="shared" si="55"/>
        <v/>
      </c>
      <c r="IF9" s="12" t="str">
        <f t="shared" si="56"/>
        <v/>
      </c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15" t="str">
        <f t="shared" si="57"/>
        <v/>
      </c>
      <c r="IX9" s="15" t="str">
        <f t="shared" si="58"/>
        <v/>
      </c>
      <c r="IY9" s="15" t="str">
        <f t="shared" si="59"/>
        <v/>
      </c>
      <c r="IZ9" s="15" t="str">
        <f t="shared" si="60"/>
        <v/>
      </c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12" t="str">
        <f t="shared" si="61"/>
        <v/>
      </c>
      <c r="JR9" s="12" t="str">
        <f t="shared" si="62"/>
        <v/>
      </c>
      <c r="JS9" s="12" t="str">
        <f t="shared" si="63"/>
        <v/>
      </c>
      <c r="JT9" s="12" t="str">
        <f t="shared" si="64"/>
        <v/>
      </c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15" t="str">
        <f t="shared" si="65"/>
        <v/>
      </c>
      <c r="KL9" s="15" t="str">
        <f t="shared" si="66"/>
        <v/>
      </c>
      <c r="KM9" s="15" t="str">
        <f t="shared" si="67"/>
        <v/>
      </c>
      <c r="KN9" s="15" t="str">
        <f t="shared" si="68"/>
        <v/>
      </c>
      <c r="KO9" s="63">
        <f t="shared" si="74"/>
        <v>10.8</v>
      </c>
      <c r="KP9" s="63">
        <f t="shared" si="69"/>
        <v>1.75</v>
      </c>
      <c r="KQ9" s="63">
        <f t="shared" si="69"/>
        <v>0.3</v>
      </c>
      <c r="KR9" s="63">
        <f t="shared" si="69"/>
        <v>0</v>
      </c>
      <c r="KS9" s="63">
        <f t="shared" si="69"/>
        <v>12.9</v>
      </c>
      <c r="KT9" s="63">
        <f t="shared" si="69"/>
        <v>2.2000000000000002</v>
      </c>
      <c r="KU9" s="63">
        <f t="shared" si="69"/>
        <v>0</v>
      </c>
      <c r="KV9" s="63">
        <f t="shared" si="69"/>
        <v>0</v>
      </c>
      <c r="KW9" s="63">
        <f t="shared" si="69"/>
        <v>12.35</v>
      </c>
      <c r="KX9" s="63">
        <f t="shared" si="69"/>
        <v>1.75</v>
      </c>
      <c r="KY9" s="63">
        <f t="shared" si="69"/>
        <v>0.3</v>
      </c>
      <c r="KZ9" s="63">
        <f t="shared" si="69"/>
        <v>0</v>
      </c>
      <c r="LA9" s="63">
        <f t="shared" si="69"/>
        <v>12.4</v>
      </c>
      <c r="LB9" s="63">
        <f t="shared" si="69"/>
        <v>1.95</v>
      </c>
      <c r="LC9" s="63">
        <f t="shared" si="69"/>
        <v>0</v>
      </c>
      <c r="LD9" s="63">
        <f t="shared" si="69"/>
        <v>0</v>
      </c>
      <c r="LE9" s="74" t="s">
        <v>119</v>
      </c>
      <c r="LF9" s="12">
        <f t="shared" si="75"/>
        <v>3.95</v>
      </c>
      <c r="LG9" s="12">
        <f t="shared" si="76"/>
        <v>27.35</v>
      </c>
      <c r="LH9" s="12">
        <f t="shared" si="77"/>
        <v>28.15</v>
      </c>
      <c r="LI9" s="12">
        <f t="shared" si="78"/>
        <v>55.5</v>
      </c>
    </row>
    <row r="10" spans="1:321" x14ac:dyDescent="0.2">
      <c r="D10" s="1"/>
    </row>
    <row r="12" spans="1:321" x14ac:dyDescent="0.2">
      <c r="B12" s="64" t="s">
        <v>51</v>
      </c>
      <c r="AH12" s="50"/>
      <c r="AJ12" s="58">
        <v>10.9</v>
      </c>
      <c r="BC12" s="50"/>
      <c r="BE12" s="58">
        <v>10.9</v>
      </c>
      <c r="BY12" s="50"/>
      <c r="CA12" s="58">
        <v>10.9</v>
      </c>
      <c r="CS12" s="50"/>
      <c r="CU12" s="58">
        <v>10.9</v>
      </c>
      <c r="DM12" s="50"/>
      <c r="DO12" s="58">
        <v>10.9</v>
      </c>
      <c r="EG12" s="50"/>
      <c r="EI12" s="58">
        <v>10.9</v>
      </c>
      <c r="FA12" s="50"/>
      <c r="FC12" s="58">
        <v>10.9</v>
      </c>
      <c r="FU12" s="50"/>
      <c r="FW12" s="77">
        <v>10.9</v>
      </c>
      <c r="GO12" s="50"/>
      <c r="GQ12" s="77">
        <v>10.9</v>
      </c>
      <c r="HI12" s="50"/>
      <c r="HK12" s="77">
        <v>10.9</v>
      </c>
      <c r="IC12" s="50"/>
      <c r="IE12" s="77">
        <v>10.9</v>
      </c>
      <c r="IW12" s="50"/>
      <c r="IY12" s="77">
        <v>10.9</v>
      </c>
      <c r="JQ12" s="50"/>
      <c r="JS12" s="77">
        <v>10.9</v>
      </c>
      <c r="KK12" s="50"/>
      <c r="KM12" s="77">
        <v>10.9</v>
      </c>
    </row>
    <row r="13" spans="1:321" x14ac:dyDescent="0.2">
      <c r="A13" s="50"/>
      <c r="B13" s="91" t="s">
        <v>76</v>
      </c>
      <c r="C13" s="49"/>
      <c r="AH13" s="50"/>
      <c r="AJ13" s="93">
        <v>10.9</v>
      </c>
      <c r="BC13" s="50"/>
      <c r="BE13" s="93">
        <v>10.9</v>
      </c>
      <c r="BY13" s="50"/>
      <c r="CA13" s="93">
        <v>10.9</v>
      </c>
      <c r="CS13" s="50"/>
      <c r="CU13" s="93">
        <v>10.9</v>
      </c>
      <c r="DM13" s="50"/>
      <c r="DO13" s="93">
        <v>10.9</v>
      </c>
      <c r="EG13" s="50"/>
      <c r="EI13" s="93">
        <v>10.9</v>
      </c>
      <c r="FA13" s="50"/>
      <c r="FC13" s="93">
        <v>10.9</v>
      </c>
      <c r="FU13" s="50"/>
      <c r="FW13" s="94">
        <v>10.9</v>
      </c>
      <c r="GO13" s="50"/>
      <c r="GQ13" s="94">
        <v>10.9</v>
      </c>
      <c r="HI13" s="50"/>
      <c r="HK13" s="94">
        <v>10.9</v>
      </c>
      <c r="IC13" s="50"/>
      <c r="IE13" s="94">
        <v>10.9</v>
      </c>
      <c r="IW13" s="50"/>
      <c r="IY13" s="94">
        <v>10.9</v>
      </c>
      <c r="JQ13" s="50"/>
      <c r="JS13" s="94">
        <v>10.9</v>
      </c>
      <c r="KK13" s="50"/>
      <c r="KM13" s="94">
        <v>10.9</v>
      </c>
    </row>
    <row r="14" spans="1:321" x14ac:dyDescent="0.2">
      <c r="A14" s="50"/>
      <c r="B14" s="65" t="s">
        <v>48</v>
      </c>
      <c r="C14" s="49"/>
      <c r="AH14" s="50"/>
      <c r="AJ14" s="59">
        <v>62.1</v>
      </c>
      <c r="BC14" s="50"/>
      <c r="BE14" s="59">
        <v>62.1</v>
      </c>
      <c r="BY14" s="50"/>
      <c r="CA14" s="59">
        <v>61.9</v>
      </c>
      <c r="CS14" s="50"/>
      <c r="CU14" s="59">
        <v>61.9</v>
      </c>
      <c r="DM14" s="50"/>
      <c r="DO14" s="59">
        <v>61.9</v>
      </c>
      <c r="EG14" s="50"/>
      <c r="EI14" s="59">
        <v>61.9</v>
      </c>
      <c r="FA14" s="50"/>
      <c r="FC14" s="59">
        <v>61.9</v>
      </c>
      <c r="FU14" s="50"/>
      <c r="FW14" s="78">
        <v>61.9</v>
      </c>
      <c r="GO14" s="50"/>
      <c r="GQ14" s="78">
        <v>61.9</v>
      </c>
      <c r="HI14" s="50"/>
      <c r="HK14" s="78">
        <v>61.9</v>
      </c>
      <c r="IC14" s="50"/>
      <c r="IE14" s="78">
        <v>61.9</v>
      </c>
      <c r="IW14" s="50"/>
      <c r="IY14" s="78">
        <v>61.9</v>
      </c>
      <c r="JQ14" s="50"/>
      <c r="JS14" s="78">
        <v>61.9</v>
      </c>
      <c r="KK14" s="50"/>
      <c r="KM14" s="78">
        <v>61.9</v>
      </c>
    </row>
    <row r="15" spans="1:321" hidden="1" x14ac:dyDescent="0.2">
      <c r="A15" s="50"/>
      <c r="B15" s="66" t="s">
        <v>49</v>
      </c>
      <c r="C15" s="49"/>
      <c r="AH15" s="50"/>
      <c r="AJ15" s="60">
        <v>1000</v>
      </c>
      <c r="BC15" s="50"/>
      <c r="BE15" s="60">
        <v>1000</v>
      </c>
      <c r="BY15" s="50"/>
      <c r="CA15" s="60">
        <v>1000</v>
      </c>
      <c r="CS15" s="50"/>
      <c r="CU15" s="60">
        <v>1000</v>
      </c>
      <c r="DM15" s="50"/>
      <c r="DO15" s="60">
        <v>1000</v>
      </c>
      <c r="EG15" s="50"/>
      <c r="EI15" s="60">
        <v>1000</v>
      </c>
      <c r="FA15" s="50"/>
      <c r="FC15" s="60">
        <v>1000</v>
      </c>
      <c r="FU15" s="50"/>
      <c r="FW15" s="60">
        <v>1000</v>
      </c>
      <c r="GO15" s="50"/>
      <c r="GQ15" s="60">
        <v>1000</v>
      </c>
      <c r="HI15" s="50"/>
      <c r="HK15" s="60">
        <v>1000</v>
      </c>
      <c r="IC15" s="50"/>
      <c r="IE15" s="60">
        <v>1000</v>
      </c>
      <c r="IW15" s="50"/>
      <c r="IY15" s="60">
        <v>1000</v>
      </c>
      <c r="JQ15" s="50"/>
      <c r="JS15" s="60">
        <v>1000</v>
      </c>
      <c r="KK15" s="50"/>
      <c r="KM15" s="60">
        <v>1000</v>
      </c>
    </row>
    <row r="16" spans="1:321" x14ac:dyDescent="0.2">
      <c r="A16" s="50"/>
      <c r="B16" s="67" t="s">
        <v>70</v>
      </c>
      <c r="C16" s="49"/>
      <c r="AH16" s="50"/>
      <c r="AJ16" s="61">
        <v>63.7</v>
      </c>
      <c r="BC16" s="50"/>
      <c r="BE16" s="61">
        <v>63.7</v>
      </c>
      <c r="BY16" s="50"/>
      <c r="CA16" s="61">
        <v>63.7</v>
      </c>
      <c r="CS16" s="50"/>
      <c r="CU16" s="61">
        <v>63.7</v>
      </c>
      <c r="DM16" s="50"/>
      <c r="DO16" s="61">
        <v>63.7</v>
      </c>
      <c r="EG16" s="50"/>
      <c r="EI16" s="61">
        <v>63.7</v>
      </c>
      <c r="FA16" s="50"/>
      <c r="FC16" s="61">
        <v>63.7</v>
      </c>
      <c r="FU16" s="50"/>
      <c r="FW16" s="80">
        <v>63.7</v>
      </c>
      <c r="GO16" s="50"/>
      <c r="GQ16" s="80">
        <v>63.7</v>
      </c>
      <c r="HI16" s="50"/>
      <c r="HK16" s="80">
        <v>63.7</v>
      </c>
      <c r="IC16" s="50"/>
      <c r="IE16" s="80">
        <v>63.7</v>
      </c>
      <c r="IW16" s="50"/>
      <c r="IY16" s="80">
        <v>63.7</v>
      </c>
      <c r="JQ16" s="50"/>
      <c r="JS16" s="80">
        <v>63.7</v>
      </c>
      <c r="KK16" s="50"/>
      <c r="KM16" s="80">
        <v>63.7</v>
      </c>
    </row>
    <row r="17" spans="1:299" hidden="1" x14ac:dyDescent="0.2">
      <c r="A17" s="50"/>
      <c r="B17" s="68" t="s">
        <v>35</v>
      </c>
      <c r="C17" s="49"/>
      <c r="AH17" s="50"/>
      <c r="AJ17" s="62">
        <v>1000</v>
      </c>
      <c r="BC17" s="50"/>
      <c r="BE17" s="62">
        <v>1000</v>
      </c>
      <c r="BY17" s="50"/>
      <c r="CA17" s="62">
        <v>1000</v>
      </c>
      <c r="CS17" s="50"/>
      <c r="CU17" s="62">
        <v>1000</v>
      </c>
      <c r="DM17" s="50"/>
      <c r="DO17" s="62">
        <v>1000</v>
      </c>
      <c r="EG17" s="50"/>
      <c r="EI17" s="62">
        <v>1000</v>
      </c>
      <c r="FA17" s="50"/>
      <c r="FC17" s="62">
        <v>1000</v>
      </c>
      <c r="FU17" s="50"/>
      <c r="FW17" s="81">
        <v>1000</v>
      </c>
      <c r="GO17" s="50"/>
      <c r="GQ17" s="81">
        <v>1000</v>
      </c>
      <c r="HI17" s="50"/>
      <c r="HK17" s="81">
        <v>1000</v>
      </c>
      <c r="IC17" s="50"/>
      <c r="IE17" s="81">
        <v>1000</v>
      </c>
      <c r="IW17" s="50"/>
      <c r="IY17" s="81">
        <v>1000</v>
      </c>
      <c r="JQ17" s="50"/>
      <c r="JS17" s="81">
        <v>1000</v>
      </c>
      <c r="KK17" s="50"/>
      <c r="KM17" s="81">
        <v>1000</v>
      </c>
    </row>
    <row r="18" spans="1:299" x14ac:dyDescent="0.2">
      <c r="B18" s="76" t="s">
        <v>55</v>
      </c>
      <c r="C18" s="3"/>
    </row>
    <row r="19" spans="1:299" x14ac:dyDescent="0.2">
      <c r="A19" s="50"/>
      <c r="B19" s="50"/>
      <c r="C19" s="49"/>
    </row>
    <row r="20" spans="1:299" ht="17" x14ac:dyDescent="0.2">
      <c r="A20" s="50"/>
      <c r="B20" s="50"/>
      <c r="C20" s="49"/>
      <c r="N20" s="19"/>
      <c r="O20" s="19"/>
      <c r="P20" s="19"/>
    </row>
    <row r="21" spans="1:299" ht="17" x14ac:dyDescent="0.2">
      <c r="A21" s="50"/>
      <c r="B21" s="50"/>
      <c r="C21" s="49"/>
      <c r="N21" s="19"/>
      <c r="O21" s="19"/>
      <c r="P21" s="19"/>
    </row>
    <row r="22" spans="1:299" ht="17" x14ac:dyDescent="0.2">
      <c r="N22" s="19"/>
      <c r="O22" s="19"/>
      <c r="P22" s="19"/>
    </row>
    <row r="23" spans="1:299" ht="17" x14ac:dyDescent="0.2">
      <c r="N23" s="19"/>
      <c r="O23" s="19"/>
      <c r="P23" s="19"/>
    </row>
    <row r="24" spans="1:299" ht="17" x14ac:dyDescent="0.2">
      <c r="N24" s="19"/>
      <c r="O24" s="19"/>
      <c r="P24" s="19"/>
    </row>
    <row r="25" spans="1:299" ht="17" x14ac:dyDescent="0.2">
      <c r="N25" s="19"/>
      <c r="O25" s="19"/>
      <c r="P25" s="19"/>
    </row>
    <row r="26" spans="1:299" ht="17" x14ac:dyDescent="0.2">
      <c r="N26" s="19"/>
      <c r="O26" s="19"/>
      <c r="P26" s="19"/>
    </row>
    <row r="27" spans="1:299" ht="17" x14ac:dyDescent="0.2">
      <c r="N27" s="19"/>
      <c r="O27" s="19"/>
      <c r="P27" s="19"/>
    </row>
    <row r="28" spans="1:299" ht="17" x14ac:dyDescent="0.2">
      <c r="N28" s="19"/>
      <c r="O28" s="19"/>
      <c r="P28" s="19"/>
    </row>
    <row r="29" spans="1:299" ht="17" x14ac:dyDescent="0.2">
      <c r="N29" s="19"/>
      <c r="O29" s="19"/>
      <c r="P29" s="19"/>
    </row>
    <row r="30" spans="1:299" ht="17" x14ac:dyDescent="0.2">
      <c r="N30" s="19"/>
      <c r="O30" s="19"/>
      <c r="P30" s="19"/>
    </row>
    <row r="31" spans="1:299" ht="17" x14ac:dyDescent="0.2">
      <c r="N31" s="19"/>
      <c r="O31" s="19"/>
      <c r="P31" s="19"/>
    </row>
    <row r="32" spans="1:299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  <row r="38" spans="14:16" ht="17" x14ac:dyDescent="0.2">
      <c r="N38" s="19"/>
      <c r="O38" s="19"/>
      <c r="P38" s="19"/>
    </row>
    <row r="39" spans="14:16" ht="17" x14ac:dyDescent="0.2">
      <c r="N39" s="19"/>
      <c r="O39" s="19"/>
      <c r="P39" s="19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9">
      <sortCondition descending="1" ref="F1:F8"/>
    </sortState>
  </autoFilter>
  <mergeCells count="92">
    <mergeCell ref="KO1:LI1"/>
    <mergeCell ref="KO2:KR2"/>
    <mergeCell ref="KS2:KV2"/>
    <mergeCell ref="KW2:KZ2"/>
    <mergeCell ref="LA2:LD2"/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G1:G3"/>
    <mergeCell ref="H1:H3"/>
    <mergeCell ref="I1:I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</mergeCells>
  <conditionalFormatting sqref="A1:A1048576">
    <cfRule type="expression" dxfId="98" priority="77">
      <formula>AND(H1="P",F1="")</formula>
    </cfRule>
  </conditionalFormatting>
  <conditionalFormatting sqref="I1:I1048576">
    <cfRule type="containsText" dxfId="97" priority="8" operator="containsText" text="No DD">
      <formula>NOT(ISERROR(SEARCH("No DD",I1)))</formula>
    </cfRule>
    <cfRule type="containsText" dxfId="96" priority="78" operator="containsText" text="Merit">
      <formula>NOT(ISERROR(SEARCH("Merit",I1)))</formula>
    </cfRule>
    <cfRule type="containsText" dxfId="95" priority="79" operator="containsText" text="Excellence">
      <formula>NOT(ISERROR(SEARCH("Excellence",I1)))</formula>
    </cfRule>
    <cfRule type="containsText" dxfId="94" priority="80" operator="containsText" text="Worlds Team">
      <formula>NOT(ISERROR(SEARCH("Worlds Team",I1)))</formula>
    </cfRule>
    <cfRule type="containsText" dxfId="93" priority="198" operator="containsText" text="National Team">
      <formula>NOT(ISERROR(SEARCH("National Team",I1)))</formula>
    </cfRule>
  </conditionalFormatting>
  <conditionalFormatting sqref="Q4:AK9">
    <cfRule type="expression" dxfId="92" priority="20">
      <formula>IF($AG4&lt;&gt;"",1,0)</formula>
    </cfRule>
  </conditionalFormatting>
  <conditionalFormatting sqref="AL4:BF9">
    <cfRule type="expression" dxfId="91" priority="17">
      <formula>IF($BB4&lt;&gt;"",1,0)</formula>
    </cfRule>
  </conditionalFormatting>
  <conditionalFormatting sqref="BY1:BY1048576">
    <cfRule type="cellIs" dxfId="90" priority="8986" operator="between">
      <formula>CA$13</formula>
      <formula>100</formula>
    </cfRule>
    <cfRule type="cellIs" dxfId="89" priority="8987" operator="between">
      <formula>CA$12</formula>
      <formula>CA$13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88" priority="8988" operator="between">
      <formula>CA$17</formula>
      <formula>1000</formula>
    </cfRule>
    <cfRule type="cellIs" dxfId="87" priority="8989" operator="between">
      <formula>CA$16</formula>
      <formula>CA$17</formula>
    </cfRule>
    <cfRule type="cellIs" dxfId="86" priority="8990" operator="between">
      <formula>CA$15</formula>
      <formula>CA$16</formula>
    </cfRule>
    <cfRule type="cellIs" dxfId="85" priority="8991" operator="between">
      <formula>CA$14</formula>
      <formula>CA$15</formula>
    </cfRule>
  </conditionalFormatting>
  <conditionalFormatting sqref="KK1:KK1048576 JQ1:JQ1048576 IW1:IW1048576 IC1:IC1048576 HI1:HI1048576 GO1:GO1048576 FU1:FU1048576 FA1:FA1048576 EG1:EG1048576 DM1:DM1048576 CS1:CS1048576">
    <cfRule type="cellIs" dxfId="84" priority="9004" operator="between">
      <formula>CU$13</formula>
      <formula>100</formula>
    </cfRule>
    <cfRule type="cellIs" dxfId="83" priority="9005" operator="between">
      <formula>CU$12</formula>
      <formula>CU$13</formula>
    </cfRule>
  </conditionalFormatting>
  <conditionalFormatting sqref="BC1:BC1048576 AH1:AH1048576">
    <cfRule type="expression" dxfId="82" priority="9008">
      <formula>IF(AND(AH1&gt;=AJ$13,AH1&lt;1000,AG1=""),1,0)</formula>
    </cfRule>
    <cfRule type="expression" dxfId="81" priority="9009">
      <formula>IF(AND(AH1&gt;=AJ$12,AH1&lt;AJ$13,AG1=""),1,0)</formula>
    </cfRule>
  </conditionalFormatting>
  <conditionalFormatting sqref="AI1:AI1048576 BD1:BD1048576">
    <cfRule type="expression" dxfId="80" priority="9010">
      <formula>IF(AND(AI1&gt;=AJ$17,AI1&lt;1000,AG1=""),1,0)</formula>
    </cfRule>
    <cfRule type="expression" dxfId="79" priority="9011">
      <formula>IF(AND(AI1&gt;=AJ$16,AI1&lt;AJ$17,AG1=""),1,0)</formula>
    </cfRule>
    <cfRule type="expression" dxfId="78" priority="9012">
      <formula>IF(AND(AI1&gt;=AJ$15,AI1&lt;AJ$16,AG1=""),1,0)</formula>
    </cfRule>
    <cfRule type="expression" dxfId="77" priority="9013">
      <formula>IF(AND(AI1&gt;=AJ$14,AI1&lt;AJ$15,AG1=""),1,0)</formula>
    </cfRule>
  </conditionalFormatting>
  <conditionalFormatting sqref="K1:K1048576 M1:M1048576">
    <cfRule type="expression" dxfId="76" priority="9016">
      <formula>IF(K1=$AL$1,1,0)</formula>
    </cfRule>
    <cfRule type="expression" dxfId="75" priority="9017">
      <formula>IF(K1=$Q$1,1,0)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12" t="s">
        <v>1</v>
      </c>
      <c r="B1" s="112" t="s">
        <v>26</v>
      </c>
      <c r="C1" s="112" t="s">
        <v>0</v>
      </c>
      <c r="D1" s="112" t="s">
        <v>56</v>
      </c>
      <c r="E1" s="112" t="s">
        <v>2</v>
      </c>
      <c r="F1" s="119" t="s">
        <v>68</v>
      </c>
      <c r="G1" s="119" t="s">
        <v>69</v>
      </c>
      <c r="H1" s="119" t="s">
        <v>8</v>
      </c>
      <c r="I1" s="112" t="s">
        <v>9</v>
      </c>
      <c r="J1" s="114" t="s">
        <v>10</v>
      </c>
      <c r="K1" s="114" t="s">
        <v>33</v>
      </c>
      <c r="L1" s="114" t="s">
        <v>13</v>
      </c>
      <c r="M1" s="114" t="s">
        <v>33</v>
      </c>
      <c r="N1" s="116" t="s">
        <v>14</v>
      </c>
      <c r="O1" s="114" t="s">
        <v>34</v>
      </c>
      <c r="P1" s="114" t="s">
        <v>33</v>
      </c>
      <c r="Q1" s="115" t="s">
        <v>53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7" t="s">
        <v>122</v>
      </c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8" t="s">
        <v>67</v>
      </c>
      <c r="BH1" s="118"/>
      <c r="BI1" s="115" t="s">
        <v>65</v>
      </c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7"/>
      <c r="CD1" s="117"/>
      <c r="CE1" s="117"/>
      <c r="CF1" s="117"/>
      <c r="CG1" s="117"/>
      <c r="CH1" s="117"/>
      <c r="CI1" s="117"/>
      <c r="CJ1" s="117"/>
      <c r="CK1" s="117"/>
      <c r="CL1" s="117"/>
      <c r="CM1" s="117"/>
      <c r="CN1" s="117"/>
      <c r="CO1" s="117"/>
      <c r="CP1" s="117"/>
      <c r="CQ1" s="117"/>
      <c r="CR1" s="117"/>
      <c r="CS1" s="117"/>
      <c r="CT1" s="117"/>
      <c r="CU1" s="117"/>
      <c r="CV1" s="117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7"/>
      <c r="DR1" s="117"/>
      <c r="DS1" s="117"/>
      <c r="DT1" s="117"/>
      <c r="DU1" s="117"/>
      <c r="DV1" s="117"/>
      <c r="DW1" s="117"/>
      <c r="DX1" s="117"/>
      <c r="DY1" s="117"/>
      <c r="DZ1" s="117"/>
      <c r="EA1" s="117"/>
      <c r="EB1" s="117"/>
      <c r="EC1" s="117"/>
      <c r="ED1" s="117"/>
      <c r="EE1" s="117"/>
      <c r="EF1" s="117"/>
      <c r="EG1" s="117"/>
      <c r="EH1" s="117"/>
      <c r="EI1" s="117"/>
      <c r="EJ1" s="117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7"/>
      <c r="FF1" s="117"/>
      <c r="FG1" s="117"/>
      <c r="FH1" s="117"/>
      <c r="FI1" s="117"/>
      <c r="FJ1" s="117"/>
      <c r="FK1" s="117"/>
      <c r="FL1" s="117"/>
      <c r="FM1" s="117"/>
      <c r="FN1" s="117"/>
      <c r="FO1" s="117"/>
      <c r="FP1" s="117"/>
      <c r="FQ1" s="117"/>
      <c r="FR1" s="117"/>
      <c r="FS1" s="117"/>
      <c r="FT1" s="117"/>
      <c r="FU1" s="117"/>
      <c r="FV1" s="117"/>
      <c r="FW1" s="117"/>
      <c r="FX1" s="117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7"/>
      <c r="GT1" s="117"/>
      <c r="GU1" s="117"/>
      <c r="GV1" s="117"/>
      <c r="GW1" s="117"/>
      <c r="GX1" s="117"/>
      <c r="GY1" s="117"/>
      <c r="GZ1" s="117"/>
      <c r="HA1" s="117"/>
      <c r="HB1" s="117"/>
      <c r="HC1" s="117"/>
      <c r="HD1" s="117"/>
      <c r="HE1" s="117"/>
      <c r="HF1" s="117"/>
      <c r="HG1" s="117"/>
      <c r="HH1" s="117"/>
      <c r="HI1" s="117"/>
      <c r="HJ1" s="117"/>
      <c r="HK1" s="117"/>
      <c r="HL1" s="117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7"/>
      <c r="IH1" s="117"/>
      <c r="II1" s="117"/>
      <c r="IJ1" s="117"/>
      <c r="IK1" s="117"/>
      <c r="IL1" s="117"/>
      <c r="IM1" s="117"/>
      <c r="IN1" s="117"/>
      <c r="IO1" s="117"/>
      <c r="IP1" s="117"/>
      <c r="IQ1" s="117"/>
      <c r="IR1" s="117"/>
      <c r="IS1" s="117"/>
      <c r="IT1" s="117"/>
      <c r="IU1" s="117"/>
      <c r="IV1" s="117"/>
      <c r="IW1" s="117"/>
      <c r="IX1" s="117"/>
      <c r="IY1" s="117"/>
      <c r="IZ1" s="117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7"/>
      <c r="KF1" s="117"/>
      <c r="KG1" s="117"/>
      <c r="KH1" s="117"/>
      <c r="KI1" s="117"/>
      <c r="KJ1" s="117"/>
      <c r="KK1" s="117"/>
      <c r="KL1" s="117"/>
      <c r="KM1" s="117"/>
      <c r="KN1" s="117"/>
      <c r="KO1" s="115" t="s">
        <v>120</v>
      </c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</row>
    <row r="2" spans="1:321" x14ac:dyDescent="0.2">
      <c r="A2" s="112"/>
      <c r="B2" s="112"/>
      <c r="C2" s="112"/>
      <c r="D2" s="112"/>
      <c r="E2" s="112"/>
      <c r="F2" s="119"/>
      <c r="G2" s="119"/>
      <c r="H2" s="119"/>
      <c r="I2" s="112"/>
      <c r="J2" s="114"/>
      <c r="K2" s="114"/>
      <c r="L2" s="114"/>
      <c r="M2" s="114"/>
      <c r="N2" s="116"/>
      <c r="O2" s="114"/>
      <c r="P2" s="114"/>
      <c r="Q2" s="110" t="s">
        <v>27</v>
      </c>
      <c r="R2" s="110"/>
      <c r="S2" s="110"/>
      <c r="T2" s="110"/>
      <c r="U2" s="110" t="s">
        <v>30</v>
      </c>
      <c r="V2" s="110"/>
      <c r="W2" s="110"/>
      <c r="X2" s="110"/>
      <c r="Y2" s="110" t="s">
        <v>31</v>
      </c>
      <c r="Z2" s="110"/>
      <c r="AA2" s="110"/>
      <c r="AB2" s="110"/>
      <c r="AC2" s="121" t="s">
        <v>32</v>
      </c>
      <c r="AD2" s="121"/>
      <c r="AE2" s="121"/>
      <c r="AF2" s="121"/>
      <c r="AG2" s="72"/>
      <c r="AH2" s="52" t="s">
        <v>25</v>
      </c>
      <c r="AI2" s="10" t="s">
        <v>24</v>
      </c>
      <c r="AJ2" s="10" t="s">
        <v>23</v>
      </c>
      <c r="AK2" s="10" t="s">
        <v>18</v>
      </c>
      <c r="AL2" s="111" t="s">
        <v>27</v>
      </c>
      <c r="AM2" s="111"/>
      <c r="AN2" s="111"/>
      <c r="AO2" s="111"/>
      <c r="AP2" s="111" t="s">
        <v>30</v>
      </c>
      <c r="AQ2" s="111"/>
      <c r="AR2" s="111"/>
      <c r="AS2" s="111"/>
      <c r="AT2" s="111" t="s">
        <v>31</v>
      </c>
      <c r="AU2" s="111"/>
      <c r="AV2" s="111"/>
      <c r="AW2" s="111"/>
      <c r="AX2" s="120" t="s">
        <v>32</v>
      </c>
      <c r="AY2" s="120"/>
      <c r="AZ2" s="120"/>
      <c r="BA2" s="120"/>
      <c r="BB2" s="73"/>
      <c r="BC2" s="51" t="s">
        <v>25</v>
      </c>
      <c r="BD2" s="13" t="s">
        <v>24</v>
      </c>
      <c r="BE2" s="13" t="s">
        <v>23</v>
      </c>
      <c r="BF2" s="13" t="s">
        <v>18</v>
      </c>
      <c r="BG2" s="22" t="s">
        <v>24</v>
      </c>
      <c r="BH2" s="22" t="s">
        <v>23</v>
      </c>
      <c r="BI2" s="110" t="s">
        <v>27</v>
      </c>
      <c r="BJ2" s="110"/>
      <c r="BK2" s="110"/>
      <c r="BL2" s="110"/>
      <c r="BM2" s="110" t="s">
        <v>30</v>
      </c>
      <c r="BN2" s="110"/>
      <c r="BO2" s="110"/>
      <c r="BP2" s="110"/>
      <c r="BQ2" s="110" t="s">
        <v>31</v>
      </c>
      <c r="BR2" s="110"/>
      <c r="BS2" s="110"/>
      <c r="BT2" s="110"/>
      <c r="BU2" s="122" t="s">
        <v>32</v>
      </c>
      <c r="BV2" s="122"/>
      <c r="BW2" s="122"/>
      <c r="BX2" s="122"/>
      <c r="BY2" s="52" t="s">
        <v>25</v>
      </c>
      <c r="BZ2" s="10" t="s">
        <v>24</v>
      </c>
      <c r="CA2" s="10" t="s">
        <v>23</v>
      </c>
      <c r="CB2" s="10" t="s">
        <v>18</v>
      </c>
      <c r="CC2" s="111" t="s">
        <v>27</v>
      </c>
      <c r="CD2" s="111"/>
      <c r="CE2" s="111"/>
      <c r="CF2" s="111"/>
      <c r="CG2" s="111" t="s">
        <v>30</v>
      </c>
      <c r="CH2" s="111"/>
      <c r="CI2" s="111"/>
      <c r="CJ2" s="111"/>
      <c r="CK2" s="111" t="s">
        <v>31</v>
      </c>
      <c r="CL2" s="111"/>
      <c r="CM2" s="111"/>
      <c r="CN2" s="111"/>
      <c r="CO2" s="120" t="s">
        <v>32</v>
      </c>
      <c r="CP2" s="120"/>
      <c r="CQ2" s="120"/>
      <c r="CR2" s="120"/>
      <c r="CS2" s="51" t="s">
        <v>25</v>
      </c>
      <c r="CT2" s="13" t="s">
        <v>24</v>
      </c>
      <c r="CU2" s="13" t="s">
        <v>23</v>
      </c>
      <c r="CV2" s="13" t="s">
        <v>18</v>
      </c>
      <c r="CW2" s="110" t="s">
        <v>27</v>
      </c>
      <c r="CX2" s="110"/>
      <c r="CY2" s="110"/>
      <c r="CZ2" s="110"/>
      <c r="DA2" s="110" t="s">
        <v>30</v>
      </c>
      <c r="DB2" s="110"/>
      <c r="DC2" s="110"/>
      <c r="DD2" s="110"/>
      <c r="DE2" s="110" t="s">
        <v>31</v>
      </c>
      <c r="DF2" s="110"/>
      <c r="DG2" s="110"/>
      <c r="DH2" s="110"/>
      <c r="DI2" s="122" t="s">
        <v>32</v>
      </c>
      <c r="DJ2" s="122"/>
      <c r="DK2" s="122"/>
      <c r="DL2" s="122"/>
      <c r="DM2" s="52" t="s">
        <v>25</v>
      </c>
      <c r="DN2" s="10" t="s">
        <v>24</v>
      </c>
      <c r="DO2" s="10" t="s">
        <v>23</v>
      </c>
      <c r="DP2" s="10" t="s">
        <v>18</v>
      </c>
      <c r="DQ2" s="111" t="s">
        <v>27</v>
      </c>
      <c r="DR2" s="111"/>
      <c r="DS2" s="111"/>
      <c r="DT2" s="111"/>
      <c r="DU2" s="111" t="s">
        <v>30</v>
      </c>
      <c r="DV2" s="111"/>
      <c r="DW2" s="111"/>
      <c r="DX2" s="111"/>
      <c r="DY2" s="111" t="s">
        <v>31</v>
      </c>
      <c r="DZ2" s="111"/>
      <c r="EA2" s="111"/>
      <c r="EB2" s="111"/>
      <c r="EC2" s="120" t="s">
        <v>32</v>
      </c>
      <c r="ED2" s="120"/>
      <c r="EE2" s="120"/>
      <c r="EF2" s="120"/>
      <c r="EG2" s="20" t="s">
        <v>25</v>
      </c>
      <c r="EH2" s="13" t="s">
        <v>24</v>
      </c>
      <c r="EI2" s="13" t="s">
        <v>23</v>
      </c>
      <c r="EJ2" s="13" t="s">
        <v>18</v>
      </c>
      <c r="EK2" s="110" t="s">
        <v>27</v>
      </c>
      <c r="EL2" s="110"/>
      <c r="EM2" s="110"/>
      <c r="EN2" s="110"/>
      <c r="EO2" s="110" t="s">
        <v>30</v>
      </c>
      <c r="EP2" s="110"/>
      <c r="EQ2" s="110"/>
      <c r="ER2" s="110"/>
      <c r="ES2" s="110" t="s">
        <v>31</v>
      </c>
      <c r="ET2" s="110"/>
      <c r="EU2" s="110"/>
      <c r="EV2" s="110"/>
      <c r="EW2" s="122" t="s">
        <v>32</v>
      </c>
      <c r="EX2" s="122"/>
      <c r="EY2" s="122"/>
      <c r="EZ2" s="122"/>
      <c r="FA2" s="21" t="s">
        <v>25</v>
      </c>
      <c r="FB2" s="10" t="s">
        <v>24</v>
      </c>
      <c r="FC2" s="10" t="s">
        <v>23</v>
      </c>
      <c r="FD2" s="10" t="s">
        <v>18</v>
      </c>
      <c r="FE2" s="111" t="s">
        <v>27</v>
      </c>
      <c r="FF2" s="111"/>
      <c r="FG2" s="111"/>
      <c r="FH2" s="111"/>
      <c r="FI2" s="111" t="s">
        <v>30</v>
      </c>
      <c r="FJ2" s="111"/>
      <c r="FK2" s="111"/>
      <c r="FL2" s="111"/>
      <c r="FM2" s="111" t="s">
        <v>31</v>
      </c>
      <c r="FN2" s="111"/>
      <c r="FO2" s="111"/>
      <c r="FP2" s="111"/>
      <c r="FQ2" s="120" t="s">
        <v>32</v>
      </c>
      <c r="FR2" s="120"/>
      <c r="FS2" s="120"/>
      <c r="FT2" s="120"/>
      <c r="FU2" s="20" t="s">
        <v>25</v>
      </c>
      <c r="FV2" s="13" t="s">
        <v>24</v>
      </c>
      <c r="FW2" s="13" t="s">
        <v>23</v>
      </c>
      <c r="FX2" s="13" t="s">
        <v>18</v>
      </c>
      <c r="FY2" s="110" t="s">
        <v>27</v>
      </c>
      <c r="FZ2" s="110"/>
      <c r="GA2" s="110"/>
      <c r="GB2" s="110"/>
      <c r="GC2" s="110" t="s">
        <v>30</v>
      </c>
      <c r="GD2" s="110"/>
      <c r="GE2" s="110"/>
      <c r="GF2" s="110"/>
      <c r="GG2" s="110" t="s">
        <v>31</v>
      </c>
      <c r="GH2" s="110"/>
      <c r="GI2" s="110"/>
      <c r="GJ2" s="110"/>
      <c r="GK2" s="122" t="s">
        <v>32</v>
      </c>
      <c r="GL2" s="122"/>
      <c r="GM2" s="122"/>
      <c r="GN2" s="122"/>
      <c r="GO2" s="21" t="s">
        <v>25</v>
      </c>
      <c r="GP2" s="10" t="s">
        <v>24</v>
      </c>
      <c r="GQ2" s="10" t="s">
        <v>23</v>
      </c>
      <c r="GR2" s="10" t="s">
        <v>18</v>
      </c>
      <c r="GS2" s="111" t="s">
        <v>27</v>
      </c>
      <c r="GT2" s="111"/>
      <c r="GU2" s="111"/>
      <c r="GV2" s="111"/>
      <c r="GW2" s="111" t="s">
        <v>30</v>
      </c>
      <c r="GX2" s="111"/>
      <c r="GY2" s="111"/>
      <c r="GZ2" s="111"/>
      <c r="HA2" s="111" t="s">
        <v>31</v>
      </c>
      <c r="HB2" s="111"/>
      <c r="HC2" s="111"/>
      <c r="HD2" s="111"/>
      <c r="HE2" s="120" t="s">
        <v>32</v>
      </c>
      <c r="HF2" s="120"/>
      <c r="HG2" s="120"/>
      <c r="HH2" s="120"/>
      <c r="HI2" s="20" t="s">
        <v>25</v>
      </c>
      <c r="HJ2" s="13" t="s">
        <v>24</v>
      </c>
      <c r="HK2" s="13" t="s">
        <v>23</v>
      </c>
      <c r="HL2" s="13" t="s">
        <v>18</v>
      </c>
      <c r="HM2" s="110" t="s">
        <v>27</v>
      </c>
      <c r="HN2" s="110"/>
      <c r="HO2" s="110"/>
      <c r="HP2" s="110"/>
      <c r="HQ2" s="110" t="s">
        <v>30</v>
      </c>
      <c r="HR2" s="110"/>
      <c r="HS2" s="110"/>
      <c r="HT2" s="110"/>
      <c r="HU2" s="110" t="s">
        <v>31</v>
      </c>
      <c r="HV2" s="110"/>
      <c r="HW2" s="110"/>
      <c r="HX2" s="110"/>
      <c r="HY2" s="122" t="s">
        <v>32</v>
      </c>
      <c r="HZ2" s="122"/>
      <c r="IA2" s="122"/>
      <c r="IB2" s="122"/>
      <c r="IC2" s="21" t="s">
        <v>25</v>
      </c>
      <c r="ID2" s="10" t="s">
        <v>24</v>
      </c>
      <c r="IE2" s="10" t="s">
        <v>23</v>
      </c>
      <c r="IF2" s="10" t="s">
        <v>18</v>
      </c>
      <c r="IG2" s="111" t="s">
        <v>27</v>
      </c>
      <c r="IH2" s="111"/>
      <c r="II2" s="111"/>
      <c r="IJ2" s="111"/>
      <c r="IK2" s="111" t="s">
        <v>30</v>
      </c>
      <c r="IL2" s="111"/>
      <c r="IM2" s="111"/>
      <c r="IN2" s="111"/>
      <c r="IO2" s="111" t="s">
        <v>31</v>
      </c>
      <c r="IP2" s="111"/>
      <c r="IQ2" s="111"/>
      <c r="IR2" s="111"/>
      <c r="IS2" s="120" t="s">
        <v>32</v>
      </c>
      <c r="IT2" s="120"/>
      <c r="IU2" s="120"/>
      <c r="IV2" s="120"/>
      <c r="IW2" s="20" t="s">
        <v>25</v>
      </c>
      <c r="IX2" s="13" t="s">
        <v>24</v>
      </c>
      <c r="IY2" s="13" t="s">
        <v>23</v>
      </c>
      <c r="IZ2" s="13" t="s">
        <v>18</v>
      </c>
      <c r="JA2" s="110" t="s">
        <v>27</v>
      </c>
      <c r="JB2" s="110"/>
      <c r="JC2" s="110"/>
      <c r="JD2" s="110"/>
      <c r="JE2" s="110" t="s">
        <v>30</v>
      </c>
      <c r="JF2" s="110"/>
      <c r="JG2" s="110"/>
      <c r="JH2" s="110"/>
      <c r="JI2" s="110" t="s">
        <v>31</v>
      </c>
      <c r="JJ2" s="110"/>
      <c r="JK2" s="110"/>
      <c r="JL2" s="110"/>
      <c r="JM2" s="122" t="s">
        <v>32</v>
      </c>
      <c r="JN2" s="122"/>
      <c r="JO2" s="122"/>
      <c r="JP2" s="122"/>
      <c r="JQ2" s="21" t="s">
        <v>25</v>
      </c>
      <c r="JR2" s="10" t="s">
        <v>24</v>
      </c>
      <c r="JS2" s="10" t="s">
        <v>23</v>
      </c>
      <c r="JT2" s="10" t="s">
        <v>18</v>
      </c>
      <c r="JU2" s="111" t="s">
        <v>27</v>
      </c>
      <c r="JV2" s="111"/>
      <c r="JW2" s="111"/>
      <c r="JX2" s="111"/>
      <c r="JY2" s="111" t="s">
        <v>30</v>
      </c>
      <c r="JZ2" s="111"/>
      <c r="KA2" s="111"/>
      <c r="KB2" s="111"/>
      <c r="KC2" s="111" t="s">
        <v>31</v>
      </c>
      <c r="KD2" s="111"/>
      <c r="KE2" s="111"/>
      <c r="KF2" s="111"/>
      <c r="KG2" s="120" t="s">
        <v>32</v>
      </c>
      <c r="KH2" s="120"/>
      <c r="KI2" s="120"/>
      <c r="KJ2" s="120"/>
      <c r="KK2" s="20" t="s">
        <v>25</v>
      </c>
      <c r="KL2" s="13" t="s">
        <v>24</v>
      </c>
      <c r="KM2" s="13" t="s">
        <v>23</v>
      </c>
      <c r="KN2" s="13" t="s">
        <v>18</v>
      </c>
      <c r="KO2" s="110" t="s">
        <v>27</v>
      </c>
      <c r="KP2" s="110"/>
      <c r="KQ2" s="110"/>
      <c r="KR2" s="110"/>
      <c r="KS2" s="110" t="s">
        <v>30</v>
      </c>
      <c r="KT2" s="110"/>
      <c r="KU2" s="110"/>
      <c r="KV2" s="110"/>
      <c r="KW2" s="110" t="s">
        <v>31</v>
      </c>
      <c r="KX2" s="110"/>
      <c r="KY2" s="110"/>
      <c r="KZ2" s="110"/>
      <c r="LA2" s="121" t="s">
        <v>32</v>
      </c>
      <c r="LB2" s="121"/>
      <c r="LC2" s="121"/>
      <c r="LD2" s="121"/>
      <c r="LE2" s="105"/>
      <c r="LF2" s="105" t="s">
        <v>25</v>
      </c>
      <c r="LG2" s="10" t="s">
        <v>24</v>
      </c>
      <c r="LH2" s="10" t="s">
        <v>23</v>
      </c>
      <c r="LI2" s="10" t="s">
        <v>18</v>
      </c>
    </row>
    <row r="3" spans="1:321" x14ac:dyDescent="0.2">
      <c r="A3" s="112"/>
      <c r="B3" s="112"/>
      <c r="C3" s="112"/>
      <c r="D3" s="112"/>
      <c r="E3" s="112"/>
      <c r="F3" s="119"/>
      <c r="G3" s="119"/>
      <c r="H3" s="119"/>
      <c r="I3" s="112"/>
      <c r="J3" s="114"/>
      <c r="K3" s="114"/>
      <c r="L3" s="114"/>
      <c r="M3" s="114"/>
      <c r="N3" s="116"/>
      <c r="O3" s="114"/>
      <c r="P3" s="114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54</v>
      </c>
      <c r="AH3" s="11"/>
      <c r="AI3" s="10"/>
      <c r="AJ3" s="11"/>
      <c r="AK3" s="11"/>
      <c r="AL3" s="51" t="s">
        <v>15</v>
      </c>
      <c r="AM3" s="51" t="s">
        <v>7</v>
      </c>
      <c r="AN3" s="51" t="s">
        <v>28</v>
      </c>
      <c r="AO3" s="51" t="s">
        <v>29</v>
      </c>
      <c r="AP3" s="51" t="s">
        <v>15</v>
      </c>
      <c r="AQ3" s="51" t="s">
        <v>7</v>
      </c>
      <c r="AR3" s="51" t="s">
        <v>28</v>
      </c>
      <c r="AS3" s="51" t="s">
        <v>29</v>
      </c>
      <c r="AT3" s="51" t="s">
        <v>15</v>
      </c>
      <c r="AU3" s="51" t="s">
        <v>7</v>
      </c>
      <c r="AV3" s="51" t="s">
        <v>28</v>
      </c>
      <c r="AW3" s="51" t="s">
        <v>29</v>
      </c>
      <c r="AX3" s="53" t="s">
        <v>15</v>
      </c>
      <c r="AY3" s="53" t="s">
        <v>7</v>
      </c>
      <c r="AZ3" s="53" t="s">
        <v>28</v>
      </c>
      <c r="BA3" s="53" t="s">
        <v>29</v>
      </c>
      <c r="BB3" s="73" t="s">
        <v>54</v>
      </c>
      <c r="BC3" s="14"/>
      <c r="BD3" s="13"/>
      <c r="BE3" s="14"/>
      <c r="BF3" s="14"/>
      <c r="BG3" s="23"/>
      <c r="BH3" s="23"/>
      <c r="BI3" s="52" t="s">
        <v>15</v>
      </c>
      <c r="BJ3" s="52" t="s">
        <v>7</v>
      </c>
      <c r="BK3" s="52" t="s">
        <v>28</v>
      </c>
      <c r="BL3" s="52" t="s">
        <v>29</v>
      </c>
      <c r="BM3" s="52" t="s">
        <v>15</v>
      </c>
      <c r="BN3" s="52" t="s">
        <v>7</v>
      </c>
      <c r="BO3" s="52" t="s">
        <v>28</v>
      </c>
      <c r="BP3" s="52" t="s">
        <v>29</v>
      </c>
      <c r="BQ3" s="52" t="s">
        <v>15</v>
      </c>
      <c r="BR3" s="52" t="s">
        <v>7</v>
      </c>
      <c r="BS3" s="52" t="s">
        <v>28</v>
      </c>
      <c r="BT3" s="52" t="s">
        <v>29</v>
      </c>
      <c r="BU3" s="54" t="s">
        <v>15</v>
      </c>
      <c r="BV3" s="54" t="s">
        <v>7</v>
      </c>
      <c r="BW3" s="54" t="s">
        <v>28</v>
      </c>
      <c r="BX3" s="54" t="s">
        <v>29</v>
      </c>
      <c r="BY3" s="11"/>
      <c r="BZ3" s="10"/>
      <c r="CA3" s="11"/>
      <c r="CB3" s="11"/>
      <c r="CC3" s="51" t="s">
        <v>15</v>
      </c>
      <c r="CD3" s="51" t="s">
        <v>7</v>
      </c>
      <c r="CE3" s="51" t="s">
        <v>28</v>
      </c>
      <c r="CF3" s="51" t="s">
        <v>29</v>
      </c>
      <c r="CG3" s="51" t="s">
        <v>15</v>
      </c>
      <c r="CH3" s="51" t="s">
        <v>7</v>
      </c>
      <c r="CI3" s="51" t="s">
        <v>28</v>
      </c>
      <c r="CJ3" s="51" t="s">
        <v>29</v>
      </c>
      <c r="CK3" s="51" t="s">
        <v>15</v>
      </c>
      <c r="CL3" s="51" t="s">
        <v>7</v>
      </c>
      <c r="CM3" s="51" t="s">
        <v>28</v>
      </c>
      <c r="CN3" s="51" t="s">
        <v>29</v>
      </c>
      <c r="CO3" s="53" t="s">
        <v>15</v>
      </c>
      <c r="CP3" s="53" t="s">
        <v>7</v>
      </c>
      <c r="CQ3" s="53" t="s">
        <v>28</v>
      </c>
      <c r="CR3" s="53" t="s">
        <v>29</v>
      </c>
      <c r="CS3" s="14"/>
      <c r="CT3" s="13"/>
      <c r="CU3" s="14"/>
      <c r="CV3" s="14"/>
      <c r="CW3" s="52" t="s">
        <v>15</v>
      </c>
      <c r="CX3" s="52" t="s">
        <v>7</v>
      </c>
      <c r="CY3" s="52" t="s">
        <v>28</v>
      </c>
      <c r="CZ3" s="52" t="s">
        <v>29</v>
      </c>
      <c r="DA3" s="52" t="s">
        <v>15</v>
      </c>
      <c r="DB3" s="52" t="s">
        <v>7</v>
      </c>
      <c r="DC3" s="52" t="s">
        <v>28</v>
      </c>
      <c r="DD3" s="52" t="s">
        <v>29</v>
      </c>
      <c r="DE3" s="52" t="s">
        <v>15</v>
      </c>
      <c r="DF3" s="52" t="s">
        <v>7</v>
      </c>
      <c r="DG3" s="52" t="s">
        <v>28</v>
      </c>
      <c r="DH3" s="52" t="s">
        <v>29</v>
      </c>
      <c r="DI3" s="54" t="s">
        <v>15</v>
      </c>
      <c r="DJ3" s="54" t="s">
        <v>7</v>
      </c>
      <c r="DK3" s="54" t="s">
        <v>28</v>
      </c>
      <c r="DL3" s="54" t="s">
        <v>29</v>
      </c>
      <c r="DM3" s="11"/>
      <c r="DN3" s="10"/>
      <c r="DO3" s="11"/>
      <c r="DP3" s="11"/>
      <c r="DQ3" s="28" t="s">
        <v>15</v>
      </c>
      <c r="DR3" s="28" t="s">
        <v>7</v>
      </c>
      <c r="DS3" s="28" t="s">
        <v>28</v>
      </c>
      <c r="DT3" s="28" t="s">
        <v>29</v>
      </c>
      <c r="DU3" s="28" t="s">
        <v>15</v>
      </c>
      <c r="DV3" s="28" t="s">
        <v>7</v>
      </c>
      <c r="DW3" s="28" t="s">
        <v>28</v>
      </c>
      <c r="DX3" s="28" t="s">
        <v>29</v>
      </c>
      <c r="DY3" s="28" t="s">
        <v>15</v>
      </c>
      <c r="DZ3" s="28" t="s">
        <v>7</v>
      </c>
      <c r="EA3" s="28" t="s">
        <v>28</v>
      </c>
      <c r="EB3" s="28" t="s">
        <v>29</v>
      </c>
      <c r="EC3" s="31" t="s">
        <v>15</v>
      </c>
      <c r="ED3" s="31" t="s">
        <v>7</v>
      </c>
      <c r="EE3" s="31" t="s">
        <v>28</v>
      </c>
      <c r="EF3" s="31" t="s">
        <v>29</v>
      </c>
      <c r="EG3" s="14"/>
      <c r="EH3" s="13"/>
      <c r="EI3" s="14"/>
      <c r="EJ3" s="14"/>
      <c r="EK3" s="29" t="s">
        <v>15</v>
      </c>
      <c r="EL3" s="29" t="s">
        <v>7</v>
      </c>
      <c r="EM3" s="29" t="s">
        <v>28</v>
      </c>
      <c r="EN3" s="29" t="s">
        <v>29</v>
      </c>
      <c r="EO3" s="29" t="s">
        <v>15</v>
      </c>
      <c r="EP3" s="29" t="s">
        <v>7</v>
      </c>
      <c r="EQ3" s="29" t="s">
        <v>28</v>
      </c>
      <c r="ER3" s="29" t="s">
        <v>29</v>
      </c>
      <c r="ES3" s="29" t="s">
        <v>15</v>
      </c>
      <c r="ET3" s="29" t="s">
        <v>7</v>
      </c>
      <c r="EU3" s="29" t="s">
        <v>28</v>
      </c>
      <c r="EV3" s="29" t="s">
        <v>29</v>
      </c>
      <c r="EW3" s="30" t="s">
        <v>15</v>
      </c>
      <c r="EX3" s="30" t="s">
        <v>7</v>
      </c>
      <c r="EY3" s="30" t="s">
        <v>28</v>
      </c>
      <c r="EZ3" s="30" t="s">
        <v>29</v>
      </c>
      <c r="FA3" s="11"/>
      <c r="FB3" s="10"/>
      <c r="FC3" s="11"/>
      <c r="FD3" s="11"/>
      <c r="FE3" s="28" t="s">
        <v>15</v>
      </c>
      <c r="FF3" s="28" t="s">
        <v>7</v>
      </c>
      <c r="FG3" s="28" t="s">
        <v>28</v>
      </c>
      <c r="FH3" s="28" t="s">
        <v>29</v>
      </c>
      <c r="FI3" s="28" t="s">
        <v>15</v>
      </c>
      <c r="FJ3" s="28" t="s">
        <v>7</v>
      </c>
      <c r="FK3" s="28" t="s">
        <v>28</v>
      </c>
      <c r="FL3" s="28" t="s">
        <v>29</v>
      </c>
      <c r="FM3" s="28" t="s">
        <v>15</v>
      </c>
      <c r="FN3" s="28" t="s">
        <v>7</v>
      </c>
      <c r="FO3" s="28" t="s">
        <v>28</v>
      </c>
      <c r="FP3" s="28" t="s">
        <v>29</v>
      </c>
      <c r="FQ3" s="31" t="s">
        <v>15</v>
      </c>
      <c r="FR3" s="31" t="s">
        <v>7</v>
      </c>
      <c r="FS3" s="31" t="s">
        <v>28</v>
      </c>
      <c r="FT3" s="31" t="s">
        <v>29</v>
      </c>
      <c r="FU3" s="14"/>
      <c r="FV3" s="13"/>
      <c r="FW3" s="14"/>
      <c r="FX3" s="14"/>
      <c r="FY3" s="29" t="s">
        <v>15</v>
      </c>
      <c r="FZ3" s="29" t="s">
        <v>7</v>
      </c>
      <c r="GA3" s="29" t="s">
        <v>28</v>
      </c>
      <c r="GB3" s="29" t="s">
        <v>29</v>
      </c>
      <c r="GC3" s="29" t="s">
        <v>15</v>
      </c>
      <c r="GD3" s="29" t="s">
        <v>7</v>
      </c>
      <c r="GE3" s="29" t="s">
        <v>28</v>
      </c>
      <c r="GF3" s="29" t="s">
        <v>29</v>
      </c>
      <c r="GG3" s="29" t="s">
        <v>15</v>
      </c>
      <c r="GH3" s="29" t="s">
        <v>7</v>
      </c>
      <c r="GI3" s="29" t="s">
        <v>28</v>
      </c>
      <c r="GJ3" s="29" t="s">
        <v>29</v>
      </c>
      <c r="GK3" s="30" t="s">
        <v>15</v>
      </c>
      <c r="GL3" s="30" t="s">
        <v>7</v>
      </c>
      <c r="GM3" s="30" t="s">
        <v>28</v>
      </c>
      <c r="GN3" s="30" t="s">
        <v>29</v>
      </c>
      <c r="GO3" s="11"/>
      <c r="GP3" s="10"/>
      <c r="GQ3" s="11"/>
      <c r="GR3" s="11"/>
      <c r="GS3" s="28" t="s">
        <v>15</v>
      </c>
      <c r="GT3" s="28" t="s">
        <v>7</v>
      </c>
      <c r="GU3" s="28" t="s">
        <v>28</v>
      </c>
      <c r="GV3" s="28" t="s">
        <v>29</v>
      </c>
      <c r="GW3" s="28" t="s">
        <v>15</v>
      </c>
      <c r="GX3" s="28" t="s">
        <v>7</v>
      </c>
      <c r="GY3" s="28" t="s">
        <v>28</v>
      </c>
      <c r="GZ3" s="28" t="s">
        <v>29</v>
      </c>
      <c r="HA3" s="28" t="s">
        <v>15</v>
      </c>
      <c r="HB3" s="28" t="s">
        <v>7</v>
      </c>
      <c r="HC3" s="28" t="s">
        <v>28</v>
      </c>
      <c r="HD3" s="28" t="s">
        <v>29</v>
      </c>
      <c r="HE3" s="31" t="s">
        <v>15</v>
      </c>
      <c r="HF3" s="31" t="s">
        <v>7</v>
      </c>
      <c r="HG3" s="31" t="s">
        <v>28</v>
      </c>
      <c r="HH3" s="31" t="s">
        <v>29</v>
      </c>
      <c r="HI3" s="14"/>
      <c r="HJ3" s="13"/>
      <c r="HK3" s="14"/>
      <c r="HL3" s="14"/>
      <c r="HM3" s="29" t="s">
        <v>15</v>
      </c>
      <c r="HN3" s="29" t="s">
        <v>7</v>
      </c>
      <c r="HO3" s="29" t="s">
        <v>28</v>
      </c>
      <c r="HP3" s="29" t="s">
        <v>29</v>
      </c>
      <c r="HQ3" s="29" t="s">
        <v>15</v>
      </c>
      <c r="HR3" s="29" t="s">
        <v>7</v>
      </c>
      <c r="HS3" s="29" t="s">
        <v>28</v>
      </c>
      <c r="HT3" s="29" t="s">
        <v>29</v>
      </c>
      <c r="HU3" s="29" t="s">
        <v>15</v>
      </c>
      <c r="HV3" s="29" t="s">
        <v>7</v>
      </c>
      <c r="HW3" s="29" t="s">
        <v>28</v>
      </c>
      <c r="HX3" s="29" t="s">
        <v>29</v>
      </c>
      <c r="HY3" s="30" t="s">
        <v>15</v>
      </c>
      <c r="HZ3" s="30" t="s">
        <v>7</v>
      </c>
      <c r="IA3" s="30" t="s">
        <v>28</v>
      </c>
      <c r="IB3" s="30" t="s">
        <v>29</v>
      </c>
      <c r="IC3" s="11"/>
      <c r="ID3" s="10"/>
      <c r="IE3" s="11"/>
      <c r="IF3" s="11"/>
      <c r="IG3" s="28" t="s">
        <v>15</v>
      </c>
      <c r="IH3" s="28" t="s">
        <v>7</v>
      </c>
      <c r="II3" s="28" t="s">
        <v>28</v>
      </c>
      <c r="IJ3" s="28" t="s">
        <v>29</v>
      </c>
      <c r="IK3" s="28" t="s">
        <v>15</v>
      </c>
      <c r="IL3" s="28" t="s">
        <v>7</v>
      </c>
      <c r="IM3" s="28" t="s">
        <v>28</v>
      </c>
      <c r="IN3" s="28" t="s">
        <v>29</v>
      </c>
      <c r="IO3" s="28" t="s">
        <v>15</v>
      </c>
      <c r="IP3" s="28" t="s">
        <v>7</v>
      </c>
      <c r="IQ3" s="28" t="s">
        <v>28</v>
      </c>
      <c r="IR3" s="28" t="s">
        <v>29</v>
      </c>
      <c r="IS3" s="31" t="s">
        <v>15</v>
      </c>
      <c r="IT3" s="31" t="s">
        <v>7</v>
      </c>
      <c r="IU3" s="31" t="s">
        <v>28</v>
      </c>
      <c r="IV3" s="31" t="s">
        <v>29</v>
      </c>
      <c r="IW3" s="14"/>
      <c r="IX3" s="13"/>
      <c r="IY3" s="14"/>
      <c r="IZ3" s="14"/>
      <c r="JA3" s="29" t="s">
        <v>15</v>
      </c>
      <c r="JB3" s="29" t="s">
        <v>7</v>
      </c>
      <c r="JC3" s="29" t="s">
        <v>28</v>
      </c>
      <c r="JD3" s="29" t="s">
        <v>29</v>
      </c>
      <c r="JE3" s="29" t="s">
        <v>15</v>
      </c>
      <c r="JF3" s="29" t="s">
        <v>7</v>
      </c>
      <c r="JG3" s="29" t="s">
        <v>28</v>
      </c>
      <c r="JH3" s="29" t="s">
        <v>29</v>
      </c>
      <c r="JI3" s="29" t="s">
        <v>15</v>
      </c>
      <c r="JJ3" s="29" t="s">
        <v>7</v>
      </c>
      <c r="JK3" s="29" t="s">
        <v>28</v>
      </c>
      <c r="JL3" s="29" t="s">
        <v>29</v>
      </c>
      <c r="JM3" s="30" t="s">
        <v>15</v>
      </c>
      <c r="JN3" s="30" t="s">
        <v>7</v>
      </c>
      <c r="JO3" s="30" t="s">
        <v>28</v>
      </c>
      <c r="JP3" s="30" t="s">
        <v>29</v>
      </c>
      <c r="JQ3" s="11"/>
      <c r="JR3" s="10"/>
      <c r="JS3" s="11"/>
      <c r="JT3" s="11"/>
      <c r="JU3" s="28" t="s">
        <v>15</v>
      </c>
      <c r="JV3" s="28" t="s">
        <v>7</v>
      </c>
      <c r="JW3" s="28" t="s">
        <v>28</v>
      </c>
      <c r="JX3" s="28" t="s">
        <v>29</v>
      </c>
      <c r="JY3" s="28" t="s">
        <v>15</v>
      </c>
      <c r="JZ3" s="28" t="s">
        <v>7</v>
      </c>
      <c r="KA3" s="28" t="s">
        <v>28</v>
      </c>
      <c r="KB3" s="28" t="s">
        <v>29</v>
      </c>
      <c r="KC3" s="28" t="s">
        <v>15</v>
      </c>
      <c r="KD3" s="28" t="s">
        <v>7</v>
      </c>
      <c r="KE3" s="28" t="s">
        <v>28</v>
      </c>
      <c r="KF3" s="28" t="s">
        <v>29</v>
      </c>
      <c r="KG3" s="31" t="s">
        <v>15</v>
      </c>
      <c r="KH3" s="31" t="s">
        <v>7</v>
      </c>
      <c r="KI3" s="31" t="s">
        <v>28</v>
      </c>
      <c r="KJ3" s="31" t="s">
        <v>29</v>
      </c>
      <c r="KK3" s="14"/>
      <c r="KL3" s="13"/>
      <c r="KM3" s="14"/>
      <c r="KN3" s="14"/>
      <c r="KO3" s="105" t="s">
        <v>15</v>
      </c>
      <c r="KP3" s="105" t="s">
        <v>7</v>
      </c>
      <c r="KQ3" s="105" t="s">
        <v>28</v>
      </c>
      <c r="KR3" s="105" t="s">
        <v>29</v>
      </c>
      <c r="KS3" s="105" t="s">
        <v>15</v>
      </c>
      <c r="KT3" s="105" t="s">
        <v>7</v>
      </c>
      <c r="KU3" s="105" t="s">
        <v>28</v>
      </c>
      <c r="KV3" s="105" t="s">
        <v>29</v>
      </c>
      <c r="KW3" s="105" t="s">
        <v>15</v>
      </c>
      <c r="KX3" s="105" t="s">
        <v>7</v>
      </c>
      <c r="KY3" s="105" t="s">
        <v>28</v>
      </c>
      <c r="KZ3" s="105" t="s">
        <v>29</v>
      </c>
      <c r="LA3" s="106" t="s">
        <v>15</v>
      </c>
      <c r="LB3" s="106" t="s">
        <v>7</v>
      </c>
      <c r="LC3" s="106" t="s">
        <v>28</v>
      </c>
      <c r="LD3" s="106" t="s">
        <v>29</v>
      </c>
      <c r="LE3" s="105" t="s">
        <v>54</v>
      </c>
      <c r="LF3" s="11"/>
      <c r="LG3" s="10"/>
      <c r="LH3" s="11"/>
      <c r="LI3" s="11"/>
    </row>
    <row r="4" spans="1:321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7" t="s">
        <v>111</v>
      </c>
      <c r="C4" s="8" t="s">
        <v>3</v>
      </c>
      <c r="D4" s="27">
        <v>2003</v>
      </c>
      <c r="E4" s="16">
        <f>SUM(J4:N4)</f>
        <v>126.89999999999999</v>
      </c>
      <c r="F4" s="4" t="str">
        <f>IF(OR(AND(AH4&gt;=AJ$11,AI4&gt;=AJ$13,AI4&lt;&gt;"",AG4=""),AND(BC4&gt;=BE$11,BD4&gt;=BE$13,BD4&lt;&gt;"",BB4=""),AND(BY4&gt;=CA$11,BZ4&gt;=CA$13,BZ4&lt;&gt;""),AND(CS4&gt;=CU$11,CT4&gt;=CU$13,CT4&lt;&gt;""),AND(DM4&gt;=DO$11,DN4&gt;=DO$13,DN4&lt;&gt;""),AND(EG4&gt;=EI$11,EH4&gt;=EI$13,EH4&lt;&gt;""),AND(FA4&gt;=FC$11,FB4&gt;=FC$13,FB4&lt;&gt;""),AND(FU4&gt;=FW$11,FV4&gt;=FW$13,FV4&lt;&gt;""),AND(GO4&gt;=GQ$11,GP4&gt;=GQ$13,GP4&lt;&gt;""),AND(HI4&gt;=HK$11,HJ4&gt;=HK$13,HJ4&lt;&gt;""),AND(IC4&gt;=IE$11,ID4&gt;=IE$13,ID4&lt;&gt;""),AND(IW4&gt;=IY$11,IX4&gt;=IY$13,IX4&lt;&gt;""),AND(JQ4&gt;=JS$11,JR4&gt;=JS$13,JR4&lt;&gt;""),AND(KK4&gt;=KM$11,KL4&gt;=KM$13,KL4&lt;&gt;"")),"P","")</f>
        <v>P</v>
      </c>
      <c r="G4" s="4" t="str">
        <f>IF(OR(AND(AH4&gt;=AJ$11,AI4&gt;=AJ$14,AI4&lt;&gt;"",AG4=""),AND(BC4&gt;=BE$11,BD4&gt;=BE$14,BD4&lt;&gt;"",BB4=""),AND(BY4&gt;=CA$11,BZ4&gt;=CA$14,BZ4&lt;&gt;""),AND(CS4&gt;=CU$11,CT4&gt;=CU$14,CT4&lt;&gt;""),AND(DM4&gt;=DO$11,DN4&gt;=DO$14,DN4&lt;&gt;""),AND(EG4&gt;=EI$11,EH4&gt;=EI$14,EH4&lt;&gt;""),AND(FA4&gt;=FC$11,FB4&gt;=FC$14,FB4&lt;&gt;""),AND(FU4&gt;=FW$11,FV4&gt;=FW$14,FV4&lt;&gt;""),AND(GO4&gt;=GQ$11,GP4&gt;=GQ$14,GP4&lt;&gt;""),AND(HI4&gt;=HK$11,HJ4&gt;=HK$14,HJ4&lt;&gt;""),AND(IC4&gt;=IE$11,ID4&gt;=IE$14,ID4&lt;&gt;""),AND(IW4&gt;=IY$11,IX4&gt;=IY$14,IX4&lt;&gt;""),AND(JQ4&gt;=JS$11,JR4&gt;=JS$14,JR4&lt;&gt;""),AND(KK4&gt;=KM$11,KL4&gt;=KM$14,KL4&lt;&gt;"")),"P","")</f>
        <v/>
      </c>
      <c r="H4" s="4" t="str">
        <f>IF(OR(AND(AI4&gt;=AJ$13,AI4&lt;&gt;"",AG4=""),AND(BD4&gt;=BE$13,BD4&lt;&gt;"",BB4=""),AND(BZ4&gt;=CA$13,BZ4&lt;&gt;""),AND(CT4&gt;=CU$13,CT4&lt;&gt;""),AND(DN4&gt;=DO$13,DN4&lt;&gt;""),AND(EH4&gt;=EI$13,EH4&lt;&gt;""),AND(FB4&gt;=FC$13,FB4&lt;&gt;""),AND(FV4&gt;=FW$13,FV4&lt;&gt;""),AND(GP4&gt;=GQ$13,GP4&lt;&gt;""),AND(HJ4&gt;=HK$13,HJ4&lt;&gt;""),AND(ID4&gt;=IE$13,ID4&lt;&gt;""),AND(IX4&gt;=IY$13,IX4&lt;&gt;""),AND(JR4&gt;=JS$13,JR4&lt;&gt;""),AND(KL4&gt;=KM$13,KL4&lt;&gt;"")),"P","")</f>
        <v>P</v>
      </c>
      <c r="I4" t="str">
        <f>IF(AND(H4="P",F4=""),"No DD",IF(OR(AND(AI4&gt;=AJ$16,AI4&lt;&gt;"",AH4&gt;=AJ$12,AH4&lt;&gt;"",AG4=""),AND(BD4&gt;=BE$16,BD4&lt;&gt;"",BC4&gt;=BE$12,BC4&lt;&gt;"",BB4=""),AND(BZ4&gt;=CA$16,BZ4&lt;&gt;"",BY4&gt;=CA$12,BY4&lt;&gt;""),AND(CT4&gt;=CU$16,CT4&lt;&gt;"",CS4&gt;=CU$12,CS4&lt;&gt;""),AND(DN4&gt;=DO$16,DN4&lt;&gt;"",DM4&gt;=DO$12,DM4&lt;&gt;""),AND(EH4&gt;=EI$16,EH4&lt;&gt;"",EG4&gt;=EI$12,EG4&lt;&gt;""),AND(FB4&gt;=FC$16,FB4&lt;&gt;"",FA4&gt;=FC$12,FA4&lt;&gt;""),AND(FV4&gt;=FW$16,FV4&lt;&gt;"",FU4&gt;=FW$12,FU4&lt;&gt;""),AND(GP4&gt;=GQ$16,GP4&lt;&gt;"",GO4&gt;=GQ$12,GO4&lt;&gt;""),AND(HJ4&gt;=HK$16,HJ4&lt;&gt;"",HI4&gt;=HK$12,HI4&lt;&gt;""),AND(ID4&gt;=IE$16,ID4&lt;&gt;"",IC4&gt;=IE$12,IC4&lt;&gt;""),AND(IX4&gt;=IY$16,IX4&lt;&gt;"",IW4&gt;=IY$12,IW4&lt;&gt;""),AND(JR4&gt;=JS$16,JR4&lt;&gt;"",JQ4&gt;=JS$12,JQ4&lt;&gt;""),AND(KL4&gt;=KM$16,KL4&lt;&gt;"",KK4&gt;=KM$12,KK4&lt;&gt;"")),"Merit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Excellence",IF(OR(AND(AI4&gt;=AJ$14,AI4&lt;&gt;"",AH4&gt;=AJ$11,AH4&lt;&gt;"",AG4=""),AND(BD4&gt;=BE$14,BD4&lt;&gt;"",BC4&gt;=BE$11,BC4&lt;&gt;"",BB4=""),AND(BZ4&gt;=CA$14,BZ4&lt;&gt;"",BY4&gt;=CA$11,BY4&lt;&gt;""),AND(CT4&gt;=CU$14,CT4&lt;&gt;"",CS4&gt;=CU$11,CS4&lt;&gt;""),AND(DN4&gt;=DO$14,DN4&lt;&gt;"",DM4&gt;=DO$11,DM4&lt;&gt;""),AND(EH4&gt;=EI$14,EH4&lt;&gt;"",EG4&gt;=EI$11,EG4&lt;&gt;""),AND(FB4&gt;=FC$14,FB4&lt;&gt;"",FA4&gt;=FC$11,FA4&lt;&gt;""),AND(FV4&gt;=FW$14,FV4&lt;&gt;"",FU4&gt;=FW$11,FU4&lt;&gt;""),AND(GP4&gt;=GQ$14,GP4&lt;&gt;"",GO4&gt;=GQ$11,GO4&lt;&gt;""),AND(HJ4&gt;=HK$14,HJ4&lt;&gt;"",HI4&gt;=HK$11,HI4&lt;&gt;""),AND(ID4&gt;=IE$14,ID4&lt;&gt;"",IC4&gt;=IE$11,IC4&lt;&gt;""),AND(IX4&gt;=IY$14,IX4&lt;&gt;"",IW4&gt;=IY$11,IW4&lt;&gt;""),AND(JR4&gt;=JS$14,JR4&lt;&gt;"",JQ4&gt;=JS$11,JQ4&lt;&gt;""),AND(KL4&gt;=KM$14,KL4&lt;&gt;"",KK4&gt;=KM$11,KK4&lt;&gt;"")),"Worlds Team",IF(OR(AND(AI4&gt;=AJ$13,AI4&lt;&gt;"",AH4&gt;=AJ$11,AH4&lt;&gt;"",AG4=""),AND(BD4&gt;=BE$13,BD4&lt;&gt;"",BC4&gt;=BE$11,BC4&lt;&gt;"",BB4=""),AND(BZ4&gt;=CA$13,BZ4&lt;&gt;"",BY4&gt;=CA$11,BY4&lt;&gt;""),AND(CT4&gt;=CU$13,CT4&lt;&gt;"",CS4&gt;=CU$11,CS4&lt;&gt;""),AND(DN4&gt;=DO$13,DN4&lt;&gt;"",DM4&gt;=DO$11,DM4&lt;&gt;""),AND(EH4&gt;=EI$13,EH4&lt;&gt;"",EG4&gt;=EI$11,EG4&lt;&gt;""),AND(FB4&gt;=FC$13,FB4&lt;&gt;"",FA4&gt;=FC$11,FA4&lt;&gt;""),AND(FV4&gt;=FW$13,FV4&lt;&gt;"",FU4&gt;=FW$11,FU4&lt;&gt;""),AND(GP4&gt;=GQ$13,GP4&lt;&gt;"",GO4&gt;=GQ$11,GO4&lt;&gt;""),AND(HJ4&gt;=HK$13,HJ4&lt;&gt;"",HI4&gt;=HK$11,HI4&lt;&gt;""),AND(ID4&gt;=IE$13,ID4&lt;&gt;"",IC4&gt;=IE$11,IC4&lt;&gt;""),AND(IX4&gt;=IY$13,IX4&lt;&gt;"",IW4&gt;=IY$11,IW4&lt;&gt;""),AND(JR4&gt;=JS$13,JR4&lt;&gt;"",JQ4&gt;=JS$11,JQ4&lt;&gt;""),AND(KL4&gt;=KM$13,KL4&lt;&gt;"",KK4&gt;=KM$11,KK4&lt;&gt;"")),"National Team","")))))</f>
        <v>National Team</v>
      </c>
      <c r="J4" s="15">
        <f>IF(MAX(AI4,BD4)&gt;0,MAX(AI4,BD4),"")</f>
        <v>63.8</v>
      </c>
      <c r="K4" s="15" t="str">
        <f>IF(J4="","",IF(J4=BD4,$AL$1,IF(J4=AI4,$Q$1,"")))</f>
        <v>2018 Nationals</v>
      </c>
      <c r="L4" s="15">
        <f>IF(MAX(AJ4,BE4)&gt;0,MAX(AJ4,BE4),"")</f>
        <v>63.099999999999994</v>
      </c>
      <c r="M4" s="15" t="str">
        <f>IF(L4="","",IF(L4=BE4,$AL$1,IF(L4=AJ4,$Q$1,"")))</f>
        <v>2018 Nationals</v>
      </c>
      <c r="N4" s="15" t="str">
        <f>IF(MAX(BG4:BH4)&gt;0,MAX(BG4:BH4),"")</f>
        <v/>
      </c>
      <c r="O4" s="25" t="str">
        <f>IF(N4="","",IF(N4=BG4,"(Prelim)",IF(N4=BH4,"(Final)")))</f>
        <v/>
      </c>
      <c r="P4" s="15" t="str">
        <f>IF(N4="","",IF(N4=BG4,IF(N4+IF(J4="",0,J4)=#REF!,$JU$1,IF(N4+IF(J4="",0,J4)=#REF!,$JA$1,IF(N4+IF(J4="",0,J4)=#REF!,$IG$1,IF(N4+IF(J4="",0,J4)=#REF!,$HM$1,IF(N4+IF(J4="",0,J4)=#REF!,$GS$1,IF(N4+IF(J4="",0,J4)=#REF!,$FY$1,IF(N4+IF(J4="",0,J4)=#REF!,$FE$1,IF(N4+IF(J4="",0,J4)=#REF!,$EK$1,IF(N4+IF(J4="",0,J4)=#REF!,$DQ$1,IF(N4+IF(J4="",0,J4)=#REF!,$CW$1,IF(N4+IF(J4="",0,J4)=#REF!,$CC$1,IF(N4+IF(J4="",0,J4)=#REF!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38">
        <v>25.2</v>
      </c>
      <c r="R4" s="38">
        <v>6.1</v>
      </c>
      <c r="S4" s="38">
        <v>0</v>
      </c>
      <c r="T4" s="38">
        <v>1</v>
      </c>
      <c r="U4" s="38">
        <v>26.2</v>
      </c>
      <c r="V4" s="38">
        <v>4.3</v>
      </c>
      <c r="W4" s="38">
        <v>0</v>
      </c>
      <c r="X4" s="38">
        <v>1</v>
      </c>
      <c r="Y4" s="38">
        <v>25.8</v>
      </c>
      <c r="Z4" s="38">
        <v>5.0999999999999996</v>
      </c>
      <c r="AA4" s="38">
        <v>0</v>
      </c>
      <c r="AB4" s="38">
        <v>1</v>
      </c>
      <c r="AC4" s="38">
        <v>26.9</v>
      </c>
      <c r="AD4" s="38">
        <v>4.3</v>
      </c>
      <c r="AE4" s="38">
        <v>0</v>
      </c>
      <c r="AF4" s="38">
        <v>0</v>
      </c>
      <c r="AG4" s="74"/>
      <c r="AH4" s="12">
        <f>IF(SUM(R4,V4)&gt;0,SUM(R4,V4),"")</f>
        <v>10.399999999999999</v>
      </c>
      <c r="AI4" s="12">
        <f>IF(SUM(Q4:R4,T4:V4,X4)-S4-W4&gt;0,SUM(Q4:R4,T4:V4,X4)-S4-W4,"")</f>
        <v>63.8</v>
      </c>
      <c r="AJ4" s="12">
        <f>IF(SUM(Y4:Z4,AB4:AD4,AF4)-SUM(AA4,AE4)&gt;0,SUM(Y4:Z4,AB4:AD4,AF4)-SUM(AA4,AE4),"")</f>
        <v>63.099999999999994</v>
      </c>
      <c r="AK4" s="12">
        <f>IF(SUM(AI4,AJ4)&gt;0,SUM(AI4,AJ4),"")</f>
        <v>126.89999999999999</v>
      </c>
      <c r="AL4" s="37">
        <v>26.5</v>
      </c>
      <c r="AM4" s="37">
        <v>4.3</v>
      </c>
      <c r="AN4" s="37">
        <v>0</v>
      </c>
      <c r="AO4" s="37">
        <v>0</v>
      </c>
      <c r="AP4" s="37">
        <v>25.8</v>
      </c>
      <c r="AQ4" s="37">
        <v>4.3</v>
      </c>
      <c r="AR4" s="37">
        <v>0</v>
      </c>
      <c r="AS4" s="37">
        <v>1</v>
      </c>
      <c r="AT4" s="37">
        <v>25.2</v>
      </c>
      <c r="AU4" s="37">
        <v>6.1</v>
      </c>
      <c r="AV4" s="37">
        <v>0</v>
      </c>
      <c r="AW4" s="37">
        <v>1</v>
      </c>
      <c r="AX4" s="37">
        <v>23.6</v>
      </c>
      <c r="AY4" s="37">
        <v>1.9</v>
      </c>
      <c r="AZ4" s="37">
        <v>0</v>
      </c>
      <c r="BA4" s="37">
        <v>0</v>
      </c>
      <c r="BB4" s="75"/>
      <c r="BC4" s="15">
        <f>IF(SUM(AM4,AQ4)&gt;0,SUM(AM4,AQ4),"")</f>
        <v>8.6</v>
      </c>
      <c r="BD4" s="15">
        <f>IF(SUM(AL4:AM4,AO4:AQ4,AS4)-AN4-AR4&gt;0,SUM(AL4:AM4,AO4:AQ4,AS4)-AN4-AR4,"")</f>
        <v>61.9</v>
      </c>
      <c r="BE4" s="15">
        <f>IF(SUM(AT4:AU4,AW4:AY4,BA4)-SUM(AV4,AZ4)&gt;0,SUM(AT4:AU4,AW4:AY4,BA4)-SUM(AV4,AZ4),"")</f>
        <v>57.8</v>
      </c>
      <c r="BF4" s="15">
        <f>IF(SUM(BD4,BE4)&gt;0,SUM(BD4,BE4),"")</f>
        <v>119.69999999999999</v>
      </c>
      <c r="BG4" s="24" t="str">
        <f>IF(MAX(BY4,CS4,DM4,EG4,FA4,FU4,GO4,HI4,IC4,IW4,JQ4,KK4)-IF(J4="",0,J4)&gt;0.001,MAX(BY4,CS4,DM4,EG4,FA4,FU4,GO4,HI4,IC4,IW4,JQ4,KK4)-IF(J4="",0,J4),"")</f>
        <v/>
      </c>
      <c r="BH4" s="24" t="str">
        <f>IF(MAX(CA4,CU4,DO4,EI4,FC4,FW4,GQ4,HK4,IE4,IY4,JS4,KM4)-IF(L4="",0,L4)&gt;0.001,MAX(CA4,CU4,DO4,EI4,FC4,FW4,GQ4,HK4,IE4,IY4,JS4,KM4)-IF(L4="",0,L4),"")</f>
        <v/>
      </c>
      <c r="BI4" s="36">
        <v>27</v>
      </c>
      <c r="BJ4" s="36">
        <v>4.3</v>
      </c>
      <c r="BK4" s="36">
        <v>0</v>
      </c>
      <c r="BL4" s="36">
        <v>0</v>
      </c>
      <c r="BM4" s="36">
        <v>27.1</v>
      </c>
      <c r="BN4" s="36">
        <v>3.6</v>
      </c>
      <c r="BO4" s="36">
        <v>0</v>
      </c>
      <c r="BP4" s="36">
        <v>0</v>
      </c>
      <c r="BQ4" s="36"/>
      <c r="BR4" s="36"/>
      <c r="BS4" s="36"/>
      <c r="BT4" s="36"/>
      <c r="BU4" s="36"/>
      <c r="BV4" s="36"/>
      <c r="BW4" s="36"/>
      <c r="BX4" s="36"/>
      <c r="BY4" s="12">
        <f>IF(SUM(BJ4,BN4)&gt;0,SUM(BJ4,BN4),"")</f>
        <v>7.9</v>
      </c>
      <c r="BZ4" s="12">
        <f>IF(SUM(BI4:BJ4,BL4:BN4,BP4)-BK4-BO4&gt;0,SUM(BI4:BJ4,BL4:BN4,BP4)-BK4-BO4,"")</f>
        <v>62.000000000000007</v>
      </c>
      <c r="CA4" s="12" t="str">
        <f>IF(SUM(BQ4:BR4,BT4:BV4,BX4)-SUM(BS4,BW4)&gt;0,SUM(BQ4:BR4,BT4:BV4,BX4)-SUM(BS4,BW4),"")</f>
        <v/>
      </c>
      <c r="CB4" s="12">
        <f>IF(SUM(BZ4,CA4)&gt;0,SUM(BZ4,CA4),"")</f>
        <v>62.000000000000007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15" t="str">
        <f>IF(SUM(CD4,CH4)&gt;0,SUM(CD4,CH4),"")</f>
        <v/>
      </c>
      <c r="CT4" s="15" t="str">
        <f>IF(SUM(CC4:CD4,CF4:CH4,CJ4)-CE4-CI4&gt;0,SUM(CC4:CD4,CF4:CH4,CJ4)-CE4-CI4,"")</f>
        <v/>
      </c>
      <c r="CU4" s="15" t="str">
        <f>IF(SUM(CK4:CL4,CN4:CP4,CR4)-SUM(CM4,CQ4)&gt;0,SUM(CK4:CL4,CN4:CP4,CR4)-SUM(CM4,CQ4),"")</f>
        <v/>
      </c>
      <c r="CV4" s="15" t="str">
        <f>IF(SUM(CT4,CU4)&gt;0,SUM(CT4,CU4),"")</f>
        <v/>
      </c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63">
        <f>IF($BB4="P",AL4,(Q4+AL4)/2)</f>
        <v>25.85</v>
      </c>
      <c r="KP4" s="63">
        <f t="shared" ref="KP4:LD7" si="0">IF($BB4="P",AM4,(R4+AM4)/2)</f>
        <v>5.1999999999999993</v>
      </c>
      <c r="KQ4" s="63">
        <f t="shared" si="0"/>
        <v>0</v>
      </c>
      <c r="KR4" s="63">
        <f t="shared" si="0"/>
        <v>0.5</v>
      </c>
      <c r="KS4" s="63">
        <f t="shared" si="0"/>
        <v>26</v>
      </c>
      <c r="KT4" s="63">
        <f t="shared" si="0"/>
        <v>4.3</v>
      </c>
      <c r="KU4" s="63">
        <f t="shared" si="0"/>
        <v>0</v>
      </c>
      <c r="KV4" s="63">
        <f t="shared" si="0"/>
        <v>1</v>
      </c>
      <c r="KW4" s="63">
        <f t="shared" si="0"/>
        <v>25.5</v>
      </c>
      <c r="KX4" s="63">
        <f t="shared" si="0"/>
        <v>5.6</v>
      </c>
      <c r="KY4" s="63">
        <f t="shared" si="0"/>
        <v>0</v>
      </c>
      <c r="KZ4" s="63">
        <f t="shared" si="0"/>
        <v>1</v>
      </c>
      <c r="LA4" s="63">
        <f t="shared" si="0"/>
        <v>25.25</v>
      </c>
      <c r="LB4" s="63">
        <f t="shared" si="0"/>
        <v>3.0999999999999996</v>
      </c>
      <c r="LC4" s="63">
        <f t="shared" si="0"/>
        <v>0</v>
      </c>
      <c r="LD4" s="63">
        <f t="shared" si="0"/>
        <v>0</v>
      </c>
      <c r="LE4" s="74" t="s">
        <v>119</v>
      </c>
      <c r="LF4" s="12">
        <f>IF(SUM(KP4,KT4)&gt;0,SUM(KP4,KT4),"")</f>
        <v>9.5</v>
      </c>
      <c r="LG4" s="12">
        <f t="shared" ref="LG4" si="1">IF(SUM(KO4:KP4,KR4:KT4,KV4)-KQ4-KU4&gt;0,SUM(KO4:KP4,KR4:KT4,KV4)-KQ4-KU4,"")</f>
        <v>62.849999999999994</v>
      </c>
      <c r="LH4" s="12">
        <f t="shared" ref="LH4" si="2">IF(SUM(KW4:KX4,KZ4:LB4,LD4)-SUM(KY4,LC4)&gt;0,SUM(KW4:KX4,KZ4:LB4,LD4)-SUM(KY4,LC4),"")</f>
        <v>60.45</v>
      </c>
      <c r="LI4" s="12">
        <f t="shared" ref="LI4" si="3">IF(SUM(LG4,LH4)&gt;0,SUM(LG4,LH4),"")</f>
        <v>123.3</v>
      </c>
    </row>
    <row r="5" spans="1:321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9" t="s">
        <v>112</v>
      </c>
      <c r="C5" s="5" t="s">
        <v>3</v>
      </c>
      <c r="D5" s="27">
        <v>2000</v>
      </c>
      <c r="E5" s="16">
        <f>SUM(J5:N5)</f>
        <v>124.5</v>
      </c>
      <c r="F5" s="4" t="str">
        <f>IF(OR(AND(AH5&gt;=AJ$11,AI5&gt;=AJ$13,AI5&lt;&gt;"",AG5=""),AND(BC5&gt;=BE$11,BD5&gt;=BE$13,BD5&lt;&gt;"",BB5=""),AND(BY5&gt;=CA$11,BZ5&gt;=CA$13,BZ5&lt;&gt;""),AND(CS5&gt;=CU$11,CT5&gt;=CU$13,CT5&lt;&gt;""),AND(DM5&gt;=DO$11,DN5&gt;=DO$13,DN5&lt;&gt;""),AND(EG5&gt;=EI$11,EH5&gt;=EI$13,EH5&lt;&gt;""),AND(FA5&gt;=FC$11,FB5&gt;=FC$13,FB5&lt;&gt;""),AND(FU5&gt;=FW$11,FV5&gt;=FW$13,FV5&lt;&gt;""),AND(GO5&gt;=GQ$11,GP5&gt;=GQ$13,GP5&lt;&gt;""),AND(HI5&gt;=HK$11,HJ5&gt;=HK$13,HJ5&lt;&gt;""),AND(IC5&gt;=IE$11,ID5&gt;=IE$13,ID5&lt;&gt;""),AND(IW5&gt;=IY$11,IX5&gt;=IY$13,IX5&lt;&gt;""),AND(JQ5&gt;=JS$11,JR5&gt;=JS$13,JR5&lt;&gt;""),AND(KK5&gt;=KM$11,KL5&gt;=KM$13,KL5&lt;&gt;"")),"P","")</f>
        <v>P</v>
      </c>
      <c r="G5" s="4" t="str">
        <f>IF(OR(AND(AH5&gt;=AJ$11,AI5&gt;=AJ$14,AI5&lt;&gt;"",AG5=""),AND(BC5&gt;=BE$11,BD5&gt;=BE$14,BD5&lt;&gt;"",BB5=""),AND(BY5&gt;=CA$11,BZ5&gt;=CA$14,BZ5&lt;&gt;""),AND(CS5&gt;=CU$11,CT5&gt;=CU$14,CT5&lt;&gt;""),AND(DM5&gt;=DO$11,DN5&gt;=DO$14,DN5&lt;&gt;""),AND(EG5&gt;=EI$11,EH5&gt;=EI$14,EH5&lt;&gt;""),AND(FA5&gt;=FC$11,FB5&gt;=FC$14,FB5&lt;&gt;""),AND(FU5&gt;=FW$11,FV5&gt;=FW$14,FV5&lt;&gt;""),AND(GO5&gt;=GQ$11,GP5&gt;=GQ$14,GP5&lt;&gt;""),AND(HI5&gt;=HK$11,HJ5&gt;=HK$14,HJ5&lt;&gt;""),AND(IC5&gt;=IE$11,ID5&gt;=IE$14,ID5&lt;&gt;""),AND(IW5&gt;=IY$11,IX5&gt;=IY$14,IX5&lt;&gt;""),AND(JQ5&gt;=JS$11,JR5&gt;=JS$14,JR5&lt;&gt;""),AND(KK5&gt;=KM$11,KL5&gt;=KM$14,KL5&lt;&gt;"")),"P","")</f>
        <v/>
      </c>
      <c r="H5" s="4" t="str">
        <f>IF(OR(AND(AI5&gt;=AJ$13,AI5&lt;&gt;"",AG5=""),AND(BD5&gt;=BE$13,BD5&lt;&gt;"",BB5=""),AND(BZ5&gt;=CA$13,BZ5&lt;&gt;""),AND(CT5&gt;=CU$13,CT5&lt;&gt;""),AND(DN5&gt;=DO$13,DN5&lt;&gt;""),AND(EH5&gt;=EI$13,EH5&lt;&gt;""),AND(FB5&gt;=FC$13,FB5&lt;&gt;""),AND(FV5&gt;=FW$13,FV5&lt;&gt;""),AND(GP5&gt;=GQ$13,GP5&lt;&gt;""),AND(HJ5&gt;=HK$13,HJ5&lt;&gt;""),AND(ID5&gt;=IE$13,ID5&lt;&gt;""),AND(IX5&gt;=IY$13,IX5&lt;&gt;""),AND(JR5&gt;=JS$13,JR5&lt;&gt;""),AND(KL5&gt;=KM$13,KL5&lt;&gt;"")),"P","")</f>
        <v>P</v>
      </c>
      <c r="I5" t="str">
        <f>IF(AND(H5="P",F5=""),"No DD",IF(OR(AND(AI5&gt;=AJ$16,AI5&lt;&gt;"",AH5&gt;=AJ$12,AH5&lt;&gt;"",AG5=""),AND(BD5&gt;=BE$16,BD5&lt;&gt;"",BC5&gt;=BE$12,BC5&lt;&gt;"",BB5=""),AND(BZ5&gt;=CA$16,BZ5&lt;&gt;"",BY5&gt;=CA$12,BY5&lt;&gt;""),AND(CT5&gt;=CU$16,CT5&lt;&gt;"",CS5&gt;=CU$12,CS5&lt;&gt;""),AND(DN5&gt;=DO$16,DN5&lt;&gt;"",DM5&gt;=DO$12,DM5&lt;&gt;""),AND(EH5&gt;=EI$16,EH5&lt;&gt;"",EG5&gt;=EI$12,EG5&lt;&gt;""),AND(FB5&gt;=FC$16,FB5&lt;&gt;"",FA5&gt;=FC$12,FA5&lt;&gt;""),AND(FV5&gt;=FW$16,FV5&lt;&gt;"",FU5&gt;=FW$12,FU5&lt;&gt;""),AND(GP5&gt;=GQ$16,GP5&lt;&gt;"",GO5&gt;=GQ$12,GO5&lt;&gt;""),AND(HJ5&gt;=HK$16,HJ5&lt;&gt;"",HI5&gt;=HK$12,HI5&lt;&gt;""),AND(ID5&gt;=IE$16,ID5&lt;&gt;"",IC5&gt;=IE$12,IC5&lt;&gt;""),AND(IX5&gt;=IY$16,IX5&lt;&gt;"",IW5&gt;=IY$12,IW5&lt;&gt;""),AND(JR5&gt;=JS$16,JR5&lt;&gt;"",JQ5&gt;=JS$12,JQ5&lt;&gt;""),AND(KL5&gt;=KM$16,KL5&lt;&gt;"",KK5&gt;=KM$12,KK5&lt;&gt;"")),"Merit",IF(OR(AND(AI5&gt;=AJ$15,AI5&lt;&gt;"",AH5&gt;=AJ$12,AH5&lt;&gt;"",AG5=""),AND(BD5&gt;=BE$15,BD5&lt;&gt;"",BC5&gt;=BE$12,BC5&lt;&gt;"",BB5=""),AND(BZ5&gt;=CA$15,BZ5&lt;&gt;"",BY5&gt;=CA$12,BY5&lt;&gt;""),AND(CT5&gt;=CU$15,CT5&lt;&gt;"",CS5&gt;=CU$12,CS5&lt;&gt;""),AND(DN5&gt;=DO$15,DN5&lt;&gt;"",DM5&gt;=DO$12,DM5&lt;&gt;""),AND(EH5&gt;=EI$15,EH5&lt;&gt;"",EG5&gt;=EI$12,EG5&lt;&gt;""),AND(FB5&gt;=FC$15,FB5&lt;&gt;"",FA5&gt;=FC$12,FA5&lt;&gt;""),AND(FV5&gt;=FW$15,FV5&lt;&gt;"",FU5&gt;=FW$12,FU5&lt;&gt;""),AND(GP5&gt;=GQ$15,GP5&lt;&gt;"",GO5&gt;=GQ$12,GO5&lt;&gt;""),AND(HJ5&gt;=HK$15,HJ5&lt;&gt;"",HI5&gt;=HK$12,HI5&lt;&gt;""),AND(ID5&gt;=IE$15,ID5&lt;&gt;"",IC5&gt;=IE$12,IC5&lt;&gt;""),AND(IX5&gt;=IY$15,IX5&lt;&gt;"",IW5&gt;=IY$12,IW5&lt;&gt;""),AND(JR5&gt;=JS$15,JR5&lt;&gt;"",JQ5&gt;=JS$12,JQ5&lt;&gt;""),AND(KL5&gt;=KM$15,KL5&lt;&gt;"",KK5&gt;=KM$12,KK5&lt;&gt;"")),"Excellence",IF(OR(AND(AI5&gt;=AJ$14,AI5&lt;&gt;"",AH5&gt;=AJ$11,AH5&lt;&gt;"",AG5=""),AND(BD5&gt;=BE$14,BD5&lt;&gt;"",BC5&gt;=BE$11,BC5&lt;&gt;"",BB5=""),AND(BZ5&gt;=CA$14,BZ5&lt;&gt;"",BY5&gt;=CA$11,BY5&lt;&gt;""),AND(CT5&gt;=CU$14,CT5&lt;&gt;"",CS5&gt;=CU$11,CS5&lt;&gt;""),AND(DN5&gt;=DO$14,DN5&lt;&gt;"",DM5&gt;=DO$11,DM5&lt;&gt;""),AND(EH5&gt;=EI$14,EH5&lt;&gt;"",EG5&gt;=EI$11,EG5&lt;&gt;""),AND(FB5&gt;=FC$14,FB5&lt;&gt;"",FA5&gt;=FC$11,FA5&lt;&gt;""),AND(FV5&gt;=FW$14,FV5&lt;&gt;"",FU5&gt;=FW$11,FU5&lt;&gt;""),AND(GP5&gt;=GQ$14,GP5&lt;&gt;"",GO5&gt;=GQ$11,GO5&lt;&gt;""),AND(HJ5&gt;=HK$14,HJ5&lt;&gt;"",HI5&gt;=HK$11,HI5&lt;&gt;""),AND(ID5&gt;=IE$14,ID5&lt;&gt;"",IC5&gt;=IE$11,IC5&lt;&gt;""),AND(IX5&gt;=IY$14,IX5&lt;&gt;"",IW5&gt;=IY$11,IW5&lt;&gt;""),AND(JR5&gt;=JS$14,JR5&lt;&gt;"",JQ5&gt;=JS$11,JQ5&lt;&gt;""),AND(KL5&gt;=KM$14,KL5&lt;&gt;"",KK5&gt;=KM$11,KK5&lt;&gt;"")),"Worlds Team",IF(OR(AND(AI5&gt;=AJ$13,AI5&lt;&gt;"",AH5&gt;=AJ$11,AH5&lt;&gt;"",AG5=""),AND(BD5&gt;=BE$13,BD5&lt;&gt;"",BC5&gt;=BE$11,BC5&lt;&gt;"",BB5=""),AND(BZ5&gt;=CA$13,BZ5&lt;&gt;"",BY5&gt;=CA$11,BY5&lt;&gt;""),AND(CT5&gt;=CU$13,CT5&lt;&gt;"",CS5&gt;=CU$11,CS5&lt;&gt;""),AND(DN5&gt;=DO$13,DN5&lt;&gt;"",DM5&gt;=DO$11,DM5&lt;&gt;""),AND(EH5&gt;=EI$13,EH5&lt;&gt;"",EG5&gt;=EI$11,EG5&lt;&gt;""),AND(FB5&gt;=FC$13,FB5&lt;&gt;"",FA5&gt;=FC$11,FA5&lt;&gt;""),AND(FV5&gt;=FW$13,FV5&lt;&gt;"",FU5&gt;=FW$11,FU5&lt;&gt;""),AND(GP5&gt;=GQ$13,GP5&lt;&gt;"",GO5&gt;=GQ$11,GO5&lt;&gt;""),AND(HJ5&gt;=HK$13,HJ5&lt;&gt;"",HI5&gt;=HK$11,HI5&lt;&gt;""),AND(ID5&gt;=IE$13,ID5&lt;&gt;"",IC5&gt;=IE$11,IC5&lt;&gt;""),AND(IX5&gt;=IY$13,IX5&lt;&gt;"",IW5&gt;=IY$11,IW5&lt;&gt;""),AND(JR5&gt;=JS$13,JR5&lt;&gt;"",JQ5&gt;=JS$11,JQ5&lt;&gt;""),AND(KL5&gt;=KM$13,KL5&lt;&gt;"",KK5&gt;=KM$11,KK5&lt;&gt;"")),"National Team","")))))</f>
        <v>National Team</v>
      </c>
      <c r="J5" s="15">
        <f>IF(MAX(AI5,BD5)&gt;0,MAX(AI5,BD5),"")</f>
        <v>61.900000000000006</v>
      </c>
      <c r="K5" s="15" t="str">
        <f>IF(J5="","",IF(J5=BD5,$AL$1,IF(J5=AI5,$Q$1,"")))</f>
        <v>2018 Nationals</v>
      </c>
      <c r="L5" s="15">
        <f>IF(MAX(AJ5,BE5)&gt;0,MAX(AJ5,BE5),"")</f>
        <v>62.6</v>
      </c>
      <c r="M5" s="15" t="str">
        <f>IF(L5="","",IF(L5=BE5,$AL$1,IF(L5=AJ5,$Q$1,"")))</f>
        <v>2018 Nationals</v>
      </c>
      <c r="N5" s="15" t="str">
        <f>IF(MAX(BG5:BH5)&gt;0,MAX(BG5:BH5),"")</f>
        <v/>
      </c>
      <c r="O5" s="25" t="str">
        <f>IF(N5="","",IF(N5=BG5,"(Prelim)",IF(N5=BH5,"(Final)")))</f>
        <v/>
      </c>
      <c r="P5" s="15" t="str">
        <f>IF(N5="","",IF(N5=BG5,IF(N5+IF(J5="",0,J5)=#REF!,$JU$1,IF(N5+IF(J5="",0,J5)=#REF!,$JA$1,IF(N5+IF(J5="",0,J5)=#REF!,$IG$1,IF(N5+IF(J5="",0,J5)=#REF!,$HM$1,IF(N5+IF(J5="",0,J5)=#REF!,$GS$1,IF(N5+IF(J5="",0,J5)=#REF!,$FY$1,IF(N5+IF(J5="",0,J5)=#REF!,$FE$1,IF(N5+IF(J5="",0,J5)=#REF!,$EK$1,IF(N5+IF(J5="",0,J5)=#REF!,$DQ$1,IF(N5+IF(J5="",0,J5)=#REF!,$CW$1,IF(N5+IF(J5="",0,J5)=#REF!,$CC$1,IF(N5+IF(J5="",0,J5)=#REF!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38">
        <v>27.7</v>
      </c>
      <c r="R5" s="38">
        <v>3.6</v>
      </c>
      <c r="S5" s="38">
        <v>0.3</v>
      </c>
      <c r="T5" s="38">
        <v>0</v>
      </c>
      <c r="U5" s="38">
        <v>25.6</v>
      </c>
      <c r="V5" s="38">
        <v>4.3</v>
      </c>
      <c r="W5" s="38">
        <v>0</v>
      </c>
      <c r="X5" s="38">
        <v>1</v>
      </c>
      <c r="Y5" s="38">
        <v>28</v>
      </c>
      <c r="Z5" s="38">
        <v>3.6</v>
      </c>
      <c r="AA5" s="38">
        <v>0</v>
      </c>
      <c r="AB5" s="38">
        <v>0</v>
      </c>
      <c r="AC5" s="38">
        <v>26.9</v>
      </c>
      <c r="AD5" s="38">
        <v>4.0999999999999996</v>
      </c>
      <c r="AE5" s="38">
        <v>0</v>
      </c>
      <c r="AF5" s="38">
        <v>0</v>
      </c>
      <c r="AG5" s="74"/>
      <c r="AH5" s="12">
        <f>IF(SUM(R5,V5)&gt;0,SUM(R5,V5),"")</f>
        <v>7.9</v>
      </c>
      <c r="AI5" s="12">
        <f>IF(SUM(Q5:R5,T5:V5,X5)-S5-W5&gt;0,SUM(Q5:R5,T5:V5,X5)-S5-W5,"")</f>
        <v>61.900000000000006</v>
      </c>
      <c r="AJ5" s="12">
        <f>IF(SUM(Y5:Z5,AB5:AD5,AF5)-SUM(AA5,AE5)&gt;0,SUM(Y5:Z5,AB5:AD5,AF5)-SUM(AA5,AE5),"")</f>
        <v>62.6</v>
      </c>
      <c r="AK5" s="12">
        <f>IF(SUM(AI5,AJ5)&gt;0,SUM(AI5,AJ5),"")</f>
        <v>124.5</v>
      </c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75"/>
      <c r="BC5" s="15" t="str">
        <f>IF(SUM(AM5,AQ5)&gt;0,SUM(AM5,AQ5),"")</f>
        <v/>
      </c>
      <c r="BD5" s="15" t="str">
        <f>IF(SUM(AL5:AM5,AO5:AQ5,AS5)-AN5-AR5&gt;0,SUM(AL5:AM5,AO5:AQ5,AS5)-AN5-AR5,"")</f>
        <v/>
      </c>
      <c r="BE5" s="15" t="str">
        <f>IF(SUM(AT5:AU5,AW5:AY5,BA5)-SUM(AV5,AZ5)&gt;0,SUM(AT5:AU5,AW5:AY5,BA5)-SUM(AV5,AZ5),"")</f>
        <v/>
      </c>
      <c r="BF5" s="15" t="str">
        <f>IF(SUM(BD5,BE5)&gt;0,SUM(BD5,BE5),"")</f>
        <v/>
      </c>
      <c r="BG5" s="24" t="str">
        <f>IF(MAX(BY5,CS5,DM5,EG5,FA5,FU5,GO5,HI5,IC5,IW5,JQ5,KK5)-IF(J5="",0,J5)&gt;0.001,MAX(BY5,CS5,DM5,EG5,FA5,FU5,GO5,HI5,IC5,IW5,JQ5,KK5)-IF(J5="",0,J5),"")</f>
        <v/>
      </c>
      <c r="BH5" s="24" t="str">
        <f>IF(MAX(CA5,CU5,DO5,EI5,FC5,FW5,GQ5,HK5,IE5,IY5,JS5,KM5)-IF(L5="",0,L5)&gt;0.001,MAX(CA5,CU5,DO5,EI5,FC5,FW5,GQ5,HK5,IE5,IY5,JS5,KM5)-IF(L5="",0,L5),"")</f>
        <v/>
      </c>
      <c r="BI5" s="36">
        <v>27.7</v>
      </c>
      <c r="BJ5" s="36">
        <v>3.4</v>
      </c>
      <c r="BK5" s="36">
        <v>0</v>
      </c>
      <c r="BL5" s="36">
        <v>0</v>
      </c>
      <c r="BM5" s="36">
        <v>25.1</v>
      </c>
      <c r="BN5" s="36">
        <v>1.2</v>
      </c>
      <c r="BO5" s="36">
        <v>0</v>
      </c>
      <c r="BP5" s="36">
        <v>0</v>
      </c>
      <c r="BQ5" s="36"/>
      <c r="BR5" s="36"/>
      <c r="BS5" s="36"/>
      <c r="BT5" s="36"/>
      <c r="BU5" s="36"/>
      <c r="BV5" s="36"/>
      <c r="BW5" s="36"/>
      <c r="BX5" s="36"/>
      <c r="BY5" s="12">
        <f>IF(SUM(BJ5,BN5)&gt;0,SUM(BJ5,BN5),"")</f>
        <v>4.5999999999999996</v>
      </c>
      <c r="BZ5" s="12">
        <f>IF(SUM(BI5:BJ5,BL5:BN5,BP5)-BK5-BO5&gt;0,SUM(BI5:BJ5,BL5:BN5,BP5)-BK5-BO5,"")</f>
        <v>57.400000000000006</v>
      </c>
      <c r="CA5" s="12" t="str">
        <f>IF(SUM(BQ5:BR5,BT5:BV5,BX5)-SUM(BS5,BW5)&gt;0,SUM(BQ5:BR5,BT5:BV5,BX5)-SUM(BS5,BW5),"")</f>
        <v/>
      </c>
      <c r="CB5" s="12">
        <f>IF(SUM(BZ5,CA5)&gt;0,SUM(BZ5,CA5),"")</f>
        <v>57.400000000000006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15" t="str">
        <f>IF(SUM(CD5,CH5)&gt;0,SUM(CD5,CH5),"")</f>
        <v/>
      </c>
      <c r="CT5" s="15" t="str">
        <f>IF(SUM(CC5:CD5,CF5:CH5,CJ5)-CE5-CI5&gt;0,SUM(CC5:CD5,CF5:CH5,CJ5)-CE5-CI5,"")</f>
        <v/>
      </c>
      <c r="CU5" s="15" t="str">
        <f>IF(SUM(CK5:CL5,CN5:CP5,CR5)-SUM(CM5,CQ5)&gt;0,SUM(CK5:CL5,CN5:CP5,CR5)-SUM(CM5,CQ5),"")</f>
        <v/>
      </c>
      <c r="CV5" s="15" t="str">
        <f>IF(SUM(CT5,CU5)&gt;0,SUM(CT5,CU5),"")</f>
        <v/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63">
        <f t="shared" ref="KO5:KO7" si="4">IF($BB5="P",AL5,(Q5+AL5)/2)</f>
        <v>13.85</v>
      </c>
      <c r="KP5" s="63">
        <f t="shared" si="0"/>
        <v>1.8</v>
      </c>
      <c r="KQ5" s="63">
        <f t="shared" si="0"/>
        <v>0.15</v>
      </c>
      <c r="KR5" s="63">
        <f t="shared" si="0"/>
        <v>0</v>
      </c>
      <c r="KS5" s="63">
        <f t="shared" si="0"/>
        <v>12.8</v>
      </c>
      <c r="KT5" s="63">
        <f t="shared" si="0"/>
        <v>2.15</v>
      </c>
      <c r="KU5" s="63">
        <f t="shared" si="0"/>
        <v>0</v>
      </c>
      <c r="KV5" s="63">
        <f t="shared" si="0"/>
        <v>0.5</v>
      </c>
      <c r="KW5" s="63">
        <f t="shared" si="0"/>
        <v>14</v>
      </c>
      <c r="KX5" s="63">
        <f t="shared" si="0"/>
        <v>1.8</v>
      </c>
      <c r="KY5" s="63">
        <f t="shared" si="0"/>
        <v>0</v>
      </c>
      <c r="KZ5" s="63">
        <f t="shared" si="0"/>
        <v>0</v>
      </c>
      <c r="LA5" s="63">
        <f t="shared" si="0"/>
        <v>13.45</v>
      </c>
      <c r="LB5" s="63">
        <f t="shared" si="0"/>
        <v>2.0499999999999998</v>
      </c>
      <c r="LC5" s="63">
        <f t="shared" si="0"/>
        <v>0</v>
      </c>
      <c r="LD5" s="63">
        <f t="shared" si="0"/>
        <v>0</v>
      </c>
      <c r="LE5" s="74" t="s">
        <v>119</v>
      </c>
      <c r="LF5" s="12">
        <f t="shared" ref="LF5:LF7" si="5">IF(SUM(KP5,KT5)&gt;0,SUM(KP5,KT5),"")</f>
        <v>3.95</v>
      </c>
      <c r="LG5" s="12">
        <f t="shared" ref="LG5:LG7" si="6">IF(SUM(KO5:KP5,KR5:KT5,KV5)-KQ5-KU5&gt;0,SUM(KO5:KP5,KR5:KT5,KV5)-KQ5-KU5,"")</f>
        <v>30.950000000000003</v>
      </c>
      <c r="LH5" s="12">
        <f t="shared" ref="LH5:LH7" si="7">IF(SUM(KW5:KX5,KZ5:LB5,LD5)-SUM(KY5,LC5)&gt;0,SUM(KW5:KX5,KZ5:LB5,LD5)-SUM(KY5,LC5),"")</f>
        <v>31.3</v>
      </c>
      <c r="LI5" s="12">
        <f t="shared" ref="LI5:LI7" si="8">IF(SUM(LG5,LH5)&gt;0,SUM(LG5,LH5),"")</f>
        <v>62.25</v>
      </c>
    </row>
    <row r="6" spans="1:321" x14ac:dyDescent="0.2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9" t="s">
        <v>52</v>
      </c>
      <c r="C6" s="5" t="s">
        <v>4</v>
      </c>
      <c r="D6" s="27">
        <v>2000</v>
      </c>
      <c r="E6" s="16">
        <f>SUM(J6:N6)</f>
        <v>122.9</v>
      </c>
      <c r="F6" s="4" t="str">
        <f>IF(OR(AND(AH6&gt;=AJ$11,AI6&gt;=AJ$13,AI6&lt;&gt;"",AG6=""),AND(BC6&gt;=BE$11,BD6&gt;=BE$13,BD6&lt;&gt;"",BB6=""),AND(BY6&gt;=CA$11,BZ6&gt;=CA$13,BZ6&lt;&gt;""),AND(CS6&gt;=CU$11,CT6&gt;=CU$13,CT6&lt;&gt;""),AND(DM6&gt;=DO$11,DN6&gt;=DO$13,DN6&lt;&gt;""),AND(EG6&gt;=EI$11,EH6&gt;=EI$13,EH6&lt;&gt;""),AND(FA6&gt;=FC$11,FB6&gt;=FC$13,FB6&lt;&gt;""),AND(FU6&gt;=FW$11,FV6&gt;=FW$13,FV6&lt;&gt;""),AND(GO6&gt;=GQ$11,GP6&gt;=GQ$13,GP6&lt;&gt;""),AND(HI6&gt;=HK$11,HJ6&gt;=HK$13,HJ6&lt;&gt;""),AND(IC6&gt;=IE$11,ID6&gt;=IE$13,ID6&lt;&gt;""),AND(IW6&gt;=IY$11,IX6&gt;=IY$13,IX6&lt;&gt;""),AND(JQ6&gt;=JS$11,JR6&gt;=JS$13,JR6&lt;&gt;""),AND(KK6&gt;=KM$11,KL6&gt;=KM$13,KL6&lt;&gt;"")),"P","")</f>
        <v>P</v>
      </c>
      <c r="G6" s="4" t="str">
        <f>IF(OR(AND(AH6&gt;=AJ$11,AI6&gt;=AJ$14,AI6&lt;&gt;"",AG6=""),AND(BC6&gt;=BE$11,BD6&gt;=BE$14,BD6&lt;&gt;"",BB6=""),AND(BY6&gt;=CA$11,BZ6&gt;=CA$14,BZ6&lt;&gt;""),AND(CS6&gt;=CU$11,CT6&gt;=CU$14,CT6&lt;&gt;""),AND(DM6&gt;=DO$11,DN6&gt;=DO$14,DN6&lt;&gt;""),AND(EG6&gt;=EI$11,EH6&gt;=EI$14,EH6&lt;&gt;""),AND(FA6&gt;=FC$11,FB6&gt;=FC$14,FB6&lt;&gt;""),AND(FU6&gt;=FW$11,FV6&gt;=FW$14,FV6&lt;&gt;""),AND(GO6&gt;=GQ$11,GP6&gt;=GQ$14,GP6&lt;&gt;""),AND(HI6&gt;=HK$11,HJ6&gt;=HK$14,HJ6&lt;&gt;""),AND(IC6&gt;=IE$11,ID6&gt;=IE$14,ID6&lt;&gt;""),AND(IW6&gt;=IY$11,IX6&gt;=IY$14,IX6&lt;&gt;""),AND(JQ6&gt;=JS$11,JR6&gt;=JS$14,JR6&lt;&gt;""),AND(KK6&gt;=KM$11,KL6&gt;=KM$14,KL6&lt;&gt;"")),"P","")</f>
        <v/>
      </c>
      <c r="H6" s="4" t="str">
        <f>IF(OR(AND(AI6&gt;=AJ$13,AI6&lt;&gt;"",AG6=""),AND(BD6&gt;=BE$13,BD6&lt;&gt;"",BB6=""),AND(BZ6&gt;=CA$13,BZ6&lt;&gt;""),AND(CT6&gt;=CU$13,CT6&lt;&gt;""),AND(DN6&gt;=DO$13,DN6&lt;&gt;""),AND(EH6&gt;=EI$13,EH6&lt;&gt;""),AND(FB6&gt;=FC$13,FB6&lt;&gt;""),AND(FV6&gt;=FW$13,FV6&lt;&gt;""),AND(GP6&gt;=GQ$13,GP6&lt;&gt;""),AND(HJ6&gt;=HK$13,HJ6&lt;&gt;""),AND(ID6&gt;=IE$13,ID6&lt;&gt;""),AND(IX6&gt;=IY$13,IX6&lt;&gt;""),AND(JR6&gt;=JS$13,JR6&lt;&gt;""),AND(KL6&gt;=KM$13,KL6&lt;&gt;"")),"P","")</f>
        <v>P</v>
      </c>
      <c r="I6" t="str">
        <f>IF(AND(H6="P",F6=""),"No DD",IF(OR(AND(AI6&gt;=AJ$16,AI6&lt;&gt;"",AH6&gt;=AJ$12,AH6&lt;&gt;"",AG6=""),AND(BD6&gt;=BE$16,BD6&lt;&gt;"",BC6&gt;=BE$12,BC6&lt;&gt;"",BB6=""),AND(BZ6&gt;=CA$16,BZ6&lt;&gt;"",BY6&gt;=CA$12,BY6&lt;&gt;""),AND(CT6&gt;=CU$16,CT6&lt;&gt;"",CS6&gt;=CU$12,CS6&lt;&gt;""),AND(DN6&gt;=DO$16,DN6&lt;&gt;"",DM6&gt;=DO$12,DM6&lt;&gt;""),AND(EH6&gt;=EI$16,EH6&lt;&gt;"",EG6&gt;=EI$12,EG6&lt;&gt;""),AND(FB6&gt;=FC$16,FB6&lt;&gt;"",FA6&gt;=FC$12,FA6&lt;&gt;""),AND(FV6&gt;=FW$16,FV6&lt;&gt;"",FU6&gt;=FW$12,FU6&lt;&gt;""),AND(GP6&gt;=GQ$16,GP6&lt;&gt;"",GO6&gt;=GQ$12,GO6&lt;&gt;""),AND(HJ6&gt;=HK$16,HJ6&lt;&gt;"",HI6&gt;=HK$12,HI6&lt;&gt;""),AND(ID6&gt;=IE$16,ID6&lt;&gt;"",IC6&gt;=IE$12,IC6&lt;&gt;""),AND(IX6&gt;=IY$16,IX6&lt;&gt;"",IW6&gt;=IY$12,IW6&lt;&gt;""),AND(JR6&gt;=JS$16,JR6&lt;&gt;"",JQ6&gt;=JS$12,JQ6&lt;&gt;""),AND(KL6&gt;=KM$16,KL6&lt;&gt;"",KK6&gt;=KM$12,KK6&lt;&gt;"")),"Merit",IF(OR(AND(AI6&gt;=AJ$15,AI6&lt;&gt;"",AH6&gt;=AJ$12,AH6&lt;&gt;"",AG6=""),AND(BD6&gt;=BE$15,BD6&lt;&gt;"",BC6&gt;=BE$12,BC6&lt;&gt;"",BB6=""),AND(BZ6&gt;=CA$15,BZ6&lt;&gt;"",BY6&gt;=CA$12,BY6&lt;&gt;""),AND(CT6&gt;=CU$15,CT6&lt;&gt;"",CS6&gt;=CU$12,CS6&lt;&gt;""),AND(DN6&gt;=DO$15,DN6&lt;&gt;"",DM6&gt;=DO$12,DM6&lt;&gt;""),AND(EH6&gt;=EI$15,EH6&lt;&gt;"",EG6&gt;=EI$12,EG6&lt;&gt;""),AND(FB6&gt;=FC$15,FB6&lt;&gt;"",FA6&gt;=FC$12,FA6&lt;&gt;""),AND(FV6&gt;=FW$15,FV6&lt;&gt;"",FU6&gt;=FW$12,FU6&lt;&gt;""),AND(GP6&gt;=GQ$15,GP6&lt;&gt;"",GO6&gt;=GQ$12,GO6&lt;&gt;""),AND(HJ6&gt;=HK$15,HJ6&lt;&gt;"",HI6&gt;=HK$12,HI6&lt;&gt;""),AND(ID6&gt;=IE$15,ID6&lt;&gt;"",IC6&gt;=IE$12,IC6&lt;&gt;""),AND(IX6&gt;=IY$15,IX6&lt;&gt;"",IW6&gt;=IY$12,IW6&lt;&gt;""),AND(JR6&gt;=JS$15,JR6&lt;&gt;"",JQ6&gt;=JS$12,JQ6&lt;&gt;""),AND(KL6&gt;=KM$15,KL6&lt;&gt;"",KK6&gt;=KM$12,KK6&lt;&gt;"")),"Excellence",IF(OR(AND(AI6&gt;=AJ$14,AI6&lt;&gt;"",AH6&gt;=AJ$11,AH6&lt;&gt;"",AG6=""),AND(BD6&gt;=BE$14,BD6&lt;&gt;"",BC6&gt;=BE$11,BC6&lt;&gt;"",BB6=""),AND(BZ6&gt;=CA$14,BZ6&lt;&gt;"",BY6&gt;=CA$11,BY6&lt;&gt;""),AND(CT6&gt;=CU$14,CT6&lt;&gt;"",CS6&gt;=CU$11,CS6&lt;&gt;""),AND(DN6&gt;=DO$14,DN6&lt;&gt;"",DM6&gt;=DO$11,DM6&lt;&gt;""),AND(EH6&gt;=EI$14,EH6&lt;&gt;"",EG6&gt;=EI$11,EG6&lt;&gt;""),AND(FB6&gt;=FC$14,FB6&lt;&gt;"",FA6&gt;=FC$11,FA6&lt;&gt;""),AND(FV6&gt;=FW$14,FV6&lt;&gt;"",FU6&gt;=FW$11,FU6&lt;&gt;""),AND(GP6&gt;=GQ$14,GP6&lt;&gt;"",GO6&gt;=GQ$11,GO6&lt;&gt;""),AND(HJ6&gt;=HK$14,HJ6&lt;&gt;"",HI6&gt;=HK$11,HI6&lt;&gt;""),AND(ID6&gt;=IE$14,ID6&lt;&gt;"",IC6&gt;=IE$11,IC6&lt;&gt;""),AND(IX6&gt;=IY$14,IX6&lt;&gt;"",IW6&gt;=IY$11,IW6&lt;&gt;""),AND(JR6&gt;=JS$14,JR6&lt;&gt;"",JQ6&gt;=JS$11,JQ6&lt;&gt;""),AND(KL6&gt;=KM$14,KL6&lt;&gt;"",KK6&gt;=KM$11,KK6&lt;&gt;"")),"Worlds Team",IF(OR(AND(AI6&gt;=AJ$13,AI6&lt;&gt;"",AH6&gt;=AJ$11,AH6&lt;&gt;"",AG6=""),AND(BD6&gt;=BE$13,BD6&lt;&gt;"",BC6&gt;=BE$11,BC6&lt;&gt;"",BB6=""),AND(BZ6&gt;=CA$13,BZ6&lt;&gt;"",BY6&gt;=CA$11,BY6&lt;&gt;""),AND(CT6&gt;=CU$13,CT6&lt;&gt;"",CS6&gt;=CU$11,CS6&lt;&gt;""),AND(DN6&gt;=DO$13,DN6&lt;&gt;"",DM6&gt;=DO$11,DM6&lt;&gt;""),AND(EH6&gt;=EI$13,EH6&lt;&gt;"",EG6&gt;=EI$11,EG6&lt;&gt;""),AND(FB6&gt;=FC$13,FB6&lt;&gt;"",FA6&gt;=FC$11,FA6&lt;&gt;""),AND(FV6&gt;=FW$13,FV6&lt;&gt;"",FU6&gt;=FW$11,FU6&lt;&gt;""),AND(GP6&gt;=GQ$13,GP6&lt;&gt;"",GO6&gt;=GQ$11,GO6&lt;&gt;""),AND(HJ6&gt;=HK$13,HJ6&lt;&gt;"",HI6&gt;=HK$11,HI6&lt;&gt;""),AND(ID6&gt;=IE$13,ID6&lt;&gt;"",IC6&gt;=IE$11,IC6&lt;&gt;""),AND(IX6&gt;=IY$13,IX6&lt;&gt;"",IW6&gt;=IY$11,IW6&lt;&gt;""),AND(JR6&gt;=JS$13,JR6&lt;&gt;"",JQ6&gt;=JS$11,JQ6&lt;&gt;""),AND(KL6&gt;=KM$13,KL6&lt;&gt;"",KK6&gt;=KM$11,KK6&lt;&gt;"")),"National Team","")))))</f>
        <v>National Team</v>
      </c>
      <c r="J6" s="15">
        <f>IF(MAX(AI6,BD6)&gt;0,MAX(AI6,BD6),"")</f>
        <v>61.6</v>
      </c>
      <c r="K6" s="15" t="str">
        <f>IF(J6="","",IF(J6=BD6,$AL$1,IF(J6=AI6,$Q$1,"")))</f>
        <v>2018 Nationals</v>
      </c>
      <c r="L6" s="15">
        <f>IF(MAX(AJ6,BE6)&gt;0,MAX(AJ6,BE6),"")</f>
        <v>61.300000000000004</v>
      </c>
      <c r="M6" s="15" t="str">
        <f>IF(L6="","",IF(L6=BE6,$AL$1,IF(L6=AJ6,$Q$1,"")))</f>
        <v>2018 Nationals</v>
      </c>
      <c r="N6" s="15" t="str">
        <f>IF(MAX(BG6:BH6)&gt;0,MAX(BG6:BH6),"")</f>
        <v/>
      </c>
      <c r="O6" s="25" t="str">
        <f>IF(N6="","",IF(N6=BG6,"(Prelim)",IF(N6=BH6,"(Final)")))</f>
        <v/>
      </c>
      <c r="P6" s="15" t="str">
        <f>IF(N6="","",IF(N6=BG6,IF(N6+IF(J6="",0,J6)=#REF!,$JU$1,IF(N6+IF(J6="",0,J6)=#REF!,$JA$1,IF(N6+IF(J6="",0,J6)=#REF!,$IG$1,IF(N6+IF(J6="",0,J6)=#REF!,$HM$1,IF(N6+IF(J6="",0,J6)=#REF!,$GS$1,IF(N6+IF(J6="",0,J6)=#REF!,$FY$1,IF(N6+IF(J6="",0,J6)=#REF!,$FE$1,IF(N6+IF(J6="",0,J6)=#REF!,$EK$1,IF(N6+IF(J6="",0,J6)=#REF!,$DQ$1,IF(N6+IF(J6="",0,J6)=#REF!,$CW$1,IF(N6+IF(J6="",0,J6)=#REF!,$CC$1,IF(N6+IF(J6="",0,J6)=#REF!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38">
        <v>27.6</v>
      </c>
      <c r="R6" s="38">
        <v>3.6</v>
      </c>
      <c r="S6" s="38">
        <v>0</v>
      </c>
      <c r="T6" s="38">
        <v>0</v>
      </c>
      <c r="U6" s="38">
        <v>26.3</v>
      </c>
      <c r="V6" s="38">
        <v>4.0999999999999996</v>
      </c>
      <c r="W6" s="38">
        <v>0</v>
      </c>
      <c r="X6" s="38">
        <v>0</v>
      </c>
      <c r="Y6" s="38">
        <v>27.1</v>
      </c>
      <c r="Z6" s="38">
        <v>3.6</v>
      </c>
      <c r="AA6" s="38">
        <v>0</v>
      </c>
      <c r="AB6" s="38">
        <v>0</v>
      </c>
      <c r="AC6" s="38">
        <v>26.5</v>
      </c>
      <c r="AD6" s="38">
        <v>4.0999999999999996</v>
      </c>
      <c r="AE6" s="38">
        <v>0</v>
      </c>
      <c r="AF6" s="38">
        <v>0</v>
      </c>
      <c r="AG6" s="74"/>
      <c r="AH6" s="12">
        <f>IF(SUM(R6,V6)&gt;0,SUM(R6,V6),"")</f>
        <v>7.6999999999999993</v>
      </c>
      <c r="AI6" s="12">
        <f>IF(SUM(Q6:R6,T6:V6,X6)-S6-W6&gt;0,SUM(Q6:R6,T6:V6,X6)-S6-W6,"")</f>
        <v>61.6</v>
      </c>
      <c r="AJ6" s="12">
        <f>IF(SUM(Y6:Z6,AB6:AD6,AF6)-SUM(AA6,AE6)&gt;0,SUM(Y6:Z6,AB6:AD6,AF6)-SUM(AA6,AE6),"")</f>
        <v>61.300000000000004</v>
      </c>
      <c r="AK6" s="12">
        <f>IF(SUM(AI6,AJ6)&gt;0,SUM(AI6,AJ6),"")</f>
        <v>122.9</v>
      </c>
      <c r="AL6" s="37">
        <v>27</v>
      </c>
      <c r="AM6" s="37">
        <v>3.6</v>
      </c>
      <c r="AN6" s="37">
        <v>0</v>
      </c>
      <c r="AO6" s="37">
        <v>0</v>
      </c>
      <c r="AP6" s="37">
        <v>26.25</v>
      </c>
      <c r="AQ6" s="37">
        <v>3.3</v>
      </c>
      <c r="AR6" s="37">
        <v>0</v>
      </c>
      <c r="AS6" s="37">
        <v>0</v>
      </c>
      <c r="AT6" s="37">
        <v>27</v>
      </c>
      <c r="AU6" s="37">
        <v>3.6</v>
      </c>
      <c r="AV6" s="37">
        <v>0</v>
      </c>
      <c r="AW6" s="37">
        <v>0</v>
      </c>
      <c r="AX6" s="37">
        <v>24.45</v>
      </c>
      <c r="AY6" s="37">
        <v>4.0999999999999996</v>
      </c>
      <c r="AZ6" s="37">
        <v>0.3</v>
      </c>
      <c r="BA6" s="37">
        <v>0</v>
      </c>
      <c r="BB6" s="75" t="s">
        <v>119</v>
      </c>
      <c r="BC6" s="15">
        <f>IF(SUM(AM6,AQ6)&gt;0,SUM(AM6,AQ6),"")</f>
        <v>6.9</v>
      </c>
      <c r="BD6" s="15">
        <f>IF(SUM(AL6:AM6,AO6:AQ6,AS6)-AN6-AR6&gt;0,SUM(AL6:AM6,AO6:AQ6,AS6)-AN6-AR6,"")</f>
        <v>60.15</v>
      </c>
      <c r="BE6" s="15">
        <f>IF(SUM(AT6:AU6,AW6:AY6,BA6)-SUM(AV6,AZ6)&gt;0,SUM(AT6:AU6,AW6:AY6,BA6)-SUM(AV6,AZ6),"")</f>
        <v>58.85</v>
      </c>
      <c r="BF6" s="15">
        <f>IF(SUM(BD6,BE6)&gt;0,SUM(BD6,BE6),"")</f>
        <v>119</v>
      </c>
      <c r="BG6" s="24" t="str">
        <f>IF(MAX(BY6,CS6,DM6,EG6,FA6,FU6,GO6,HI6,IC6,IW6,JQ6,KK6)-IF(J6="",0,J6)&gt;0.001,MAX(BY6,CS6,DM6,EG6,FA6,FU6,GO6,HI6,IC6,IW6,JQ6,KK6)-IF(J6="",0,J6),"")</f>
        <v/>
      </c>
      <c r="BH6" s="24" t="str">
        <f>IF(MAX(CA6,CU6,DO6,EI6,FC6,FW6,GQ6,HK6,IE6,IY6,JS6,KM6)-IF(L6="",0,L6)&gt;0.001,MAX(CA6,CU6,DO6,EI6,FC6,FW6,GQ6,HK6,IE6,IY6,JS6,KM6)-IF(L6="",0,L6),"")</f>
        <v/>
      </c>
      <c r="BI6" s="36">
        <v>26.4</v>
      </c>
      <c r="BJ6" s="36">
        <v>3.6</v>
      </c>
      <c r="BK6" s="36">
        <v>0</v>
      </c>
      <c r="BL6" s="36">
        <v>0</v>
      </c>
      <c r="BM6" s="36">
        <v>25.8</v>
      </c>
      <c r="BN6" s="36">
        <v>4.0999999999999996</v>
      </c>
      <c r="BO6" s="36">
        <v>0.3</v>
      </c>
      <c r="BP6" s="36">
        <v>0</v>
      </c>
      <c r="BQ6" s="36"/>
      <c r="BR6" s="36"/>
      <c r="BS6" s="36"/>
      <c r="BT6" s="36"/>
      <c r="BU6" s="36"/>
      <c r="BV6" s="36"/>
      <c r="BW6" s="36"/>
      <c r="BX6" s="36"/>
      <c r="BY6" s="12">
        <f>IF(SUM(BJ6,BN6)&gt;0,SUM(BJ6,BN6),"")</f>
        <v>7.6999999999999993</v>
      </c>
      <c r="BZ6" s="12">
        <f>IF(SUM(BI6:BJ6,BL6:BN6,BP6)-BK6-BO6&gt;0,SUM(BI6:BJ6,BL6:BN6,BP6)-BK6-BO6,"")</f>
        <v>59.6</v>
      </c>
      <c r="CA6" s="12" t="str">
        <f>IF(SUM(BQ6:BR6,BT6:BV6,BX6)-SUM(BS6,BW6)&gt;0,SUM(BQ6:BR6,BT6:BV6,BX6)-SUM(BS6,BW6),"")</f>
        <v/>
      </c>
      <c r="CB6" s="12">
        <f>IF(SUM(BZ6,CA6)&gt;0,SUM(BZ6,CA6),"")</f>
        <v>59.6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63">
        <f t="shared" si="4"/>
        <v>27</v>
      </c>
      <c r="KP6" s="63">
        <f t="shared" si="0"/>
        <v>3.6</v>
      </c>
      <c r="KQ6" s="63">
        <f t="shared" si="0"/>
        <v>0</v>
      </c>
      <c r="KR6" s="63">
        <f t="shared" si="0"/>
        <v>0</v>
      </c>
      <c r="KS6" s="63">
        <f t="shared" si="0"/>
        <v>26.25</v>
      </c>
      <c r="KT6" s="63">
        <f t="shared" si="0"/>
        <v>3.3</v>
      </c>
      <c r="KU6" s="63">
        <f t="shared" si="0"/>
        <v>0</v>
      </c>
      <c r="KV6" s="63">
        <f t="shared" si="0"/>
        <v>0</v>
      </c>
      <c r="KW6" s="63">
        <f t="shared" si="0"/>
        <v>27</v>
      </c>
      <c r="KX6" s="63">
        <f t="shared" si="0"/>
        <v>3.6</v>
      </c>
      <c r="KY6" s="63">
        <f t="shared" si="0"/>
        <v>0</v>
      </c>
      <c r="KZ6" s="63">
        <f t="shared" si="0"/>
        <v>0</v>
      </c>
      <c r="LA6" s="63">
        <f t="shared" si="0"/>
        <v>24.45</v>
      </c>
      <c r="LB6" s="63">
        <f t="shared" si="0"/>
        <v>4.0999999999999996</v>
      </c>
      <c r="LC6" s="63">
        <f t="shared" si="0"/>
        <v>0.3</v>
      </c>
      <c r="LD6" s="63">
        <f t="shared" si="0"/>
        <v>0</v>
      </c>
      <c r="LE6" s="74" t="s">
        <v>119</v>
      </c>
      <c r="LF6" s="12">
        <f t="shared" si="5"/>
        <v>6.9</v>
      </c>
      <c r="LG6" s="12">
        <f t="shared" si="6"/>
        <v>60.15</v>
      </c>
      <c r="LH6" s="12">
        <f t="shared" si="7"/>
        <v>58.85</v>
      </c>
      <c r="LI6" s="12">
        <f t="shared" si="8"/>
        <v>119</v>
      </c>
    </row>
    <row r="7" spans="1:321" x14ac:dyDescent="0.2">
      <c r="A7" s="6">
        <f>IF(AND(F7="P",H7="P"),SUMPRODUCT((F$4:F$9="P")*(H$4:H$9="P")*(E$4:E$9&gt;E7))+1,IF(H7="P",SUMPRODUCT((F$4:F$9="")*(H$4:H$9="P")*(E$4:E$9&gt;E7))+1+SUMPRODUCT((F$4:F$9="P")*(H$4:H$9="P")),""))</f>
        <v>4</v>
      </c>
      <c r="B7" s="9" t="s">
        <v>113</v>
      </c>
      <c r="C7" s="5" t="s">
        <v>4</v>
      </c>
      <c r="D7" s="27">
        <v>2001</v>
      </c>
      <c r="E7" s="16">
        <f>SUM(J7:N7)</f>
        <v>121.9</v>
      </c>
      <c r="F7" s="4" t="str">
        <f>IF(OR(AND(AH7&gt;=AJ$11,AI7&gt;=AJ$13,AI7&lt;&gt;"",AG7=""),AND(BC7&gt;=BE$11,BD7&gt;=BE$13,BD7&lt;&gt;"",BB7=""),AND(BY7&gt;=CA$11,BZ7&gt;=CA$13,BZ7&lt;&gt;""),AND(CS7&gt;=CU$11,CT7&gt;=CU$13,CT7&lt;&gt;""),AND(DM7&gt;=DO$11,DN7&gt;=DO$13,DN7&lt;&gt;""),AND(EG7&gt;=EI$11,EH7&gt;=EI$13,EH7&lt;&gt;""),AND(FA7&gt;=FC$11,FB7&gt;=FC$13,FB7&lt;&gt;""),AND(FU7&gt;=FW$11,FV7&gt;=FW$13,FV7&lt;&gt;""),AND(GO7&gt;=GQ$11,GP7&gt;=GQ$13,GP7&lt;&gt;""),AND(HI7&gt;=HK$11,HJ7&gt;=HK$13,HJ7&lt;&gt;""),AND(IC7&gt;=IE$11,ID7&gt;=IE$13,ID7&lt;&gt;""),AND(IW7&gt;=IY$11,IX7&gt;=IY$13,IX7&lt;&gt;""),AND(JQ7&gt;=JS$11,JR7&gt;=JS$13,JR7&lt;&gt;""),AND(KK7&gt;=KM$11,KL7&gt;=KM$13,KL7&lt;&gt;"")),"P","")</f>
        <v>P</v>
      </c>
      <c r="G7" s="4" t="str">
        <f>IF(OR(AND(AH7&gt;=AJ$11,AI7&gt;=AJ$14,AI7&lt;&gt;"",AG7=""),AND(BC7&gt;=BE$11,BD7&gt;=BE$14,BD7&lt;&gt;"",BB7=""),AND(BY7&gt;=CA$11,BZ7&gt;=CA$14,BZ7&lt;&gt;""),AND(CS7&gt;=CU$11,CT7&gt;=CU$14,CT7&lt;&gt;""),AND(DM7&gt;=DO$11,DN7&gt;=DO$14,DN7&lt;&gt;""),AND(EG7&gt;=EI$11,EH7&gt;=EI$14,EH7&lt;&gt;""),AND(FA7&gt;=FC$11,FB7&gt;=FC$14,FB7&lt;&gt;""),AND(FU7&gt;=FW$11,FV7&gt;=FW$14,FV7&lt;&gt;""),AND(GO7&gt;=GQ$11,GP7&gt;=GQ$14,GP7&lt;&gt;""),AND(HI7&gt;=HK$11,HJ7&gt;=HK$14,HJ7&lt;&gt;""),AND(IC7&gt;=IE$11,ID7&gt;=IE$14,ID7&lt;&gt;""),AND(IW7&gt;=IY$11,IX7&gt;=IY$14,IX7&lt;&gt;""),AND(JQ7&gt;=JS$11,JR7&gt;=JS$14,JR7&lt;&gt;""),AND(KK7&gt;=KM$11,KL7&gt;=KM$14,KL7&lt;&gt;"")),"P","")</f>
        <v/>
      </c>
      <c r="H7" s="4" t="str">
        <f>IF(OR(AND(AI7&gt;=AJ$13,AI7&lt;&gt;"",AG7=""),AND(BD7&gt;=BE$13,BD7&lt;&gt;"",BB7=""),AND(BZ7&gt;=CA$13,BZ7&lt;&gt;""),AND(CT7&gt;=CU$13,CT7&lt;&gt;""),AND(DN7&gt;=DO$13,DN7&lt;&gt;""),AND(EH7&gt;=EI$13,EH7&lt;&gt;""),AND(FB7&gt;=FC$13,FB7&lt;&gt;""),AND(FV7&gt;=FW$13,FV7&lt;&gt;""),AND(GP7&gt;=GQ$13,GP7&lt;&gt;""),AND(HJ7&gt;=HK$13,HJ7&lt;&gt;""),AND(ID7&gt;=IE$13,ID7&lt;&gt;""),AND(IX7&gt;=IY$13,IX7&lt;&gt;""),AND(JR7&gt;=JS$13,JR7&lt;&gt;""),AND(KL7&gt;=KM$13,KL7&lt;&gt;"")),"P","")</f>
        <v>P</v>
      </c>
      <c r="I7" t="str">
        <f>IF(AND(H7="P",F7=""),"No DD",IF(OR(AND(AI7&gt;=AJ$16,AI7&lt;&gt;"",AH7&gt;=AJ$12,AH7&lt;&gt;"",AG7=""),AND(BD7&gt;=BE$16,BD7&lt;&gt;"",BC7&gt;=BE$12,BC7&lt;&gt;"",BB7=""),AND(BZ7&gt;=CA$16,BZ7&lt;&gt;"",BY7&gt;=CA$12,BY7&lt;&gt;""),AND(CT7&gt;=CU$16,CT7&lt;&gt;"",CS7&gt;=CU$12,CS7&lt;&gt;""),AND(DN7&gt;=DO$16,DN7&lt;&gt;"",DM7&gt;=DO$12,DM7&lt;&gt;""),AND(EH7&gt;=EI$16,EH7&lt;&gt;"",EG7&gt;=EI$12,EG7&lt;&gt;""),AND(FB7&gt;=FC$16,FB7&lt;&gt;"",FA7&gt;=FC$12,FA7&lt;&gt;""),AND(FV7&gt;=FW$16,FV7&lt;&gt;"",FU7&gt;=FW$12,FU7&lt;&gt;""),AND(GP7&gt;=GQ$16,GP7&lt;&gt;"",GO7&gt;=GQ$12,GO7&lt;&gt;""),AND(HJ7&gt;=HK$16,HJ7&lt;&gt;"",HI7&gt;=HK$12,HI7&lt;&gt;""),AND(ID7&gt;=IE$16,ID7&lt;&gt;"",IC7&gt;=IE$12,IC7&lt;&gt;""),AND(IX7&gt;=IY$16,IX7&lt;&gt;"",IW7&gt;=IY$12,IW7&lt;&gt;""),AND(JR7&gt;=JS$16,JR7&lt;&gt;"",JQ7&gt;=JS$12,JQ7&lt;&gt;""),AND(KL7&gt;=KM$16,KL7&lt;&gt;"",KK7&gt;=KM$12,KK7&lt;&gt;"")),"Merit",IF(OR(AND(AI7&gt;=AJ$15,AI7&lt;&gt;"",AH7&gt;=AJ$12,AH7&lt;&gt;"",AG7=""),AND(BD7&gt;=BE$15,BD7&lt;&gt;"",BC7&gt;=BE$12,BC7&lt;&gt;"",BB7=""),AND(BZ7&gt;=CA$15,BZ7&lt;&gt;"",BY7&gt;=CA$12,BY7&lt;&gt;""),AND(CT7&gt;=CU$15,CT7&lt;&gt;"",CS7&gt;=CU$12,CS7&lt;&gt;""),AND(DN7&gt;=DO$15,DN7&lt;&gt;"",DM7&gt;=DO$12,DM7&lt;&gt;""),AND(EH7&gt;=EI$15,EH7&lt;&gt;"",EG7&gt;=EI$12,EG7&lt;&gt;""),AND(FB7&gt;=FC$15,FB7&lt;&gt;"",FA7&gt;=FC$12,FA7&lt;&gt;""),AND(FV7&gt;=FW$15,FV7&lt;&gt;"",FU7&gt;=FW$12,FU7&lt;&gt;""),AND(GP7&gt;=GQ$15,GP7&lt;&gt;"",GO7&gt;=GQ$12,GO7&lt;&gt;""),AND(HJ7&gt;=HK$15,HJ7&lt;&gt;"",HI7&gt;=HK$12,HI7&lt;&gt;""),AND(ID7&gt;=IE$15,ID7&lt;&gt;"",IC7&gt;=IE$12,IC7&lt;&gt;""),AND(IX7&gt;=IY$15,IX7&lt;&gt;"",IW7&gt;=IY$12,IW7&lt;&gt;""),AND(JR7&gt;=JS$15,JR7&lt;&gt;"",JQ7&gt;=JS$12,JQ7&lt;&gt;""),AND(KL7&gt;=KM$15,KL7&lt;&gt;"",KK7&gt;=KM$12,KK7&lt;&gt;"")),"Excellence",IF(OR(AND(AI7&gt;=AJ$14,AI7&lt;&gt;"",AH7&gt;=AJ$11,AH7&lt;&gt;"",AG7=""),AND(BD7&gt;=BE$14,BD7&lt;&gt;"",BC7&gt;=BE$11,BC7&lt;&gt;"",BB7=""),AND(BZ7&gt;=CA$14,BZ7&lt;&gt;"",BY7&gt;=CA$11,BY7&lt;&gt;""),AND(CT7&gt;=CU$14,CT7&lt;&gt;"",CS7&gt;=CU$11,CS7&lt;&gt;""),AND(DN7&gt;=DO$14,DN7&lt;&gt;"",DM7&gt;=DO$11,DM7&lt;&gt;""),AND(EH7&gt;=EI$14,EH7&lt;&gt;"",EG7&gt;=EI$11,EG7&lt;&gt;""),AND(FB7&gt;=FC$14,FB7&lt;&gt;"",FA7&gt;=FC$11,FA7&lt;&gt;""),AND(FV7&gt;=FW$14,FV7&lt;&gt;"",FU7&gt;=FW$11,FU7&lt;&gt;""),AND(GP7&gt;=GQ$14,GP7&lt;&gt;"",GO7&gt;=GQ$11,GO7&lt;&gt;""),AND(HJ7&gt;=HK$14,HJ7&lt;&gt;"",HI7&gt;=HK$11,HI7&lt;&gt;""),AND(ID7&gt;=IE$14,ID7&lt;&gt;"",IC7&gt;=IE$11,IC7&lt;&gt;""),AND(IX7&gt;=IY$14,IX7&lt;&gt;"",IW7&gt;=IY$11,IW7&lt;&gt;""),AND(JR7&gt;=JS$14,JR7&lt;&gt;"",JQ7&gt;=JS$11,JQ7&lt;&gt;""),AND(KL7&gt;=KM$14,KL7&lt;&gt;"",KK7&gt;=KM$11,KK7&lt;&gt;"")),"Worlds Team",IF(OR(AND(AI7&gt;=AJ$13,AI7&lt;&gt;"",AH7&gt;=AJ$11,AH7&lt;&gt;"",AG7=""),AND(BD7&gt;=BE$13,BD7&lt;&gt;"",BC7&gt;=BE$11,BC7&lt;&gt;"",BB7=""),AND(BZ7&gt;=CA$13,BZ7&lt;&gt;"",BY7&gt;=CA$11,BY7&lt;&gt;""),AND(CT7&gt;=CU$13,CT7&lt;&gt;"",CS7&gt;=CU$11,CS7&lt;&gt;""),AND(DN7&gt;=DO$13,DN7&lt;&gt;"",DM7&gt;=DO$11,DM7&lt;&gt;""),AND(EH7&gt;=EI$13,EH7&lt;&gt;"",EG7&gt;=EI$11,EG7&lt;&gt;""),AND(FB7&gt;=FC$13,FB7&lt;&gt;"",FA7&gt;=FC$11,FA7&lt;&gt;""),AND(FV7&gt;=FW$13,FV7&lt;&gt;"",FU7&gt;=FW$11,FU7&lt;&gt;""),AND(GP7&gt;=GQ$13,GP7&lt;&gt;"",GO7&gt;=GQ$11,GO7&lt;&gt;""),AND(HJ7&gt;=HK$13,HJ7&lt;&gt;"",HI7&gt;=HK$11,HI7&lt;&gt;""),AND(ID7&gt;=IE$13,ID7&lt;&gt;"",IC7&gt;=IE$11,IC7&lt;&gt;""),AND(IX7&gt;=IY$13,IX7&lt;&gt;"",IW7&gt;=IY$11,IW7&lt;&gt;""),AND(JR7&gt;=JS$13,JR7&lt;&gt;"",JQ7&gt;=JS$11,JQ7&lt;&gt;""),AND(KL7&gt;=KM$13,KL7&lt;&gt;"",KK7&gt;=KM$11,KK7&lt;&gt;"")),"National Team","")))))</f>
        <v>National Team</v>
      </c>
      <c r="J7" s="15">
        <f>IF(MAX(AI7,BD7)&gt;0,MAX(AI7,BD7),"")</f>
        <v>60.6</v>
      </c>
      <c r="K7" s="15" t="str">
        <f>IF(J7="","",IF(J7=BD7,$AL$1,IF(J7=AI7,$Q$1,"")))</f>
        <v>2018 Nationals</v>
      </c>
      <c r="L7" s="15">
        <f>IF(MAX(AJ7,BE7)&gt;0,MAX(AJ7,BE7),"")</f>
        <v>61.300000000000004</v>
      </c>
      <c r="M7" s="15" t="str">
        <f>IF(L7="","",IF(L7=BE7,$AL$1,IF(L7=AJ7,$Q$1,"")))</f>
        <v>2018 Nationals</v>
      </c>
      <c r="N7" s="15" t="str">
        <f>IF(MAX(BG7:BH7)&gt;0,MAX(BG7:BH7),"")</f>
        <v/>
      </c>
      <c r="O7" s="25" t="str">
        <f>IF(N7="","",IF(N7=BG7,"(Prelim)",IF(N7=BH7,"(Final)")))</f>
        <v/>
      </c>
      <c r="P7" s="15" t="str">
        <f>IF(N7="","",IF(N7=BG7,IF(N7+IF(J7="",0,J7)=#REF!,$JU$1,IF(N7+IF(J7="",0,J7)=#REF!,$JA$1,IF(N7+IF(J7="",0,J7)=#REF!,$IG$1,IF(N7+IF(J7="",0,J7)=#REF!,$HM$1,IF(N7+IF(J7="",0,J7)=#REF!,$GS$1,IF(N7+IF(J7="",0,J7)=#REF!,$FY$1,IF(N7+IF(J7="",0,J7)=#REF!,$FE$1,IF(N7+IF(J7="",0,J7)=#REF!,$EK$1,IF(N7+IF(J7="",0,J7)=#REF!,$DQ$1,IF(N7+IF(J7="",0,J7)=#REF!,$CW$1,IF(N7+IF(J7="",0,J7)=#REF!,$CC$1,IF(N7+IF(J7="",0,J7)=#REF!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38">
        <v>26.8</v>
      </c>
      <c r="R7" s="38">
        <v>3.6</v>
      </c>
      <c r="S7" s="38">
        <v>0</v>
      </c>
      <c r="T7" s="38">
        <v>0</v>
      </c>
      <c r="U7" s="38">
        <v>26.1</v>
      </c>
      <c r="V7" s="38">
        <v>4.0999999999999996</v>
      </c>
      <c r="W7" s="38">
        <v>0</v>
      </c>
      <c r="X7" s="38">
        <v>0</v>
      </c>
      <c r="Y7" s="38">
        <v>27.5</v>
      </c>
      <c r="Z7" s="38">
        <v>3.6</v>
      </c>
      <c r="AA7" s="38">
        <v>0</v>
      </c>
      <c r="AB7" s="38">
        <v>0</v>
      </c>
      <c r="AC7" s="38">
        <v>26.6</v>
      </c>
      <c r="AD7" s="38">
        <v>3.6</v>
      </c>
      <c r="AE7" s="38">
        <v>0</v>
      </c>
      <c r="AF7" s="38">
        <v>0</v>
      </c>
      <c r="AG7" s="74"/>
      <c r="AH7" s="12">
        <f>IF(SUM(R7,V7)&gt;0,SUM(R7,V7),"")</f>
        <v>7.6999999999999993</v>
      </c>
      <c r="AI7" s="12">
        <f>IF(SUM(Q7:R7,T7:V7,X7)-S7-W7&gt;0,SUM(Q7:R7,T7:V7,X7)-S7-W7,"")</f>
        <v>60.6</v>
      </c>
      <c r="AJ7" s="12">
        <f>IF(SUM(Y7:Z7,AB7:AD7,AF7)-SUM(AA7,AE7)&gt;0,SUM(Y7:Z7,AB7:AD7,AF7)-SUM(AA7,AE7),"")</f>
        <v>61.300000000000004</v>
      </c>
      <c r="AK7" s="12">
        <f>IF(SUM(AI7,AJ7)&gt;0,SUM(AI7,AJ7),"")</f>
        <v>121.9</v>
      </c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75"/>
      <c r="BC7" s="15" t="str">
        <f>IF(SUM(AM7,AQ7)&gt;0,SUM(AM7,AQ7),"")</f>
        <v/>
      </c>
      <c r="BD7" s="15" t="str">
        <f>IF(SUM(AL7:AM7,AO7:AQ7,AS7)-AN7-AR7&gt;0,SUM(AL7:AM7,AO7:AQ7,AS7)-AN7-AR7,"")</f>
        <v/>
      </c>
      <c r="BE7" s="15" t="str">
        <f>IF(SUM(AT7:AU7,AW7:AY7,BA7)-SUM(AV7,AZ7)&gt;0,SUM(AT7:AU7,AW7:AY7,BA7)-SUM(AV7,AZ7),"")</f>
        <v/>
      </c>
      <c r="BF7" s="15" t="str">
        <f>IF(SUM(BD7,BE7)&gt;0,SUM(BD7,BE7),"")</f>
        <v/>
      </c>
      <c r="BG7" s="24" t="str">
        <f>IF(MAX(BY7,CS7,DM7,EG7,FA7,FU7,GO7,HI7,IC7,IW7,JQ7,KK7)-IF(J7="",0,J7)&gt;0.001,MAX(BY7,CS7,DM7,EG7,FA7,FU7,GO7,HI7,IC7,IW7,JQ7,KK7)-IF(J7="",0,J7),"")</f>
        <v/>
      </c>
      <c r="BH7" s="24" t="str">
        <f>IF(MAX(CA7,CU7,DO7,EI7,FC7,FW7,GQ7,HK7,IE7,IY7,JS7,KM7)-IF(L7="",0,L7)&gt;0.001,MAX(CA7,CU7,DO7,EI7,FC7,FW7,GQ7,HK7,IE7,IY7,JS7,KM7)-IF(L7="",0,L7),"")</f>
        <v/>
      </c>
      <c r="BI7" s="36">
        <v>26.5</v>
      </c>
      <c r="BJ7" s="36">
        <v>3.6</v>
      </c>
      <c r="BK7" s="36">
        <v>0</v>
      </c>
      <c r="BL7" s="36">
        <v>0</v>
      </c>
      <c r="BM7" s="36">
        <v>22.8</v>
      </c>
      <c r="BN7" s="36">
        <v>4.0999999999999996</v>
      </c>
      <c r="BO7" s="36">
        <v>0.6</v>
      </c>
      <c r="BP7" s="36">
        <v>0</v>
      </c>
      <c r="BQ7" s="36"/>
      <c r="BR7" s="36"/>
      <c r="BS7" s="36"/>
      <c r="BT7" s="36"/>
      <c r="BU7" s="36"/>
      <c r="BV7" s="36"/>
      <c r="BW7" s="36"/>
      <c r="BX7" s="36"/>
      <c r="BY7" s="12">
        <f>IF(SUM(BJ7,BN7)&gt;0,SUM(BJ7,BN7),"")</f>
        <v>7.6999999999999993</v>
      </c>
      <c r="BZ7" s="12">
        <f>IF(SUM(BI7:BJ7,BL7:BN7,BP7)-BK7-BO7&gt;0,SUM(BI7:BJ7,BL7:BN7,BP7)-BK7-BO7,"")</f>
        <v>56.400000000000006</v>
      </c>
      <c r="CA7" s="12" t="str">
        <f>IF(SUM(BQ7:BR7,BT7:BV7,BX7)-SUM(BS7,BW7)&gt;0,SUM(BQ7:BR7,BT7:BV7,BX7)-SUM(BS7,BW7),"")</f>
        <v/>
      </c>
      <c r="CB7" s="12">
        <f>IF(SUM(BZ7,CA7)&gt;0,SUM(BZ7,CA7),"")</f>
        <v>56.400000000000006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15" t="str">
        <f>IF(SUM(CD7,CH7)&gt;0,SUM(CD7,CH7),"")</f>
        <v/>
      </c>
      <c r="CT7" s="15" t="str">
        <f>IF(SUM(CC7:CD7,CF7:CH7,CJ7)-CE7-CI7&gt;0,SUM(CC7:CD7,CF7:CH7,CJ7)-CE7-CI7,"")</f>
        <v/>
      </c>
      <c r="CU7" s="15" t="str">
        <f>IF(SUM(CK7:CL7,CN7:CP7,CR7)-SUM(CM7,CQ7)&gt;0,SUM(CK7:CL7,CN7:CP7,CR7)-SUM(CM7,CQ7),"")</f>
        <v/>
      </c>
      <c r="CV7" s="15" t="str">
        <f>IF(SUM(CT7,CU7)&gt;0,SUM(CT7,CU7),"")</f>
        <v/>
      </c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63">
        <f t="shared" si="4"/>
        <v>13.4</v>
      </c>
      <c r="KP7" s="63">
        <f t="shared" si="0"/>
        <v>1.8</v>
      </c>
      <c r="KQ7" s="63">
        <f t="shared" si="0"/>
        <v>0</v>
      </c>
      <c r="KR7" s="63">
        <f t="shared" si="0"/>
        <v>0</v>
      </c>
      <c r="KS7" s="63">
        <f t="shared" si="0"/>
        <v>13.05</v>
      </c>
      <c r="KT7" s="63">
        <f t="shared" si="0"/>
        <v>2.0499999999999998</v>
      </c>
      <c r="KU7" s="63">
        <f t="shared" si="0"/>
        <v>0</v>
      </c>
      <c r="KV7" s="63">
        <f t="shared" si="0"/>
        <v>0</v>
      </c>
      <c r="KW7" s="63">
        <f t="shared" si="0"/>
        <v>13.75</v>
      </c>
      <c r="KX7" s="63">
        <f t="shared" si="0"/>
        <v>1.8</v>
      </c>
      <c r="KY7" s="63">
        <f t="shared" si="0"/>
        <v>0</v>
      </c>
      <c r="KZ7" s="63">
        <f t="shared" si="0"/>
        <v>0</v>
      </c>
      <c r="LA7" s="63">
        <f t="shared" si="0"/>
        <v>13.3</v>
      </c>
      <c r="LB7" s="63">
        <f t="shared" si="0"/>
        <v>1.8</v>
      </c>
      <c r="LC7" s="63">
        <f t="shared" si="0"/>
        <v>0</v>
      </c>
      <c r="LD7" s="63">
        <f t="shared" si="0"/>
        <v>0</v>
      </c>
      <c r="LE7" s="74" t="s">
        <v>119</v>
      </c>
      <c r="LF7" s="12">
        <f t="shared" si="5"/>
        <v>3.8499999999999996</v>
      </c>
      <c r="LG7" s="12">
        <f t="shared" si="6"/>
        <v>30.3</v>
      </c>
      <c r="LH7" s="12">
        <f t="shared" si="7"/>
        <v>30.650000000000002</v>
      </c>
      <c r="LI7" s="12">
        <f t="shared" si="8"/>
        <v>60.95</v>
      </c>
    </row>
    <row r="8" spans="1:321" x14ac:dyDescent="0.2">
      <c r="A8" s="6" t="str">
        <f>IF(AND(F8="P",H8="P"),SUMPRODUCT((F$4:F$9="P")*(H$4:H$9="P")*(E$4:E$9&gt;E8))+1,IF(H8="P",SUMPRODUCT((F$4:F$9="")*(H$4:H$9="P")*(E$4:E$9&gt;E8))+1+SUMPRODUCT((F$4:F$9="P")*(H$4:H$9="P")),""))</f>
        <v/>
      </c>
      <c r="B8" s="9" t="s">
        <v>129</v>
      </c>
      <c r="C8" s="5" t="s">
        <v>3</v>
      </c>
      <c r="D8" s="27">
        <v>2003</v>
      </c>
      <c r="E8" s="16">
        <f>SUM(J8:N8)</f>
        <v>113.10000000000001</v>
      </c>
      <c r="F8" s="4" t="str">
        <f>IF(OR(AND(AH8&gt;=AJ$11,AI8&gt;=AJ$13,AI8&lt;&gt;"",AG8=""),AND(BC8&gt;=BE$11,BD8&gt;=BE$13,BD8&lt;&gt;"",BB8=""),AND(BY8&gt;=CA$11,BZ8&gt;=CA$13,BZ8&lt;&gt;""),AND(CS8&gt;=CU$11,CT8&gt;=CU$13,CT8&lt;&gt;""),AND(DM8&gt;=DO$11,DN8&gt;=DO$13,DN8&lt;&gt;""),AND(EG8&gt;=EI$11,EH8&gt;=EI$13,EH8&lt;&gt;""),AND(FA8&gt;=FC$11,FB8&gt;=FC$13,FB8&lt;&gt;""),AND(FU8&gt;=FW$11,FV8&gt;=FW$13,FV8&lt;&gt;""),AND(GO8&gt;=GQ$11,GP8&gt;=GQ$13,GP8&lt;&gt;""),AND(HI8&gt;=HK$11,HJ8&gt;=HK$13,HJ8&lt;&gt;""),AND(IC8&gt;=IE$11,ID8&gt;=IE$13,ID8&lt;&gt;""),AND(IW8&gt;=IY$11,IX8&gt;=IY$13,IX8&lt;&gt;""),AND(JQ8&gt;=JS$11,JR8&gt;=JS$13,JR8&lt;&gt;""),AND(KK8&gt;=KM$11,KL8&gt;=KM$13,KL8&lt;&gt;"")),"P","")</f>
        <v/>
      </c>
      <c r="G8" s="4" t="str">
        <f>IF(OR(AND(AH8&gt;=AJ$11,AI8&gt;=AJ$14,AI8&lt;&gt;"",AG8=""),AND(BC8&gt;=BE$11,BD8&gt;=BE$14,BD8&lt;&gt;"",BB8=""),AND(BY8&gt;=CA$11,BZ8&gt;=CA$14,BZ8&lt;&gt;""),AND(CS8&gt;=CU$11,CT8&gt;=CU$14,CT8&lt;&gt;""),AND(DM8&gt;=DO$11,DN8&gt;=DO$14,DN8&lt;&gt;""),AND(EG8&gt;=EI$11,EH8&gt;=EI$14,EH8&lt;&gt;""),AND(FA8&gt;=FC$11,FB8&gt;=FC$14,FB8&lt;&gt;""),AND(FU8&gt;=FW$11,FV8&gt;=FW$14,FV8&lt;&gt;""),AND(GO8&gt;=GQ$11,GP8&gt;=GQ$14,GP8&lt;&gt;""),AND(HI8&gt;=HK$11,HJ8&gt;=HK$14,HJ8&lt;&gt;""),AND(IC8&gt;=IE$11,ID8&gt;=IE$14,ID8&lt;&gt;""),AND(IW8&gt;=IY$11,IX8&gt;=IY$14,IX8&lt;&gt;""),AND(JQ8&gt;=JS$11,JR8&gt;=JS$14,JR8&lt;&gt;""),AND(KK8&gt;=KM$11,KL8&gt;=KM$14,KL8&lt;&gt;"")),"P","")</f>
        <v/>
      </c>
      <c r="H8" s="4" t="str">
        <f>IF(OR(AND(AI8&gt;=AJ$13,AI8&lt;&gt;"",AG8=""),AND(BD8&gt;=BE$13,BD8&lt;&gt;"",BB8=""),AND(BZ8&gt;=CA$13,BZ8&lt;&gt;""),AND(CT8&gt;=CU$13,CT8&lt;&gt;""),AND(DN8&gt;=DO$13,DN8&lt;&gt;""),AND(EH8&gt;=EI$13,EH8&lt;&gt;""),AND(FB8&gt;=FC$13,FB8&lt;&gt;""),AND(FV8&gt;=FW$13,FV8&lt;&gt;""),AND(GP8&gt;=GQ$13,GP8&lt;&gt;""),AND(HJ8&gt;=HK$13,HJ8&lt;&gt;""),AND(ID8&gt;=IE$13,ID8&lt;&gt;""),AND(IX8&gt;=IY$13,IX8&lt;&gt;""),AND(JR8&gt;=JS$13,JR8&lt;&gt;""),AND(KL8&gt;=KM$13,KL8&lt;&gt;"")),"P","")</f>
        <v/>
      </c>
      <c r="I8" t="str">
        <f>IF(AND(H8="P",F8=""),"No DD",IF(OR(AND(AI8&gt;=AJ$16,AI8&lt;&gt;"",AH8&gt;=AJ$12,AH8&lt;&gt;"",AG8=""),AND(BD8&gt;=BE$16,BD8&lt;&gt;"",BC8&gt;=BE$12,BC8&lt;&gt;"",BB8=""),AND(BZ8&gt;=CA$16,BZ8&lt;&gt;"",BY8&gt;=CA$12,BY8&lt;&gt;""),AND(CT8&gt;=CU$16,CT8&lt;&gt;"",CS8&gt;=CU$12,CS8&lt;&gt;""),AND(DN8&gt;=DO$16,DN8&lt;&gt;"",DM8&gt;=DO$12,DM8&lt;&gt;""),AND(EH8&gt;=EI$16,EH8&lt;&gt;"",EG8&gt;=EI$12,EG8&lt;&gt;""),AND(FB8&gt;=FC$16,FB8&lt;&gt;"",FA8&gt;=FC$12,FA8&lt;&gt;""),AND(FV8&gt;=FW$16,FV8&lt;&gt;"",FU8&gt;=FW$12,FU8&lt;&gt;""),AND(GP8&gt;=GQ$16,GP8&lt;&gt;"",GO8&gt;=GQ$12,GO8&lt;&gt;""),AND(HJ8&gt;=HK$16,HJ8&lt;&gt;"",HI8&gt;=HK$12,HI8&lt;&gt;""),AND(ID8&gt;=IE$16,ID8&lt;&gt;"",IC8&gt;=IE$12,IC8&lt;&gt;""),AND(IX8&gt;=IY$16,IX8&lt;&gt;"",IW8&gt;=IY$12,IW8&lt;&gt;""),AND(JR8&gt;=JS$16,JR8&lt;&gt;"",JQ8&gt;=JS$12,JQ8&lt;&gt;""),AND(KL8&gt;=KM$16,KL8&lt;&gt;"",KK8&gt;=KM$12,KK8&lt;&gt;"")),"Merit",IF(OR(AND(AI8&gt;=AJ$15,AI8&lt;&gt;"",AH8&gt;=AJ$12,AH8&lt;&gt;"",AG8=""),AND(BD8&gt;=BE$15,BD8&lt;&gt;"",BC8&gt;=BE$12,BC8&lt;&gt;"",BB8=""),AND(BZ8&gt;=CA$15,BZ8&lt;&gt;"",BY8&gt;=CA$12,BY8&lt;&gt;""),AND(CT8&gt;=CU$15,CT8&lt;&gt;"",CS8&gt;=CU$12,CS8&lt;&gt;""),AND(DN8&gt;=DO$15,DN8&lt;&gt;"",DM8&gt;=DO$12,DM8&lt;&gt;""),AND(EH8&gt;=EI$15,EH8&lt;&gt;"",EG8&gt;=EI$12,EG8&lt;&gt;""),AND(FB8&gt;=FC$15,FB8&lt;&gt;"",FA8&gt;=FC$12,FA8&lt;&gt;""),AND(FV8&gt;=FW$15,FV8&lt;&gt;"",FU8&gt;=FW$12,FU8&lt;&gt;""),AND(GP8&gt;=GQ$15,GP8&lt;&gt;"",GO8&gt;=GQ$12,GO8&lt;&gt;""),AND(HJ8&gt;=HK$15,HJ8&lt;&gt;"",HI8&gt;=HK$12,HI8&lt;&gt;""),AND(ID8&gt;=IE$15,ID8&lt;&gt;"",IC8&gt;=IE$12,IC8&lt;&gt;""),AND(IX8&gt;=IY$15,IX8&lt;&gt;"",IW8&gt;=IY$12,IW8&lt;&gt;""),AND(JR8&gt;=JS$15,JR8&lt;&gt;"",JQ8&gt;=JS$12,JQ8&lt;&gt;""),AND(KL8&gt;=KM$15,KL8&lt;&gt;"",KK8&gt;=KM$12,KK8&lt;&gt;"")),"Excellence",IF(OR(AND(AI8&gt;=AJ$14,AI8&lt;&gt;"",AH8&gt;=AJ$11,AH8&lt;&gt;"",AG8=""),AND(BD8&gt;=BE$14,BD8&lt;&gt;"",BC8&gt;=BE$11,BC8&lt;&gt;"",BB8=""),AND(BZ8&gt;=CA$14,BZ8&lt;&gt;"",BY8&gt;=CA$11,BY8&lt;&gt;""),AND(CT8&gt;=CU$14,CT8&lt;&gt;"",CS8&gt;=CU$11,CS8&lt;&gt;""),AND(DN8&gt;=DO$14,DN8&lt;&gt;"",DM8&gt;=DO$11,DM8&lt;&gt;""),AND(EH8&gt;=EI$14,EH8&lt;&gt;"",EG8&gt;=EI$11,EG8&lt;&gt;""),AND(FB8&gt;=FC$14,FB8&lt;&gt;"",FA8&gt;=FC$11,FA8&lt;&gt;""),AND(FV8&gt;=FW$14,FV8&lt;&gt;"",FU8&gt;=FW$11,FU8&lt;&gt;""),AND(GP8&gt;=GQ$14,GP8&lt;&gt;"",GO8&gt;=GQ$11,GO8&lt;&gt;""),AND(HJ8&gt;=HK$14,HJ8&lt;&gt;"",HI8&gt;=HK$11,HI8&lt;&gt;""),AND(ID8&gt;=IE$14,ID8&lt;&gt;"",IC8&gt;=IE$11,IC8&lt;&gt;""),AND(IX8&gt;=IY$14,IX8&lt;&gt;"",IW8&gt;=IY$11,IW8&lt;&gt;""),AND(JR8&gt;=JS$14,JR8&lt;&gt;"",JQ8&gt;=JS$11,JQ8&lt;&gt;""),AND(KL8&gt;=KM$14,KL8&lt;&gt;"",KK8&gt;=KM$11,KK8&lt;&gt;"")),"Worlds Team",IF(OR(AND(AI8&gt;=AJ$13,AI8&lt;&gt;"",AH8&gt;=AJ$11,AH8&lt;&gt;"",AG8=""),AND(BD8&gt;=BE$13,BD8&lt;&gt;"",BC8&gt;=BE$11,BC8&lt;&gt;"",BB8=""),AND(BZ8&gt;=CA$13,BZ8&lt;&gt;"",BY8&gt;=CA$11,BY8&lt;&gt;""),AND(CT8&gt;=CU$13,CT8&lt;&gt;"",CS8&gt;=CU$11,CS8&lt;&gt;""),AND(DN8&gt;=DO$13,DN8&lt;&gt;"",DM8&gt;=DO$11,DM8&lt;&gt;""),AND(EH8&gt;=EI$13,EH8&lt;&gt;"",EG8&gt;=EI$11,EG8&lt;&gt;""),AND(FB8&gt;=FC$13,FB8&lt;&gt;"",FA8&gt;=FC$11,FA8&lt;&gt;""),AND(FV8&gt;=FW$13,FV8&lt;&gt;"",FU8&gt;=FW$11,FU8&lt;&gt;""),AND(GP8&gt;=GQ$13,GP8&lt;&gt;"",GO8&gt;=GQ$11,GO8&lt;&gt;""),AND(HJ8&gt;=HK$13,HJ8&lt;&gt;"",HI8&gt;=HK$11,HI8&lt;&gt;""),AND(ID8&gt;=IE$13,ID8&lt;&gt;"",IC8&gt;=IE$11,IC8&lt;&gt;""),AND(IX8&gt;=IY$13,IX8&lt;&gt;"",IW8&gt;=IY$11,IW8&lt;&gt;""),AND(JR8&gt;=JS$13,JR8&lt;&gt;"",JQ8&gt;=JS$11,JQ8&lt;&gt;""),AND(KL8&gt;=KM$13,KL8&lt;&gt;"",KK8&gt;=KM$11,KK8&lt;&gt;"")),"National Team","")))))</f>
        <v/>
      </c>
      <c r="J8" s="15">
        <f>IF(MAX(AI8,BD8)&gt;0,MAX(AI8,BD8),"")</f>
        <v>58.8</v>
      </c>
      <c r="K8" s="15" t="str">
        <f>IF(J8="","",IF(J8=BD8,$AL$1,IF(J8=AI8,$Q$1,"")))</f>
        <v>2019 Elite Canada</v>
      </c>
      <c r="L8" s="15">
        <f>IF(MAX(AJ8,BE8)&gt;0,MAX(AJ8,BE8),"")</f>
        <v>54.300000000000011</v>
      </c>
      <c r="M8" s="15" t="str">
        <f>IF(L8="","",IF(L8=BE8,$AL$1,IF(L8=AJ8,$Q$1,"")))</f>
        <v>2019 Elite Canada</v>
      </c>
      <c r="N8" s="15" t="str">
        <f>IF(MAX(BG8:BH8)&gt;0,MAX(BG8:BH8),"")</f>
        <v/>
      </c>
      <c r="O8" s="25" t="str">
        <f>IF(N8="","",IF(N8=BG8,"(Prelim)",IF(N8=BH8,"(Final)")))</f>
        <v/>
      </c>
      <c r="P8" s="15" t="str">
        <f>IF(N8="","",IF(N8=BG8,IF(N8+IF(J8="",0,J8)=#REF!,$JU$1,IF(N8+IF(J8="",0,J8)=#REF!,$JA$1,IF(N8+IF(J8="",0,J8)=#REF!,$IG$1,IF(N8+IF(J8="",0,J8)=#REF!,$HM$1,IF(N8+IF(J8="",0,J8)=#REF!,$GS$1,IF(N8+IF(J8="",0,J8)=#REF!,$FY$1,IF(N8+IF(J8="",0,J8)=#REF!,$FE$1,IF(N8+IF(J8="",0,J8)=#REF!,$EK$1,IF(N8+IF(J8="",0,J8)=#REF!,$DQ$1,IF(N8+IF(J8="",0,J8)=#REF!,$CW$1,IF(N8+IF(J8="",0,J8)=#REF!,$CC$1,IF(N8+IF(J8="",0,J8)=#REF!,$BI$1)))))))))))),IF(N8=BH8,IF(N8+IF(L8="",0,L8)=KM8,$JU$1,IF(N8+IF(L8="",0,L8)=JS8,$JA$1,IF(N8+IF(L8="",0,L8)=IY8,$IG$1,IF(N8+IF(L8="",0,L8)=IE8,$HM$1,IF(N8+IF(L8="",0,L8)=HK8,$GS$1,IF(N8+IF(L8="",0,L8)=GQ8,$FY$1,IF(N8+IF(L8="",0,L8)=FW8,$FE$1,IF(N8+IF(L8="",0,L8)=FC8,$EK$1,IF(N8+IF(L8="",0,L8)=EI8,$DQ$1,IF(N8+IF(L8="",0,L8)=DO8,$CW$1,IF(N8+IF(L8="",0,L8)=CU8,$CC$1,IF(N8+IF(L8="",0,L8)=CA8,$BI$1)))))))))))))))</f>
        <v/>
      </c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74"/>
      <c r="AH8" s="12" t="str">
        <f>IF(SUM(R8,V8)&gt;0,SUM(R8,V8),"")</f>
        <v/>
      </c>
      <c r="AI8" s="12" t="str">
        <f>IF(SUM(Q8:R8,T8:V8,X8)-S8-W8&gt;0,SUM(Q8:R8,T8:V8,X8)-S8-W8,"")</f>
        <v/>
      </c>
      <c r="AJ8" s="12" t="str">
        <f>IF(SUM(Y8:Z8,AB8:AD8,AF8)-SUM(AA8,AE8)&gt;0,SUM(Y8:Z8,AB8:AD8,AF8)-SUM(AA8,AE8),"")</f>
        <v/>
      </c>
      <c r="AK8" s="12" t="str">
        <f>IF(SUM(AI8,AJ8)&gt;0,SUM(AI8,AJ8),"")</f>
        <v/>
      </c>
      <c r="AL8" s="37">
        <v>25.1</v>
      </c>
      <c r="AM8" s="37">
        <v>3.6</v>
      </c>
      <c r="AN8" s="37">
        <v>0</v>
      </c>
      <c r="AO8" s="37">
        <v>0</v>
      </c>
      <c r="AP8" s="37">
        <v>24.8</v>
      </c>
      <c r="AQ8" s="37">
        <v>4.3</v>
      </c>
      <c r="AR8" s="37">
        <v>0</v>
      </c>
      <c r="AS8" s="37">
        <v>1</v>
      </c>
      <c r="AT8" s="37">
        <v>25.6</v>
      </c>
      <c r="AU8" s="37">
        <v>3.6</v>
      </c>
      <c r="AV8" s="37">
        <v>0.3</v>
      </c>
      <c r="AW8" s="37">
        <v>0</v>
      </c>
      <c r="AX8" s="37">
        <v>24.2</v>
      </c>
      <c r="AY8" s="37">
        <v>1.2</v>
      </c>
      <c r="AZ8" s="37">
        <v>0</v>
      </c>
      <c r="BA8" s="37">
        <v>0</v>
      </c>
      <c r="BB8" s="75"/>
      <c r="BC8" s="15">
        <f>IF(SUM(AM8,AQ8)&gt;0,SUM(AM8,AQ8),"")</f>
        <v>7.9</v>
      </c>
      <c r="BD8" s="15">
        <f>IF(SUM(AL8:AM8,AO8:AQ8,AS8)-AN8-AR8&gt;0,SUM(AL8:AM8,AO8:AQ8,AS8)-AN8-AR8,"")</f>
        <v>58.8</v>
      </c>
      <c r="BE8" s="15">
        <f>IF(SUM(AT8:AU8,AW8:AY8,BA8)-SUM(AV8,AZ8)&gt;0,SUM(AT8:AU8,AW8:AY8,BA8)-SUM(AV8,AZ8),"")</f>
        <v>54.300000000000011</v>
      </c>
      <c r="BF8" s="15">
        <f>IF(SUM(BD8,BE8)&gt;0,SUM(BD8,BE8),"")</f>
        <v>113.10000000000001</v>
      </c>
      <c r="BG8" s="24" t="str">
        <f>IF(MAX(BY8,CS8,DM8,EG8,FA8,FU8,GO8,HI8,IC8,IW8,JQ8,KK8)-IF(J8="",0,J8)&gt;0.001,MAX(BY8,CS8,DM8,EG8,FA8,FU8,GO8,HI8,IC8,IW8,JQ8,KK8)-IF(J8="",0,J8),"")</f>
        <v/>
      </c>
      <c r="BH8" s="24" t="str">
        <f>IF(MAX(CA8,CU8,DO8,EI8,FC8,FW8,GQ8,HK8,IE8,IY8,JS8,KM8)-IF(L8="",0,L8)&gt;0.001,MAX(CA8,CU8,DO8,EI8,FC8,FW8,GQ8,HK8,IE8,IY8,JS8,KM8)-IF(L8="",0,L8),"")</f>
        <v/>
      </c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12" t="str">
        <f>IF(SUM(BJ8,BN8)&gt;0,SUM(BJ8,BN8),"")</f>
        <v/>
      </c>
      <c r="BZ8" s="12" t="str">
        <f>IF(SUM(BI8:BJ8,BL8:BN8,BP8)-BK8-BO8&gt;0,SUM(BI8:BJ8,BL8:BN8,BP8)-BK8-BO8,"")</f>
        <v/>
      </c>
      <c r="CA8" s="12" t="str">
        <f>IF(SUM(BQ8:BR8,BT8:BV8,BX8)-SUM(BS8,BW8)&gt;0,SUM(BQ8:BR8,BT8:BV8,BX8)-SUM(BS8,BW8),"")</f>
        <v/>
      </c>
      <c r="CB8" s="12" t="str">
        <f>IF(SUM(BZ8,CA8)&gt;0,SUM(BZ8,CA8),"")</f>
        <v/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15" t="str">
        <f>IF(SUM(CD8,CH8)&gt;0,SUM(CD8,CH8),"")</f>
        <v/>
      </c>
      <c r="CT8" s="15" t="str">
        <f>IF(SUM(CC8:CD8,CF8:CH8,CJ8)-CE8-CI8&gt;0,SUM(CC8:CD8,CF8:CH8,CJ8)-CE8-CI8,"")</f>
        <v/>
      </c>
      <c r="CU8" s="15" t="str">
        <f>IF(SUM(CK8:CL8,CN8:CP8,CR8)-SUM(CM8,CQ8)&gt;0,SUM(CK8:CL8,CN8:CP8,CR8)-SUM(CM8,CQ8),"")</f>
        <v/>
      </c>
      <c r="CV8" s="15" t="str">
        <f>IF(SUM(CT8,CU8)&gt;0,SUM(CT8,CU8),"")</f>
        <v/>
      </c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12" t="str">
        <f>IF(SUM(CX8,DB8)&gt;0,SUM(CX8,DB8),"")</f>
        <v/>
      </c>
      <c r="DN8" s="12" t="str">
        <f>IF(SUM(CW8:CX8,CZ8:DB8,DD8)-CY8-DC8&gt;0,SUM(CW8:CX8,CZ8:DB8,DD8)-CY8-DC8,"")</f>
        <v/>
      </c>
      <c r="DO8" s="12" t="str">
        <f>IF(SUM(DE8:DF8,DH8:DJ8,DL8)-SUM(DG8,DK8)&gt;0,SUM(DE8:DF8,DH8:DJ8,DL8)-SUM(DG8,DK8),"")</f>
        <v/>
      </c>
      <c r="DP8" s="12" t="str">
        <f>IF(SUM(DN8,DO8)&gt;0,SUM(DN8,DO8),"")</f>
        <v/>
      </c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15" t="str">
        <f>IF(SUM(DR8,DV8)&gt;0,SUM(DR8,DV8),"")</f>
        <v/>
      </c>
      <c r="EH8" s="15" t="str">
        <f>IF(SUM(DQ8:DR8,DT8:DV8,DX8)-DS8-DW8&gt;0,SUM(DQ8:DR8,DT8:DV8,DX8)-DS8-DW8,"")</f>
        <v/>
      </c>
      <c r="EI8" s="15" t="str">
        <f>IF(SUM(DY8:DZ8,EB8:ED8,EF8)-SUM(EA8,EE8)&gt;0,SUM(DY8:DZ8,EB8:ED8,EF8)-SUM(EA8,EE8),"")</f>
        <v/>
      </c>
      <c r="EJ8" s="15" t="str">
        <f>IF(SUM(EH8,EI8)&gt;0,SUM(EH8,EI8),"")</f>
        <v/>
      </c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12" t="str">
        <f>IF(SUM(EL8,EP8)&gt;0,SUM(EL8,EP8),"")</f>
        <v/>
      </c>
      <c r="FB8" s="12" t="str">
        <f>IF(SUM(EK8:EL8,EN8:EP8,ER8)-EM8-EQ8&gt;0,SUM(EK8:EL8,EN8:EP8,ER8)-EM8-EQ8,"")</f>
        <v/>
      </c>
      <c r="FC8" s="12" t="str">
        <f>IF(SUM(ES8:ET8,EV8:EX8,EZ8)-SUM(EU8,EY8)&gt;0,SUM(ES8:ET8,EV8:EX8,EZ8)-SUM(EU8,EY8),"")</f>
        <v/>
      </c>
      <c r="FD8" s="12" t="str">
        <f>IF(SUM(FB8,FC8)&gt;0,SUM(FB8,FC8),"")</f>
        <v/>
      </c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15" t="str">
        <f>IF(SUM(FF8,FJ8)&gt;0,SUM(FF8,FJ8),"")</f>
        <v/>
      </c>
      <c r="FV8" s="15" t="str">
        <f>IF(SUM(FE8:FF8,FH8:FJ8,FL8)-FG8-FK8&gt;0,SUM(FE8:FF8,FH8:FJ8,FL8)-FG8-FK8,"")</f>
        <v/>
      </c>
      <c r="FW8" s="15" t="str">
        <f>IF(SUM(FM8:FN8,FP8:FR8,FT8)-SUM(FO8,FS8)&gt;0,SUM(FM8:FN8,FP8:FR8,FT8)-SUM(FO8,FS8),"")</f>
        <v/>
      </c>
      <c r="FX8" s="15" t="str">
        <f>IF(SUM(FV8,FW8)&gt;0,SUM(FV8,FW8),"")</f>
        <v/>
      </c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2" t="str">
        <f>IF(SUM(FZ8,GD8)&gt;0,SUM(FZ8,GD8),"")</f>
        <v/>
      </c>
      <c r="GP8" s="12" t="str">
        <f>IF(SUM(FY8:FZ8,GB8:GD8,GF8)-GA8-GE8&gt;0,SUM(FY8:FZ8,GB8:GD8,GF8)-GA8-GE8,"")</f>
        <v/>
      </c>
      <c r="GQ8" s="12" t="str">
        <f>IF(SUM(GG8:GH8,GJ8:GL8,GN8)-SUM(GI8,GM8)&gt;0,SUM(GG8:GH8,GJ8:GL8,GN8)-SUM(GI8,GM8),"")</f>
        <v/>
      </c>
      <c r="GR8" s="12" t="str">
        <f>IF(SUM(GP8,GQ8)&gt;0,SUM(GP8,GQ8),"")</f>
        <v/>
      </c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15" t="str">
        <f>IF(SUM(GT8,GX8)&gt;0,SUM(GT8,GX8),"")</f>
        <v/>
      </c>
      <c r="HJ8" s="15" t="str">
        <f>IF(SUM(GS8:GT8,GV8:GX8,GZ8)-GU8-GY8&gt;0,SUM(GS8:GT8,GV8:GX8,GZ8)-GU8-GY8,"")</f>
        <v/>
      </c>
      <c r="HK8" s="15" t="str">
        <f>IF(SUM(HA8:HB8,HD8:HF8,HH8)-SUM(HC8,HG8)&gt;0,SUM(HA8:HB8,HD8:HF8,HH8)-SUM(HC8,HG8),"")</f>
        <v/>
      </c>
      <c r="HL8" s="15" t="str">
        <f>IF(SUM(HJ8,HK8)&gt;0,SUM(HJ8,HK8),"")</f>
        <v/>
      </c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12" t="str">
        <f>IF(SUM(HN8,HR8)&gt;0,SUM(HN8,HR8),"")</f>
        <v/>
      </c>
      <c r="ID8" s="12" t="str">
        <f>IF(SUM(HM8:HN8,HP8:HR8,HT8)-HO8-HS8&gt;0,SUM(HM8:HN8,HP8:HR8,HT8)-HO8-HS8,"")</f>
        <v/>
      </c>
      <c r="IE8" s="12" t="str">
        <f>IF(SUM(HU8:HV8,HX8:HZ8,IB8)-SUM(HW8,IA8)&gt;0,SUM(HU8:HV8,HX8:HZ8,IB8)-SUM(HW8,IA8),"")</f>
        <v/>
      </c>
      <c r="IF8" s="12" t="str">
        <f>IF(SUM(ID8,IE8)&gt;0,SUM(ID8,IE8),"")</f>
        <v/>
      </c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15" t="str">
        <f>IF(SUM(IH8,IL8)&gt;0,SUM(IH8,IL8),"")</f>
        <v/>
      </c>
      <c r="IX8" s="15" t="str">
        <f>IF(SUM(IG8:IH8,IJ8:IL8,IN8)-II8-IM8&gt;0,SUM(IG8:IH8,IJ8:IL8,IN8)-II8-IM8,"")</f>
        <v/>
      </c>
      <c r="IY8" s="15" t="str">
        <f>IF(SUM(IO8:IP8,IR8:IT8,IV8)-SUM(IQ8,IU8)&gt;0,SUM(IO8:IP8,IR8:IT8,IV8)-SUM(IQ8,IU8),"")</f>
        <v/>
      </c>
      <c r="IZ8" s="15" t="str">
        <f>IF(SUM(IX8,IY8)&gt;0,SUM(IX8,IY8),"")</f>
        <v/>
      </c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12" t="str">
        <f>IF(SUM(JB8,JF8)&gt;0,SUM(JB8,JF8),"")</f>
        <v/>
      </c>
      <c r="JR8" s="12" t="str">
        <f>IF(SUM(JA8:JB8,JD8:JF8,JH8)-JC8-JG8&gt;0,SUM(JA8:JB8,JD8:JF8,JH8)-JC8-JG8,"")</f>
        <v/>
      </c>
      <c r="JS8" s="12" t="str">
        <f>IF(SUM(JI8:JJ8,JL8:JN8,JP8)-SUM(JK8,JO8)&gt;0,SUM(JI8:JJ8,JL8:JN8,JP8)-SUM(JK8,JO8),"")</f>
        <v/>
      </c>
      <c r="JT8" s="12" t="str">
        <f>IF(SUM(JR8,JS8)&gt;0,SUM(JR8,JS8),"")</f>
        <v/>
      </c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15" t="str">
        <f>IF(SUM(JV8,JZ8)&gt;0,SUM(JV8,JZ8),"")</f>
        <v/>
      </c>
      <c r="KL8" s="15" t="str">
        <f>IF(SUM(JU8:JV8,JX8:JZ8,KB8)-JW8-KA8&gt;0,SUM(JU8:JV8,JX8:JZ8,KB8)-JW8-KA8,"")</f>
        <v/>
      </c>
      <c r="KM8" s="15" t="str">
        <f>IF(SUM(KC8:KD8,KF8:KH8,KJ8)-SUM(KE8,KI8)&gt;0,SUM(KC8:KD8,KF8:KH8,KJ8)-SUM(KE8,KI8),"")</f>
        <v/>
      </c>
      <c r="KN8" s="15" t="str">
        <f>IF(SUM(KL8,KM8)&gt;0,SUM(KL8,KM8),"")</f>
        <v/>
      </c>
      <c r="KO8" s="63">
        <f t="shared" ref="KO8" si="9">IF($BB8="P",AL8,(Q8+AL8)/2)</f>
        <v>12.55</v>
      </c>
      <c r="KP8" s="63">
        <f t="shared" ref="KP8" si="10">IF($BB8="P",AM8,(R8+AM8)/2)</f>
        <v>1.8</v>
      </c>
      <c r="KQ8" s="63">
        <f t="shared" ref="KQ8" si="11">IF($BB8="P",AN8,(S8+AN8)/2)</f>
        <v>0</v>
      </c>
      <c r="KR8" s="63">
        <f t="shared" ref="KR8" si="12">IF($BB8="P",AO8,(T8+AO8)/2)</f>
        <v>0</v>
      </c>
      <c r="KS8" s="63">
        <f t="shared" ref="KS8" si="13">IF($BB8="P",AP8,(U8+AP8)/2)</f>
        <v>12.4</v>
      </c>
      <c r="KT8" s="63">
        <f t="shared" ref="KT8" si="14">IF($BB8="P",AQ8,(V8+AQ8)/2)</f>
        <v>2.15</v>
      </c>
      <c r="KU8" s="63">
        <f t="shared" ref="KU8" si="15">IF($BB8="P",AR8,(W8+AR8)/2)</f>
        <v>0</v>
      </c>
      <c r="KV8" s="63">
        <f t="shared" ref="KV8" si="16">IF($BB8="P",AS8,(X8+AS8)/2)</f>
        <v>0.5</v>
      </c>
      <c r="KW8" s="63">
        <f t="shared" ref="KW8" si="17">IF($BB8="P",AT8,(Y8+AT8)/2)</f>
        <v>12.8</v>
      </c>
      <c r="KX8" s="63">
        <f t="shared" ref="KX8" si="18">IF($BB8="P",AU8,(Z8+AU8)/2)</f>
        <v>1.8</v>
      </c>
      <c r="KY8" s="63">
        <f t="shared" ref="KY8" si="19">IF($BB8="P",AV8,(AA8+AV8)/2)</f>
        <v>0.15</v>
      </c>
      <c r="KZ8" s="63">
        <f t="shared" ref="KZ8" si="20">IF($BB8="P",AW8,(AB8+AW8)/2)</f>
        <v>0</v>
      </c>
      <c r="LA8" s="63">
        <f t="shared" ref="LA8" si="21">IF($BB8="P",AX8,(AC8+AX8)/2)</f>
        <v>12.1</v>
      </c>
      <c r="LB8" s="63">
        <f t="shared" ref="LB8" si="22">IF($BB8="P",AY8,(AD8+AY8)/2)</f>
        <v>0.6</v>
      </c>
      <c r="LC8" s="63">
        <f t="shared" ref="LC8" si="23">IF($BB8="P",AZ8,(AE8+AZ8)/2)</f>
        <v>0</v>
      </c>
      <c r="LD8" s="63">
        <f t="shared" ref="LD8" si="24">IF($BB8="P",BA8,(AF8+BA8)/2)</f>
        <v>0</v>
      </c>
      <c r="LE8" s="74" t="s">
        <v>119</v>
      </c>
      <c r="LF8" s="12">
        <f t="shared" ref="LF8" si="25">IF(SUM(KP8,KT8)&gt;0,SUM(KP8,KT8),"")</f>
        <v>3.95</v>
      </c>
      <c r="LG8" s="12">
        <f t="shared" ref="LG8" si="26">IF(SUM(KO8:KP8,KR8:KT8,KV8)-KQ8-KU8&gt;0,SUM(KO8:KP8,KR8:KT8,KV8)-KQ8-KU8,"")</f>
        <v>29.4</v>
      </c>
      <c r="LH8" s="12">
        <f t="shared" ref="LH8" si="27">IF(SUM(KW8:KX8,KZ8:LB8,LD8)-SUM(KY8,LC8)&gt;0,SUM(KW8:KX8,KZ8:LB8,LD8)-SUM(KY8,LC8),"")</f>
        <v>27.150000000000006</v>
      </c>
      <c r="LI8" s="12">
        <f t="shared" ref="LI8" si="28">IF(SUM(LG8,LH8)&gt;0,SUM(LG8,LH8),"")</f>
        <v>56.550000000000004</v>
      </c>
    </row>
    <row r="9" spans="1:321" ht="17" x14ac:dyDescent="0.2">
      <c r="N9" s="19"/>
      <c r="O9" s="19"/>
      <c r="P9" s="1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39"/>
      <c r="IS9" s="39"/>
      <c r="IT9" s="39"/>
      <c r="IU9" s="39"/>
      <c r="IV9" s="39"/>
    </row>
    <row r="10" spans="1:321" ht="17" x14ac:dyDescent="0.2">
      <c r="N10" s="19"/>
      <c r="O10" s="19"/>
      <c r="P10" s="19"/>
    </row>
    <row r="11" spans="1:321" ht="17" x14ac:dyDescent="0.2">
      <c r="B11" s="64" t="s">
        <v>51</v>
      </c>
      <c r="N11" s="19"/>
      <c r="O11" s="19"/>
      <c r="P11" s="19"/>
      <c r="AH11" s="50"/>
      <c r="AJ11" s="58">
        <v>7.7</v>
      </c>
      <c r="BC11" s="50"/>
      <c r="BE11" s="58">
        <v>7.7</v>
      </c>
      <c r="BY11" s="50"/>
      <c r="CA11" s="58">
        <v>7.7</v>
      </c>
      <c r="CS11" s="50"/>
      <c r="CU11" s="77">
        <v>7.7</v>
      </c>
      <c r="DM11" s="50"/>
      <c r="DO11" s="77">
        <v>7.7</v>
      </c>
      <c r="EG11" s="50"/>
      <c r="EI11" s="77">
        <v>7.7</v>
      </c>
      <c r="FA11" s="50"/>
      <c r="FC11" s="77">
        <v>7.7</v>
      </c>
      <c r="FU11" s="50"/>
      <c r="FW11" s="77">
        <v>7.7</v>
      </c>
      <c r="GO11" s="50"/>
      <c r="GQ11" s="77">
        <v>7.7</v>
      </c>
      <c r="HI11" s="50"/>
      <c r="HK11" s="77">
        <v>7.7</v>
      </c>
      <c r="IC11" s="50"/>
      <c r="IE11" s="77">
        <v>7.7</v>
      </c>
      <c r="IW11" s="50"/>
      <c r="IY11" s="77">
        <v>7.7</v>
      </c>
      <c r="JQ11" s="50"/>
      <c r="JS11" s="77">
        <v>7.7</v>
      </c>
      <c r="KK11" s="50"/>
      <c r="KM11" s="77">
        <v>7.7</v>
      </c>
    </row>
    <row r="12" spans="1:321" ht="17" x14ac:dyDescent="0.2">
      <c r="A12" s="50"/>
      <c r="B12" s="91" t="s">
        <v>76</v>
      </c>
      <c r="C12" s="49"/>
      <c r="N12" s="19"/>
      <c r="O12" s="19"/>
      <c r="P12" s="19"/>
      <c r="AH12" s="50"/>
      <c r="AJ12" s="93">
        <v>10.5</v>
      </c>
      <c r="BC12" s="50"/>
      <c r="BE12" s="93">
        <v>10.5</v>
      </c>
      <c r="BY12" s="50"/>
      <c r="CA12" s="93">
        <v>9.1</v>
      </c>
      <c r="CS12" s="50"/>
      <c r="CU12" s="94">
        <v>9.1</v>
      </c>
      <c r="DM12" s="50"/>
      <c r="DO12" s="94">
        <v>9.1</v>
      </c>
      <c r="EG12" s="50"/>
      <c r="EI12" s="94">
        <v>9.1</v>
      </c>
      <c r="FA12" s="50"/>
      <c r="FC12" s="94">
        <v>9.1</v>
      </c>
      <c r="FU12" s="50"/>
      <c r="FW12" s="94">
        <v>9.1</v>
      </c>
      <c r="GO12" s="50"/>
      <c r="GQ12" s="94">
        <v>9.1</v>
      </c>
      <c r="HI12" s="50"/>
      <c r="HK12" s="94">
        <v>9.1</v>
      </c>
      <c r="IC12" s="50"/>
      <c r="IE12" s="94">
        <v>9.1</v>
      </c>
      <c r="IW12" s="50"/>
      <c r="IY12" s="94">
        <v>9.1</v>
      </c>
      <c r="JQ12" s="50"/>
      <c r="JS12" s="94">
        <v>9.1</v>
      </c>
      <c r="KK12" s="50"/>
      <c r="KM12" s="94">
        <v>9.1</v>
      </c>
    </row>
    <row r="13" spans="1:321" ht="17" x14ac:dyDescent="0.2">
      <c r="A13" s="50"/>
      <c r="B13" s="65" t="s">
        <v>48</v>
      </c>
      <c r="C13" s="49"/>
      <c r="N13" s="19"/>
      <c r="O13" s="19"/>
      <c r="P13" s="19"/>
      <c r="AH13" s="50"/>
      <c r="AJ13" s="59">
        <v>59.9</v>
      </c>
      <c r="BC13" s="50"/>
      <c r="BE13" s="59">
        <v>59.9</v>
      </c>
      <c r="BY13" s="50"/>
      <c r="CA13" s="59">
        <v>59.9</v>
      </c>
      <c r="CS13" s="50"/>
      <c r="CU13" s="78">
        <v>59.3</v>
      </c>
      <c r="DM13" s="50"/>
      <c r="DO13" s="78">
        <v>59.3</v>
      </c>
      <c r="EG13" s="50"/>
      <c r="EI13" s="78">
        <v>59.3</v>
      </c>
      <c r="FA13" s="50"/>
      <c r="FC13" s="78">
        <v>59.3</v>
      </c>
      <c r="FU13" s="50"/>
      <c r="FW13" s="78">
        <v>59.3</v>
      </c>
      <c r="GO13" s="50"/>
      <c r="GQ13" s="78">
        <v>59.3</v>
      </c>
      <c r="HI13" s="50"/>
      <c r="HK13" s="78">
        <v>59.3</v>
      </c>
      <c r="IC13" s="50"/>
      <c r="IE13" s="78">
        <v>59.3</v>
      </c>
      <c r="IW13" s="50"/>
      <c r="IY13" s="78">
        <v>59.3</v>
      </c>
      <c r="JQ13" s="50"/>
      <c r="JS13" s="78">
        <v>59.3</v>
      </c>
      <c r="KK13" s="50"/>
      <c r="KM13" s="78">
        <v>59.3</v>
      </c>
    </row>
    <row r="14" spans="1:321" ht="17" hidden="1" x14ac:dyDescent="0.2">
      <c r="A14" s="50"/>
      <c r="B14" s="66" t="s">
        <v>49</v>
      </c>
      <c r="C14" s="49"/>
      <c r="N14" s="19"/>
      <c r="O14" s="19"/>
      <c r="P14" s="19"/>
      <c r="AH14" s="50"/>
      <c r="AJ14" s="60">
        <v>1000</v>
      </c>
      <c r="BC14" s="50"/>
      <c r="BE14" s="60">
        <v>1000</v>
      </c>
      <c r="BY14" s="50"/>
      <c r="CA14" s="79">
        <v>1000</v>
      </c>
      <c r="CS14" s="50"/>
      <c r="CU14" s="79">
        <v>1000</v>
      </c>
      <c r="DM14" s="50"/>
      <c r="DO14" s="79">
        <v>1000</v>
      </c>
      <c r="EG14" s="50"/>
      <c r="EI14" s="79">
        <v>1000</v>
      </c>
      <c r="FA14" s="50"/>
      <c r="FC14" s="79">
        <v>1000</v>
      </c>
      <c r="FU14" s="50"/>
      <c r="FW14" s="79">
        <v>1000</v>
      </c>
      <c r="GO14" s="50"/>
      <c r="GQ14" s="79">
        <v>1000</v>
      </c>
      <c r="HI14" s="50"/>
      <c r="HK14" s="79">
        <v>1000</v>
      </c>
      <c r="IC14" s="50"/>
      <c r="IE14" s="79">
        <v>1000</v>
      </c>
      <c r="IW14" s="50"/>
      <c r="IY14" s="79">
        <v>1000</v>
      </c>
      <c r="JQ14" s="50"/>
      <c r="JS14" s="79">
        <v>1000</v>
      </c>
      <c r="KK14" s="50"/>
      <c r="KM14" s="79">
        <v>1000</v>
      </c>
    </row>
    <row r="15" spans="1:321" ht="17" x14ac:dyDescent="0.2">
      <c r="A15" s="50"/>
      <c r="B15" s="67" t="s">
        <v>70</v>
      </c>
      <c r="C15" s="49"/>
      <c r="N15" s="19"/>
      <c r="O15" s="19"/>
      <c r="P15" s="19"/>
      <c r="AH15" s="50"/>
      <c r="AJ15" s="61">
        <v>64</v>
      </c>
      <c r="BC15" s="50"/>
      <c r="BE15" s="61">
        <v>64</v>
      </c>
      <c r="BY15" s="50"/>
      <c r="CA15" s="61">
        <v>64</v>
      </c>
      <c r="CS15" s="50"/>
      <c r="CU15" s="80">
        <v>60</v>
      </c>
      <c r="DM15" s="50"/>
      <c r="DO15" s="80">
        <v>60</v>
      </c>
      <c r="EG15" s="50"/>
      <c r="EI15" s="80">
        <v>60</v>
      </c>
      <c r="FA15" s="50"/>
      <c r="FC15" s="80">
        <v>60</v>
      </c>
      <c r="FU15" s="50"/>
      <c r="FW15" s="80">
        <v>60</v>
      </c>
      <c r="GO15" s="50"/>
      <c r="GQ15" s="80">
        <v>60</v>
      </c>
      <c r="HI15" s="50"/>
      <c r="HK15" s="80">
        <v>60</v>
      </c>
      <c r="IC15" s="50"/>
      <c r="IE15" s="80">
        <v>60</v>
      </c>
      <c r="IW15" s="50"/>
      <c r="IY15" s="80">
        <v>60</v>
      </c>
      <c r="JQ15" s="50"/>
      <c r="JS15" s="80">
        <v>60</v>
      </c>
      <c r="KK15" s="50"/>
      <c r="KM15" s="80">
        <v>60</v>
      </c>
    </row>
    <row r="16" spans="1:321" ht="17" hidden="1" x14ac:dyDescent="0.2">
      <c r="A16" s="50"/>
      <c r="B16" s="68" t="s">
        <v>35</v>
      </c>
      <c r="C16" s="49"/>
      <c r="N16" s="19"/>
      <c r="O16" s="19"/>
      <c r="P16" s="19"/>
      <c r="AH16" s="50"/>
      <c r="AJ16" s="62">
        <v>1000</v>
      </c>
      <c r="BC16" s="50"/>
      <c r="BE16" s="62">
        <v>1000</v>
      </c>
      <c r="BY16" s="50"/>
      <c r="CA16" s="62">
        <v>1000</v>
      </c>
      <c r="CS16" s="50"/>
      <c r="CU16" s="81">
        <v>1000</v>
      </c>
      <c r="DM16" s="50"/>
      <c r="DO16" s="81">
        <v>1000</v>
      </c>
      <c r="EG16" s="50"/>
      <c r="EI16" s="81">
        <v>1000</v>
      </c>
      <c r="FA16" s="50"/>
      <c r="FC16" s="81">
        <v>1000</v>
      </c>
      <c r="FU16" s="50"/>
      <c r="FW16" s="81">
        <v>1000</v>
      </c>
      <c r="GO16" s="50"/>
      <c r="GQ16" s="81">
        <v>1000</v>
      </c>
      <c r="HI16" s="50"/>
      <c r="HK16" s="81">
        <v>1000</v>
      </c>
      <c r="IC16" s="50"/>
      <c r="IE16" s="81">
        <v>1000</v>
      </c>
      <c r="IW16" s="50"/>
      <c r="IY16" s="81">
        <v>1000</v>
      </c>
      <c r="JQ16" s="50"/>
      <c r="JS16" s="81">
        <v>1000</v>
      </c>
      <c r="KK16" s="50"/>
      <c r="KM16" s="81">
        <v>1000</v>
      </c>
    </row>
    <row r="17" spans="1:3" x14ac:dyDescent="0.2">
      <c r="B17" s="76" t="s">
        <v>55</v>
      </c>
      <c r="C17" s="3"/>
    </row>
    <row r="18" spans="1:3" x14ac:dyDescent="0.2">
      <c r="A18" s="50"/>
      <c r="B18" s="50"/>
      <c r="C18" s="49"/>
    </row>
    <row r="19" spans="1:3" x14ac:dyDescent="0.2">
      <c r="A19" s="50"/>
      <c r="B19" s="50"/>
      <c r="C19" s="49"/>
    </row>
    <row r="20" spans="1:3" x14ac:dyDescent="0.2">
      <c r="A20" s="50"/>
      <c r="B20" s="50"/>
      <c r="C20" s="49"/>
    </row>
    <row r="21" spans="1:3" x14ac:dyDescent="0.2">
      <c r="A21" s="7"/>
      <c r="B21" s="7"/>
      <c r="C21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8">
      <sortCondition descending="1" ref="F1:F7"/>
    </sortState>
  </autoFilter>
  <mergeCells count="92">
    <mergeCell ref="KO1:LI1"/>
    <mergeCell ref="KO2:KR2"/>
    <mergeCell ref="KS2:KV2"/>
    <mergeCell ref="KW2:KZ2"/>
    <mergeCell ref="LA2:LD2"/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  <mergeCell ref="KC2:KF2"/>
    <mergeCell ref="KG2:KJ2"/>
    <mergeCell ref="JA2:JD2"/>
    <mergeCell ref="JE2:JH2"/>
    <mergeCell ref="JI2:JL2"/>
    <mergeCell ref="JM2:JP2"/>
    <mergeCell ref="JU2:JX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</mergeCells>
  <conditionalFormatting sqref="A1:A1048576">
    <cfRule type="expression" dxfId="74" priority="72">
      <formula>AND(H1="P",F1="")</formula>
    </cfRule>
  </conditionalFormatting>
  <conditionalFormatting sqref="Q4:AK8">
    <cfRule type="expression" dxfId="73" priority="31">
      <formula>IF($AG4&lt;&gt;"",1,0)</formula>
    </cfRule>
  </conditionalFormatting>
  <conditionalFormatting sqref="AL4:BF8">
    <cfRule type="expression" dxfId="72" priority="28">
      <formula>IF($BB4&lt;&gt;"",1,0)</formula>
    </cfRule>
  </conditionalFormatting>
  <conditionalFormatting sqref="M1:M1048576 K1:K1048576">
    <cfRule type="expression" dxfId="71" priority="9028">
      <formula>IF(K1=$AL$1,1,0)</formula>
    </cfRule>
    <cfRule type="expression" dxfId="70" priority="9029">
      <formula>IF(K1=$Q$1,1,0)</formula>
    </cfRule>
  </conditionalFormatting>
  <conditionalFormatting sqref="I1:I1048576">
    <cfRule type="containsText" dxfId="69" priority="1" operator="containsText" text="No DD">
      <formula>NOT(ISERROR(SEARCH("No DD",I1)))</formula>
    </cfRule>
    <cfRule type="containsText" dxfId="68" priority="2" operator="containsText" text="Merit">
      <formula>NOT(ISERROR(SEARCH("Merit",I1)))</formula>
    </cfRule>
    <cfRule type="containsText" dxfId="67" priority="3" operator="containsText" text="Excellence">
      <formula>NOT(ISERROR(SEARCH("Excellence",I1)))</formula>
    </cfRule>
    <cfRule type="containsText" dxfId="66" priority="4" operator="containsText" text="Worlds Team">
      <formula>NOT(ISERROR(SEARCH("Worlds Team",I1)))</formula>
    </cfRule>
    <cfRule type="containsText" dxfId="65" priority="5" operator="containsText" text="National Team">
      <formula>NOT(ISERROR(SEARCH("National Team",I1)))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64" priority="12022" operator="between">
      <formula>CA$12</formula>
      <formula>100</formula>
    </cfRule>
    <cfRule type="cellIs" dxfId="63" priority="12023" operator="between">
      <formula>CA$11</formula>
      <formula>CA$12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62" priority="12094" operator="between">
      <formula>CA$16</formula>
      <formula>1000</formula>
    </cfRule>
    <cfRule type="cellIs" dxfId="61" priority="12095" operator="between">
      <formula>CA$15</formula>
      <formula>CA$16</formula>
    </cfRule>
    <cfRule type="cellIs" dxfId="60" priority="12096" operator="between">
      <formula>CA$14</formula>
      <formula>CA$15</formula>
    </cfRule>
    <cfRule type="cellIs" dxfId="59" priority="12097" operator="between">
      <formula>CA$13</formula>
      <formula>CA$14</formula>
    </cfRule>
  </conditionalFormatting>
  <conditionalFormatting sqref="AH1:AH1048576 BC1:BC1048576">
    <cfRule type="expression" dxfId="58" priority="13243">
      <formula>IF(AND(AH1&gt;=AJ$12,AH1&lt;1000,AG1=""),1,0)</formula>
    </cfRule>
    <cfRule type="expression" dxfId="57" priority="13244">
      <formula>IF(AND(AH1&gt;=AJ$11,AH1&lt;AJ$12,AG1=""),1,0)</formula>
    </cfRule>
  </conditionalFormatting>
  <conditionalFormatting sqref="BD1:BD1048576 AI1:AI1048576">
    <cfRule type="expression" dxfId="56" priority="13251">
      <formula>IF(AND(AI1&gt;=AJ$16,AI1&lt;1000,AG1=""),1,0)</formula>
    </cfRule>
    <cfRule type="expression" dxfId="55" priority="13252">
      <formula>IF(AND(AI1&gt;=AJ$15,AI1&lt;AJ$16,AG1=""),1,0)</formula>
    </cfRule>
    <cfRule type="expression" dxfId="54" priority="13253">
      <formula>IF(AND(AI1&gt;=AJ$14,AI1&lt;AJ$15,AG1=""),1,0)</formula>
    </cfRule>
    <cfRule type="expression" dxfId="53" priority="13254">
      <formula>IF(AND(AI1&gt;=AJ$13,AI1&lt;AJ$14,AG1=""),1,0)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12" t="s">
        <v>1</v>
      </c>
      <c r="B1" s="112" t="s">
        <v>26</v>
      </c>
      <c r="C1" s="112" t="s">
        <v>0</v>
      </c>
      <c r="D1" s="112" t="s">
        <v>56</v>
      </c>
      <c r="E1" s="112" t="s">
        <v>2</v>
      </c>
      <c r="F1" s="119" t="s">
        <v>68</v>
      </c>
      <c r="G1" s="119" t="s">
        <v>69</v>
      </c>
      <c r="H1" s="119" t="s">
        <v>8</v>
      </c>
      <c r="I1" s="112" t="s">
        <v>9</v>
      </c>
      <c r="J1" s="126" t="s">
        <v>72</v>
      </c>
      <c r="K1" s="114" t="s">
        <v>33</v>
      </c>
      <c r="L1" s="126" t="s">
        <v>71</v>
      </c>
      <c r="M1" s="114" t="s">
        <v>33</v>
      </c>
      <c r="N1" s="116" t="s">
        <v>14</v>
      </c>
      <c r="O1" s="114" t="s">
        <v>34</v>
      </c>
      <c r="P1" s="114" t="s">
        <v>33</v>
      </c>
      <c r="Q1" s="115" t="s">
        <v>53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7" t="s">
        <v>122</v>
      </c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8" t="s">
        <v>67</v>
      </c>
      <c r="BJ1" s="118"/>
      <c r="BK1" s="124" t="s">
        <v>65</v>
      </c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4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4"/>
      <c r="DB1" s="124"/>
      <c r="DC1" s="124"/>
      <c r="DD1" s="124"/>
      <c r="DE1" s="124"/>
      <c r="DF1" s="124"/>
      <c r="DG1" s="124"/>
      <c r="DH1" s="124"/>
      <c r="DI1" s="124"/>
      <c r="DJ1" s="124"/>
      <c r="DK1" s="124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4"/>
      <c r="ER1" s="124"/>
      <c r="ES1" s="124"/>
      <c r="ET1" s="124"/>
      <c r="EU1" s="124"/>
      <c r="EV1" s="124"/>
      <c r="EW1" s="124"/>
      <c r="EX1" s="124"/>
      <c r="EY1" s="124"/>
      <c r="EZ1" s="124"/>
      <c r="FA1" s="124"/>
      <c r="FB1" s="124"/>
      <c r="FC1" s="124"/>
      <c r="FD1" s="124"/>
      <c r="FE1" s="124"/>
      <c r="FF1" s="124"/>
      <c r="FG1" s="124"/>
      <c r="FH1" s="124"/>
      <c r="FI1" s="124"/>
      <c r="FJ1" s="124"/>
      <c r="FK1" s="124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4"/>
      <c r="GH1" s="124"/>
      <c r="GI1" s="124"/>
      <c r="GJ1" s="124"/>
      <c r="GK1" s="124"/>
      <c r="GL1" s="124"/>
      <c r="GM1" s="124"/>
      <c r="GN1" s="124"/>
      <c r="GO1" s="124"/>
      <c r="GP1" s="124"/>
      <c r="GQ1" s="124"/>
      <c r="GR1" s="124"/>
      <c r="GS1" s="124"/>
      <c r="GT1" s="124"/>
      <c r="GU1" s="124"/>
      <c r="GV1" s="124"/>
      <c r="GW1" s="124"/>
      <c r="GX1" s="124"/>
      <c r="GY1" s="124"/>
      <c r="GZ1" s="124"/>
      <c r="HA1" s="124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4"/>
      <c r="HX1" s="124"/>
      <c r="HY1" s="124"/>
      <c r="HZ1" s="124"/>
      <c r="IA1" s="124"/>
      <c r="IB1" s="124"/>
      <c r="IC1" s="124"/>
      <c r="ID1" s="124"/>
      <c r="IE1" s="124"/>
      <c r="IF1" s="124"/>
      <c r="IG1" s="124"/>
      <c r="IH1" s="124"/>
      <c r="II1" s="124"/>
      <c r="IJ1" s="124"/>
      <c r="IK1" s="124"/>
      <c r="IL1" s="124"/>
      <c r="IM1" s="124"/>
      <c r="IN1" s="124"/>
      <c r="IO1" s="124"/>
      <c r="IP1" s="124"/>
      <c r="IQ1" s="124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4"/>
      <c r="JN1" s="124"/>
      <c r="JO1" s="124"/>
      <c r="JP1" s="124"/>
      <c r="JQ1" s="124"/>
      <c r="JR1" s="124"/>
      <c r="JS1" s="124"/>
      <c r="JT1" s="124"/>
      <c r="JU1" s="124"/>
      <c r="JV1" s="124"/>
      <c r="JW1" s="124"/>
      <c r="JX1" s="124"/>
      <c r="JY1" s="124"/>
      <c r="JZ1" s="124"/>
      <c r="KA1" s="124"/>
      <c r="KB1" s="124"/>
      <c r="KC1" s="124"/>
      <c r="KD1" s="124"/>
      <c r="KE1" s="124"/>
      <c r="KF1" s="124"/>
      <c r="KG1" s="124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15" t="s">
        <v>120</v>
      </c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</row>
    <row r="2" spans="1:336" x14ac:dyDescent="0.2">
      <c r="A2" s="112"/>
      <c r="B2" s="112"/>
      <c r="C2" s="112"/>
      <c r="D2" s="112"/>
      <c r="E2" s="112"/>
      <c r="F2" s="119"/>
      <c r="G2" s="119"/>
      <c r="H2" s="119"/>
      <c r="I2" s="112"/>
      <c r="J2" s="126"/>
      <c r="K2" s="114"/>
      <c r="L2" s="126"/>
      <c r="M2" s="114"/>
      <c r="N2" s="116"/>
      <c r="O2" s="114"/>
      <c r="P2" s="114"/>
      <c r="Q2" s="110" t="s">
        <v>27</v>
      </c>
      <c r="R2" s="110"/>
      <c r="S2" s="110"/>
      <c r="T2" s="110"/>
      <c r="U2" s="110" t="s">
        <v>30</v>
      </c>
      <c r="V2" s="110"/>
      <c r="W2" s="110"/>
      <c r="X2" s="110"/>
      <c r="Y2" s="110" t="s">
        <v>31</v>
      </c>
      <c r="Z2" s="110"/>
      <c r="AA2" s="110"/>
      <c r="AB2" s="110"/>
      <c r="AC2" s="121" t="s">
        <v>32</v>
      </c>
      <c r="AD2" s="121"/>
      <c r="AE2" s="121"/>
      <c r="AF2" s="121"/>
      <c r="AG2" s="72"/>
      <c r="AH2" s="86" t="s">
        <v>25</v>
      </c>
      <c r="AI2" s="52" t="s">
        <v>77</v>
      </c>
      <c r="AJ2" s="10" t="s">
        <v>24</v>
      </c>
      <c r="AK2" s="10" t="s">
        <v>23</v>
      </c>
      <c r="AL2" s="10" t="s">
        <v>18</v>
      </c>
      <c r="AM2" s="111" t="s">
        <v>27</v>
      </c>
      <c r="AN2" s="111"/>
      <c r="AO2" s="111"/>
      <c r="AP2" s="111"/>
      <c r="AQ2" s="111" t="s">
        <v>30</v>
      </c>
      <c r="AR2" s="111"/>
      <c r="AS2" s="111"/>
      <c r="AT2" s="111"/>
      <c r="AU2" s="111" t="s">
        <v>31</v>
      </c>
      <c r="AV2" s="111"/>
      <c r="AW2" s="111"/>
      <c r="AX2" s="111"/>
      <c r="AY2" s="123" t="s">
        <v>32</v>
      </c>
      <c r="AZ2" s="123"/>
      <c r="BA2" s="123"/>
      <c r="BB2" s="123"/>
      <c r="BC2" s="73"/>
      <c r="BD2" s="87" t="s">
        <v>25</v>
      </c>
      <c r="BE2" s="87" t="s">
        <v>77</v>
      </c>
      <c r="BF2" s="13" t="s">
        <v>24</v>
      </c>
      <c r="BG2" s="13" t="s">
        <v>23</v>
      </c>
      <c r="BH2" s="13" t="s">
        <v>18</v>
      </c>
      <c r="BI2" s="22" t="s">
        <v>74</v>
      </c>
      <c r="BJ2" s="22" t="s">
        <v>73</v>
      </c>
      <c r="BK2" s="110" t="s">
        <v>27</v>
      </c>
      <c r="BL2" s="110"/>
      <c r="BM2" s="110"/>
      <c r="BN2" s="110"/>
      <c r="BO2" s="110" t="s">
        <v>30</v>
      </c>
      <c r="BP2" s="110"/>
      <c r="BQ2" s="110"/>
      <c r="BR2" s="110"/>
      <c r="BS2" s="110" t="s">
        <v>31</v>
      </c>
      <c r="BT2" s="110"/>
      <c r="BU2" s="110"/>
      <c r="BV2" s="110"/>
      <c r="BW2" s="121" t="s">
        <v>32</v>
      </c>
      <c r="BX2" s="121"/>
      <c r="BY2" s="121"/>
      <c r="BZ2" s="121"/>
      <c r="CA2" s="86" t="s">
        <v>25</v>
      </c>
      <c r="CB2" s="86" t="s">
        <v>77</v>
      </c>
      <c r="CC2" s="10" t="s">
        <v>24</v>
      </c>
      <c r="CD2" s="10" t="s">
        <v>23</v>
      </c>
      <c r="CE2" s="10" t="s">
        <v>18</v>
      </c>
      <c r="CF2" s="123" t="s">
        <v>27</v>
      </c>
      <c r="CG2" s="123"/>
      <c r="CH2" s="123"/>
      <c r="CI2" s="123"/>
      <c r="CJ2" s="123" t="s">
        <v>30</v>
      </c>
      <c r="CK2" s="123"/>
      <c r="CL2" s="123"/>
      <c r="CM2" s="123"/>
      <c r="CN2" s="123" t="s">
        <v>31</v>
      </c>
      <c r="CO2" s="123"/>
      <c r="CP2" s="123"/>
      <c r="CQ2" s="123"/>
      <c r="CR2" s="123" t="s">
        <v>32</v>
      </c>
      <c r="CS2" s="123"/>
      <c r="CT2" s="123"/>
      <c r="CU2" s="123"/>
      <c r="CV2" s="87" t="s">
        <v>25</v>
      </c>
      <c r="CW2" s="87" t="s">
        <v>77</v>
      </c>
      <c r="CX2" s="17" t="s">
        <v>24</v>
      </c>
      <c r="CY2" s="17" t="s">
        <v>23</v>
      </c>
      <c r="CZ2" s="17" t="s">
        <v>18</v>
      </c>
      <c r="DA2" s="121" t="s">
        <v>27</v>
      </c>
      <c r="DB2" s="121"/>
      <c r="DC2" s="121"/>
      <c r="DD2" s="121"/>
      <c r="DE2" s="121" t="s">
        <v>30</v>
      </c>
      <c r="DF2" s="121"/>
      <c r="DG2" s="121"/>
      <c r="DH2" s="121"/>
      <c r="DI2" s="121" t="s">
        <v>31</v>
      </c>
      <c r="DJ2" s="121"/>
      <c r="DK2" s="121"/>
      <c r="DL2" s="121"/>
      <c r="DM2" s="121" t="s">
        <v>32</v>
      </c>
      <c r="DN2" s="121"/>
      <c r="DO2" s="121"/>
      <c r="DP2" s="121"/>
      <c r="DQ2" s="86" t="s">
        <v>25</v>
      </c>
      <c r="DR2" s="86" t="s">
        <v>77</v>
      </c>
      <c r="DS2" s="18" t="s">
        <v>24</v>
      </c>
      <c r="DT2" s="18" t="s">
        <v>23</v>
      </c>
      <c r="DU2" s="18" t="s">
        <v>18</v>
      </c>
      <c r="DV2" s="123" t="s">
        <v>27</v>
      </c>
      <c r="DW2" s="123"/>
      <c r="DX2" s="123"/>
      <c r="DY2" s="123"/>
      <c r="DZ2" s="123" t="s">
        <v>30</v>
      </c>
      <c r="EA2" s="123"/>
      <c r="EB2" s="123"/>
      <c r="EC2" s="123"/>
      <c r="ED2" s="123" t="s">
        <v>31</v>
      </c>
      <c r="EE2" s="123"/>
      <c r="EF2" s="123"/>
      <c r="EG2" s="123"/>
      <c r="EH2" s="123" t="s">
        <v>32</v>
      </c>
      <c r="EI2" s="123"/>
      <c r="EJ2" s="123"/>
      <c r="EK2" s="123"/>
      <c r="EL2" s="87" t="s">
        <v>25</v>
      </c>
      <c r="EM2" s="87" t="s">
        <v>77</v>
      </c>
      <c r="EN2" s="17" t="s">
        <v>24</v>
      </c>
      <c r="EO2" s="17" t="s">
        <v>23</v>
      </c>
      <c r="EP2" s="17" t="s">
        <v>18</v>
      </c>
      <c r="EQ2" s="121" t="s">
        <v>27</v>
      </c>
      <c r="ER2" s="121"/>
      <c r="ES2" s="121"/>
      <c r="ET2" s="121"/>
      <c r="EU2" s="121" t="s">
        <v>30</v>
      </c>
      <c r="EV2" s="121"/>
      <c r="EW2" s="121"/>
      <c r="EX2" s="121"/>
      <c r="EY2" s="121" t="s">
        <v>31</v>
      </c>
      <c r="EZ2" s="121"/>
      <c r="FA2" s="121"/>
      <c r="FB2" s="121"/>
      <c r="FC2" s="121" t="s">
        <v>32</v>
      </c>
      <c r="FD2" s="121"/>
      <c r="FE2" s="121"/>
      <c r="FF2" s="121"/>
      <c r="FG2" s="86" t="s">
        <v>25</v>
      </c>
      <c r="FH2" s="86" t="s">
        <v>77</v>
      </c>
      <c r="FI2" s="18" t="s">
        <v>24</v>
      </c>
      <c r="FJ2" s="18" t="s">
        <v>23</v>
      </c>
      <c r="FK2" s="18" t="s">
        <v>18</v>
      </c>
      <c r="FL2" s="123" t="s">
        <v>27</v>
      </c>
      <c r="FM2" s="123"/>
      <c r="FN2" s="123"/>
      <c r="FO2" s="123"/>
      <c r="FP2" s="123" t="s">
        <v>30</v>
      </c>
      <c r="FQ2" s="123"/>
      <c r="FR2" s="123"/>
      <c r="FS2" s="123"/>
      <c r="FT2" s="123" t="s">
        <v>31</v>
      </c>
      <c r="FU2" s="123"/>
      <c r="FV2" s="123"/>
      <c r="FW2" s="123"/>
      <c r="FX2" s="123" t="s">
        <v>32</v>
      </c>
      <c r="FY2" s="123"/>
      <c r="FZ2" s="123"/>
      <c r="GA2" s="123"/>
      <c r="GB2" s="88" t="s">
        <v>25</v>
      </c>
      <c r="GC2" s="88" t="s">
        <v>77</v>
      </c>
      <c r="GD2" s="17" t="s">
        <v>24</v>
      </c>
      <c r="GE2" s="17" t="s">
        <v>23</v>
      </c>
      <c r="GF2" s="17" t="s">
        <v>18</v>
      </c>
      <c r="GG2" s="121" t="s">
        <v>27</v>
      </c>
      <c r="GH2" s="121"/>
      <c r="GI2" s="121"/>
      <c r="GJ2" s="121"/>
      <c r="GK2" s="121" t="s">
        <v>30</v>
      </c>
      <c r="GL2" s="121"/>
      <c r="GM2" s="121"/>
      <c r="GN2" s="121"/>
      <c r="GO2" s="121" t="s">
        <v>31</v>
      </c>
      <c r="GP2" s="121"/>
      <c r="GQ2" s="121"/>
      <c r="GR2" s="121"/>
      <c r="GS2" s="121" t="s">
        <v>32</v>
      </c>
      <c r="GT2" s="121"/>
      <c r="GU2" s="121"/>
      <c r="GV2" s="121"/>
      <c r="GW2" s="89" t="s">
        <v>25</v>
      </c>
      <c r="GX2" s="89" t="s">
        <v>77</v>
      </c>
      <c r="GY2" s="18" t="s">
        <v>24</v>
      </c>
      <c r="GZ2" s="18" t="s">
        <v>23</v>
      </c>
      <c r="HA2" s="18" t="s">
        <v>18</v>
      </c>
      <c r="HB2" s="123" t="s">
        <v>27</v>
      </c>
      <c r="HC2" s="123"/>
      <c r="HD2" s="123"/>
      <c r="HE2" s="123"/>
      <c r="HF2" s="123" t="s">
        <v>30</v>
      </c>
      <c r="HG2" s="123"/>
      <c r="HH2" s="123"/>
      <c r="HI2" s="123"/>
      <c r="HJ2" s="123" t="s">
        <v>31</v>
      </c>
      <c r="HK2" s="123"/>
      <c r="HL2" s="123"/>
      <c r="HM2" s="123"/>
      <c r="HN2" s="123" t="s">
        <v>32</v>
      </c>
      <c r="HO2" s="123"/>
      <c r="HP2" s="123"/>
      <c r="HQ2" s="123"/>
      <c r="HR2" s="88" t="s">
        <v>25</v>
      </c>
      <c r="HS2" s="88" t="s">
        <v>77</v>
      </c>
      <c r="HT2" s="17" t="s">
        <v>24</v>
      </c>
      <c r="HU2" s="17" t="s">
        <v>23</v>
      </c>
      <c r="HV2" s="17" t="s">
        <v>18</v>
      </c>
      <c r="HW2" s="121" t="s">
        <v>27</v>
      </c>
      <c r="HX2" s="121"/>
      <c r="HY2" s="121"/>
      <c r="HZ2" s="121"/>
      <c r="IA2" s="121" t="s">
        <v>30</v>
      </c>
      <c r="IB2" s="121"/>
      <c r="IC2" s="121"/>
      <c r="ID2" s="121"/>
      <c r="IE2" s="121" t="s">
        <v>31</v>
      </c>
      <c r="IF2" s="121"/>
      <c r="IG2" s="121"/>
      <c r="IH2" s="121"/>
      <c r="II2" s="121" t="s">
        <v>32</v>
      </c>
      <c r="IJ2" s="121"/>
      <c r="IK2" s="121"/>
      <c r="IL2" s="121"/>
      <c r="IM2" s="89" t="s">
        <v>25</v>
      </c>
      <c r="IN2" s="89" t="s">
        <v>77</v>
      </c>
      <c r="IO2" s="18" t="s">
        <v>24</v>
      </c>
      <c r="IP2" s="18" t="s">
        <v>23</v>
      </c>
      <c r="IQ2" s="18" t="s">
        <v>18</v>
      </c>
      <c r="IR2" s="123" t="s">
        <v>27</v>
      </c>
      <c r="IS2" s="123"/>
      <c r="IT2" s="123"/>
      <c r="IU2" s="123"/>
      <c r="IV2" s="123" t="s">
        <v>30</v>
      </c>
      <c r="IW2" s="123"/>
      <c r="IX2" s="123"/>
      <c r="IY2" s="123"/>
      <c r="IZ2" s="123" t="s">
        <v>31</v>
      </c>
      <c r="JA2" s="123"/>
      <c r="JB2" s="123"/>
      <c r="JC2" s="123"/>
      <c r="JD2" s="123" t="s">
        <v>32</v>
      </c>
      <c r="JE2" s="123"/>
      <c r="JF2" s="123"/>
      <c r="JG2" s="123"/>
      <c r="JH2" s="88" t="s">
        <v>25</v>
      </c>
      <c r="JI2" s="88" t="s">
        <v>77</v>
      </c>
      <c r="JJ2" s="17" t="s">
        <v>24</v>
      </c>
      <c r="JK2" s="17" t="s">
        <v>23</v>
      </c>
      <c r="JL2" s="17" t="s">
        <v>18</v>
      </c>
      <c r="JM2" s="121" t="s">
        <v>27</v>
      </c>
      <c r="JN2" s="121"/>
      <c r="JO2" s="121"/>
      <c r="JP2" s="121"/>
      <c r="JQ2" s="121" t="s">
        <v>30</v>
      </c>
      <c r="JR2" s="121"/>
      <c r="JS2" s="121"/>
      <c r="JT2" s="121"/>
      <c r="JU2" s="121" t="s">
        <v>31</v>
      </c>
      <c r="JV2" s="121"/>
      <c r="JW2" s="121"/>
      <c r="JX2" s="121"/>
      <c r="JY2" s="121" t="s">
        <v>32</v>
      </c>
      <c r="JZ2" s="121"/>
      <c r="KA2" s="121"/>
      <c r="KB2" s="121"/>
      <c r="KC2" s="89" t="s">
        <v>25</v>
      </c>
      <c r="KD2" s="89" t="s">
        <v>77</v>
      </c>
      <c r="KE2" s="18" t="s">
        <v>24</v>
      </c>
      <c r="KF2" s="18" t="s">
        <v>23</v>
      </c>
      <c r="KG2" s="18" t="s">
        <v>18</v>
      </c>
      <c r="KH2" s="123" t="s">
        <v>27</v>
      </c>
      <c r="KI2" s="123"/>
      <c r="KJ2" s="123"/>
      <c r="KK2" s="123"/>
      <c r="KL2" s="123" t="s">
        <v>30</v>
      </c>
      <c r="KM2" s="123"/>
      <c r="KN2" s="123"/>
      <c r="KO2" s="123"/>
      <c r="KP2" s="123" t="s">
        <v>31</v>
      </c>
      <c r="KQ2" s="123"/>
      <c r="KR2" s="123"/>
      <c r="KS2" s="123"/>
      <c r="KT2" s="123" t="s">
        <v>32</v>
      </c>
      <c r="KU2" s="123"/>
      <c r="KV2" s="123"/>
      <c r="KW2" s="123"/>
      <c r="KX2" s="88" t="s">
        <v>25</v>
      </c>
      <c r="KY2" s="88" t="s">
        <v>77</v>
      </c>
      <c r="KZ2" s="17" t="s">
        <v>24</v>
      </c>
      <c r="LA2" s="17" t="s">
        <v>23</v>
      </c>
      <c r="LB2" s="17" t="s">
        <v>18</v>
      </c>
      <c r="LC2" s="110" t="s">
        <v>27</v>
      </c>
      <c r="LD2" s="110"/>
      <c r="LE2" s="110"/>
      <c r="LF2" s="110"/>
      <c r="LG2" s="110" t="s">
        <v>30</v>
      </c>
      <c r="LH2" s="110"/>
      <c r="LI2" s="110"/>
      <c r="LJ2" s="110"/>
      <c r="LK2" s="110" t="s">
        <v>31</v>
      </c>
      <c r="LL2" s="110"/>
      <c r="LM2" s="110"/>
      <c r="LN2" s="110"/>
      <c r="LO2" s="121" t="s">
        <v>32</v>
      </c>
      <c r="LP2" s="121"/>
      <c r="LQ2" s="121"/>
      <c r="LR2" s="121"/>
      <c r="LS2" s="105"/>
      <c r="LT2" s="105" t="s">
        <v>25</v>
      </c>
      <c r="LU2" s="105" t="s">
        <v>77</v>
      </c>
      <c r="LV2" s="10" t="s">
        <v>24</v>
      </c>
      <c r="LW2" s="10" t="s">
        <v>23</v>
      </c>
      <c r="LX2" s="10" t="s">
        <v>18</v>
      </c>
    </row>
    <row r="3" spans="1:336" x14ac:dyDescent="0.2">
      <c r="A3" s="112"/>
      <c r="B3" s="112"/>
      <c r="C3" s="112"/>
      <c r="D3" s="112"/>
      <c r="E3" s="112"/>
      <c r="F3" s="119"/>
      <c r="G3" s="119"/>
      <c r="H3" s="119"/>
      <c r="I3" s="112"/>
      <c r="J3" s="126"/>
      <c r="K3" s="114"/>
      <c r="L3" s="126"/>
      <c r="M3" s="114"/>
      <c r="N3" s="116"/>
      <c r="O3" s="114"/>
      <c r="P3" s="114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54</v>
      </c>
      <c r="AH3" s="11"/>
      <c r="AI3" s="11"/>
      <c r="AJ3" s="10"/>
      <c r="AK3" s="11"/>
      <c r="AL3" s="11"/>
      <c r="AM3" s="51" t="s">
        <v>15</v>
      </c>
      <c r="AN3" s="51" t="s">
        <v>7</v>
      </c>
      <c r="AO3" s="51" t="s">
        <v>28</v>
      </c>
      <c r="AP3" s="51" t="s">
        <v>29</v>
      </c>
      <c r="AQ3" s="51" t="s">
        <v>15</v>
      </c>
      <c r="AR3" s="51" t="s">
        <v>7</v>
      </c>
      <c r="AS3" s="51" t="s">
        <v>28</v>
      </c>
      <c r="AT3" s="51" t="s">
        <v>29</v>
      </c>
      <c r="AU3" s="51" t="s">
        <v>15</v>
      </c>
      <c r="AV3" s="51" t="s">
        <v>7</v>
      </c>
      <c r="AW3" s="51" t="s">
        <v>28</v>
      </c>
      <c r="AX3" s="51" t="s">
        <v>29</v>
      </c>
      <c r="AY3" s="56" t="s">
        <v>15</v>
      </c>
      <c r="AZ3" s="56" t="s">
        <v>7</v>
      </c>
      <c r="BA3" s="56" t="s">
        <v>28</v>
      </c>
      <c r="BB3" s="56" t="s">
        <v>29</v>
      </c>
      <c r="BC3" s="73" t="s">
        <v>54</v>
      </c>
      <c r="BD3" s="14"/>
      <c r="BE3" s="14"/>
      <c r="BF3" s="13"/>
      <c r="BG3" s="14"/>
      <c r="BH3" s="14"/>
      <c r="BI3" s="23"/>
      <c r="BJ3" s="23"/>
      <c r="BK3" s="52" t="s">
        <v>15</v>
      </c>
      <c r="BL3" s="52" t="s">
        <v>7</v>
      </c>
      <c r="BM3" s="52" t="s">
        <v>28</v>
      </c>
      <c r="BN3" s="52" t="s">
        <v>29</v>
      </c>
      <c r="BO3" s="52" t="s">
        <v>15</v>
      </c>
      <c r="BP3" s="52" t="s">
        <v>7</v>
      </c>
      <c r="BQ3" s="52" t="s">
        <v>28</v>
      </c>
      <c r="BR3" s="52" t="s">
        <v>29</v>
      </c>
      <c r="BS3" s="52" t="s">
        <v>15</v>
      </c>
      <c r="BT3" s="52" t="s">
        <v>7</v>
      </c>
      <c r="BU3" s="52" t="s">
        <v>28</v>
      </c>
      <c r="BV3" s="52" t="s">
        <v>29</v>
      </c>
      <c r="BW3" s="55" t="s">
        <v>15</v>
      </c>
      <c r="BX3" s="55" t="s">
        <v>7</v>
      </c>
      <c r="BY3" s="55" t="s">
        <v>28</v>
      </c>
      <c r="BZ3" s="55" t="s">
        <v>29</v>
      </c>
      <c r="CA3" s="11"/>
      <c r="CB3" s="11"/>
      <c r="CC3" s="10"/>
      <c r="CD3" s="11"/>
      <c r="CE3" s="11"/>
      <c r="CF3" s="56" t="s">
        <v>15</v>
      </c>
      <c r="CG3" s="56" t="s">
        <v>7</v>
      </c>
      <c r="CH3" s="56" t="s">
        <v>28</v>
      </c>
      <c r="CI3" s="56" t="s">
        <v>29</v>
      </c>
      <c r="CJ3" s="56" t="s">
        <v>15</v>
      </c>
      <c r="CK3" s="56" t="s">
        <v>7</v>
      </c>
      <c r="CL3" s="56" t="s">
        <v>28</v>
      </c>
      <c r="CM3" s="56" t="s">
        <v>29</v>
      </c>
      <c r="CN3" s="56" t="s">
        <v>15</v>
      </c>
      <c r="CO3" s="56" t="s">
        <v>7</v>
      </c>
      <c r="CP3" s="56" t="s">
        <v>28</v>
      </c>
      <c r="CQ3" s="56" t="s">
        <v>29</v>
      </c>
      <c r="CR3" s="56" t="s">
        <v>15</v>
      </c>
      <c r="CS3" s="56" t="s">
        <v>7</v>
      </c>
      <c r="CT3" s="56" t="s">
        <v>28</v>
      </c>
      <c r="CU3" s="56" t="s">
        <v>29</v>
      </c>
      <c r="CV3" s="14"/>
      <c r="CW3" s="14"/>
      <c r="CX3" s="17"/>
      <c r="CY3" s="17"/>
      <c r="CZ3" s="17"/>
      <c r="DA3" s="55" t="s">
        <v>15</v>
      </c>
      <c r="DB3" s="55" t="s">
        <v>7</v>
      </c>
      <c r="DC3" s="55" t="s">
        <v>28</v>
      </c>
      <c r="DD3" s="55" t="s">
        <v>29</v>
      </c>
      <c r="DE3" s="55" t="s">
        <v>15</v>
      </c>
      <c r="DF3" s="55" t="s">
        <v>7</v>
      </c>
      <c r="DG3" s="55" t="s">
        <v>28</v>
      </c>
      <c r="DH3" s="55" t="s">
        <v>29</v>
      </c>
      <c r="DI3" s="55" t="s">
        <v>15</v>
      </c>
      <c r="DJ3" s="55" t="s">
        <v>7</v>
      </c>
      <c r="DK3" s="55" t="s">
        <v>28</v>
      </c>
      <c r="DL3" s="55" t="s">
        <v>29</v>
      </c>
      <c r="DM3" s="55" t="s">
        <v>15</v>
      </c>
      <c r="DN3" s="55" t="s">
        <v>7</v>
      </c>
      <c r="DO3" s="55" t="s">
        <v>28</v>
      </c>
      <c r="DP3" s="55" t="s">
        <v>29</v>
      </c>
      <c r="DQ3" s="11"/>
      <c r="DR3" s="11"/>
      <c r="DS3" s="18"/>
      <c r="DT3" s="18"/>
      <c r="DU3" s="18"/>
      <c r="DV3" s="56" t="s">
        <v>15</v>
      </c>
      <c r="DW3" s="56" t="s">
        <v>7</v>
      </c>
      <c r="DX3" s="56" t="s">
        <v>28</v>
      </c>
      <c r="DY3" s="56" t="s">
        <v>29</v>
      </c>
      <c r="DZ3" s="56" t="s">
        <v>15</v>
      </c>
      <c r="EA3" s="56" t="s">
        <v>7</v>
      </c>
      <c r="EB3" s="56" t="s">
        <v>28</v>
      </c>
      <c r="EC3" s="56" t="s">
        <v>29</v>
      </c>
      <c r="ED3" s="56" t="s">
        <v>15</v>
      </c>
      <c r="EE3" s="56" t="s">
        <v>7</v>
      </c>
      <c r="EF3" s="56" t="s">
        <v>28</v>
      </c>
      <c r="EG3" s="56" t="s">
        <v>29</v>
      </c>
      <c r="EH3" s="56" t="s">
        <v>15</v>
      </c>
      <c r="EI3" s="56" t="s">
        <v>7</v>
      </c>
      <c r="EJ3" s="56" t="s">
        <v>28</v>
      </c>
      <c r="EK3" s="56" t="s">
        <v>29</v>
      </c>
      <c r="EL3" s="14"/>
      <c r="EM3" s="14"/>
      <c r="EN3" s="17"/>
      <c r="EO3" s="17"/>
      <c r="EP3" s="17"/>
      <c r="EQ3" s="33" t="s">
        <v>15</v>
      </c>
      <c r="ER3" s="33" t="s">
        <v>7</v>
      </c>
      <c r="ES3" s="33" t="s">
        <v>28</v>
      </c>
      <c r="ET3" s="33" t="s">
        <v>29</v>
      </c>
      <c r="EU3" s="33" t="s">
        <v>15</v>
      </c>
      <c r="EV3" s="33" t="s">
        <v>7</v>
      </c>
      <c r="EW3" s="33" t="s">
        <v>28</v>
      </c>
      <c r="EX3" s="33" t="s">
        <v>29</v>
      </c>
      <c r="EY3" s="33" t="s">
        <v>15</v>
      </c>
      <c r="EZ3" s="33" t="s">
        <v>7</v>
      </c>
      <c r="FA3" s="33" t="s">
        <v>28</v>
      </c>
      <c r="FB3" s="33" t="s">
        <v>29</v>
      </c>
      <c r="FC3" s="33" t="s">
        <v>15</v>
      </c>
      <c r="FD3" s="33" t="s">
        <v>7</v>
      </c>
      <c r="FE3" s="33" t="s">
        <v>28</v>
      </c>
      <c r="FF3" s="33" t="s">
        <v>29</v>
      </c>
      <c r="FG3" s="11"/>
      <c r="FH3" s="11"/>
      <c r="FI3" s="18"/>
      <c r="FJ3" s="18"/>
      <c r="FK3" s="18"/>
      <c r="FL3" s="32" t="s">
        <v>15</v>
      </c>
      <c r="FM3" s="32" t="s">
        <v>7</v>
      </c>
      <c r="FN3" s="32" t="s">
        <v>28</v>
      </c>
      <c r="FO3" s="32" t="s">
        <v>29</v>
      </c>
      <c r="FP3" s="32" t="s">
        <v>15</v>
      </c>
      <c r="FQ3" s="32" t="s">
        <v>7</v>
      </c>
      <c r="FR3" s="32" t="s">
        <v>28</v>
      </c>
      <c r="FS3" s="32" t="s">
        <v>29</v>
      </c>
      <c r="FT3" s="32" t="s">
        <v>15</v>
      </c>
      <c r="FU3" s="32" t="s">
        <v>7</v>
      </c>
      <c r="FV3" s="32" t="s">
        <v>28</v>
      </c>
      <c r="FW3" s="32" t="s">
        <v>29</v>
      </c>
      <c r="FX3" s="32" t="s">
        <v>15</v>
      </c>
      <c r="FY3" s="32" t="s">
        <v>7</v>
      </c>
      <c r="FZ3" s="32" t="s">
        <v>28</v>
      </c>
      <c r="GA3" s="32" t="s">
        <v>29</v>
      </c>
      <c r="GB3" s="14"/>
      <c r="GC3" s="14"/>
      <c r="GD3" s="17"/>
      <c r="GE3" s="17"/>
      <c r="GF3" s="17"/>
      <c r="GG3" s="33" t="s">
        <v>15</v>
      </c>
      <c r="GH3" s="33" t="s">
        <v>7</v>
      </c>
      <c r="GI3" s="33" t="s">
        <v>28</v>
      </c>
      <c r="GJ3" s="33" t="s">
        <v>29</v>
      </c>
      <c r="GK3" s="33" t="s">
        <v>15</v>
      </c>
      <c r="GL3" s="33" t="s">
        <v>7</v>
      </c>
      <c r="GM3" s="33" t="s">
        <v>28</v>
      </c>
      <c r="GN3" s="33" t="s">
        <v>29</v>
      </c>
      <c r="GO3" s="33" t="s">
        <v>15</v>
      </c>
      <c r="GP3" s="33" t="s">
        <v>7</v>
      </c>
      <c r="GQ3" s="33" t="s">
        <v>28</v>
      </c>
      <c r="GR3" s="33" t="s">
        <v>29</v>
      </c>
      <c r="GS3" s="33" t="s">
        <v>15</v>
      </c>
      <c r="GT3" s="33" t="s">
        <v>7</v>
      </c>
      <c r="GU3" s="33" t="s">
        <v>28</v>
      </c>
      <c r="GV3" s="33" t="s">
        <v>29</v>
      </c>
      <c r="GW3" s="11"/>
      <c r="GX3" s="11"/>
      <c r="GY3" s="18"/>
      <c r="GZ3" s="18"/>
      <c r="HA3" s="18"/>
      <c r="HB3" s="32" t="s">
        <v>15</v>
      </c>
      <c r="HC3" s="32" t="s">
        <v>7</v>
      </c>
      <c r="HD3" s="32" t="s">
        <v>28</v>
      </c>
      <c r="HE3" s="32" t="s">
        <v>29</v>
      </c>
      <c r="HF3" s="32" t="s">
        <v>15</v>
      </c>
      <c r="HG3" s="32" t="s">
        <v>7</v>
      </c>
      <c r="HH3" s="32" t="s">
        <v>28</v>
      </c>
      <c r="HI3" s="32" t="s">
        <v>29</v>
      </c>
      <c r="HJ3" s="32" t="s">
        <v>15</v>
      </c>
      <c r="HK3" s="32" t="s">
        <v>7</v>
      </c>
      <c r="HL3" s="32" t="s">
        <v>28</v>
      </c>
      <c r="HM3" s="32" t="s">
        <v>29</v>
      </c>
      <c r="HN3" s="32" t="s">
        <v>15</v>
      </c>
      <c r="HO3" s="32" t="s">
        <v>7</v>
      </c>
      <c r="HP3" s="32" t="s">
        <v>28</v>
      </c>
      <c r="HQ3" s="32" t="s">
        <v>29</v>
      </c>
      <c r="HR3" s="14"/>
      <c r="HS3" s="14"/>
      <c r="HT3" s="17"/>
      <c r="HU3" s="17"/>
      <c r="HV3" s="17"/>
      <c r="HW3" s="33" t="s">
        <v>15</v>
      </c>
      <c r="HX3" s="33" t="s">
        <v>7</v>
      </c>
      <c r="HY3" s="33" t="s">
        <v>28</v>
      </c>
      <c r="HZ3" s="33" t="s">
        <v>29</v>
      </c>
      <c r="IA3" s="33" t="s">
        <v>15</v>
      </c>
      <c r="IB3" s="33" t="s">
        <v>7</v>
      </c>
      <c r="IC3" s="33" t="s">
        <v>28</v>
      </c>
      <c r="ID3" s="33" t="s">
        <v>29</v>
      </c>
      <c r="IE3" s="33" t="s">
        <v>15</v>
      </c>
      <c r="IF3" s="33" t="s">
        <v>7</v>
      </c>
      <c r="IG3" s="33" t="s">
        <v>28</v>
      </c>
      <c r="IH3" s="33" t="s">
        <v>29</v>
      </c>
      <c r="II3" s="33" t="s">
        <v>15</v>
      </c>
      <c r="IJ3" s="33" t="s">
        <v>7</v>
      </c>
      <c r="IK3" s="33" t="s">
        <v>28</v>
      </c>
      <c r="IL3" s="33" t="s">
        <v>29</v>
      </c>
      <c r="IM3" s="11"/>
      <c r="IN3" s="11"/>
      <c r="IO3" s="18"/>
      <c r="IP3" s="18"/>
      <c r="IQ3" s="18"/>
      <c r="IR3" s="32" t="s">
        <v>15</v>
      </c>
      <c r="IS3" s="32" t="s">
        <v>7</v>
      </c>
      <c r="IT3" s="32" t="s">
        <v>28</v>
      </c>
      <c r="IU3" s="32" t="s">
        <v>29</v>
      </c>
      <c r="IV3" s="32" t="s">
        <v>15</v>
      </c>
      <c r="IW3" s="32" t="s">
        <v>7</v>
      </c>
      <c r="IX3" s="32" t="s">
        <v>28</v>
      </c>
      <c r="IY3" s="32" t="s">
        <v>29</v>
      </c>
      <c r="IZ3" s="32" t="s">
        <v>15</v>
      </c>
      <c r="JA3" s="32" t="s">
        <v>7</v>
      </c>
      <c r="JB3" s="32" t="s">
        <v>28</v>
      </c>
      <c r="JC3" s="32" t="s">
        <v>29</v>
      </c>
      <c r="JD3" s="32" t="s">
        <v>15</v>
      </c>
      <c r="JE3" s="32" t="s">
        <v>7</v>
      </c>
      <c r="JF3" s="32" t="s">
        <v>28</v>
      </c>
      <c r="JG3" s="32" t="s">
        <v>29</v>
      </c>
      <c r="JH3" s="14"/>
      <c r="JI3" s="14"/>
      <c r="JJ3" s="17"/>
      <c r="JK3" s="17"/>
      <c r="JL3" s="17"/>
      <c r="JM3" s="33" t="s">
        <v>15</v>
      </c>
      <c r="JN3" s="33" t="s">
        <v>7</v>
      </c>
      <c r="JO3" s="33" t="s">
        <v>28</v>
      </c>
      <c r="JP3" s="33" t="s">
        <v>29</v>
      </c>
      <c r="JQ3" s="33" t="s">
        <v>15</v>
      </c>
      <c r="JR3" s="33" t="s">
        <v>7</v>
      </c>
      <c r="JS3" s="33" t="s">
        <v>28</v>
      </c>
      <c r="JT3" s="33" t="s">
        <v>29</v>
      </c>
      <c r="JU3" s="33" t="s">
        <v>15</v>
      </c>
      <c r="JV3" s="33" t="s">
        <v>7</v>
      </c>
      <c r="JW3" s="33" t="s">
        <v>28</v>
      </c>
      <c r="JX3" s="33" t="s">
        <v>29</v>
      </c>
      <c r="JY3" s="33" t="s">
        <v>15</v>
      </c>
      <c r="JZ3" s="33" t="s">
        <v>7</v>
      </c>
      <c r="KA3" s="33" t="s">
        <v>28</v>
      </c>
      <c r="KB3" s="33" t="s">
        <v>29</v>
      </c>
      <c r="KC3" s="11"/>
      <c r="KD3" s="11"/>
      <c r="KE3" s="18"/>
      <c r="KF3" s="18"/>
      <c r="KG3" s="18"/>
      <c r="KH3" s="32" t="s">
        <v>15</v>
      </c>
      <c r="KI3" s="32" t="s">
        <v>7</v>
      </c>
      <c r="KJ3" s="32" t="s">
        <v>28</v>
      </c>
      <c r="KK3" s="32" t="s">
        <v>29</v>
      </c>
      <c r="KL3" s="32" t="s">
        <v>15</v>
      </c>
      <c r="KM3" s="32" t="s">
        <v>7</v>
      </c>
      <c r="KN3" s="32" t="s">
        <v>28</v>
      </c>
      <c r="KO3" s="32" t="s">
        <v>29</v>
      </c>
      <c r="KP3" s="32" t="s">
        <v>15</v>
      </c>
      <c r="KQ3" s="32" t="s">
        <v>7</v>
      </c>
      <c r="KR3" s="32" t="s">
        <v>28</v>
      </c>
      <c r="KS3" s="32" t="s">
        <v>29</v>
      </c>
      <c r="KT3" s="32" t="s">
        <v>15</v>
      </c>
      <c r="KU3" s="32" t="s">
        <v>7</v>
      </c>
      <c r="KV3" s="32" t="s">
        <v>28</v>
      </c>
      <c r="KW3" s="32" t="s">
        <v>29</v>
      </c>
      <c r="KX3" s="14"/>
      <c r="KY3" s="14"/>
      <c r="KZ3" s="17"/>
      <c r="LA3" s="17"/>
      <c r="LB3" s="17"/>
      <c r="LC3" s="105" t="s">
        <v>15</v>
      </c>
      <c r="LD3" s="105" t="s">
        <v>7</v>
      </c>
      <c r="LE3" s="105" t="s">
        <v>28</v>
      </c>
      <c r="LF3" s="105" t="s">
        <v>29</v>
      </c>
      <c r="LG3" s="105" t="s">
        <v>15</v>
      </c>
      <c r="LH3" s="105" t="s">
        <v>7</v>
      </c>
      <c r="LI3" s="105" t="s">
        <v>28</v>
      </c>
      <c r="LJ3" s="105" t="s">
        <v>29</v>
      </c>
      <c r="LK3" s="105" t="s">
        <v>15</v>
      </c>
      <c r="LL3" s="105" t="s">
        <v>7</v>
      </c>
      <c r="LM3" s="105" t="s">
        <v>28</v>
      </c>
      <c r="LN3" s="105" t="s">
        <v>29</v>
      </c>
      <c r="LO3" s="106" t="s">
        <v>15</v>
      </c>
      <c r="LP3" s="106" t="s">
        <v>7</v>
      </c>
      <c r="LQ3" s="106" t="s">
        <v>28</v>
      </c>
      <c r="LR3" s="106" t="s">
        <v>29</v>
      </c>
      <c r="LS3" s="105" t="s">
        <v>54</v>
      </c>
      <c r="LT3" s="11"/>
      <c r="LU3" s="11"/>
      <c r="LV3" s="10"/>
      <c r="LW3" s="11"/>
      <c r="LX3" s="11"/>
    </row>
    <row r="4" spans="1:336" x14ac:dyDescent="0.2">
      <c r="A4" s="6">
        <f t="shared" ref="A4:A13" si="0">IF(AND(F4="P",H4="P"),SUMPRODUCT((F$4:F$14="P")*(H$4:H$14="P")*(E$4:E$14&gt;E4))+1,IF(H4="P",SUMPRODUCT((F$4:F$14="")*(H$4:H$14="P")*(E$4:E$14&gt;E4))+1+SUMPRODUCT((F$4:F$14="P")*(H$4:H$14="P")),""))</f>
        <v>1</v>
      </c>
      <c r="B4" s="9" t="s">
        <v>78</v>
      </c>
      <c r="C4" s="5" t="s">
        <v>5</v>
      </c>
      <c r="D4" s="6">
        <v>2003</v>
      </c>
      <c r="E4" s="16">
        <f t="shared" ref="E4:E13" si="1">SUM(J4:N4)</f>
        <v>210.9</v>
      </c>
      <c r="F4" s="4" t="str">
        <f t="shared" ref="F4:F13" si="2">IF(OR(AND(AH4&gt;=AK$16,AJ4&gt;=AK$19,AJ4&lt;&gt;"",AG4=""),AND(BD4&gt;=BG$16,BF4&gt;=BG$19,BF4&lt;&gt;"",BC4=""),AND(CA4&gt;=CD$16,CC4&gt;=CD$19,CC4&lt;&gt;""),AND(CV4&gt;=CY$16,CX4&gt;=CY$19,CX4&lt;&gt;""),AND(DQ4&gt;=DT$16,DS4&gt;=DT$19,DS4&lt;&gt;""),AND(EL4&gt;=EO$16,EN4&gt;=EO$19,EN4&lt;&gt;""),AND(FG4&gt;=FJ$16,FI4&gt;=FJ$19,FI4&lt;&gt;""),AND(GB4&gt;=GE$16,GD4&gt;=GE$19,GD4&lt;&gt;""),AND(GW4&gt;=GZ$16,GY4&gt;=GZ$19,GY4&lt;&gt;""),AND(HR4&gt;=HU$16,HT4&gt;=HU$19,HT4&lt;&gt;""),AND(IM4&gt;=IP$16,IO4&gt;=IP$19,IO4&lt;&gt;""),AND(JH4&gt;=JK$16,JJ4&gt;=JK$19,JJ4&lt;&gt;""),AND(KC4&gt;=KF$16,KE4&gt;=KF$19,KE4&lt;&gt;""),AND(KX4&gt;=LA$16,KZ4&gt;=LA$19,KZ4&lt;&gt;"")),"P","")</f>
        <v>P</v>
      </c>
      <c r="G4" s="4" t="str">
        <f t="shared" ref="G4:G13" si="3">IF(OR(AND(AH4&gt;=AK$17,AJ4&gt;=AK$20,AJ4&lt;&gt;"",AG4=""),AND(BD4&gt;=BG$17,BF4&gt;=BG$20,BF4&lt;&gt;"",BC4=""),AND(CA4&gt;=CD$17,CC4&gt;=CD$20,CC4&lt;&gt;""),AND(CV4&gt;=CY$17,CX4&gt;=CY$20,CX4&lt;&gt;""),AND(DQ4&gt;=DT$17,DS4&gt;=DT$20,DS4&lt;&gt;""),AND(EL4&gt;=EO$17,EN4&gt;=EO$20,EN4&lt;&gt;""),AND(FG4&gt;=FJ$17,FI4&gt;=FJ$20,FI4&lt;&gt;""),AND(GB4&gt;=GE$17,GD4&gt;=GE$20,GD4&lt;&gt;""),AND(GW4&gt;=GZ$17,GY4&gt;=GZ$20,GY4&lt;&gt;""),AND(HR4&gt;=HU$17,HT4&gt;=HU$20,HT4&lt;&gt;""),AND(IM4&gt;=IP$17,IO4&gt;=IP$20,IO4&lt;&gt;""),AND(JH4&gt;=JK$17,JJ4&gt;=JK$20,JJ4&lt;&gt;""),AND(KC4&gt;=KF$17,KE4&gt;=KF$20,KE4&lt;&gt;""),AND(KX4&gt;=LA$17,KZ4&gt;=LA$20,KZ4&lt;&gt;"")),"P","")</f>
        <v/>
      </c>
      <c r="H4" s="4" t="str">
        <f t="shared" ref="H4:H13" si="4">IF(OR(AND(AJ4&gt;=AK$19,AJ4&lt;&gt;"",AG4=""),AND(BF4&gt;=BG$19,BF4&lt;&gt;"",BC4=""),AND(CC4&gt;=CD$19,CC4&lt;&gt;""),AND(CX4&gt;=CY$19,CX4&lt;&gt;""),AND(DS4&gt;=DT$19,DS4&lt;&gt;""),AND(EN4&gt;=EO$19,EN4&lt;&gt;""),AND(FI4&gt;=FJ$19,FI4&lt;&gt;""),AND(GD4&gt;=GE$19,GD4&lt;&gt;""),AND(GY4&gt;=GZ$19,GY4&lt;&gt;""),AND(HT4&gt;=HU$19,HT4&lt;&gt;""),AND(IO4&gt;=IP$19,IO4&lt;&gt;""),AND(JJ4&gt;=JK$19,JJ4&lt;&gt;""),AND(KE4&gt;=KF$19,KE4&lt;&gt;""),AND(KZ4&gt;=LA$19,KZ4&lt;&gt;"")),"P","")</f>
        <v>P</v>
      </c>
      <c r="I4" t="str">
        <f t="shared" ref="I4:I13" si="5">IF(AND(H4="P",F4=""),"No DD",IF(OR(AND(AI4&gt;=AK$18,AI4&lt;&gt;"",AL4&gt;=AK$22,AL4&lt;&gt;"",AG4=""),AND(BE4&gt;=BG$18,BE4&lt;&gt;"",BH4&gt;=BG$22,BH4&lt;&gt;"",BC4=""),AND(CB4&gt;=CD$18,CB4&lt;&gt;"",CE4&gt;=CD$22,CE4&lt;&gt;""),AND(CW4&gt;=CY$18,CW4&lt;&gt;"",CZ4&gt;=CY$22,CZ4&lt;&gt;""),AND(DR4&gt;=DT$18,DR4&lt;&gt;"",DU4&gt;=DT$22,DU4&lt;&gt;""),AND(EM4&gt;=EO$18,EM4&lt;&gt;"",EP4&gt;=EO$22,EP4&lt;&gt;""),AND(FH4&gt;=FJ$18,FH4&lt;&gt;"",FK4&gt;=FJ$22,FK4&lt;&gt;""),AND(GC4&gt;=GE$18,GC4&lt;&gt;"",GF4&gt;=GE$22,GF4&lt;&gt;""),AND(GX4&gt;=GZ$18,GX4&lt;&gt;"",HA4&gt;=GZ$22,HA4&lt;&gt;""),AND(HS4&gt;=HU$18,HS4&lt;&gt;"",HV4&gt;=HU$22,HV4&lt;&gt;""),AND(IN4&gt;=IP$18,IN4&lt;&gt;"",IQ4&gt;=IP$22,IQ4&lt;&gt;""),AND(JI4&gt;=JK$18,JI4&lt;&gt;"",JL4&gt;=JK$22,JL4&lt;&gt;""),AND(KD4&gt;=KF$18,KD4&lt;&gt;"",KG4&gt;=KF$22,KG4&lt;&gt;""),AND(KY4&gt;=LA$18,KY4&lt;&gt;"",LB4&gt;=LA$22,LB4&lt;&gt;"")),"Merit",IF(OR(AND(AI4&gt;=AK$18,AI4&lt;&gt;"",AL4&gt;=AK$21,AL4&lt;&gt;"",AG4=""),AND(BE4&gt;=BG$18,BE4&lt;&gt;"",BH4&gt;=BG$21,BH4&lt;&gt;"",BC4=""),AND(CB4&gt;=CD$18,CB4&lt;&gt;"",CE4&gt;=CD$21,CE4&lt;&gt;""),AND(CW4&gt;=CY$18,CW4&lt;&gt;"",CZ4&gt;=CY$21,CZ4&lt;&gt;""),AND(DR4&gt;=DT$18,DR4&lt;&gt;"",DU4&gt;=DT$21,DU4&lt;&gt;""),AND(EM4&gt;=EO$18,EM4&lt;&gt;"",EP4&gt;=EO$21,EP4&lt;&gt;""),AND(FH4&gt;=FJ$18,FH4&lt;&gt;"",FK4&gt;=FJ$21,FK4&lt;&gt;""),AND(GC4&gt;=GE$18,GC4&lt;&gt;"",GF4&gt;=GE$21,GF4&lt;&gt;""),AND(GX4&gt;=GZ$18,GX4&lt;&gt;"",HA4&gt;=GZ$21,HA4&lt;&gt;""),AND(HS4&gt;=HU$18,HS4&lt;&gt;"",HV4&gt;=HU$21,HV4&lt;&gt;""),AND(IN4&gt;=IP$18,IN4&lt;&gt;"",IQ4&gt;=IP$21,IQ4&lt;&gt;""),AND(JI4&gt;=JK$18,JI4&lt;&gt;"",JL4&gt;=JK$21,JL4&lt;&gt;""),AND(KD4&gt;=KF$18,KD4&lt;&gt;"",KG4&gt;=KF$21,KG4&lt;&gt;""),AND(KY4&gt;=LA$18,KY4&lt;&gt;"",LB4&gt;=LA$21,LB4&lt;&gt;"")),"Excellence",IF(OR(AND(AH4&gt;=AK$17,AH4&lt;&gt;"",AJ4&gt;=AK$20,AJ4&lt;&gt;"",AG4=""),AND(BD4&gt;=BG$17,BD4&lt;&gt;"",BF4&gt;=BG$20,BF4&lt;&gt;"",BC4=""),AND(CA4&gt;=CD$17,CA4&lt;&gt;"",CC4&gt;=CD$20,CC4&lt;&gt;""),AND(CV4&gt;=CY$17,CV4&lt;&gt;"",CX4&gt;=CY$20,CX4&lt;&gt;""),AND(DQ4&gt;=DT$17,DQ4&lt;&gt;"",DS4&gt;=DT$20,DS4&lt;&gt;""),AND(EL4&gt;=EO$17,EL4&lt;&gt;"",EN4&gt;=EO$20,EN4&lt;&gt;""),AND(FG4&gt;=FJ$17,FG4&lt;&gt;"",FI4&gt;=FJ$20,FI4&lt;&gt;""),AND(GB4&gt;=GE$17,GB4&lt;&gt;"",GD4&gt;=GE$20,GD4&lt;&gt;""),AND(GW4&gt;=GZ$17,GW4&lt;&gt;"",GY4&gt;=GZ$20,GY4&lt;&gt;""),AND(HR4&gt;=HU$17,HR4&lt;&gt;"",HT4&gt;=HU$20,HT4&lt;&gt;""),AND(IM4&gt;=IP$17,IM4&lt;&gt;"",IO4&gt;=IP$20,IO4&lt;&gt;""),AND(JH4&gt;=JK$17,JH4&lt;&gt;"",JJ4&gt;=JK$20,JJ4&lt;&gt;""),AND(KC4&gt;=KF$17,KC4&lt;&gt;"",KE4&gt;=KF$20,KE4&lt;&gt;""),AND(KX4&gt;=LA$17,KX4&lt;&gt;"",KZ4&gt;=LA$20,KZ4&lt;&gt;"")),"Worlds Team",IF(OR(AND(AH4&gt;=AK$16,AH4&lt;&gt;"",AJ4&gt;=AK$19,AJ4&lt;&gt;"",AG4=""),AND(BD4&gt;=BG$16,BD4&lt;&gt;"",BF4&gt;=BG$19,BF4&lt;&gt;"",BC4=""),AND(CA4&gt;=CD$16,CA4&lt;&gt;"",CC4&gt;=CD$19,CC4&lt;&gt;""),AND(CV4&gt;=CY$16,CV4&lt;&gt;"",CX4&gt;=CY$19,CX4&lt;&gt;""),AND(DQ4&gt;=DT$16,DQ4&lt;&gt;"",DS4&gt;=DT$19,DS4&lt;&gt;""),AND(EL4&gt;=EO$16,EL4&lt;&gt;"",EN4&gt;=EO$19,EN4&lt;&gt;""),AND(FG4&gt;=FJ$16,FG4&lt;&gt;"",FI4&gt;=FJ$19,FI4&lt;&gt;""),AND(GB4&gt;=GE$16,GB4&lt;&gt;"",GD4&gt;=GE$19,GD4&lt;&gt;""),AND(GW4&gt;=GZ$16,GW4&lt;&gt;"",GY4&gt;=GZ$19,GY4&lt;&gt;""),AND(HR4&gt;=HU$16,HR4&lt;&gt;"",HT4&gt;=HU$19,HT4&lt;&gt;""),AND(IM4&gt;=IP$16,IM4&lt;&gt;"",IO4&gt;=IP$19,IO4&lt;&gt;""),AND(JH4&gt;=JK$16,JH4&lt;&gt;"",JJ4&gt;=JK$19,JJ4&lt;&gt;""),AND(KC4&gt;=KF$16,KC4&lt;&gt;"",KE4&gt;=KF$19,KE4&lt;&gt;""),AND(KX4&gt;=LA$16,KX4&lt;&gt;"",KZ4&gt;=LA$19,KZ4&lt;&gt;"")),"National Team","")))))</f>
        <v>Excellence</v>
      </c>
      <c r="J4" s="15">
        <f t="shared" ref="J4:J13" si="6">IF(MAX(AL4,BH4)&gt;0,MAX(AL4,BH4),"")</f>
        <v>140.5</v>
      </c>
      <c r="K4" s="15" t="str">
        <f t="shared" ref="K4:K13" si="7">IF(J4="","",IF(J4=BH4,$AM$1,IF(J4=AL4,$Q$1,"")))</f>
        <v>2019 Elite Canada</v>
      </c>
      <c r="L4" s="15">
        <f t="shared" ref="L4:L13" si="8">IF(J4=AL4,IF(MAX(BF4,BG4)&gt;0,MAX(BF4,BG4),""),IF(J4=BH4,IF(MAX(AJ4,AK4)&gt;0,MAX(AJ4,AK4),""),MAX(AJ4,AK4,BF4,BG4)))</f>
        <v>70.400000000000006</v>
      </c>
      <c r="M4" s="15" t="str">
        <f t="shared" ref="M4:M13" si="9">IF(L4="","",IF(AND(J4&lt;&gt;BH4,OR(L4=BG4,L4=BF4)),$AM$1,IF(OR(L4=AK4,L4=AJ4),$Q$1,"")))</f>
        <v>2018 Nationals</v>
      </c>
      <c r="N4" s="15" t="str">
        <f t="shared" ref="N4:N13" si="10">IF(MAX(BI4:BJ4)&gt;0,MAX(BI4:BJ4),"")</f>
        <v/>
      </c>
      <c r="O4" s="25" t="str">
        <f t="shared" ref="O4:O13" si="11">IF(N4="","",IF(N4=BI4,"(4 Pass)",IF(N4=BJ4,"(2 Pass)")))</f>
        <v/>
      </c>
      <c r="P4" s="15" t="str">
        <f t="shared" ref="P4:P13" si="12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/>
      </c>
      <c r="Q4" s="63">
        <v>28.5</v>
      </c>
      <c r="R4" s="63">
        <v>7.6</v>
      </c>
      <c r="S4" s="63">
        <v>0.9</v>
      </c>
      <c r="T4" s="63">
        <v>0</v>
      </c>
      <c r="U4" s="63">
        <v>27.9</v>
      </c>
      <c r="V4" s="63">
        <v>6.8</v>
      </c>
      <c r="W4" s="63">
        <v>0</v>
      </c>
      <c r="X4" s="63">
        <v>0</v>
      </c>
      <c r="Y4" s="63">
        <v>28.5</v>
      </c>
      <c r="Z4" s="63">
        <v>7.2</v>
      </c>
      <c r="AA4" s="63">
        <v>0</v>
      </c>
      <c r="AB4" s="63">
        <v>0</v>
      </c>
      <c r="AC4" s="63">
        <v>27.9</v>
      </c>
      <c r="AD4" s="63">
        <v>6.8</v>
      </c>
      <c r="AE4" s="63">
        <v>0</v>
      </c>
      <c r="AF4" s="63">
        <v>0</v>
      </c>
      <c r="AG4" s="74"/>
      <c r="AH4" s="12">
        <f t="shared" ref="AH4:AH13" si="13">IF(SUM(R4,V4)&gt;0,SUM(R4,V4),"")</f>
        <v>14.399999999999999</v>
      </c>
      <c r="AI4" s="12">
        <f t="shared" ref="AI4:AI13" si="14">IF(SUM(R4,V4,Z4,AD4)&gt;0,SUM(R4,V4,Z4,AD4),"")</f>
        <v>28.4</v>
      </c>
      <c r="AJ4" s="12">
        <f t="shared" ref="AJ4:AJ13" si="15">IF(SUM(Q4:R4,T4:V4,X4)-SUM(S4,W4)&gt;0,SUM(Q4:R4,T4:V4,X4)-SUM(S4,W4),"")</f>
        <v>69.899999999999991</v>
      </c>
      <c r="AK4" s="12">
        <f t="shared" ref="AK4:AK13" si="16">IF(SUM(Y4:Z4,AB4:AD4,AF4)-SUM(AA4,AE4)&gt;0,SUM(Y4:Z4,AB4:AD4,AF4)-SUM(AA4,AE4),"")</f>
        <v>70.400000000000006</v>
      </c>
      <c r="AL4" s="12">
        <f t="shared" ref="AL4:AL12" si="17">IF(SUM(AJ4,AK4)&gt;0,SUM(AJ4,AK4),"")</f>
        <v>140.30000000000001</v>
      </c>
      <c r="AM4" s="37">
        <v>28.3</v>
      </c>
      <c r="AN4" s="37">
        <v>7.6</v>
      </c>
      <c r="AO4" s="37">
        <v>0</v>
      </c>
      <c r="AP4" s="37">
        <v>0</v>
      </c>
      <c r="AQ4" s="37">
        <v>28</v>
      </c>
      <c r="AR4" s="37">
        <v>7.2</v>
      </c>
      <c r="AS4" s="37">
        <v>0</v>
      </c>
      <c r="AT4" s="37">
        <v>0</v>
      </c>
      <c r="AU4" s="37">
        <v>27.1</v>
      </c>
      <c r="AV4" s="37">
        <v>7.6</v>
      </c>
      <c r="AW4" s="37">
        <v>0.3</v>
      </c>
      <c r="AX4" s="37">
        <v>0</v>
      </c>
      <c r="AY4" s="37">
        <v>28.2</v>
      </c>
      <c r="AZ4" s="37">
        <v>6.8</v>
      </c>
      <c r="BA4" s="37">
        <v>0</v>
      </c>
      <c r="BB4" s="37">
        <v>0</v>
      </c>
      <c r="BC4" s="75"/>
      <c r="BD4" s="15">
        <f t="shared" ref="BD4:BD13" si="18">IF(SUM(AN4,AR4)&gt;0,SUM(AN4,AR4),"")</f>
        <v>14.8</v>
      </c>
      <c r="BE4" s="15">
        <f t="shared" ref="BE4:BE13" si="19">IF(SUM(AN4,AR4,AV4,AZ4)&gt;0,SUM(AN4,AR4,AV4,AZ4),"")</f>
        <v>29.2</v>
      </c>
      <c r="BF4" s="15">
        <f t="shared" ref="BF4:BF13" si="20">IF(SUM(AM4:AN4,AP4:AR4,AT4)-SUM(AO4,AS4)&gt;0,SUM(AM4:AN4,AP4:AR4,AT4)-SUM(AO4,AS4),"")</f>
        <v>71.099999999999994</v>
      </c>
      <c r="BG4" s="15">
        <f t="shared" ref="BG4:BG13" si="21">IF(SUM(AU4:AV4,AX4:AZ4,BB4)-SUM(AW4,BA4)&gt;0,SUM(AU4:AV4,AX4:AZ4,BB4)-SUM(AW4,BA4),"")</f>
        <v>69.400000000000006</v>
      </c>
      <c r="BH4" s="15">
        <f t="shared" ref="BH4:BH13" si="22">IF(SUM(BF4,BG4)&gt;0,SUM(BF4,BG4),"")</f>
        <v>140.5</v>
      </c>
      <c r="BI4" s="24" t="str">
        <f t="shared" ref="BI4:BI12" si="23">IF(MAX(CE4,CZ4,DU4,EP4,FK4,GF4,HA4,HV4,IQ4,JL4,KG4,LB4)-IF(J4="",0,J4)&gt;0.001,MAX(CE4,CZ4,DU4,EP4,FK4,GF4,HA4,HV4,IQ4,JL4,KG4,LB4)-IF(J4="",0,J4),"")</f>
        <v/>
      </c>
      <c r="BJ4" s="24" t="str">
        <f t="shared" ref="BJ4:BJ12" si="24">IF(MAX(CC4,CD4,CX4,CY4,DS4,DT4,EN4,EO4,FI4,FJ4,GD4,GE4,GY4,GZ4,HT4,HU4,IO4,IP4,JJ4,JK4,KE4,KF4,KZ4,LA4)-IF(L4="",0,L4)&gt;0.001,MAX(CC4,CD4,CX4,CY4,DS4,DT4,EN4,EO4,FI4,FJ4,GD4,GE4,GY4,GZ4,HT4,HU4,IO4,IP4,JJ4,JK4,KE4,KF4,KZ4,LA4)-IF(L4="",0,L4),"")</f>
        <v/>
      </c>
      <c r="BK4" s="41">
        <v>27.7</v>
      </c>
      <c r="BL4" s="41">
        <v>6.8</v>
      </c>
      <c r="BM4" s="41">
        <v>0</v>
      </c>
      <c r="BN4" s="41">
        <v>0</v>
      </c>
      <c r="BO4" s="41">
        <v>27.2</v>
      </c>
      <c r="BP4" s="41">
        <v>6.8</v>
      </c>
      <c r="BQ4" s="41">
        <v>0</v>
      </c>
      <c r="BR4" s="41">
        <v>0</v>
      </c>
      <c r="BS4" s="41"/>
      <c r="BT4" s="41"/>
      <c r="BU4" s="41"/>
      <c r="BV4" s="41"/>
      <c r="BW4" s="41"/>
      <c r="BX4" s="41"/>
      <c r="BY4" s="41"/>
      <c r="BZ4" s="41"/>
      <c r="CA4" s="12">
        <f t="shared" ref="CA4:CA13" si="25">IF(SUM(BL4,BP4)&gt;0,SUM(BL4,BP4),"")</f>
        <v>13.6</v>
      </c>
      <c r="CB4" s="12">
        <f t="shared" ref="CB4:CB13" si="26">IF(SUM(BL4,BP4,BT4,BX4)&gt;0,SUM(BL4,BP4,BT4,BX4),"")</f>
        <v>13.6</v>
      </c>
      <c r="CC4" s="12">
        <f t="shared" ref="CC4:CC12" si="27">IF(SUM(BK4:BL4,BN4:BP4,BR4)-SUM(BM4,BQ4)&gt;0,SUM(BK4:BL4,BN4:BP4,BR4)-SUM(BM4,BQ4),"")</f>
        <v>68.5</v>
      </c>
      <c r="CD4" s="12" t="str">
        <f t="shared" ref="CD4:CD12" si="28">IF(SUM(BS4:BT4,BV4:BX4,BZ4)-SUM(BU4,BY4)&gt;0,SUM(BS4:BT4,BV4:BX4,BZ4)-SUM(BU4,BY4),"")</f>
        <v/>
      </c>
      <c r="CE4" s="12">
        <f t="shared" ref="CE4:CE12" si="29">IF(SUM(CC4,CD4)&gt;0,SUM(CC4,CD4),"")</f>
        <v>68.5</v>
      </c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15" t="str">
        <f t="shared" ref="CV4:CV13" si="30">IF(SUM(CG4,CK4)&gt;0,SUM(CG4,CK4),"")</f>
        <v/>
      </c>
      <c r="CW4" s="15" t="str">
        <f t="shared" ref="CW4:CW12" si="31">IF(SUM(CG4,CK4,CO4,CS4)&gt;0,SUM(CG4,CK4,CO4,CS4),"")</f>
        <v/>
      </c>
      <c r="CX4" s="15" t="str">
        <f t="shared" ref="CX4:CX12" si="32">IF(SUM(CF4:CG4,CI4:CK4,CM4)-SUM(CH4,CL4)&gt;0,SUM(CF4:CG4,CI4:CK4,CM4)-SUM(CH4,CL4),"")</f>
        <v/>
      </c>
      <c r="CY4" s="15" t="str">
        <f t="shared" ref="CY4:CY12" si="33">IF(SUM(CN4:CO4,CQ4:CS4,CU4)-SUM(CP4,CT4)&gt;0,SUM(CN4:CO4,CQ4:CS4,CU4)-SUM(CP4,CT4),"")</f>
        <v/>
      </c>
      <c r="CZ4" s="15" t="str">
        <f t="shared" ref="CZ4:CZ12" si="34">IF(SUM(CX4,CY4)&gt;0,SUM(CX4,CY4),"")</f>
        <v/>
      </c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12" t="str">
        <f t="shared" ref="DQ4:DQ12" si="35">IF(SUM(DB4,DF4)&gt;0,SUM(DB4,DF4),"")</f>
        <v/>
      </c>
      <c r="DR4" s="12" t="str">
        <f t="shared" ref="DR4:DR12" si="36">IF(SUM(DB4,DF4,DJ4,DN4)&gt;0,SUM(DB4,DF4,DJ4,DN4),"")</f>
        <v/>
      </c>
      <c r="DS4" s="12" t="str">
        <f t="shared" ref="DS4:DS12" si="37">IF(SUM(DA4:DB4,DD4:DF4,DH4)-SUM(DC4,DG4)&gt;0,SUM(DA4:DB4,DD4:DF4,DH4)-SUM(DC4,DG4),"")</f>
        <v/>
      </c>
      <c r="DT4" s="12" t="str">
        <f t="shared" ref="DT4:DT12" si="38">IF(SUM(DI4:DJ4,DL4:DN4,DP4)-SUM(DK4,DO4)&gt;0,SUM(DI4:DJ4,DL4:DN4,DP4)-SUM(DK4,DO4),"")</f>
        <v/>
      </c>
      <c r="DU4" s="12" t="str">
        <f t="shared" ref="DU4:DU12" si="39">IF(SUM(DS4,DT4)&gt;0,SUM(DS4,DT4),"")</f>
        <v/>
      </c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15" t="str">
        <f t="shared" ref="EL4:EL12" si="40">IF(SUM(DW4,EA4)&gt;0,SUM(DW4,EA4),"")</f>
        <v/>
      </c>
      <c r="EM4" s="15" t="str">
        <f t="shared" ref="EM4:EM12" si="41">IF(SUM(DW4,EA4,EE4,EI4)&gt;0,SUM(DW4,EA4,EE4,EI4),"")</f>
        <v/>
      </c>
      <c r="EN4" s="15" t="str">
        <f t="shared" ref="EN4:EN12" si="42">IF(SUM(DV4:DW4,DY4:EA4,EC4)-SUM(DX4,EB4)&gt;0,SUM(DV4:DW4,DY4:EA4,EC4)-SUM(DX4,EB4),"")</f>
        <v/>
      </c>
      <c r="EO4" s="15" t="str">
        <f t="shared" ref="EO4:EO12" si="43">IF(SUM(ED4:EE4,EG4:EI4,EK4)-SUM(EF4,EJ4)&gt;0,SUM(ED4:EE4,EG4:EI4,EK4)-SUM(EF4,EJ4),"")</f>
        <v/>
      </c>
      <c r="EP4" s="15" t="str">
        <f t="shared" ref="EP4:EP12" si="44">IF(SUM(EN4,EO4)&gt;0,SUM(EN4,EO4),"")</f>
        <v/>
      </c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12" t="str">
        <f t="shared" ref="FG4:FG12" si="45">IF(SUM(ER4,EV4)&gt;0,SUM(ER4,EV4),"")</f>
        <v/>
      </c>
      <c r="FH4" s="12" t="str">
        <f t="shared" ref="FH4:FH12" si="46">IF(SUM(ER4,EV4,EZ4,FD4)&gt;0,SUM(ER4,EV4,EZ4,FD4),"")</f>
        <v/>
      </c>
      <c r="FI4" s="12" t="str">
        <f t="shared" ref="FI4:FI12" si="47">IF(SUM(EQ4:ER4,ET4:EV4,EX4)-SUM(ES4,EW4)&gt;0,SUM(EQ4:ER4,ET4:EV4,EX4)-SUM(ES4,EW4),"")</f>
        <v/>
      </c>
      <c r="FJ4" s="12" t="str">
        <f t="shared" ref="FJ4:FJ12" si="48">IF(SUM(EY4:EZ4,FB4:FD4,FF4)-SUM(FA4,FE4)&gt;0,SUM(EY4:EZ4,FB4:FD4,FF4)-SUM(FA4,FE4),"")</f>
        <v/>
      </c>
      <c r="FK4" s="12" t="str">
        <f t="shared" ref="FK4:FK12" si="49">IF(SUM(FI4,FJ4)&gt;0,SUM(FI4,FJ4),"")</f>
        <v/>
      </c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15" t="str">
        <f t="shared" ref="GB4:GB12" si="50">IF(SUM(FM4,FQ4)&gt;0,SUM(FM4,FQ4),"")</f>
        <v/>
      </c>
      <c r="GC4" s="15" t="str">
        <f t="shared" ref="GC4:GC12" si="51">IF(SUM(FM4,FQ4,FU4,FY4)&gt;0,SUM(FM4,FQ4,FU4,FY4),"")</f>
        <v/>
      </c>
      <c r="GD4" s="15" t="str">
        <f t="shared" ref="GD4:GD12" si="52">IF(SUM(FL4:FM4,FO4:FQ4,FS4)-SUM(FN4,FR4)&gt;0,SUM(FL4:FM4,FO4:FQ4,FS4)-SUM(FN4,FR4),"")</f>
        <v/>
      </c>
      <c r="GE4" s="15" t="str">
        <f t="shared" ref="GE4:GE12" si="53">IF(SUM(FT4:FU4,FW4:FY4,GA4)-SUM(FV4,FZ4)&gt;0,SUM(FT4:FU4,FW4:FY4,GA4)-SUM(FV4,FZ4),"")</f>
        <v/>
      </c>
      <c r="GF4" s="15" t="str">
        <f t="shared" ref="GF4:GF12" si="54">IF(SUM(GD4,GE4)&gt;0,SUM(GD4,GE4),"")</f>
        <v/>
      </c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12" t="str">
        <f t="shared" ref="GW4:GW12" si="55">IF(SUM(GH4,GL4)&gt;0,SUM(GH4,GL4),"")</f>
        <v/>
      </c>
      <c r="GX4" s="12" t="str">
        <f t="shared" ref="GX4:GX12" si="56">IF(SUM(GH4,GL4,GP4,GT4)&gt;0,SUM(GH4,GL4,GP4,GT4),"")</f>
        <v/>
      </c>
      <c r="GY4" s="12" t="str">
        <f t="shared" ref="GY4:GY12" si="57">IF(SUM(GG4:GH4,GJ4:GL4,GN4)-SUM(GI4,GM4)&gt;0,SUM(GG4:GH4,GJ4:GL4,GN4)-SUM(GI4,GM4),"")</f>
        <v/>
      </c>
      <c r="GZ4" s="12" t="str">
        <f t="shared" ref="GZ4:GZ12" si="58">IF(SUM(GO4:GP4,GR4:GT4,GV4)-SUM(GQ4,GU4)&gt;0,SUM(GO4:GP4,GR4:GT4,GV4)-SUM(GQ4,GU4),"")</f>
        <v/>
      </c>
      <c r="HA4" s="12" t="str">
        <f t="shared" ref="HA4:HA12" si="59">IF(SUM(GY4,GZ4)&gt;0,SUM(GY4,GZ4),"")</f>
        <v/>
      </c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15" t="str">
        <f t="shared" ref="HR4:HR12" si="60">IF(SUM(HC4,HG4)&gt;0,SUM(HC4,HG4),"")</f>
        <v/>
      </c>
      <c r="HS4" s="15" t="str">
        <f t="shared" ref="HS4:HS12" si="61">IF(SUM(HC4,HG4,HK4,HO4)&gt;0,SUM(HC4,HG4,HK4,HO4),"")</f>
        <v/>
      </c>
      <c r="HT4" s="15" t="str">
        <f t="shared" ref="HT4:HT12" si="62">IF(SUM(HB4:HC4,HE4:HG4,HI4)-SUM(HD4,HH4)&gt;0,SUM(HB4:HC4,HE4:HG4,HI4)-SUM(HD4,HH4),"")</f>
        <v/>
      </c>
      <c r="HU4" s="15" t="str">
        <f t="shared" ref="HU4:HU12" si="63">IF(SUM(HJ4:HK4,HM4:HO4,HQ4)-SUM(HL4,HP4)&gt;0,SUM(HJ4:HK4,HM4:HO4,HQ4)-SUM(HL4,HP4),"")</f>
        <v/>
      </c>
      <c r="HV4" s="15" t="str">
        <f t="shared" ref="HV4:HV12" si="64">IF(SUM(HT4,HU4)&gt;0,SUM(HT4,HU4),"")</f>
        <v/>
      </c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12" t="str">
        <f t="shared" ref="IM4:IM12" si="65">IF(SUM(HX4,IB4)&gt;0,SUM(HX4,IB4),"")</f>
        <v/>
      </c>
      <c r="IN4" s="12" t="str">
        <f t="shared" ref="IN4:IN12" si="66">IF(SUM(HX4,IB4,IF4,IJ4)&gt;0,SUM(HX4,IB4,IF4,IJ4),"")</f>
        <v/>
      </c>
      <c r="IO4" s="12" t="str">
        <f t="shared" ref="IO4:IO12" si="67">IF(SUM(HW4:HX4,HZ4:IB4,ID4)-SUM(HY4,IC4)&gt;0,SUM(HW4:HX4,HZ4:IB4,ID4)-SUM(HY4,IC4),"")</f>
        <v/>
      </c>
      <c r="IP4" s="12" t="str">
        <f t="shared" ref="IP4:IP12" si="68">IF(SUM(IE4:IF4,IH4:IJ4,IL4)-SUM(IG4,IK4)&gt;0,SUM(IE4:IF4,IH4:IJ4,IL4)-SUM(IG4,IK4),"")</f>
        <v/>
      </c>
      <c r="IQ4" s="12" t="str">
        <f t="shared" ref="IQ4:IQ12" si="69">IF(SUM(IO4,IP4)&gt;0,SUM(IO4,IP4),"")</f>
        <v/>
      </c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15" t="str">
        <f t="shared" ref="JH4:JH12" si="70">IF(SUM(IS4,IW4)&gt;0,SUM(IS4,IW4),"")</f>
        <v/>
      </c>
      <c r="JI4" s="15" t="str">
        <f t="shared" ref="JI4:JI12" si="71">IF(SUM(IS4,IW4,JA4,JE4)&gt;0,SUM(IS4,IW4,JA4,JE4),"")</f>
        <v/>
      </c>
      <c r="JJ4" s="15" t="str">
        <f t="shared" ref="JJ4:JJ12" si="72">IF(SUM(IR4:IS4,IU4:IW4,IY4)-SUM(IT4,IX4)&gt;0,SUM(IR4:IS4,IU4:IW4,IY4)-SUM(IT4,IX4),"")</f>
        <v/>
      </c>
      <c r="JK4" s="15" t="str">
        <f t="shared" ref="JK4:JK12" si="73">IF(SUM(IZ4:JA4,JC4:JE4,JG4)-SUM(JB4,JF4)&gt;0,SUM(IZ4:JA4,JC4:JE4,JG4)-SUM(JB4,JF4),"")</f>
        <v/>
      </c>
      <c r="JL4" s="15" t="str">
        <f t="shared" ref="JL4:JL12" si="74">IF(SUM(JJ4,JK4)&gt;0,SUM(JJ4,JK4),"")</f>
        <v/>
      </c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12" t="str">
        <f t="shared" ref="KC4:KC12" si="75">IF(SUM(JN4,JR4)&gt;0,SUM(JN4,JR4),"")</f>
        <v/>
      </c>
      <c r="KD4" s="12" t="str">
        <f t="shared" ref="KD4:KD12" si="76">IF(SUM(JN4,JR4,JV4,JZ4)&gt;0,SUM(JN4,JR4,JV4,JZ4),"")</f>
        <v/>
      </c>
      <c r="KE4" s="12" t="str">
        <f t="shared" ref="KE4:KE12" si="77">IF(SUM(JM4:JN4,JP4:JR4,JT4)-SUM(JO4,JS4)&gt;0,SUM(JM4:JN4,JP4:JR4,JT4)-SUM(JO4,JS4),"")</f>
        <v/>
      </c>
      <c r="KF4" s="12" t="str">
        <f t="shared" ref="KF4:KF12" si="78">IF(SUM(JU4:JV4,JX4:JZ4,KB4)-SUM(JW4,KA4)&gt;0,SUM(JU4:JV4,JX4:JZ4,KB4)-SUM(JW4,KA4),"")</f>
        <v/>
      </c>
      <c r="KG4" s="12" t="str">
        <f t="shared" ref="KG4:KG12" si="79">IF(SUM(KE4,KF4)&gt;0,SUM(KE4,KF4),"")</f>
        <v/>
      </c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15" t="str">
        <f t="shared" ref="KX4:KX13" si="80">IF(SUM(KI4,KM4)&gt;0,SUM(KI4,KM4),"")</f>
        <v/>
      </c>
      <c r="KY4" s="15" t="str">
        <f t="shared" ref="KY4:KY13" si="81">IF(SUM(KI4,KM4,KQ4,KU4)&gt;0,SUM(KI4,KM4,KQ4,KU4),"")</f>
        <v/>
      </c>
      <c r="KZ4" s="15" t="str">
        <f t="shared" ref="KZ4:KZ13" si="82">IF(SUM(KH4:KI4,KK4:KM4,KO4)-SUM(KJ4,KN4)&gt;0,SUM(KH4:KI4,KK4:KM4,KO4)-SUM(KJ4,KN4),"")</f>
        <v/>
      </c>
      <c r="LA4" s="15" t="str">
        <f t="shared" ref="LA4:LA13" si="83">IF(SUM(KP4:KQ4,KS4:KU4,KW4)-SUM(KR4,KV4)&gt;0,SUM(KP4:KQ4,KS4:KU4,KW4)-SUM(KR4,KV4),"")</f>
        <v/>
      </c>
      <c r="LB4" s="15" t="str">
        <f t="shared" ref="LB4:LB13" si="84">IF(SUM(KZ4,LA4)&gt;0,SUM(KZ4,LA4),"")</f>
        <v/>
      </c>
      <c r="LC4" s="63">
        <f>IF($BC4="P",AM4,(Q4+AM4)/2)</f>
        <v>28.4</v>
      </c>
      <c r="LD4" s="63">
        <f t="shared" ref="LD4:LR13" si="85">IF($BC4="P",AN4,(R4+AN4)/2)</f>
        <v>7.6</v>
      </c>
      <c r="LE4" s="63">
        <f t="shared" si="85"/>
        <v>0.45</v>
      </c>
      <c r="LF4" s="63">
        <f t="shared" si="85"/>
        <v>0</v>
      </c>
      <c r="LG4" s="63">
        <f t="shared" si="85"/>
        <v>27.95</v>
      </c>
      <c r="LH4" s="63">
        <f t="shared" si="85"/>
        <v>7</v>
      </c>
      <c r="LI4" s="63">
        <f t="shared" si="85"/>
        <v>0</v>
      </c>
      <c r="LJ4" s="63">
        <f t="shared" si="85"/>
        <v>0</v>
      </c>
      <c r="LK4" s="63">
        <f t="shared" si="85"/>
        <v>27.8</v>
      </c>
      <c r="LL4" s="63">
        <f t="shared" si="85"/>
        <v>7.4</v>
      </c>
      <c r="LM4" s="63">
        <f t="shared" si="85"/>
        <v>0.15</v>
      </c>
      <c r="LN4" s="63">
        <f t="shared" si="85"/>
        <v>0</v>
      </c>
      <c r="LO4" s="63">
        <f t="shared" si="85"/>
        <v>28.049999999999997</v>
      </c>
      <c r="LP4" s="63">
        <f t="shared" si="85"/>
        <v>6.8</v>
      </c>
      <c r="LQ4" s="63">
        <f t="shared" si="85"/>
        <v>0</v>
      </c>
      <c r="LR4" s="63">
        <f t="shared" si="85"/>
        <v>0</v>
      </c>
      <c r="LS4" s="74" t="s">
        <v>119</v>
      </c>
      <c r="LT4" s="12">
        <f t="shared" ref="LT4" si="86">IF(SUM(LD4,LH4)&gt;0,SUM(LD4,LH4),"")</f>
        <v>14.6</v>
      </c>
      <c r="LU4" s="12">
        <f t="shared" ref="LU4" si="87">IF(SUM(LD4,LH4,LL4,LP4)&gt;0,SUM(LD4,LH4,LL4,LP4),"")</f>
        <v>28.8</v>
      </c>
      <c r="LV4" s="12">
        <f t="shared" ref="LV4" si="88">IF(SUM(LC4:LD4,LF4:LH4,LJ4)-SUM(LE4,LI4)&gt;0,SUM(LC4:LD4,LF4:LH4,LJ4)-SUM(LE4,LI4),"")</f>
        <v>70.5</v>
      </c>
      <c r="LW4" s="12">
        <f t="shared" ref="LW4" si="89">IF(SUM(LK4:LL4,LN4:LP4,LR4)-SUM(LM4,LQ4)&gt;0,SUM(LK4:LL4,LN4:LP4,LR4)-SUM(LM4,LQ4),"")</f>
        <v>69.899999999999991</v>
      </c>
      <c r="LX4" s="12">
        <f t="shared" ref="LX4" si="90">IF(SUM(LV4,LW4)&gt;0,SUM(LV4,LW4),"")</f>
        <v>140.39999999999998</v>
      </c>
    </row>
    <row r="5" spans="1:336" x14ac:dyDescent="0.2">
      <c r="A5" s="6">
        <f t="shared" si="0"/>
        <v>2</v>
      </c>
      <c r="B5" s="9" t="s">
        <v>114</v>
      </c>
      <c r="C5" s="5" t="s">
        <v>3</v>
      </c>
      <c r="D5" s="6">
        <v>2003</v>
      </c>
      <c r="E5" s="16">
        <f t="shared" si="1"/>
        <v>210.39999999999998</v>
      </c>
      <c r="F5" s="4" t="str">
        <f t="shared" si="2"/>
        <v>P</v>
      </c>
      <c r="G5" s="4" t="str">
        <f t="shared" si="3"/>
        <v/>
      </c>
      <c r="H5" s="4" t="str">
        <f t="shared" si="4"/>
        <v>P</v>
      </c>
      <c r="I5" t="str">
        <f t="shared" si="5"/>
        <v>Excellence</v>
      </c>
      <c r="J5" s="15">
        <f t="shared" si="6"/>
        <v>140.19999999999999</v>
      </c>
      <c r="K5" s="15" t="str">
        <f t="shared" si="7"/>
        <v>2019 Elite Canada</v>
      </c>
      <c r="L5" s="15">
        <f t="shared" si="8"/>
        <v>70.2</v>
      </c>
      <c r="M5" s="15" t="str">
        <f t="shared" si="9"/>
        <v>2018 Nationals</v>
      </c>
      <c r="N5" s="15" t="str">
        <f t="shared" si="10"/>
        <v/>
      </c>
      <c r="O5" s="25" t="str">
        <f t="shared" si="11"/>
        <v/>
      </c>
      <c r="P5" s="15" t="str">
        <f t="shared" si="12"/>
        <v/>
      </c>
      <c r="Q5" s="63">
        <v>28.6</v>
      </c>
      <c r="R5" s="63">
        <v>6.8</v>
      </c>
      <c r="S5" s="63">
        <v>0</v>
      </c>
      <c r="T5" s="63">
        <v>0</v>
      </c>
      <c r="U5" s="63">
        <v>28.4</v>
      </c>
      <c r="V5" s="63">
        <v>6.4</v>
      </c>
      <c r="W5" s="63">
        <v>0</v>
      </c>
      <c r="X5" s="63">
        <v>0</v>
      </c>
      <c r="Y5" s="63">
        <v>27.7</v>
      </c>
      <c r="Z5" s="63">
        <v>6.8</v>
      </c>
      <c r="AA5" s="63">
        <v>0.9</v>
      </c>
      <c r="AB5" s="63">
        <v>0</v>
      </c>
      <c r="AC5" s="63">
        <v>28.3</v>
      </c>
      <c r="AD5" s="63">
        <v>6</v>
      </c>
      <c r="AE5" s="63">
        <v>0</v>
      </c>
      <c r="AF5" s="63">
        <v>0</v>
      </c>
      <c r="AG5" s="74"/>
      <c r="AH5" s="12">
        <f t="shared" si="13"/>
        <v>13.2</v>
      </c>
      <c r="AI5" s="12">
        <f t="shared" si="14"/>
        <v>26</v>
      </c>
      <c r="AJ5" s="12">
        <f t="shared" si="15"/>
        <v>70.2</v>
      </c>
      <c r="AK5" s="12">
        <f t="shared" si="16"/>
        <v>67.899999999999991</v>
      </c>
      <c r="AL5" s="12">
        <f t="shared" si="17"/>
        <v>138.1</v>
      </c>
      <c r="AM5" s="37">
        <v>28.5</v>
      </c>
      <c r="AN5" s="37">
        <v>7.2</v>
      </c>
      <c r="AO5" s="37">
        <v>0</v>
      </c>
      <c r="AP5" s="37">
        <v>0</v>
      </c>
      <c r="AQ5" s="37">
        <v>28.4</v>
      </c>
      <c r="AR5" s="37">
        <v>7.2</v>
      </c>
      <c r="AS5" s="37">
        <v>0</v>
      </c>
      <c r="AT5" s="37">
        <v>0</v>
      </c>
      <c r="AU5" s="37">
        <v>27.2</v>
      </c>
      <c r="AV5" s="37">
        <v>7.6</v>
      </c>
      <c r="AW5" s="37">
        <v>0</v>
      </c>
      <c r="AX5" s="37">
        <v>0</v>
      </c>
      <c r="AY5" s="37">
        <v>27.4</v>
      </c>
      <c r="AZ5" s="37">
        <v>7.6</v>
      </c>
      <c r="BA5" s="37">
        <v>0.9</v>
      </c>
      <c r="BB5" s="37">
        <v>0</v>
      </c>
      <c r="BC5" s="75"/>
      <c r="BD5" s="15">
        <f t="shared" si="18"/>
        <v>14.4</v>
      </c>
      <c r="BE5" s="15">
        <f t="shared" si="19"/>
        <v>29.6</v>
      </c>
      <c r="BF5" s="15">
        <f t="shared" si="20"/>
        <v>71.3</v>
      </c>
      <c r="BG5" s="15">
        <f t="shared" si="21"/>
        <v>68.899999999999991</v>
      </c>
      <c r="BH5" s="15">
        <f t="shared" si="22"/>
        <v>140.19999999999999</v>
      </c>
      <c r="BI5" s="24" t="str">
        <f t="shared" si="23"/>
        <v/>
      </c>
      <c r="BJ5" s="24" t="str">
        <f t="shared" si="24"/>
        <v/>
      </c>
      <c r="BK5" s="41">
        <v>27.7</v>
      </c>
      <c r="BL5" s="41">
        <v>7.2</v>
      </c>
      <c r="BM5" s="41">
        <v>0.9</v>
      </c>
      <c r="BN5" s="41">
        <v>0</v>
      </c>
      <c r="BO5" s="41">
        <v>27.7</v>
      </c>
      <c r="BP5" s="41">
        <v>6.8</v>
      </c>
      <c r="BQ5" s="41">
        <v>1.2</v>
      </c>
      <c r="BR5" s="41">
        <v>0</v>
      </c>
      <c r="BS5" s="41"/>
      <c r="BT5" s="41"/>
      <c r="BU5" s="41"/>
      <c r="BV5" s="41"/>
      <c r="BW5" s="41"/>
      <c r="BX5" s="41"/>
      <c r="BY5" s="41"/>
      <c r="BZ5" s="41"/>
      <c r="CA5" s="12">
        <f t="shared" si="25"/>
        <v>14</v>
      </c>
      <c r="CB5" s="12">
        <f t="shared" si="26"/>
        <v>14</v>
      </c>
      <c r="CC5" s="12">
        <f t="shared" si="27"/>
        <v>67.3</v>
      </c>
      <c r="CD5" s="12" t="str">
        <f t="shared" si="28"/>
        <v/>
      </c>
      <c r="CE5" s="12">
        <f t="shared" si="29"/>
        <v>67.3</v>
      </c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15" t="str">
        <f t="shared" si="30"/>
        <v/>
      </c>
      <c r="CW5" s="15" t="str">
        <f t="shared" si="31"/>
        <v/>
      </c>
      <c r="CX5" s="15" t="str">
        <f t="shared" si="32"/>
        <v/>
      </c>
      <c r="CY5" s="15" t="str">
        <f t="shared" si="33"/>
        <v/>
      </c>
      <c r="CZ5" s="15" t="str">
        <f t="shared" si="34"/>
        <v/>
      </c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12" t="str">
        <f t="shared" si="35"/>
        <v/>
      </c>
      <c r="DR5" s="12" t="str">
        <f t="shared" si="36"/>
        <v/>
      </c>
      <c r="DS5" s="12" t="str">
        <f t="shared" si="37"/>
        <v/>
      </c>
      <c r="DT5" s="12" t="str">
        <f t="shared" si="38"/>
        <v/>
      </c>
      <c r="DU5" s="12" t="str">
        <f t="shared" si="39"/>
        <v/>
      </c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15" t="str">
        <f t="shared" si="40"/>
        <v/>
      </c>
      <c r="EM5" s="15" t="str">
        <f t="shared" si="41"/>
        <v/>
      </c>
      <c r="EN5" s="15" t="str">
        <f t="shared" si="42"/>
        <v/>
      </c>
      <c r="EO5" s="15" t="str">
        <f t="shared" si="43"/>
        <v/>
      </c>
      <c r="EP5" s="15" t="str">
        <f t="shared" si="44"/>
        <v/>
      </c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12" t="str">
        <f t="shared" si="45"/>
        <v/>
      </c>
      <c r="FH5" s="12" t="str">
        <f t="shared" si="46"/>
        <v/>
      </c>
      <c r="FI5" s="12" t="str">
        <f t="shared" si="47"/>
        <v/>
      </c>
      <c r="FJ5" s="12" t="str">
        <f t="shared" si="48"/>
        <v/>
      </c>
      <c r="FK5" s="12" t="str">
        <f t="shared" si="49"/>
        <v/>
      </c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15" t="str">
        <f t="shared" si="50"/>
        <v/>
      </c>
      <c r="GC5" s="15" t="str">
        <f t="shared" si="51"/>
        <v/>
      </c>
      <c r="GD5" s="15" t="str">
        <f t="shared" si="52"/>
        <v/>
      </c>
      <c r="GE5" s="15" t="str">
        <f t="shared" si="53"/>
        <v/>
      </c>
      <c r="GF5" s="15" t="str">
        <f t="shared" si="54"/>
        <v/>
      </c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12" t="str">
        <f t="shared" si="55"/>
        <v/>
      </c>
      <c r="GX5" s="12" t="str">
        <f t="shared" si="56"/>
        <v/>
      </c>
      <c r="GY5" s="12" t="str">
        <f t="shared" si="57"/>
        <v/>
      </c>
      <c r="GZ5" s="12" t="str">
        <f t="shared" si="58"/>
        <v/>
      </c>
      <c r="HA5" s="12" t="str">
        <f t="shared" si="59"/>
        <v/>
      </c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15" t="str">
        <f t="shared" si="60"/>
        <v/>
      </c>
      <c r="HS5" s="15" t="str">
        <f t="shared" si="61"/>
        <v/>
      </c>
      <c r="HT5" s="15" t="str">
        <f t="shared" si="62"/>
        <v/>
      </c>
      <c r="HU5" s="15" t="str">
        <f t="shared" si="63"/>
        <v/>
      </c>
      <c r="HV5" s="15" t="str">
        <f t="shared" si="64"/>
        <v/>
      </c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12" t="str">
        <f t="shared" si="65"/>
        <v/>
      </c>
      <c r="IN5" s="12" t="str">
        <f t="shared" si="66"/>
        <v/>
      </c>
      <c r="IO5" s="12" t="str">
        <f t="shared" si="67"/>
        <v/>
      </c>
      <c r="IP5" s="12" t="str">
        <f t="shared" si="68"/>
        <v/>
      </c>
      <c r="IQ5" s="12" t="str">
        <f t="shared" si="69"/>
        <v/>
      </c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15" t="str">
        <f t="shared" si="70"/>
        <v/>
      </c>
      <c r="JI5" s="15" t="str">
        <f t="shared" si="71"/>
        <v/>
      </c>
      <c r="JJ5" s="15" t="str">
        <f t="shared" si="72"/>
        <v/>
      </c>
      <c r="JK5" s="15" t="str">
        <f t="shared" si="73"/>
        <v/>
      </c>
      <c r="JL5" s="15" t="str">
        <f t="shared" si="74"/>
        <v/>
      </c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12" t="str">
        <f t="shared" si="75"/>
        <v/>
      </c>
      <c r="KD5" s="12" t="str">
        <f t="shared" si="76"/>
        <v/>
      </c>
      <c r="KE5" s="12" t="str">
        <f t="shared" si="77"/>
        <v/>
      </c>
      <c r="KF5" s="12" t="str">
        <f t="shared" si="78"/>
        <v/>
      </c>
      <c r="KG5" s="12" t="str">
        <f t="shared" si="79"/>
        <v/>
      </c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15" t="str">
        <f t="shared" si="80"/>
        <v/>
      </c>
      <c r="KY5" s="15" t="str">
        <f t="shared" si="81"/>
        <v/>
      </c>
      <c r="KZ5" s="15" t="str">
        <f t="shared" si="82"/>
        <v/>
      </c>
      <c r="LA5" s="15" t="str">
        <f t="shared" si="83"/>
        <v/>
      </c>
      <c r="LB5" s="15" t="str">
        <f t="shared" si="84"/>
        <v/>
      </c>
      <c r="LC5" s="63">
        <f t="shared" ref="LC5:LC13" si="91">IF($BC5="P",AM5,(Q5+AM5)/2)</f>
        <v>28.55</v>
      </c>
      <c r="LD5" s="63">
        <f t="shared" si="85"/>
        <v>7</v>
      </c>
      <c r="LE5" s="63">
        <f t="shared" si="85"/>
        <v>0</v>
      </c>
      <c r="LF5" s="63">
        <f t="shared" si="85"/>
        <v>0</v>
      </c>
      <c r="LG5" s="63">
        <f t="shared" si="85"/>
        <v>28.4</v>
      </c>
      <c r="LH5" s="63">
        <f t="shared" si="85"/>
        <v>6.8000000000000007</v>
      </c>
      <c r="LI5" s="63">
        <f t="shared" si="85"/>
        <v>0</v>
      </c>
      <c r="LJ5" s="63">
        <f t="shared" si="85"/>
        <v>0</v>
      </c>
      <c r="LK5" s="63">
        <f t="shared" si="85"/>
        <v>27.45</v>
      </c>
      <c r="LL5" s="63">
        <f t="shared" si="85"/>
        <v>7.1999999999999993</v>
      </c>
      <c r="LM5" s="63">
        <f t="shared" si="85"/>
        <v>0.45</v>
      </c>
      <c r="LN5" s="63">
        <f t="shared" si="85"/>
        <v>0</v>
      </c>
      <c r="LO5" s="63">
        <f t="shared" si="85"/>
        <v>27.85</v>
      </c>
      <c r="LP5" s="63">
        <f t="shared" si="85"/>
        <v>6.8</v>
      </c>
      <c r="LQ5" s="63">
        <f t="shared" si="85"/>
        <v>0.45</v>
      </c>
      <c r="LR5" s="63">
        <f t="shared" si="85"/>
        <v>0</v>
      </c>
      <c r="LS5" s="74" t="s">
        <v>119</v>
      </c>
      <c r="LT5" s="12">
        <f t="shared" ref="LT5:LT12" si="92">IF(SUM(LD5,LH5)&gt;0,SUM(LD5,LH5),"")</f>
        <v>13.8</v>
      </c>
      <c r="LU5" s="12">
        <f t="shared" ref="LU5:LU12" si="93">IF(SUM(LD5,LH5,LL5,LP5)&gt;0,SUM(LD5,LH5,LL5,LP5),"")</f>
        <v>27.8</v>
      </c>
      <c r="LV5" s="12">
        <f t="shared" ref="LV5:LV12" si="94">IF(SUM(LC5:LD5,LF5:LH5,LJ5)-SUM(LE5,LI5)&gt;0,SUM(LC5:LD5,LF5:LH5,LJ5)-SUM(LE5,LI5),"")</f>
        <v>70.75</v>
      </c>
      <c r="LW5" s="12">
        <f t="shared" ref="LW5:LW12" si="95">IF(SUM(LK5:LL5,LN5:LP5,LR5)-SUM(LM5,LQ5)&gt;0,SUM(LK5:LL5,LN5:LP5,LR5)-SUM(LM5,LQ5),"")</f>
        <v>68.399999999999991</v>
      </c>
      <c r="LX5" s="12">
        <f t="shared" ref="LX5:LX12" si="96">IF(SUM(LV5,LW5)&gt;0,SUM(LV5,LW5),"")</f>
        <v>139.14999999999998</v>
      </c>
    </row>
    <row r="6" spans="1:336" x14ac:dyDescent="0.2">
      <c r="A6" s="6">
        <f t="shared" si="0"/>
        <v>3</v>
      </c>
      <c r="B6" s="9" t="s">
        <v>84</v>
      </c>
      <c r="C6" s="5" t="s">
        <v>5</v>
      </c>
      <c r="D6" s="6">
        <v>2001</v>
      </c>
      <c r="E6" s="16">
        <f t="shared" si="1"/>
        <v>205.8</v>
      </c>
      <c r="F6" s="4" t="str">
        <f t="shared" si="2"/>
        <v>P</v>
      </c>
      <c r="G6" s="4" t="str">
        <f t="shared" si="3"/>
        <v/>
      </c>
      <c r="H6" s="4" t="str">
        <f t="shared" si="4"/>
        <v>P</v>
      </c>
      <c r="I6" t="str">
        <f t="shared" si="5"/>
        <v>National Team</v>
      </c>
      <c r="J6" s="15">
        <f t="shared" si="6"/>
        <v>136.80000000000001</v>
      </c>
      <c r="K6" s="15" t="str">
        <f t="shared" si="7"/>
        <v>2019 Elite Canada</v>
      </c>
      <c r="L6" s="15">
        <f t="shared" si="8"/>
        <v>68.399999999999991</v>
      </c>
      <c r="M6" s="15" t="str">
        <f t="shared" si="9"/>
        <v>2018 Nationals</v>
      </c>
      <c r="N6" s="15">
        <f t="shared" si="10"/>
        <v>0.60000000000000853</v>
      </c>
      <c r="O6" s="25" t="str">
        <f t="shared" si="11"/>
        <v>(2 Pass)</v>
      </c>
      <c r="P6" s="15" t="str">
        <f t="shared" si="12"/>
        <v>2018 World Age Groups (Nov 18)</v>
      </c>
      <c r="Q6" s="63">
        <v>27.9</v>
      </c>
      <c r="R6" s="63">
        <v>6.8</v>
      </c>
      <c r="S6" s="63">
        <v>0.9</v>
      </c>
      <c r="T6" s="63">
        <v>0</v>
      </c>
      <c r="U6" s="63">
        <v>28.5</v>
      </c>
      <c r="V6" s="63">
        <v>6.4</v>
      </c>
      <c r="W6" s="63">
        <v>0.3</v>
      </c>
      <c r="X6" s="63">
        <v>0</v>
      </c>
      <c r="Y6" s="63">
        <v>27.6</v>
      </c>
      <c r="Z6" s="63">
        <v>6</v>
      </c>
      <c r="AA6" s="63">
        <v>0</v>
      </c>
      <c r="AB6" s="63">
        <v>0</v>
      </c>
      <c r="AC6" s="63">
        <v>28.3</v>
      </c>
      <c r="AD6" s="63">
        <v>4.8</v>
      </c>
      <c r="AE6" s="63">
        <v>0</v>
      </c>
      <c r="AF6" s="63">
        <v>0</v>
      </c>
      <c r="AG6" s="74"/>
      <c r="AH6" s="12">
        <f t="shared" si="13"/>
        <v>13.2</v>
      </c>
      <c r="AI6" s="12">
        <f t="shared" si="14"/>
        <v>24</v>
      </c>
      <c r="AJ6" s="12">
        <f t="shared" si="15"/>
        <v>68.399999999999991</v>
      </c>
      <c r="AK6" s="12">
        <f t="shared" si="16"/>
        <v>66.7</v>
      </c>
      <c r="AL6" s="12">
        <f t="shared" si="17"/>
        <v>135.1</v>
      </c>
      <c r="AM6" s="37">
        <v>28.7</v>
      </c>
      <c r="AN6" s="37">
        <v>6</v>
      </c>
      <c r="AO6" s="37">
        <v>0</v>
      </c>
      <c r="AP6" s="37">
        <v>0</v>
      </c>
      <c r="AQ6" s="37">
        <v>28</v>
      </c>
      <c r="AR6" s="37">
        <v>6.8</v>
      </c>
      <c r="AS6" s="37">
        <v>0</v>
      </c>
      <c r="AT6" s="37">
        <v>0</v>
      </c>
      <c r="AU6" s="37">
        <v>27.9</v>
      </c>
      <c r="AV6" s="37">
        <v>6</v>
      </c>
      <c r="AW6" s="37">
        <v>0</v>
      </c>
      <c r="AX6" s="37">
        <v>0</v>
      </c>
      <c r="AY6" s="37">
        <v>27.4</v>
      </c>
      <c r="AZ6" s="37">
        <v>6</v>
      </c>
      <c r="BA6" s="37">
        <v>0</v>
      </c>
      <c r="BB6" s="37">
        <v>0</v>
      </c>
      <c r="BC6" s="75"/>
      <c r="BD6" s="15">
        <f t="shared" si="18"/>
        <v>12.8</v>
      </c>
      <c r="BE6" s="15">
        <f t="shared" si="19"/>
        <v>24.8</v>
      </c>
      <c r="BF6" s="15">
        <f t="shared" si="20"/>
        <v>69.5</v>
      </c>
      <c r="BG6" s="15">
        <f t="shared" si="21"/>
        <v>67.3</v>
      </c>
      <c r="BH6" s="15">
        <f t="shared" si="22"/>
        <v>136.80000000000001</v>
      </c>
      <c r="BI6" s="24" t="str">
        <f t="shared" si="23"/>
        <v/>
      </c>
      <c r="BJ6" s="24">
        <f t="shared" si="24"/>
        <v>0.60000000000000853</v>
      </c>
      <c r="BK6" s="41">
        <v>27.3</v>
      </c>
      <c r="BL6" s="41">
        <v>6.8</v>
      </c>
      <c r="BM6" s="41">
        <v>0</v>
      </c>
      <c r="BN6" s="41">
        <v>0</v>
      </c>
      <c r="BO6" s="41">
        <v>27.7</v>
      </c>
      <c r="BP6" s="41">
        <v>7.2</v>
      </c>
      <c r="BQ6" s="41">
        <v>0</v>
      </c>
      <c r="BR6" s="41">
        <v>0</v>
      </c>
      <c r="BS6" s="41"/>
      <c r="BT6" s="41"/>
      <c r="BU6" s="41"/>
      <c r="BV6" s="41"/>
      <c r="BW6" s="41"/>
      <c r="BX6" s="41"/>
      <c r="BY6" s="41"/>
      <c r="BZ6" s="41"/>
      <c r="CA6" s="12">
        <f t="shared" si="25"/>
        <v>14</v>
      </c>
      <c r="CB6" s="12">
        <f t="shared" si="26"/>
        <v>14</v>
      </c>
      <c r="CC6" s="12">
        <f t="shared" si="27"/>
        <v>69</v>
      </c>
      <c r="CD6" s="12" t="str">
        <f t="shared" si="28"/>
        <v/>
      </c>
      <c r="CE6" s="12">
        <f t="shared" si="29"/>
        <v>69</v>
      </c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15" t="str">
        <f t="shared" si="30"/>
        <v/>
      </c>
      <c r="CW6" s="15" t="str">
        <f t="shared" si="31"/>
        <v/>
      </c>
      <c r="CX6" s="15" t="str">
        <f t="shared" si="32"/>
        <v/>
      </c>
      <c r="CY6" s="15" t="str">
        <f t="shared" si="33"/>
        <v/>
      </c>
      <c r="CZ6" s="15" t="str">
        <f t="shared" si="34"/>
        <v/>
      </c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12" t="str">
        <f t="shared" si="35"/>
        <v/>
      </c>
      <c r="DR6" s="12" t="str">
        <f t="shared" si="36"/>
        <v/>
      </c>
      <c r="DS6" s="12" t="str">
        <f t="shared" si="37"/>
        <v/>
      </c>
      <c r="DT6" s="12" t="str">
        <f t="shared" si="38"/>
        <v/>
      </c>
      <c r="DU6" s="12" t="str">
        <f t="shared" si="39"/>
        <v/>
      </c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15" t="str">
        <f t="shared" si="40"/>
        <v/>
      </c>
      <c r="EM6" s="15" t="str">
        <f t="shared" si="41"/>
        <v/>
      </c>
      <c r="EN6" s="15" t="str">
        <f t="shared" si="42"/>
        <v/>
      </c>
      <c r="EO6" s="15" t="str">
        <f t="shared" si="43"/>
        <v/>
      </c>
      <c r="EP6" s="15" t="str">
        <f t="shared" si="44"/>
        <v/>
      </c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12" t="str">
        <f t="shared" si="45"/>
        <v/>
      </c>
      <c r="FH6" s="12" t="str">
        <f t="shared" si="46"/>
        <v/>
      </c>
      <c r="FI6" s="12" t="str">
        <f t="shared" si="47"/>
        <v/>
      </c>
      <c r="FJ6" s="12" t="str">
        <f t="shared" si="48"/>
        <v/>
      </c>
      <c r="FK6" s="12" t="str">
        <f t="shared" si="49"/>
        <v/>
      </c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15" t="str">
        <f t="shared" si="50"/>
        <v/>
      </c>
      <c r="GC6" s="15" t="str">
        <f t="shared" si="51"/>
        <v/>
      </c>
      <c r="GD6" s="15" t="str">
        <f t="shared" si="52"/>
        <v/>
      </c>
      <c r="GE6" s="15" t="str">
        <f t="shared" si="53"/>
        <v/>
      </c>
      <c r="GF6" s="15" t="str">
        <f t="shared" si="54"/>
        <v/>
      </c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12" t="str">
        <f t="shared" si="55"/>
        <v/>
      </c>
      <c r="GX6" s="12" t="str">
        <f t="shared" si="56"/>
        <v/>
      </c>
      <c r="GY6" s="12" t="str">
        <f t="shared" si="57"/>
        <v/>
      </c>
      <c r="GZ6" s="12" t="str">
        <f t="shared" si="58"/>
        <v/>
      </c>
      <c r="HA6" s="12" t="str">
        <f t="shared" si="59"/>
        <v/>
      </c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15" t="str">
        <f t="shared" si="60"/>
        <v/>
      </c>
      <c r="HS6" s="15" t="str">
        <f t="shared" si="61"/>
        <v/>
      </c>
      <c r="HT6" s="15" t="str">
        <f t="shared" si="62"/>
        <v/>
      </c>
      <c r="HU6" s="15" t="str">
        <f t="shared" si="63"/>
        <v/>
      </c>
      <c r="HV6" s="15" t="str">
        <f t="shared" si="64"/>
        <v/>
      </c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12" t="str">
        <f t="shared" si="65"/>
        <v/>
      </c>
      <c r="IN6" s="12" t="str">
        <f t="shared" si="66"/>
        <v/>
      </c>
      <c r="IO6" s="12" t="str">
        <f t="shared" si="67"/>
        <v/>
      </c>
      <c r="IP6" s="12" t="str">
        <f t="shared" si="68"/>
        <v/>
      </c>
      <c r="IQ6" s="12" t="str">
        <f t="shared" si="69"/>
        <v/>
      </c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15" t="str">
        <f t="shared" si="70"/>
        <v/>
      </c>
      <c r="JI6" s="15" t="str">
        <f t="shared" si="71"/>
        <v/>
      </c>
      <c r="JJ6" s="15" t="str">
        <f t="shared" si="72"/>
        <v/>
      </c>
      <c r="JK6" s="15" t="str">
        <f t="shared" si="73"/>
        <v/>
      </c>
      <c r="JL6" s="15" t="str">
        <f t="shared" si="74"/>
        <v/>
      </c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12" t="str">
        <f t="shared" si="75"/>
        <v/>
      </c>
      <c r="KD6" s="12" t="str">
        <f t="shared" si="76"/>
        <v/>
      </c>
      <c r="KE6" s="12" t="str">
        <f t="shared" si="77"/>
        <v/>
      </c>
      <c r="KF6" s="12" t="str">
        <f t="shared" si="78"/>
        <v/>
      </c>
      <c r="KG6" s="12" t="str">
        <f t="shared" si="79"/>
        <v/>
      </c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15" t="str">
        <f t="shared" si="80"/>
        <v/>
      </c>
      <c r="KY6" s="15" t="str">
        <f t="shared" si="81"/>
        <v/>
      </c>
      <c r="KZ6" s="15" t="str">
        <f t="shared" si="82"/>
        <v/>
      </c>
      <c r="LA6" s="15" t="str">
        <f t="shared" si="83"/>
        <v/>
      </c>
      <c r="LB6" s="15" t="str">
        <f t="shared" si="84"/>
        <v/>
      </c>
      <c r="LC6" s="63">
        <f t="shared" si="91"/>
        <v>28.299999999999997</v>
      </c>
      <c r="LD6" s="63">
        <f t="shared" si="85"/>
        <v>6.4</v>
      </c>
      <c r="LE6" s="63">
        <f t="shared" si="85"/>
        <v>0.45</v>
      </c>
      <c r="LF6" s="63">
        <f t="shared" si="85"/>
        <v>0</v>
      </c>
      <c r="LG6" s="63">
        <f t="shared" si="85"/>
        <v>28.25</v>
      </c>
      <c r="LH6" s="63">
        <f t="shared" si="85"/>
        <v>6.6</v>
      </c>
      <c r="LI6" s="63">
        <f t="shared" si="85"/>
        <v>0.15</v>
      </c>
      <c r="LJ6" s="63">
        <f t="shared" si="85"/>
        <v>0</v>
      </c>
      <c r="LK6" s="63">
        <f t="shared" si="85"/>
        <v>27.75</v>
      </c>
      <c r="LL6" s="63">
        <f t="shared" si="85"/>
        <v>6</v>
      </c>
      <c r="LM6" s="63">
        <f t="shared" si="85"/>
        <v>0</v>
      </c>
      <c r="LN6" s="63">
        <f t="shared" si="85"/>
        <v>0</v>
      </c>
      <c r="LO6" s="63">
        <f t="shared" si="85"/>
        <v>27.85</v>
      </c>
      <c r="LP6" s="63">
        <f t="shared" si="85"/>
        <v>5.4</v>
      </c>
      <c r="LQ6" s="63">
        <f t="shared" si="85"/>
        <v>0</v>
      </c>
      <c r="LR6" s="63">
        <f t="shared" si="85"/>
        <v>0</v>
      </c>
      <c r="LS6" s="74" t="s">
        <v>119</v>
      </c>
      <c r="LT6" s="12">
        <f t="shared" si="92"/>
        <v>13</v>
      </c>
      <c r="LU6" s="12">
        <f t="shared" si="93"/>
        <v>24.4</v>
      </c>
      <c r="LV6" s="12">
        <f t="shared" si="94"/>
        <v>68.95</v>
      </c>
      <c r="LW6" s="12">
        <f t="shared" si="95"/>
        <v>67</v>
      </c>
      <c r="LX6" s="12">
        <f t="shared" si="96"/>
        <v>135.94999999999999</v>
      </c>
    </row>
    <row r="7" spans="1:336" x14ac:dyDescent="0.2">
      <c r="A7" s="6">
        <f t="shared" si="0"/>
        <v>4</v>
      </c>
      <c r="B7" s="9" t="s">
        <v>118</v>
      </c>
      <c r="C7" s="5" t="s">
        <v>3</v>
      </c>
      <c r="D7" s="6">
        <v>2004</v>
      </c>
      <c r="E7" s="16">
        <f t="shared" si="1"/>
        <v>195.3</v>
      </c>
      <c r="F7" s="4" t="str">
        <f t="shared" si="2"/>
        <v/>
      </c>
      <c r="G7" s="4" t="str">
        <f t="shared" si="3"/>
        <v/>
      </c>
      <c r="H7" s="4" t="str">
        <f t="shared" si="4"/>
        <v>P</v>
      </c>
      <c r="I7" t="str">
        <f t="shared" si="5"/>
        <v>No DD</v>
      </c>
      <c r="J7" s="15">
        <f t="shared" si="6"/>
        <v>126.4</v>
      </c>
      <c r="K7" s="15" t="str">
        <f t="shared" si="7"/>
        <v>2018 Nationals</v>
      </c>
      <c r="L7" s="15">
        <f t="shared" si="8"/>
        <v>68.900000000000006</v>
      </c>
      <c r="M7" s="15" t="str">
        <f t="shared" si="9"/>
        <v>2019 Elite Canada</v>
      </c>
      <c r="N7" s="15" t="str">
        <f t="shared" si="10"/>
        <v/>
      </c>
      <c r="O7" s="25" t="str">
        <f t="shared" si="11"/>
        <v/>
      </c>
      <c r="P7" s="15" t="str">
        <f t="shared" si="12"/>
        <v/>
      </c>
      <c r="Q7" s="63">
        <v>26.6</v>
      </c>
      <c r="R7" s="63">
        <v>2.9</v>
      </c>
      <c r="S7" s="63">
        <v>0.3</v>
      </c>
      <c r="T7" s="63">
        <v>0</v>
      </c>
      <c r="U7" s="63">
        <v>27.6</v>
      </c>
      <c r="V7" s="63">
        <v>6.4</v>
      </c>
      <c r="W7" s="63">
        <v>0</v>
      </c>
      <c r="X7" s="63">
        <v>0</v>
      </c>
      <c r="Y7" s="63">
        <v>26.5</v>
      </c>
      <c r="Z7" s="63">
        <v>6.8</v>
      </c>
      <c r="AA7" s="63">
        <v>0.9</v>
      </c>
      <c r="AB7" s="63">
        <v>0</v>
      </c>
      <c r="AC7" s="63">
        <v>26.5</v>
      </c>
      <c r="AD7" s="63">
        <v>5.2</v>
      </c>
      <c r="AE7" s="63">
        <v>0.9</v>
      </c>
      <c r="AF7" s="63">
        <v>0</v>
      </c>
      <c r="AG7" s="74"/>
      <c r="AH7" s="12">
        <f t="shared" si="13"/>
        <v>9.3000000000000007</v>
      </c>
      <c r="AI7" s="12">
        <f t="shared" si="14"/>
        <v>21.3</v>
      </c>
      <c r="AJ7" s="12">
        <f t="shared" si="15"/>
        <v>63.2</v>
      </c>
      <c r="AK7" s="12">
        <f t="shared" si="16"/>
        <v>63.2</v>
      </c>
      <c r="AL7" s="12">
        <f t="shared" si="17"/>
        <v>126.4</v>
      </c>
      <c r="AM7" s="37">
        <v>27.8</v>
      </c>
      <c r="AN7" s="37">
        <v>6.8</v>
      </c>
      <c r="AO7" s="37">
        <v>0</v>
      </c>
      <c r="AP7" s="37">
        <v>0</v>
      </c>
      <c r="AQ7" s="37">
        <v>27.9</v>
      </c>
      <c r="AR7" s="37">
        <v>6.4</v>
      </c>
      <c r="AS7" s="37">
        <v>0</v>
      </c>
      <c r="AT7" s="37">
        <v>0</v>
      </c>
      <c r="AU7" s="37">
        <v>22.7</v>
      </c>
      <c r="AV7" s="37">
        <v>3.2</v>
      </c>
      <c r="AW7" s="37">
        <v>0.3</v>
      </c>
      <c r="AX7" s="37">
        <v>0</v>
      </c>
      <c r="AY7" s="37">
        <v>26.6</v>
      </c>
      <c r="AZ7" s="37">
        <v>5.6</v>
      </c>
      <c r="BA7" s="37">
        <v>1.5</v>
      </c>
      <c r="BB7" s="37">
        <v>0</v>
      </c>
      <c r="BC7" s="75"/>
      <c r="BD7" s="15">
        <f t="shared" si="18"/>
        <v>13.2</v>
      </c>
      <c r="BE7" s="15">
        <f t="shared" si="19"/>
        <v>22</v>
      </c>
      <c r="BF7" s="15">
        <f t="shared" si="20"/>
        <v>68.900000000000006</v>
      </c>
      <c r="BG7" s="15">
        <f t="shared" si="21"/>
        <v>56.300000000000004</v>
      </c>
      <c r="BH7" s="15">
        <f t="shared" si="22"/>
        <v>125.20000000000002</v>
      </c>
      <c r="BI7" s="24" t="str">
        <f t="shared" si="23"/>
        <v/>
      </c>
      <c r="BJ7" s="24" t="str">
        <f t="shared" si="24"/>
        <v/>
      </c>
      <c r="BK7" s="41">
        <v>27.7</v>
      </c>
      <c r="BL7" s="41">
        <v>6.8</v>
      </c>
      <c r="BM7" s="41">
        <v>1.2</v>
      </c>
      <c r="BN7" s="41">
        <v>0</v>
      </c>
      <c r="BO7" s="41">
        <v>27.8</v>
      </c>
      <c r="BP7" s="41">
        <v>6.4</v>
      </c>
      <c r="BQ7" s="41">
        <v>0</v>
      </c>
      <c r="BR7" s="41">
        <v>0</v>
      </c>
      <c r="BS7" s="41"/>
      <c r="BT7" s="41"/>
      <c r="BU7" s="41"/>
      <c r="BV7" s="41"/>
      <c r="BW7" s="41"/>
      <c r="BX7" s="41"/>
      <c r="BY7" s="41"/>
      <c r="BZ7" s="41"/>
      <c r="CA7" s="12">
        <f t="shared" si="25"/>
        <v>13.2</v>
      </c>
      <c r="CB7" s="12">
        <f t="shared" si="26"/>
        <v>13.2</v>
      </c>
      <c r="CC7" s="12">
        <f t="shared" si="27"/>
        <v>67.5</v>
      </c>
      <c r="CD7" s="12" t="str">
        <f t="shared" si="28"/>
        <v/>
      </c>
      <c r="CE7" s="12">
        <f t="shared" si="29"/>
        <v>67.5</v>
      </c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15" t="str">
        <f t="shared" si="30"/>
        <v/>
      </c>
      <c r="CW7" s="15" t="str">
        <f t="shared" si="31"/>
        <v/>
      </c>
      <c r="CX7" s="15" t="str">
        <f t="shared" si="32"/>
        <v/>
      </c>
      <c r="CY7" s="15" t="str">
        <f t="shared" si="33"/>
        <v/>
      </c>
      <c r="CZ7" s="15" t="str">
        <f t="shared" si="34"/>
        <v/>
      </c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12" t="str">
        <f t="shared" si="35"/>
        <v/>
      </c>
      <c r="DR7" s="12" t="str">
        <f t="shared" si="36"/>
        <v/>
      </c>
      <c r="DS7" s="12" t="str">
        <f t="shared" si="37"/>
        <v/>
      </c>
      <c r="DT7" s="12" t="str">
        <f t="shared" si="38"/>
        <v/>
      </c>
      <c r="DU7" s="12" t="str">
        <f t="shared" si="39"/>
        <v/>
      </c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15" t="str">
        <f t="shared" si="40"/>
        <v/>
      </c>
      <c r="EM7" s="15" t="str">
        <f t="shared" si="41"/>
        <v/>
      </c>
      <c r="EN7" s="15" t="str">
        <f t="shared" si="42"/>
        <v/>
      </c>
      <c r="EO7" s="15" t="str">
        <f t="shared" si="43"/>
        <v/>
      </c>
      <c r="EP7" s="15" t="str">
        <f t="shared" si="44"/>
        <v/>
      </c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12" t="str">
        <f t="shared" si="45"/>
        <v/>
      </c>
      <c r="FH7" s="12" t="str">
        <f t="shared" si="46"/>
        <v/>
      </c>
      <c r="FI7" s="12" t="str">
        <f t="shared" si="47"/>
        <v/>
      </c>
      <c r="FJ7" s="12" t="str">
        <f t="shared" si="48"/>
        <v/>
      </c>
      <c r="FK7" s="12" t="str">
        <f t="shared" si="49"/>
        <v/>
      </c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15" t="str">
        <f t="shared" si="50"/>
        <v/>
      </c>
      <c r="GC7" s="15" t="str">
        <f t="shared" si="51"/>
        <v/>
      </c>
      <c r="GD7" s="15" t="str">
        <f t="shared" si="52"/>
        <v/>
      </c>
      <c r="GE7" s="15" t="str">
        <f t="shared" si="53"/>
        <v/>
      </c>
      <c r="GF7" s="15" t="str">
        <f t="shared" si="54"/>
        <v/>
      </c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12" t="str">
        <f t="shared" si="55"/>
        <v/>
      </c>
      <c r="GX7" s="12" t="str">
        <f t="shared" si="56"/>
        <v/>
      </c>
      <c r="GY7" s="12" t="str">
        <f t="shared" si="57"/>
        <v/>
      </c>
      <c r="GZ7" s="12" t="str">
        <f t="shared" si="58"/>
        <v/>
      </c>
      <c r="HA7" s="12" t="str">
        <f t="shared" si="59"/>
        <v/>
      </c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15" t="str">
        <f t="shared" si="60"/>
        <v/>
      </c>
      <c r="HS7" s="15" t="str">
        <f t="shared" si="61"/>
        <v/>
      </c>
      <c r="HT7" s="15" t="str">
        <f t="shared" si="62"/>
        <v/>
      </c>
      <c r="HU7" s="15" t="str">
        <f t="shared" si="63"/>
        <v/>
      </c>
      <c r="HV7" s="15" t="str">
        <f t="shared" si="64"/>
        <v/>
      </c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12" t="str">
        <f t="shared" si="65"/>
        <v/>
      </c>
      <c r="IN7" s="12" t="str">
        <f t="shared" si="66"/>
        <v/>
      </c>
      <c r="IO7" s="12" t="str">
        <f t="shared" si="67"/>
        <v/>
      </c>
      <c r="IP7" s="12" t="str">
        <f t="shared" si="68"/>
        <v/>
      </c>
      <c r="IQ7" s="12" t="str">
        <f t="shared" si="69"/>
        <v/>
      </c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15" t="str">
        <f t="shared" si="70"/>
        <v/>
      </c>
      <c r="JI7" s="15" t="str">
        <f t="shared" si="71"/>
        <v/>
      </c>
      <c r="JJ7" s="15" t="str">
        <f t="shared" si="72"/>
        <v/>
      </c>
      <c r="JK7" s="15" t="str">
        <f t="shared" si="73"/>
        <v/>
      </c>
      <c r="JL7" s="15" t="str">
        <f t="shared" si="74"/>
        <v/>
      </c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12" t="str">
        <f t="shared" si="75"/>
        <v/>
      </c>
      <c r="KD7" s="12" t="str">
        <f t="shared" si="76"/>
        <v/>
      </c>
      <c r="KE7" s="12" t="str">
        <f t="shared" si="77"/>
        <v/>
      </c>
      <c r="KF7" s="12" t="str">
        <f t="shared" si="78"/>
        <v/>
      </c>
      <c r="KG7" s="12" t="str">
        <f t="shared" si="79"/>
        <v/>
      </c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15" t="str">
        <f t="shared" si="80"/>
        <v/>
      </c>
      <c r="KY7" s="15" t="str">
        <f t="shared" si="81"/>
        <v/>
      </c>
      <c r="KZ7" s="15" t="str">
        <f t="shared" si="82"/>
        <v/>
      </c>
      <c r="LA7" s="15" t="str">
        <f t="shared" si="83"/>
        <v/>
      </c>
      <c r="LB7" s="15" t="str">
        <f t="shared" si="84"/>
        <v/>
      </c>
      <c r="LC7" s="63">
        <f t="shared" si="91"/>
        <v>27.200000000000003</v>
      </c>
      <c r="LD7" s="63">
        <f t="shared" si="85"/>
        <v>4.8499999999999996</v>
      </c>
      <c r="LE7" s="63">
        <f t="shared" si="85"/>
        <v>0.15</v>
      </c>
      <c r="LF7" s="63">
        <f t="shared" si="85"/>
        <v>0</v>
      </c>
      <c r="LG7" s="63">
        <f t="shared" si="85"/>
        <v>27.75</v>
      </c>
      <c r="LH7" s="63">
        <f t="shared" si="85"/>
        <v>6.4</v>
      </c>
      <c r="LI7" s="63">
        <f t="shared" si="85"/>
        <v>0</v>
      </c>
      <c r="LJ7" s="63">
        <f t="shared" si="85"/>
        <v>0</v>
      </c>
      <c r="LK7" s="63">
        <f t="shared" si="85"/>
        <v>24.6</v>
      </c>
      <c r="LL7" s="63">
        <f t="shared" si="85"/>
        <v>5</v>
      </c>
      <c r="LM7" s="63">
        <f t="shared" si="85"/>
        <v>0.6</v>
      </c>
      <c r="LN7" s="63">
        <f t="shared" si="85"/>
        <v>0</v>
      </c>
      <c r="LO7" s="63">
        <f t="shared" si="85"/>
        <v>26.55</v>
      </c>
      <c r="LP7" s="63">
        <f t="shared" si="85"/>
        <v>5.4</v>
      </c>
      <c r="LQ7" s="63">
        <f t="shared" si="85"/>
        <v>1.2</v>
      </c>
      <c r="LR7" s="63">
        <f t="shared" si="85"/>
        <v>0</v>
      </c>
      <c r="LS7" s="74" t="s">
        <v>119</v>
      </c>
      <c r="LT7" s="12">
        <f t="shared" si="92"/>
        <v>11.25</v>
      </c>
      <c r="LU7" s="12">
        <f t="shared" si="93"/>
        <v>21.65</v>
      </c>
      <c r="LV7" s="12">
        <f t="shared" si="94"/>
        <v>66.05</v>
      </c>
      <c r="LW7" s="12">
        <f t="shared" si="95"/>
        <v>59.750000000000007</v>
      </c>
      <c r="LX7" s="12">
        <f t="shared" si="96"/>
        <v>125.80000000000001</v>
      </c>
    </row>
    <row r="8" spans="1:336" x14ac:dyDescent="0.2">
      <c r="A8" s="6" t="str">
        <f t="shared" si="0"/>
        <v/>
      </c>
      <c r="B8" s="9" t="s">
        <v>115</v>
      </c>
      <c r="C8" s="5" t="s">
        <v>4</v>
      </c>
      <c r="D8" s="6">
        <v>2003</v>
      </c>
      <c r="E8" s="16">
        <f t="shared" si="1"/>
        <v>192.5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127.30000000000001</v>
      </c>
      <c r="K8" s="15" t="str">
        <f t="shared" si="7"/>
        <v>2019 Elite Canada</v>
      </c>
      <c r="L8" s="15">
        <f t="shared" si="8"/>
        <v>65.2</v>
      </c>
      <c r="M8" s="15" t="str">
        <f t="shared" si="9"/>
        <v>2018 Nationals</v>
      </c>
      <c r="N8" s="15" t="str">
        <f t="shared" si="10"/>
        <v/>
      </c>
      <c r="O8" s="25" t="str">
        <f t="shared" si="11"/>
        <v/>
      </c>
      <c r="P8" s="15" t="str">
        <f t="shared" si="12"/>
        <v/>
      </c>
      <c r="Q8" s="63">
        <v>27</v>
      </c>
      <c r="R8" s="63">
        <v>5.2</v>
      </c>
      <c r="S8" s="63">
        <v>0.3</v>
      </c>
      <c r="T8" s="63">
        <v>0</v>
      </c>
      <c r="U8" s="63">
        <v>28.1</v>
      </c>
      <c r="V8" s="63">
        <v>5.2</v>
      </c>
      <c r="W8" s="63">
        <v>0</v>
      </c>
      <c r="X8" s="63">
        <v>0</v>
      </c>
      <c r="Y8" s="63">
        <v>25.1</v>
      </c>
      <c r="Z8" s="63">
        <v>6.8</v>
      </c>
      <c r="AA8" s="63">
        <v>0.3</v>
      </c>
      <c r="AB8" s="63">
        <v>0</v>
      </c>
      <c r="AC8" s="63">
        <v>24.9</v>
      </c>
      <c r="AD8" s="63">
        <v>6.4</v>
      </c>
      <c r="AE8" s="63">
        <v>1.8</v>
      </c>
      <c r="AF8" s="63">
        <v>0</v>
      </c>
      <c r="AG8" s="74"/>
      <c r="AH8" s="12">
        <f t="shared" si="13"/>
        <v>10.4</v>
      </c>
      <c r="AI8" s="12">
        <f t="shared" si="14"/>
        <v>23.6</v>
      </c>
      <c r="AJ8" s="12">
        <f t="shared" si="15"/>
        <v>65.2</v>
      </c>
      <c r="AK8" s="12">
        <f t="shared" si="16"/>
        <v>61.099999999999994</v>
      </c>
      <c r="AL8" s="12">
        <f t="shared" si="17"/>
        <v>126.3</v>
      </c>
      <c r="AM8" s="37">
        <v>27.4</v>
      </c>
      <c r="AN8" s="37">
        <v>2.9</v>
      </c>
      <c r="AO8" s="37">
        <v>2.6</v>
      </c>
      <c r="AP8" s="37">
        <v>0</v>
      </c>
      <c r="AQ8" s="37">
        <v>27.8</v>
      </c>
      <c r="AR8" s="37">
        <v>5.2</v>
      </c>
      <c r="AS8" s="37">
        <v>0</v>
      </c>
      <c r="AT8" s="37">
        <v>0</v>
      </c>
      <c r="AU8" s="37">
        <v>27.2</v>
      </c>
      <c r="AV8" s="37">
        <v>6.8</v>
      </c>
      <c r="AW8" s="37">
        <v>1.5</v>
      </c>
      <c r="AX8" s="37">
        <v>0</v>
      </c>
      <c r="AY8" s="37">
        <v>27.7</v>
      </c>
      <c r="AZ8" s="37">
        <v>6.4</v>
      </c>
      <c r="BA8" s="37">
        <v>0</v>
      </c>
      <c r="BB8" s="37">
        <v>0</v>
      </c>
      <c r="BC8" s="75"/>
      <c r="BD8" s="15">
        <f t="shared" si="18"/>
        <v>8.1</v>
      </c>
      <c r="BE8" s="15">
        <f t="shared" si="19"/>
        <v>21.299999999999997</v>
      </c>
      <c r="BF8" s="15">
        <f t="shared" si="20"/>
        <v>60.699999999999996</v>
      </c>
      <c r="BG8" s="15">
        <f t="shared" si="21"/>
        <v>66.600000000000009</v>
      </c>
      <c r="BH8" s="15">
        <f t="shared" si="22"/>
        <v>127.30000000000001</v>
      </c>
      <c r="BI8" s="24" t="str">
        <f t="shared" si="23"/>
        <v/>
      </c>
      <c r="BJ8" s="24" t="str">
        <f t="shared" si="24"/>
        <v/>
      </c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12" t="str">
        <f t="shared" si="25"/>
        <v/>
      </c>
      <c r="CB8" s="12" t="str">
        <f t="shared" si="26"/>
        <v/>
      </c>
      <c r="CC8" s="12" t="str">
        <f t="shared" si="27"/>
        <v/>
      </c>
      <c r="CD8" s="12" t="str">
        <f t="shared" si="28"/>
        <v/>
      </c>
      <c r="CE8" s="12" t="str">
        <f t="shared" si="29"/>
        <v/>
      </c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15" t="str">
        <f t="shared" si="30"/>
        <v/>
      </c>
      <c r="CW8" s="15" t="str">
        <f t="shared" si="31"/>
        <v/>
      </c>
      <c r="CX8" s="15" t="str">
        <f t="shared" si="32"/>
        <v/>
      </c>
      <c r="CY8" s="15" t="str">
        <f t="shared" si="33"/>
        <v/>
      </c>
      <c r="CZ8" s="15" t="str">
        <f t="shared" si="34"/>
        <v/>
      </c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12" t="str">
        <f t="shared" si="35"/>
        <v/>
      </c>
      <c r="DR8" s="12" t="str">
        <f t="shared" si="36"/>
        <v/>
      </c>
      <c r="DS8" s="12" t="str">
        <f t="shared" si="37"/>
        <v/>
      </c>
      <c r="DT8" s="12" t="str">
        <f t="shared" si="38"/>
        <v/>
      </c>
      <c r="DU8" s="12" t="str">
        <f t="shared" si="39"/>
        <v/>
      </c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15" t="str">
        <f t="shared" si="40"/>
        <v/>
      </c>
      <c r="EM8" s="15" t="str">
        <f t="shared" si="41"/>
        <v/>
      </c>
      <c r="EN8" s="15" t="str">
        <f t="shared" si="42"/>
        <v/>
      </c>
      <c r="EO8" s="15" t="str">
        <f t="shared" si="43"/>
        <v/>
      </c>
      <c r="EP8" s="15" t="str">
        <f t="shared" si="44"/>
        <v/>
      </c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12" t="str">
        <f t="shared" si="45"/>
        <v/>
      </c>
      <c r="FH8" s="12" t="str">
        <f t="shared" si="46"/>
        <v/>
      </c>
      <c r="FI8" s="12" t="str">
        <f t="shared" si="47"/>
        <v/>
      </c>
      <c r="FJ8" s="12" t="str">
        <f t="shared" si="48"/>
        <v/>
      </c>
      <c r="FK8" s="12" t="str">
        <f t="shared" si="49"/>
        <v/>
      </c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15" t="str">
        <f t="shared" si="50"/>
        <v/>
      </c>
      <c r="GC8" s="15" t="str">
        <f t="shared" si="51"/>
        <v/>
      </c>
      <c r="GD8" s="15" t="str">
        <f t="shared" si="52"/>
        <v/>
      </c>
      <c r="GE8" s="15" t="str">
        <f t="shared" si="53"/>
        <v/>
      </c>
      <c r="GF8" s="15" t="str">
        <f t="shared" si="54"/>
        <v/>
      </c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12" t="str">
        <f t="shared" si="55"/>
        <v/>
      </c>
      <c r="GX8" s="12" t="str">
        <f t="shared" si="56"/>
        <v/>
      </c>
      <c r="GY8" s="12" t="str">
        <f t="shared" si="57"/>
        <v/>
      </c>
      <c r="GZ8" s="12" t="str">
        <f t="shared" si="58"/>
        <v/>
      </c>
      <c r="HA8" s="12" t="str">
        <f t="shared" si="59"/>
        <v/>
      </c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15" t="str">
        <f t="shared" si="60"/>
        <v/>
      </c>
      <c r="HS8" s="15" t="str">
        <f t="shared" si="61"/>
        <v/>
      </c>
      <c r="HT8" s="15" t="str">
        <f t="shared" si="62"/>
        <v/>
      </c>
      <c r="HU8" s="15" t="str">
        <f t="shared" si="63"/>
        <v/>
      </c>
      <c r="HV8" s="15" t="str">
        <f t="shared" si="64"/>
        <v/>
      </c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12" t="str">
        <f t="shared" si="65"/>
        <v/>
      </c>
      <c r="IN8" s="12" t="str">
        <f t="shared" si="66"/>
        <v/>
      </c>
      <c r="IO8" s="12" t="str">
        <f t="shared" si="67"/>
        <v/>
      </c>
      <c r="IP8" s="12" t="str">
        <f t="shared" si="68"/>
        <v/>
      </c>
      <c r="IQ8" s="12" t="str">
        <f t="shared" si="69"/>
        <v/>
      </c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15" t="str">
        <f t="shared" si="70"/>
        <v/>
      </c>
      <c r="JI8" s="15" t="str">
        <f t="shared" si="71"/>
        <v/>
      </c>
      <c r="JJ8" s="15" t="str">
        <f t="shared" si="72"/>
        <v/>
      </c>
      <c r="JK8" s="15" t="str">
        <f t="shared" si="73"/>
        <v/>
      </c>
      <c r="JL8" s="15" t="str">
        <f t="shared" si="74"/>
        <v/>
      </c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12" t="str">
        <f t="shared" si="75"/>
        <v/>
      </c>
      <c r="KD8" s="12" t="str">
        <f t="shared" si="76"/>
        <v/>
      </c>
      <c r="KE8" s="12" t="str">
        <f t="shared" si="77"/>
        <v/>
      </c>
      <c r="KF8" s="12" t="str">
        <f t="shared" si="78"/>
        <v/>
      </c>
      <c r="KG8" s="12" t="str">
        <f t="shared" si="79"/>
        <v/>
      </c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15" t="str">
        <f t="shared" si="80"/>
        <v/>
      </c>
      <c r="KY8" s="15" t="str">
        <f t="shared" si="81"/>
        <v/>
      </c>
      <c r="KZ8" s="15" t="str">
        <f t="shared" si="82"/>
        <v/>
      </c>
      <c r="LA8" s="15" t="str">
        <f t="shared" si="83"/>
        <v/>
      </c>
      <c r="LB8" s="15" t="str">
        <f t="shared" si="84"/>
        <v/>
      </c>
      <c r="LC8" s="63">
        <f t="shared" si="91"/>
        <v>27.2</v>
      </c>
      <c r="LD8" s="63">
        <f t="shared" si="85"/>
        <v>4.05</v>
      </c>
      <c r="LE8" s="63">
        <f t="shared" si="85"/>
        <v>1.45</v>
      </c>
      <c r="LF8" s="63">
        <f t="shared" si="85"/>
        <v>0</v>
      </c>
      <c r="LG8" s="63">
        <f t="shared" si="85"/>
        <v>27.950000000000003</v>
      </c>
      <c r="LH8" s="63">
        <f t="shared" si="85"/>
        <v>5.2</v>
      </c>
      <c r="LI8" s="63">
        <f t="shared" si="85"/>
        <v>0</v>
      </c>
      <c r="LJ8" s="63">
        <f t="shared" si="85"/>
        <v>0</v>
      </c>
      <c r="LK8" s="63">
        <f t="shared" si="85"/>
        <v>26.15</v>
      </c>
      <c r="LL8" s="63">
        <f t="shared" si="85"/>
        <v>6.8</v>
      </c>
      <c r="LM8" s="63">
        <f t="shared" si="85"/>
        <v>0.9</v>
      </c>
      <c r="LN8" s="63">
        <f t="shared" si="85"/>
        <v>0</v>
      </c>
      <c r="LO8" s="63">
        <f t="shared" si="85"/>
        <v>26.299999999999997</v>
      </c>
      <c r="LP8" s="63">
        <f t="shared" si="85"/>
        <v>6.4</v>
      </c>
      <c r="LQ8" s="63">
        <f t="shared" si="85"/>
        <v>0.9</v>
      </c>
      <c r="LR8" s="63">
        <f t="shared" si="85"/>
        <v>0</v>
      </c>
      <c r="LS8" s="74" t="s">
        <v>119</v>
      </c>
      <c r="LT8" s="12">
        <f t="shared" si="92"/>
        <v>9.25</v>
      </c>
      <c r="LU8" s="12">
        <f t="shared" si="93"/>
        <v>22.450000000000003</v>
      </c>
      <c r="LV8" s="12">
        <f t="shared" si="94"/>
        <v>62.95</v>
      </c>
      <c r="LW8" s="12">
        <f t="shared" si="95"/>
        <v>63.849999999999994</v>
      </c>
      <c r="LX8" s="12">
        <f t="shared" si="96"/>
        <v>126.8</v>
      </c>
    </row>
    <row r="9" spans="1:336" x14ac:dyDescent="0.2">
      <c r="A9" s="6" t="str">
        <f t="shared" si="0"/>
        <v/>
      </c>
      <c r="B9" s="9" t="s">
        <v>117</v>
      </c>
      <c r="C9" s="5" t="s">
        <v>4</v>
      </c>
      <c r="D9" s="6">
        <v>2003</v>
      </c>
      <c r="E9" s="16">
        <f t="shared" si="1"/>
        <v>186.9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131.5</v>
      </c>
      <c r="K9" s="15" t="str">
        <f t="shared" si="7"/>
        <v>2019 Elite Canada</v>
      </c>
      <c r="L9" s="15">
        <f t="shared" si="8"/>
        <v>55.400000000000006</v>
      </c>
      <c r="M9" s="15" t="str">
        <f t="shared" si="9"/>
        <v>2018 Nationals</v>
      </c>
      <c r="N9" s="15" t="str">
        <f t="shared" si="10"/>
        <v/>
      </c>
      <c r="O9" s="25" t="str">
        <f t="shared" si="11"/>
        <v/>
      </c>
      <c r="P9" s="15" t="str">
        <f t="shared" si="12"/>
        <v/>
      </c>
      <c r="Q9" s="63">
        <v>27.7</v>
      </c>
      <c r="R9" s="63">
        <v>6.4</v>
      </c>
      <c r="S9" s="63">
        <v>0.9</v>
      </c>
      <c r="T9" s="63">
        <v>0</v>
      </c>
      <c r="U9" s="63">
        <v>19.8</v>
      </c>
      <c r="V9" s="63">
        <v>2.4</v>
      </c>
      <c r="W9" s="63">
        <v>0</v>
      </c>
      <c r="X9" s="63">
        <v>0</v>
      </c>
      <c r="Y9" s="63">
        <v>27.3</v>
      </c>
      <c r="Z9" s="63">
        <v>4.8</v>
      </c>
      <c r="AA9" s="63">
        <v>0.3</v>
      </c>
      <c r="AB9" s="63">
        <v>0</v>
      </c>
      <c r="AC9" s="63">
        <v>0</v>
      </c>
      <c r="AD9" s="63">
        <v>0</v>
      </c>
      <c r="AE9" s="63">
        <v>0</v>
      </c>
      <c r="AF9" s="63">
        <v>0</v>
      </c>
      <c r="AG9" s="74"/>
      <c r="AH9" s="12">
        <f t="shared" si="13"/>
        <v>8.8000000000000007</v>
      </c>
      <c r="AI9" s="12">
        <f t="shared" si="14"/>
        <v>13.600000000000001</v>
      </c>
      <c r="AJ9" s="12">
        <f t="shared" si="15"/>
        <v>55.400000000000006</v>
      </c>
      <c r="AK9" s="12">
        <f t="shared" si="16"/>
        <v>31.8</v>
      </c>
      <c r="AL9" s="12">
        <f t="shared" si="17"/>
        <v>87.2</v>
      </c>
      <c r="AM9" s="37">
        <v>27.6</v>
      </c>
      <c r="AN9" s="37">
        <v>6.4</v>
      </c>
      <c r="AO9" s="37">
        <v>1.2</v>
      </c>
      <c r="AP9" s="37">
        <v>0</v>
      </c>
      <c r="AQ9" s="37">
        <v>27.7</v>
      </c>
      <c r="AR9" s="37">
        <v>6.8</v>
      </c>
      <c r="AS9" s="37">
        <v>1.2</v>
      </c>
      <c r="AT9" s="37">
        <v>0</v>
      </c>
      <c r="AU9" s="37">
        <v>27.4</v>
      </c>
      <c r="AV9" s="37">
        <v>6</v>
      </c>
      <c r="AW9" s="37">
        <v>1.2</v>
      </c>
      <c r="AX9" s="37">
        <v>0</v>
      </c>
      <c r="AY9" s="37">
        <v>27.3</v>
      </c>
      <c r="AZ9" s="37">
        <v>6.8</v>
      </c>
      <c r="BA9" s="37">
        <v>0.9</v>
      </c>
      <c r="BB9" s="37">
        <v>0</v>
      </c>
      <c r="BC9" s="75"/>
      <c r="BD9" s="15">
        <f t="shared" si="18"/>
        <v>13.2</v>
      </c>
      <c r="BE9" s="15">
        <f t="shared" si="19"/>
        <v>26</v>
      </c>
      <c r="BF9" s="15">
        <f t="shared" si="20"/>
        <v>66.099999999999994</v>
      </c>
      <c r="BG9" s="15">
        <f t="shared" si="21"/>
        <v>65.400000000000006</v>
      </c>
      <c r="BH9" s="15">
        <f t="shared" si="22"/>
        <v>131.5</v>
      </c>
      <c r="BI9" s="24" t="str">
        <f t="shared" si="23"/>
        <v/>
      </c>
      <c r="BJ9" s="24" t="str">
        <f t="shared" si="24"/>
        <v/>
      </c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12" t="str">
        <f t="shared" si="25"/>
        <v/>
      </c>
      <c r="CB9" s="12" t="str">
        <f t="shared" si="26"/>
        <v/>
      </c>
      <c r="CC9" s="12" t="str">
        <f t="shared" si="27"/>
        <v/>
      </c>
      <c r="CD9" s="12" t="str">
        <f t="shared" si="28"/>
        <v/>
      </c>
      <c r="CE9" s="12" t="str">
        <f t="shared" si="29"/>
        <v/>
      </c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15" t="str">
        <f t="shared" si="30"/>
        <v/>
      </c>
      <c r="CW9" s="15" t="str">
        <f t="shared" si="31"/>
        <v/>
      </c>
      <c r="CX9" s="15" t="str">
        <f t="shared" si="32"/>
        <v/>
      </c>
      <c r="CY9" s="15" t="str">
        <f t="shared" si="33"/>
        <v/>
      </c>
      <c r="CZ9" s="15" t="str">
        <f t="shared" si="34"/>
        <v/>
      </c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12" t="str">
        <f t="shared" si="35"/>
        <v/>
      </c>
      <c r="DR9" s="12" t="str">
        <f t="shared" si="36"/>
        <v/>
      </c>
      <c r="DS9" s="12" t="str">
        <f t="shared" si="37"/>
        <v/>
      </c>
      <c r="DT9" s="12" t="str">
        <f t="shared" si="38"/>
        <v/>
      </c>
      <c r="DU9" s="12" t="str">
        <f t="shared" si="39"/>
        <v/>
      </c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15" t="str">
        <f t="shared" si="40"/>
        <v/>
      </c>
      <c r="EM9" s="15" t="str">
        <f t="shared" si="41"/>
        <v/>
      </c>
      <c r="EN9" s="15" t="str">
        <f t="shared" si="42"/>
        <v/>
      </c>
      <c r="EO9" s="15" t="str">
        <f t="shared" si="43"/>
        <v/>
      </c>
      <c r="EP9" s="15" t="str">
        <f t="shared" si="44"/>
        <v/>
      </c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12" t="str">
        <f t="shared" si="45"/>
        <v/>
      </c>
      <c r="FH9" s="12" t="str">
        <f t="shared" si="46"/>
        <v/>
      </c>
      <c r="FI9" s="12" t="str">
        <f t="shared" si="47"/>
        <v/>
      </c>
      <c r="FJ9" s="12" t="str">
        <f t="shared" si="48"/>
        <v/>
      </c>
      <c r="FK9" s="12" t="str">
        <f t="shared" si="49"/>
        <v/>
      </c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15" t="str">
        <f t="shared" si="50"/>
        <v/>
      </c>
      <c r="GC9" s="15" t="str">
        <f t="shared" si="51"/>
        <v/>
      </c>
      <c r="GD9" s="15" t="str">
        <f t="shared" si="52"/>
        <v/>
      </c>
      <c r="GE9" s="15" t="str">
        <f t="shared" si="53"/>
        <v/>
      </c>
      <c r="GF9" s="15" t="str">
        <f t="shared" si="54"/>
        <v/>
      </c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12" t="str">
        <f t="shared" si="55"/>
        <v/>
      </c>
      <c r="GX9" s="12" t="str">
        <f t="shared" si="56"/>
        <v/>
      </c>
      <c r="GY9" s="12" t="str">
        <f t="shared" si="57"/>
        <v/>
      </c>
      <c r="GZ9" s="12" t="str">
        <f t="shared" si="58"/>
        <v/>
      </c>
      <c r="HA9" s="12" t="str">
        <f t="shared" si="59"/>
        <v/>
      </c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15" t="str">
        <f t="shared" si="60"/>
        <v/>
      </c>
      <c r="HS9" s="15" t="str">
        <f t="shared" si="61"/>
        <v/>
      </c>
      <c r="HT9" s="15" t="str">
        <f t="shared" si="62"/>
        <v/>
      </c>
      <c r="HU9" s="15" t="str">
        <f t="shared" si="63"/>
        <v/>
      </c>
      <c r="HV9" s="15" t="str">
        <f t="shared" si="64"/>
        <v/>
      </c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12" t="str">
        <f t="shared" si="65"/>
        <v/>
      </c>
      <c r="IN9" s="12" t="str">
        <f t="shared" si="66"/>
        <v/>
      </c>
      <c r="IO9" s="12" t="str">
        <f t="shared" si="67"/>
        <v/>
      </c>
      <c r="IP9" s="12" t="str">
        <f t="shared" si="68"/>
        <v/>
      </c>
      <c r="IQ9" s="12" t="str">
        <f t="shared" si="69"/>
        <v/>
      </c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15" t="str">
        <f t="shared" si="70"/>
        <v/>
      </c>
      <c r="JI9" s="15" t="str">
        <f t="shared" si="71"/>
        <v/>
      </c>
      <c r="JJ9" s="15" t="str">
        <f t="shared" si="72"/>
        <v/>
      </c>
      <c r="JK9" s="15" t="str">
        <f t="shared" si="73"/>
        <v/>
      </c>
      <c r="JL9" s="15" t="str">
        <f t="shared" si="74"/>
        <v/>
      </c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12" t="str">
        <f t="shared" si="75"/>
        <v/>
      </c>
      <c r="KD9" s="12" t="str">
        <f t="shared" si="76"/>
        <v/>
      </c>
      <c r="KE9" s="12" t="str">
        <f t="shared" si="77"/>
        <v/>
      </c>
      <c r="KF9" s="12" t="str">
        <f t="shared" si="78"/>
        <v/>
      </c>
      <c r="KG9" s="12" t="str">
        <f t="shared" si="79"/>
        <v/>
      </c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15" t="str">
        <f t="shared" si="80"/>
        <v/>
      </c>
      <c r="KY9" s="15" t="str">
        <f t="shared" si="81"/>
        <v/>
      </c>
      <c r="KZ9" s="15" t="str">
        <f t="shared" si="82"/>
        <v/>
      </c>
      <c r="LA9" s="15" t="str">
        <f t="shared" si="83"/>
        <v/>
      </c>
      <c r="LB9" s="15" t="str">
        <f t="shared" si="84"/>
        <v/>
      </c>
      <c r="LC9" s="63">
        <f t="shared" si="91"/>
        <v>27.65</v>
      </c>
      <c r="LD9" s="63">
        <f t="shared" si="85"/>
        <v>6.4</v>
      </c>
      <c r="LE9" s="63">
        <f t="shared" si="85"/>
        <v>1.05</v>
      </c>
      <c r="LF9" s="63">
        <f t="shared" si="85"/>
        <v>0</v>
      </c>
      <c r="LG9" s="63">
        <f t="shared" si="85"/>
        <v>23.75</v>
      </c>
      <c r="LH9" s="63">
        <f t="shared" si="85"/>
        <v>4.5999999999999996</v>
      </c>
      <c r="LI9" s="63">
        <f t="shared" si="85"/>
        <v>0.6</v>
      </c>
      <c r="LJ9" s="63">
        <f t="shared" si="85"/>
        <v>0</v>
      </c>
      <c r="LK9" s="63">
        <f t="shared" si="85"/>
        <v>27.35</v>
      </c>
      <c r="LL9" s="63">
        <f t="shared" si="85"/>
        <v>5.4</v>
      </c>
      <c r="LM9" s="63">
        <f t="shared" si="85"/>
        <v>0.75</v>
      </c>
      <c r="LN9" s="63">
        <f t="shared" si="85"/>
        <v>0</v>
      </c>
      <c r="LO9" s="63">
        <f t="shared" si="85"/>
        <v>13.65</v>
      </c>
      <c r="LP9" s="63">
        <f t="shared" si="85"/>
        <v>3.4</v>
      </c>
      <c r="LQ9" s="63">
        <f t="shared" si="85"/>
        <v>0.45</v>
      </c>
      <c r="LR9" s="63">
        <f t="shared" si="85"/>
        <v>0</v>
      </c>
      <c r="LS9" s="74" t="s">
        <v>119</v>
      </c>
      <c r="LT9" s="12">
        <f t="shared" si="92"/>
        <v>11</v>
      </c>
      <c r="LU9" s="12">
        <f t="shared" si="93"/>
        <v>19.799999999999997</v>
      </c>
      <c r="LV9" s="12">
        <f t="shared" si="94"/>
        <v>60.75</v>
      </c>
      <c r="LW9" s="12">
        <f t="shared" si="95"/>
        <v>48.599999999999994</v>
      </c>
      <c r="LX9" s="12">
        <f t="shared" si="96"/>
        <v>109.35</v>
      </c>
    </row>
    <row r="10" spans="1:336" x14ac:dyDescent="0.2">
      <c r="A10" s="6" t="str">
        <f t="shared" si="0"/>
        <v/>
      </c>
      <c r="B10" s="9" t="s">
        <v>86</v>
      </c>
      <c r="C10" s="5" t="s">
        <v>4</v>
      </c>
      <c r="D10" s="6">
        <v>2002</v>
      </c>
      <c r="E10" s="16">
        <f t="shared" si="1"/>
        <v>132.80000000000001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99.8</v>
      </c>
      <c r="K10" s="15" t="str">
        <f t="shared" si="7"/>
        <v>2018 Nationals</v>
      </c>
      <c r="L10" s="15">
        <f t="shared" si="8"/>
        <v>33</v>
      </c>
      <c r="M10" s="15" t="str">
        <f t="shared" si="9"/>
        <v>2019 Elite Canada</v>
      </c>
      <c r="N10" s="15" t="str">
        <f t="shared" si="10"/>
        <v/>
      </c>
      <c r="O10" s="25" t="str">
        <f t="shared" si="11"/>
        <v/>
      </c>
      <c r="P10" s="15" t="str">
        <f t="shared" si="12"/>
        <v/>
      </c>
      <c r="Q10" s="63">
        <v>28.2</v>
      </c>
      <c r="R10" s="63">
        <v>6.8</v>
      </c>
      <c r="S10" s="63">
        <v>1.2</v>
      </c>
      <c r="T10" s="63">
        <v>0</v>
      </c>
      <c r="U10" s="63">
        <v>0</v>
      </c>
      <c r="V10" s="63">
        <v>0</v>
      </c>
      <c r="W10" s="63">
        <v>0</v>
      </c>
      <c r="X10" s="63">
        <v>0</v>
      </c>
      <c r="Y10" s="63">
        <v>27.7</v>
      </c>
      <c r="Z10" s="63">
        <v>6.8</v>
      </c>
      <c r="AA10" s="63">
        <v>1.2</v>
      </c>
      <c r="AB10" s="63">
        <v>0</v>
      </c>
      <c r="AC10" s="63">
        <v>27.5</v>
      </c>
      <c r="AD10" s="63">
        <v>6.4</v>
      </c>
      <c r="AE10" s="63">
        <v>1.2</v>
      </c>
      <c r="AF10" s="63">
        <v>0</v>
      </c>
      <c r="AG10" s="74"/>
      <c r="AH10" s="12">
        <f t="shared" si="13"/>
        <v>6.8</v>
      </c>
      <c r="AI10" s="12">
        <f t="shared" si="14"/>
        <v>20</v>
      </c>
      <c r="AJ10" s="12">
        <f t="shared" si="15"/>
        <v>33.799999999999997</v>
      </c>
      <c r="AK10" s="12">
        <f t="shared" si="16"/>
        <v>66</v>
      </c>
      <c r="AL10" s="12">
        <f t="shared" si="17"/>
        <v>99.8</v>
      </c>
      <c r="AM10" s="37">
        <v>0</v>
      </c>
      <c r="AN10" s="37">
        <v>0</v>
      </c>
      <c r="AO10" s="37">
        <v>0</v>
      </c>
      <c r="AP10" s="37">
        <v>0</v>
      </c>
      <c r="AQ10" s="37">
        <v>27.7</v>
      </c>
      <c r="AR10" s="37">
        <v>6.8</v>
      </c>
      <c r="AS10" s="37">
        <v>1.5</v>
      </c>
      <c r="AT10" s="37">
        <v>0</v>
      </c>
      <c r="AU10" s="37"/>
      <c r="AV10" s="37"/>
      <c r="AW10" s="37"/>
      <c r="AX10" s="37"/>
      <c r="AY10" s="37"/>
      <c r="AZ10" s="37"/>
      <c r="BA10" s="37"/>
      <c r="BB10" s="37"/>
      <c r="BC10" s="75"/>
      <c r="BD10" s="15">
        <f t="shared" si="18"/>
        <v>6.8</v>
      </c>
      <c r="BE10" s="15">
        <f t="shared" si="19"/>
        <v>6.8</v>
      </c>
      <c r="BF10" s="15">
        <f t="shared" si="20"/>
        <v>33</v>
      </c>
      <c r="BG10" s="15" t="str">
        <f t="shared" si="21"/>
        <v/>
      </c>
      <c r="BH10" s="15">
        <f t="shared" si="22"/>
        <v>33</v>
      </c>
      <c r="BI10" s="24" t="str">
        <f t="shared" si="23"/>
        <v/>
      </c>
      <c r="BJ10" s="24" t="str">
        <f t="shared" si="24"/>
        <v/>
      </c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12" t="str">
        <f t="shared" si="25"/>
        <v/>
      </c>
      <c r="CB10" s="12" t="str">
        <f t="shared" si="26"/>
        <v/>
      </c>
      <c r="CC10" s="12" t="str">
        <f t="shared" si="27"/>
        <v/>
      </c>
      <c r="CD10" s="12" t="str">
        <f t="shared" si="28"/>
        <v/>
      </c>
      <c r="CE10" s="12" t="str">
        <f t="shared" si="29"/>
        <v/>
      </c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15" t="str">
        <f t="shared" si="30"/>
        <v/>
      </c>
      <c r="CW10" s="15" t="str">
        <f t="shared" si="31"/>
        <v/>
      </c>
      <c r="CX10" s="15" t="str">
        <f t="shared" si="32"/>
        <v/>
      </c>
      <c r="CY10" s="15" t="str">
        <f t="shared" si="33"/>
        <v/>
      </c>
      <c r="CZ10" s="15" t="str">
        <f t="shared" si="34"/>
        <v/>
      </c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12" t="str">
        <f t="shared" si="35"/>
        <v/>
      </c>
      <c r="DR10" s="12" t="str">
        <f t="shared" si="36"/>
        <v/>
      </c>
      <c r="DS10" s="12" t="str">
        <f t="shared" si="37"/>
        <v/>
      </c>
      <c r="DT10" s="12" t="str">
        <f t="shared" si="38"/>
        <v/>
      </c>
      <c r="DU10" s="12" t="str">
        <f t="shared" si="39"/>
        <v/>
      </c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15" t="str">
        <f t="shared" si="40"/>
        <v/>
      </c>
      <c r="EM10" s="15" t="str">
        <f t="shared" si="41"/>
        <v/>
      </c>
      <c r="EN10" s="15" t="str">
        <f t="shared" si="42"/>
        <v/>
      </c>
      <c r="EO10" s="15" t="str">
        <f t="shared" si="43"/>
        <v/>
      </c>
      <c r="EP10" s="15" t="str">
        <f t="shared" si="44"/>
        <v/>
      </c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12" t="str">
        <f t="shared" si="45"/>
        <v/>
      </c>
      <c r="FH10" s="12" t="str">
        <f t="shared" si="46"/>
        <v/>
      </c>
      <c r="FI10" s="12" t="str">
        <f t="shared" si="47"/>
        <v/>
      </c>
      <c r="FJ10" s="12" t="str">
        <f t="shared" si="48"/>
        <v/>
      </c>
      <c r="FK10" s="12" t="str">
        <f t="shared" si="49"/>
        <v/>
      </c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15" t="str">
        <f t="shared" si="50"/>
        <v/>
      </c>
      <c r="GC10" s="15" t="str">
        <f t="shared" si="51"/>
        <v/>
      </c>
      <c r="GD10" s="15" t="str">
        <f t="shared" si="52"/>
        <v/>
      </c>
      <c r="GE10" s="15" t="str">
        <f t="shared" si="53"/>
        <v/>
      </c>
      <c r="GF10" s="15" t="str">
        <f t="shared" si="54"/>
        <v/>
      </c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12" t="str">
        <f t="shared" si="55"/>
        <v/>
      </c>
      <c r="GX10" s="12" t="str">
        <f t="shared" si="56"/>
        <v/>
      </c>
      <c r="GY10" s="12" t="str">
        <f t="shared" si="57"/>
        <v/>
      </c>
      <c r="GZ10" s="12" t="str">
        <f t="shared" si="58"/>
        <v/>
      </c>
      <c r="HA10" s="12" t="str">
        <f t="shared" si="59"/>
        <v/>
      </c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15" t="str">
        <f t="shared" si="60"/>
        <v/>
      </c>
      <c r="HS10" s="15" t="str">
        <f t="shared" si="61"/>
        <v/>
      </c>
      <c r="HT10" s="15" t="str">
        <f t="shared" si="62"/>
        <v/>
      </c>
      <c r="HU10" s="15" t="str">
        <f t="shared" si="63"/>
        <v/>
      </c>
      <c r="HV10" s="15" t="str">
        <f t="shared" si="64"/>
        <v/>
      </c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12" t="str">
        <f t="shared" si="65"/>
        <v/>
      </c>
      <c r="IN10" s="12" t="str">
        <f t="shared" si="66"/>
        <v/>
      </c>
      <c r="IO10" s="12" t="str">
        <f t="shared" si="67"/>
        <v/>
      </c>
      <c r="IP10" s="12" t="str">
        <f t="shared" si="68"/>
        <v/>
      </c>
      <c r="IQ10" s="12" t="str">
        <f t="shared" si="69"/>
        <v/>
      </c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15" t="str">
        <f t="shared" si="70"/>
        <v/>
      </c>
      <c r="JI10" s="15" t="str">
        <f t="shared" si="71"/>
        <v/>
      </c>
      <c r="JJ10" s="15" t="str">
        <f t="shared" si="72"/>
        <v/>
      </c>
      <c r="JK10" s="15" t="str">
        <f t="shared" si="73"/>
        <v/>
      </c>
      <c r="JL10" s="15" t="str">
        <f t="shared" si="74"/>
        <v/>
      </c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12" t="str">
        <f t="shared" si="75"/>
        <v/>
      </c>
      <c r="KD10" s="12" t="str">
        <f t="shared" si="76"/>
        <v/>
      </c>
      <c r="KE10" s="12" t="str">
        <f t="shared" si="77"/>
        <v/>
      </c>
      <c r="KF10" s="12" t="str">
        <f t="shared" si="78"/>
        <v/>
      </c>
      <c r="KG10" s="12" t="str">
        <f t="shared" si="79"/>
        <v/>
      </c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15" t="str">
        <f t="shared" si="80"/>
        <v/>
      </c>
      <c r="KY10" s="15" t="str">
        <f t="shared" si="81"/>
        <v/>
      </c>
      <c r="KZ10" s="15" t="str">
        <f t="shared" si="82"/>
        <v/>
      </c>
      <c r="LA10" s="15" t="str">
        <f t="shared" si="83"/>
        <v/>
      </c>
      <c r="LB10" s="15" t="str">
        <f t="shared" si="84"/>
        <v/>
      </c>
      <c r="LC10" s="63">
        <f t="shared" si="91"/>
        <v>14.1</v>
      </c>
      <c r="LD10" s="63">
        <f t="shared" si="85"/>
        <v>3.4</v>
      </c>
      <c r="LE10" s="63">
        <f t="shared" si="85"/>
        <v>0.6</v>
      </c>
      <c r="LF10" s="63">
        <f t="shared" si="85"/>
        <v>0</v>
      </c>
      <c r="LG10" s="63">
        <f t="shared" si="85"/>
        <v>13.85</v>
      </c>
      <c r="LH10" s="63">
        <f t="shared" si="85"/>
        <v>3.4</v>
      </c>
      <c r="LI10" s="63">
        <f t="shared" si="85"/>
        <v>0.75</v>
      </c>
      <c r="LJ10" s="63">
        <f t="shared" si="85"/>
        <v>0</v>
      </c>
      <c r="LK10" s="63">
        <f t="shared" si="85"/>
        <v>13.85</v>
      </c>
      <c r="LL10" s="63">
        <f t="shared" si="85"/>
        <v>3.4</v>
      </c>
      <c r="LM10" s="63">
        <f t="shared" si="85"/>
        <v>0.6</v>
      </c>
      <c r="LN10" s="63">
        <f t="shared" si="85"/>
        <v>0</v>
      </c>
      <c r="LO10" s="63">
        <f t="shared" si="85"/>
        <v>13.75</v>
      </c>
      <c r="LP10" s="63">
        <f t="shared" si="85"/>
        <v>3.2</v>
      </c>
      <c r="LQ10" s="63">
        <f t="shared" si="85"/>
        <v>0.6</v>
      </c>
      <c r="LR10" s="63">
        <f t="shared" si="85"/>
        <v>0</v>
      </c>
      <c r="LS10" s="74" t="s">
        <v>119</v>
      </c>
      <c r="LT10" s="12">
        <f t="shared" si="92"/>
        <v>6.8</v>
      </c>
      <c r="LU10" s="12">
        <f t="shared" si="93"/>
        <v>13.399999999999999</v>
      </c>
      <c r="LV10" s="12">
        <f t="shared" si="94"/>
        <v>33.4</v>
      </c>
      <c r="LW10" s="12">
        <f t="shared" si="95"/>
        <v>33</v>
      </c>
      <c r="LX10" s="12">
        <f t="shared" si="96"/>
        <v>66.400000000000006</v>
      </c>
    </row>
    <row r="11" spans="1:336" x14ac:dyDescent="0.2">
      <c r="A11" s="6" t="str">
        <f t="shared" si="0"/>
        <v/>
      </c>
      <c r="B11" s="9" t="s">
        <v>116</v>
      </c>
      <c r="C11" s="5" t="s">
        <v>3</v>
      </c>
      <c r="D11" s="6">
        <v>2000</v>
      </c>
      <c r="E11" s="16">
        <f t="shared" si="1"/>
        <v>119.59999999999998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119.59999999999998</v>
      </c>
      <c r="K11" s="15" t="str">
        <f t="shared" si="7"/>
        <v>2018 Nationals</v>
      </c>
      <c r="L11" s="15" t="str">
        <f t="shared" si="8"/>
        <v/>
      </c>
      <c r="M11" s="15" t="str">
        <f t="shared" si="9"/>
        <v/>
      </c>
      <c r="N11" s="15" t="str">
        <f t="shared" si="10"/>
        <v/>
      </c>
      <c r="O11" s="25" t="str">
        <f t="shared" si="11"/>
        <v/>
      </c>
      <c r="P11" s="15" t="str">
        <f t="shared" si="12"/>
        <v/>
      </c>
      <c r="Q11" s="63">
        <v>27.9</v>
      </c>
      <c r="R11" s="63">
        <v>6</v>
      </c>
      <c r="S11" s="63">
        <v>0</v>
      </c>
      <c r="T11" s="63">
        <v>0</v>
      </c>
      <c r="U11" s="63">
        <v>27.7</v>
      </c>
      <c r="V11" s="63">
        <v>5.6</v>
      </c>
      <c r="W11" s="63">
        <v>0.9</v>
      </c>
      <c r="X11" s="63">
        <v>0</v>
      </c>
      <c r="Y11" s="63">
        <v>19.7</v>
      </c>
      <c r="Z11" s="63">
        <v>3.2</v>
      </c>
      <c r="AA11" s="63">
        <v>0</v>
      </c>
      <c r="AB11" s="63">
        <v>0</v>
      </c>
      <c r="AC11" s="63">
        <v>27.5</v>
      </c>
      <c r="AD11" s="63">
        <v>4.4000000000000004</v>
      </c>
      <c r="AE11" s="63">
        <v>1.5</v>
      </c>
      <c r="AF11" s="63">
        <v>0</v>
      </c>
      <c r="AG11" s="74"/>
      <c r="AH11" s="12">
        <f t="shared" si="13"/>
        <v>11.6</v>
      </c>
      <c r="AI11" s="12">
        <f t="shared" si="14"/>
        <v>19.200000000000003</v>
      </c>
      <c r="AJ11" s="12">
        <f t="shared" si="15"/>
        <v>66.299999999999983</v>
      </c>
      <c r="AK11" s="12">
        <f t="shared" si="16"/>
        <v>53.3</v>
      </c>
      <c r="AL11" s="12">
        <f t="shared" si="17"/>
        <v>119.59999999999998</v>
      </c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75"/>
      <c r="BD11" s="15" t="str">
        <f t="shared" si="18"/>
        <v/>
      </c>
      <c r="BE11" s="15" t="str">
        <f t="shared" si="19"/>
        <v/>
      </c>
      <c r="BF11" s="15" t="str">
        <f t="shared" si="20"/>
        <v/>
      </c>
      <c r="BG11" s="15" t="str">
        <f t="shared" si="21"/>
        <v/>
      </c>
      <c r="BH11" s="15" t="str">
        <f t="shared" si="22"/>
        <v/>
      </c>
      <c r="BI11" s="24" t="str">
        <f t="shared" si="23"/>
        <v/>
      </c>
      <c r="BJ11" s="24" t="str">
        <f t="shared" si="24"/>
        <v/>
      </c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12" t="str">
        <f t="shared" si="25"/>
        <v/>
      </c>
      <c r="CB11" s="12" t="str">
        <f t="shared" si="26"/>
        <v/>
      </c>
      <c r="CC11" s="12" t="str">
        <f t="shared" si="27"/>
        <v/>
      </c>
      <c r="CD11" s="12" t="str">
        <f t="shared" si="28"/>
        <v/>
      </c>
      <c r="CE11" s="12" t="str">
        <f t="shared" si="29"/>
        <v/>
      </c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15" t="str">
        <f t="shared" si="30"/>
        <v/>
      </c>
      <c r="CW11" s="15" t="str">
        <f t="shared" si="31"/>
        <v/>
      </c>
      <c r="CX11" s="15" t="str">
        <f t="shared" si="32"/>
        <v/>
      </c>
      <c r="CY11" s="15" t="str">
        <f t="shared" si="33"/>
        <v/>
      </c>
      <c r="CZ11" s="15" t="str">
        <f t="shared" si="34"/>
        <v/>
      </c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12" t="str">
        <f t="shared" si="35"/>
        <v/>
      </c>
      <c r="DR11" s="12" t="str">
        <f t="shared" si="36"/>
        <v/>
      </c>
      <c r="DS11" s="12" t="str">
        <f t="shared" si="37"/>
        <v/>
      </c>
      <c r="DT11" s="12" t="str">
        <f t="shared" si="38"/>
        <v/>
      </c>
      <c r="DU11" s="12" t="str">
        <f t="shared" si="39"/>
        <v/>
      </c>
      <c r="DV11" s="40"/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15" t="str">
        <f t="shared" si="40"/>
        <v/>
      </c>
      <c r="EM11" s="15" t="str">
        <f t="shared" si="41"/>
        <v/>
      </c>
      <c r="EN11" s="15" t="str">
        <f t="shared" si="42"/>
        <v/>
      </c>
      <c r="EO11" s="15" t="str">
        <f t="shared" si="43"/>
        <v/>
      </c>
      <c r="EP11" s="15" t="str">
        <f t="shared" si="44"/>
        <v/>
      </c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12" t="str">
        <f t="shared" si="45"/>
        <v/>
      </c>
      <c r="FH11" s="12" t="str">
        <f t="shared" si="46"/>
        <v/>
      </c>
      <c r="FI11" s="12" t="str">
        <f t="shared" si="47"/>
        <v/>
      </c>
      <c r="FJ11" s="12" t="str">
        <f t="shared" si="48"/>
        <v/>
      </c>
      <c r="FK11" s="12" t="str">
        <f t="shared" si="49"/>
        <v/>
      </c>
      <c r="FL11" s="40"/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15" t="str">
        <f t="shared" si="50"/>
        <v/>
      </c>
      <c r="GC11" s="15" t="str">
        <f t="shared" si="51"/>
        <v/>
      </c>
      <c r="GD11" s="15" t="str">
        <f t="shared" si="52"/>
        <v/>
      </c>
      <c r="GE11" s="15" t="str">
        <f t="shared" si="53"/>
        <v/>
      </c>
      <c r="GF11" s="15" t="str">
        <f t="shared" si="54"/>
        <v/>
      </c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12" t="str">
        <f t="shared" si="55"/>
        <v/>
      </c>
      <c r="GX11" s="12" t="str">
        <f t="shared" si="56"/>
        <v/>
      </c>
      <c r="GY11" s="12" t="str">
        <f t="shared" si="57"/>
        <v/>
      </c>
      <c r="GZ11" s="12" t="str">
        <f t="shared" si="58"/>
        <v/>
      </c>
      <c r="HA11" s="12" t="str">
        <f t="shared" si="59"/>
        <v/>
      </c>
      <c r="HB11" s="40"/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15" t="str">
        <f t="shared" si="60"/>
        <v/>
      </c>
      <c r="HS11" s="15" t="str">
        <f t="shared" si="61"/>
        <v/>
      </c>
      <c r="HT11" s="15" t="str">
        <f t="shared" si="62"/>
        <v/>
      </c>
      <c r="HU11" s="15" t="str">
        <f t="shared" si="63"/>
        <v/>
      </c>
      <c r="HV11" s="15" t="str">
        <f t="shared" si="64"/>
        <v/>
      </c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12" t="str">
        <f t="shared" si="65"/>
        <v/>
      </c>
      <c r="IN11" s="12" t="str">
        <f t="shared" si="66"/>
        <v/>
      </c>
      <c r="IO11" s="12" t="str">
        <f t="shared" si="67"/>
        <v/>
      </c>
      <c r="IP11" s="12" t="str">
        <f t="shared" si="68"/>
        <v/>
      </c>
      <c r="IQ11" s="12" t="str">
        <f t="shared" si="69"/>
        <v/>
      </c>
      <c r="IR11" s="40"/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15" t="str">
        <f t="shared" si="70"/>
        <v/>
      </c>
      <c r="JI11" s="15" t="str">
        <f t="shared" si="71"/>
        <v/>
      </c>
      <c r="JJ11" s="15" t="str">
        <f t="shared" si="72"/>
        <v/>
      </c>
      <c r="JK11" s="15" t="str">
        <f t="shared" si="73"/>
        <v/>
      </c>
      <c r="JL11" s="15" t="str">
        <f t="shared" si="74"/>
        <v/>
      </c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12" t="str">
        <f t="shared" si="75"/>
        <v/>
      </c>
      <c r="KD11" s="12" t="str">
        <f t="shared" si="76"/>
        <v/>
      </c>
      <c r="KE11" s="12" t="str">
        <f t="shared" si="77"/>
        <v/>
      </c>
      <c r="KF11" s="12" t="str">
        <f t="shared" si="78"/>
        <v/>
      </c>
      <c r="KG11" s="12" t="str">
        <f t="shared" si="79"/>
        <v/>
      </c>
      <c r="KH11" s="40"/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15" t="str">
        <f t="shared" si="80"/>
        <v/>
      </c>
      <c r="KY11" s="15" t="str">
        <f t="shared" si="81"/>
        <v/>
      </c>
      <c r="KZ11" s="15" t="str">
        <f t="shared" si="82"/>
        <v/>
      </c>
      <c r="LA11" s="15" t="str">
        <f t="shared" si="83"/>
        <v/>
      </c>
      <c r="LB11" s="15" t="str">
        <f t="shared" si="84"/>
        <v/>
      </c>
      <c r="LC11" s="63">
        <f t="shared" si="91"/>
        <v>13.95</v>
      </c>
      <c r="LD11" s="63">
        <f t="shared" si="85"/>
        <v>3</v>
      </c>
      <c r="LE11" s="63">
        <f t="shared" si="85"/>
        <v>0</v>
      </c>
      <c r="LF11" s="63">
        <f t="shared" si="85"/>
        <v>0</v>
      </c>
      <c r="LG11" s="63">
        <f t="shared" si="85"/>
        <v>13.85</v>
      </c>
      <c r="LH11" s="63">
        <f t="shared" si="85"/>
        <v>2.8</v>
      </c>
      <c r="LI11" s="63">
        <f t="shared" si="85"/>
        <v>0.45</v>
      </c>
      <c r="LJ11" s="63">
        <f t="shared" si="85"/>
        <v>0</v>
      </c>
      <c r="LK11" s="63">
        <f t="shared" si="85"/>
        <v>9.85</v>
      </c>
      <c r="LL11" s="63">
        <f t="shared" si="85"/>
        <v>1.6</v>
      </c>
      <c r="LM11" s="63">
        <f t="shared" si="85"/>
        <v>0</v>
      </c>
      <c r="LN11" s="63">
        <f t="shared" si="85"/>
        <v>0</v>
      </c>
      <c r="LO11" s="63">
        <f t="shared" si="85"/>
        <v>13.75</v>
      </c>
      <c r="LP11" s="63">
        <f t="shared" si="85"/>
        <v>2.2000000000000002</v>
      </c>
      <c r="LQ11" s="63">
        <f t="shared" si="85"/>
        <v>0.75</v>
      </c>
      <c r="LR11" s="63">
        <f t="shared" si="85"/>
        <v>0</v>
      </c>
      <c r="LS11" s="74" t="s">
        <v>119</v>
      </c>
      <c r="LT11" s="12">
        <f t="shared" si="92"/>
        <v>5.8</v>
      </c>
      <c r="LU11" s="12">
        <f t="shared" si="93"/>
        <v>9.6000000000000014</v>
      </c>
      <c r="LV11" s="12">
        <f t="shared" si="94"/>
        <v>33.149999999999991</v>
      </c>
      <c r="LW11" s="12">
        <f t="shared" si="95"/>
        <v>26.65</v>
      </c>
      <c r="LX11" s="12">
        <f t="shared" si="96"/>
        <v>59.79999999999999</v>
      </c>
    </row>
    <row r="12" spans="1:336" x14ac:dyDescent="0.2">
      <c r="A12" s="6" t="str">
        <f t="shared" si="0"/>
        <v/>
      </c>
      <c r="B12" s="9" t="s">
        <v>94</v>
      </c>
      <c r="C12" s="5" t="s">
        <v>5</v>
      </c>
      <c r="D12" s="6">
        <v>2001</v>
      </c>
      <c r="E12" s="16">
        <f t="shared" si="1"/>
        <v>104.6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104.6</v>
      </c>
      <c r="K12" s="15" t="str">
        <f t="shared" si="7"/>
        <v>2018 Nationals</v>
      </c>
      <c r="L12" s="15" t="str">
        <f t="shared" si="8"/>
        <v/>
      </c>
      <c r="M12" s="15" t="str">
        <f t="shared" si="9"/>
        <v/>
      </c>
      <c r="N12" s="15" t="str">
        <f t="shared" si="10"/>
        <v/>
      </c>
      <c r="O12" s="25" t="str">
        <f t="shared" si="11"/>
        <v/>
      </c>
      <c r="P12" s="15" t="str">
        <f t="shared" si="12"/>
        <v/>
      </c>
      <c r="Q12" s="63">
        <v>28.4</v>
      </c>
      <c r="R12" s="63">
        <v>7.2</v>
      </c>
      <c r="S12" s="63">
        <v>0</v>
      </c>
      <c r="T12" s="63">
        <v>0</v>
      </c>
      <c r="U12" s="63">
        <v>0</v>
      </c>
      <c r="V12" s="63">
        <v>0</v>
      </c>
      <c r="W12" s="63">
        <v>0</v>
      </c>
      <c r="X12" s="63">
        <v>0</v>
      </c>
      <c r="Y12" s="63">
        <v>28.2</v>
      </c>
      <c r="Z12" s="63">
        <v>6.8</v>
      </c>
      <c r="AA12" s="63">
        <v>0.9</v>
      </c>
      <c r="AB12" s="63">
        <v>0</v>
      </c>
      <c r="AC12" s="63">
        <v>28.1</v>
      </c>
      <c r="AD12" s="63">
        <v>6.8</v>
      </c>
      <c r="AE12" s="63">
        <v>0</v>
      </c>
      <c r="AF12" s="63">
        <v>0</v>
      </c>
      <c r="AG12" s="74"/>
      <c r="AH12" s="12">
        <f t="shared" si="13"/>
        <v>7.2</v>
      </c>
      <c r="AI12" s="12">
        <f t="shared" si="14"/>
        <v>20.8</v>
      </c>
      <c r="AJ12" s="12">
        <f t="shared" si="15"/>
        <v>35.6</v>
      </c>
      <c r="AK12" s="12">
        <f t="shared" si="16"/>
        <v>69</v>
      </c>
      <c r="AL12" s="12">
        <f t="shared" si="17"/>
        <v>104.6</v>
      </c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75"/>
      <c r="BD12" s="15" t="str">
        <f t="shared" si="18"/>
        <v/>
      </c>
      <c r="BE12" s="15" t="str">
        <f t="shared" si="19"/>
        <v/>
      </c>
      <c r="BF12" s="15" t="str">
        <f t="shared" si="20"/>
        <v/>
      </c>
      <c r="BG12" s="15" t="str">
        <f t="shared" si="21"/>
        <v/>
      </c>
      <c r="BH12" s="15" t="str">
        <f t="shared" si="22"/>
        <v/>
      </c>
      <c r="BI12" s="24" t="str">
        <f t="shared" si="23"/>
        <v/>
      </c>
      <c r="BJ12" s="24" t="str">
        <f t="shared" si="24"/>
        <v/>
      </c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12" t="str">
        <f t="shared" si="25"/>
        <v/>
      </c>
      <c r="CB12" s="12" t="str">
        <f t="shared" si="26"/>
        <v/>
      </c>
      <c r="CC12" s="12" t="str">
        <f t="shared" si="27"/>
        <v/>
      </c>
      <c r="CD12" s="12" t="str">
        <f t="shared" si="28"/>
        <v/>
      </c>
      <c r="CE12" s="12" t="str">
        <f t="shared" si="29"/>
        <v/>
      </c>
      <c r="CF12" s="40"/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15" t="str">
        <f t="shared" si="30"/>
        <v/>
      </c>
      <c r="CW12" s="15" t="str">
        <f t="shared" si="31"/>
        <v/>
      </c>
      <c r="CX12" s="15" t="str">
        <f t="shared" si="32"/>
        <v/>
      </c>
      <c r="CY12" s="15" t="str">
        <f t="shared" si="33"/>
        <v/>
      </c>
      <c r="CZ12" s="15" t="str">
        <f t="shared" si="34"/>
        <v/>
      </c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12" t="str">
        <f t="shared" si="35"/>
        <v/>
      </c>
      <c r="DR12" s="12" t="str">
        <f t="shared" si="36"/>
        <v/>
      </c>
      <c r="DS12" s="12" t="str">
        <f t="shared" si="37"/>
        <v/>
      </c>
      <c r="DT12" s="12" t="str">
        <f t="shared" si="38"/>
        <v/>
      </c>
      <c r="DU12" s="12" t="str">
        <f t="shared" si="39"/>
        <v/>
      </c>
      <c r="DV12" s="40"/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15" t="str">
        <f t="shared" si="40"/>
        <v/>
      </c>
      <c r="EM12" s="15" t="str">
        <f t="shared" si="41"/>
        <v/>
      </c>
      <c r="EN12" s="15" t="str">
        <f t="shared" si="42"/>
        <v/>
      </c>
      <c r="EO12" s="15" t="str">
        <f t="shared" si="43"/>
        <v/>
      </c>
      <c r="EP12" s="15" t="str">
        <f t="shared" si="44"/>
        <v/>
      </c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12" t="str">
        <f t="shared" si="45"/>
        <v/>
      </c>
      <c r="FH12" s="12" t="str">
        <f t="shared" si="46"/>
        <v/>
      </c>
      <c r="FI12" s="12" t="str">
        <f t="shared" si="47"/>
        <v/>
      </c>
      <c r="FJ12" s="12" t="str">
        <f t="shared" si="48"/>
        <v/>
      </c>
      <c r="FK12" s="12" t="str">
        <f t="shared" si="49"/>
        <v/>
      </c>
      <c r="FL12" s="40"/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15" t="str">
        <f t="shared" si="50"/>
        <v/>
      </c>
      <c r="GC12" s="15" t="str">
        <f t="shared" si="51"/>
        <v/>
      </c>
      <c r="GD12" s="15" t="str">
        <f t="shared" si="52"/>
        <v/>
      </c>
      <c r="GE12" s="15" t="str">
        <f t="shared" si="53"/>
        <v/>
      </c>
      <c r="GF12" s="15" t="str">
        <f t="shared" si="54"/>
        <v/>
      </c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12" t="str">
        <f t="shared" si="55"/>
        <v/>
      </c>
      <c r="GX12" s="12" t="str">
        <f t="shared" si="56"/>
        <v/>
      </c>
      <c r="GY12" s="12" t="str">
        <f t="shared" si="57"/>
        <v/>
      </c>
      <c r="GZ12" s="12" t="str">
        <f t="shared" si="58"/>
        <v/>
      </c>
      <c r="HA12" s="12" t="str">
        <f t="shared" si="59"/>
        <v/>
      </c>
      <c r="HB12" s="40"/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15" t="str">
        <f t="shared" si="60"/>
        <v/>
      </c>
      <c r="HS12" s="15" t="str">
        <f t="shared" si="61"/>
        <v/>
      </c>
      <c r="HT12" s="15" t="str">
        <f t="shared" si="62"/>
        <v/>
      </c>
      <c r="HU12" s="15" t="str">
        <f t="shared" si="63"/>
        <v/>
      </c>
      <c r="HV12" s="15" t="str">
        <f t="shared" si="64"/>
        <v/>
      </c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12" t="str">
        <f t="shared" si="65"/>
        <v/>
      </c>
      <c r="IN12" s="12" t="str">
        <f t="shared" si="66"/>
        <v/>
      </c>
      <c r="IO12" s="12" t="str">
        <f t="shared" si="67"/>
        <v/>
      </c>
      <c r="IP12" s="12" t="str">
        <f t="shared" si="68"/>
        <v/>
      </c>
      <c r="IQ12" s="12" t="str">
        <f t="shared" si="69"/>
        <v/>
      </c>
      <c r="IR12" s="40"/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15" t="str">
        <f t="shared" si="70"/>
        <v/>
      </c>
      <c r="JI12" s="15" t="str">
        <f t="shared" si="71"/>
        <v/>
      </c>
      <c r="JJ12" s="15" t="str">
        <f t="shared" si="72"/>
        <v/>
      </c>
      <c r="JK12" s="15" t="str">
        <f t="shared" si="73"/>
        <v/>
      </c>
      <c r="JL12" s="15" t="str">
        <f t="shared" si="74"/>
        <v/>
      </c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12" t="str">
        <f t="shared" si="75"/>
        <v/>
      </c>
      <c r="KD12" s="12" t="str">
        <f t="shared" si="76"/>
        <v/>
      </c>
      <c r="KE12" s="12" t="str">
        <f t="shared" si="77"/>
        <v/>
      </c>
      <c r="KF12" s="12" t="str">
        <f t="shared" si="78"/>
        <v/>
      </c>
      <c r="KG12" s="12" t="str">
        <f t="shared" si="79"/>
        <v/>
      </c>
      <c r="KH12" s="40"/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15" t="str">
        <f t="shared" si="80"/>
        <v/>
      </c>
      <c r="KY12" s="15" t="str">
        <f t="shared" si="81"/>
        <v/>
      </c>
      <c r="KZ12" s="15" t="str">
        <f t="shared" si="82"/>
        <v/>
      </c>
      <c r="LA12" s="15" t="str">
        <f t="shared" si="83"/>
        <v/>
      </c>
      <c r="LB12" s="15" t="str">
        <f t="shared" si="84"/>
        <v/>
      </c>
      <c r="LC12" s="63">
        <f t="shared" si="91"/>
        <v>14.2</v>
      </c>
      <c r="LD12" s="63">
        <f t="shared" si="85"/>
        <v>3.6</v>
      </c>
      <c r="LE12" s="63">
        <f t="shared" si="85"/>
        <v>0</v>
      </c>
      <c r="LF12" s="63">
        <f t="shared" si="85"/>
        <v>0</v>
      </c>
      <c r="LG12" s="63">
        <f t="shared" si="85"/>
        <v>0</v>
      </c>
      <c r="LH12" s="63">
        <f t="shared" si="85"/>
        <v>0</v>
      </c>
      <c r="LI12" s="63">
        <f t="shared" si="85"/>
        <v>0</v>
      </c>
      <c r="LJ12" s="63">
        <f t="shared" si="85"/>
        <v>0</v>
      </c>
      <c r="LK12" s="63">
        <f t="shared" si="85"/>
        <v>14.1</v>
      </c>
      <c r="LL12" s="63">
        <f t="shared" si="85"/>
        <v>3.4</v>
      </c>
      <c r="LM12" s="63">
        <f t="shared" si="85"/>
        <v>0.45</v>
      </c>
      <c r="LN12" s="63">
        <f t="shared" si="85"/>
        <v>0</v>
      </c>
      <c r="LO12" s="63">
        <f t="shared" si="85"/>
        <v>14.05</v>
      </c>
      <c r="LP12" s="63">
        <f t="shared" si="85"/>
        <v>3.4</v>
      </c>
      <c r="LQ12" s="63">
        <f t="shared" si="85"/>
        <v>0</v>
      </c>
      <c r="LR12" s="63">
        <f t="shared" si="85"/>
        <v>0</v>
      </c>
      <c r="LS12" s="74" t="s">
        <v>119</v>
      </c>
      <c r="LT12" s="12">
        <f t="shared" si="92"/>
        <v>3.6</v>
      </c>
      <c r="LU12" s="12">
        <f t="shared" si="93"/>
        <v>10.4</v>
      </c>
      <c r="LV12" s="12">
        <f t="shared" si="94"/>
        <v>17.8</v>
      </c>
      <c r="LW12" s="12">
        <f t="shared" si="95"/>
        <v>34.5</v>
      </c>
      <c r="LX12" s="12">
        <f t="shared" si="96"/>
        <v>52.3</v>
      </c>
    </row>
    <row r="13" spans="1:336" x14ac:dyDescent="0.2">
      <c r="A13" s="6" t="str">
        <f t="shared" si="0"/>
        <v/>
      </c>
      <c r="B13" s="9" t="s">
        <v>106</v>
      </c>
      <c r="C13" s="5" t="s">
        <v>4</v>
      </c>
      <c r="D13" s="6">
        <v>2001</v>
      </c>
      <c r="E13" s="16">
        <f t="shared" si="1"/>
        <v>35.300000000000004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35.300000000000004</v>
      </c>
      <c r="K13" s="15" t="str">
        <f t="shared" si="7"/>
        <v>2019 Elite Canada</v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25" t="str">
        <f t="shared" si="11"/>
        <v/>
      </c>
      <c r="P13" s="15" t="str">
        <f t="shared" si="12"/>
        <v/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74"/>
      <c r="AH13" s="12" t="str">
        <f t="shared" si="13"/>
        <v/>
      </c>
      <c r="AI13" s="12" t="str">
        <f t="shared" si="14"/>
        <v/>
      </c>
      <c r="AJ13" s="12" t="str">
        <f t="shared" si="15"/>
        <v/>
      </c>
      <c r="AK13" s="12" t="str">
        <f t="shared" si="16"/>
        <v/>
      </c>
      <c r="AL13" s="12"/>
      <c r="AM13" s="37">
        <v>0</v>
      </c>
      <c r="AN13" s="37">
        <v>0</v>
      </c>
      <c r="AO13" s="37">
        <v>0</v>
      </c>
      <c r="AP13" s="37">
        <v>0</v>
      </c>
      <c r="AQ13" s="37">
        <v>27.6</v>
      </c>
      <c r="AR13" s="37">
        <v>8</v>
      </c>
      <c r="AS13" s="37">
        <v>0.3</v>
      </c>
      <c r="AT13" s="37">
        <v>0</v>
      </c>
      <c r="AU13" s="37"/>
      <c r="AV13" s="37"/>
      <c r="AW13" s="37"/>
      <c r="AX13" s="37"/>
      <c r="AY13" s="37"/>
      <c r="AZ13" s="37"/>
      <c r="BA13" s="37"/>
      <c r="BB13" s="37"/>
      <c r="BC13" s="75"/>
      <c r="BD13" s="15">
        <f t="shared" si="18"/>
        <v>8</v>
      </c>
      <c r="BE13" s="15">
        <f t="shared" si="19"/>
        <v>8</v>
      </c>
      <c r="BF13" s="15">
        <f t="shared" si="20"/>
        <v>35.300000000000004</v>
      </c>
      <c r="BG13" s="15" t="str">
        <f t="shared" si="21"/>
        <v/>
      </c>
      <c r="BH13" s="15">
        <f t="shared" si="22"/>
        <v>35.300000000000004</v>
      </c>
      <c r="BI13" s="24"/>
      <c r="BJ13" s="24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12" t="str">
        <f t="shared" si="25"/>
        <v/>
      </c>
      <c r="CB13" s="12" t="str">
        <f t="shared" si="26"/>
        <v/>
      </c>
      <c r="CC13" s="12"/>
      <c r="CD13" s="12"/>
      <c r="CE13" s="12"/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15" t="str">
        <f t="shared" si="30"/>
        <v/>
      </c>
      <c r="CW13" s="15"/>
      <c r="CX13" s="15"/>
      <c r="CY13" s="15"/>
      <c r="CZ13" s="15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12"/>
      <c r="DR13" s="12"/>
      <c r="DS13" s="12"/>
      <c r="DT13" s="12"/>
      <c r="DU13" s="12"/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15"/>
      <c r="EM13" s="15"/>
      <c r="EN13" s="15"/>
      <c r="EO13" s="15"/>
      <c r="EP13" s="15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12"/>
      <c r="FH13" s="12"/>
      <c r="FI13" s="12"/>
      <c r="FJ13" s="12"/>
      <c r="FK13" s="12"/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15"/>
      <c r="GC13" s="15"/>
      <c r="GD13" s="15"/>
      <c r="GE13" s="15"/>
      <c r="GF13" s="15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12"/>
      <c r="GX13" s="12"/>
      <c r="GY13" s="12"/>
      <c r="GZ13" s="12"/>
      <c r="HA13" s="12"/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15"/>
      <c r="HS13" s="15"/>
      <c r="HT13" s="15"/>
      <c r="HU13" s="15"/>
      <c r="HV13" s="15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12"/>
      <c r="IN13" s="12"/>
      <c r="IO13" s="12"/>
      <c r="IP13" s="12"/>
      <c r="IQ13" s="12"/>
      <c r="IR13" s="40"/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15"/>
      <c r="JI13" s="15"/>
      <c r="JJ13" s="15"/>
      <c r="JK13" s="15"/>
      <c r="JL13" s="15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12"/>
      <c r="KD13" s="12"/>
      <c r="KE13" s="12"/>
      <c r="KF13" s="12"/>
      <c r="KG13" s="12"/>
      <c r="KH13" s="40"/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15" t="str">
        <f t="shared" si="80"/>
        <v/>
      </c>
      <c r="KY13" s="15" t="str">
        <f t="shared" si="81"/>
        <v/>
      </c>
      <c r="KZ13" s="15" t="str">
        <f t="shared" si="82"/>
        <v/>
      </c>
      <c r="LA13" s="15" t="str">
        <f t="shared" si="83"/>
        <v/>
      </c>
      <c r="LB13" s="15" t="str">
        <f t="shared" si="84"/>
        <v/>
      </c>
      <c r="LC13" s="63">
        <f t="shared" si="91"/>
        <v>0</v>
      </c>
      <c r="LD13" s="63">
        <f t="shared" si="85"/>
        <v>0</v>
      </c>
      <c r="LE13" s="63">
        <f t="shared" si="85"/>
        <v>0</v>
      </c>
      <c r="LF13" s="63">
        <f t="shared" si="85"/>
        <v>0</v>
      </c>
      <c r="LG13" s="63">
        <f t="shared" si="85"/>
        <v>13.8</v>
      </c>
      <c r="LH13" s="63">
        <f t="shared" si="85"/>
        <v>4</v>
      </c>
      <c r="LI13" s="63">
        <f t="shared" si="85"/>
        <v>0.15</v>
      </c>
      <c r="LJ13" s="63">
        <f t="shared" si="85"/>
        <v>0</v>
      </c>
      <c r="LK13" s="63">
        <f t="shared" si="85"/>
        <v>0</v>
      </c>
      <c r="LL13" s="63">
        <f t="shared" si="85"/>
        <v>0</v>
      </c>
      <c r="LM13" s="63">
        <f t="shared" si="85"/>
        <v>0</v>
      </c>
      <c r="LN13" s="63">
        <f t="shared" si="85"/>
        <v>0</v>
      </c>
      <c r="LO13" s="63">
        <f t="shared" si="85"/>
        <v>0</v>
      </c>
      <c r="LP13" s="63">
        <f t="shared" si="85"/>
        <v>0</v>
      </c>
      <c r="LQ13" s="63">
        <f t="shared" si="85"/>
        <v>0</v>
      </c>
      <c r="LR13" s="63">
        <f t="shared" si="85"/>
        <v>0</v>
      </c>
      <c r="LS13" s="74" t="s">
        <v>119</v>
      </c>
      <c r="LT13" s="12">
        <f t="shared" ref="LT13" si="97">IF(SUM(LD13,LH13)&gt;0,SUM(LD13,LH13),"")</f>
        <v>4</v>
      </c>
      <c r="LU13" s="12">
        <f t="shared" ref="LU13" si="98">IF(SUM(LD13,LH13,LL13,LP13)&gt;0,SUM(LD13,LH13,LL13,LP13),"")</f>
        <v>4</v>
      </c>
      <c r="LV13" s="12">
        <f t="shared" ref="LV13" si="99">IF(SUM(LC13:LD13,LF13:LH13,LJ13)-SUM(LE13,LI13)&gt;0,SUM(LC13:LD13,LF13:LH13,LJ13)-SUM(LE13,LI13),"")</f>
        <v>17.650000000000002</v>
      </c>
      <c r="LW13" s="12" t="str">
        <f t="shared" ref="LW13" si="100">IF(SUM(LK13:LL13,LN13:LP13,LR13)-SUM(LM13,LQ13)&gt;0,SUM(LK13:LL13,LN13:LP13,LR13)-SUM(LM13,LQ13),"")</f>
        <v/>
      </c>
      <c r="LX13" s="12">
        <f t="shared" ref="LX13" si="101">IF(SUM(LV13,LW13)&gt;0,SUM(LV13,LW13),"")</f>
        <v>17.650000000000002</v>
      </c>
    </row>
    <row r="16" spans="1:336" x14ac:dyDescent="0.2">
      <c r="B16" s="64" t="s">
        <v>51</v>
      </c>
      <c r="AH16" s="50"/>
      <c r="AI16" s="50"/>
      <c r="AK16" s="58">
        <v>13.2</v>
      </c>
      <c r="BD16" s="50"/>
      <c r="BE16" s="50"/>
      <c r="BG16" s="58">
        <v>14</v>
      </c>
      <c r="CA16" s="50"/>
      <c r="CB16" s="50"/>
      <c r="CD16" s="58">
        <v>24</v>
      </c>
      <c r="CV16" s="50"/>
      <c r="CW16" s="50"/>
      <c r="CY16" s="58">
        <v>14</v>
      </c>
      <c r="DQ16" s="50"/>
      <c r="DR16" s="50"/>
      <c r="DT16" s="58">
        <v>14</v>
      </c>
      <c r="EL16" s="50"/>
      <c r="EM16" s="50"/>
      <c r="EO16" s="77">
        <v>14</v>
      </c>
      <c r="FG16" s="50"/>
      <c r="FH16" s="50"/>
      <c r="FJ16" s="77">
        <v>14</v>
      </c>
      <c r="GB16" s="50"/>
      <c r="GC16" s="50"/>
      <c r="GE16" s="77">
        <v>14</v>
      </c>
      <c r="GW16" s="50"/>
      <c r="GX16" s="50"/>
      <c r="GZ16" s="77">
        <v>14</v>
      </c>
      <c r="HR16" s="50"/>
      <c r="HS16" s="50"/>
      <c r="HU16" s="77">
        <v>14</v>
      </c>
      <c r="IM16" s="50"/>
      <c r="IN16" s="50"/>
      <c r="IP16" s="77">
        <v>14</v>
      </c>
      <c r="JH16" s="50"/>
      <c r="JI16" s="50"/>
      <c r="JK16" s="77">
        <v>14</v>
      </c>
      <c r="KC16" s="50"/>
      <c r="KD16" s="50"/>
      <c r="KF16" s="77">
        <v>14</v>
      </c>
      <c r="KX16" s="50"/>
      <c r="KY16" s="50"/>
      <c r="LA16" s="77">
        <v>14</v>
      </c>
    </row>
    <row r="17" spans="1:313" hidden="1" x14ac:dyDescent="0.2">
      <c r="B17" s="90" t="s">
        <v>50</v>
      </c>
      <c r="AH17" s="50"/>
      <c r="AI17" s="50"/>
      <c r="AK17" s="102">
        <v>30</v>
      </c>
      <c r="BD17" s="50"/>
      <c r="BE17" s="50"/>
      <c r="BG17" s="104">
        <v>30</v>
      </c>
      <c r="CA17" s="50"/>
      <c r="CB17" s="50"/>
      <c r="CD17" s="104">
        <v>30</v>
      </c>
      <c r="CV17" s="50"/>
      <c r="CW17" s="50"/>
      <c r="CY17" s="104">
        <v>26.8</v>
      </c>
      <c r="DQ17" s="50"/>
      <c r="DR17" s="50"/>
      <c r="DT17" s="104">
        <v>1000</v>
      </c>
      <c r="EL17" s="50"/>
      <c r="EM17" s="50"/>
      <c r="EO17" s="104">
        <v>1000</v>
      </c>
      <c r="FG17" s="50"/>
      <c r="FH17" s="50"/>
      <c r="FJ17" s="104">
        <v>1000</v>
      </c>
      <c r="GB17" s="50"/>
      <c r="GC17" s="50"/>
      <c r="GE17" s="104">
        <v>1000</v>
      </c>
      <c r="GW17" s="50"/>
      <c r="GX17" s="50"/>
      <c r="GZ17" s="104">
        <v>1000</v>
      </c>
      <c r="HR17" s="50"/>
      <c r="HS17" s="50"/>
      <c r="HU17" s="104">
        <v>1000</v>
      </c>
      <c r="IM17" s="50"/>
      <c r="IN17" s="50"/>
      <c r="IP17" s="104">
        <v>1000</v>
      </c>
      <c r="JH17" s="50"/>
      <c r="JI17" s="50"/>
      <c r="JK17" s="104">
        <v>1000</v>
      </c>
      <c r="KC17" s="50"/>
      <c r="KD17" s="50"/>
      <c r="KF17" s="104">
        <v>1000</v>
      </c>
      <c r="KX17" s="50"/>
      <c r="KY17" s="50"/>
      <c r="LA17" s="104">
        <v>1000</v>
      </c>
    </row>
    <row r="18" spans="1:313" x14ac:dyDescent="0.2">
      <c r="A18" s="50"/>
      <c r="B18" s="91" t="s">
        <v>76</v>
      </c>
      <c r="C18" s="49"/>
      <c r="AH18" s="50"/>
      <c r="AI18" s="50"/>
      <c r="AK18" s="103">
        <v>30</v>
      </c>
      <c r="BD18" s="50"/>
      <c r="BE18" s="50"/>
      <c r="BG18" s="94">
        <v>26.8</v>
      </c>
      <c r="CA18" s="50"/>
      <c r="CB18" s="50"/>
      <c r="CD18" s="94">
        <v>30</v>
      </c>
      <c r="CV18" s="50"/>
      <c r="CW18" s="50"/>
      <c r="CY18" s="94">
        <v>26.8</v>
      </c>
      <c r="DQ18" s="50"/>
      <c r="DR18" s="50"/>
      <c r="DT18" s="94">
        <v>26.8</v>
      </c>
      <c r="EL18" s="50"/>
      <c r="EM18" s="50"/>
      <c r="EO18" s="94">
        <v>26.8</v>
      </c>
      <c r="FG18" s="50"/>
      <c r="FH18" s="50"/>
      <c r="FJ18" s="94">
        <v>26.8</v>
      </c>
      <c r="GB18" s="50"/>
      <c r="GC18" s="50"/>
      <c r="GE18" s="94">
        <v>26.8</v>
      </c>
      <c r="GW18" s="50"/>
      <c r="GX18" s="50"/>
      <c r="GZ18" s="94">
        <v>26.8</v>
      </c>
      <c r="HR18" s="50"/>
      <c r="HS18" s="50"/>
      <c r="HU18" s="94">
        <v>26.8</v>
      </c>
      <c r="IM18" s="50"/>
      <c r="IN18" s="50"/>
      <c r="IP18" s="94">
        <v>26.8</v>
      </c>
      <c r="JH18" s="50"/>
      <c r="JI18" s="50"/>
      <c r="JK18" s="94">
        <v>26.8</v>
      </c>
      <c r="KC18" s="50"/>
      <c r="KD18" s="50"/>
      <c r="KF18" s="94">
        <v>26.8</v>
      </c>
      <c r="KX18" s="50"/>
      <c r="KY18" s="50"/>
      <c r="LA18" s="94">
        <v>26.8</v>
      </c>
    </row>
    <row r="19" spans="1:313" x14ac:dyDescent="0.2">
      <c r="A19" s="50"/>
      <c r="B19" s="65" t="s">
        <v>48</v>
      </c>
      <c r="C19" s="49"/>
      <c r="AH19" s="50"/>
      <c r="AI19" s="50"/>
      <c r="AK19" s="59">
        <v>68.400000000000006</v>
      </c>
      <c r="BD19" s="50"/>
      <c r="BE19" s="50"/>
      <c r="BG19" s="59">
        <v>68</v>
      </c>
      <c r="CA19" s="50"/>
      <c r="CB19" s="50"/>
      <c r="CD19" s="59">
        <v>132</v>
      </c>
      <c r="CV19" s="50"/>
      <c r="CW19" s="50"/>
      <c r="CY19" s="59">
        <v>68</v>
      </c>
      <c r="DQ19" s="50"/>
      <c r="DR19" s="50"/>
      <c r="DT19" s="59">
        <v>68</v>
      </c>
      <c r="EL19" s="50"/>
      <c r="EM19" s="50"/>
      <c r="EO19" s="78">
        <v>68</v>
      </c>
      <c r="FG19" s="50"/>
      <c r="FH19" s="50"/>
      <c r="FJ19" s="78">
        <v>68</v>
      </c>
      <c r="GB19" s="50"/>
      <c r="GC19" s="50"/>
      <c r="GE19" s="78">
        <v>68</v>
      </c>
      <c r="GW19" s="50"/>
      <c r="GX19" s="50"/>
      <c r="GZ19" s="78">
        <v>68</v>
      </c>
      <c r="HR19" s="50"/>
      <c r="HS19" s="50"/>
      <c r="HU19" s="78">
        <v>68</v>
      </c>
      <c r="IM19" s="50"/>
      <c r="IN19" s="50"/>
      <c r="IP19" s="78">
        <v>68</v>
      </c>
      <c r="JH19" s="50"/>
      <c r="JI19" s="50"/>
      <c r="JK19" s="78">
        <v>68</v>
      </c>
      <c r="KC19" s="50"/>
      <c r="KD19" s="50"/>
      <c r="KF19" s="78">
        <v>68</v>
      </c>
      <c r="KX19" s="50"/>
      <c r="KY19" s="50"/>
      <c r="LA19" s="78">
        <v>68</v>
      </c>
    </row>
    <row r="20" spans="1:313" hidden="1" x14ac:dyDescent="0.2">
      <c r="A20" s="50"/>
      <c r="B20" s="66" t="s">
        <v>49</v>
      </c>
      <c r="C20" s="49"/>
      <c r="AH20" s="50"/>
      <c r="AI20" s="50"/>
      <c r="AK20" s="60">
        <v>141</v>
      </c>
      <c r="BD20" s="50"/>
      <c r="BE20" s="50"/>
      <c r="BG20" s="60">
        <v>141</v>
      </c>
      <c r="CA20" s="50"/>
      <c r="CB20" s="50"/>
      <c r="CD20" s="60">
        <v>135</v>
      </c>
      <c r="CV20" s="50"/>
      <c r="CW20" s="50"/>
      <c r="CY20" s="60">
        <v>135</v>
      </c>
      <c r="DQ20" s="50"/>
      <c r="DR20" s="50"/>
      <c r="DT20" s="60">
        <v>135</v>
      </c>
      <c r="EL20" s="50"/>
      <c r="EM20" s="50"/>
      <c r="EO20" s="79">
        <v>135</v>
      </c>
      <c r="FG20" s="50"/>
      <c r="FH20" s="50"/>
      <c r="FJ20" s="79">
        <v>135</v>
      </c>
      <c r="GB20" s="50"/>
      <c r="GC20" s="50"/>
      <c r="GE20" s="79">
        <v>135</v>
      </c>
      <c r="GW20" s="50"/>
      <c r="GX20" s="50"/>
      <c r="GZ20" s="79">
        <v>135</v>
      </c>
      <c r="HR20" s="50"/>
      <c r="HS20" s="50"/>
      <c r="HU20" s="79">
        <v>135</v>
      </c>
      <c r="IM20" s="50"/>
      <c r="IN20" s="50"/>
      <c r="IP20" s="79">
        <v>135</v>
      </c>
      <c r="JH20" s="50"/>
      <c r="JI20" s="50"/>
      <c r="JK20" s="79">
        <v>135</v>
      </c>
      <c r="KC20" s="50"/>
      <c r="KD20" s="50"/>
      <c r="KF20" s="79">
        <v>135</v>
      </c>
      <c r="KX20" s="50"/>
      <c r="KY20" s="50"/>
      <c r="LA20" s="79">
        <v>135</v>
      </c>
    </row>
    <row r="21" spans="1:313" x14ac:dyDescent="0.2">
      <c r="A21" s="50"/>
      <c r="B21" s="67" t="s">
        <v>70</v>
      </c>
      <c r="C21" s="49"/>
      <c r="AH21" s="50"/>
      <c r="AI21" s="50"/>
      <c r="AK21" s="61">
        <v>141</v>
      </c>
      <c r="BD21" s="50"/>
      <c r="BE21" s="50"/>
      <c r="BG21" s="61">
        <v>135</v>
      </c>
      <c r="CA21" s="50"/>
      <c r="CB21" s="50"/>
      <c r="CD21" s="61">
        <v>135</v>
      </c>
      <c r="CV21" s="50"/>
      <c r="CW21" s="50"/>
      <c r="CY21" s="61">
        <v>135</v>
      </c>
      <c r="DQ21" s="50"/>
      <c r="DR21" s="50"/>
      <c r="DT21" s="61">
        <v>135</v>
      </c>
      <c r="EL21" s="50"/>
      <c r="EM21" s="50"/>
      <c r="EO21" s="80">
        <v>135</v>
      </c>
      <c r="FG21" s="50"/>
      <c r="FH21" s="50"/>
      <c r="FJ21" s="80">
        <v>135</v>
      </c>
      <c r="GB21" s="50"/>
      <c r="GC21" s="50"/>
      <c r="GE21" s="80">
        <v>135</v>
      </c>
      <c r="GW21" s="50"/>
      <c r="GX21" s="50"/>
      <c r="GZ21" s="80">
        <v>135</v>
      </c>
      <c r="HR21" s="50"/>
      <c r="HS21" s="50"/>
      <c r="HU21" s="80">
        <v>135</v>
      </c>
      <c r="IM21" s="50"/>
      <c r="IN21" s="50"/>
      <c r="IP21" s="80">
        <v>135</v>
      </c>
      <c r="JH21" s="50"/>
      <c r="JI21" s="50"/>
      <c r="JK21" s="80">
        <v>135</v>
      </c>
      <c r="KC21" s="50"/>
      <c r="KD21" s="50"/>
      <c r="KF21" s="80">
        <v>135</v>
      </c>
      <c r="KX21" s="50"/>
      <c r="KY21" s="50"/>
      <c r="LA21" s="80">
        <v>135</v>
      </c>
    </row>
    <row r="22" spans="1:313" hidden="1" x14ac:dyDescent="0.2">
      <c r="A22" s="50"/>
      <c r="B22" s="68" t="s">
        <v>35</v>
      </c>
      <c r="C22" s="49"/>
      <c r="AH22" s="50"/>
      <c r="AI22" s="50"/>
      <c r="AK22" s="62">
        <v>1000</v>
      </c>
      <c r="BD22" s="50"/>
      <c r="BE22" s="50"/>
      <c r="BG22" s="62">
        <v>1000</v>
      </c>
      <c r="CA22" s="50"/>
      <c r="CB22" s="50"/>
      <c r="CD22" s="62">
        <v>1000</v>
      </c>
      <c r="CV22" s="50"/>
      <c r="CW22" s="50"/>
      <c r="CY22" s="62">
        <v>1000</v>
      </c>
      <c r="DQ22" s="50"/>
      <c r="DR22" s="50"/>
      <c r="DT22" s="62">
        <v>1000</v>
      </c>
      <c r="EL22" s="50"/>
      <c r="EM22" s="50"/>
      <c r="EO22" s="81">
        <v>1000</v>
      </c>
      <c r="FG22" s="50"/>
      <c r="FH22" s="50"/>
      <c r="FJ22" s="81">
        <v>1000</v>
      </c>
      <c r="GB22" s="50"/>
      <c r="GC22" s="50"/>
      <c r="GE22" s="81">
        <v>1000</v>
      </c>
      <c r="GW22" s="50"/>
      <c r="GX22" s="50"/>
      <c r="GZ22" s="81">
        <v>1000</v>
      </c>
      <c r="HR22" s="50"/>
      <c r="HS22" s="50"/>
      <c r="HU22" s="81">
        <v>1000</v>
      </c>
      <c r="IM22" s="50"/>
      <c r="IN22" s="50"/>
      <c r="IP22" s="81">
        <v>1000</v>
      </c>
      <c r="JH22" s="50"/>
      <c r="JI22" s="50"/>
      <c r="JK22" s="81">
        <v>1000</v>
      </c>
      <c r="KC22" s="50"/>
      <c r="KD22" s="50"/>
      <c r="KF22" s="81">
        <v>1000</v>
      </c>
      <c r="KX22" s="50"/>
      <c r="KY22" s="50"/>
      <c r="LA22" s="81">
        <v>1000</v>
      </c>
    </row>
    <row r="23" spans="1:313" x14ac:dyDescent="0.2">
      <c r="B23" s="76" t="s">
        <v>55</v>
      </c>
      <c r="C23" s="3"/>
      <c r="AK23" t="s">
        <v>75</v>
      </c>
      <c r="CC23" s="7"/>
      <c r="JJ23" s="7"/>
    </row>
    <row r="24" spans="1:313" x14ac:dyDescent="0.2">
      <c r="A24" s="50"/>
      <c r="B24" s="50"/>
      <c r="C24" s="49"/>
      <c r="AK24" t="s">
        <v>121</v>
      </c>
    </row>
    <row r="25" spans="1:313" x14ac:dyDescent="0.2">
      <c r="A25" s="50"/>
      <c r="B25" s="50"/>
      <c r="C25" s="49"/>
    </row>
    <row r="26" spans="1:313" x14ac:dyDescent="0.2">
      <c r="A26" s="50"/>
      <c r="B26" s="50"/>
      <c r="C26" s="49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13">
      <sortCondition descending="1" ref="F1:F13"/>
    </sortState>
  </autoFilter>
  <mergeCells count="92">
    <mergeCell ref="LC1:LX1"/>
    <mergeCell ref="LC2:LF2"/>
    <mergeCell ref="LG2:LJ2"/>
    <mergeCell ref="LK2:LN2"/>
    <mergeCell ref="LO2:LR2"/>
    <mergeCell ref="K1:K3"/>
    <mergeCell ref="M1:M3"/>
    <mergeCell ref="H1:H3"/>
    <mergeCell ref="D1:D3"/>
    <mergeCell ref="O1:O3"/>
    <mergeCell ref="I1:I3"/>
    <mergeCell ref="J1:J3"/>
    <mergeCell ref="L1:L3"/>
    <mergeCell ref="N1:N3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A1:A3"/>
    <mergeCell ref="B1:B3"/>
    <mergeCell ref="C1:C3"/>
    <mergeCell ref="E1:E3"/>
    <mergeCell ref="G1:G3"/>
    <mergeCell ref="F1:F3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</mergeCells>
  <conditionalFormatting sqref="A1:A1048576">
    <cfRule type="expression" dxfId="52" priority="189">
      <formula>AND(H1="P",F1="")</formula>
    </cfRule>
  </conditionalFormatting>
  <conditionalFormatting sqref="I14:I1048576">
    <cfRule type="containsText" dxfId="51" priority="190" operator="containsText" text="Merit">
      <formula>NOT(ISERROR(SEARCH("Merit",I14)))</formula>
    </cfRule>
    <cfRule type="containsText" dxfId="50" priority="191" operator="containsText" text="Excellence">
      <formula>NOT(ISERROR(SEARCH("Excellence",I14)))</formula>
    </cfRule>
    <cfRule type="containsText" dxfId="49" priority="192" operator="containsText" text="Worlds Team">
      <formula>NOT(ISERROR(SEARCH("Worlds Team",I14)))</formula>
    </cfRule>
    <cfRule type="containsText" dxfId="48" priority="821" operator="containsText" text="National Team">
      <formula>NOT(ISERROR(SEARCH("National Team",I14)))</formula>
    </cfRule>
  </conditionalFormatting>
  <conditionalFormatting sqref="K1:K1048576 M1:M1048576">
    <cfRule type="expression" dxfId="47" priority="8865">
      <formula>IF(K1=$AM$1,1,0)</formula>
    </cfRule>
    <cfRule type="expression" dxfId="46" priority="8866">
      <formula>IF(K1=$Q$1,1,0)</formula>
    </cfRule>
  </conditionalFormatting>
  <conditionalFormatting sqref="AM4:BH13">
    <cfRule type="expression" dxfId="45" priority="8867">
      <formula>IF($BC4&lt;&gt;"",1,0)</formula>
    </cfRule>
  </conditionalFormatting>
  <conditionalFormatting sqref="Q4:AL13">
    <cfRule type="expression" dxfId="44" priority="122">
      <formula>IF($AG4&lt;&gt;"",1,0)</formula>
    </cfRule>
  </conditionalFormatting>
  <conditionalFormatting sqref="I1:I1048576">
    <cfRule type="containsText" dxfId="43" priority="11" operator="containsText" text="No DD">
      <formula>NOT(ISERROR(SEARCH("No DD",I1)))</formula>
    </cfRule>
    <cfRule type="containsText" dxfId="42" priority="12" operator="containsText" text="Merit">
      <formula>NOT(ISERROR(SEARCH("Merit",I1)))</formula>
    </cfRule>
    <cfRule type="containsText" dxfId="41" priority="13" operator="containsText" text="Excellence">
      <formula>NOT(ISERROR(SEARCH("Excellence",I1)))</formula>
    </cfRule>
    <cfRule type="containsText" dxfId="40" priority="14" operator="containsText" text="Worlds Team">
      <formula>NOT(ISERROR(SEARCH("Worlds Team",I1)))</formula>
    </cfRule>
    <cfRule type="containsText" dxfId="39" priority="15" operator="containsText" text="National Team">
      <formula>NOT(ISERROR(SEARCH("National Team",I1)))</formula>
    </cfRule>
  </conditionalFormatting>
  <conditionalFormatting sqref="JJ1:JJ1048576 KE1:KE1048576 KZ1:KZ1048576 CX1:CX1048576 DS1:DS1048576 EN1:EN1048576 FI1:FI1048576 GD1:GD1048576 GY1:GY1048576 HT1:HT1048576 IO1:IO1048576 CC1:CC1048576">
    <cfRule type="expression" dxfId="38" priority="14240">
      <formula>IF(AND(CC1&gt;=CD$20,CC1&lt;CD$21),1,0)</formula>
    </cfRule>
    <cfRule type="expression" dxfId="37" priority="14241">
      <formula>IF(AND(CC1&gt;=CD$19,CC1&lt;CD$20),1,0)</formula>
    </cfRule>
  </conditionalFormatting>
  <conditionalFormatting sqref="CZ1:CZ1048576 DU1:DU1048576 EP1:EP1048576 FK1:FK1048576 GF1:GF1048576 HA1:HA1048576 HV1:HV1048576 IQ1:IQ1048576 JL1:JL1048576 KG1:KG1048576 LB1:LB1048576 CE1:CE1048576">
    <cfRule type="expression" dxfId="36" priority="14312">
      <formula>IF(AND(CE1&gt;=CD$22,CE1&lt;1000),1,0)</formula>
    </cfRule>
    <cfRule type="expression" dxfId="35" priority="14313">
      <formula>IF(AND(CE1&gt;=CD$21,CE1&lt;CD$22),1,0)</formula>
    </cfRule>
  </conditionalFormatting>
  <conditionalFormatting sqref="CV1:CV1048576 EL1:EL1048576 FG1:FG1048576 GB1:GB1048576 GW1:GW1048576 HR1:HR1048576 IM1:IM1048576 JH1:JH1048576 KC1:KC1048576 KX1:KX1048576 CA1:CA1048576">
    <cfRule type="expression" dxfId="34" priority="14384">
      <formula>IF(AND(CA1&gt;=CD$17,CA1&lt;1000),1,0)</formula>
    </cfRule>
    <cfRule type="expression" dxfId="33" priority="14385">
      <formula>IF(AND(CA1&gt;=CD$16,CA1&lt;CD$17),1,0)</formula>
    </cfRule>
  </conditionalFormatting>
  <conditionalFormatting sqref="CW1:CW1048576 DR1:DR1048576 EM1:EM1048576 FH1:FH1048576 GC1:GC1048576 GX1:GX1048576 HS1:HS1048576 IN1:IN1048576 JI1:JI1048576 KD1:KD1048576 KY1:KY1048576 CB1:CB1048576">
    <cfRule type="expression" dxfId="32" priority="14450">
      <formula>IF(AND(CB1&gt;=CD$18,CB1&lt;1000),1,0)</formula>
    </cfRule>
  </conditionalFormatting>
  <conditionalFormatting sqref="AH1:AH1048576 BD1:BD1048576">
    <cfRule type="expression" dxfId="31" priority="14486">
      <formula>IF(AND(AH1&gt;=AK$17,AH1&lt;1000,AG1=""),1,0)</formula>
    </cfRule>
    <cfRule type="expression" dxfId="30" priority="14487">
      <formula>IF(AND(AH1&gt;=AK$16,AH1&lt;AK$17,AG1=""),1,0)</formula>
    </cfRule>
  </conditionalFormatting>
  <conditionalFormatting sqref="BF1:BF1048576 AJ1:AJ1048576">
    <cfRule type="expression" dxfId="29" priority="14498">
      <formula>IF(AND(AJ1&gt;=AK$20,AJ1&lt;AK$21,AG1=""),1,0)</formula>
    </cfRule>
    <cfRule type="expression" dxfId="28" priority="14499">
      <formula>IF(AND(AJ1&gt;=AK$19,AJ1&lt;AK$20,AG1=""),1,0)</formula>
    </cfRule>
  </conditionalFormatting>
  <conditionalFormatting sqref="BH1:BH1048576 AL1:AL1048576">
    <cfRule type="expression" dxfId="27" priority="14510">
      <formula>IF(AND(AL1&gt;=AK$22,AL1&lt;1000,AG1=""),1,0)</formula>
    </cfRule>
    <cfRule type="expression" dxfId="26" priority="14511">
      <formula>IF(AND(AL1&gt;=AK$21,AL1&lt;AK$22,AG1=""),1,0)</formula>
    </cfRule>
  </conditionalFormatting>
  <conditionalFormatting sqref="AI1:AI1048576 BE1:BE1048576">
    <cfRule type="expression" dxfId="25" priority="14522">
      <formula>IF(AND(AI1&gt;=AK$18,AI1&lt;1000,AG1=""),1,0)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12" t="s">
        <v>1</v>
      </c>
      <c r="B1" s="112" t="s">
        <v>26</v>
      </c>
      <c r="C1" s="112" t="s">
        <v>0</v>
      </c>
      <c r="D1" s="112" t="s">
        <v>56</v>
      </c>
      <c r="E1" s="112" t="s">
        <v>2</v>
      </c>
      <c r="F1" s="119" t="s">
        <v>68</v>
      </c>
      <c r="G1" s="119" t="s">
        <v>69</v>
      </c>
      <c r="H1" s="119" t="s">
        <v>8</v>
      </c>
      <c r="I1" s="112" t="s">
        <v>9</v>
      </c>
      <c r="J1" s="126" t="s">
        <v>72</v>
      </c>
      <c r="K1" s="114" t="s">
        <v>33</v>
      </c>
      <c r="L1" s="126" t="s">
        <v>71</v>
      </c>
      <c r="M1" s="114" t="s">
        <v>33</v>
      </c>
      <c r="N1" s="116" t="s">
        <v>14</v>
      </c>
      <c r="O1" s="114" t="s">
        <v>34</v>
      </c>
      <c r="P1" s="114" t="s">
        <v>33</v>
      </c>
      <c r="Q1" s="115" t="s">
        <v>53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7" t="s">
        <v>122</v>
      </c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8" t="s">
        <v>67</v>
      </c>
      <c r="BJ1" s="118"/>
      <c r="BK1" s="124" t="s">
        <v>65</v>
      </c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4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4"/>
      <c r="DB1" s="124"/>
      <c r="DC1" s="124"/>
      <c r="DD1" s="124"/>
      <c r="DE1" s="124"/>
      <c r="DF1" s="124"/>
      <c r="DG1" s="124"/>
      <c r="DH1" s="124"/>
      <c r="DI1" s="124"/>
      <c r="DJ1" s="124"/>
      <c r="DK1" s="124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4"/>
      <c r="ER1" s="124"/>
      <c r="ES1" s="124"/>
      <c r="ET1" s="124"/>
      <c r="EU1" s="124"/>
      <c r="EV1" s="124"/>
      <c r="EW1" s="124"/>
      <c r="EX1" s="124"/>
      <c r="EY1" s="124"/>
      <c r="EZ1" s="124"/>
      <c r="FA1" s="124"/>
      <c r="FB1" s="124"/>
      <c r="FC1" s="124"/>
      <c r="FD1" s="124"/>
      <c r="FE1" s="124"/>
      <c r="FF1" s="124"/>
      <c r="FG1" s="124"/>
      <c r="FH1" s="124"/>
      <c r="FI1" s="124"/>
      <c r="FJ1" s="124"/>
      <c r="FK1" s="124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4"/>
      <c r="GH1" s="124"/>
      <c r="GI1" s="124"/>
      <c r="GJ1" s="124"/>
      <c r="GK1" s="124"/>
      <c r="GL1" s="124"/>
      <c r="GM1" s="124"/>
      <c r="GN1" s="124"/>
      <c r="GO1" s="124"/>
      <c r="GP1" s="124"/>
      <c r="GQ1" s="124"/>
      <c r="GR1" s="124"/>
      <c r="GS1" s="124"/>
      <c r="GT1" s="124"/>
      <c r="GU1" s="124"/>
      <c r="GV1" s="124"/>
      <c r="GW1" s="124"/>
      <c r="GX1" s="124"/>
      <c r="GY1" s="124"/>
      <c r="GZ1" s="124"/>
      <c r="HA1" s="124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4"/>
      <c r="HX1" s="124"/>
      <c r="HY1" s="124"/>
      <c r="HZ1" s="124"/>
      <c r="IA1" s="124"/>
      <c r="IB1" s="124"/>
      <c r="IC1" s="124"/>
      <c r="ID1" s="124"/>
      <c r="IE1" s="124"/>
      <c r="IF1" s="124"/>
      <c r="IG1" s="124"/>
      <c r="IH1" s="124"/>
      <c r="II1" s="124"/>
      <c r="IJ1" s="124"/>
      <c r="IK1" s="124"/>
      <c r="IL1" s="124"/>
      <c r="IM1" s="124"/>
      <c r="IN1" s="124"/>
      <c r="IO1" s="124"/>
      <c r="IP1" s="124"/>
      <c r="IQ1" s="124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4"/>
      <c r="JN1" s="124"/>
      <c r="JO1" s="124"/>
      <c r="JP1" s="124"/>
      <c r="JQ1" s="124"/>
      <c r="JR1" s="124"/>
      <c r="JS1" s="124"/>
      <c r="JT1" s="124"/>
      <c r="JU1" s="124"/>
      <c r="JV1" s="124"/>
      <c r="JW1" s="124"/>
      <c r="JX1" s="124"/>
      <c r="JY1" s="124"/>
      <c r="JZ1" s="124"/>
      <c r="KA1" s="124"/>
      <c r="KB1" s="124"/>
      <c r="KC1" s="124"/>
      <c r="KD1" s="124"/>
      <c r="KE1" s="124"/>
      <c r="KF1" s="124"/>
      <c r="KG1" s="124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15" t="s">
        <v>120</v>
      </c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</row>
    <row r="2" spans="1:336" x14ac:dyDescent="0.2">
      <c r="A2" s="112"/>
      <c r="B2" s="112"/>
      <c r="C2" s="112"/>
      <c r="D2" s="112"/>
      <c r="E2" s="112"/>
      <c r="F2" s="119"/>
      <c r="G2" s="119"/>
      <c r="H2" s="119"/>
      <c r="I2" s="112"/>
      <c r="J2" s="126"/>
      <c r="K2" s="114"/>
      <c r="L2" s="126"/>
      <c r="M2" s="114"/>
      <c r="N2" s="116"/>
      <c r="O2" s="114"/>
      <c r="P2" s="114"/>
      <c r="Q2" s="110" t="s">
        <v>27</v>
      </c>
      <c r="R2" s="110"/>
      <c r="S2" s="110"/>
      <c r="T2" s="110"/>
      <c r="U2" s="110" t="s">
        <v>30</v>
      </c>
      <c r="V2" s="110"/>
      <c r="W2" s="110"/>
      <c r="X2" s="110"/>
      <c r="Y2" s="110" t="s">
        <v>31</v>
      </c>
      <c r="Z2" s="110"/>
      <c r="AA2" s="110"/>
      <c r="AB2" s="110"/>
      <c r="AC2" s="121" t="s">
        <v>32</v>
      </c>
      <c r="AD2" s="121"/>
      <c r="AE2" s="121"/>
      <c r="AF2" s="121"/>
      <c r="AG2" s="83"/>
      <c r="AH2" s="86" t="s">
        <v>25</v>
      </c>
      <c r="AI2" s="86" t="s">
        <v>77</v>
      </c>
      <c r="AJ2" s="10" t="s">
        <v>24</v>
      </c>
      <c r="AK2" s="10" t="s">
        <v>23</v>
      </c>
      <c r="AL2" s="10" t="s">
        <v>18</v>
      </c>
      <c r="AM2" s="111" t="s">
        <v>27</v>
      </c>
      <c r="AN2" s="111"/>
      <c r="AO2" s="111"/>
      <c r="AP2" s="111"/>
      <c r="AQ2" s="111" t="s">
        <v>30</v>
      </c>
      <c r="AR2" s="111"/>
      <c r="AS2" s="111"/>
      <c r="AT2" s="111"/>
      <c r="AU2" s="111" t="s">
        <v>31</v>
      </c>
      <c r="AV2" s="111"/>
      <c r="AW2" s="111"/>
      <c r="AX2" s="111"/>
      <c r="AY2" s="123" t="s">
        <v>32</v>
      </c>
      <c r="AZ2" s="123"/>
      <c r="BA2" s="123"/>
      <c r="BB2" s="123"/>
      <c r="BC2" s="82"/>
      <c r="BD2" s="87" t="s">
        <v>25</v>
      </c>
      <c r="BE2" s="87" t="s">
        <v>77</v>
      </c>
      <c r="BF2" s="13" t="s">
        <v>24</v>
      </c>
      <c r="BG2" s="13" t="s">
        <v>23</v>
      </c>
      <c r="BH2" s="13" t="s">
        <v>18</v>
      </c>
      <c r="BI2" s="22" t="s">
        <v>74</v>
      </c>
      <c r="BJ2" s="22" t="s">
        <v>73</v>
      </c>
      <c r="BK2" s="110" t="s">
        <v>27</v>
      </c>
      <c r="BL2" s="110"/>
      <c r="BM2" s="110"/>
      <c r="BN2" s="110"/>
      <c r="BO2" s="110" t="s">
        <v>30</v>
      </c>
      <c r="BP2" s="110"/>
      <c r="BQ2" s="110"/>
      <c r="BR2" s="110"/>
      <c r="BS2" s="110" t="s">
        <v>31</v>
      </c>
      <c r="BT2" s="110"/>
      <c r="BU2" s="110"/>
      <c r="BV2" s="110"/>
      <c r="BW2" s="121" t="s">
        <v>32</v>
      </c>
      <c r="BX2" s="121"/>
      <c r="BY2" s="121"/>
      <c r="BZ2" s="121"/>
      <c r="CA2" s="86" t="s">
        <v>25</v>
      </c>
      <c r="CB2" s="86" t="s">
        <v>77</v>
      </c>
      <c r="CC2" s="10" t="s">
        <v>24</v>
      </c>
      <c r="CD2" s="10" t="s">
        <v>23</v>
      </c>
      <c r="CE2" s="10" t="s">
        <v>18</v>
      </c>
      <c r="CF2" s="123" t="s">
        <v>27</v>
      </c>
      <c r="CG2" s="123"/>
      <c r="CH2" s="123"/>
      <c r="CI2" s="123"/>
      <c r="CJ2" s="123" t="s">
        <v>30</v>
      </c>
      <c r="CK2" s="123"/>
      <c r="CL2" s="123"/>
      <c r="CM2" s="123"/>
      <c r="CN2" s="123" t="s">
        <v>31</v>
      </c>
      <c r="CO2" s="123"/>
      <c r="CP2" s="123"/>
      <c r="CQ2" s="123"/>
      <c r="CR2" s="123" t="s">
        <v>32</v>
      </c>
      <c r="CS2" s="123"/>
      <c r="CT2" s="123"/>
      <c r="CU2" s="123"/>
      <c r="CV2" s="87" t="s">
        <v>25</v>
      </c>
      <c r="CW2" s="87" t="s">
        <v>77</v>
      </c>
      <c r="CX2" s="17" t="s">
        <v>24</v>
      </c>
      <c r="CY2" s="17" t="s">
        <v>23</v>
      </c>
      <c r="CZ2" s="17" t="s">
        <v>18</v>
      </c>
      <c r="DA2" s="121" t="s">
        <v>27</v>
      </c>
      <c r="DB2" s="121"/>
      <c r="DC2" s="121"/>
      <c r="DD2" s="121"/>
      <c r="DE2" s="121" t="s">
        <v>30</v>
      </c>
      <c r="DF2" s="121"/>
      <c r="DG2" s="121"/>
      <c r="DH2" s="121"/>
      <c r="DI2" s="121" t="s">
        <v>31</v>
      </c>
      <c r="DJ2" s="121"/>
      <c r="DK2" s="121"/>
      <c r="DL2" s="121"/>
      <c r="DM2" s="121" t="s">
        <v>32</v>
      </c>
      <c r="DN2" s="121"/>
      <c r="DO2" s="121"/>
      <c r="DP2" s="121"/>
      <c r="DQ2" s="86" t="s">
        <v>25</v>
      </c>
      <c r="DR2" s="86" t="s">
        <v>77</v>
      </c>
      <c r="DS2" s="18" t="s">
        <v>24</v>
      </c>
      <c r="DT2" s="18" t="s">
        <v>23</v>
      </c>
      <c r="DU2" s="18" t="s">
        <v>18</v>
      </c>
      <c r="DV2" s="123" t="s">
        <v>27</v>
      </c>
      <c r="DW2" s="123"/>
      <c r="DX2" s="123"/>
      <c r="DY2" s="123"/>
      <c r="DZ2" s="123" t="s">
        <v>30</v>
      </c>
      <c r="EA2" s="123"/>
      <c r="EB2" s="123"/>
      <c r="EC2" s="123"/>
      <c r="ED2" s="123" t="s">
        <v>31</v>
      </c>
      <c r="EE2" s="123"/>
      <c r="EF2" s="123"/>
      <c r="EG2" s="123"/>
      <c r="EH2" s="123" t="s">
        <v>32</v>
      </c>
      <c r="EI2" s="123"/>
      <c r="EJ2" s="123"/>
      <c r="EK2" s="123"/>
      <c r="EL2" s="87" t="s">
        <v>25</v>
      </c>
      <c r="EM2" s="87" t="s">
        <v>77</v>
      </c>
      <c r="EN2" s="17" t="s">
        <v>24</v>
      </c>
      <c r="EO2" s="17" t="s">
        <v>23</v>
      </c>
      <c r="EP2" s="17" t="s">
        <v>18</v>
      </c>
      <c r="EQ2" s="121" t="s">
        <v>27</v>
      </c>
      <c r="ER2" s="121"/>
      <c r="ES2" s="121"/>
      <c r="ET2" s="121"/>
      <c r="EU2" s="121" t="s">
        <v>30</v>
      </c>
      <c r="EV2" s="121"/>
      <c r="EW2" s="121"/>
      <c r="EX2" s="121"/>
      <c r="EY2" s="121" t="s">
        <v>31</v>
      </c>
      <c r="EZ2" s="121"/>
      <c r="FA2" s="121"/>
      <c r="FB2" s="121"/>
      <c r="FC2" s="121" t="s">
        <v>32</v>
      </c>
      <c r="FD2" s="121"/>
      <c r="FE2" s="121"/>
      <c r="FF2" s="121"/>
      <c r="FG2" s="86" t="s">
        <v>25</v>
      </c>
      <c r="FH2" s="86" t="s">
        <v>77</v>
      </c>
      <c r="FI2" s="18" t="s">
        <v>24</v>
      </c>
      <c r="FJ2" s="18" t="s">
        <v>23</v>
      </c>
      <c r="FK2" s="18" t="s">
        <v>18</v>
      </c>
      <c r="FL2" s="123" t="s">
        <v>27</v>
      </c>
      <c r="FM2" s="123"/>
      <c r="FN2" s="123"/>
      <c r="FO2" s="123"/>
      <c r="FP2" s="123" t="s">
        <v>30</v>
      </c>
      <c r="FQ2" s="123"/>
      <c r="FR2" s="123"/>
      <c r="FS2" s="123"/>
      <c r="FT2" s="123" t="s">
        <v>31</v>
      </c>
      <c r="FU2" s="123"/>
      <c r="FV2" s="123"/>
      <c r="FW2" s="123"/>
      <c r="FX2" s="123" t="s">
        <v>32</v>
      </c>
      <c r="FY2" s="123"/>
      <c r="FZ2" s="123"/>
      <c r="GA2" s="123"/>
      <c r="GB2" s="87" t="s">
        <v>25</v>
      </c>
      <c r="GC2" s="87" t="s">
        <v>77</v>
      </c>
      <c r="GD2" s="17" t="s">
        <v>24</v>
      </c>
      <c r="GE2" s="17" t="s">
        <v>23</v>
      </c>
      <c r="GF2" s="17" t="s">
        <v>18</v>
      </c>
      <c r="GG2" s="121" t="s">
        <v>27</v>
      </c>
      <c r="GH2" s="121"/>
      <c r="GI2" s="121"/>
      <c r="GJ2" s="121"/>
      <c r="GK2" s="121" t="s">
        <v>30</v>
      </c>
      <c r="GL2" s="121"/>
      <c r="GM2" s="121"/>
      <c r="GN2" s="121"/>
      <c r="GO2" s="121" t="s">
        <v>31</v>
      </c>
      <c r="GP2" s="121"/>
      <c r="GQ2" s="121"/>
      <c r="GR2" s="121"/>
      <c r="GS2" s="121" t="s">
        <v>32</v>
      </c>
      <c r="GT2" s="121"/>
      <c r="GU2" s="121"/>
      <c r="GV2" s="121"/>
      <c r="GW2" s="86" t="s">
        <v>25</v>
      </c>
      <c r="GX2" s="86" t="s">
        <v>77</v>
      </c>
      <c r="GY2" s="18" t="s">
        <v>24</v>
      </c>
      <c r="GZ2" s="18" t="s">
        <v>23</v>
      </c>
      <c r="HA2" s="18" t="s">
        <v>18</v>
      </c>
      <c r="HB2" s="123" t="s">
        <v>27</v>
      </c>
      <c r="HC2" s="123"/>
      <c r="HD2" s="123"/>
      <c r="HE2" s="123"/>
      <c r="HF2" s="123" t="s">
        <v>30</v>
      </c>
      <c r="HG2" s="123"/>
      <c r="HH2" s="123"/>
      <c r="HI2" s="123"/>
      <c r="HJ2" s="123" t="s">
        <v>31</v>
      </c>
      <c r="HK2" s="123"/>
      <c r="HL2" s="123"/>
      <c r="HM2" s="123"/>
      <c r="HN2" s="123" t="s">
        <v>32</v>
      </c>
      <c r="HO2" s="123"/>
      <c r="HP2" s="123"/>
      <c r="HQ2" s="123"/>
      <c r="HR2" s="87" t="s">
        <v>25</v>
      </c>
      <c r="HS2" s="87" t="s">
        <v>77</v>
      </c>
      <c r="HT2" s="17" t="s">
        <v>24</v>
      </c>
      <c r="HU2" s="17" t="s">
        <v>23</v>
      </c>
      <c r="HV2" s="17" t="s">
        <v>18</v>
      </c>
      <c r="HW2" s="121" t="s">
        <v>27</v>
      </c>
      <c r="HX2" s="121"/>
      <c r="HY2" s="121"/>
      <c r="HZ2" s="121"/>
      <c r="IA2" s="121" t="s">
        <v>30</v>
      </c>
      <c r="IB2" s="121"/>
      <c r="IC2" s="121"/>
      <c r="ID2" s="121"/>
      <c r="IE2" s="121" t="s">
        <v>31</v>
      </c>
      <c r="IF2" s="121"/>
      <c r="IG2" s="121"/>
      <c r="IH2" s="121"/>
      <c r="II2" s="121" t="s">
        <v>32</v>
      </c>
      <c r="IJ2" s="121"/>
      <c r="IK2" s="121"/>
      <c r="IL2" s="121"/>
      <c r="IM2" s="86" t="s">
        <v>25</v>
      </c>
      <c r="IN2" s="86" t="s">
        <v>77</v>
      </c>
      <c r="IO2" s="18" t="s">
        <v>24</v>
      </c>
      <c r="IP2" s="18" t="s">
        <v>23</v>
      </c>
      <c r="IQ2" s="18" t="s">
        <v>18</v>
      </c>
      <c r="IR2" s="123" t="s">
        <v>27</v>
      </c>
      <c r="IS2" s="123"/>
      <c r="IT2" s="123"/>
      <c r="IU2" s="123"/>
      <c r="IV2" s="123" t="s">
        <v>30</v>
      </c>
      <c r="IW2" s="123"/>
      <c r="IX2" s="123"/>
      <c r="IY2" s="123"/>
      <c r="IZ2" s="123" t="s">
        <v>31</v>
      </c>
      <c r="JA2" s="123"/>
      <c r="JB2" s="123"/>
      <c r="JC2" s="123"/>
      <c r="JD2" s="123" t="s">
        <v>32</v>
      </c>
      <c r="JE2" s="123"/>
      <c r="JF2" s="123"/>
      <c r="JG2" s="123"/>
      <c r="JH2" s="87" t="s">
        <v>25</v>
      </c>
      <c r="JI2" s="87" t="s">
        <v>77</v>
      </c>
      <c r="JJ2" s="17" t="s">
        <v>24</v>
      </c>
      <c r="JK2" s="17" t="s">
        <v>23</v>
      </c>
      <c r="JL2" s="17" t="s">
        <v>18</v>
      </c>
      <c r="JM2" s="121" t="s">
        <v>27</v>
      </c>
      <c r="JN2" s="121"/>
      <c r="JO2" s="121"/>
      <c r="JP2" s="121"/>
      <c r="JQ2" s="121" t="s">
        <v>30</v>
      </c>
      <c r="JR2" s="121"/>
      <c r="JS2" s="121"/>
      <c r="JT2" s="121"/>
      <c r="JU2" s="121" t="s">
        <v>31</v>
      </c>
      <c r="JV2" s="121"/>
      <c r="JW2" s="121"/>
      <c r="JX2" s="121"/>
      <c r="JY2" s="121" t="s">
        <v>32</v>
      </c>
      <c r="JZ2" s="121"/>
      <c r="KA2" s="121"/>
      <c r="KB2" s="121"/>
      <c r="KC2" s="86" t="s">
        <v>25</v>
      </c>
      <c r="KD2" s="86" t="s">
        <v>77</v>
      </c>
      <c r="KE2" s="18" t="s">
        <v>24</v>
      </c>
      <c r="KF2" s="18" t="s">
        <v>23</v>
      </c>
      <c r="KG2" s="18" t="s">
        <v>18</v>
      </c>
      <c r="KH2" s="123" t="s">
        <v>27</v>
      </c>
      <c r="KI2" s="123"/>
      <c r="KJ2" s="123"/>
      <c r="KK2" s="123"/>
      <c r="KL2" s="123" t="s">
        <v>30</v>
      </c>
      <c r="KM2" s="123"/>
      <c r="KN2" s="123"/>
      <c r="KO2" s="123"/>
      <c r="KP2" s="123" t="s">
        <v>31</v>
      </c>
      <c r="KQ2" s="123"/>
      <c r="KR2" s="123"/>
      <c r="KS2" s="123"/>
      <c r="KT2" s="123" t="s">
        <v>32</v>
      </c>
      <c r="KU2" s="123"/>
      <c r="KV2" s="123"/>
      <c r="KW2" s="123"/>
      <c r="KX2" s="87" t="s">
        <v>25</v>
      </c>
      <c r="KY2" s="87" t="s">
        <v>77</v>
      </c>
      <c r="KZ2" s="17" t="s">
        <v>24</v>
      </c>
      <c r="LA2" s="17" t="s">
        <v>23</v>
      </c>
      <c r="LB2" s="17" t="s">
        <v>18</v>
      </c>
      <c r="LC2" s="110" t="s">
        <v>27</v>
      </c>
      <c r="LD2" s="110"/>
      <c r="LE2" s="110"/>
      <c r="LF2" s="110"/>
      <c r="LG2" s="110" t="s">
        <v>30</v>
      </c>
      <c r="LH2" s="110"/>
      <c r="LI2" s="110"/>
      <c r="LJ2" s="110"/>
      <c r="LK2" s="110" t="s">
        <v>31</v>
      </c>
      <c r="LL2" s="110"/>
      <c r="LM2" s="110"/>
      <c r="LN2" s="110"/>
      <c r="LO2" s="121" t="s">
        <v>32</v>
      </c>
      <c r="LP2" s="121"/>
      <c r="LQ2" s="121"/>
      <c r="LR2" s="121"/>
      <c r="LS2" s="105"/>
      <c r="LT2" s="105" t="s">
        <v>25</v>
      </c>
      <c r="LU2" s="105" t="s">
        <v>77</v>
      </c>
      <c r="LV2" s="10" t="s">
        <v>24</v>
      </c>
      <c r="LW2" s="10" t="s">
        <v>23</v>
      </c>
      <c r="LX2" s="10" t="s">
        <v>18</v>
      </c>
    </row>
    <row r="3" spans="1:336" x14ac:dyDescent="0.2">
      <c r="A3" s="112"/>
      <c r="B3" s="112"/>
      <c r="C3" s="112"/>
      <c r="D3" s="112"/>
      <c r="E3" s="112"/>
      <c r="F3" s="119"/>
      <c r="G3" s="119"/>
      <c r="H3" s="119"/>
      <c r="I3" s="112"/>
      <c r="J3" s="126"/>
      <c r="K3" s="114"/>
      <c r="L3" s="126"/>
      <c r="M3" s="114"/>
      <c r="N3" s="116"/>
      <c r="O3" s="114"/>
      <c r="P3" s="114"/>
      <c r="Q3" s="83" t="s">
        <v>15</v>
      </c>
      <c r="R3" s="83" t="s">
        <v>7</v>
      </c>
      <c r="S3" s="83" t="s">
        <v>28</v>
      </c>
      <c r="T3" s="83" t="s">
        <v>29</v>
      </c>
      <c r="U3" s="83" t="s">
        <v>15</v>
      </c>
      <c r="V3" s="83" t="s">
        <v>7</v>
      </c>
      <c r="W3" s="83" t="s">
        <v>28</v>
      </c>
      <c r="X3" s="83" t="s">
        <v>29</v>
      </c>
      <c r="Y3" s="83" t="s">
        <v>15</v>
      </c>
      <c r="Z3" s="83" t="s">
        <v>7</v>
      </c>
      <c r="AA3" s="83" t="s">
        <v>28</v>
      </c>
      <c r="AB3" s="83" t="s">
        <v>29</v>
      </c>
      <c r="AC3" s="84" t="s">
        <v>15</v>
      </c>
      <c r="AD3" s="84" t="s">
        <v>7</v>
      </c>
      <c r="AE3" s="84" t="s">
        <v>28</v>
      </c>
      <c r="AF3" s="84" t="s">
        <v>29</v>
      </c>
      <c r="AG3" s="83" t="s">
        <v>54</v>
      </c>
      <c r="AH3" s="11"/>
      <c r="AI3" s="11"/>
      <c r="AJ3" s="10"/>
      <c r="AK3" s="11"/>
      <c r="AL3" s="11"/>
      <c r="AM3" s="82" t="s">
        <v>15</v>
      </c>
      <c r="AN3" s="82" t="s">
        <v>7</v>
      </c>
      <c r="AO3" s="82" t="s">
        <v>28</v>
      </c>
      <c r="AP3" s="82" t="s">
        <v>29</v>
      </c>
      <c r="AQ3" s="82" t="s">
        <v>15</v>
      </c>
      <c r="AR3" s="82" t="s">
        <v>7</v>
      </c>
      <c r="AS3" s="82" t="s">
        <v>28</v>
      </c>
      <c r="AT3" s="82" t="s">
        <v>29</v>
      </c>
      <c r="AU3" s="82" t="s">
        <v>15</v>
      </c>
      <c r="AV3" s="82" t="s">
        <v>7</v>
      </c>
      <c r="AW3" s="82" t="s">
        <v>28</v>
      </c>
      <c r="AX3" s="82" t="s">
        <v>29</v>
      </c>
      <c r="AY3" s="85" t="s">
        <v>15</v>
      </c>
      <c r="AZ3" s="85" t="s">
        <v>7</v>
      </c>
      <c r="BA3" s="85" t="s">
        <v>28</v>
      </c>
      <c r="BB3" s="85" t="s">
        <v>29</v>
      </c>
      <c r="BC3" s="82" t="s">
        <v>54</v>
      </c>
      <c r="BD3" s="14"/>
      <c r="BE3" s="14"/>
      <c r="BF3" s="13"/>
      <c r="BG3" s="14"/>
      <c r="BH3" s="14"/>
      <c r="BI3" s="23"/>
      <c r="BJ3" s="23"/>
      <c r="BK3" s="83" t="s">
        <v>15</v>
      </c>
      <c r="BL3" s="83" t="s">
        <v>7</v>
      </c>
      <c r="BM3" s="83" t="s">
        <v>28</v>
      </c>
      <c r="BN3" s="83" t="s">
        <v>29</v>
      </c>
      <c r="BO3" s="83" t="s">
        <v>15</v>
      </c>
      <c r="BP3" s="83" t="s">
        <v>7</v>
      </c>
      <c r="BQ3" s="83" t="s">
        <v>28</v>
      </c>
      <c r="BR3" s="83" t="s">
        <v>29</v>
      </c>
      <c r="BS3" s="83" t="s">
        <v>15</v>
      </c>
      <c r="BT3" s="83" t="s">
        <v>7</v>
      </c>
      <c r="BU3" s="83" t="s">
        <v>28</v>
      </c>
      <c r="BV3" s="83" t="s">
        <v>29</v>
      </c>
      <c r="BW3" s="84" t="s">
        <v>15</v>
      </c>
      <c r="BX3" s="84" t="s">
        <v>7</v>
      </c>
      <c r="BY3" s="84" t="s">
        <v>28</v>
      </c>
      <c r="BZ3" s="84" t="s">
        <v>29</v>
      </c>
      <c r="CA3" s="11"/>
      <c r="CB3" s="11"/>
      <c r="CC3" s="10"/>
      <c r="CD3" s="11"/>
      <c r="CE3" s="11"/>
      <c r="CF3" s="85" t="s">
        <v>15</v>
      </c>
      <c r="CG3" s="85" t="s">
        <v>7</v>
      </c>
      <c r="CH3" s="85" t="s">
        <v>28</v>
      </c>
      <c r="CI3" s="85" t="s">
        <v>29</v>
      </c>
      <c r="CJ3" s="85" t="s">
        <v>15</v>
      </c>
      <c r="CK3" s="85" t="s">
        <v>7</v>
      </c>
      <c r="CL3" s="85" t="s">
        <v>28</v>
      </c>
      <c r="CM3" s="85" t="s">
        <v>29</v>
      </c>
      <c r="CN3" s="85" t="s">
        <v>15</v>
      </c>
      <c r="CO3" s="85" t="s">
        <v>7</v>
      </c>
      <c r="CP3" s="85" t="s">
        <v>28</v>
      </c>
      <c r="CQ3" s="85" t="s">
        <v>29</v>
      </c>
      <c r="CR3" s="85" t="s">
        <v>15</v>
      </c>
      <c r="CS3" s="85" t="s">
        <v>7</v>
      </c>
      <c r="CT3" s="85" t="s">
        <v>28</v>
      </c>
      <c r="CU3" s="85" t="s">
        <v>29</v>
      </c>
      <c r="CV3" s="14"/>
      <c r="CW3" s="14"/>
      <c r="CX3" s="17"/>
      <c r="CY3" s="17"/>
      <c r="CZ3" s="17"/>
      <c r="DA3" s="84" t="s">
        <v>15</v>
      </c>
      <c r="DB3" s="84" t="s">
        <v>7</v>
      </c>
      <c r="DC3" s="84" t="s">
        <v>28</v>
      </c>
      <c r="DD3" s="84" t="s">
        <v>29</v>
      </c>
      <c r="DE3" s="84" t="s">
        <v>15</v>
      </c>
      <c r="DF3" s="84" t="s">
        <v>7</v>
      </c>
      <c r="DG3" s="84" t="s">
        <v>28</v>
      </c>
      <c r="DH3" s="84" t="s">
        <v>29</v>
      </c>
      <c r="DI3" s="84" t="s">
        <v>15</v>
      </c>
      <c r="DJ3" s="84" t="s">
        <v>7</v>
      </c>
      <c r="DK3" s="84" t="s">
        <v>28</v>
      </c>
      <c r="DL3" s="84" t="s">
        <v>29</v>
      </c>
      <c r="DM3" s="84" t="s">
        <v>15</v>
      </c>
      <c r="DN3" s="84" t="s">
        <v>7</v>
      </c>
      <c r="DO3" s="84" t="s">
        <v>28</v>
      </c>
      <c r="DP3" s="84" t="s">
        <v>29</v>
      </c>
      <c r="DQ3" s="11"/>
      <c r="DR3" s="11"/>
      <c r="DS3" s="18"/>
      <c r="DT3" s="18"/>
      <c r="DU3" s="18"/>
      <c r="DV3" s="85" t="s">
        <v>15</v>
      </c>
      <c r="DW3" s="85" t="s">
        <v>7</v>
      </c>
      <c r="DX3" s="85" t="s">
        <v>28</v>
      </c>
      <c r="DY3" s="85" t="s">
        <v>29</v>
      </c>
      <c r="DZ3" s="85" t="s">
        <v>15</v>
      </c>
      <c r="EA3" s="85" t="s">
        <v>7</v>
      </c>
      <c r="EB3" s="85" t="s">
        <v>28</v>
      </c>
      <c r="EC3" s="85" t="s">
        <v>29</v>
      </c>
      <c r="ED3" s="85" t="s">
        <v>15</v>
      </c>
      <c r="EE3" s="85" t="s">
        <v>7</v>
      </c>
      <c r="EF3" s="85" t="s">
        <v>28</v>
      </c>
      <c r="EG3" s="85" t="s">
        <v>29</v>
      </c>
      <c r="EH3" s="85" t="s">
        <v>15</v>
      </c>
      <c r="EI3" s="85" t="s">
        <v>7</v>
      </c>
      <c r="EJ3" s="85" t="s">
        <v>28</v>
      </c>
      <c r="EK3" s="85" t="s">
        <v>29</v>
      </c>
      <c r="EL3" s="14"/>
      <c r="EM3" s="14"/>
      <c r="EN3" s="17"/>
      <c r="EO3" s="17"/>
      <c r="EP3" s="17"/>
      <c r="EQ3" s="84" t="s">
        <v>15</v>
      </c>
      <c r="ER3" s="84" t="s">
        <v>7</v>
      </c>
      <c r="ES3" s="84" t="s">
        <v>28</v>
      </c>
      <c r="ET3" s="84" t="s">
        <v>29</v>
      </c>
      <c r="EU3" s="84" t="s">
        <v>15</v>
      </c>
      <c r="EV3" s="84" t="s">
        <v>7</v>
      </c>
      <c r="EW3" s="84" t="s">
        <v>28</v>
      </c>
      <c r="EX3" s="84" t="s">
        <v>29</v>
      </c>
      <c r="EY3" s="84" t="s">
        <v>15</v>
      </c>
      <c r="EZ3" s="84" t="s">
        <v>7</v>
      </c>
      <c r="FA3" s="84" t="s">
        <v>28</v>
      </c>
      <c r="FB3" s="84" t="s">
        <v>29</v>
      </c>
      <c r="FC3" s="84" t="s">
        <v>15</v>
      </c>
      <c r="FD3" s="84" t="s">
        <v>7</v>
      </c>
      <c r="FE3" s="84" t="s">
        <v>28</v>
      </c>
      <c r="FF3" s="84" t="s">
        <v>29</v>
      </c>
      <c r="FG3" s="11"/>
      <c r="FH3" s="11"/>
      <c r="FI3" s="18"/>
      <c r="FJ3" s="18"/>
      <c r="FK3" s="18"/>
      <c r="FL3" s="85" t="s">
        <v>15</v>
      </c>
      <c r="FM3" s="85" t="s">
        <v>7</v>
      </c>
      <c r="FN3" s="85" t="s">
        <v>28</v>
      </c>
      <c r="FO3" s="85" t="s">
        <v>29</v>
      </c>
      <c r="FP3" s="85" t="s">
        <v>15</v>
      </c>
      <c r="FQ3" s="85" t="s">
        <v>7</v>
      </c>
      <c r="FR3" s="85" t="s">
        <v>28</v>
      </c>
      <c r="FS3" s="85" t="s">
        <v>29</v>
      </c>
      <c r="FT3" s="85" t="s">
        <v>15</v>
      </c>
      <c r="FU3" s="85" t="s">
        <v>7</v>
      </c>
      <c r="FV3" s="85" t="s">
        <v>28</v>
      </c>
      <c r="FW3" s="85" t="s">
        <v>29</v>
      </c>
      <c r="FX3" s="85" t="s">
        <v>15</v>
      </c>
      <c r="FY3" s="85" t="s">
        <v>7</v>
      </c>
      <c r="FZ3" s="85" t="s">
        <v>28</v>
      </c>
      <c r="GA3" s="85" t="s">
        <v>29</v>
      </c>
      <c r="GB3" s="14"/>
      <c r="GC3" s="14"/>
      <c r="GD3" s="17"/>
      <c r="GE3" s="17"/>
      <c r="GF3" s="17"/>
      <c r="GG3" s="84" t="s">
        <v>15</v>
      </c>
      <c r="GH3" s="84" t="s">
        <v>7</v>
      </c>
      <c r="GI3" s="84" t="s">
        <v>28</v>
      </c>
      <c r="GJ3" s="84" t="s">
        <v>29</v>
      </c>
      <c r="GK3" s="84" t="s">
        <v>15</v>
      </c>
      <c r="GL3" s="84" t="s">
        <v>7</v>
      </c>
      <c r="GM3" s="84" t="s">
        <v>28</v>
      </c>
      <c r="GN3" s="84" t="s">
        <v>29</v>
      </c>
      <c r="GO3" s="84" t="s">
        <v>15</v>
      </c>
      <c r="GP3" s="84" t="s">
        <v>7</v>
      </c>
      <c r="GQ3" s="84" t="s">
        <v>28</v>
      </c>
      <c r="GR3" s="84" t="s">
        <v>29</v>
      </c>
      <c r="GS3" s="84" t="s">
        <v>15</v>
      </c>
      <c r="GT3" s="84" t="s">
        <v>7</v>
      </c>
      <c r="GU3" s="84" t="s">
        <v>28</v>
      </c>
      <c r="GV3" s="84" t="s">
        <v>29</v>
      </c>
      <c r="GW3" s="11"/>
      <c r="GX3" s="11"/>
      <c r="GY3" s="18"/>
      <c r="GZ3" s="18"/>
      <c r="HA3" s="18"/>
      <c r="HB3" s="85" t="s">
        <v>15</v>
      </c>
      <c r="HC3" s="85" t="s">
        <v>7</v>
      </c>
      <c r="HD3" s="85" t="s">
        <v>28</v>
      </c>
      <c r="HE3" s="85" t="s">
        <v>29</v>
      </c>
      <c r="HF3" s="85" t="s">
        <v>15</v>
      </c>
      <c r="HG3" s="85" t="s">
        <v>7</v>
      </c>
      <c r="HH3" s="85" t="s">
        <v>28</v>
      </c>
      <c r="HI3" s="85" t="s">
        <v>29</v>
      </c>
      <c r="HJ3" s="85" t="s">
        <v>15</v>
      </c>
      <c r="HK3" s="85" t="s">
        <v>7</v>
      </c>
      <c r="HL3" s="85" t="s">
        <v>28</v>
      </c>
      <c r="HM3" s="85" t="s">
        <v>29</v>
      </c>
      <c r="HN3" s="85" t="s">
        <v>15</v>
      </c>
      <c r="HO3" s="85" t="s">
        <v>7</v>
      </c>
      <c r="HP3" s="85" t="s">
        <v>28</v>
      </c>
      <c r="HQ3" s="85" t="s">
        <v>29</v>
      </c>
      <c r="HR3" s="14"/>
      <c r="HS3" s="14"/>
      <c r="HT3" s="17"/>
      <c r="HU3" s="17"/>
      <c r="HV3" s="17"/>
      <c r="HW3" s="84" t="s">
        <v>15</v>
      </c>
      <c r="HX3" s="84" t="s">
        <v>7</v>
      </c>
      <c r="HY3" s="84" t="s">
        <v>28</v>
      </c>
      <c r="HZ3" s="84" t="s">
        <v>29</v>
      </c>
      <c r="IA3" s="84" t="s">
        <v>15</v>
      </c>
      <c r="IB3" s="84" t="s">
        <v>7</v>
      </c>
      <c r="IC3" s="84" t="s">
        <v>28</v>
      </c>
      <c r="ID3" s="84" t="s">
        <v>29</v>
      </c>
      <c r="IE3" s="84" t="s">
        <v>15</v>
      </c>
      <c r="IF3" s="84" t="s">
        <v>7</v>
      </c>
      <c r="IG3" s="84" t="s">
        <v>28</v>
      </c>
      <c r="IH3" s="84" t="s">
        <v>29</v>
      </c>
      <c r="II3" s="84" t="s">
        <v>15</v>
      </c>
      <c r="IJ3" s="84" t="s">
        <v>7</v>
      </c>
      <c r="IK3" s="84" t="s">
        <v>28</v>
      </c>
      <c r="IL3" s="84" t="s">
        <v>29</v>
      </c>
      <c r="IM3" s="11"/>
      <c r="IN3" s="11"/>
      <c r="IO3" s="18"/>
      <c r="IP3" s="18"/>
      <c r="IQ3" s="18"/>
      <c r="IR3" s="85" t="s">
        <v>15</v>
      </c>
      <c r="IS3" s="85" t="s">
        <v>7</v>
      </c>
      <c r="IT3" s="85" t="s">
        <v>28</v>
      </c>
      <c r="IU3" s="85" t="s">
        <v>29</v>
      </c>
      <c r="IV3" s="85" t="s">
        <v>15</v>
      </c>
      <c r="IW3" s="85" t="s">
        <v>7</v>
      </c>
      <c r="IX3" s="85" t="s">
        <v>28</v>
      </c>
      <c r="IY3" s="85" t="s">
        <v>29</v>
      </c>
      <c r="IZ3" s="85" t="s">
        <v>15</v>
      </c>
      <c r="JA3" s="85" t="s">
        <v>7</v>
      </c>
      <c r="JB3" s="85" t="s">
        <v>28</v>
      </c>
      <c r="JC3" s="85" t="s">
        <v>29</v>
      </c>
      <c r="JD3" s="85" t="s">
        <v>15</v>
      </c>
      <c r="JE3" s="85" t="s">
        <v>7</v>
      </c>
      <c r="JF3" s="85" t="s">
        <v>28</v>
      </c>
      <c r="JG3" s="85" t="s">
        <v>29</v>
      </c>
      <c r="JH3" s="14"/>
      <c r="JI3" s="14"/>
      <c r="JJ3" s="17"/>
      <c r="JK3" s="17"/>
      <c r="JL3" s="17"/>
      <c r="JM3" s="84" t="s">
        <v>15</v>
      </c>
      <c r="JN3" s="84" t="s">
        <v>7</v>
      </c>
      <c r="JO3" s="84" t="s">
        <v>28</v>
      </c>
      <c r="JP3" s="84" t="s">
        <v>29</v>
      </c>
      <c r="JQ3" s="84" t="s">
        <v>15</v>
      </c>
      <c r="JR3" s="84" t="s">
        <v>7</v>
      </c>
      <c r="JS3" s="84" t="s">
        <v>28</v>
      </c>
      <c r="JT3" s="84" t="s">
        <v>29</v>
      </c>
      <c r="JU3" s="84" t="s">
        <v>15</v>
      </c>
      <c r="JV3" s="84" t="s">
        <v>7</v>
      </c>
      <c r="JW3" s="84" t="s">
        <v>28</v>
      </c>
      <c r="JX3" s="84" t="s">
        <v>29</v>
      </c>
      <c r="JY3" s="84" t="s">
        <v>15</v>
      </c>
      <c r="JZ3" s="84" t="s">
        <v>7</v>
      </c>
      <c r="KA3" s="84" t="s">
        <v>28</v>
      </c>
      <c r="KB3" s="84" t="s">
        <v>29</v>
      </c>
      <c r="KC3" s="11"/>
      <c r="KD3" s="11"/>
      <c r="KE3" s="18"/>
      <c r="KF3" s="18"/>
      <c r="KG3" s="18"/>
      <c r="KH3" s="85" t="s">
        <v>15</v>
      </c>
      <c r="KI3" s="85" t="s">
        <v>7</v>
      </c>
      <c r="KJ3" s="85" t="s">
        <v>28</v>
      </c>
      <c r="KK3" s="85" t="s">
        <v>29</v>
      </c>
      <c r="KL3" s="85" t="s">
        <v>15</v>
      </c>
      <c r="KM3" s="85" t="s">
        <v>7</v>
      </c>
      <c r="KN3" s="85" t="s">
        <v>28</v>
      </c>
      <c r="KO3" s="85" t="s">
        <v>29</v>
      </c>
      <c r="KP3" s="85" t="s">
        <v>15</v>
      </c>
      <c r="KQ3" s="85" t="s">
        <v>7</v>
      </c>
      <c r="KR3" s="85" t="s">
        <v>28</v>
      </c>
      <c r="KS3" s="85" t="s">
        <v>29</v>
      </c>
      <c r="KT3" s="85" t="s">
        <v>15</v>
      </c>
      <c r="KU3" s="85" t="s">
        <v>7</v>
      </c>
      <c r="KV3" s="85" t="s">
        <v>28</v>
      </c>
      <c r="KW3" s="85" t="s">
        <v>29</v>
      </c>
      <c r="KX3" s="14"/>
      <c r="KY3" s="14"/>
      <c r="KZ3" s="17"/>
      <c r="LA3" s="17"/>
      <c r="LB3" s="17"/>
      <c r="LC3" s="105" t="s">
        <v>15</v>
      </c>
      <c r="LD3" s="105" t="s">
        <v>7</v>
      </c>
      <c r="LE3" s="105" t="s">
        <v>28</v>
      </c>
      <c r="LF3" s="105" t="s">
        <v>29</v>
      </c>
      <c r="LG3" s="105" t="s">
        <v>15</v>
      </c>
      <c r="LH3" s="105" t="s">
        <v>7</v>
      </c>
      <c r="LI3" s="105" t="s">
        <v>28</v>
      </c>
      <c r="LJ3" s="105" t="s">
        <v>29</v>
      </c>
      <c r="LK3" s="105" t="s">
        <v>15</v>
      </c>
      <c r="LL3" s="105" t="s">
        <v>7</v>
      </c>
      <c r="LM3" s="105" t="s">
        <v>28</v>
      </c>
      <c r="LN3" s="105" t="s">
        <v>29</v>
      </c>
      <c r="LO3" s="106" t="s">
        <v>15</v>
      </c>
      <c r="LP3" s="106" t="s">
        <v>7</v>
      </c>
      <c r="LQ3" s="106" t="s">
        <v>28</v>
      </c>
      <c r="LR3" s="106" t="s">
        <v>29</v>
      </c>
      <c r="LS3" s="105" t="s">
        <v>54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9" t="s">
        <v>98</v>
      </c>
      <c r="C4" s="5" t="s">
        <v>5</v>
      </c>
      <c r="D4" s="6">
        <v>2002</v>
      </c>
      <c r="E4" s="16">
        <f>SUM(J4:N4)</f>
        <v>198.29999999999998</v>
      </c>
      <c r="F4" s="4" t="str">
        <f>IF(OR(AND(AH4&gt;=AK$11,AJ4&gt;=AK$14,AJ4&lt;&gt;"",AG4=""),AND(BD4&gt;=BG$11,BF4&gt;=BG$14,BF4&lt;&gt;"",BC4=""),AND(CA4&gt;=CD$11,CC4&gt;=CD$14,CC4&lt;&gt;""),AND(CV4&gt;=CY$11,CX4&gt;=CY$14,CX4&lt;&gt;""),AND(DQ4&gt;=DT$11,DS4&gt;=DT$14,DS4&lt;&gt;""),AND(EL4&gt;=EO$11,EN4&gt;=EO$14,EN4&lt;&gt;""),AND(FG4&gt;=FJ$11,FI4&gt;=FJ$14,FI4&lt;&gt;""),AND(GB4&gt;=GE$11,GD4&gt;=GE$14,GD4&lt;&gt;""),AND(GW4&gt;=GZ$11,GY4&gt;=GZ$14,GY4&lt;&gt;""),AND(HR4&gt;=HU$11,HT4&gt;=HU$14,HT4&lt;&gt;""),AND(IM4&gt;=IP$11,IO4&gt;=IP$14,IO4&lt;&gt;""),AND(JH4&gt;=JK$11,JJ4&gt;=JK$14,JJ4&lt;&gt;""),AND(KC4&gt;=KF$11,KE4&gt;=KF$14,KE4&lt;&gt;""),AND(KX4&gt;=LA$11,KZ4&gt;=LA$14,KZ4&lt;&gt;"")),"P","")</f>
        <v>P</v>
      </c>
      <c r="G4" s="4" t="str">
        <f>IF(OR(AND(AH4&gt;=AK$12,AJ4&gt;=AK$15,AJ4&lt;&gt;"",AG4=""),AND(BD4&gt;=BG$12,BF4&gt;=BG$15,BF4&lt;&gt;"",BC4=""),AND(CA4&gt;=CD$12,CC4&gt;=CD$15,CC4&lt;&gt;""),AND(CV4&gt;=CY$12,CX4&gt;=CY$15,CX4&lt;&gt;""),AND(DQ4&gt;=DT$12,DS4&gt;=DT$15,DS4&lt;&gt;""),AND(EL4&gt;=EO$12,EN4&gt;=EO$15,EN4&lt;&gt;""),AND(FG4&gt;=FJ$12,FI4&gt;=FJ$15,FI4&lt;&gt;""),AND(GB4&gt;=GE$12,GD4&gt;=GE$15,GD4&lt;&gt;""),AND(GW4&gt;=GZ$12,GY4&gt;=GZ$15,GY4&lt;&gt;""),AND(HR4&gt;=HU$12,HT4&gt;=HU$15,HT4&lt;&gt;""),AND(IM4&gt;=IP$12,IO4&gt;=IP$15,IO4&lt;&gt;""),AND(JH4&gt;=JK$12,JJ4&gt;=JK$15,JJ4&lt;&gt;""),AND(KC4&gt;=KF$12,KE4&gt;=KF$15,KE4&lt;&gt;""),AND(KX4&gt;=LA$12,KZ4&gt;=LA$15,KZ4&lt;&gt;"")),"P","")</f>
        <v/>
      </c>
      <c r="H4" s="4" t="str">
        <f>IF(OR(AND(AJ4&gt;=AK$14,AJ4&lt;&gt;"",AG4=""),AND(BF4&gt;=BG$14,BF4&lt;&gt;"",BC4=""),AND(CC4&gt;=CD$14,CC4&lt;&gt;""),AND(CX4&gt;=CY$14,CX4&lt;&gt;""),AND(DS4&gt;=DT$14,DS4&lt;&gt;""),AND(EN4&gt;=EO$14,EN4&lt;&gt;""),AND(FI4&gt;=FJ$14,FI4&lt;&gt;""),AND(GD4&gt;=GE$14,GD4&lt;&gt;""),AND(GY4&gt;=GZ$14,GY4&lt;&gt;""),AND(HT4&gt;=HU$14,HT4&lt;&gt;""),AND(IO4&gt;=IP$14,IO4&lt;&gt;""),AND(JJ4&gt;=JK$14,JJ4&lt;&gt;""),AND(KE4&gt;=KF$14,KE4&lt;&gt;""),AND(KZ4&gt;=LA$14,KZ4&lt;&gt;"")),"P","")</f>
        <v>P</v>
      </c>
      <c r="I4" t="str">
        <f>IF(AND(H4="P",F4=""),"No DD",IF(OR(AND(AI4&gt;=AK$13,AI4&lt;&gt;"",AL4&gt;=AK$17,AL4&lt;&gt;"",AG4=""),AND(BE4&gt;=BG$13,BE4&lt;&gt;"",BH4&gt;=BG$17,BH4&lt;&gt;"",BC4=""),AND(CB4&gt;=CD$13,CB4&lt;&gt;"",CE4&gt;=CD$17,CE4&lt;&gt;""),AND(CW4&gt;=CY$13,CW4&lt;&gt;"",CZ4&gt;=CY$17,CZ4&lt;&gt;""),AND(DR4&gt;=DT$13,DR4&lt;&gt;"",DU4&gt;=DT$17,DU4&lt;&gt;""),AND(EM4&gt;=EO$13,EM4&lt;&gt;"",EP4&gt;=EO$17,EP4&lt;&gt;""),AND(FH4&gt;=FJ$13,FH4&lt;&gt;"",FK4&gt;=FJ$17,FK4&lt;&gt;""),AND(GC4&gt;=GE$13,GC4&lt;&gt;"",GF4&gt;=GE$17,GF4&lt;&gt;""),AND(GX4&gt;=GZ$13,GX4&lt;&gt;"",HA4&gt;=GZ$17,HA4&lt;&gt;""),AND(HS4&gt;=HU$13,HS4&lt;&gt;"",HV4&gt;=HU$17,HV4&lt;&gt;""),AND(IN4&gt;=IP$13,IN4&lt;&gt;"",IQ4&gt;=IP$17,IQ4&lt;&gt;""),AND(JI4&gt;=JK$13,JI4&lt;&gt;"",JL4&gt;=JK$17,JL4&lt;&gt;""),AND(KD4&gt;=KF$13,KD4&lt;&gt;"",KG4&gt;=KF$17,KG4&lt;&gt;""),AND(KY4&gt;=LA$13,KY4&lt;&gt;"",LB4&gt;=LA$17,LB4&lt;&gt;"")),"Merit",IF(OR(AND(AI4&gt;=AK$13,AI4&lt;&gt;"",AL4&gt;=AK$16,AL4&lt;&gt;"",AG4=""),AND(BE4&gt;=BG$13,BE4&lt;&gt;"",BH4&gt;=BG$16,BH4&lt;&gt;"",BC4=""),AND(CB4&gt;=CD$13,CB4&lt;&gt;"",CE4&gt;=CD$16,CE4&lt;&gt;""),AND(CW4&gt;=CY$13,CW4&lt;&gt;"",CZ4&gt;=CY$16,CZ4&lt;&gt;""),AND(DR4&gt;=DT$13,DR4&lt;&gt;"",DU4&gt;=DT$16,DU4&lt;&gt;""),AND(EM4&gt;=EO$13,EM4&lt;&gt;"",EP4&gt;=EO$16,EP4&lt;&gt;""),AND(FH4&gt;=FJ$13,FH4&lt;&gt;"",FK4&gt;=FJ$16,FK4&lt;&gt;""),AND(GC4&gt;=GE$13,GC4&lt;&gt;"",GF4&gt;=GE$16,GF4&lt;&gt;""),AND(GX4&gt;=GZ$13,GX4&lt;&gt;"",HA4&gt;=GZ$16,HA4&lt;&gt;""),AND(HS4&gt;=HU$13,HS4&lt;&gt;"",HV4&gt;=HU$16,HV4&lt;&gt;""),AND(IN4&gt;=IP$13,IN4&lt;&gt;"",IQ4&gt;=IP$16,IQ4&lt;&gt;""),AND(JI4&gt;=JK$13,JI4&lt;&gt;"",JL4&gt;=JK$16,JL4&lt;&gt;""),AND(KD4&gt;=KF$13,KD4&lt;&gt;"",KG4&gt;=KF$16,KG4&lt;&gt;""),AND(KY4&gt;=LA$13,KY4&lt;&gt;"",LB4&gt;=LA$16,LB4&lt;&gt;"")),"Excellence",IF(OR(AND(AH4&gt;=AK$12,AH4&lt;&gt;"",AJ4&gt;=AK$15,AJ4&lt;&gt;"",AG4=""),AND(BD4&gt;=BG$12,BD4&lt;&gt;"",BF4&gt;=BG$15,BF4&lt;&gt;"",BC4=""),AND(CA4&gt;=CD$12,CA4&lt;&gt;"",CC4&gt;=CD$15,CC4&lt;&gt;""),AND(CV4&gt;=CY$12,CV4&lt;&gt;"",CX4&gt;=CY$15,CX4&lt;&gt;""),AND(DQ4&gt;=DT$12,DQ4&lt;&gt;"",DS4&gt;=DT$15,DS4&lt;&gt;""),AND(EL4&gt;=EO$12,EL4&lt;&gt;"",EN4&gt;=EO$15,EN4&lt;&gt;""),AND(FG4&gt;=FJ$12,FG4&lt;&gt;"",FI4&gt;=FJ$15,FI4&lt;&gt;""),AND(GB4&gt;=GE$12,GB4&lt;&gt;"",GD4&gt;=GE$15,GD4&lt;&gt;""),AND(GW4&gt;=GZ$12,GW4&lt;&gt;"",GY4&gt;=GZ$15,GY4&lt;&gt;""),AND(HR4&gt;=HU$12,HR4&lt;&gt;"",HT4&gt;=HU$15,HT4&lt;&gt;""),AND(IM4&gt;=IP$12,IM4&lt;&gt;"",IO4&gt;=IP$15,IO4&lt;&gt;""),AND(JH4&gt;=JK$12,JH4&lt;&gt;"",JJ4&gt;=JK$15,JJ4&lt;&gt;""),AND(KC4&gt;=KF$12,KC4&lt;&gt;"",KE4&gt;=KF$15,KE4&lt;&gt;""),AND(KX4&gt;=LA$12,KX4&lt;&gt;"",KZ4&gt;=LA$15,KZ4&lt;&gt;"")),"Worlds Team",IF(OR(AND(AH4&gt;=AK$11,AH4&lt;&gt;"",AJ4&gt;=AK$14,AJ4&lt;&gt;"",AG4=""),AND(BD4&gt;=BG$11,BD4&lt;&gt;"",BF4&gt;=BG$14,BF4&lt;&gt;"",BC4=""),AND(CA4&gt;=CD$11,CA4&lt;&gt;"",CC4&gt;=CD$14,CC4&lt;&gt;""),AND(CV4&gt;=CY$11,CV4&lt;&gt;"",CX4&gt;=CY$14,CX4&lt;&gt;""),AND(DQ4&gt;=DT$11,DQ4&lt;&gt;"",DS4&gt;=DT$14,DS4&lt;&gt;""),AND(EL4&gt;=EO$11,EL4&lt;&gt;"",EN4&gt;=EO$14,EN4&lt;&gt;""),AND(FG4&gt;=FJ$11,FG4&lt;&gt;"",FI4&gt;=FJ$14,FI4&lt;&gt;""),AND(GB4&gt;=GE$11,GB4&lt;&gt;"",GD4&gt;=GE$14,GD4&lt;&gt;""),AND(GW4&gt;=GZ$11,GW4&lt;&gt;"",GY4&gt;=GZ$14,GY4&lt;&gt;""),AND(HR4&gt;=HU$11,HR4&lt;&gt;"",HT4&gt;=HU$14,HT4&lt;&gt;""),AND(IM4&gt;=IP$11,IM4&lt;&gt;"",IO4&gt;=IP$14,IO4&lt;&gt;""),AND(JH4&gt;=JK$11,JH4&lt;&gt;"",JJ4&gt;=JK$14,JJ4&lt;&gt;""),AND(KC4&gt;=KF$11,KC4&lt;&gt;"",KE4&gt;=KF$14,KE4&lt;&gt;""),AND(KX4&gt;=LA$11,KX4&lt;&gt;"",KZ4&gt;=LA$14,KZ4&lt;&gt;"")),"National Team","")))))</f>
        <v>National Team</v>
      </c>
      <c r="J4" s="15">
        <f>IF(MAX(AL4,BH4)&gt;0,MAX(AL4,BH4),"")</f>
        <v>121.9</v>
      </c>
      <c r="K4" s="15" t="str">
        <f>IF(J4="","",IF(J4=BH4,$AM$1,IF(J4=AL4,$Q$1,"")))</f>
        <v>2018 Nationals</v>
      </c>
      <c r="L4" s="15">
        <f>IF(J4=AL4,IF(MAX(BF4,BG4)&gt;0,MAX(BF4,BG4),""),IF(J4=BH4,IF(MAX(AJ4,AK4)&gt;0,MAX(AJ4,AK4),""),MAX(AJ4,AK4,BF4,BG4)))</f>
        <v>66.399999999999991</v>
      </c>
      <c r="M4" s="15" t="str">
        <f>IF(L4="","",IF(AND(J4&lt;&gt;BH4,OR(L4=BG4,L4=BF4)),$AM$1,IF(OR(L4=AK4,L4=AJ4),$Q$1,"")))</f>
        <v>2019 Elite Canada</v>
      </c>
      <c r="N4" s="15">
        <f>IF(MAX(BI4:BJ4)&gt;0,MAX(BI4:BJ4),"")</f>
        <v>9.9999999999999716</v>
      </c>
      <c r="O4" s="25" t="str">
        <f>IF(N4="","",IF(N4=BI4,"(4 Pass)",IF(N4=BJ4,"(2 Pass)")))</f>
        <v>(4 Pass)</v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2018 World Age Groups (Nov 18)</v>
      </c>
      <c r="Q4" s="63">
        <v>28.5</v>
      </c>
      <c r="R4" s="63">
        <v>6</v>
      </c>
      <c r="S4" s="63">
        <v>0</v>
      </c>
      <c r="T4" s="63">
        <v>0</v>
      </c>
      <c r="U4" s="63">
        <v>28.1</v>
      </c>
      <c r="V4" s="63">
        <v>4.8</v>
      </c>
      <c r="W4" s="63">
        <v>0</v>
      </c>
      <c r="X4" s="63">
        <v>0</v>
      </c>
      <c r="Y4" s="63">
        <v>28.2</v>
      </c>
      <c r="Z4" s="63">
        <v>4.8</v>
      </c>
      <c r="AA4" s="63">
        <v>0</v>
      </c>
      <c r="AB4" s="63">
        <v>0</v>
      </c>
      <c r="AC4" s="63">
        <v>20.8</v>
      </c>
      <c r="AD4" s="63">
        <v>0.7</v>
      </c>
      <c r="AE4" s="63">
        <v>0</v>
      </c>
      <c r="AF4" s="63">
        <v>0</v>
      </c>
      <c r="AG4" s="74"/>
      <c r="AH4" s="12">
        <f>IF(SUM(R4,V4)&gt;0,SUM(R4,V4),"")</f>
        <v>10.8</v>
      </c>
      <c r="AI4" s="12">
        <f>IF(SUM(R4,V4,Z4,AD4)&gt;0,SUM(R4,V4,Z4,AD4),"")</f>
        <v>16.3</v>
      </c>
      <c r="AJ4" s="12">
        <f>IF(SUM(Q4:R4,T4:V4,X4)-SUM(S4,W4)&gt;0,SUM(Q4:R4,T4:V4,X4)-SUM(S4,W4),"")</f>
        <v>67.400000000000006</v>
      </c>
      <c r="AK4" s="12">
        <f>IF(SUM(Y4:Z4,AB4:AD4,AF4)-SUM(AA4,AE4)&gt;0,SUM(Y4:Z4,AB4:AD4,AF4)-SUM(AA4,AE4),"")</f>
        <v>54.5</v>
      </c>
      <c r="AL4" s="12">
        <f>IF(SUM(AJ4,AK4)&gt;0,SUM(AJ4,AK4),"")</f>
        <v>121.9</v>
      </c>
      <c r="AM4" s="37">
        <v>28.3</v>
      </c>
      <c r="AN4" s="37">
        <v>6</v>
      </c>
      <c r="AO4" s="37">
        <v>0.9</v>
      </c>
      <c r="AP4" s="37">
        <v>0</v>
      </c>
      <c r="AQ4" s="37">
        <v>28.3</v>
      </c>
      <c r="AR4" s="37">
        <v>5.6</v>
      </c>
      <c r="AS4" s="37">
        <v>0.9</v>
      </c>
      <c r="AT4" s="37">
        <v>0</v>
      </c>
      <c r="AU4" s="37">
        <v>28.5</v>
      </c>
      <c r="AV4" s="37">
        <v>4.8</v>
      </c>
      <c r="AW4" s="37">
        <v>0</v>
      </c>
      <c r="AX4" s="37">
        <v>0</v>
      </c>
      <c r="AY4" s="37">
        <v>0</v>
      </c>
      <c r="AZ4" s="37">
        <v>0</v>
      </c>
      <c r="BA4" s="37">
        <v>0</v>
      </c>
      <c r="BB4" s="37">
        <v>0</v>
      </c>
      <c r="BC4" s="75"/>
      <c r="BD4" s="15">
        <f>IF(SUM(AN4,AR4)&gt;0,SUM(AN4,AR4),"")</f>
        <v>11.6</v>
      </c>
      <c r="BE4" s="15">
        <f>IF(SUM(AN4,AR4,AV4,AZ4)&gt;0,SUM(AN4,AR4,AV4,AZ4),"")</f>
        <v>16.399999999999999</v>
      </c>
      <c r="BF4" s="15">
        <f>IF(SUM(AM4:AN4,AP4:AR4,AT4)-SUM(AO4,AS4)&gt;0,SUM(AM4:AN4,AP4:AR4,AT4)-SUM(AO4,AS4),"")</f>
        <v>66.399999999999991</v>
      </c>
      <c r="BG4" s="15">
        <f>IF(SUM(AU4:AV4,AX4:AZ4,BB4)-SUM(AW4,BA4)&gt;0,SUM(AU4:AV4,AX4:AZ4,BB4)-SUM(AW4,BA4),"")</f>
        <v>33.299999999999997</v>
      </c>
      <c r="BH4" s="15">
        <f>IF(SUM(BF4,BG4)&gt;0,SUM(BF4,BG4),"")</f>
        <v>99.699999999999989</v>
      </c>
      <c r="BI4" s="24">
        <f>IF(MAX(CE4,CZ4,DU4,EP4,FK4,GF4,HA4,HV4,IQ4,JL4,KG4,LB4)-IF(J4="",0,J4)&gt;0.001,MAX(CE4,CZ4,DU4,EP4,FK4,GF4,HA4,HV4,IQ4,JL4,KG4,LB4)-IF(J4="",0,J4),"")</f>
        <v>9.9999999999999716</v>
      </c>
      <c r="BJ4" s="24" t="str">
        <f>IF(MAX(CC4,CD4,CX4,CY4,DS4,DT4,EN4,EO4,FI4,FJ4,GD4,GE4,GY4,GZ4,HT4,HU4,IO4,IP4,JJ4,JK4,KE4,KF4,KZ4,LA4)-IF(L4="",0,L4)&gt;0.001,MAX(CC4,CD4,CX4,CY4,DS4,DT4,EN4,EO4,FI4,FJ4,GD4,GE4,GY4,GZ4,HT4,HU4,IO4,IP4,JJ4,JK4,KE4,KF4,KZ4,LA4)-IF(L4="",0,L4),"")</f>
        <v/>
      </c>
      <c r="BK4" s="41">
        <v>27.4</v>
      </c>
      <c r="BL4" s="41">
        <v>6</v>
      </c>
      <c r="BM4" s="41">
        <v>0.9</v>
      </c>
      <c r="BN4" s="41">
        <v>0</v>
      </c>
      <c r="BO4" s="41">
        <v>28</v>
      </c>
      <c r="BP4" s="41">
        <v>5.6</v>
      </c>
      <c r="BQ4" s="41">
        <v>0</v>
      </c>
      <c r="BR4" s="41">
        <v>0</v>
      </c>
      <c r="BS4" s="41">
        <v>28.3</v>
      </c>
      <c r="BT4" s="41">
        <v>4.8</v>
      </c>
      <c r="BU4" s="41">
        <v>0.3</v>
      </c>
      <c r="BV4" s="41">
        <v>0</v>
      </c>
      <c r="BW4" s="41">
        <v>28.2</v>
      </c>
      <c r="BX4" s="41">
        <v>4.8</v>
      </c>
      <c r="BY4" s="41">
        <v>0</v>
      </c>
      <c r="BZ4" s="41">
        <v>0</v>
      </c>
      <c r="CA4" s="12">
        <f>IF(SUM(BL4,BP4)&gt;0,SUM(BL4,BP4),"")</f>
        <v>11.6</v>
      </c>
      <c r="CB4" s="12">
        <f>IF(SUM(BL4,BP4,BT4,BX4)&gt;0,SUM(BL4,BP4,BT4,BX4),"")</f>
        <v>21.2</v>
      </c>
      <c r="CC4" s="12">
        <f>IF(SUM(BK4:BL4,BN4:BP4,BR4)-SUM(BM4,BQ4)&gt;0,SUM(BK4:BL4,BN4:BP4,BR4)-SUM(BM4,BQ4),"")</f>
        <v>66.099999999999994</v>
      </c>
      <c r="CD4" s="12">
        <f>IF(SUM(BS4:BT4,BV4:BX4,BZ4)-SUM(BU4,BY4)&gt;0,SUM(BS4:BT4,BV4:BX4,BZ4)-SUM(BU4,BY4),"")</f>
        <v>65.8</v>
      </c>
      <c r="CE4" s="12">
        <f>IF(SUM(CC4,CD4)&gt;0,SUM(CC4,CD4),"")</f>
        <v>131.89999999999998</v>
      </c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15" t="str">
        <f>IF(SUM(CG4,CK4)&gt;0,SUM(CG4,CK4),"")</f>
        <v/>
      </c>
      <c r="CW4" s="15" t="str">
        <f>IF(SUM(CG4,CK4,CO4,CS4)&gt;0,SUM(CG4,CK4,CO4,CS4),"")</f>
        <v/>
      </c>
      <c r="CX4" s="15" t="str">
        <f>IF(SUM(CF4:CG4,CI4:CK4,CM4)-SUM(CH4,CL4)&gt;0,SUM(CF4:CG4,CI4:CK4,CM4)-SUM(CH4,CL4),"")</f>
        <v/>
      </c>
      <c r="CY4" s="15" t="str">
        <f>IF(SUM(CN4:CO4,CQ4:CS4,CU4)-SUM(CP4,CT4)&gt;0,SUM(CN4:CO4,CQ4:CS4,CU4)-SUM(CP4,CT4),"")</f>
        <v/>
      </c>
      <c r="CZ4" s="15" t="str">
        <f>IF(SUM(CX4,CY4)&gt;0,SUM(CX4,CY4),"")</f>
        <v/>
      </c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12" t="str">
        <f>IF(SUM(DB4,DF4)&gt;0,SUM(DB4,DF4),"")</f>
        <v/>
      </c>
      <c r="DR4" s="12" t="str">
        <f>IF(SUM(DB4,DF4,DJ4,DN4)&gt;0,SUM(DB4,DF4,DJ4,DN4),"")</f>
        <v/>
      </c>
      <c r="DS4" s="12" t="str">
        <f>IF(SUM(DA4:DB4,DD4:DF4,DH4)-SUM(DC4,DG4)&gt;0,SUM(DA4:DB4,DD4:DF4,DH4)-SUM(DC4,DG4),"")</f>
        <v/>
      </c>
      <c r="DT4" s="12" t="str">
        <f>IF(SUM(DI4:DJ4,DL4:DN4,DP4)-SUM(DK4,DO4)&gt;0,SUM(DI4:DJ4,DL4:DN4,DP4)-SUM(DK4,DO4),"")</f>
        <v/>
      </c>
      <c r="DU4" s="12" t="str">
        <f>IF(SUM(DS4,DT4)&gt;0,SUM(DS4,DT4),"")</f>
        <v/>
      </c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63">
        <f>IF($BC4="P",AM4,(Q4+AM4)/2)</f>
        <v>28.4</v>
      </c>
      <c r="LD4" s="63">
        <f t="shared" ref="LD4:LR8" si="0">IF($BC4="P",AN4,(R4+AN4)/2)</f>
        <v>6</v>
      </c>
      <c r="LE4" s="63">
        <f t="shared" si="0"/>
        <v>0.45</v>
      </c>
      <c r="LF4" s="63">
        <f t="shared" si="0"/>
        <v>0</v>
      </c>
      <c r="LG4" s="63">
        <f t="shared" si="0"/>
        <v>28.200000000000003</v>
      </c>
      <c r="LH4" s="63">
        <f t="shared" si="0"/>
        <v>5.1999999999999993</v>
      </c>
      <c r="LI4" s="63">
        <f t="shared" si="0"/>
        <v>0.45</v>
      </c>
      <c r="LJ4" s="63">
        <f t="shared" si="0"/>
        <v>0</v>
      </c>
      <c r="LK4" s="63">
        <f t="shared" si="0"/>
        <v>28.35</v>
      </c>
      <c r="LL4" s="63">
        <f t="shared" si="0"/>
        <v>4.8</v>
      </c>
      <c r="LM4" s="63">
        <f t="shared" si="0"/>
        <v>0</v>
      </c>
      <c r="LN4" s="63">
        <f t="shared" si="0"/>
        <v>0</v>
      </c>
      <c r="LO4" s="63">
        <f t="shared" si="0"/>
        <v>10.4</v>
      </c>
      <c r="LP4" s="63">
        <f t="shared" si="0"/>
        <v>0.35</v>
      </c>
      <c r="LQ4" s="63">
        <f t="shared" si="0"/>
        <v>0</v>
      </c>
      <c r="LR4" s="63">
        <f t="shared" si="0"/>
        <v>0</v>
      </c>
      <c r="LS4" s="74" t="s">
        <v>119</v>
      </c>
      <c r="LT4" s="12">
        <f t="shared" ref="LT4" si="1">IF(SUM(LD4,LH4)&gt;0,SUM(LD4,LH4),"")</f>
        <v>11.2</v>
      </c>
      <c r="LU4" s="12">
        <f t="shared" ref="LU4" si="2">IF(SUM(LD4,LH4,LL4,LP4)&gt;0,SUM(LD4,LH4,LL4,LP4),"")</f>
        <v>16.350000000000001</v>
      </c>
      <c r="LV4" s="12">
        <f t="shared" ref="LV4" si="3">IF(SUM(LC4:LD4,LF4:LH4,LJ4)-SUM(LE4,LI4)&gt;0,SUM(LC4:LD4,LF4:LH4,LJ4)-SUM(LE4,LI4),"")</f>
        <v>66.899999999999991</v>
      </c>
      <c r="LW4" s="12">
        <f t="shared" ref="LW4" si="4">IF(SUM(LK4:LL4,LN4:LP4,LR4)-SUM(LM4,LQ4)&gt;0,SUM(LK4:LL4,LN4:LP4,LR4)-SUM(LM4,LQ4),"")</f>
        <v>43.9</v>
      </c>
      <c r="LX4" s="12">
        <f t="shared" ref="LX4" si="5">IF(SUM(LV4,LW4)&gt;0,SUM(LV4,LW4),"")</f>
        <v>110.79999999999998</v>
      </c>
    </row>
    <row r="5" spans="1:336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9" t="s">
        <v>128</v>
      </c>
      <c r="C5" s="5" t="s">
        <v>5</v>
      </c>
      <c r="D5" s="6">
        <v>2001</v>
      </c>
      <c r="E5" s="16">
        <f>SUM(J5:N5)</f>
        <v>191.5</v>
      </c>
      <c r="F5" s="4" t="str">
        <f>IF(OR(AND(AH5&gt;=AK$11,AJ5&gt;=AK$14,AJ5&lt;&gt;"",AG5=""),AND(BD5&gt;=BG$11,BF5&gt;=BG$14,BF5&lt;&gt;"",BC5=""),AND(CA5&gt;=CD$11,CC5&gt;=CD$14,CC5&lt;&gt;""),AND(CV5&gt;=CY$11,CX5&gt;=CY$14,CX5&lt;&gt;""),AND(DQ5&gt;=DT$11,DS5&gt;=DT$14,DS5&lt;&gt;""),AND(EL5&gt;=EO$11,EN5&gt;=EO$14,EN5&lt;&gt;""),AND(FG5&gt;=FJ$11,FI5&gt;=FJ$14,FI5&lt;&gt;""),AND(GB5&gt;=GE$11,GD5&gt;=GE$14,GD5&lt;&gt;""),AND(GW5&gt;=GZ$11,GY5&gt;=GZ$14,GY5&lt;&gt;""),AND(HR5&gt;=HU$11,HT5&gt;=HU$14,HT5&lt;&gt;""),AND(IM5&gt;=IP$11,IO5&gt;=IP$14,IO5&lt;&gt;""),AND(JH5&gt;=JK$11,JJ5&gt;=JK$14,JJ5&lt;&gt;""),AND(KC5&gt;=KF$11,KE5&gt;=KF$14,KE5&lt;&gt;""),AND(KX5&gt;=LA$11,KZ5&gt;=LA$14,KZ5&lt;&gt;"")),"P","")</f>
        <v>P</v>
      </c>
      <c r="G5" s="4" t="str">
        <f>IF(OR(AND(AH5&gt;=AK$12,AJ5&gt;=AK$15,AJ5&lt;&gt;"",AG5=""),AND(BD5&gt;=BG$12,BF5&gt;=BG$15,BF5&lt;&gt;"",BC5=""),AND(CA5&gt;=CD$12,CC5&gt;=CD$15,CC5&lt;&gt;""),AND(CV5&gt;=CY$12,CX5&gt;=CY$15,CX5&lt;&gt;""),AND(DQ5&gt;=DT$12,DS5&gt;=DT$15,DS5&lt;&gt;""),AND(EL5&gt;=EO$12,EN5&gt;=EO$15,EN5&lt;&gt;""),AND(FG5&gt;=FJ$12,FI5&gt;=FJ$15,FI5&lt;&gt;""),AND(GB5&gt;=GE$12,GD5&gt;=GE$15,GD5&lt;&gt;""),AND(GW5&gt;=GZ$12,GY5&gt;=GZ$15,GY5&lt;&gt;""),AND(HR5&gt;=HU$12,HT5&gt;=HU$15,HT5&lt;&gt;""),AND(IM5&gt;=IP$12,IO5&gt;=IP$15,IO5&lt;&gt;""),AND(JH5&gt;=JK$12,JJ5&gt;=JK$15,JJ5&lt;&gt;""),AND(KC5&gt;=KF$12,KE5&gt;=KF$15,KE5&lt;&gt;""),AND(KX5&gt;=LA$12,KZ5&gt;=LA$15,KZ5&lt;&gt;"")),"P","")</f>
        <v/>
      </c>
      <c r="H5" s="4" t="str">
        <f>IF(OR(AND(AJ5&gt;=AK$14,AJ5&lt;&gt;"",AG5=""),AND(BF5&gt;=BG$14,BF5&lt;&gt;"",BC5=""),AND(CC5&gt;=CD$14,CC5&lt;&gt;""),AND(CX5&gt;=CY$14,CX5&lt;&gt;""),AND(DS5&gt;=DT$14,DS5&lt;&gt;""),AND(EN5&gt;=EO$14,EN5&lt;&gt;""),AND(FI5&gt;=FJ$14,FI5&lt;&gt;""),AND(GD5&gt;=GE$14,GD5&lt;&gt;""),AND(GY5&gt;=GZ$14,GY5&lt;&gt;""),AND(HT5&gt;=HU$14,HT5&lt;&gt;""),AND(IO5&gt;=IP$14,IO5&lt;&gt;""),AND(JJ5&gt;=JK$14,JJ5&lt;&gt;""),AND(KE5&gt;=KF$14,KE5&lt;&gt;""),AND(KZ5&gt;=LA$14,KZ5&lt;&gt;"")),"P","")</f>
        <v>P</v>
      </c>
      <c r="I5" t="str">
        <f>IF(AND(H5="P",F5=""),"No DD",IF(OR(AND(AI5&gt;=AK$13,AI5&lt;&gt;"",AL5&gt;=AK$17,AL5&lt;&gt;"",AG5=""),AND(BE5&gt;=BG$13,BE5&lt;&gt;"",BH5&gt;=BG$17,BH5&lt;&gt;"",BC5=""),AND(CB5&gt;=CD$13,CB5&lt;&gt;"",CE5&gt;=CD$17,CE5&lt;&gt;""),AND(CW5&gt;=CY$13,CW5&lt;&gt;"",CZ5&gt;=CY$17,CZ5&lt;&gt;""),AND(DR5&gt;=DT$13,DR5&lt;&gt;"",DU5&gt;=DT$17,DU5&lt;&gt;""),AND(EM5&gt;=EO$13,EM5&lt;&gt;"",EP5&gt;=EO$17,EP5&lt;&gt;""),AND(FH5&gt;=FJ$13,FH5&lt;&gt;"",FK5&gt;=FJ$17,FK5&lt;&gt;""),AND(GC5&gt;=GE$13,GC5&lt;&gt;"",GF5&gt;=GE$17,GF5&lt;&gt;""),AND(GX5&gt;=GZ$13,GX5&lt;&gt;"",HA5&gt;=GZ$17,HA5&lt;&gt;""),AND(HS5&gt;=HU$13,HS5&lt;&gt;"",HV5&gt;=HU$17,HV5&lt;&gt;""),AND(IN5&gt;=IP$13,IN5&lt;&gt;"",IQ5&gt;=IP$17,IQ5&lt;&gt;""),AND(JI5&gt;=JK$13,JI5&lt;&gt;"",JL5&gt;=JK$17,JL5&lt;&gt;""),AND(KD5&gt;=KF$13,KD5&lt;&gt;"",KG5&gt;=KF$17,KG5&lt;&gt;""),AND(KY5&gt;=LA$13,KY5&lt;&gt;"",LB5&gt;=LA$17,LB5&lt;&gt;"")),"Merit",IF(OR(AND(AI5&gt;=AK$13,AI5&lt;&gt;"",AL5&gt;=AK$16,AL5&lt;&gt;"",AG5=""),AND(BE5&gt;=BG$13,BE5&lt;&gt;"",BH5&gt;=BG$16,BH5&lt;&gt;"",BC5=""),AND(CB5&gt;=CD$13,CB5&lt;&gt;"",CE5&gt;=CD$16,CE5&lt;&gt;""),AND(CW5&gt;=CY$13,CW5&lt;&gt;"",CZ5&gt;=CY$16,CZ5&lt;&gt;""),AND(DR5&gt;=DT$13,DR5&lt;&gt;"",DU5&gt;=DT$16,DU5&lt;&gt;""),AND(EM5&gt;=EO$13,EM5&lt;&gt;"",EP5&gt;=EO$16,EP5&lt;&gt;""),AND(FH5&gt;=FJ$13,FH5&lt;&gt;"",FK5&gt;=FJ$16,FK5&lt;&gt;""),AND(GC5&gt;=GE$13,GC5&lt;&gt;"",GF5&gt;=GE$16,GF5&lt;&gt;""),AND(GX5&gt;=GZ$13,GX5&lt;&gt;"",HA5&gt;=GZ$16,HA5&lt;&gt;""),AND(HS5&gt;=HU$13,HS5&lt;&gt;"",HV5&gt;=HU$16,HV5&lt;&gt;""),AND(IN5&gt;=IP$13,IN5&lt;&gt;"",IQ5&gt;=IP$16,IQ5&lt;&gt;""),AND(JI5&gt;=JK$13,JI5&lt;&gt;"",JL5&gt;=JK$16,JL5&lt;&gt;""),AND(KD5&gt;=KF$13,KD5&lt;&gt;"",KG5&gt;=KF$16,KG5&lt;&gt;""),AND(KY5&gt;=LA$13,KY5&lt;&gt;"",LB5&gt;=LA$16,LB5&lt;&gt;"")),"Excellence",IF(OR(AND(AH5&gt;=AK$12,AH5&lt;&gt;"",AJ5&gt;=AK$15,AJ5&lt;&gt;"",AG5=""),AND(BD5&gt;=BG$12,BD5&lt;&gt;"",BF5&gt;=BG$15,BF5&lt;&gt;"",BC5=""),AND(CA5&gt;=CD$12,CA5&lt;&gt;"",CC5&gt;=CD$15,CC5&lt;&gt;""),AND(CV5&gt;=CY$12,CV5&lt;&gt;"",CX5&gt;=CY$15,CX5&lt;&gt;""),AND(DQ5&gt;=DT$12,DQ5&lt;&gt;"",DS5&gt;=DT$15,DS5&lt;&gt;""),AND(EL5&gt;=EO$12,EL5&lt;&gt;"",EN5&gt;=EO$15,EN5&lt;&gt;""),AND(FG5&gt;=FJ$12,FG5&lt;&gt;"",FI5&gt;=FJ$15,FI5&lt;&gt;""),AND(GB5&gt;=GE$12,GB5&lt;&gt;"",GD5&gt;=GE$15,GD5&lt;&gt;""),AND(GW5&gt;=GZ$12,GW5&lt;&gt;"",GY5&gt;=GZ$15,GY5&lt;&gt;""),AND(HR5&gt;=HU$12,HR5&lt;&gt;"",HT5&gt;=HU$15,HT5&lt;&gt;""),AND(IM5&gt;=IP$12,IM5&lt;&gt;"",IO5&gt;=IP$15,IO5&lt;&gt;""),AND(JH5&gt;=JK$12,JH5&lt;&gt;"",JJ5&gt;=JK$15,JJ5&lt;&gt;""),AND(KC5&gt;=KF$12,KC5&lt;&gt;"",KE5&gt;=KF$15,KE5&lt;&gt;""),AND(KX5&gt;=LA$12,KX5&lt;&gt;"",KZ5&gt;=LA$15,KZ5&lt;&gt;"")),"Worlds Team",IF(OR(AND(AH5&gt;=AK$11,AH5&lt;&gt;"",AJ5&gt;=AK$14,AJ5&lt;&gt;"",AG5=""),AND(BD5&gt;=BG$11,BD5&lt;&gt;"",BF5&gt;=BG$14,BF5&lt;&gt;"",BC5=""),AND(CA5&gt;=CD$11,CA5&lt;&gt;"",CC5&gt;=CD$14,CC5&lt;&gt;""),AND(CV5&gt;=CY$11,CV5&lt;&gt;"",CX5&gt;=CY$14,CX5&lt;&gt;""),AND(DQ5&gt;=DT$11,DQ5&lt;&gt;"",DS5&gt;=DT$14,DS5&lt;&gt;""),AND(EL5&gt;=EO$11,EL5&lt;&gt;"",EN5&gt;=EO$14,EN5&lt;&gt;""),AND(FG5&gt;=FJ$11,FG5&lt;&gt;"",FI5&gt;=FJ$14,FI5&lt;&gt;""),AND(GB5&gt;=GE$11,GB5&lt;&gt;"",GD5&gt;=GE$14,GD5&lt;&gt;""),AND(GW5&gt;=GZ$11,GW5&lt;&gt;"",GY5&gt;=GZ$14,GY5&lt;&gt;""),AND(HR5&gt;=HU$11,HR5&lt;&gt;"",HT5&gt;=HU$14,HT5&lt;&gt;""),AND(IM5&gt;=IP$11,IM5&lt;&gt;"",IO5&gt;=IP$14,IO5&lt;&gt;""),AND(JH5&gt;=JK$11,JH5&lt;&gt;"",JJ5&gt;=JK$14,JJ5&lt;&gt;""),AND(KC5&gt;=KF$11,KC5&lt;&gt;"",KE5&gt;=KF$14,KE5&lt;&gt;""),AND(KX5&gt;=LA$11,KX5&lt;&gt;"",KZ5&gt;=LA$14,KZ5&lt;&gt;"")),"National Team","")))))</f>
        <v>National Team</v>
      </c>
      <c r="J5" s="15">
        <f>IF(MAX(AL5,BH5)&gt;0,MAX(AL5,BH5),"")</f>
        <v>125.39999999999999</v>
      </c>
      <c r="K5" s="15" t="str">
        <f>IF(J5="","",IF(J5=BH5,$AM$1,IF(J5=AL5,$Q$1,"")))</f>
        <v>2019 Elite Canada</v>
      </c>
      <c r="L5" s="15">
        <f>IF(J5=AL5,IF(MAX(BF5,BG5)&gt;0,MAX(BF5,BG5),""),IF(J5=BH5,IF(MAX(AJ5,AK5)&gt;0,MAX(AJ5,AK5),""),MAX(AJ5,AK5,BF5,BG5)))</f>
        <v>66.099999999999994</v>
      </c>
      <c r="M5" s="15" t="str">
        <f>IF(L5="","",IF(AND(J5&lt;&gt;BH5,OR(L5=BG5,L5=BF5)),$AM$1,IF(OR(L5=AK5,L5=AJ5),$Q$1,"")))</f>
        <v>2018 Nationals</v>
      </c>
      <c r="N5" s="15" t="str">
        <f>IF(MAX(BI5:BJ5)&gt;0,MAX(BI5:BJ5),"")</f>
        <v/>
      </c>
      <c r="O5" s="25" t="str">
        <f>IF(N5="","",IF(N5=BI5,"(4 Pass)",IF(N5=BJ5,"(2 Pass)")))</f>
        <v/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/>
      </c>
      <c r="Q5" s="63">
        <v>28.5</v>
      </c>
      <c r="R5" s="63">
        <v>4.8</v>
      </c>
      <c r="S5" s="63">
        <v>0</v>
      </c>
      <c r="T5" s="63">
        <v>0.5</v>
      </c>
      <c r="U5" s="63">
        <v>27.5</v>
      </c>
      <c r="V5" s="63">
        <v>4.8</v>
      </c>
      <c r="W5" s="63">
        <v>0</v>
      </c>
      <c r="X5" s="63">
        <v>0</v>
      </c>
      <c r="Y5" s="63">
        <v>26.8</v>
      </c>
      <c r="Z5" s="63">
        <v>4.8</v>
      </c>
      <c r="AA5" s="63">
        <v>0.9</v>
      </c>
      <c r="AB5" s="63">
        <v>0</v>
      </c>
      <c r="AC5" s="63">
        <v>27.8</v>
      </c>
      <c r="AD5" s="63">
        <v>5.2</v>
      </c>
      <c r="AE5" s="63">
        <v>0</v>
      </c>
      <c r="AF5" s="63">
        <v>0</v>
      </c>
      <c r="AG5" s="74"/>
      <c r="AH5" s="12">
        <f>IF(SUM(R5,V5)&gt;0,SUM(R5,V5),"")</f>
        <v>9.6</v>
      </c>
      <c r="AI5" s="12">
        <f>IF(SUM(R5,V5,Z5,AD5)&gt;0,SUM(R5,V5,Z5,AD5),"")</f>
        <v>19.599999999999998</v>
      </c>
      <c r="AJ5" s="12">
        <f>IF(SUM(Q5:R5,T5:V5,X5)-SUM(S5,W5)&gt;0,SUM(Q5:R5,T5:V5,X5)-SUM(S5,W5),"")</f>
        <v>66.099999999999994</v>
      </c>
      <c r="AK5" s="12">
        <f>IF(SUM(Y5:Z5,AB5:AD5,AF5)-SUM(AA5,AE5)&gt;0,SUM(Y5:Z5,AB5:AD5,AF5)-SUM(AA5,AE5),"")</f>
        <v>63.70000000000001</v>
      </c>
      <c r="AL5" s="12"/>
      <c r="AM5" s="37">
        <v>26.6</v>
      </c>
      <c r="AN5" s="37">
        <v>4.8</v>
      </c>
      <c r="AO5" s="37">
        <v>0.9</v>
      </c>
      <c r="AP5" s="37">
        <v>0</v>
      </c>
      <c r="AQ5" s="37">
        <v>27.3</v>
      </c>
      <c r="AR5" s="37">
        <v>5.6</v>
      </c>
      <c r="AS5" s="37">
        <v>0</v>
      </c>
      <c r="AT5" s="37">
        <v>0</v>
      </c>
      <c r="AU5" s="37">
        <v>27.9</v>
      </c>
      <c r="AV5" s="37">
        <v>3.7</v>
      </c>
      <c r="AW5" s="37">
        <v>1.2</v>
      </c>
      <c r="AX5" s="37">
        <v>0</v>
      </c>
      <c r="AY5" s="37">
        <v>27.7</v>
      </c>
      <c r="AZ5" s="37">
        <v>4.8</v>
      </c>
      <c r="BA5" s="37">
        <v>0.9</v>
      </c>
      <c r="BB5" s="37">
        <v>0</v>
      </c>
      <c r="BC5" s="75"/>
      <c r="BD5" s="15">
        <f>IF(SUM(AN5,AR5)&gt;0,SUM(AN5,AR5),"")</f>
        <v>10.399999999999999</v>
      </c>
      <c r="BE5" s="15">
        <f>IF(SUM(AN5,AR5,AV5,AZ5)&gt;0,SUM(AN5,AR5,AV5,AZ5),"")</f>
        <v>18.899999999999999</v>
      </c>
      <c r="BF5" s="15">
        <f>IF(SUM(AM5:AN5,AP5:AR5,AT5)-SUM(AO5,AS5)&gt;0,SUM(AM5:AN5,AP5:AR5,AT5)-SUM(AO5,AS5),"")</f>
        <v>63.4</v>
      </c>
      <c r="BG5" s="15">
        <f>IF(SUM(AU5:AV5,AX5:AZ5,BB5)-SUM(AW5,BA5)&gt;0,SUM(AU5:AV5,AX5:AZ5,BB5)-SUM(AW5,BA5),"")</f>
        <v>61.999999999999993</v>
      </c>
      <c r="BH5" s="15">
        <f>IF(SUM(BF5,BG5)&gt;0,SUM(BF5,BG5),"")</f>
        <v>125.39999999999999</v>
      </c>
      <c r="BI5" s="24"/>
      <c r="BJ5" s="24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>
        <v>0</v>
      </c>
      <c r="BZ5" s="41">
        <v>0</v>
      </c>
      <c r="CA5" s="12" t="str">
        <f>IF(SUM(BL5,BP5)&gt;0,SUM(BL5,BP5),"")</f>
        <v/>
      </c>
      <c r="CB5" s="12" t="str">
        <f>IF(SUM(BL5,BP5,BT5,BX5)&gt;0,SUM(BL5,BP5,BT5,BX5),"")</f>
        <v/>
      </c>
      <c r="CC5" s="12"/>
      <c r="CD5" s="12"/>
      <c r="CE5" s="12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15" t="str">
        <f>IF(SUM(CG5,CK5)&gt;0,SUM(CG5,CK5),"")</f>
        <v/>
      </c>
      <c r="CW5" s="15"/>
      <c r="CX5" s="15"/>
      <c r="CY5" s="15"/>
      <c r="CZ5" s="15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12"/>
      <c r="DR5" s="12"/>
      <c r="DS5" s="12"/>
      <c r="DT5" s="12"/>
      <c r="DU5" s="12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15"/>
      <c r="EM5" s="15"/>
      <c r="EN5" s="15"/>
      <c r="EO5" s="15"/>
      <c r="EP5" s="15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12"/>
      <c r="FH5" s="12"/>
      <c r="FI5" s="12"/>
      <c r="FJ5" s="12"/>
      <c r="FK5" s="12"/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15"/>
      <c r="GC5" s="15"/>
      <c r="GD5" s="15"/>
      <c r="GE5" s="15"/>
      <c r="GF5" s="15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12"/>
      <c r="GX5" s="12"/>
      <c r="GY5" s="12"/>
      <c r="GZ5" s="12"/>
      <c r="HA5" s="12"/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15"/>
      <c r="HS5" s="15"/>
      <c r="HT5" s="15"/>
      <c r="HU5" s="15"/>
      <c r="HV5" s="15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12"/>
      <c r="IN5" s="12"/>
      <c r="IO5" s="12"/>
      <c r="IP5" s="12"/>
      <c r="IQ5" s="12"/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15"/>
      <c r="JI5" s="15"/>
      <c r="JJ5" s="15"/>
      <c r="JK5" s="15"/>
      <c r="JL5" s="15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12"/>
      <c r="KD5" s="12"/>
      <c r="KE5" s="12"/>
      <c r="KF5" s="12"/>
      <c r="KG5" s="12"/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63">
        <f t="shared" ref="LC5:LC8" si="6">IF($BC5="P",AM5,(Q5+AM5)/2)</f>
        <v>27.55</v>
      </c>
      <c r="LD5" s="63">
        <f t="shared" si="0"/>
        <v>4.8</v>
      </c>
      <c r="LE5" s="63">
        <f t="shared" si="0"/>
        <v>0.45</v>
      </c>
      <c r="LF5" s="63">
        <f t="shared" si="0"/>
        <v>0.25</v>
      </c>
      <c r="LG5" s="63">
        <f t="shared" si="0"/>
        <v>27.4</v>
      </c>
      <c r="LH5" s="63">
        <f t="shared" si="0"/>
        <v>5.1999999999999993</v>
      </c>
      <c r="LI5" s="63">
        <f t="shared" si="0"/>
        <v>0</v>
      </c>
      <c r="LJ5" s="63">
        <f t="shared" si="0"/>
        <v>0</v>
      </c>
      <c r="LK5" s="63">
        <f t="shared" si="0"/>
        <v>27.35</v>
      </c>
      <c r="LL5" s="63">
        <f t="shared" si="0"/>
        <v>4.25</v>
      </c>
      <c r="LM5" s="63">
        <f t="shared" si="0"/>
        <v>1.05</v>
      </c>
      <c r="LN5" s="63">
        <f t="shared" si="0"/>
        <v>0</v>
      </c>
      <c r="LO5" s="63">
        <f t="shared" si="0"/>
        <v>27.75</v>
      </c>
      <c r="LP5" s="63">
        <f t="shared" si="0"/>
        <v>5</v>
      </c>
      <c r="LQ5" s="63">
        <f t="shared" si="0"/>
        <v>0.45</v>
      </c>
      <c r="LR5" s="63">
        <f t="shared" si="0"/>
        <v>0</v>
      </c>
      <c r="LS5" s="74" t="s">
        <v>119</v>
      </c>
      <c r="LT5" s="12">
        <f t="shared" ref="LT5" si="7">IF(SUM(LD5,LH5)&gt;0,SUM(LD5,LH5),"")</f>
        <v>10</v>
      </c>
      <c r="LU5" s="12">
        <f t="shared" ref="LU5" si="8">IF(SUM(LD5,LH5,LL5,LP5)&gt;0,SUM(LD5,LH5,LL5,LP5),"")</f>
        <v>19.25</v>
      </c>
      <c r="LV5" s="12">
        <f t="shared" ref="LV5" si="9">IF(SUM(LC5:LD5,LF5:LH5,LJ5)-SUM(LE5,LI5)&gt;0,SUM(LC5:LD5,LF5:LH5,LJ5)-SUM(LE5,LI5),"")</f>
        <v>64.75</v>
      </c>
      <c r="LW5" s="12">
        <f t="shared" ref="LW5" si="10">IF(SUM(LK5:LL5,LN5:LP5,LR5)-SUM(LM5,LQ5)&gt;0,SUM(LK5:LL5,LN5:LP5,LR5)-SUM(LM5,LQ5),"")</f>
        <v>62.849999999999994</v>
      </c>
      <c r="LX5" s="12">
        <f t="shared" ref="LX5" si="11">IF(SUM(LV5,LW5)&gt;0,SUM(LV5,LW5),"")</f>
        <v>127.6</v>
      </c>
    </row>
    <row r="6" spans="1:336" x14ac:dyDescent="0.2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9" t="s">
        <v>124</v>
      </c>
      <c r="C6" s="5" t="s">
        <v>4</v>
      </c>
      <c r="D6" s="6">
        <v>2001</v>
      </c>
      <c r="E6" s="16">
        <f>SUM(J6:N6)</f>
        <v>188.1</v>
      </c>
      <c r="F6" s="4" t="str">
        <f>IF(OR(AND(AH6&gt;=AK$11,AJ6&gt;=AK$14,AJ6&lt;&gt;"",AG6=""),AND(BD6&gt;=BG$11,BF6&gt;=BG$14,BF6&lt;&gt;"",BC6=""),AND(CA6&gt;=CD$11,CC6&gt;=CD$14,CC6&lt;&gt;""),AND(CV6&gt;=CY$11,CX6&gt;=CY$14,CX6&lt;&gt;""),AND(DQ6&gt;=DT$11,DS6&gt;=DT$14,DS6&lt;&gt;""),AND(EL6&gt;=EO$11,EN6&gt;=EO$14,EN6&lt;&gt;""),AND(FG6&gt;=FJ$11,FI6&gt;=FJ$14,FI6&lt;&gt;""),AND(GB6&gt;=GE$11,GD6&gt;=GE$14,GD6&lt;&gt;""),AND(GW6&gt;=GZ$11,GY6&gt;=GZ$14,GY6&lt;&gt;""),AND(HR6&gt;=HU$11,HT6&gt;=HU$14,HT6&lt;&gt;""),AND(IM6&gt;=IP$11,IO6&gt;=IP$14,IO6&lt;&gt;""),AND(JH6&gt;=JK$11,JJ6&gt;=JK$14,JJ6&lt;&gt;""),AND(KC6&gt;=KF$11,KE6&gt;=KF$14,KE6&lt;&gt;""),AND(KX6&gt;=LA$11,KZ6&gt;=LA$14,KZ6&lt;&gt;"")),"P","")</f>
        <v>P</v>
      </c>
      <c r="G6" s="4" t="str">
        <f>IF(OR(AND(AH6&gt;=AK$12,AJ6&gt;=AK$15,AJ6&lt;&gt;"",AG6=""),AND(BD6&gt;=BG$12,BF6&gt;=BG$15,BF6&lt;&gt;"",BC6=""),AND(CA6&gt;=CD$12,CC6&gt;=CD$15,CC6&lt;&gt;""),AND(CV6&gt;=CY$12,CX6&gt;=CY$15,CX6&lt;&gt;""),AND(DQ6&gt;=DT$12,DS6&gt;=DT$15,DS6&lt;&gt;""),AND(EL6&gt;=EO$12,EN6&gt;=EO$15,EN6&lt;&gt;""),AND(FG6&gt;=FJ$12,FI6&gt;=FJ$15,FI6&lt;&gt;""),AND(GB6&gt;=GE$12,GD6&gt;=GE$15,GD6&lt;&gt;""),AND(GW6&gt;=GZ$12,GY6&gt;=GZ$15,GY6&lt;&gt;""),AND(HR6&gt;=HU$12,HT6&gt;=HU$15,HT6&lt;&gt;""),AND(IM6&gt;=IP$12,IO6&gt;=IP$15,IO6&lt;&gt;""),AND(JH6&gt;=JK$12,JJ6&gt;=JK$15,JJ6&lt;&gt;""),AND(KC6&gt;=KF$12,KE6&gt;=KF$15,KE6&lt;&gt;""),AND(KX6&gt;=LA$12,KZ6&gt;=LA$15,KZ6&lt;&gt;"")),"P","")</f>
        <v/>
      </c>
      <c r="H6" s="4" t="str">
        <f>IF(OR(AND(AJ6&gt;=AK$14,AJ6&lt;&gt;"",AG6=""),AND(BF6&gt;=BG$14,BF6&lt;&gt;"",BC6=""),AND(CC6&gt;=CD$14,CC6&lt;&gt;""),AND(CX6&gt;=CY$14,CX6&lt;&gt;""),AND(DS6&gt;=DT$14,DS6&lt;&gt;""),AND(EN6&gt;=EO$14,EN6&lt;&gt;""),AND(FI6&gt;=FJ$14,FI6&lt;&gt;""),AND(GD6&gt;=GE$14,GD6&lt;&gt;""),AND(GY6&gt;=GZ$14,GY6&lt;&gt;""),AND(HT6&gt;=HU$14,HT6&lt;&gt;""),AND(IO6&gt;=IP$14,IO6&lt;&gt;""),AND(JJ6&gt;=JK$14,JJ6&lt;&gt;""),AND(KE6&gt;=KF$14,KE6&lt;&gt;""),AND(KZ6&gt;=LA$14,KZ6&lt;&gt;"")),"P","")</f>
        <v>P</v>
      </c>
      <c r="I6" t="str">
        <f>IF(AND(H6="P",F6=""),"No DD",IF(OR(AND(AI6&gt;=AK$13,AI6&lt;&gt;"",AL6&gt;=AK$17,AL6&lt;&gt;"",AG6=""),AND(BE6&gt;=BG$13,BE6&lt;&gt;"",BH6&gt;=BG$17,BH6&lt;&gt;"",BC6=""),AND(CB6&gt;=CD$13,CB6&lt;&gt;"",CE6&gt;=CD$17,CE6&lt;&gt;""),AND(CW6&gt;=CY$13,CW6&lt;&gt;"",CZ6&gt;=CY$17,CZ6&lt;&gt;""),AND(DR6&gt;=DT$13,DR6&lt;&gt;"",DU6&gt;=DT$17,DU6&lt;&gt;""),AND(EM6&gt;=EO$13,EM6&lt;&gt;"",EP6&gt;=EO$17,EP6&lt;&gt;""),AND(FH6&gt;=FJ$13,FH6&lt;&gt;"",FK6&gt;=FJ$17,FK6&lt;&gt;""),AND(GC6&gt;=GE$13,GC6&lt;&gt;"",GF6&gt;=GE$17,GF6&lt;&gt;""),AND(GX6&gt;=GZ$13,GX6&lt;&gt;"",HA6&gt;=GZ$17,HA6&lt;&gt;""),AND(HS6&gt;=HU$13,HS6&lt;&gt;"",HV6&gt;=HU$17,HV6&lt;&gt;""),AND(IN6&gt;=IP$13,IN6&lt;&gt;"",IQ6&gt;=IP$17,IQ6&lt;&gt;""),AND(JI6&gt;=JK$13,JI6&lt;&gt;"",JL6&gt;=JK$17,JL6&lt;&gt;""),AND(KD6&gt;=KF$13,KD6&lt;&gt;"",KG6&gt;=KF$17,KG6&lt;&gt;""),AND(KY6&gt;=LA$13,KY6&lt;&gt;"",LB6&gt;=LA$17,LB6&lt;&gt;"")),"Merit",IF(OR(AND(AI6&gt;=AK$13,AI6&lt;&gt;"",AL6&gt;=AK$16,AL6&lt;&gt;"",AG6=""),AND(BE6&gt;=BG$13,BE6&lt;&gt;"",BH6&gt;=BG$16,BH6&lt;&gt;"",BC6=""),AND(CB6&gt;=CD$13,CB6&lt;&gt;"",CE6&gt;=CD$16,CE6&lt;&gt;""),AND(CW6&gt;=CY$13,CW6&lt;&gt;"",CZ6&gt;=CY$16,CZ6&lt;&gt;""),AND(DR6&gt;=DT$13,DR6&lt;&gt;"",DU6&gt;=DT$16,DU6&lt;&gt;""),AND(EM6&gt;=EO$13,EM6&lt;&gt;"",EP6&gt;=EO$16,EP6&lt;&gt;""),AND(FH6&gt;=FJ$13,FH6&lt;&gt;"",FK6&gt;=FJ$16,FK6&lt;&gt;""),AND(GC6&gt;=GE$13,GC6&lt;&gt;"",GF6&gt;=GE$16,GF6&lt;&gt;""),AND(GX6&gt;=GZ$13,GX6&lt;&gt;"",HA6&gt;=GZ$16,HA6&lt;&gt;""),AND(HS6&gt;=HU$13,HS6&lt;&gt;"",HV6&gt;=HU$16,HV6&lt;&gt;""),AND(IN6&gt;=IP$13,IN6&lt;&gt;"",IQ6&gt;=IP$16,IQ6&lt;&gt;""),AND(JI6&gt;=JK$13,JI6&lt;&gt;"",JL6&gt;=JK$16,JL6&lt;&gt;""),AND(KD6&gt;=KF$13,KD6&lt;&gt;"",KG6&gt;=KF$16,KG6&lt;&gt;""),AND(KY6&gt;=LA$13,KY6&lt;&gt;"",LB6&gt;=LA$16,LB6&lt;&gt;"")),"Excellence",IF(OR(AND(AH6&gt;=AK$12,AH6&lt;&gt;"",AJ6&gt;=AK$15,AJ6&lt;&gt;"",AG6=""),AND(BD6&gt;=BG$12,BD6&lt;&gt;"",BF6&gt;=BG$15,BF6&lt;&gt;"",BC6=""),AND(CA6&gt;=CD$12,CA6&lt;&gt;"",CC6&gt;=CD$15,CC6&lt;&gt;""),AND(CV6&gt;=CY$12,CV6&lt;&gt;"",CX6&gt;=CY$15,CX6&lt;&gt;""),AND(DQ6&gt;=DT$12,DQ6&lt;&gt;"",DS6&gt;=DT$15,DS6&lt;&gt;""),AND(EL6&gt;=EO$12,EL6&lt;&gt;"",EN6&gt;=EO$15,EN6&lt;&gt;""),AND(FG6&gt;=FJ$12,FG6&lt;&gt;"",FI6&gt;=FJ$15,FI6&lt;&gt;""),AND(GB6&gt;=GE$12,GB6&lt;&gt;"",GD6&gt;=GE$15,GD6&lt;&gt;""),AND(GW6&gt;=GZ$12,GW6&lt;&gt;"",GY6&gt;=GZ$15,GY6&lt;&gt;""),AND(HR6&gt;=HU$12,HR6&lt;&gt;"",HT6&gt;=HU$15,HT6&lt;&gt;""),AND(IM6&gt;=IP$12,IM6&lt;&gt;"",IO6&gt;=IP$15,IO6&lt;&gt;""),AND(JH6&gt;=JK$12,JH6&lt;&gt;"",JJ6&gt;=JK$15,JJ6&lt;&gt;""),AND(KC6&gt;=KF$12,KC6&lt;&gt;"",KE6&gt;=KF$15,KE6&lt;&gt;""),AND(KX6&gt;=LA$12,KX6&lt;&gt;"",KZ6&gt;=LA$15,KZ6&lt;&gt;"")),"Worlds Team",IF(OR(AND(AH6&gt;=AK$11,AH6&lt;&gt;"",AJ6&gt;=AK$14,AJ6&lt;&gt;"",AG6=""),AND(BD6&gt;=BG$11,BD6&lt;&gt;"",BF6&gt;=BG$14,BF6&lt;&gt;"",BC6=""),AND(CA6&gt;=CD$11,CA6&lt;&gt;"",CC6&gt;=CD$14,CC6&lt;&gt;""),AND(CV6&gt;=CY$11,CV6&lt;&gt;"",CX6&gt;=CY$14,CX6&lt;&gt;""),AND(DQ6&gt;=DT$11,DQ6&lt;&gt;"",DS6&gt;=DT$14,DS6&lt;&gt;""),AND(EL6&gt;=EO$11,EL6&lt;&gt;"",EN6&gt;=EO$14,EN6&lt;&gt;""),AND(FG6&gt;=FJ$11,FG6&lt;&gt;"",FI6&gt;=FJ$14,FI6&lt;&gt;""),AND(GB6&gt;=GE$11,GB6&lt;&gt;"",GD6&gt;=GE$14,GD6&lt;&gt;""),AND(GW6&gt;=GZ$11,GW6&lt;&gt;"",GY6&gt;=GZ$14,GY6&lt;&gt;""),AND(HR6&gt;=HU$11,HR6&lt;&gt;"",HT6&gt;=HU$14,HT6&lt;&gt;""),AND(IM6&gt;=IP$11,IM6&lt;&gt;"",IO6&gt;=IP$14,IO6&lt;&gt;""),AND(JH6&gt;=JK$11,JH6&lt;&gt;"",JJ6&gt;=JK$14,JJ6&lt;&gt;""),AND(KC6&gt;=KF$11,KC6&lt;&gt;"",KE6&gt;=KF$14,KE6&lt;&gt;""),AND(KX6&gt;=LA$11,KX6&lt;&gt;"",KZ6&gt;=LA$14,KZ6&lt;&gt;"")),"National Team","")))))</f>
        <v>National Team</v>
      </c>
      <c r="J6" s="15">
        <f>IF(MAX(AL6,BH6)&gt;0,MAX(AL6,BH6),"")</f>
        <v>121.7</v>
      </c>
      <c r="K6" s="15" t="str">
        <f>IF(J6="","",IF(J6=BH6,$AM$1,IF(J6=AL6,$Q$1,"")))</f>
        <v>2019 Elite Canada</v>
      </c>
      <c r="L6" s="15">
        <f>IF(J6=AL6,IF(MAX(BF6,BG6)&gt;0,MAX(BF6,BG6),""),IF(J6=BH6,IF(MAX(AJ6,AK6)&gt;0,MAX(AJ6,AK6),""),MAX(AJ6,AK6,BF6,BG6)))</f>
        <v>66.399999999999991</v>
      </c>
      <c r="M6" s="15" t="str">
        <f>IF(L6="","",IF(AND(J6&lt;&gt;BH6,OR(L6=BG6,L6=BF6)),$AM$1,IF(OR(L6=AK6,L6=AJ6),$Q$1,"")))</f>
        <v>2018 Nationals</v>
      </c>
      <c r="N6" s="15" t="str">
        <f>IF(MAX(BI6:BJ6)&gt;0,MAX(BI6:BJ6),"")</f>
        <v/>
      </c>
      <c r="O6" s="25" t="str">
        <f>IF(N6="","",IF(N6=BI6,"(4 Pass)",IF(N6=BJ6,"(2 Pass)")))</f>
        <v/>
      </c>
      <c r="P6" s="15" t="str">
        <f>IF(N6="","",IF(N6=BI6,IF(N6+IF(J6="",0,J6)=CE6,$BK$1,IF(N6+IF(J6="",0,J6)=CZ6,$CF$1,IF(N6+IF(J6="",0,J6)=DU6,$DA$1,IF(N6+IF(J6="",0,J6)=EP6,$DV$1,IF(N6+IF(J6="",0,J6)=FK6,$EQ$1,IF(N6+IF(J6="",0,J6)=GF6,$FL$1,IF(N6+IF(J6="",0,J6)=HA6,$GG$1,IF(N6+IF(J6="",0,J6)=HV6,$HB$1,IF(N6+IF(J6="",0,J6)=IQ6,$HW$1,IF(N6+IF(J6="",0,J6)=JL6,$IR$1,IF(N6+IF(J6="",0,J6)=KG6,$JM$1,IF(N6+IF(J6="",0,J6)=LB6,$KH$1)))))))))))),IF(N6=BJ6,IF(OR(N6+IF(L6="",0,L6)=CC6,N6+IF(L6="",0,L6)=CD6),$BK$1,IF(OR(N6+IF(L6="",0,L6)=CX6,N6+IF(L6="",0,L6)=CY6),$CF$1,IF(OR(N6+IF(L6="",0,L6)=DS6,N6+IF(L6="",0,L6)=DT6),$DA$1,IF(OR(N6+IF(L6="",0,L6)=EN6,N6+IF(L6="",0,L6)=EO6),$DV$1,IF(OR(N6+IF(L6="",0,L6)=FI6,N6+IF(L6="",0,L6)=FJ6),$EQ$1,IF(OR(N6+IF(L6="",0,L6)=GD6,N6+IF(L6="",0,L6)=GE6),$FL$1,IF(OR(N6+IF(L6="",0,L6)=GY6,N6+IF(L6="",0,L6)=GZ6),$GG$1,IF(OR(N6+IF(L6="",0,L6)=HT6,N6+IF(L6="",0,L6)=HU6),$HB$1,IF(OR(N6+IF(L6="",0,L6)=IO6,N6+IF(L6="",0,L6)=IP6),$HW$1,IF(OR(N6+IF(L6="",0,L6)=JJ6,N6+IF(L6="",0,L6)=JK6),$IR$1,IF(OR(N6+IF(L6="",0,L6)=KE6,N6+IF(L6="",0,L6)=KF6),$JM$1,IF(OR(N6+IF(L6="",0,L6)=KZ6,N6+IF(L6="",0,L6)=LA6),$KH$1)))))))))))))))</f>
        <v/>
      </c>
      <c r="Q6" s="63">
        <v>28.4</v>
      </c>
      <c r="R6" s="63">
        <v>5.2</v>
      </c>
      <c r="S6" s="63">
        <v>0</v>
      </c>
      <c r="T6" s="63">
        <v>0</v>
      </c>
      <c r="U6" s="63">
        <v>28</v>
      </c>
      <c r="V6" s="63">
        <v>5.2</v>
      </c>
      <c r="W6" s="63">
        <v>0.9</v>
      </c>
      <c r="X6" s="63">
        <v>0.5</v>
      </c>
      <c r="Y6" s="63">
        <v>28.2</v>
      </c>
      <c r="Z6" s="63">
        <v>4.4000000000000004</v>
      </c>
      <c r="AA6" s="63">
        <v>0</v>
      </c>
      <c r="AB6" s="63">
        <v>0</v>
      </c>
      <c r="AC6" s="63">
        <v>28.1</v>
      </c>
      <c r="AD6" s="63">
        <v>4</v>
      </c>
      <c r="AE6" s="63">
        <v>0</v>
      </c>
      <c r="AF6" s="63">
        <v>0</v>
      </c>
      <c r="AG6" s="74"/>
      <c r="AH6" s="12">
        <f>IF(SUM(R6,V6)&gt;0,SUM(R6,V6),"")</f>
        <v>10.4</v>
      </c>
      <c r="AI6" s="12">
        <f>IF(SUM(R6,V6,Z6,AD6)&gt;0,SUM(R6,V6,Z6,AD6),"")</f>
        <v>18.8</v>
      </c>
      <c r="AJ6" s="12">
        <f>IF(SUM(Q6:R6,T6:V6,X6)-SUM(S6,W6)&gt;0,SUM(Q6:R6,T6:V6,X6)-SUM(S6,W6),"")</f>
        <v>66.399999999999991</v>
      </c>
      <c r="AK6" s="12">
        <f>IF(SUM(Y6:Z6,AB6:AD6,AF6)-SUM(AA6,AE6)&gt;0,SUM(Y6:Z6,AB6:AD6,AF6)-SUM(AA6,AE6),"")</f>
        <v>64.7</v>
      </c>
      <c r="AL6" s="12"/>
      <c r="AM6" s="37">
        <v>28.2</v>
      </c>
      <c r="AN6" s="37">
        <v>6</v>
      </c>
      <c r="AO6" s="37">
        <v>0.3</v>
      </c>
      <c r="AP6" s="37">
        <v>0</v>
      </c>
      <c r="AQ6" s="37">
        <v>28.2</v>
      </c>
      <c r="AR6" s="37">
        <v>5.6</v>
      </c>
      <c r="AS6" s="37">
        <v>0</v>
      </c>
      <c r="AT6" s="37">
        <v>0</v>
      </c>
      <c r="AU6" s="37">
        <v>24.2</v>
      </c>
      <c r="AV6" s="37">
        <v>3</v>
      </c>
      <c r="AW6" s="37">
        <v>2.2000000000000002</v>
      </c>
      <c r="AX6" s="37">
        <v>0</v>
      </c>
      <c r="AY6" s="37">
        <v>28</v>
      </c>
      <c r="AZ6" s="37">
        <v>4</v>
      </c>
      <c r="BA6" s="37">
        <v>3</v>
      </c>
      <c r="BB6" s="37">
        <v>0</v>
      </c>
      <c r="BC6" s="75"/>
      <c r="BD6" s="15">
        <f>IF(SUM(AN6,AR6)&gt;0,SUM(AN6,AR6),"")</f>
        <v>11.6</v>
      </c>
      <c r="BE6" s="15">
        <f>IF(SUM(AN6,AR6,AV6,AZ6)&gt;0,SUM(AN6,AR6,AV6,AZ6),"")</f>
        <v>18.600000000000001</v>
      </c>
      <c r="BF6" s="15">
        <f>IF(SUM(AM6:AN6,AP6:AR6,AT6)-SUM(AO6,AS6)&gt;0,SUM(AM6:AN6,AP6:AR6,AT6)-SUM(AO6,AS6),"")</f>
        <v>67.7</v>
      </c>
      <c r="BG6" s="15">
        <f>IF(SUM(AU6:AV6,AX6:AZ6,BB6)-SUM(AW6,BA6)&gt;0,SUM(AU6:AV6,AX6:AZ6,BB6)-SUM(AW6,BA6),"")</f>
        <v>54</v>
      </c>
      <c r="BH6" s="15">
        <f>IF(SUM(BF6,BG6)&gt;0,SUM(BF6,BG6),"")</f>
        <v>121.7</v>
      </c>
      <c r="BI6" s="24"/>
      <c r="BJ6" s="24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>
        <v>0</v>
      </c>
      <c r="BZ6" s="41">
        <v>0</v>
      </c>
      <c r="CA6" s="12" t="str">
        <f>IF(SUM(BL6,BP6)&gt;0,SUM(BL6,BP6),"")</f>
        <v/>
      </c>
      <c r="CB6" s="12" t="str">
        <f>IF(SUM(BL6,BP6,BT6,BX6)&gt;0,SUM(BL6,BP6,BT6,BX6),"")</f>
        <v/>
      </c>
      <c r="CC6" s="12"/>
      <c r="CD6" s="12"/>
      <c r="CE6" s="12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15" t="str">
        <f>IF(SUM(CG6,CK6)&gt;0,SUM(CG6,CK6),"")</f>
        <v/>
      </c>
      <c r="CW6" s="15"/>
      <c r="CX6" s="15"/>
      <c r="CY6" s="15"/>
      <c r="CZ6" s="15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12"/>
      <c r="DR6" s="12"/>
      <c r="DS6" s="12"/>
      <c r="DT6" s="12"/>
      <c r="DU6" s="12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15"/>
      <c r="EM6" s="15"/>
      <c r="EN6" s="15"/>
      <c r="EO6" s="15"/>
      <c r="EP6" s="15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12"/>
      <c r="FH6" s="12"/>
      <c r="FI6" s="12"/>
      <c r="FJ6" s="12"/>
      <c r="FK6" s="12"/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15"/>
      <c r="GC6" s="15"/>
      <c r="GD6" s="15"/>
      <c r="GE6" s="15"/>
      <c r="GF6" s="15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12"/>
      <c r="GX6" s="12"/>
      <c r="GY6" s="12"/>
      <c r="GZ6" s="12"/>
      <c r="HA6" s="12"/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15"/>
      <c r="HS6" s="15"/>
      <c r="HT6" s="15"/>
      <c r="HU6" s="15"/>
      <c r="HV6" s="15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12"/>
      <c r="IN6" s="12"/>
      <c r="IO6" s="12"/>
      <c r="IP6" s="12"/>
      <c r="IQ6" s="12"/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15"/>
      <c r="JI6" s="15"/>
      <c r="JJ6" s="15"/>
      <c r="JK6" s="15"/>
      <c r="JL6" s="15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12"/>
      <c r="KD6" s="12"/>
      <c r="KE6" s="12"/>
      <c r="KF6" s="12"/>
      <c r="KG6" s="12"/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15" t="str">
        <f>IF(SUM(KI6,KM6)&gt;0,SUM(KI6,KM6),"")</f>
        <v/>
      </c>
      <c r="KY6" s="15" t="str">
        <f>IF(SUM(KI6,KM6,KQ6,KU6)&gt;0,SUM(KI6,KM6,KQ6,KU6),"")</f>
        <v/>
      </c>
      <c r="KZ6" s="15" t="str">
        <f>IF(SUM(KH6:KI6,KK6:KM6,KO6)-SUM(KJ6,KN6)&gt;0,SUM(KH6:KI6,KK6:KM6,KO6)-SUM(KJ6,KN6),"")</f>
        <v/>
      </c>
      <c r="LA6" s="15" t="str">
        <f>IF(SUM(KP6:KQ6,KS6:KU6,KW6)-SUM(KR6,KV6)&gt;0,SUM(KP6:KQ6,KS6:KU6,KW6)-SUM(KR6,KV6),"")</f>
        <v/>
      </c>
      <c r="LB6" s="15" t="str">
        <f>IF(SUM(KZ6,LA6)&gt;0,SUM(KZ6,LA6),"")</f>
        <v/>
      </c>
      <c r="LC6" s="63">
        <f t="shared" si="6"/>
        <v>28.299999999999997</v>
      </c>
      <c r="LD6" s="63">
        <f t="shared" si="0"/>
        <v>5.6</v>
      </c>
      <c r="LE6" s="63">
        <f t="shared" si="0"/>
        <v>0.15</v>
      </c>
      <c r="LF6" s="63">
        <f t="shared" si="0"/>
        <v>0</v>
      </c>
      <c r="LG6" s="63">
        <f t="shared" si="0"/>
        <v>28.1</v>
      </c>
      <c r="LH6" s="63">
        <f t="shared" si="0"/>
        <v>5.4</v>
      </c>
      <c r="LI6" s="63">
        <f t="shared" si="0"/>
        <v>0.45</v>
      </c>
      <c r="LJ6" s="63">
        <f t="shared" si="0"/>
        <v>0.25</v>
      </c>
      <c r="LK6" s="63">
        <f t="shared" si="0"/>
        <v>26.2</v>
      </c>
      <c r="LL6" s="63">
        <f t="shared" si="0"/>
        <v>3.7</v>
      </c>
      <c r="LM6" s="63">
        <f t="shared" si="0"/>
        <v>1.1000000000000001</v>
      </c>
      <c r="LN6" s="63">
        <f t="shared" si="0"/>
        <v>0</v>
      </c>
      <c r="LO6" s="63">
        <f t="shared" si="0"/>
        <v>28.05</v>
      </c>
      <c r="LP6" s="63">
        <f t="shared" si="0"/>
        <v>4</v>
      </c>
      <c r="LQ6" s="63">
        <f t="shared" si="0"/>
        <v>1.5</v>
      </c>
      <c r="LR6" s="63">
        <f t="shared" si="0"/>
        <v>0</v>
      </c>
      <c r="LS6" s="74" t="s">
        <v>119</v>
      </c>
      <c r="LT6" s="12">
        <f t="shared" ref="LT6" si="12">IF(SUM(LD6,LH6)&gt;0,SUM(LD6,LH6),"")</f>
        <v>11</v>
      </c>
      <c r="LU6" s="12">
        <f t="shared" ref="LU6" si="13">IF(SUM(LD6,LH6,LL6,LP6)&gt;0,SUM(LD6,LH6,LL6,LP6),"")</f>
        <v>18.7</v>
      </c>
      <c r="LV6" s="12">
        <f t="shared" ref="LV6" si="14">IF(SUM(LC6:LD6,LF6:LH6,LJ6)-SUM(LE6,LI6)&gt;0,SUM(LC6:LD6,LF6:LH6,LJ6)-SUM(LE6,LI6),"")</f>
        <v>67.050000000000011</v>
      </c>
      <c r="LW6" s="12">
        <f t="shared" ref="LW6" si="15">IF(SUM(LK6:LL6,LN6:LP6,LR6)-SUM(LM6,LQ6)&gt;0,SUM(LK6:LL6,LN6:LP6,LR6)-SUM(LM6,LQ6),"")</f>
        <v>59.35</v>
      </c>
      <c r="LX6" s="12">
        <f t="shared" ref="LX6" si="16">IF(SUM(LV6,LW6)&gt;0,SUM(LV6,LW6),"")</f>
        <v>126.4</v>
      </c>
    </row>
    <row r="7" spans="1:336" x14ac:dyDescent="0.2">
      <c r="A7" s="6">
        <f>IF(AND(F7="P",H7="P"),SUMPRODUCT((F$4:F$9="P")*(H$4:H$9="P")*(E$4:E$9&gt;E7))+1,IF(H7="P",SUMPRODUCT((F$4:F$9="")*(H$4:H$9="P")*(E$4:E$9&gt;E7))+1+SUMPRODUCT((F$4:F$9="P")*(H$4:H$9="P")),""))</f>
        <v>4</v>
      </c>
      <c r="B7" s="9" t="s">
        <v>127</v>
      </c>
      <c r="C7" s="5" t="s">
        <v>4</v>
      </c>
      <c r="D7" s="6">
        <v>2003</v>
      </c>
      <c r="E7" s="16">
        <f>SUM(J7:N7)</f>
        <v>181.29999999999998</v>
      </c>
      <c r="F7" s="4" t="str">
        <f>IF(OR(AND(AH7&gt;=AK$11,AJ7&gt;=AK$14,AJ7&lt;&gt;"",AG7=""),AND(BD7&gt;=BG$11,BF7&gt;=BG$14,BF7&lt;&gt;"",BC7=""),AND(CA7&gt;=CD$11,CC7&gt;=CD$14,CC7&lt;&gt;""),AND(CV7&gt;=CY$11,CX7&gt;=CY$14,CX7&lt;&gt;""),AND(DQ7&gt;=DT$11,DS7&gt;=DT$14,DS7&lt;&gt;""),AND(EL7&gt;=EO$11,EN7&gt;=EO$14,EN7&lt;&gt;""),AND(FG7&gt;=FJ$11,FI7&gt;=FJ$14,FI7&lt;&gt;""),AND(GB7&gt;=GE$11,GD7&gt;=GE$14,GD7&lt;&gt;""),AND(GW7&gt;=GZ$11,GY7&gt;=GZ$14,GY7&lt;&gt;""),AND(HR7&gt;=HU$11,HT7&gt;=HU$14,HT7&lt;&gt;""),AND(IM7&gt;=IP$11,IO7&gt;=IP$14,IO7&lt;&gt;""),AND(JH7&gt;=JK$11,JJ7&gt;=JK$14,JJ7&lt;&gt;""),AND(KC7&gt;=KF$11,KE7&gt;=KF$14,KE7&lt;&gt;""),AND(KX7&gt;=LA$11,KZ7&gt;=LA$14,KZ7&lt;&gt;"")),"P","")</f>
        <v>P</v>
      </c>
      <c r="G7" s="4" t="str">
        <f>IF(OR(AND(AH7&gt;=AK$12,AJ7&gt;=AK$15,AJ7&lt;&gt;"",AG7=""),AND(BD7&gt;=BG$12,BF7&gt;=BG$15,BF7&lt;&gt;"",BC7=""),AND(CA7&gt;=CD$12,CC7&gt;=CD$15,CC7&lt;&gt;""),AND(CV7&gt;=CY$12,CX7&gt;=CY$15,CX7&lt;&gt;""),AND(DQ7&gt;=DT$12,DS7&gt;=DT$15,DS7&lt;&gt;""),AND(EL7&gt;=EO$12,EN7&gt;=EO$15,EN7&lt;&gt;""),AND(FG7&gt;=FJ$12,FI7&gt;=FJ$15,FI7&lt;&gt;""),AND(GB7&gt;=GE$12,GD7&gt;=GE$15,GD7&lt;&gt;""),AND(GW7&gt;=GZ$12,GY7&gt;=GZ$15,GY7&lt;&gt;""),AND(HR7&gt;=HU$12,HT7&gt;=HU$15,HT7&lt;&gt;""),AND(IM7&gt;=IP$12,IO7&gt;=IP$15,IO7&lt;&gt;""),AND(JH7&gt;=JK$12,JJ7&gt;=JK$15,JJ7&lt;&gt;""),AND(KC7&gt;=KF$12,KE7&gt;=KF$15,KE7&lt;&gt;""),AND(KX7&gt;=LA$12,KZ7&gt;=LA$15,KZ7&lt;&gt;"")),"P","")</f>
        <v/>
      </c>
      <c r="H7" s="4" t="str">
        <f>IF(OR(AND(AJ7&gt;=AK$14,AJ7&lt;&gt;"",AG7=""),AND(BF7&gt;=BG$14,BF7&lt;&gt;"",BC7=""),AND(CC7&gt;=CD$14,CC7&lt;&gt;""),AND(CX7&gt;=CY$14,CX7&lt;&gt;""),AND(DS7&gt;=DT$14,DS7&lt;&gt;""),AND(EN7&gt;=EO$14,EN7&lt;&gt;""),AND(FI7&gt;=FJ$14,FI7&lt;&gt;""),AND(GD7&gt;=GE$14,GD7&lt;&gt;""),AND(GY7&gt;=GZ$14,GY7&lt;&gt;""),AND(HT7&gt;=HU$14,HT7&lt;&gt;""),AND(IO7&gt;=IP$14,IO7&lt;&gt;""),AND(JJ7&gt;=JK$14,JJ7&lt;&gt;""),AND(KE7&gt;=KF$14,KE7&lt;&gt;""),AND(KZ7&gt;=LA$14,KZ7&lt;&gt;"")),"P","")</f>
        <v>P</v>
      </c>
      <c r="I7" t="str">
        <f>IF(AND(H7="P",F7=""),"No DD",IF(OR(AND(AI7&gt;=AK$13,AI7&lt;&gt;"",AL7&gt;=AK$17,AL7&lt;&gt;"",AG7=""),AND(BE7&gt;=BG$13,BE7&lt;&gt;"",BH7&gt;=BG$17,BH7&lt;&gt;"",BC7=""),AND(CB7&gt;=CD$13,CB7&lt;&gt;"",CE7&gt;=CD$17,CE7&lt;&gt;""),AND(CW7&gt;=CY$13,CW7&lt;&gt;"",CZ7&gt;=CY$17,CZ7&lt;&gt;""),AND(DR7&gt;=DT$13,DR7&lt;&gt;"",DU7&gt;=DT$17,DU7&lt;&gt;""),AND(EM7&gt;=EO$13,EM7&lt;&gt;"",EP7&gt;=EO$17,EP7&lt;&gt;""),AND(FH7&gt;=FJ$13,FH7&lt;&gt;"",FK7&gt;=FJ$17,FK7&lt;&gt;""),AND(GC7&gt;=GE$13,GC7&lt;&gt;"",GF7&gt;=GE$17,GF7&lt;&gt;""),AND(GX7&gt;=GZ$13,GX7&lt;&gt;"",HA7&gt;=GZ$17,HA7&lt;&gt;""),AND(HS7&gt;=HU$13,HS7&lt;&gt;"",HV7&gt;=HU$17,HV7&lt;&gt;""),AND(IN7&gt;=IP$13,IN7&lt;&gt;"",IQ7&gt;=IP$17,IQ7&lt;&gt;""),AND(JI7&gt;=JK$13,JI7&lt;&gt;"",JL7&gt;=JK$17,JL7&lt;&gt;""),AND(KD7&gt;=KF$13,KD7&lt;&gt;"",KG7&gt;=KF$17,KG7&lt;&gt;""),AND(KY7&gt;=LA$13,KY7&lt;&gt;"",LB7&gt;=LA$17,LB7&lt;&gt;"")),"Merit",IF(OR(AND(AI7&gt;=AK$13,AI7&lt;&gt;"",AL7&gt;=AK$16,AL7&lt;&gt;"",AG7=""),AND(BE7&gt;=BG$13,BE7&lt;&gt;"",BH7&gt;=BG$16,BH7&lt;&gt;"",BC7=""),AND(CB7&gt;=CD$13,CB7&lt;&gt;"",CE7&gt;=CD$16,CE7&lt;&gt;""),AND(CW7&gt;=CY$13,CW7&lt;&gt;"",CZ7&gt;=CY$16,CZ7&lt;&gt;""),AND(DR7&gt;=DT$13,DR7&lt;&gt;"",DU7&gt;=DT$16,DU7&lt;&gt;""),AND(EM7&gt;=EO$13,EM7&lt;&gt;"",EP7&gt;=EO$16,EP7&lt;&gt;""),AND(FH7&gt;=FJ$13,FH7&lt;&gt;"",FK7&gt;=FJ$16,FK7&lt;&gt;""),AND(GC7&gt;=GE$13,GC7&lt;&gt;"",GF7&gt;=GE$16,GF7&lt;&gt;""),AND(GX7&gt;=GZ$13,GX7&lt;&gt;"",HA7&gt;=GZ$16,HA7&lt;&gt;""),AND(HS7&gt;=HU$13,HS7&lt;&gt;"",HV7&gt;=HU$16,HV7&lt;&gt;""),AND(IN7&gt;=IP$13,IN7&lt;&gt;"",IQ7&gt;=IP$16,IQ7&lt;&gt;""),AND(JI7&gt;=JK$13,JI7&lt;&gt;"",JL7&gt;=JK$16,JL7&lt;&gt;""),AND(KD7&gt;=KF$13,KD7&lt;&gt;"",KG7&gt;=KF$16,KG7&lt;&gt;""),AND(KY7&gt;=LA$13,KY7&lt;&gt;"",LB7&gt;=LA$16,LB7&lt;&gt;"")),"Excellence",IF(OR(AND(AH7&gt;=AK$12,AH7&lt;&gt;"",AJ7&gt;=AK$15,AJ7&lt;&gt;"",AG7=""),AND(BD7&gt;=BG$12,BD7&lt;&gt;"",BF7&gt;=BG$15,BF7&lt;&gt;"",BC7=""),AND(CA7&gt;=CD$12,CA7&lt;&gt;"",CC7&gt;=CD$15,CC7&lt;&gt;""),AND(CV7&gt;=CY$12,CV7&lt;&gt;"",CX7&gt;=CY$15,CX7&lt;&gt;""),AND(DQ7&gt;=DT$12,DQ7&lt;&gt;"",DS7&gt;=DT$15,DS7&lt;&gt;""),AND(EL7&gt;=EO$12,EL7&lt;&gt;"",EN7&gt;=EO$15,EN7&lt;&gt;""),AND(FG7&gt;=FJ$12,FG7&lt;&gt;"",FI7&gt;=FJ$15,FI7&lt;&gt;""),AND(GB7&gt;=GE$12,GB7&lt;&gt;"",GD7&gt;=GE$15,GD7&lt;&gt;""),AND(GW7&gt;=GZ$12,GW7&lt;&gt;"",GY7&gt;=GZ$15,GY7&lt;&gt;""),AND(HR7&gt;=HU$12,HR7&lt;&gt;"",HT7&gt;=HU$15,HT7&lt;&gt;""),AND(IM7&gt;=IP$12,IM7&lt;&gt;"",IO7&gt;=IP$15,IO7&lt;&gt;""),AND(JH7&gt;=JK$12,JH7&lt;&gt;"",JJ7&gt;=JK$15,JJ7&lt;&gt;""),AND(KC7&gt;=KF$12,KC7&lt;&gt;"",KE7&gt;=KF$15,KE7&lt;&gt;""),AND(KX7&gt;=LA$12,KX7&lt;&gt;"",KZ7&gt;=LA$15,KZ7&lt;&gt;"")),"Worlds Team",IF(OR(AND(AH7&gt;=AK$11,AH7&lt;&gt;"",AJ7&gt;=AK$14,AJ7&lt;&gt;"",AG7=""),AND(BD7&gt;=BG$11,BD7&lt;&gt;"",BF7&gt;=BG$14,BF7&lt;&gt;"",BC7=""),AND(CA7&gt;=CD$11,CA7&lt;&gt;"",CC7&gt;=CD$14,CC7&lt;&gt;""),AND(CV7&gt;=CY$11,CV7&lt;&gt;"",CX7&gt;=CY$14,CX7&lt;&gt;""),AND(DQ7&gt;=DT$11,DQ7&lt;&gt;"",DS7&gt;=DT$14,DS7&lt;&gt;""),AND(EL7&gt;=EO$11,EL7&lt;&gt;"",EN7&gt;=EO$14,EN7&lt;&gt;""),AND(FG7&gt;=FJ$11,FG7&lt;&gt;"",FI7&gt;=FJ$14,FI7&lt;&gt;""),AND(GB7&gt;=GE$11,GB7&lt;&gt;"",GD7&gt;=GE$14,GD7&lt;&gt;""),AND(GW7&gt;=GZ$11,GW7&lt;&gt;"",GY7&gt;=GZ$14,GY7&lt;&gt;""),AND(HR7&gt;=HU$11,HR7&lt;&gt;"",HT7&gt;=HU$14,HT7&lt;&gt;""),AND(IM7&gt;=IP$11,IM7&lt;&gt;"",IO7&gt;=IP$14,IO7&lt;&gt;""),AND(JH7&gt;=JK$11,JH7&lt;&gt;"",JJ7&gt;=JK$14,JJ7&lt;&gt;""),AND(KC7&gt;=KF$11,KC7&lt;&gt;"",KE7&gt;=KF$14,KE7&lt;&gt;""),AND(KX7&gt;=LA$11,KX7&lt;&gt;"",KZ7&gt;=LA$14,KZ7&lt;&gt;"")),"National Team","")))))</f>
        <v>National Team</v>
      </c>
      <c r="J7" s="15">
        <f>IF(MAX(AL7,BH7)&gt;0,MAX(AL7,BH7),"")</f>
        <v>118.99999999999999</v>
      </c>
      <c r="K7" s="15" t="str">
        <f>IF(J7="","",IF(J7=BH7,$AM$1,IF(J7=AL7,$Q$1,"")))</f>
        <v>2019 Elite Canada</v>
      </c>
      <c r="L7" s="15">
        <f>IF(J7=AL7,IF(MAX(BF7,BG7)&gt;0,MAX(BF7,BG7),""),IF(J7=BH7,IF(MAX(AJ7,AK7)&gt;0,MAX(AJ7,AK7),""),MAX(AJ7,AK7,BF7,BG7)))</f>
        <v>62.300000000000004</v>
      </c>
      <c r="M7" s="15" t="str">
        <f>IF(L7="","",IF(AND(J7&lt;&gt;BH7,OR(L7=BG7,L7=BF7)),$AM$1,IF(OR(L7=AK7,L7=AJ7),$Q$1,"")))</f>
        <v>2018 Nationals</v>
      </c>
      <c r="N7" s="15" t="str">
        <f>IF(MAX(BI7:BJ7)&gt;0,MAX(BI7:BJ7),"")</f>
        <v/>
      </c>
      <c r="O7" s="25" t="str">
        <f>IF(N7="","",IF(N7=BI7,"(4 Pass)",IF(N7=BJ7,"(2 Pass)")))</f>
        <v/>
      </c>
      <c r="P7" s="15" t="str">
        <f>IF(N7="","",IF(N7=BI7,IF(N7+IF(J7="",0,J7)=CE7,$BK$1,IF(N7+IF(J7="",0,J7)=CZ7,$CF$1,IF(N7+IF(J7="",0,J7)=DU7,$DA$1,IF(N7+IF(J7="",0,J7)=EP7,$DV$1,IF(N7+IF(J7="",0,J7)=FK7,$EQ$1,IF(N7+IF(J7="",0,J7)=GF7,$FL$1,IF(N7+IF(J7="",0,J7)=HA7,$GG$1,IF(N7+IF(J7="",0,J7)=HV7,$HB$1,IF(N7+IF(J7="",0,J7)=IQ7,$HW$1,IF(N7+IF(J7="",0,J7)=JL7,$IR$1,IF(N7+IF(J7="",0,J7)=KG7,$JM$1,IF(N7+IF(J7="",0,J7)=LB7,$KH$1)))))))))))),IF(N7=BJ7,IF(OR(N7+IF(L7="",0,L7)=CC7,N7+IF(L7="",0,L7)=CD7),$BK$1,IF(OR(N7+IF(L7="",0,L7)=CX7,N7+IF(L7="",0,L7)=CY7),$CF$1,IF(OR(N7+IF(L7="",0,L7)=DS7,N7+IF(L7="",0,L7)=DT7),$DA$1,IF(OR(N7+IF(L7="",0,L7)=EN7,N7+IF(L7="",0,L7)=EO7),$DV$1,IF(OR(N7+IF(L7="",0,L7)=FI7,N7+IF(L7="",0,L7)=FJ7),$EQ$1,IF(OR(N7+IF(L7="",0,L7)=GD7,N7+IF(L7="",0,L7)=GE7),$FL$1,IF(OR(N7+IF(L7="",0,L7)=GY7,N7+IF(L7="",0,L7)=GZ7),$GG$1,IF(OR(N7+IF(L7="",0,L7)=HT7,N7+IF(L7="",0,L7)=HU7),$HB$1,IF(OR(N7+IF(L7="",0,L7)=IO7,N7+IF(L7="",0,L7)=IP7),$HW$1,IF(OR(N7+IF(L7="",0,L7)=JJ7,N7+IF(L7="",0,L7)=JK7),$IR$1,IF(OR(N7+IF(L7="",0,L7)=KE7,N7+IF(L7="",0,L7)=KF7),$JM$1,IF(OR(N7+IF(L7="",0,L7)=KZ7,N7+IF(L7="",0,L7)=LA7),$KH$1)))))))))))))))</f>
        <v/>
      </c>
      <c r="Q7" s="63">
        <v>27.2</v>
      </c>
      <c r="R7" s="63">
        <v>4.8</v>
      </c>
      <c r="S7" s="63">
        <v>1.5</v>
      </c>
      <c r="T7" s="63">
        <v>0</v>
      </c>
      <c r="U7" s="63">
        <v>27.4</v>
      </c>
      <c r="V7" s="63">
        <v>4.8</v>
      </c>
      <c r="W7" s="63">
        <v>0.9</v>
      </c>
      <c r="X7" s="63">
        <v>0.5</v>
      </c>
      <c r="Y7" s="63">
        <v>28</v>
      </c>
      <c r="Z7" s="63">
        <v>1.3</v>
      </c>
      <c r="AA7" s="63">
        <v>4.5</v>
      </c>
      <c r="AB7" s="63">
        <v>0</v>
      </c>
      <c r="AC7" s="63">
        <v>27.3</v>
      </c>
      <c r="AD7" s="63">
        <v>3.7</v>
      </c>
      <c r="AE7" s="63">
        <v>0</v>
      </c>
      <c r="AF7" s="63">
        <v>0</v>
      </c>
      <c r="AG7" s="74"/>
      <c r="AH7" s="12">
        <f>IF(SUM(R7,V7)&gt;0,SUM(R7,V7),"")</f>
        <v>9.6</v>
      </c>
      <c r="AI7" s="12">
        <f>IF(SUM(R7,V7,Z7,AD7)&gt;0,SUM(R7,V7,Z7,AD7),"")</f>
        <v>14.600000000000001</v>
      </c>
      <c r="AJ7" s="12">
        <f>IF(SUM(Q7:R7,T7:V7,X7)-SUM(S7,W7)&gt;0,SUM(Q7:R7,T7:V7,X7)-SUM(S7,W7),"")</f>
        <v>62.300000000000004</v>
      </c>
      <c r="AK7" s="12">
        <f>IF(SUM(Y7:Z7,AB7:AD7,AF7)-SUM(AA7,AE7)&gt;0,SUM(Y7:Z7,AB7:AD7,AF7)-SUM(AA7,AE7),"")</f>
        <v>55.800000000000004</v>
      </c>
      <c r="AL7" s="12"/>
      <c r="AM7" s="37">
        <v>27.7</v>
      </c>
      <c r="AN7" s="37">
        <v>6</v>
      </c>
      <c r="AO7" s="37">
        <v>0.9</v>
      </c>
      <c r="AP7" s="37">
        <v>0</v>
      </c>
      <c r="AQ7" s="37">
        <v>28</v>
      </c>
      <c r="AR7" s="37">
        <v>4.8</v>
      </c>
      <c r="AS7" s="37">
        <v>0</v>
      </c>
      <c r="AT7" s="37">
        <v>0</v>
      </c>
      <c r="AU7" s="37">
        <v>24.7</v>
      </c>
      <c r="AV7" s="37">
        <v>3</v>
      </c>
      <c r="AW7" s="37">
        <v>1.9</v>
      </c>
      <c r="AX7" s="37">
        <v>0</v>
      </c>
      <c r="AY7" s="37">
        <v>26.9</v>
      </c>
      <c r="AZ7" s="37">
        <v>2.8</v>
      </c>
      <c r="BA7" s="37">
        <v>2.1</v>
      </c>
      <c r="BB7" s="37">
        <v>0</v>
      </c>
      <c r="BC7" s="75"/>
      <c r="BD7" s="15">
        <f>IF(SUM(AN7,AR7)&gt;0,SUM(AN7,AR7),"")</f>
        <v>10.8</v>
      </c>
      <c r="BE7" s="15">
        <f>IF(SUM(AN7,AR7,AV7,AZ7)&gt;0,SUM(AN7,AR7,AV7,AZ7),"")</f>
        <v>16.600000000000001</v>
      </c>
      <c r="BF7" s="15">
        <f>IF(SUM(AM7:AN7,AP7:AR7,AT7)-SUM(AO7,AS7)&gt;0,SUM(AM7:AN7,AP7:AR7,AT7)-SUM(AO7,AS7),"")</f>
        <v>65.599999999999994</v>
      </c>
      <c r="BG7" s="15">
        <f>IF(SUM(AU7:AV7,AX7:AZ7,BB7)-SUM(AW7,BA7)&gt;0,SUM(AU7:AV7,AX7:AZ7,BB7)-SUM(AW7,BA7),"")</f>
        <v>53.399999999999991</v>
      </c>
      <c r="BH7" s="15">
        <f>IF(SUM(BF7,BG7)&gt;0,SUM(BF7,BG7),"")</f>
        <v>118.99999999999999</v>
      </c>
      <c r="BI7" s="24"/>
      <c r="BJ7" s="24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>
        <v>0</v>
      </c>
      <c r="BZ7" s="41">
        <v>0</v>
      </c>
      <c r="CA7" s="12" t="str">
        <f>IF(SUM(BL7,BP7)&gt;0,SUM(BL7,BP7),"")</f>
        <v/>
      </c>
      <c r="CB7" s="12" t="str">
        <f>IF(SUM(BL7,BP7,BT7,BX7)&gt;0,SUM(BL7,BP7,BT7,BX7),"")</f>
        <v/>
      </c>
      <c r="CC7" s="12"/>
      <c r="CD7" s="12"/>
      <c r="CE7" s="12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15" t="str">
        <f>IF(SUM(CG7,CK7)&gt;0,SUM(CG7,CK7),"")</f>
        <v/>
      </c>
      <c r="CW7" s="15"/>
      <c r="CX7" s="15"/>
      <c r="CY7" s="15"/>
      <c r="CZ7" s="15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12"/>
      <c r="DR7" s="12"/>
      <c r="DS7" s="12"/>
      <c r="DT7" s="12"/>
      <c r="DU7" s="12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15"/>
      <c r="EM7" s="15"/>
      <c r="EN7" s="15"/>
      <c r="EO7" s="15"/>
      <c r="EP7" s="15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12"/>
      <c r="FH7" s="12"/>
      <c r="FI7" s="12"/>
      <c r="FJ7" s="12"/>
      <c r="FK7" s="12"/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15"/>
      <c r="GC7" s="15"/>
      <c r="GD7" s="15"/>
      <c r="GE7" s="15"/>
      <c r="GF7" s="15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12"/>
      <c r="GX7" s="12"/>
      <c r="GY7" s="12"/>
      <c r="GZ7" s="12"/>
      <c r="HA7" s="12"/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15"/>
      <c r="HS7" s="15"/>
      <c r="HT7" s="15"/>
      <c r="HU7" s="15"/>
      <c r="HV7" s="15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12"/>
      <c r="IN7" s="12"/>
      <c r="IO7" s="12"/>
      <c r="IP7" s="12"/>
      <c r="IQ7" s="12"/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15"/>
      <c r="JI7" s="15"/>
      <c r="JJ7" s="15"/>
      <c r="JK7" s="15"/>
      <c r="JL7" s="15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12"/>
      <c r="KD7" s="12"/>
      <c r="KE7" s="12"/>
      <c r="KF7" s="12"/>
      <c r="KG7" s="12"/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15" t="str">
        <f>IF(SUM(KI7,KM7)&gt;0,SUM(KI7,KM7),"")</f>
        <v/>
      </c>
      <c r="KY7" s="15" t="str">
        <f>IF(SUM(KI7,KM7,KQ7,KU7)&gt;0,SUM(KI7,KM7,KQ7,KU7),"")</f>
        <v/>
      </c>
      <c r="KZ7" s="15" t="str">
        <f>IF(SUM(KH7:KI7,KK7:KM7,KO7)-SUM(KJ7,KN7)&gt;0,SUM(KH7:KI7,KK7:KM7,KO7)-SUM(KJ7,KN7),"")</f>
        <v/>
      </c>
      <c r="LA7" s="15" t="str">
        <f>IF(SUM(KP7:KQ7,KS7:KU7,KW7)-SUM(KR7,KV7)&gt;0,SUM(KP7:KQ7,KS7:KU7,KW7)-SUM(KR7,KV7),"")</f>
        <v/>
      </c>
      <c r="LB7" s="15" t="str">
        <f>IF(SUM(KZ7,LA7)&gt;0,SUM(KZ7,LA7),"")</f>
        <v/>
      </c>
      <c r="LC7" s="63">
        <f t="shared" si="6"/>
        <v>27.45</v>
      </c>
      <c r="LD7" s="63">
        <f t="shared" si="0"/>
        <v>5.4</v>
      </c>
      <c r="LE7" s="63">
        <f t="shared" si="0"/>
        <v>1.2</v>
      </c>
      <c r="LF7" s="63">
        <f t="shared" si="0"/>
        <v>0</v>
      </c>
      <c r="LG7" s="63">
        <f t="shared" si="0"/>
        <v>27.7</v>
      </c>
      <c r="LH7" s="63">
        <f t="shared" si="0"/>
        <v>4.8</v>
      </c>
      <c r="LI7" s="63">
        <f t="shared" si="0"/>
        <v>0.45</v>
      </c>
      <c r="LJ7" s="63">
        <f t="shared" si="0"/>
        <v>0.25</v>
      </c>
      <c r="LK7" s="63">
        <f t="shared" si="0"/>
        <v>26.35</v>
      </c>
      <c r="LL7" s="63">
        <f t="shared" si="0"/>
        <v>2.15</v>
      </c>
      <c r="LM7" s="63">
        <f t="shared" si="0"/>
        <v>3.2</v>
      </c>
      <c r="LN7" s="63">
        <f t="shared" si="0"/>
        <v>0</v>
      </c>
      <c r="LO7" s="63">
        <f t="shared" si="0"/>
        <v>27.1</v>
      </c>
      <c r="LP7" s="63">
        <f t="shared" si="0"/>
        <v>3.25</v>
      </c>
      <c r="LQ7" s="63">
        <f t="shared" si="0"/>
        <v>1.05</v>
      </c>
      <c r="LR7" s="63">
        <f t="shared" si="0"/>
        <v>0</v>
      </c>
      <c r="LS7" s="74" t="s">
        <v>119</v>
      </c>
      <c r="LT7" s="12">
        <f t="shared" ref="LT7" si="17">IF(SUM(LD7,LH7)&gt;0,SUM(LD7,LH7),"")</f>
        <v>10.199999999999999</v>
      </c>
      <c r="LU7" s="12">
        <f t="shared" ref="LU7" si="18">IF(SUM(LD7,LH7,LL7,LP7)&gt;0,SUM(LD7,LH7,LL7,LP7),"")</f>
        <v>15.6</v>
      </c>
      <c r="LV7" s="12">
        <f t="shared" ref="LV7" si="19">IF(SUM(LC7:LD7,LF7:LH7,LJ7)-SUM(LE7,LI7)&gt;0,SUM(LC7:LD7,LF7:LH7,LJ7)-SUM(LE7,LI7),"")</f>
        <v>63.949999999999996</v>
      </c>
      <c r="LW7" s="12">
        <f t="shared" ref="LW7" si="20">IF(SUM(LK7:LL7,LN7:LP7,LR7)-SUM(LM7,LQ7)&gt;0,SUM(LK7:LL7,LN7:LP7,LR7)-SUM(LM7,LQ7),"")</f>
        <v>54.6</v>
      </c>
      <c r="LX7" s="12">
        <f t="shared" ref="LX7" si="21">IF(SUM(LV7,LW7)&gt;0,SUM(LV7,LW7),"")</f>
        <v>118.55</v>
      </c>
    </row>
    <row r="8" spans="1:336" x14ac:dyDescent="0.2">
      <c r="A8" s="6">
        <f>IF(AND(F8="P",H8="P"),SUMPRODUCT((F$4:F$9="P")*(H$4:H$9="P")*(E$4:E$9&gt;E8))+1,IF(H8="P",SUMPRODUCT((F$4:F$9="")*(H$4:H$9="P")*(E$4:E$9&gt;E8))+1+SUMPRODUCT((F$4:F$9="P")*(H$4:H$9="P")),""))</f>
        <v>5</v>
      </c>
      <c r="B8" s="9" t="s">
        <v>97</v>
      </c>
      <c r="C8" s="5" t="s">
        <v>4</v>
      </c>
      <c r="D8" s="6">
        <v>2002</v>
      </c>
      <c r="E8" s="16">
        <f>SUM(J8:N8)</f>
        <v>120.1</v>
      </c>
      <c r="F8" s="4" t="str">
        <f>IF(OR(AND(AH8&gt;=AK$11,AJ8&gt;=AK$14,AJ8&lt;&gt;"",AG8=""),AND(BD8&gt;=BG$11,BF8&gt;=BG$14,BF8&lt;&gt;"",BC8=""),AND(CA8&gt;=CD$11,CC8&gt;=CD$14,CC8&lt;&gt;""),AND(CV8&gt;=CY$11,CX8&gt;=CY$14,CX8&lt;&gt;""),AND(DQ8&gt;=DT$11,DS8&gt;=DT$14,DS8&lt;&gt;""),AND(EL8&gt;=EO$11,EN8&gt;=EO$14,EN8&lt;&gt;""),AND(FG8&gt;=FJ$11,FI8&gt;=FJ$14,FI8&lt;&gt;""),AND(GB8&gt;=GE$11,GD8&gt;=GE$14,GD8&lt;&gt;""),AND(GW8&gt;=GZ$11,GY8&gt;=GZ$14,GY8&lt;&gt;""),AND(HR8&gt;=HU$11,HT8&gt;=HU$14,HT8&lt;&gt;""),AND(IM8&gt;=IP$11,IO8&gt;=IP$14,IO8&lt;&gt;""),AND(JH8&gt;=JK$11,JJ8&gt;=JK$14,JJ8&lt;&gt;""),AND(KC8&gt;=KF$11,KE8&gt;=KF$14,KE8&lt;&gt;""),AND(KX8&gt;=LA$11,KZ8&gt;=LA$14,KZ8&lt;&gt;"")),"P","")</f>
        <v>P</v>
      </c>
      <c r="G8" s="4" t="str">
        <f>IF(OR(AND(AH8&gt;=AK$12,AJ8&gt;=AK$15,AJ8&lt;&gt;"",AG8=""),AND(BD8&gt;=BG$12,BF8&gt;=BG$15,BF8&lt;&gt;"",BC8=""),AND(CA8&gt;=CD$12,CC8&gt;=CD$15,CC8&lt;&gt;""),AND(CV8&gt;=CY$12,CX8&gt;=CY$15,CX8&lt;&gt;""),AND(DQ8&gt;=DT$12,DS8&gt;=DT$15,DS8&lt;&gt;""),AND(EL8&gt;=EO$12,EN8&gt;=EO$15,EN8&lt;&gt;""),AND(FG8&gt;=FJ$12,FI8&gt;=FJ$15,FI8&lt;&gt;""),AND(GB8&gt;=GE$12,GD8&gt;=GE$15,GD8&lt;&gt;""),AND(GW8&gt;=GZ$12,GY8&gt;=GZ$15,GY8&lt;&gt;""),AND(HR8&gt;=HU$12,HT8&gt;=HU$15,HT8&lt;&gt;""),AND(IM8&gt;=IP$12,IO8&gt;=IP$15,IO8&lt;&gt;""),AND(JH8&gt;=JK$12,JJ8&gt;=JK$15,JJ8&lt;&gt;""),AND(KC8&gt;=KF$12,KE8&gt;=KF$15,KE8&lt;&gt;""),AND(KX8&gt;=LA$12,KZ8&gt;=LA$15,KZ8&lt;&gt;"")),"P","")</f>
        <v/>
      </c>
      <c r="H8" s="4" t="str">
        <f>IF(OR(AND(AJ8&gt;=AK$14,AJ8&lt;&gt;"",AG8=""),AND(BF8&gt;=BG$14,BF8&lt;&gt;"",BC8=""),AND(CC8&gt;=CD$14,CC8&lt;&gt;""),AND(CX8&gt;=CY$14,CX8&lt;&gt;""),AND(DS8&gt;=DT$14,DS8&lt;&gt;""),AND(EN8&gt;=EO$14,EN8&lt;&gt;""),AND(FI8&gt;=FJ$14,FI8&lt;&gt;""),AND(GD8&gt;=GE$14,GD8&lt;&gt;""),AND(GY8&gt;=GZ$14,GY8&lt;&gt;""),AND(HT8&gt;=HU$14,HT8&lt;&gt;""),AND(IO8&gt;=IP$14,IO8&lt;&gt;""),AND(JJ8&gt;=JK$14,JJ8&lt;&gt;""),AND(KE8&gt;=KF$14,KE8&lt;&gt;""),AND(KZ8&gt;=LA$14,KZ8&lt;&gt;"")),"P","")</f>
        <v>P</v>
      </c>
      <c r="I8" t="str">
        <f>IF(AND(H8="P",F8=""),"No DD",IF(OR(AND(AI8&gt;=AK$13,AI8&lt;&gt;"",AL8&gt;=AK$17,AL8&lt;&gt;"",AG8=""),AND(BE8&gt;=BG$13,BE8&lt;&gt;"",BH8&gt;=BG$17,BH8&lt;&gt;"",BC8=""),AND(CB8&gt;=CD$13,CB8&lt;&gt;"",CE8&gt;=CD$17,CE8&lt;&gt;""),AND(CW8&gt;=CY$13,CW8&lt;&gt;"",CZ8&gt;=CY$17,CZ8&lt;&gt;""),AND(DR8&gt;=DT$13,DR8&lt;&gt;"",DU8&gt;=DT$17,DU8&lt;&gt;""),AND(EM8&gt;=EO$13,EM8&lt;&gt;"",EP8&gt;=EO$17,EP8&lt;&gt;""),AND(FH8&gt;=FJ$13,FH8&lt;&gt;"",FK8&gt;=FJ$17,FK8&lt;&gt;""),AND(GC8&gt;=GE$13,GC8&lt;&gt;"",GF8&gt;=GE$17,GF8&lt;&gt;""),AND(GX8&gt;=GZ$13,GX8&lt;&gt;"",HA8&gt;=GZ$17,HA8&lt;&gt;""),AND(HS8&gt;=HU$13,HS8&lt;&gt;"",HV8&gt;=HU$17,HV8&lt;&gt;""),AND(IN8&gt;=IP$13,IN8&lt;&gt;"",IQ8&gt;=IP$17,IQ8&lt;&gt;""),AND(JI8&gt;=JK$13,JI8&lt;&gt;"",JL8&gt;=JK$17,JL8&lt;&gt;""),AND(KD8&gt;=KF$13,KD8&lt;&gt;"",KG8&gt;=KF$17,KG8&lt;&gt;""),AND(KY8&gt;=LA$13,KY8&lt;&gt;"",LB8&gt;=LA$17,LB8&lt;&gt;"")),"Merit",IF(OR(AND(AI8&gt;=AK$13,AI8&lt;&gt;"",AL8&gt;=AK$16,AL8&lt;&gt;"",AG8=""),AND(BE8&gt;=BG$13,BE8&lt;&gt;"",BH8&gt;=BG$16,BH8&lt;&gt;"",BC8=""),AND(CB8&gt;=CD$13,CB8&lt;&gt;"",CE8&gt;=CD$16,CE8&lt;&gt;""),AND(CW8&gt;=CY$13,CW8&lt;&gt;"",CZ8&gt;=CY$16,CZ8&lt;&gt;""),AND(DR8&gt;=DT$13,DR8&lt;&gt;"",DU8&gt;=DT$16,DU8&lt;&gt;""),AND(EM8&gt;=EO$13,EM8&lt;&gt;"",EP8&gt;=EO$16,EP8&lt;&gt;""),AND(FH8&gt;=FJ$13,FH8&lt;&gt;"",FK8&gt;=FJ$16,FK8&lt;&gt;""),AND(GC8&gt;=GE$13,GC8&lt;&gt;"",GF8&gt;=GE$16,GF8&lt;&gt;""),AND(GX8&gt;=GZ$13,GX8&lt;&gt;"",HA8&gt;=GZ$16,HA8&lt;&gt;""),AND(HS8&gt;=HU$13,HS8&lt;&gt;"",HV8&gt;=HU$16,HV8&lt;&gt;""),AND(IN8&gt;=IP$13,IN8&lt;&gt;"",IQ8&gt;=IP$16,IQ8&lt;&gt;""),AND(JI8&gt;=JK$13,JI8&lt;&gt;"",JL8&gt;=JK$16,JL8&lt;&gt;""),AND(KD8&gt;=KF$13,KD8&lt;&gt;"",KG8&gt;=KF$16,KG8&lt;&gt;""),AND(KY8&gt;=LA$13,KY8&lt;&gt;"",LB8&gt;=LA$16,LB8&lt;&gt;"")),"Excellence",IF(OR(AND(AH8&gt;=AK$12,AH8&lt;&gt;"",AJ8&gt;=AK$15,AJ8&lt;&gt;"",AG8=""),AND(BD8&gt;=BG$12,BD8&lt;&gt;"",BF8&gt;=BG$15,BF8&lt;&gt;"",BC8=""),AND(CA8&gt;=CD$12,CA8&lt;&gt;"",CC8&gt;=CD$15,CC8&lt;&gt;""),AND(CV8&gt;=CY$12,CV8&lt;&gt;"",CX8&gt;=CY$15,CX8&lt;&gt;""),AND(DQ8&gt;=DT$12,DQ8&lt;&gt;"",DS8&gt;=DT$15,DS8&lt;&gt;""),AND(EL8&gt;=EO$12,EL8&lt;&gt;"",EN8&gt;=EO$15,EN8&lt;&gt;""),AND(FG8&gt;=FJ$12,FG8&lt;&gt;"",FI8&gt;=FJ$15,FI8&lt;&gt;""),AND(GB8&gt;=GE$12,GB8&lt;&gt;"",GD8&gt;=GE$15,GD8&lt;&gt;""),AND(GW8&gt;=GZ$12,GW8&lt;&gt;"",GY8&gt;=GZ$15,GY8&lt;&gt;""),AND(HR8&gt;=HU$12,HR8&lt;&gt;"",HT8&gt;=HU$15,HT8&lt;&gt;""),AND(IM8&gt;=IP$12,IM8&lt;&gt;"",IO8&gt;=IP$15,IO8&lt;&gt;""),AND(JH8&gt;=JK$12,JH8&lt;&gt;"",JJ8&gt;=JK$15,JJ8&lt;&gt;""),AND(KC8&gt;=KF$12,KC8&lt;&gt;"",KE8&gt;=KF$15,KE8&lt;&gt;""),AND(KX8&gt;=LA$12,KX8&lt;&gt;"",KZ8&gt;=LA$15,KZ8&lt;&gt;"")),"Worlds Team",IF(OR(AND(AH8&gt;=AK$11,AH8&lt;&gt;"",AJ8&gt;=AK$14,AJ8&lt;&gt;"",AG8=""),AND(BD8&gt;=BG$11,BD8&lt;&gt;"",BF8&gt;=BG$14,BF8&lt;&gt;"",BC8=""),AND(CA8&gt;=CD$11,CA8&lt;&gt;"",CC8&gt;=CD$14,CC8&lt;&gt;""),AND(CV8&gt;=CY$11,CV8&lt;&gt;"",CX8&gt;=CY$14,CX8&lt;&gt;""),AND(DQ8&gt;=DT$11,DQ8&lt;&gt;"",DS8&gt;=DT$14,DS8&lt;&gt;""),AND(EL8&gt;=EO$11,EL8&lt;&gt;"",EN8&gt;=EO$14,EN8&lt;&gt;""),AND(FG8&gt;=FJ$11,FG8&lt;&gt;"",FI8&gt;=FJ$14,FI8&lt;&gt;""),AND(GB8&gt;=GE$11,GB8&lt;&gt;"",GD8&gt;=GE$14,GD8&lt;&gt;""),AND(GW8&gt;=GZ$11,GW8&lt;&gt;"",GY8&gt;=GZ$14,GY8&lt;&gt;""),AND(HR8&gt;=HU$11,HR8&lt;&gt;"",HT8&gt;=HU$14,HT8&lt;&gt;""),AND(IM8&gt;=IP$11,IM8&lt;&gt;"",IO8&gt;=IP$14,IO8&lt;&gt;""),AND(JH8&gt;=JK$11,JH8&lt;&gt;"",JJ8&gt;=JK$14,JJ8&lt;&gt;""),AND(KC8&gt;=KF$11,KC8&lt;&gt;"",KE8&gt;=KF$14,KE8&lt;&gt;""),AND(KX8&gt;=LA$11,KX8&lt;&gt;"",KZ8&gt;=LA$14,KZ8&lt;&gt;"")),"National Team","")))))</f>
        <v>National Team</v>
      </c>
      <c r="J8" s="15">
        <f>IF(MAX(AL8,BH8)&gt;0,MAX(AL8,BH8),"")</f>
        <v>120.1</v>
      </c>
      <c r="K8" s="15" t="str">
        <f>IF(J8="","",IF(J8=BH8,$AM$1,IF(J8=AL8,$Q$1,"")))</f>
        <v>2019 Elite Canada</v>
      </c>
      <c r="L8" s="15" t="str">
        <f>IF(J8=AL8,IF(MAX(BF8,BG8)&gt;0,MAX(BF8,BG8),""),IF(J8=BH8,IF(MAX(AJ8,AK8)&gt;0,MAX(AJ8,AK8),""),MAX(AJ8,AK8,BF8,BG8)))</f>
        <v/>
      </c>
      <c r="M8" s="15" t="str">
        <f>IF(L8="","",IF(AND(J8&lt;&gt;BH8,OR(L8=BG8,L8=BF8)),$AM$1,IF(OR(L8=AK8,L8=AJ8),$Q$1,"")))</f>
        <v/>
      </c>
      <c r="N8" s="15" t="str">
        <f>IF(MAX(BI8:BJ8)&gt;0,MAX(BI8:BJ8),"")</f>
        <v/>
      </c>
      <c r="O8" s="25" t="str">
        <f>IF(N8="","",IF(N8=BI8,"(4 Pass)",IF(N8=BJ8,"(2 Pass)")))</f>
        <v/>
      </c>
      <c r="P8" s="15" t="str">
        <f>IF(N8="","",IF(N8=BI8,IF(N8+IF(J8="",0,J8)=CE8,$BK$1,IF(N8+IF(J8="",0,J8)=CZ8,$CF$1,IF(N8+IF(J8="",0,J8)=DU8,$DA$1,IF(N8+IF(J8="",0,J8)=EP8,$DV$1,IF(N8+IF(J8="",0,J8)=FK8,$EQ$1,IF(N8+IF(J8="",0,J8)=GF8,$FL$1,IF(N8+IF(J8="",0,J8)=HA8,$GG$1,IF(N8+IF(J8="",0,J8)=HV8,$HB$1,IF(N8+IF(J8="",0,J8)=IQ8,$HW$1,IF(N8+IF(J8="",0,J8)=JL8,$IR$1,IF(N8+IF(J8="",0,J8)=KG8,$JM$1,IF(N8+IF(J8="",0,J8)=LB8,$KH$1)))))))))))),IF(N8=BJ8,IF(OR(N8+IF(L8="",0,L8)=CC8,N8+IF(L8="",0,L8)=CD8),$BK$1,IF(OR(N8+IF(L8="",0,L8)=CX8,N8+IF(L8="",0,L8)=CY8),$CF$1,IF(OR(N8+IF(L8="",0,L8)=DS8,N8+IF(L8="",0,L8)=DT8),$DA$1,IF(OR(N8+IF(L8="",0,L8)=EN8,N8+IF(L8="",0,L8)=EO8),$DV$1,IF(OR(N8+IF(L8="",0,L8)=FI8,N8+IF(L8="",0,L8)=FJ8),$EQ$1,IF(OR(N8+IF(L8="",0,L8)=GD8,N8+IF(L8="",0,L8)=GE8),$FL$1,IF(OR(N8+IF(L8="",0,L8)=GY8,N8+IF(L8="",0,L8)=GZ8),$GG$1,IF(OR(N8+IF(L8="",0,L8)=HT8,N8+IF(L8="",0,L8)=HU8),$HB$1,IF(OR(N8+IF(L8="",0,L8)=IO8,N8+IF(L8="",0,L8)=IP8),$HW$1,IF(OR(N8+IF(L8="",0,L8)=JJ8,N8+IF(L8="",0,L8)=JK8),$IR$1,IF(OR(N8+IF(L8="",0,L8)=KE8,N8+IF(L8="",0,L8)=KF8),$JM$1,IF(OR(N8+IF(L8="",0,L8)=KZ8,N8+IF(L8="",0,L8)=LA8),$KH$1)))))))))))))))</f>
        <v/>
      </c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74"/>
      <c r="AH8" s="12" t="str">
        <f>IF(SUM(R8,V8)&gt;0,SUM(R8,V8),"")</f>
        <v/>
      </c>
      <c r="AI8" s="12" t="str">
        <f>IF(SUM(R8,V8,Z8,AD8)&gt;0,SUM(R8,V8,Z8,AD8),"")</f>
        <v/>
      </c>
      <c r="AJ8" s="12" t="str">
        <f>IF(SUM(Q8:R8,T8:V8,X8)-SUM(S8,W8)&gt;0,SUM(Q8:R8,T8:V8,X8)-SUM(S8,W8),"")</f>
        <v/>
      </c>
      <c r="AK8" s="12" t="str">
        <f>IF(SUM(Y8:Z8,AB8:AD8,AF8)-SUM(AA8,AE8)&gt;0,SUM(Y8:Z8,AB8:AD8,AF8)-SUM(AA8,AE8),"")</f>
        <v/>
      </c>
      <c r="AL8" s="12"/>
      <c r="AM8" s="37">
        <v>28.5</v>
      </c>
      <c r="AN8" s="37">
        <v>5.2</v>
      </c>
      <c r="AO8" s="37">
        <v>0.9</v>
      </c>
      <c r="AP8" s="37">
        <v>0</v>
      </c>
      <c r="AQ8" s="37">
        <v>28.6</v>
      </c>
      <c r="AR8" s="37">
        <v>5.6</v>
      </c>
      <c r="AS8" s="37">
        <v>0</v>
      </c>
      <c r="AT8" s="37">
        <v>0</v>
      </c>
      <c r="AU8" s="37">
        <v>20.2</v>
      </c>
      <c r="AV8" s="37">
        <v>2.8</v>
      </c>
      <c r="AW8" s="37">
        <v>0</v>
      </c>
      <c r="AX8" s="37">
        <v>0</v>
      </c>
      <c r="AY8" s="37">
        <v>28.2</v>
      </c>
      <c r="AZ8" s="37">
        <v>3.4</v>
      </c>
      <c r="BA8" s="37">
        <v>1.5</v>
      </c>
      <c r="BB8" s="37">
        <v>0</v>
      </c>
      <c r="BC8" s="75"/>
      <c r="BD8" s="15">
        <f>IF(SUM(AN8,AR8)&gt;0,SUM(AN8,AR8),"")</f>
        <v>10.8</v>
      </c>
      <c r="BE8" s="15">
        <f>IF(SUM(AN8,AR8,AV8,AZ8)&gt;0,SUM(AN8,AR8,AV8,AZ8),"")</f>
        <v>17</v>
      </c>
      <c r="BF8" s="15">
        <f>IF(SUM(AM8:AN8,AP8:AR8,AT8)-SUM(AO8,AS8)&gt;0,SUM(AM8:AN8,AP8:AR8,AT8)-SUM(AO8,AS8),"")</f>
        <v>67</v>
      </c>
      <c r="BG8" s="15">
        <f>IF(SUM(AU8:AV8,AX8:AZ8,BB8)-SUM(AW8,BA8)&gt;0,SUM(AU8:AV8,AX8:AZ8,BB8)-SUM(AW8,BA8),"")</f>
        <v>53.1</v>
      </c>
      <c r="BH8" s="15">
        <f>IF(SUM(BF8,BG8)&gt;0,SUM(BF8,BG8),"")</f>
        <v>120.1</v>
      </c>
      <c r="BI8" s="24"/>
      <c r="BJ8" s="24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>
        <v>0</v>
      </c>
      <c r="BZ8" s="41">
        <v>0</v>
      </c>
      <c r="CA8" s="12" t="str">
        <f>IF(SUM(BL8,BP8)&gt;0,SUM(BL8,BP8),"")</f>
        <v/>
      </c>
      <c r="CB8" s="12" t="str">
        <f>IF(SUM(BL8,BP8,BT8,BX8)&gt;0,SUM(BL8,BP8,BT8,BX8),"")</f>
        <v/>
      </c>
      <c r="CC8" s="12"/>
      <c r="CD8" s="12"/>
      <c r="CE8" s="12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15" t="str">
        <f>IF(SUM(CG8,CK8)&gt;0,SUM(CG8,CK8),"")</f>
        <v/>
      </c>
      <c r="CW8" s="15"/>
      <c r="CX8" s="15"/>
      <c r="CY8" s="15"/>
      <c r="CZ8" s="15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12"/>
      <c r="DR8" s="12"/>
      <c r="DS8" s="12"/>
      <c r="DT8" s="12"/>
      <c r="DU8" s="12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15"/>
      <c r="EM8" s="15"/>
      <c r="EN8" s="15"/>
      <c r="EO8" s="15"/>
      <c r="EP8" s="15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12"/>
      <c r="FH8" s="12"/>
      <c r="FI8" s="12"/>
      <c r="FJ8" s="12"/>
      <c r="FK8" s="12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15"/>
      <c r="GC8" s="15"/>
      <c r="GD8" s="15"/>
      <c r="GE8" s="15"/>
      <c r="GF8" s="15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12"/>
      <c r="GX8" s="12"/>
      <c r="GY8" s="12"/>
      <c r="GZ8" s="12"/>
      <c r="HA8" s="12"/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15"/>
      <c r="HS8" s="15"/>
      <c r="HT8" s="15"/>
      <c r="HU8" s="15"/>
      <c r="HV8" s="15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12"/>
      <c r="IN8" s="12"/>
      <c r="IO8" s="12"/>
      <c r="IP8" s="12"/>
      <c r="IQ8" s="12"/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15"/>
      <c r="JI8" s="15"/>
      <c r="JJ8" s="15"/>
      <c r="JK8" s="15"/>
      <c r="JL8" s="15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12"/>
      <c r="KD8" s="12"/>
      <c r="KE8" s="12"/>
      <c r="KF8" s="12"/>
      <c r="KG8" s="12"/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15" t="str">
        <f>IF(SUM(KI8,KM8)&gt;0,SUM(KI8,KM8),"")</f>
        <v/>
      </c>
      <c r="KY8" s="15" t="str">
        <f>IF(SUM(KI8,KM8,KQ8,KU8)&gt;0,SUM(KI8,KM8,KQ8,KU8),"")</f>
        <v/>
      </c>
      <c r="KZ8" s="15" t="str">
        <f>IF(SUM(KH8:KI8,KK8:KM8,KO8)-SUM(KJ8,KN8)&gt;0,SUM(KH8:KI8,KK8:KM8,KO8)-SUM(KJ8,KN8),"")</f>
        <v/>
      </c>
      <c r="LA8" s="15" t="str">
        <f>IF(SUM(KP8:KQ8,KS8:KU8,KW8)-SUM(KR8,KV8)&gt;0,SUM(KP8:KQ8,KS8:KU8,KW8)-SUM(KR8,KV8),"")</f>
        <v/>
      </c>
      <c r="LB8" s="15" t="str">
        <f>IF(SUM(KZ8,LA8)&gt;0,SUM(KZ8,LA8),"")</f>
        <v/>
      </c>
      <c r="LC8" s="63">
        <f t="shared" si="6"/>
        <v>14.25</v>
      </c>
      <c r="LD8" s="63">
        <f t="shared" si="0"/>
        <v>2.6</v>
      </c>
      <c r="LE8" s="63">
        <f t="shared" si="0"/>
        <v>0.45</v>
      </c>
      <c r="LF8" s="63">
        <f t="shared" si="0"/>
        <v>0</v>
      </c>
      <c r="LG8" s="63">
        <f t="shared" si="0"/>
        <v>14.3</v>
      </c>
      <c r="LH8" s="63">
        <f t="shared" si="0"/>
        <v>2.8</v>
      </c>
      <c r="LI8" s="63">
        <f t="shared" si="0"/>
        <v>0</v>
      </c>
      <c r="LJ8" s="63">
        <f t="shared" si="0"/>
        <v>0</v>
      </c>
      <c r="LK8" s="63">
        <f t="shared" si="0"/>
        <v>10.1</v>
      </c>
      <c r="LL8" s="63">
        <f t="shared" si="0"/>
        <v>1.4</v>
      </c>
      <c r="LM8" s="63">
        <f t="shared" si="0"/>
        <v>0</v>
      </c>
      <c r="LN8" s="63">
        <f t="shared" si="0"/>
        <v>0</v>
      </c>
      <c r="LO8" s="63">
        <f t="shared" si="0"/>
        <v>14.1</v>
      </c>
      <c r="LP8" s="63">
        <f t="shared" si="0"/>
        <v>1.7</v>
      </c>
      <c r="LQ8" s="63">
        <f t="shared" si="0"/>
        <v>0.75</v>
      </c>
      <c r="LR8" s="63">
        <f t="shared" si="0"/>
        <v>0</v>
      </c>
      <c r="LS8" s="74" t="s">
        <v>119</v>
      </c>
      <c r="LT8" s="12">
        <f t="shared" ref="LT8" si="22">IF(SUM(LD8,LH8)&gt;0,SUM(LD8,LH8),"")</f>
        <v>5.4</v>
      </c>
      <c r="LU8" s="12">
        <f t="shared" ref="LU8" si="23">IF(SUM(LD8,LH8,LL8,LP8)&gt;0,SUM(LD8,LH8,LL8,LP8),"")</f>
        <v>8.5</v>
      </c>
      <c r="LV8" s="12">
        <f t="shared" ref="LV8" si="24">IF(SUM(LC8:LD8,LF8:LH8,LJ8)-SUM(LE8,LI8)&gt;0,SUM(LC8:LD8,LF8:LH8,LJ8)-SUM(LE8,LI8),"")</f>
        <v>33.5</v>
      </c>
      <c r="LW8" s="12">
        <f t="shared" ref="LW8" si="25">IF(SUM(LK8:LL8,LN8:LP8,LR8)-SUM(LM8,LQ8)&gt;0,SUM(LK8:LL8,LN8:LP8,LR8)-SUM(LM8,LQ8),"")</f>
        <v>26.55</v>
      </c>
      <c r="LX8" s="12">
        <f t="shared" ref="LX8" si="26">IF(SUM(LV8,LW8)&gt;0,SUM(LV8,LW8),"")</f>
        <v>60.05</v>
      </c>
    </row>
    <row r="9" spans="1:336" s="47" customFormat="1" x14ac:dyDescent="0.2">
      <c r="A9" s="8"/>
      <c r="B9" s="9"/>
      <c r="C9" s="5"/>
      <c r="D9" s="8"/>
      <c r="E9" s="95"/>
      <c r="F9" s="96"/>
      <c r="G9" s="96"/>
      <c r="H9" s="96"/>
      <c r="J9" s="48"/>
      <c r="K9" s="48"/>
      <c r="L9" s="48"/>
      <c r="M9" s="48"/>
      <c r="N9" s="48"/>
      <c r="O9" s="97"/>
      <c r="P9" s="4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9"/>
      <c r="AH9" s="48"/>
      <c r="AI9" s="48"/>
      <c r="AJ9" s="48"/>
      <c r="AK9" s="48"/>
      <c r="AL9" s="48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  <c r="BA9" s="100"/>
      <c r="BB9" s="100"/>
      <c r="BC9" s="99"/>
      <c r="BD9" s="48"/>
      <c r="BE9" s="48"/>
      <c r="BF9" s="48"/>
      <c r="BG9" s="48"/>
      <c r="BH9" s="48"/>
      <c r="BI9" s="48"/>
      <c r="BJ9" s="48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  <c r="BW9" s="101"/>
      <c r="BX9" s="101"/>
      <c r="BY9" s="101"/>
      <c r="BZ9" s="101"/>
      <c r="CA9" s="48"/>
      <c r="CB9" s="48"/>
      <c r="CC9" s="48"/>
      <c r="CD9" s="48"/>
      <c r="CE9" s="48"/>
      <c r="CF9" s="101"/>
      <c r="CG9" s="101"/>
      <c r="CH9" s="101"/>
      <c r="CI9" s="101"/>
      <c r="CJ9" s="101"/>
      <c r="CK9" s="101"/>
      <c r="CL9" s="101"/>
      <c r="CM9" s="101"/>
      <c r="CN9" s="101"/>
      <c r="CO9" s="101"/>
      <c r="CP9" s="101"/>
      <c r="CQ9" s="101"/>
      <c r="CR9" s="101"/>
      <c r="CS9" s="101"/>
      <c r="CT9" s="101"/>
      <c r="CU9" s="101"/>
      <c r="CV9" s="48"/>
      <c r="CW9" s="48"/>
      <c r="CX9" s="48"/>
      <c r="CY9" s="48"/>
      <c r="CZ9" s="48"/>
      <c r="DA9" s="101"/>
      <c r="DB9" s="101"/>
      <c r="DC9" s="101"/>
      <c r="DD9" s="101"/>
      <c r="DE9" s="101"/>
      <c r="DF9" s="101"/>
      <c r="DG9" s="101"/>
      <c r="DH9" s="101"/>
      <c r="DI9" s="101"/>
      <c r="DJ9" s="101"/>
      <c r="DK9" s="101"/>
      <c r="DL9" s="101"/>
      <c r="DM9" s="101"/>
      <c r="DN9" s="101"/>
      <c r="DO9" s="101"/>
      <c r="DP9" s="101"/>
      <c r="DQ9" s="48"/>
      <c r="DR9" s="48"/>
      <c r="DS9" s="48"/>
      <c r="DT9" s="48"/>
      <c r="DU9" s="48"/>
      <c r="DV9" s="101"/>
      <c r="DW9" s="101"/>
      <c r="DX9" s="101"/>
      <c r="DY9" s="101"/>
      <c r="DZ9" s="101"/>
      <c r="EA9" s="101"/>
      <c r="EB9" s="101"/>
      <c r="EC9" s="101"/>
      <c r="ED9" s="101"/>
      <c r="EE9" s="101"/>
      <c r="EF9" s="101"/>
      <c r="EG9" s="101"/>
      <c r="EH9" s="101"/>
      <c r="EI9" s="101"/>
      <c r="EJ9" s="101"/>
      <c r="EK9" s="101"/>
      <c r="EL9" s="48"/>
      <c r="EM9" s="48"/>
      <c r="EN9" s="48"/>
      <c r="EO9" s="48"/>
      <c r="EP9" s="48"/>
      <c r="EQ9" s="101"/>
      <c r="ER9" s="101"/>
      <c r="ES9" s="101"/>
      <c r="ET9" s="101"/>
      <c r="EU9" s="101"/>
      <c r="EV9" s="101"/>
      <c r="EW9" s="101"/>
      <c r="EX9" s="101"/>
      <c r="EY9" s="101"/>
      <c r="EZ9" s="101"/>
      <c r="FA9" s="101"/>
      <c r="FB9" s="101"/>
      <c r="FC9" s="101"/>
      <c r="FD9" s="101"/>
      <c r="FE9" s="101"/>
      <c r="FF9" s="101"/>
      <c r="FG9" s="48"/>
      <c r="FH9" s="48"/>
      <c r="FI9" s="48"/>
      <c r="FJ9" s="48"/>
      <c r="FK9" s="48"/>
      <c r="FL9" s="101"/>
      <c r="FM9" s="101"/>
      <c r="FN9" s="101"/>
      <c r="FO9" s="101"/>
      <c r="FP9" s="101"/>
      <c r="FQ9" s="101"/>
      <c r="FR9" s="101"/>
      <c r="FS9" s="101"/>
      <c r="FT9" s="101"/>
      <c r="FU9" s="101"/>
      <c r="FV9" s="101"/>
      <c r="FW9" s="101"/>
      <c r="FX9" s="101"/>
      <c r="FY9" s="101"/>
      <c r="FZ9" s="101"/>
      <c r="GA9" s="101"/>
      <c r="GB9" s="48"/>
      <c r="GC9" s="48"/>
      <c r="GD9" s="48"/>
      <c r="GE9" s="48"/>
      <c r="GF9" s="48"/>
      <c r="GG9" s="101"/>
      <c r="GH9" s="101"/>
      <c r="GI9" s="101"/>
      <c r="GJ9" s="101"/>
      <c r="GK9" s="101"/>
      <c r="GL9" s="101"/>
      <c r="GM9" s="101"/>
      <c r="GN9" s="101"/>
      <c r="GO9" s="101"/>
      <c r="GP9" s="101"/>
      <c r="GQ9" s="101"/>
      <c r="GR9" s="101"/>
      <c r="GS9" s="101"/>
      <c r="GT9" s="101"/>
      <c r="GU9" s="101"/>
      <c r="GV9" s="101"/>
      <c r="GW9" s="48"/>
      <c r="GX9" s="48"/>
      <c r="GY9" s="48"/>
      <c r="GZ9" s="48"/>
      <c r="HA9" s="48"/>
      <c r="HB9" s="101"/>
      <c r="HC9" s="101"/>
      <c r="HD9" s="101"/>
      <c r="HE9" s="101"/>
      <c r="HF9" s="101"/>
      <c r="HG9" s="101"/>
      <c r="HH9" s="101"/>
      <c r="HI9" s="101"/>
      <c r="HJ9" s="101"/>
      <c r="HK9" s="101"/>
      <c r="HL9" s="101"/>
      <c r="HM9" s="101"/>
      <c r="HN9" s="101"/>
      <c r="HO9" s="101"/>
      <c r="HP9" s="101"/>
      <c r="HQ9" s="101"/>
      <c r="HR9" s="48"/>
      <c r="HS9" s="48"/>
      <c r="HT9" s="48"/>
      <c r="HU9" s="48"/>
      <c r="HV9" s="48"/>
      <c r="HW9" s="101"/>
      <c r="HX9" s="101"/>
      <c r="HY9" s="101"/>
      <c r="HZ9" s="101"/>
      <c r="IA9" s="101"/>
      <c r="IB9" s="101"/>
      <c r="IC9" s="101"/>
      <c r="ID9" s="101"/>
      <c r="IE9" s="101"/>
      <c r="IF9" s="101"/>
      <c r="IG9" s="101"/>
      <c r="IH9" s="101"/>
      <c r="II9" s="101"/>
      <c r="IJ9" s="101"/>
      <c r="IK9" s="101"/>
      <c r="IL9" s="101"/>
      <c r="IM9" s="48"/>
      <c r="IN9" s="48"/>
      <c r="IO9" s="48"/>
      <c r="IP9" s="48"/>
      <c r="IQ9" s="48"/>
      <c r="IR9" s="101"/>
      <c r="IS9" s="101"/>
      <c r="IT9" s="101"/>
      <c r="IU9" s="101"/>
      <c r="IV9" s="101"/>
      <c r="IW9" s="101"/>
      <c r="IX9" s="101"/>
      <c r="IY9" s="101"/>
      <c r="IZ9" s="101"/>
      <c r="JA9" s="101"/>
      <c r="JB9" s="101"/>
      <c r="JC9" s="101"/>
      <c r="JD9" s="101"/>
      <c r="JE9" s="101"/>
      <c r="JF9" s="101"/>
      <c r="JG9" s="101"/>
      <c r="JH9" s="48"/>
      <c r="JI9" s="48"/>
      <c r="JJ9" s="48"/>
      <c r="JK9" s="48"/>
      <c r="JL9" s="48"/>
      <c r="JM9" s="101"/>
      <c r="JN9" s="101"/>
      <c r="JO9" s="101"/>
      <c r="JP9" s="101"/>
      <c r="JQ9" s="101"/>
      <c r="JR9" s="101"/>
      <c r="JS9" s="101"/>
      <c r="JT9" s="101"/>
      <c r="JU9" s="101"/>
      <c r="JV9" s="101"/>
      <c r="JW9" s="101"/>
      <c r="JX9" s="101"/>
      <c r="JY9" s="101"/>
      <c r="JZ9" s="101"/>
      <c r="KA9" s="101"/>
      <c r="KB9" s="101"/>
      <c r="KC9" s="48"/>
      <c r="KD9" s="48"/>
      <c r="KE9" s="48"/>
      <c r="KF9" s="48"/>
      <c r="KG9" s="48"/>
      <c r="KH9" s="101"/>
      <c r="KI9" s="101"/>
      <c r="KJ9" s="101"/>
      <c r="KK9" s="101"/>
      <c r="KL9" s="101"/>
      <c r="KM9" s="101"/>
      <c r="KN9" s="101"/>
      <c r="KO9" s="101"/>
      <c r="KP9" s="101"/>
      <c r="KQ9" s="101"/>
      <c r="KR9" s="101"/>
      <c r="KS9" s="101"/>
      <c r="KT9" s="101"/>
      <c r="KU9" s="101"/>
      <c r="KV9" s="101"/>
      <c r="KW9" s="101"/>
      <c r="KX9" s="48"/>
      <c r="KY9" s="48"/>
      <c r="KZ9" s="48"/>
      <c r="LA9" s="48"/>
      <c r="LB9" s="48"/>
    </row>
    <row r="10" spans="1:336" x14ac:dyDescent="0.2">
      <c r="AH10" s="48"/>
      <c r="AI10" s="48"/>
      <c r="BD10" s="48"/>
      <c r="BE10" s="48"/>
      <c r="CA10" s="48"/>
      <c r="CB10" s="48"/>
      <c r="CV10" s="48"/>
      <c r="CW10" s="48"/>
      <c r="DQ10" s="48"/>
      <c r="DR10" s="48"/>
      <c r="EL10" s="48"/>
      <c r="EM10" s="48"/>
      <c r="FG10" s="48"/>
      <c r="FH10" s="48"/>
      <c r="GB10" s="48"/>
      <c r="GC10" s="48"/>
      <c r="GW10" s="48"/>
      <c r="GX10" s="48"/>
      <c r="HR10" s="48"/>
      <c r="HS10" s="48"/>
      <c r="IM10" s="48"/>
      <c r="IN10" s="48"/>
      <c r="JH10" s="48"/>
      <c r="JI10" s="48"/>
      <c r="KC10" s="48"/>
      <c r="KD10" s="48"/>
      <c r="KX10" s="48"/>
      <c r="KY10" s="48"/>
    </row>
    <row r="11" spans="1:336" x14ac:dyDescent="0.2">
      <c r="B11" s="64" t="s">
        <v>51</v>
      </c>
      <c r="AH11" s="48"/>
      <c r="AI11" s="48"/>
      <c r="AK11" s="58">
        <v>9.6</v>
      </c>
      <c r="BD11" s="48"/>
      <c r="BE11" s="48"/>
      <c r="BG11" s="58">
        <v>10.4</v>
      </c>
      <c r="CA11" s="48"/>
      <c r="CB11" s="48"/>
      <c r="CD11" s="58">
        <v>11.6</v>
      </c>
      <c r="CV11" s="48"/>
      <c r="CW11" s="48"/>
      <c r="CY11" s="58">
        <v>10.4</v>
      </c>
      <c r="DQ11" s="48"/>
      <c r="DR11" s="48"/>
      <c r="DT11" s="58">
        <v>10.4</v>
      </c>
      <c r="EL11" s="48"/>
      <c r="EM11" s="48"/>
      <c r="EO11" s="58">
        <v>10.4</v>
      </c>
      <c r="FG11" s="48"/>
      <c r="FH11" s="48"/>
      <c r="FJ11" s="58">
        <v>10.4</v>
      </c>
      <c r="GB11" s="48"/>
      <c r="GC11" s="48"/>
      <c r="GE11" s="58">
        <v>10.4</v>
      </c>
      <c r="GW11" s="48"/>
      <c r="GX11" s="48"/>
      <c r="GZ11" s="58">
        <v>10.4</v>
      </c>
      <c r="HR11" s="48"/>
      <c r="HS11" s="48"/>
      <c r="HU11" s="58">
        <v>10.4</v>
      </c>
      <c r="IM11" s="48"/>
      <c r="IN11" s="48"/>
      <c r="IP11" s="58">
        <v>10.4</v>
      </c>
      <c r="JH11" s="48"/>
      <c r="JI11" s="48"/>
      <c r="JK11" s="58">
        <v>10.4</v>
      </c>
      <c r="KC11" s="48"/>
      <c r="KD11" s="48"/>
      <c r="KF11" s="58">
        <v>10.4</v>
      </c>
      <c r="KX11" s="48"/>
      <c r="KY11" s="48"/>
      <c r="LA11" s="58">
        <v>10.4</v>
      </c>
    </row>
    <row r="12" spans="1:336" hidden="1" x14ac:dyDescent="0.2">
      <c r="B12" s="90" t="s">
        <v>50</v>
      </c>
      <c r="AH12" s="48"/>
      <c r="AI12" s="48"/>
      <c r="AK12" s="92">
        <v>22</v>
      </c>
      <c r="BD12" s="48"/>
      <c r="BE12" s="48"/>
      <c r="BG12" s="92">
        <v>22</v>
      </c>
      <c r="CA12" s="48"/>
      <c r="CB12" s="48"/>
      <c r="CD12" s="92">
        <v>22</v>
      </c>
      <c r="CV12" s="48"/>
      <c r="CW12" s="48"/>
      <c r="CY12" s="92">
        <v>19.600000000000001</v>
      </c>
      <c r="DQ12" s="48"/>
      <c r="DR12" s="48"/>
      <c r="DT12" s="92">
        <v>19.600000000000001</v>
      </c>
      <c r="EL12" s="48"/>
      <c r="EM12" s="48"/>
      <c r="EO12" s="92">
        <v>19.600000000000001</v>
      </c>
      <c r="FG12" s="48"/>
      <c r="FH12" s="48"/>
      <c r="FJ12" s="92">
        <v>19.600000000000001</v>
      </c>
      <c r="GB12" s="48"/>
      <c r="GC12" s="48"/>
      <c r="GE12" s="92">
        <v>19.600000000000001</v>
      </c>
      <c r="GW12" s="48"/>
      <c r="GX12" s="48"/>
      <c r="GZ12" s="92">
        <v>19.600000000000001</v>
      </c>
      <c r="HR12" s="48"/>
      <c r="HS12" s="48"/>
      <c r="HU12" s="92">
        <v>19.600000000000001</v>
      </c>
      <c r="IM12" s="48"/>
      <c r="IN12" s="48"/>
      <c r="IP12" s="92">
        <v>19.600000000000001</v>
      </c>
      <c r="JH12" s="48"/>
      <c r="JI12" s="48"/>
      <c r="JK12" s="92">
        <v>19.600000000000001</v>
      </c>
      <c r="KC12" s="48"/>
      <c r="KD12" s="48"/>
      <c r="KF12" s="92">
        <v>19.600000000000001</v>
      </c>
      <c r="KX12" s="48"/>
      <c r="KY12" s="48"/>
      <c r="LA12" s="92">
        <v>19.600000000000001</v>
      </c>
    </row>
    <row r="13" spans="1:336" x14ac:dyDescent="0.2">
      <c r="A13" s="50"/>
      <c r="B13" s="91" t="s">
        <v>76</v>
      </c>
      <c r="C13" s="49"/>
      <c r="AK13" s="93">
        <v>22</v>
      </c>
      <c r="BG13" s="93">
        <v>19.600000000000001</v>
      </c>
      <c r="CD13" s="93">
        <v>22</v>
      </c>
      <c r="CY13" s="93">
        <v>19.600000000000001</v>
      </c>
      <c r="DT13" s="93">
        <v>19.600000000000001</v>
      </c>
      <c r="EO13" s="93">
        <v>19.600000000000001</v>
      </c>
      <c r="FJ13" s="93">
        <v>19.600000000000001</v>
      </c>
      <c r="GE13" s="93">
        <v>19.600000000000001</v>
      </c>
      <c r="GZ13" s="93">
        <v>19.600000000000001</v>
      </c>
      <c r="HU13" s="93">
        <v>19.600000000000001</v>
      </c>
      <c r="IP13" s="93">
        <v>19.600000000000001</v>
      </c>
      <c r="JK13" s="93">
        <v>19.600000000000001</v>
      </c>
      <c r="KF13" s="93">
        <v>19.600000000000001</v>
      </c>
      <c r="LA13" s="93">
        <v>19.600000000000001</v>
      </c>
    </row>
    <row r="14" spans="1:336" x14ac:dyDescent="0.2">
      <c r="A14" s="50"/>
      <c r="B14" s="65" t="s">
        <v>48</v>
      </c>
      <c r="C14" s="49"/>
      <c r="AK14" s="59">
        <v>66.099999999999994</v>
      </c>
      <c r="BG14" s="59">
        <v>65</v>
      </c>
      <c r="CD14" s="59">
        <v>66.099999999999994</v>
      </c>
      <c r="CY14" s="59">
        <v>65</v>
      </c>
      <c r="DT14" s="59">
        <v>65</v>
      </c>
      <c r="EO14" s="59">
        <v>65</v>
      </c>
      <c r="FJ14" s="59">
        <v>65</v>
      </c>
      <c r="GE14" s="59">
        <v>65</v>
      </c>
      <c r="GZ14" s="59">
        <v>65</v>
      </c>
      <c r="HU14" s="59">
        <v>65</v>
      </c>
      <c r="IP14" s="59">
        <v>65</v>
      </c>
      <c r="JK14" s="59">
        <v>65</v>
      </c>
      <c r="KF14" s="59">
        <v>65</v>
      </c>
      <c r="LA14" s="59">
        <v>65</v>
      </c>
    </row>
    <row r="15" spans="1:336" hidden="1" x14ac:dyDescent="0.2">
      <c r="A15" s="50"/>
      <c r="B15" s="66" t="s">
        <v>49</v>
      </c>
      <c r="C15" s="49"/>
      <c r="AH15" s="50"/>
      <c r="AI15" s="50"/>
      <c r="AK15" s="60">
        <v>132</v>
      </c>
      <c r="BD15" s="50"/>
      <c r="BE15" s="50"/>
      <c r="BG15" s="60">
        <v>132</v>
      </c>
      <c r="CA15" s="50"/>
      <c r="CB15" s="50"/>
      <c r="CD15" s="60">
        <v>132</v>
      </c>
      <c r="CV15" s="50"/>
      <c r="CW15" s="50"/>
      <c r="CY15" s="60">
        <v>130</v>
      </c>
      <c r="DQ15" s="50"/>
      <c r="DR15" s="50"/>
      <c r="DT15" s="60">
        <v>130</v>
      </c>
      <c r="EL15" s="50"/>
      <c r="EM15" s="50"/>
      <c r="EO15" s="60">
        <v>130</v>
      </c>
      <c r="FG15" s="50"/>
      <c r="FH15" s="50"/>
      <c r="FJ15" s="60">
        <v>130</v>
      </c>
      <c r="GB15" s="50"/>
      <c r="GC15" s="50"/>
      <c r="GE15" s="60">
        <v>130</v>
      </c>
      <c r="GW15" s="50"/>
      <c r="GX15" s="50"/>
      <c r="GZ15" s="60">
        <v>130</v>
      </c>
      <c r="HR15" s="50"/>
      <c r="HS15" s="50"/>
      <c r="HU15" s="60">
        <v>130</v>
      </c>
      <c r="IM15" s="50"/>
      <c r="IN15" s="50"/>
      <c r="IP15" s="60">
        <v>130</v>
      </c>
      <c r="JH15" s="50"/>
      <c r="JI15" s="50"/>
      <c r="JK15" s="60">
        <v>130</v>
      </c>
      <c r="KC15" s="50"/>
      <c r="KD15" s="50"/>
      <c r="KF15" s="60">
        <v>130</v>
      </c>
      <c r="KX15" s="50"/>
      <c r="KY15" s="50"/>
      <c r="LA15" s="60">
        <v>130</v>
      </c>
    </row>
    <row r="16" spans="1:336" x14ac:dyDescent="0.2">
      <c r="A16" s="50"/>
      <c r="B16" s="67" t="s">
        <v>70</v>
      </c>
      <c r="C16" s="49"/>
      <c r="AH16" s="50"/>
      <c r="AI16" s="50"/>
      <c r="AK16" s="61">
        <v>132</v>
      </c>
      <c r="BD16" s="50"/>
      <c r="BE16" s="50"/>
      <c r="BG16" s="61">
        <v>130</v>
      </c>
      <c r="CA16" s="50"/>
      <c r="CB16" s="50"/>
      <c r="CD16" s="61">
        <v>132</v>
      </c>
      <c r="CV16" s="50"/>
      <c r="CW16" s="50"/>
      <c r="CY16" s="61">
        <v>130</v>
      </c>
      <c r="DQ16" s="50"/>
      <c r="DR16" s="50"/>
      <c r="DT16" s="61">
        <v>130</v>
      </c>
      <c r="EL16" s="50"/>
      <c r="EM16" s="50"/>
      <c r="EO16" s="61">
        <v>130</v>
      </c>
      <c r="FG16" s="50"/>
      <c r="FH16" s="50"/>
      <c r="FJ16" s="61">
        <v>130</v>
      </c>
      <c r="GB16" s="50"/>
      <c r="GC16" s="50"/>
      <c r="GE16" s="61">
        <v>130</v>
      </c>
      <c r="GW16" s="50"/>
      <c r="GX16" s="50"/>
      <c r="GZ16" s="61">
        <v>130</v>
      </c>
      <c r="HR16" s="50"/>
      <c r="HS16" s="50"/>
      <c r="HU16" s="61">
        <v>130</v>
      </c>
      <c r="IM16" s="50"/>
      <c r="IN16" s="50"/>
      <c r="IP16" s="61">
        <v>130</v>
      </c>
      <c r="JH16" s="50"/>
      <c r="JI16" s="50"/>
      <c r="JK16" s="61">
        <v>130</v>
      </c>
      <c r="KC16" s="50"/>
      <c r="KD16" s="50"/>
      <c r="KF16" s="61">
        <v>130</v>
      </c>
      <c r="KX16" s="50"/>
      <c r="KY16" s="50"/>
      <c r="LA16" s="61">
        <v>130</v>
      </c>
    </row>
    <row r="17" spans="1:313" hidden="1" x14ac:dyDescent="0.2">
      <c r="A17" s="50"/>
      <c r="B17" s="68" t="s">
        <v>35</v>
      </c>
      <c r="C17" s="49"/>
      <c r="AH17" s="50"/>
      <c r="AI17" s="50"/>
      <c r="AK17" s="62">
        <v>1000</v>
      </c>
      <c r="BD17" s="50"/>
      <c r="BE17" s="50"/>
      <c r="BG17" s="62">
        <v>1000</v>
      </c>
      <c r="CA17" s="50"/>
      <c r="CB17" s="50"/>
      <c r="CD17" s="62">
        <v>1000</v>
      </c>
      <c r="CV17" s="50"/>
      <c r="CW17" s="50"/>
      <c r="CY17" s="62">
        <v>1000</v>
      </c>
      <c r="DQ17" s="50"/>
      <c r="DR17" s="50"/>
      <c r="DT17" s="62">
        <v>1000</v>
      </c>
      <c r="EL17" s="50"/>
      <c r="EM17" s="50"/>
      <c r="EO17" s="62">
        <v>1000</v>
      </c>
      <c r="FG17" s="50"/>
      <c r="FH17" s="50"/>
      <c r="FJ17" s="62">
        <v>1000</v>
      </c>
      <c r="GB17" s="50"/>
      <c r="GC17" s="50"/>
      <c r="GE17" s="62">
        <v>1000</v>
      </c>
      <c r="GW17" s="50"/>
      <c r="GX17" s="50"/>
      <c r="GZ17" s="62">
        <v>1000</v>
      </c>
      <c r="HR17" s="50"/>
      <c r="HS17" s="50"/>
      <c r="HU17" s="62">
        <v>1000</v>
      </c>
      <c r="IM17" s="50"/>
      <c r="IN17" s="50"/>
      <c r="IP17" s="62">
        <v>1000</v>
      </c>
      <c r="JH17" s="50"/>
      <c r="JI17" s="50"/>
      <c r="JK17" s="62">
        <v>1000</v>
      </c>
      <c r="KC17" s="50"/>
      <c r="KD17" s="50"/>
      <c r="KF17" s="62">
        <v>1000</v>
      </c>
      <c r="KX17" s="50"/>
      <c r="KY17" s="50"/>
      <c r="LA17" s="62">
        <v>1000</v>
      </c>
    </row>
    <row r="18" spans="1:313" x14ac:dyDescent="0.2">
      <c r="B18" s="76" t="s">
        <v>55</v>
      </c>
      <c r="C18" s="3"/>
      <c r="AH18" s="50"/>
      <c r="AI18" s="50"/>
      <c r="AK18" t="s">
        <v>75</v>
      </c>
      <c r="BD18" s="50"/>
      <c r="BE18" s="50"/>
      <c r="CA18" s="50"/>
      <c r="CB18" s="50"/>
      <c r="CC18" s="7"/>
      <c r="CD18" t="s">
        <v>75</v>
      </c>
      <c r="CV18" s="50"/>
      <c r="CW18" s="50"/>
      <c r="DQ18" s="50"/>
      <c r="DR18" s="50"/>
      <c r="EL18" s="50"/>
      <c r="EM18" s="50"/>
      <c r="FG18" s="50"/>
      <c r="FH18" s="50"/>
      <c r="GB18" s="50"/>
      <c r="GC18" s="50"/>
      <c r="GW18" s="50"/>
      <c r="GX18" s="50"/>
      <c r="HR18" s="50"/>
      <c r="HS18" s="50"/>
      <c r="IM18" s="50"/>
      <c r="IN18" s="50"/>
      <c r="JH18" s="50"/>
      <c r="JI18" s="50"/>
      <c r="JJ18" s="7"/>
      <c r="KC18" s="50"/>
      <c r="KD18" s="50"/>
      <c r="KX18" s="50"/>
      <c r="KY18" s="50"/>
    </row>
    <row r="19" spans="1:313" x14ac:dyDescent="0.2">
      <c r="A19" s="50"/>
      <c r="B19" s="50"/>
      <c r="C19" s="49"/>
      <c r="AH19" s="50"/>
      <c r="AI19" s="50"/>
      <c r="BD19" s="50"/>
      <c r="BE19" s="50"/>
      <c r="CA19" s="50"/>
      <c r="CB19" s="50"/>
      <c r="CV19" s="50"/>
      <c r="CW19" s="50"/>
      <c r="DQ19" s="50"/>
      <c r="DR19" s="50"/>
      <c r="EL19" s="50"/>
      <c r="EM19" s="50"/>
      <c r="FG19" s="50"/>
      <c r="FH19" s="50"/>
      <c r="GB19" s="50"/>
      <c r="GC19" s="50"/>
      <c r="GW19" s="50"/>
      <c r="GX19" s="50"/>
      <c r="HR19" s="50"/>
      <c r="HS19" s="50"/>
      <c r="IM19" s="50"/>
      <c r="IN19" s="50"/>
      <c r="JH19" s="50"/>
      <c r="JI19" s="50"/>
      <c r="KC19" s="50"/>
      <c r="KD19" s="50"/>
      <c r="KX19" s="50"/>
      <c r="KY19" s="50"/>
    </row>
    <row r="20" spans="1:313" x14ac:dyDescent="0.2">
      <c r="A20" s="50"/>
      <c r="B20" s="50"/>
      <c r="C20" s="49"/>
      <c r="AH20" s="50"/>
      <c r="AI20" s="50"/>
      <c r="BD20" s="50"/>
      <c r="BE20" s="50"/>
      <c r="CA20" s="50"/>
      <c r="CB20" s="50"/>
      <c r="CV20" s="50"/>
      <c r="CW20" s="50"/>
      <c r="DQ20" s="50"/>
      <c r="DR20" s="50"/>
      <c r="EL20" s="50"/>
      <c r="EM20" s="50"/>
      <c r="FG20" s="50"/>
      <c r="FH20" s="50"/>
      <c r="GB20" s="50"/>
      <c r="GC20" s="50"/>
      <c r="GW20" s="50"/>
      <c r="GX20" s="50"/>
      <c r="HR20" s="50"/>
      <c r="HS20" s="50"/>
      <c r="IM20" s="50"/>
      <c r="IN20" s="50"/>
      <c r="JH20" s="50"/>
      <c r="JI20" s="50"/>
      <c r="KC20" s="50"/>
      <c r="KD20" s="50"/>
      <c r="KX20" s="50"/>
      <c r="KY20" s="50"/>
    </row>
    <row r="21" spans="1:313" x14ac:dyDescent="0.2">
      <c r="A21" s="50"/>
      <c r="B21" s="50"/>
      <c r="C21" s="49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8">
      <sortCondition descending="1" ref="F1:F14"/>
    </sortState>
  </autoFilter>
  <mergeCells count="92">
    <mergeCell ref="LC1:LX1"/>
    <mergeCell ref="LC2:LF2"/>
    <mergeCell ref="LG2:LJ2"/>
    <mergeCell ref="LK2:LN2"/>
    <mergeCell ref="LO2:LR2"/>
    <mergeCell ref="F1:F3"/>
    <mergeCell ref="A1:A3"/>
    <mergeCell ref="B1:B3"/>
    <mergeCell ref="C1:C3"/>
    <mergeCell ref="D1:D3"/>
    <mergeCell ref="E1:E3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JM1:KG1"/>
    <mergeCell ref="BI1:BJ1"/>
    <mergeCell ref="BK1:CE1"/>
    <mergeCell ref="CF1:CZ1"/>
    <mergeCell ref="DA1:DU1"/>
    <mergeCell ref="DV1:EP1"/>
    <mergeCell ref="EQ1:FK1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BO2:BR2"/>
    <mergeCell ref="BS2:BV2"/>
    <mergeCell ref="BW2:BZ2"/>
    <mergeCell ref="CF2:CI2"/>
    <mergeCell ref="CJ2:CM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JY2:KB2"/>
    <mergeCell ref="KH2:KK2"/>
    <mergeCell ref="KL2:KO2"/>
    <mergeCell ref="KP2:KS2"/>
    <mergeCell ref="KT2:KW2"/>
  </mergeCells>
  <conditionalFormatting sqref="A1:A1048576">
    <cfRule type="expression" dxfId="24" priority="57">
      <formula>AND(H1="P",F1="")</formula>
    </cfRule>
  </conditionalFormatting>
  <conditionalFormatting sqref="I9:I1048576">
    <cfRule type="containsText" dxfId="23" priority="55" operator="containsText" text="No DD">
      <formula>NOT(ISERROR(SEARCH("No DD",I9)))</formula>
    </cfRule>
  </conditionalFormatting>
  <conditionalFormatting sqref="K1:K1048576 M1:M1048576">
    <cfRule type="expression" dxfId="22" priority="76">
      <formula>IF(K1=$AM$1,1,0)</formula>
    </cfRule>
    <cfRule type="expression" dxfId="21" priority="77">
      <formula>IF(K1=$Q$1,1,0)</formula>
    </cfRule>
  </conditionalFormatting>
  <conditionalFormatting sqref="AM4:BH9">
    <cfRule type="expression" dxfId="20" priority="78">
      <formula>IF($BC4&lt;&gt;"",1,0)</formula>
    </cfRule>
  </conditionalFormatting>
  <conditionalFormatting sqref="Q4:AL9">
    <cfRule type="expression" dxfId="19" priority="56">
      <formula>IF($AG4&lt;&gt;"",1,0)</formula>
    </cfRule>
  </conditionalFormatting>
  <conditionalFormatting sqref="I1:I1048576">
    <cfRule type="containsText" dxfId="18" priority="1" operator="containsText" text="No DD">
      <formula>NOT(ISERROR(SEARCH("No DD",I1)))</formula>
    </cfRule>
    <cfRule type="containsText" dxfId="17" priority="2" operator="containsText" text="Merit">
      <formula>NOT(ISERROR(SEARCH("Merit",I1)))</formula>
    </cfRule>
    <cfRule type="containsText" dxfId="16" priority="3" operator="containsText" text="Excellence">
      <formula>NOT(ISERROR(SEARCH("Excellence",I1)))</formula>
    </cfRule>
    <cfRule type="containsText" dxfId="15" priority="4" operator="containsText" text="Worlds Team">
      <formula>NOT(ISERROR(SEARCH("Worlds Team",I1)))</formula>
    </cfRule>
    <cfRule type="containsText" dxfId="14" priority="5" operator="containsText" text="National Team">
      <formula>NOT(ISERROR(SEARCH("National Team",I1)))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13" priority="11388">
      <formula>IF(AND(CC1&gt;=CD$15,CC1&lt;CD$16),1,0)</formula>
    </cfRule>
    <cfRule type="expression" dxfId="12" priority="11389">
      <formula>IF(AND(CC1&gt;=CD$14,CC1&lt;CD$15),1,0)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11" priority="11460">
      <formula>IF(AND(CE1&gt;=CD$17,CE1&lt;1000),1,0)</formula>
    </cfRule>
    <cfRule type="expression" dxfId="10" priority="11461">
      <formula>IF(AND(CE1&gt;=CD$16,CE1&lt;CD$17),1,0)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9" priority="11532">
      <formula>IF(AND(CB1&gt;=CD$13,CB1&lt;1000),1,0)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8" priority="11568">
      <formula>IF(AND(CA1&gt;=CD$12,CA1&lt;1000),1,0)</formula>
    </cfRule>
    <cfRule type="expression" dxfId="7" priority="11569">
      <formula>IF(AND(CA1&gt;=CD$11,CA1&lt;CD$12),1,0)</formula>
    </cfRule>
  </conditionalFormatting>
  <conditionalFormatting sqref="AH1:AH1048576 BD1:BD1048576">
    <cfRule type="expression" dxfId="6" priority="13048">
      <formula>IF(AND(AH1&gt;=AK$12,AH1&lt;1000,AG1=""),1,0)</formula>
    </cfRule>
    <cfRule type="expression" dxfId="5" priority="13049">
      <formula>IF(AND(AH1&gt;=AK$11,AH1&lt;AK$12,AG1=""),1,0)</formula>
    </cfRule>
  </conditionalFormatting>
  <conditionalFormatting sqref="BF1:BF1048576 AJ1:AJ1048576">
    <cfRule type="expression" dxfId="4" priority="13056">
      <formula>IF(AND(AJ1&gt;=AK$15,AJ1&lt;AK$16,AG1=""),1,0)</formula>
    </cfRule>
    <cfRule type="expression" dxfId="3" priority="13057">
      <formula>IF(AND(AJ1&gt;=AK$14,AJ1&lt;AK$15,AG1=""),1,0)</formula>
    </cfRule>
  </conditionalFormatting>
  <conditionalFormatting sqref="BH1:BH1048576 AL1:AL1048576">
    <cfRule type="expression" dxfId="2" priority="13064">
      <formula>IF(AND(AL1&gt;=AK$17,AL1&lt;1000,AG1=""),1,0)</formula>
    </cfRule>
    <cfRule type="expression" dxfId="1" priority="13065">
      <formula>IF(AND(AL1&gt;=AK$16,AL1&lt;AK$17,AG1=""),1,0)</formula>
    </cfRule>
  </conditionalFormatting>
  <conditionalFormatting sqref="AI1:AI1048576 BE1:BE1048576">
    <cfRule type="expression" dxfId="0" priority="13072">
      <formula>IF(AND(AI1&gt;=AK$13,AI1&lt;1000,AG1=""),1,0)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2019-06-04T19:23:23Z</dcterms:modified>
</cp:coreProperties>
</file>