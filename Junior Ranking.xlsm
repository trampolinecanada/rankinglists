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F742FD0-2945-C347-A2B7-2C119668F73D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6" i="4" l="1"/>
  <c r="AP6" i="4"/>
  <c r="AQ6" i="4"/>
  <c r="AR6" i="4"/>
  <c r="AS6" i="4"/>
  <c r="AU6" i="4"/>
  <c r="AV6" i="4"/>
  <c r="BS6" i="4"/>
  <c r="BT6" i="4"/>
  <c r="BU6" i="4"/>
  <c r="BV6" i="4"/>
  <c r="BW6" i="4"/>
  <c r="BY6" i="4"/>
  <c r="BZ6" i="4"/>
  <c r="CW6" i="4"/>
  <c r="DB6" i="4" s="1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X6" i="4" s="1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L6" i="4" s="1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OJ6" i="4"/>
  <c r="BS13" i="17"/>
  <c r="BS9" i="17"/>
  <c r="BR4" i="17"/>
  <c r="BQ4" i="17"/>
  <c r="BP4" i="17"/>
  <c r="BO4" i="17"/>
  <c r="BN4" i="17"/>
  <c r="BR5" i="17"/>
  <c r="BQ5" i="17"/>
  <c r="BP5" i="17"/>
  <c r="BO5" i="17"/>
  <c r="BN5" i="17"/>
  <c r="AR13" i="17"/>
  <c r="AR9" i="17"/>
  <c r="AQ4" i="17"/>
  <c r="AP4" i="17"/>
  <c r="AO4" i="17"/>
  <c r="AN4" i="17"/>
  <c r="AM4" i="17"/>
  <c r="AQ5" i="17"/>
  <c r="AP5" i="17"/>
  <c r="AO5" i="17"/>
  <c r="AN5" i="17"/>
  <c r="AM5" i="17"/>
  <c r="BS13" i="16"/>
  <c r="BS9" i="16"/>
  <c r="BR5" i="16"/>
  <c r="BQ5" i="16"/>
  <c r="BP5" i="16"/>
  <c r="BO5" i="16"/>
  <c r="BN5" i="16"/>
  <c r="BR4" i="16"/>
  <c r="BQ4" i="16"/>
  <c r="BP4" i="16"/>
  <c r="BO4" i="16"/>
  <c r="BN4" i="16"/>
  <c r="AR13" i="16"/>
  <c r="AR9" i="16"/>
  <c r="AQ5" i="16"/>
  <c r="AP5" i="16"/>
  <c r="AO5" i="16"/>
  <c r="AN5" i="16"/>
  <c r="AM5" i="16"/>
  <c r="AQ4" i="16"/>
  <c r="AP4" i="16"/>
  <c r="AO4" i="16"/>
  <c r="AN4" i="16"/>
  <c r="AR4" i="16" s="1"/>
  <c r="AM4" i="16"/>
  <c r="BR5" i="15"/>
  <c r="BQ5" i="15"/>
  <c r="BP5" i="15"/>
  <c r="BO5" i="15"/>
  <c r="BN5" i="15"/>
  <c r="BR4" i="15"/>
  <c r="BQ4" i="15"/>
  <c r="BP4" i="15"/>
  <c r="BO4" i="15"/>
  <c r="BS4" i="15" s="1"/>
  <c r="BN4" i="15"/>
  <c r="AQ5" i="15"/>
  <c r="AP5" i="15"/>
  <c r="AO5" i="15"/>
  <c r="AN5" i="15"/>
  <c r="AR5" i="15" s="1"/>
  <c r="AM5" i="15"/>
  <c r="AQ4" i="15"/>
  <c r="AR4" i="15" s="1"/>
  <c r="AP4" i="15"/>
  <c r="AO4" i="15"/>
  <c r="AN4" i="15"/>
  <c r="AM4" i="15"/>
  <c r="BS12" i="14"/>
  <c r="BS8" i="14"/>
  <c r="BR4" i="14"/>
  <c r="BQ4" i="14"/>
  <c r="BP4" i="14"/>
  <c r="BO4" i="14"/>
  <c r="BS4" i="14" s="1"/>
  <c r="BN4" i="14"/>
  <c r="AR12" i="14"/>
  <c r="AR8" i="14"/>
  <c r="AQ4" i="14"/>
  <c r="AP4" i="14"/>
  <c r="AO4" i="14"/>
  <c r="AN4" i="14"/>
  <c r="AR4" i="14" s="1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4" i="4"/>
  <c r="BY4" i="4"/>
  <c r="BW4" i="4"/>
  <c r="BV4" i="4"/>
  <c r="BU4" i="4"/>
  <c r="BT4" i="4"/>
  <c r="BS4" i="4"/>
  <c r="BZ5" i="4"/>
  <c r="BY5" i="4"/>
  <c r="BW5" i="4"/>
  <c r="BV5" i="4"/>
  <c r="BU5" i="4"/>
  <c r="BT5" i="4"/>
  <c r="BS5" i="4"/>
  <c r="AV4" i="4"/>
  <c r="AU4" i="4"/>
  <c r="AS4" i="4"/>
  <c r="AR4" i="4"/>
  <c r="AQ4" i="4"/>
  <c r="AP4" i="4"/>
  <c r="AO4" i="4"/>
  <c r="AV5" i="4"/>
  <c r="AU5" i="4"/>
  <c r="AS5" i="4"/>
  <c r="AR5" i="4"/>
  <c r="AQ5" i="4"/>
  <c r="AP5" i="4"/>
  <c r="AO5" i="4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V5" i="16" s="1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BS4" i="17" l="1"/>
  <c r="AR5" i="17"/>
  <c r="AT9" i="13"/>
  <c r="AW9" i="13" s="1"/>
  <c r="BX9" i="13"/>
  <c r="CA9" i="13" s="1"/>
  <c r="AT4" i="13"/>
  <c r="AW4" i="13" s="1"/>
  <c r="JD6" i="4"/>
  <c r="JG6" i="4" s="1"/>
  <c r="BS5" i="16"/>
  <c r="BX5" i="13"/>
  <c r="CA5" i="13" s="1"/>
  <c r="BX8" i="13"/>
  <c r="CA8" i="13" s="1"/>
  <c r="AT5" i="13"/>
  <c r="AW5" i="13" s="1"/>
  <c r="BX7" i="13"/>
  <c r="CA7" i="13" s="1"/>
  <c r="DE6" i="4"/>
  <c r="OP6" i="4"/>
  <c r="LR6" i="4"/>
  <c r="LU6" i="4" s="1"/>
  <c r="NJ6" i="4"/>
  <c r="NM6" i="4" s="1"/>
  <c r="BS5" i="17"/>
  <c r="AR4" i="17"/>
  <c r="BS4" i="16"/>
  <c r="AR5" i="16"/>
  <c r="BS5" i="15"/>
  <c r="AT7" i="13"/>
  <c r="AW7" i="13" s="1"/>
  <c r="AT6" i="13"/>
  <c r="AW6" i="13" s="1"/>
  <c r="BX4" i="13"/>
  <c r="CA4" i="13" s="1"/>
  <c r="AT8" i="13"/>
  <c r="AW8" i="13" s="1"/>
  <c r="BX6" i="13"/>
  <c r="CA6" i="13" s="1"/>
  <c r="AT6" i="4"/>
  <c r="AW6" i="4" s="1"/>
  <c r="FA6" i="4"/>
  <c r="HO6" i="4"/>
  <c r="JZ6" i="4"/>
  <c r="KC6" i="4" s="1"/>
  <c r="FT6" i="4"/>
  <c r="FW6" i="4" s="1"/>
  <c r="IH6" i="4"/>
  <c r="IK6" i="4" s="1"/>
  <c r="BX6" i="4"/>
  <c r="CA6" i="4" s="1"/>
  <c r="MN6" i="4"/>
  <c r="MQ6" i="4" s="1"/>
  <c r="KV6" i="4"/>
  <c r="KY6" i="4" s="1"/>
  <c r="GP6" i="4"/>
  <c r="GS6" i="4" s="1"/>
  <c r="EB6" i="4"/>
  <c r="EE6" i="4" s="1"/>
  <c r="OM6" i="4"/>
  <c r="OK6" i="4"/>
  <c r="OI6" i="4"/>
  <c r="O6" i="4"/>
  <c r="DI6" i="4" s="1"/>
  <c r="BX4" i="4"/>
  <c r="CA4" i="4" s="1"/>
  <c r="BX5" i="4"/>
  <c r="CA5" i="4" s="1"/>
  <c r="AT4" i="4"/>
  <c r="AW4" i="4" s="1"/>
  <c r="AT5" i="4"/>
  <c r="AW5" i="4" s="1"/>
  <c r="LV5" i="16"/>
  <c r="DV5" i="16"/>
  <c r="CT5" i="16"/>
  <c r="MV5" i="16"/>
  <c r="EV5" i="16"/>
  <c r="IV5" i="16"/>
  <c r="JV5" i="16"/>
  <c r="HV5" i="16"/>
  <c r="FV5" i="16"/>
  <c r="PU5" i="16"/>
  <c r="PR5" i="16"/>
  <c r="OV5" i="16"/>
  <c r="NV5" i="16"/>
  <c r="KV5" i="16"/>
  <c r="PT5" i="16"/>
  <c r="M5" i="16"/>
  <c r="CV5" i="16" s="1"/>
  <c r="PS5" i="16"/>
  <c r="PV5" i="16"/>
  <c r="G5" i="16"/>
  <c r="F5" i="16"/>
  <c r="I5" i="16"/>
  <c r="K5" i="16"/>
  <c r="F6" i="4" l="1"/>
  <c r="I6" i="4"/>
  <c r="DH6" i="4" s="1"/>
  <c r="G6" i="4"/>
  <c r="H6" i="4" s="1"/>
  <c r="ON6" i="4"/>
  <c r="OQ6" i="4" s="1"/>
  <c r="P6" i="4"/>
  <c r="H5" i="16"/>
  <c r="N5" i="16"/>
  <c r="PW5" i="16"/>
  <c r="L5" i="16"/>
  <c r="CU5" i="16"/>
  <c r="O5" i="16" s="1"/>
  <c r="J5" i="16"/>
  <c r="M6" i="4" l="1"/>
  <c r="DG6" i="4" s="1"/>
  <c r="J6" i="4"/>
  <c r="K6" i="4"/>
  <c r="A6" i="4" a="1"/>
  <c r="A6" i="4" s="1"/>
  <c r="E5" i="16"/>
  <c r="P5" i="16"/>
  <c r="Q5" i="16"/>
  <c r="L6" i="4" l="1"/>
  <c r="DF6" i="4"/>
  <c r="Q6" i="4" s="1"/>
  <c r="N6" i="4"/>
  <c r="CW7" i="13"/>
  <c r="CX7" i="13"/>
  <c r="CY7" i="13"/>
  <c r="CZ7" i="13"/>
  <c r="DA7" i="13"/>
  <c r="DC7" i="13"/>
  <c r="DD7" i="13"/>
  <c r="DY7" i="13"/>
  <c r="DZ7" i="13"/>
  <c r="EA7" i="13"/>
  <c r="EC7" i="13"/>
  <c r="ED7" i="13"/>
  <c r="EU7" i="13"/>
  <c r="EV7" i="13"/>
  <c r="EW7" i="13"/>
  <c r="EY7" i="13"/>
  <c r="EZ7" i="13"/>
  <c r="FQ7" i="13"/>
  <c r="FR7" i="13"/>
  <c r="FS7" i="13"/>
  <c r="FU7" i="13"/>
  <c r="FV7" i="13"/>
  <c r="GM7" i="13"/>
  <c r="GN7" i="13"/>
  <c r="GO7" i="13"/>
  <c r="GQ7" i="13"/>
  <c r="GR7" i="13"/>
  <c r="HI7" i="13"/>
  <c r="HJ7" i="13"/>
  <c r="HK7" i="13"/>
  <c r="HM7" i="13"/>
  <c r="HN7" i="13"/>
  <c r="IE7" i="13"/>
  <c r="IF7" i="13"/>
  <c r="IG7" i="13"/>
  <c r="II7" i="13"/>
  <c r="IJ7" i="13"/>
  <c r="JA7" i="13"/>
  <c r="JB7" i="13"/>
  <c r="JC7" i="13"/>
  <c r="JE7" i="13"/>
  <c r="JF7" i="13"/>
  <c r="JW7" i="13"/>
  <c r="JX7" i="13"/>
  <c r="JY7" i="13"/>
  <c r="KA7" i="13"/>
  <c r="KB7" i="13"/>
  <c r="KS7" i="13"/>
  <c r="KT7" i="13"/>
  <c r="KU7" i="13"/>
  <c r="KW7" i="13"/>
  <c r="KX7" i="13"/>
  <c r="LO7" i="13"/>
  <c r="LP7" i="13"/>
  <c r="LQ7" i="13"/>
  <c r="LS7" i="13"/>
  <c r="LT7" i="13"/>
  <c r="MK7" i="13"/>
  <c r="ML7" i="13"/>
  <c r="MM7" i="13"/>
  <c r="MO7" i="13"/>
  <c r="MP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DY8" i="13"/>
  <c r="DZ8" i="13"/>
  <c r="EA8" i="13"/>
  <c r="EC8" i="13"/>
  <c r="ED8" i="13"/>
  <c r="EU8" i="13"/>
  <c r="EV8" i="13"/>
  <c r="EW8" i="13"/>
  <c r="EY8" i="13"/>
  <c r="EZ8" i="13"/>
  <c r="FQ8" i="13"/>
  <c r="FR8" i="13"/>
  <c r="FS8" i="13"/>
  <c r="FU8" i="13"/>
  <c r="FV8" i="13"/>
  <c r="GM8" i="13"/>
  <c r="GN8" i="13"/>
  <c r="GO8" i="13"/>
  <c r="GQ8" i="13"/>
  <c r="GR8" i="13"/>
  <c r="HI8" i="13"/>
  <c r="HJ8" i="13"/>
  <c r="HK8" i="13"/>
  <c r="HM8" i="13"/>
  <c r="HN8" i="13"/>
  <c r="IE8" i="13"/>
  <c r="IF8" i="13"/>
  <c r="IG8" i="13"/>
  <c r="II8" i="13"/>
  <c r="IJ8" i="13"/>
  <c r="JA8" i="13"/>
  <c r="JB8" i="13"/>
  <c r="JC8" i="13"/>
  <c r="JE8" i="13"/>
  <c r="JF8" i="13"/>
  <c r="JW8" i="13"/>
  <c r="JX8" i="13"/>
  <c r="JY8" i="13"/>
  <c r="KA8" i="13"/>
  <c r="KB8" i="13"/>
  <c r="KS8" i="13"/>
  <c r="KT8" i="13"/>
  <c r="KU8" i="13"/>
  <c r="KW8" i="13"/>
  <c r="KX8" i="13"/>
  <c r="LO8" i="13"/>
  <c r="LP8" i="13"/>
  <c r="LQ8" i="13"/>
  <c r="LS8" i="13"/>
  <c r="LT8" i="13"/>
  <c r="MK8" i="13"/>
  <c r="ML8" i="13"/>
  <c r="MM8" i="13"/>
  <c r="MO8" i="13"/>
  <c r="MP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3" i="17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OV13" i="16"/>
  <c r="OV9" i="16"/>
  <c r="NV13" i="16"/>
  <c r="NV9" i="16"/>
  <c r="MV13" i="16"/>
  <c r="MV9" i="16"/>
  <c r="LV13" i="16"/>
  <c r="LV9" i="16"/>
  <c r="KV13" i="16"/>
  <c r="KV9" i="16"/>
  <c r="JV13" i="16"/>
  <c r="JV9" i="16"/>
  <c r="IV13" i="16"/>
  <c r="IV9" i="16"/>
  <c r="HV13" i="16"/>
  <c r="HV9" i="16"/>
  <c r="GV13" i="16"/>
  <c r="GV9" i="16"/>
  <c r="FV13" i="16"/>
  <c r="FV9" i="16"/>
  <c r="EV13" i="16"/>
  <c r="EV9" i="16"/>
  <c r="DV13" i="16"/>
  <c r="DV9" i="16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E6" i="4" l="1"/>
  <c r="JD7" i="13"/>
  <c r="JG7" i="13" s="1"/>
  <c r="HL7" i="13"/>
  <c r="HO7" i="13" s="1"/>
  <c r="JZ7" i="13"/>
  <c r="KC7" i="13" s="1"/>
  <c r="HL6" i="13"/>
  <c r="HO6" i="13" s="1"/>
  <c r="EX8" i="13"/>
  <c r="FA8" i="13" s="1"/>
  <c r="FT4" i="4"/>
  <c r="EX4" i="4"/>
  <c r="FA4" i="4" s="1"/>
  <c r="R6" i="4"/>
  <c r="S6" i="4"/>
  <c r="JD4" i="4"/>
  <c r="JG4" i="4" s="1"/>
  <c r="EB4" i="4"/>
  <c r="EE4" i="4" s="1"/>
  <c r="HL8" i="13"/>
  <c r="HO8" i="13" s="1"/>
  <c r="LR6" i="13"/>
  <c r="LU6" i="13" s="1"/>
  <c r="IH4" i="4"/>
  <c r="IK4" i="4" s="1"/>
  <c r="HL4" i="4"/>
  <c r="HO4" i="4" s="1"/>
  <c r="LR4" i="4"/>
  <c r="LU4" i="4" s="1"/>
  <c r="IH8" i="13"/>
  <c r="OM7" i="13"/>
  <c r="IH7" i="13"/>
  <c r="IK7" i="13" s="1"/>
  <c r="LR8" i="13"/>
  <c r="LU8" i="13" s="1"/>
  <c r="LR7" i="13"/>
  <c r="LU7" i="13" s="1"/>
  <c r="EX6" i="13"/>
  <c r="FA6" i="13" s="1"/>
  <c r="FT6" i="13"/>
  <c r="FW6" i="13" s="1"/>
  <c r="KV8" i="13"/>
  <c r="KY8" i="13" s="1"/>
  <c r="KV7" i="13"/>
  <c r="KY7" i="13" s="1"/>
  <c r="NJ8" i="13"/>
  <c r="NM8" i="13" s="1"/>
  <c r="NJ7" i="13"/>
  <c r="NM7" i="13" s="1"/>
  <c r="JZ4" i="4"/>
  <c r="KC4" i="4" s="1"/>
  <c r="FW4" i="4"/>
  <c r="NJ4" i="4"/>
  <c r="NM4" i="4" s="1"/>
  <c r="KV4" i="4"/>
  <c r="KY4" i="4" s="1"/>
  <c r="O7" i="13"/>
  <c r="DI7" i="13" s="1"/>
  <c r="MN7" i="13"/>
  <c r="MQ7" i="13" s="1"/>
  <c r="GP7" i="13"/>
  <c r="GS7" i="13" s="1"/>
  <c r="FT7" i="13"/>
  <c r="FW7" i="13" s="1"/>
  <c r="EX7" i="13"/>
  <c r="FA7" i="13" s="1"/>
  <c r="EB7" i="13"/>
  <c r="EE7" i="13" s="1"/>
  <c r="DB7" i="13"/>
  <c r="DE7" i="13" s="1"/>
  <c r="OK7" i="13"/>
  <c r="OI7" i="13"/>
  <c r="OI8" i="13"/>
  <c r="JZ8" i="13"/>
  <c r="KC8" i="13" s="1"/>
  <c r="OM8" i="13"/>
  <c r="DB6" i="13"/>
  <c r="DE6" i="13" s="1"/>
  <c r="O6" i="13"/>
  <c r="P6" i="13" s="1"/>
  <c r="JD8" i="13"/>
  <c r="JG8" i="13" s="1"/>
  <c r="EB8" i="13"/>
  <c r="EE8" i="13" s="1"/>
  <c r="MN8" i="13"/>
  <c r="MQ8" i="13" s="1"/>
  <c r="IK8" i="13"/>
  <c r="GP8" i="13"/>
  <c r="GS8" i="13" s="1"/>
  <c r="FT8" i="13"/>
  <c r="FW8" i="13" s="1"/>
  <c r="OK8" i="13"/>
  <c r="DB8" i="13"/>
  <c r="DE8" i="13" s="1"/>
  <c r="O8" i="13"/>
  <c r="P8" i="13" s="1"/>
  <c r="OM6" i="13"/>
  <c r="JD6" i="13"/>
  <c r="JG6" i="13" s="1"/>
  <c r="NJ6" i="13"/>
  <c r="NM6" i="13" s="1"/>
  <c r="KV6" i="13"/>
  <c r="KY6" i="13" s="1"/>
  <c r="MN6" i="13"/>
  <c r="MQ6" i="13" s="1"/>
  <c r="JZ6" i="13"/>
  <c r="KC6" i="13" s="1"/>
  <c r="IH6" i="13"/>
  <c r="IK6" i="13" s="1"/>
  <c r="GP6" i="13"/>
  <c r="GS6" i="13" s="1"/>
  <c r="EB6" i="13"/>
  <c r="EE6" i="13" s="1"/>
  <c r="OP7" i="13"/>
  <c r="OK6" i="13"/>
  <c r="OI6" i="13"/>
  <c r="DB4" i="4"/>
  <c r="DE4" i="4" s="1"/>
  <c r="MN4" i="4"/>
  <c r="MQ4" i="4" s="1"/>
  <c r="GP4" i="4"/>
  <c r="GS4" i="4" s="1"/>
  <c r="OK4" i="4"/>
  <c r="OI4" i="4"/>
  <c r="OM4" i="4"/>
  <c r="O4" i="4"/>
  <c r="P4" i="4" s="1"/>
  <c r="CT13" i="17"/>
  <c r="CT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CT13" i="16"/>
  <c r="CT9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Q5" i="15"/>
  <c r="DU5" i="15"/>
  <c r="DT5" i="15"/>
  <c r="DS5" i="15"/>
  <c r="DR5" i="15"/>
  <c r="DQ5" i="15"/>
  <c r="CS5" i="15"/>
  <c r="CR5" i="15"/>
  <c r="CQ5" i="15"/>
  <c r="CP5" i="15"/>
  <c r="CO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HV4" i="15" l="1"/>
  <c r="EV4" i="16"/>
  <c r="MV4" i="16"/>
  <c r="GV4" i="16"/>
  <c r="DV4" i="16"/>
  <c r="FV4" i="16"/>
  <c r="EV5" i="15"/>
  <c r="MV5" i="15"/>
  <c r="KV4" i="15"/>
  <c r="OV4" i="16"/>
  <c r="KV4" i="16"/>
  <c r="HV4" i="16"/>
  <c r="F8" i="13"/>
  <c r="P7" i="13"/>
  <c r="I7" i="13"/>
  <c r="K7" i="13" s="1"/>
  <c r="ON7" i="13"/>
  <c r="F7" i="13"/>
  <c r="G7" i="13"/>
  <c r="H7" i="13" s="1"/>
  <c r="DI6" i="13"/>
  <c r="ON8" i="13"/>
  <c r="I6" i="13"/>
  <c r="DH6" i="13" s="1"/>
  <c r="I8" i="13"/>
  <c r="M8" i="13" s="1"/>
  <c r="G8" i="13"/>
  <c r="H8" i="13" s="1"/>
  <c r="DI8" i="13"/>
  <c r="F6" i="13"/>
  <c r="G6" i="13"/>
  <c r="H6" i="13" s="1"/>
  <c r="ON6" i="13"/>
  <c r="F4" i="4"/>
  <c r="I4" i="4"/>
  <c r="K4" i="4" s="1"/>
  <c r="G4" i="4"/>
  <c r="H4" i="4" s="1"/>
  <c r="ON4" i="4"/>
  <c r="DI4" i="4"/>
  <c r="NV5" i="17"/>
  <c r="KV4" i="17"/>
  <c r="PU4" i="17"/>
  <c r="DV5" i="17"/>
  <c r="LV5" i="17"/>
  <c r="IV4" i="17"/>
  <c r="GV5" i="17"/>
  <c r="OV5" i="17"/>
  <c r="DV4" i="17"/>
  <c r="LV4" i="17"/>
  <c r="MV5" i="17"/>
  <c r="EV4" i="17"/>
  <c r="FV4" i="17"/>
  <c r="MV4" i="17"/>
  <c r="NV4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DV5" i="15"/>
  <c r="IV4" i="15"/>
  <c r="EV5" i="17"/>
  <c r="IV5" i="17"/>
  <c r="JV5" i="17"/>
  <c r="JV4" i="17"/>
  <c r="GV4" i="17"/>
  <c r="OV4" i="17"/>
  <c r="HV5" i="17"/>
  <c r="KV5" i="17"/>
  <c r="M5" i="17"/>
  <c r="FV5" i="17"/>
  <c r="HV4" i="17"/>
  <c r="JV4" i="15"/>
  <c r="NV4" i="15"/>
  <c r="LV5" i="15"/>
  <c r="FV4" i="15"/>
  <c r="GV4" i="15"/>
  <c r="DV4" i="15"/>
  <c r="IV5" i="15"/>
  <c r="FV5" i="15"/>
  <c r="GV5" i="15"/>
  <c r="NV5" i="15"/>
  <c r="OV5" i="15"/>
  <c r="PT4" i="17"/>
  <c r="CT4" i="17"/>
  <c r="G5" i="17"/>
  <c r="PT5" i="17"/>
  <c r="PR4" i="17"/>
  <c r="PR5" i="17"/>
  <c r="PS4" i="17"/>
  <c r="K4" i="17"/>
  <c r="CU4" i="17" s="1"/>
  <c r="PV5" i="17"/>
  <c r="I4" i="17"/>
  <c r="J4" i="17" s="1"/>
  <c r="PV4" i="17"/>
  <c r="CT5" i="17"/>
  <c r="PU5" i="17"/>
  <c r="PS5" i="17"/>
  <c r="I5" i="17"/>
  <c r="F4" i="17"/>
  <c r="K5" i="17"/>
  <c r="CU5" i="17" s="1"/>
  <c r="G4" i="17"/>
  <c r="M4" i="17"/>
  <c r="CV4" i="17" s="1"/>
  <c r="F5" i="17"/>
  <c r="PV4" i="16"/>
  <c r="PR4" i="16"/>
  <c r="PU4" i="16"/>
  <c r="CT4" i="16"/>
  <c r="F4" i="16"/>
  <c r="PT5" i="15"/>
  <c r="I5" i="15"/>
  <c r="J5" i="15" s="1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CV5" i="15" s="1"/>
  <c r="K4" i="15"/>
  <c r="CU4" i="15" s="1"/>
  <c r="CT4" i="15"/>
  <c r="G5" i="15"/>
  <c r="CT4" i="14"/>
  <c r="M4" i="14"/>
  <c r="PT4" i="14"/>
  <c r="PR4" i="14"/>
  <c r="NV4" i="14"/>
  <c r="PS4" i="14"/>
  <c r="K4" i="14"/>
  <c r="DV4" i="14"/>
  <c r="EV4" i="14"/>
  <c r="GV4" i="14"/>
  <c r="G4" i="14"/>
  <c r="OV4" i="14"/>
  <c r="PV4" i="14"/>
  <c r="LV4" i="14"/>
  <c r="MV4" i="14"/>
  <c r="PU4" i="14"/>
  <c r="F4" i="14"/>
  <c r="I4" i="14"/>
  <c r="OQ7" i="13" l="1"/>
  <c r="O4" i="16"/>
  <c r="Q4" i="16" s="1"/>
  <c r="N4" i="16"/>
  <c r="K8" i="13"/>
  <c r="J8" i="13"/>
  <c r="N8" i="13" s="1"/>
  <c r="DH7" i="13"/>
  <c r="J7" i="13"/>
  <c r="L7" i="13" s="1"/>
  <c r="M7" i="13"/>
  <c r="DG7" i="13" s="1"/>
  <c r="J6" i="13"/>
  <c r="M6" i="13"/>
  <c r="DG6" i="13" s="1"/>
  <c r="K6" i="13"/>
  <c r="A7" i="13" a="1"/>
  <c r="A7" i="13" s="1"/>
  <c r="DF7" i="13"/>
  <c r="DH8" i="13"/>
  <c r="A8" i="13" a="1"/>
  <c r="A8" i="13" s="1"/>
  <c r="DG8" i="13"/>
  <c r="A6" i="13" a="1"/>
  <c r="A6" i="13" s="1"/>
  <c r="DH4" i="4"/>
  <c r="L4" i="16"/>
  <c r="N4" i="14"/>
  <c r="CV4" i="14"/>
  <c r="L4" i="14"/>
  <c r="CU4" i="14"/>
  <c r="M4" i="4"/>
  <c r="J4" i="4"/>
  <c r="L4" i="4" s="1"/>
  <c r="A4" i="4" a="1"/>
  <c r="A4" i="4" s="1"/>
  <c r="DF4" i="4"/>
  <c r="H4" i="14"/>
  <c r="N5" i="17"/>
  <c r="CV5" i="17"/>
  <c r="H4" i="15"/>
  <c r="H4" i="17"/>
  <c r="H5" i="15"/>
  <c r="H5" i="17"/>
  <c r="PW4" i="16"/>
  <c r="H4" i="16"/>
  <c r="L4" i="17"/>
  <c r="PW5" i="17"/>
  <c r="PW4" i="17"/>
  <c r="J5" i="17"/>
  <c r="N4" i="17"/>
  <c r="O4" i="17"/>
  <c r="L5" i="17"/>
  <c r="N4" i="15"/>
  <c r="PW4" i="15"/>
  <c r="PW5" i="15"/>
  <c r="L5" i="15"/>
  <c r="N5" i="15"/>
  <c r="O5" i="15"/>
  <c r="J4" i="15"/>
  <c r="O4" i="15"/>
  <c r="L4" i="15"/>
  <c r="PW4" i="14"/>
  <c r="J4" i="14"/>
  <c r="L8" i="13" l="1"/>
  <c r="L6" i="13"/>
  <c r="P4" i="16"/>
  <c r="E4" i="16"/>
  <c r="N7" i="13"/>
  <c r="DF8" i="13"/>
  <c r="Q8" i="13" s="1"/>
  <c r="N6" i="13"/>
  <c r="Q7" i="13"/>
  <c r="DF6" i="13"/>
  <c r="Q6" i="13" s="1"/>
  <c r="N4" i="4"/>
  <c r="DG4" i="4"/>
  <c r="Q4" i="4" s="1"/>
  <c r="R4" i="4" s="1"/>
  <c r="O5" i="17"/>
  <c r="E5" i="17" s="1"/>
  <c r="O4" i="14"/>
  <c r="E4" i="14" s="1"/>
  <c r="A4" i="14" s="1"/>
  <c r="Q4" i="17"/>
  <c r="P4" i="17"/>
  <c r="E4" i="17"/>
  <c r="E5" i="15"/>
  <c r="E4" i="15"/>
  <c r="Q5" i="15"/>
  <c r="P5" i="15"/>
  <c r="P4" i="15"/>
  <c r="Q4" i="15"/>
  <c r="E8" i="13" l="1"/>
  <c r="A4" i="16"/>
  <c r="A5" i="16"/>
  <c r="A5" i="15"/>
  <c r="A4" i="15"/>
  <c r="E7" i="13"/>
  <c r="E6" i="13"/>
  <c r="R7" i="13"/>
  <c r="S7" i="13"/>
  <c r="R8" i="13"/>
  <c r="S8" i="13"/>
  <c r="R6" i="13"/>
  <c r="S6" i="13"/>
  <c r="S4" i="4"/>
  <c r="E4" i="4"/>
  <c r="A5" i="17"/>
  <c r="Q5" i="17"/>
  <c r="P5" i="17"/>
  <c r="A4" i="17"/>
  <c r="Q4" i="14"/>
  <c r="P4" i="14"/>
  <c r="D12" i="11"/>
  <c r="C10" i="11"/>
  <c r="D13" i="11"/>
  <c r="C11" i="11"/>
  <c r="C13" i="11"/>
  <c r="D10" i="11"/>
  <c r="C12" i="11"/>
  <c r="D11" i="1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14" i="11" l="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H4" i="13"/>
  <c r="FT4" i="13"/>
  <c r="FW4" i="13" s="1"/>
  <c r="NJ4" i="13"/>
  <c r="NM4" i="13" s="1"/>
  <c r="GP4" i="13"/>
  <c r="GS4" i="13" s="1"/>
  <c r="LR4" i="13"/>
  <c r="LU4" i="13" s="1"/>
  <c r="LR5" i="13"/>
  <c r="LU5" i="13" s="1"/>
  <c r="EX5" i="13"/>
  <c r="FA5" i="13" s="1"/>
  <c r="JZ4" i="13"/>
  <c r="KC4" i="13" s="1"/>
  <c r="JZ5" i="13"/>
  <c r="KC5" i="13" s="1"/>
  <c r="HL4" i="13"/>
  <c r="HO4" i="13" s="1"/>
  <c r="NJ5" i="13"/>
  <c r="NM5" i="13" s="1"/>
  <c r="JD4" i="13"/>
  <c r="JG4" i="13" s="1"/>
  <c r="HL5" i="13"/>
  <c r="HO5" i="13" s="1"/>
  <c r="IH4" i="13"/>
  <c r="IK4" i="13" s="1"/>
  <c r="MN4" i="13"/>
  <c r="MQ4" i="13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9" i="13"/>
  <c r="CX9" i="13"/>
  <c r="CY9" i="13"/>
  <c r="CZ9" i="13"/>
  <c r="DA9" i="13"/>
  <c r="DC9" i="13"/>
  <c r="DD9" i="13"/>
  <c r="DY9" i="13"/>
  <c r="DZ9" i="13"/>
  <c r="EA9" i="13"/>
  <c r="EC9" i="13"/>
  <c r="ED9" i="13"/>
  <c r="EU9" i="13"/>
  <c r="EV9" i="13"/>
  <c r="EW9" i="13"/>
  <c r="EY9" i="13"/>
  <c r="EZ9" i="13"/>
  <c r="FQ9" i="13"/>
  <c r="FR9" i="13"/>
  <c r="FS9" i="13"/>
  <c r="FU9" i="13"/>
  <c r="FV9" i="13"/>
  <c r="GM9" i="13"/>
  <c r="GN9" i="13"/>
  <c r="GO9" i="13"/>
  <c r="GQ9" i="13"/>
  <c r="GR9" i="13"/>
  <c r="HI9" i="13"/>
  <c r="HJ9" i="13"/>
  <c r="HK9" i="13"/>
  <c r="HM9" i="13"/>
  <c r="HN9" i="13"/>
  <c r="IE9" i="13"/>
  <c r="IF9" i="13"/>
  <c r="IG9" i="13"/>
  <c r="II9" i="13"/>
  <c r="IJ9" i="13"/>
  <c r="JA9" i="13"/>
  <c r="JB9" i="13"/>
  <c r="JC9" i="13"/>
  <c r="JE9" i="13"/>
  <c r="JF9" i="13"/>
  <c r="JW9" i="13"/>
  <c r="JX9" i="13"/>
  <c r="JY9" i="13"/>
  <c r="KA9" i="13"/>
  <c r="KB9" i="13"/>
  <c r="KS9" i="13"/>
  <c r="KT9" i="13"/>
  <c r="KU9" i="13"/>
  <c r="KW9" i="13"/>
  <c r="KX9" i="13"/>
  <c r="LO9" i="13"/>
  <c r="LP9" i="13"/>
  <c r="LQ9" i="13"/>
  <c r="LS9" i="13"/>
  <c r="LT9" i="13"/>
  <c r="MK9" i="13"/>
  <c r="ML9" i="13"/>
  <c r="MM9" i="13"/>
  <c r="MO9" i="13"/>
  <c r="MP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P5" i="4" l="1"/>
  <c r="OP9" i="13"/>
  <c r="OP8" i="13"/>
  <c r="G4" i="13"/>
  <c r="F5" i="13"/>
  <c r="G5" i="13"/>
  <c r="H5" i="13" s="1"/>
  <c r="F4" i="13"/>
  <c r="FT5" i="4"/>
  <c r="FW5" i="4" s="1"/>
  <c r="EX9" i="13"/>
  <c r="FA9" i="13" s="1"/>
  <c r="MN9" i="13"/>
  <c r="MQ9" i="13" s="1"/>
  <c r="KV9" i="13"/>
  <c r="KY9" i="13" s="1"/>
  <c r="OP6" i="13"/>
  <c r="ON4" i="13"/>
  <c r="P4" i="13"/>
  <c r="I4" i="13"/>
  <c r="JZ9" i="13"/>
  <c r="KC9" i="13" s="1"/>
  <c r="GP9" i="13"/>
  <c r="GS9" i="13" s="1"/>
  <c r="JD9" i="13"/>
  <c r="JG9" i="13" s="1"/>
  <c r="NJ5" i="4"/>
  <c r="NM5" i="4" s="1"/>
  <c r="EB5" i="4"/>
  <c r="EE5" i="4" s="1"/>
  <c r="P5" i="13"/>
  <c r="I5" i="13"/>
  <c r="DH5" i="13" s="1"/>
  <c r="DB9" i="13"/>
  <c r="DE9" i="13" s="1"/>
  <c r="ON5" i="13"/>
  <c r="OQ5" i="13" s="1"/>
  <c r="IH9" i="13"/>
  <c r="IK9" i="13" s="1"/>
  <c r="FT9" i="13"/>
  <c r="FW9" i="13" s="1"/>
  <c r="LR5" i="4"/>
  <c r="LU5" i="4" s="1"/>
  <c r="JZ5" i="4"/>
  <c r="KC5" i="4" s="1"/>
  <c r="EX5" i="4"/>
  <c r="FA5" i="4" s="1"/>
  <c r="OM5" i="4"/>
  <c r="KV5" i="4"/>
  <c r="KY5" i="4" s="1"/>
  <c r="MN5" i="4"/>
  <c r="MQ5" i="4" s="1"/>
  <c r="GP5" i="4"/>
  <c r="GS5" i="4" s="1"/>
  <c r="LR9" i="13"/>
  <c r="LU9" i="13" s="1"/>
  <c r="EB9" i="13"/>
  <c r="EE9" i="13" s="1"/>
  <c r="OM9" i="13"/>
  <c r="OP4" i="13"/>
  <c r="NJ9" i="13"/>
  <c r="NM9" i="13" s="1"/>
  <c r="HL9" i="13"/>
  <c r="HO9" i="13" s="1"/>
  <c r="OI9" i="13"/>
  <c r="OK9" i="13"/>
  <c r="O9" i="13"/>
  <c r="DI9" i="13" s="1"/>
  <c r="DB5" i="4"/>
  <c r="DE5" i="4" s="1"/>
  <c r="JD5" i="4"/>
  <c r="JG5" i="4" s="1"/>
  <c r="IH5" i="4"/>
  <c r="IK5" i="4" s="1"/>
  <c r="HL5" i="4"/>
  <c r="HO5" i="4" s="1"/>
  <c r="OI5" i="4"/>
  <c r="OK5" i="4"/>
  <c r="OP4" i="4"/>
  <c r="O5" i="4"/>
  <c r="DI5" i="4" s="1"/>
  <c r="M4" i="13" l="1"/>
  <c r="DG4" i="13" s="1"/>
  <c r="DH4" i="13"/>
  <c r="F9" i="13"/>
  <c r="G9" i="13"/>
  <c r="H9" i="13"/>
  <c r="F5" i="4"/>
  <c r="G5" i="4"/>
  <c r="H5" i="4" s="1"/>
  <c r="J4" i="13"/>
  <c r="K4" i="13"/>
  <c r="DF4" i="13" s="1"/>
  <c r="K5" i="13"/>
  <c r="DF5" i="13" s="1"/>
  <c r="I9" i="13"/>
  <c r="M5" i="13"/>
  <c r="DG5" i="13" s="1"/>
  <c r="J5" i="13"/>
  <c r="ON9" i="13"/>
  <c r="OQ9" i="13" s="1"/>
  <c r="P9" i="13"/>
  <c r="P5" i="4"/>
  <c r="I5" i="4"/>
  <c r="DH5" i="4" s="1"/>
  <c r="ON5" i="4"/>
  <c r="OQ4" i="4" l="1"/>
  <c r="OQ5" i="4"/>
  <c r="OQ4" i="13"/>
  <c r="OQ8" i="13"/>
  <c r="A5" i="4" a="1"/>
  <c r="A5" i="4" s="1"/>
  <c r="N4" i="13"/>
  <c r="J9" i="13"/>
  <c r="DH9" i="13"/>
  <c r="A9" i="13" a="1"/>
  <c r="A9" i="13" s="1"/>
  <c r="OQ6" i="13"/>
  <c r="L4" i="13"/>
  <c r="Q4" i="13"/>
  <c r="R4" i="13" s="1"/>
  <c r="N5" i="13"/>
  <c r="L5" i="13"/>
  <c r="M9" i="13"/>
  <c r="DG9" i="13" s="1"/>
  <c r="K9" i="13"/>
  <c r="Q5" i="13"/>
  <c r="M5" i="4"/>
  <c r="DG5" i="4" s="1"/>
  <c r="K5" i="4"/>
  <c r="DF5" i="4" s="1"/>
  <c r="J5" i="4"/>
  <c r="L9" i="13" l="1"/>
  <c r="DF9" i="13"/>
  <c r="Q9" i="13" s="1"/>
  <c r="E4" i="13"/>
  <c r="S4" i="13"/>
  <c r="E5" i="13"/>
  <c r="N9" i="13"/>
  <c r="S5" i="13"/>
  <c r="R5" i="13"/>
  <c r="N5" i="4"/>
  <c r="L5" i="4"/>
  <c r="Q5" i="4"/>
  <c r="E5" i="4" l="1"/>
  <c r="R9" i="13"/>
  <c r="S9" i="13"/>
  <c r="E9" i="13"/>
  <c r="A5" i="13" s="1" a="1"/>
  <c r="A5" i="13" s="1"/>
  <c r="S5" i="4"/>
  <c r="R5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<sst xmlns="http://schemas.openxmlformats.org/spreadsheetml/2006/main" count="3159" uniqueCount="99">
  <si>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</si>
  <si>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</si>
  <si>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</si>
  <si>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</si>
  <si>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</si>
  <si>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</si>
  <si>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</si>
  <si>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</si>
  <si>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</si>
  <si>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</si>
  <si>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</si>
  <si>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</si>
  <si>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</si>
  <si>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</si>
  <si>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</si>
  <si>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</si>
  <si>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</si>
  <si>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</si>
  <si>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</si>
  <si>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</si>
  <si>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</si>
  <si>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</si>
  <si>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</si>
  <si>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</si>
  <si>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</si>
  <si>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</si>
  <si>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</si>
  <si>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</si>
  <si>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</si>
  <si>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</si>
  <si>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</si>
  <si>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</si>
  <si>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</si>
  <si>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</si>
  <si>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</si>
  <si>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</si>
  <si>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</si>
  <si>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</si>
  <si>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</si>
  <si>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</si>
  <si>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</si>
  <si>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</si>
  <si>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</si>
  <si>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</si>
  <si>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</si>
  <si>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</si>
  <si>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</si>
  <si>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</si>
  <si>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</si>
  <si>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</si>
  <si>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</si>
  <si>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</si>
  <si>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</si>
  <si>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</si>
  <si>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</si>
  <si>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</si>
  <si>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</si>
  <si>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</si>
  <si>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</si>
  <si>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</si>
  <si>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</si>
  <si>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</si>
  <si>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</si>
  <si>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</si>
  <si>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</si>
  <si>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</si>
  <si>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</si>
  <si>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ULMER, Lily-Ann</t>
  </si>
  <si>
    <t>MATTHEWS, Jared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</si>
  <si>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</si>
  <si>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</si>
  <si>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</si>
  <si>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</si>
  <si>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</si>
  <si>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</si>
  <si>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</si>
  <si>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</si>
  <si>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</si>
  <si>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</si>
  <si>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</si>
  <si>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</si>
  <si>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</si>
  <si>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</si>
  <si>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</si>
  <si>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</si>
  <si>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</si>
  <si>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</si>
  <si>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ADJEMIAN, Alexan</t>
  </si>
  <si>
    <t>2022 Nationals</t>
  </si>
  <si>
    <t>FLOYD, Anna</t>
  </si>
  <si>
    <t>LEE-MCMEEKEN, Brooklyn</t>
  </si>
  <si>
    <t>HARBO, Owen</t>
  </si>
  <si>
    <t>CYMAN, Cody</t>
  </si>
  <si>
    <t>CORRIVEAU, Mélina</t>
  </si>
  <si>
    <t>2022 3rd Domestic Trial</t>
  </si>
  <si>
    <t>2022 WAGC</t>
  </si>
  <si>
    <t>2022 WAGC (Nov 24)</t>
  </si>
  <si>
    <t>2022 WAGC (Nov 25)</t>
  </si>
  <si>
    <t>2022 WAGC (Nov 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</si>
</sst>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Excellence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JACKSON, Claire</v>
      </c>
      <c r="D15" s="73" t="str">
        <f>IF(B3&gt;MAX('TUM-W'!A:A),"",INDEX('TUM-W'!H:H,MATCH(B3,'TUM-W'!A:A,0)))</f>
        <v>Excellence</v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x14ac:dyDescent="0.2">
      <c r="A18" s="10" t="s">
        <v>37</v>
      </c>
      <c r="B18" s="10">
        <v>1</v>
      </c>
      <c r="C18" s="10" t="str">
        <f>IF(B2&gt;MAX('DMT-M'!A:A),"",INDEX('DMT-M'!B:B,MATCH(B2,'DMT-M'!A:A,0)))</f>
        <v>HARBO, Owen</v>
      </c>
      <c r="D18" s="64" t="str">
        <f>IF(B2&gt;MAX('DMT-M'!A:A),"",INDEX('DMT-M'!H:H,MATCH(B2,'DMT-M'!A:A,0)))</f>
        <v>Excellence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CYMAN, Cody</v>
      </c>
      <c r="D19" s="74" t="str">
        <f>IF(B3&gt;MAX('DMT-M'!A:A),"",INDEX('DMT-M'!H:H,MATCH(B3,'DMT-M'!A:A,0)))</f>
        <v>No DD</v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JACKSON, Claire</v>
      </c>
      <c r="D22" s="65" t="str">
        <f>IF(B2&gt;MAX('DMT-W'!A:A),"",INDEX('DMT-W'!H:H,MATCH(B2,'DMT-W'!A:A,0)))</f>
        <v>Excellence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LEE-McMEEKEN, Brooklyn</v>
      </c>
      <c r="D23" s="73" t="str">
        <f>IF(B3&gt;MAX('DMT-W'!A:A),"",INDEX('DMT-W'!H:H,MATCH(B3,'DMT-W'!A:A,0)))</f>
        <v>Excellence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44891</v>
      </c>
      <c r="C34" s="101"/>
    </row>
    <row r="35" spans="1:4" x14ac:dyDescent="0.2">
      <c r="B35" s="54" t="s">
        <v>95</v>
      </c>
    </row>
    <row r="36" spans="1:4" x14ac:dyDescent="0.2">
      <c r="B36" s="54"/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72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88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94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 t="s">
        <v>96</v>
      </c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IF(AND(F4&lt;&gt;"",G4&lt;&gt;""),SUMPRODUCT((F$4:F$7&lt;&gt;"")*(G$4:G$7&lt;&gt;"")*(E$4:E$7&gt;E4))+1,IF(G4&lt;&gt;"",SUMPRODUCT((H$4:H$7="No DD")*(E$4:E$7&gt;E4))+1+SUMPRODUCT((F$4:F$7&lt;&gt;"")*(G$4:G$7&lt;&gt;"")),""))</f>
        <v/>
      </c>
      <c r="B4" s="8" t="s">
        <v>87</v>
      </c>
      <c r="C4" s="4" t="s">
        <v>3</v>
      </c>
      <c r="D4" s="7">
        <v>2006</v>
      </c>
      <c r="E4" s="15">
        <f>SUM(I4:Q4)</f>
        <v>237.24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/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/>
      </c>
      <c r="H4" s="6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/>
      </c>
      <c r="I4" s="14">
        <f>IF(MAX(AT4,BX4,DB4)&gt;0,MAX(AT4,BX4,DB4),0)</f>
        <v>92.57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42.97</v>
      </c>
      <c r="L4" s="14" t="str">
        <f>IF(K4=0,"",IF(AND(K4=CW4,$J4&lt;&gt;$CB$1),$CB$1,IF(AND(K4=BS4,$J4&lt;&gt;$AX$1),$AX$1,IF(AND(K4=AO4,$J4&lt;&gt;$T$1),$T$1,""))))</f>
        <v>2022 3rd Domestic Trial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50.769999999999996</v>
      </c>
      <c r="N4" s="14" t="str">
        <f>IF(M4=0,"",IF(AND(OR(M4=DA4,M4=CY4),$J4&lt;&gt;$CB$1),$CB$1,IF(AND(OR(M4=BW4,M4=BU4),$J4&lt;&gt;$AX$1),$AX$1,IF(AND(OR(M4=AS4,M4=AQ4),$J4&lt;&gt;$T$1),$T$1,""))))</f>
        <v>2022 Nationals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>
        <f>IF(MAX(DF4,DG4,DH4,DI4)&gt;0,MAX(DF4,DG4,DH4,DI4),"")</f>
        <v>0.28000000000000114</v>
      </c>
      <c r="R4" s="20" t="str">
        <f>IF(Q4="","",IF(Q4=DF4,"(Vol 1)",IF(Q4=DG4,"(Vol 2)",IF(Q4=DH4,"(Prelim)",IF(Q4=DI4,"(Final)")))))</f>
        <v>(Vol 2)</v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WAGC (Nov 24)</v>
      </c>
      <c r="T4" s="38">
        <v>16.899999999999999</v>
      </c>
      <c r="U4" s="38">
        <v>9.4</v>
      </c>
      <c r="V4" s="38">
        <v>0</v>
      </c>
      <c r="W4" s="38">
        <v>15.95</v>
      </c>
      <c r="X4" s="38">
        <v>0</v>
      </c>
      <c r="Y4" s="38">
        <v>15.3</v>
      </c>
      <c r="Z4" s="38">
        <v>9.3000000000000007</v>
      </c>
      <c r="AA4" s="38">
        <v>10.5</v>
      </c>
      <c r="AB4" s="38">
        <v>15.22</v>
      </c>
      <c r="AC4" s="38">
        <v>0</v>
      </c>
      <c r="AD4" s="38"/>
      <c r="AE4" s="38"/>
      <c r="AF4" s="38"/>
      <c r="AG4" s="38"/>
      <c r="AH4" s="38"/>
      <c r="AI4" s="38">
        <v>15.1</v>
      </c>
      <c r="AJ4" s="38">
        <v>9.4</v>
      </c>
      <c r="AK4" s="38">
        <v>10.5</v>
      </c>
      <c r="AL4" s="38">
        <v>15.65</v>
      </c>
      <c r="AM4" s="38">
        <v>0</v>
      </c>
      <c r="AN4" s="45"/>
      <c r="AO4" s="11">
        <f>IF(SUM(T4:W4)-X4&gt;0,SUM(T4:W4)-X4,"")</f>
        <v>42.25</v>
      </c>
      <c r="AP4" s="11">
        <f>IF(AA4&gt;0,AA4,"")</f>
        <v>10.5</v>
      </c>
      <c r="AQ4" s="11">
        <f>IF(SUM(Y4:AB4)-AC4&gt;0,SUM(Y4:AB4)-AC4,"")</f>
        <v>50.32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92.57</v>
      </c>
      <c r="AU4" s="11">
        <f>IF(AK4&gt;0,AK4,"")</f>
        <v>10.5</v>
      </c>
      <c r="AV4" s="11">
        <f>IF(SUM(AI4:AL4)-AM4&gt;0,SUM(AI4:AL4)-AM4,"")</f>
        <v>50.65</v>
      </c>
      <c r="AW4" s="11">
        <f>IF(SUM(AT4,AV4)&gt;0,SUM(AT4,AV4),"")</f>
        <v>143.22</v>
      </c>
      <c r="AX4" s="34">
        <v>10.7</v>
      </c>
      <c r="AY4" s="34">
        <v>5.7</v>
      </c>
      <c r="AZ4" s="34">
        <v>0</v>
      </c>
      <c r="BA4" s="34">
        <v>9.7799999999999994</v>
      </c>
      <c r="BB4" s="34">
        <v>0</v>
      </c>
      <c r="BC4" s="34">
        <v>14.5</v>
      </c>
      <c r="BD4" s="34">
        <v>9</v>
      </c>
      <c r="BE4" s="34">
        <v>12.4</v>
      </c>
      <c r="BF4" s="34">
        <v>14.87</v>
      </c>
      <c r="BG4" s="34">
        <v>0</v>
      </c>
      <c r="BH4" s="34"/>
      <c r="BI4" s="34"/>
      <c r="BJ4" s="34"/>
      <c r="BK4" s="34"/>
      <c r="BL4" s="34"/>
      <c r="BM4" s="34">
        <v>4.5</v>
      </c>
      <c r="BN4" s="34">
        <v>2.6</v>
      </c>
      <c r="BO4" s="34">
        <v>3.2</v>
      </c>
      <c r="BP4" s="34">
        <v>4.7699999999999996</v>
      </c>
      <c r="BQ4" s="34">
        <v>0</v>
      </c>
      <c r="BR4" s="46"/>
      <c r="BS4" s="14">
        <f>IF(SUM(AX4:BA4)-BB4&gt;0,SUM(AX4:BA4)-BB4,"")</f>
        <v>26.18</v>
      </c>
      <c r="BT4" s="14">
        <f>IF(BE4&gt;0,BE4,"")</f>
        <v>12.4</v>
      </c>
      <c r="BU4" s="14">
        <f>IF(SUM(BC4:BF4)-BG4&gt;0,SUM(BC4:BF4)-BG4,"")</f>
        <v>50.769999999999996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76.949999999999989</v>
      </c>
      <c r="BY4" s="14">
        <f>IF(BO4&gt;0,BO4,"")</f>
        <v>3.2</v>
      </c>
      <c r="BZ4" s="14">
        <f>IF(SUM(BM4:BP4)-BQ4&gt;0,SUM(BM4:BP4)-BQ4,"")</f>
        <v>15.07</v>
      </c>
      <c r="CA4" s="14">
        <f>IF(SUM(BX4,BZ4)&gt;0,SUM(BX4,BZ4),"")</f>
        <v>92.019999999999982</v>
      </c>
      <c r="CB4" s="38">
        <v>17</v>
      </c>
      <c r="CC4" s="38">
        <v>9.5</v>
      </c>
      <c r="CD4" s="38">
        <v>0</v>
      </c>
      <c r="CE4" s="38">
        <v>16.47</v>
      </c>
      <c r="CF4" s="38">
        <v>0</v>
      </c>
      <c r="CG4" s="38">
        <v>12.5</v>
      </c>
      <c r="CH4" s="38">
        <v>9</v>
      </c>
      <c r="CI4" s="38">
        <v>12.4</v>
      </c>
      <c r="CJ4" s="38">
        <v>15.33</v>
      </c>
      <c r="CK4" s="38">
        <v>0</v>
      </c>
      <c r="CL4" s="38"/>
      <c r="CM4" s="38"/>
      <c r="CN4" s="38"/>
      <c r="CO4" s="38"/>
      <c r="CP4" s="38"/>
      <c r="CQ4" s="38">
        <v>12.7</v>
      </c>
      <c r="CR4" s="38">
        <v>9.1</v>
      </c>
      <c r="CS4" s="38">
        <v>12.2</v>
      </c>
      <c r="CT4" s="38">
        <v>15.22</v>
      </c>
      <c r="CU4" s="38">
        <v>0</v>
      </c>
      <c r="CV4" s="45"/>
      <c r="CW4" s="11">
        <f>IF(SUM(CB4:CE4)-CF4&gt;0,SUM(CB4:CE4)-CF4,"")</f>
        <v>42.97</v>
      </c>
      <c r="CX4" s="11">
        <f>IF(CI4&gt;0,CI4,"")</f>
        <v>12.4</v>
      </c>
      <c r="CY4" s="11">
        <f>IF(SUM(CG4:CJ4)-CK4&gt;0,SUM(CG4:CJ4)-CK4,"")</f>
        <v>49.23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92.199999999999989</v>
      </c>
      <c r="DC4" s="11">
        <f>IF(CS4&gt;0,CS4,"")</f>
        <v>12.2</v>
      </c>
      <c r="DD4" s="11">
        <f>IF(SUM(CQ4:CT4)-CU4&gt;0,SUM(CQ4:CT4)-CU4,"")</f>
        <v>49.22</v>
      </c>
      <c r="DE4" s="11">
        <f>IF(SUM(DB4,DD4)&gt;0,SUM(DB4,DD4),"")</f>
        <v>141.41999999999999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>
        <f>IF(M4&gt;=0.001,IF(MAX(EA4,EW4,FS4,GO4,HK4,IG4,JC4,JY4,KU4,LQ4,MM4,NI4)-IF(M4="",0,M4)&gt;0.001,MAX(EA4,EW4,FS4,GO4,HK4,IG4,JC4,JY4,KU4,LQ4,MM4,NI4)-IF(M4="",0,M4),""),"")</f>
        <v>0.28000000000000114</v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>
        <v>15.8</v>
      </c>
      <c r="DK4" s="24">
        <v>9.4</v>
      </c>
      <c r="DL4" s="24">
        <v>0</v>
      </c>
      <c r="DM4" s="24">
        <v>15.95</v>
      </c>
      <c r="DN4" s="24">
        <v>0</v>
      </c>
      <c r="DO4" s="24">
        <v>14.3</v>
      </c>
      <c r="DP4" s="24">
        <v>8.8000000000000007</v>
      </c>
      <c r="DQ4" s="24">
        <v>13.5</v>
      </c>
      <c r="DR4" s="24">
        <v>14.65</v>
      </c>
      <c r="DS4" s="24">
        <v>0.2</v>
      </c>
      <c r="DT4" s="24"/>
      <c r="DU4" s="24"/>
      <c r="DV4" s="24"/>
      <c r="DW4" s="24"/>
      <c r="DX4" s="24"/>
      <c r="DY4" s="11">
        <f>IF(DQ4&gt;0,DQ4,"")</f>
        <v>13.5</v>
      </c>
      <c r="DZ4" s="11">
        <f>IF(SUM(DJ4:DM4)-DN4&gt;0,SUM(DJ4:DM4)-DN4,"")</f>
        <v>41.150000000000006</v>
      </c>
      <c r="EA4" s="11">
        <f>IF(SUM(DO4:DR4)-DS4&gt;0,SUM(DO4:DR4)-DS4,"")</f>
        <v>51.05</v>
      </c>
      <c r="EB4" s="11">
        <f>IF(SUM(DZ4:EA4)&gt;0,SUM(DZ4:EA4),"")</f>
        <v>92.2</v>
      </c>
      <c r="EC4" s="11" t="str">
        <f>IF(DV4&gt;0,DV4,"")</f>
        <v/>
      </c>
      <c r="ED4" s="11" t="str">
        <f>IF(SUM(DT4:DW4)-DX4&gt;0,SUM(DT4:DW4)-DX4,"")</f>
        <v/>
      </c>
      <c r="EE4" s="11">
        <f>IF(SUM(EB4,ED4)&gt;0,SUM(EB4,ED4),"")</f>
        <v>92.2</v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13.85</v>
      </c>
      <c r="NO4" s="38">
        <f>IF($CV4="P",CC4,(CC4+AY4)/2)</f>
        <v>7.6</v>
      </c>
      <c r="NP4" s="38">
        <f>IF($CV4="P",CD4,(CD4+AZ4)/2)</f>
        <v>0</v>
      </c>
      <c r="NQ4" s="38">
        <f>IF($CV4="P",CE4,(CE4+BA4)/2)</f>
        <v>13.125</v>
      </c>
      <c r="NR4" s="38">
        <f>IF($CV4="P",CF4,(CF4+BB4)/2)</f>
        <v>0</v>
      </c>
      <c r="NS4" s="38">
        <f>IF($CV4="P",CG4,(CG4+BC4)/2)</f>
        <v>13.5</v>
      </c>
      <c r="NT4" s="38">
        <f>IF($CV4="P",CH4,(CH4+BD4)/2)</f>
        <v>9</v>
      </c>
      <c r="NU4" s="38">
        <f>IF($CV4="P",CI4,(CI4+BE4)/2)</f>
        <v>12.4</v>
      </c>
      <c r="NV4" s="38">
        <f>IF($CV4="P",CJ4,(CJ4+BF4)/2)</f>
        <v>15.1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8.6</v>
      </c>
      <c r="OD4" s="38">
        <f>IF($CV4="P",CR4,(CR4+BN4)/2)</f>
        <v>5.85</v>
      </c>
      <c r="OE4" s="38">
        <f>IF($CV4="P",CS4,(CS4+BO4)/2)</f>
        <v>7.6999999999999993</v>
      </c>
      <c r="OF4" s="38">
        <f>IF($CV4="P",CT4,(CT4+BP4)/2)</f>
        <v>9.995000000000001</v>
      </c>
      <c r="OG4" s="38">
        <f>IF($CV4="P",CU4,(CU4+BQ4)/2)</f>
        <v>0</v>
      </c>
      <c r="OH4" s="45" t="s">
        <v>44</v>
      </c>
      <c r="OI4" s="11">
        <f>IF(SUM(NN4:NQ4)-NR4&gt;0,SUM(NN4:NQ4)-NR4,"")</f>
        <v>34.575000000000003</v>
      </c>
      <c r="OJ4" s="11">
        <f>IF(NU4&gt;0,NU4,"")</f>
        <v>12.4</v>
      </c>
      <c r="OK4" s="11">
        <f>IF(SUM(NS4:NV4)-NW4&gt;0,SUM(NS4:NV4)-NW4,"")</f>
        <v>50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84.575000000000003</v>
      </c>
      <c r="OO4" s="11">
        <f>IF(OE4&gt;0,OE4,"")</f>
        <v>7.6999999999999993</v>
      </c>
      <c r="OP4" s="11">
        <f t="shared" ref="OP4" si="0">IF(SUM(OC4:OF4)-OG4&gt;0,SUM(OC4:OF4)-OG4,"")</f>
        <v>32.144999999999996</v>
      </c>
      <c r="OQ4" s="11">
        <f t="shared" ref="OQ4" si="1">IF(SUM(ON4,OP4)&gt;0,SUM(ON4,OP4),"")</f>
        <v>116.72</v>
      </c>
    </row>
    <row r="5" spans="1:407" x14ac:dyDescent="0.2">
      <c r="A5" s="5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8" t="s">
        <v>69</v>
      </c>
      <c r="C5" s="4" t="s">
        <v>65</v>
      </c>
      <c r="D5" s="7">
        <v>2006</v>
      </c>
      <c r="E5" s="15">
        <f>SUM(I5:Q5)</f>
        <v>227.94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6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14">
        <f>IF(MAX(AT5,BX5,DB5)&gt;0,MAX(AT5,BX5,DB5),0)</f>
        <v>91.65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41.790000000000006</v>
      </c>
      <c r="L5" s="14" t="str">
        <f>IF(K5=0,"",IF(AND(K5=CW5,$J5&lt;&gt;$CB$1),$CB$1,IF(AND(K5=BS5,$J5&lt;&gt;$AX$1),$AX$1,IF(AND(K5=AO5,$J5&lt;&gt;$T$1),$T$1,""))))</f>
        <v>2022 Nationals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43.419999999999995</v>
      </c>
      <c r="N5" s="14" t="str">
        <f>IF(M5=0,"",IF(AND(OR(M5=DA5,M5=CY5),$J5&lt;&gt;$CB$1),$CB$1,IF(AND(OR(M5=BW5,M5=BU5),$J5&lt;&gt;$AX$1),$AX$1,IF(AND(OR(M5=AS5,M5=AQ5),$J5&lt;&gt;$T$1),$T$1,""))))</f>
        <v>2022 Nationals</v>
      </c>
      <c r="O5" s="14">
        <f>MAX(AV5,BZ5,DD5)</f>
        <v>51.08</v>
      </c>
      <c r="P5" s="14" t="str">
        <f>IF(O5=0,"",IF(O5=DD5,$CB$1,IF(O5=BZ5,$AX$1,IF(O5=AV5,$T$1,""))))</f>
        <v>2022 Nationals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16.899999999999999</v>
      </c>
      <c r="U5" s="38">
        <v>9.3000000000000007</v>
      </c>
      <c r="V5" s="38">
        <v>0</v>
      </c>
      <c r="W5" s="38">
        <v>15.17</v>
      </c>
      <c r="X5" s="38">
        <v>0</v>
      </c>
      <c r="Y5" s="38">
        <v>14.7</v>
      </c>
      <c r="Z5" s="38">
        <v>9.4</v>
      </c>
      <c r="AA5" s="38">
        <v>11.2</v>
      </c>
      <c r="AB5" s="38">
        <v>14.98</v>
      </c>
      <c r="AC5" s="38">
        <v>0</v>
      </c>
      <c r="AD5" s="38"/>
      <c r="AE5" s="38"/>
      <c r="AF5" s="38"/>
      <c r="AG5" s="38"/>
      <c r="AH5" s="38"/>
      <c r="AI5" s="38">
        <v>14.7</v>
      </c>
      <c r="AJ5" s="38">
        <v>8.8000000000000007</v>
      </c>
      <c r="AK5" s="38">
        <v>11.2</v>
      </c>
      <c r="AL5" s="38">
        <v>15.1</v>
      </c>
      <c r="AM5" s="38">
        <v>0</v>
      </c>
      <c r="AN5" s="45"/>
      <c r="AO5" s="11">
        <f>IF(SUM(T5:W5)-X5&gt;0,SUM(T5:W5)-X5,"")</f>
        <v>41.37</v>
      </c>
      <c r="AP5" s="11">
        <f>IF(AA5&gt;0,AA5,"")</f>
        <v>11.2</v>
      </c>
      <c r="AQ5" s="11">
        <f>IF(SUM(Y5:AB5)-AC5&gt;0,SUM(Y5:AB5)-AC5,"")</f>
        <v>50.28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91.65</v>
      </c>
      <c r="AU5" s="11">
        <f>IF(AK5&gt;0,AK5,"")</f>
        <v>11.2</v>
      </c>
      <c r="AV5" s="11">
        <f>IF(SUM(AI5:AL5)-AM5&gt;0,SUM(AI5:AL5)-AM5,"")</f>
        <v>49.800000000000004</v>
      </c>
      <c r="AW5" s="11">
        <f>IF(SUM(AT5,AV5)&gt;0,SUM(AT5,AV5),"")</f>
        <v>141.45000000000002</v>
      </c>
      <c r="AX5" s="34">
        <v>17.100000000000001</v>
      </c>
      <c r="AY5" s="34">
        <v>9.3000000000000007</v>
      </c>
      <c r="AZ5" s="34">
        <v>0</v>
      </c>
      <c r="BA5" s="34">
        <v>15.39</v>
      </c>
      <c r="BB5" s="34">
        <v>0</v>
      </c>
      <c r="BC5" s="34">
        <v>13.1</v>
      </c>
      <c r="BD5" s="34">
        <v>7.8</v>
      </c>
      <c r="BE5" s="34">
        <v>8.9</v>
      </c>
      <c r="BF5" s="34">
        <v>13.62</v>
      </c>
      <c r="BG5" s="34">
        <v>0</v>
      </c>
      <c r="BH5" s="34"/>
      <c r="BI5" s="34"/>
      <c r="BJ5" s="34"/>
      <c r="BK5" s="34"/>
      <c r="BL5" s="34"/>
      <c r="BM5" s="34">
        <v>14.8</v>
      </c>
      <c r="BN5" s="34">
        <v>9.1</v>
      </c>
      <c r="BO5" s="34">
        <v>12.2</v>
      </c>
      <c r="BP5" s="34">
        <v>14.98</v>
      </c>
      <c r="BQ5" s="34">
        <v>0</v>
      </c>
      <c r="BR5" s="46"/>
      <c r="BS5" s="14">
        <f>IF(SUM(AX5:BA5)-BB5&gt;0,SUM(AX5:BA5)-BB5,"")</f>
        <v>41.790000000000006</v>
      </c>
      <c r="BT5" s="14">
        <f>IF(BE5&gt;0,BE5,"")</f>
        <v>8.9</v>
      </c>
      <c r="BU5" s="14">
        <f>IF(SUM(BC5:BF5)-BG5&gt;0,SUM(BC5:BF5)-BG5,"")</f>
        <v>43.419999999999995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85.210000000000008</v>
      </c>
      <c r="BY5" s="14">
        <f>IF(BO5&gt;0,BO5,"")</f>
        <v>12.2</v>
      </c>
      <c r="BZ5" s="14">
        <f>IF(SUM(BM5:BP5)-BQ5&gt;0,SUM(BM5:BP5)-BQ5,"")</f>
        <v>51.08</v>
      </c>
      <c r="CA5" s="14">
        <f>IF(SUM(BX5,BZ5)&gt;0,SUM(BX5,BZ5),"")</f>
        <v>136.29000000000002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45"/>
      <c r="CW5" s="11" t="str">
        <f>IF(SUM(CB5:CE5)-CF5&gt;0,SUM(CB5:CE5)-CF5,"")</f>
        <v/>
      </c>
      <c r="CX5" s="11" t="str">
        <f>IF(CI5&gt;0,CI5,"")</f>
        <v/>
      </c>
      <c r="CY5" s="11" t="str">
        <f>IF(SUM(CG5:CJ5)-CK5&gt;0,SUM(CG5:CJ5)-CK5,"")</f>
        <v/>
      </c>
      <c r="CZ5" s="11" t="str">
        <f>IF(CN5&gt;0,CN5,"")</f>
        <v/>
      </c>
      <c r="DA5" s="11" t="str">
        <f>IF(SUM(CL5:CO5)-CP5&gt;0,SUM(CL5:CO5)-CP5,"")</f>
        <v/>
      </c>
      <c r="DB5" s="11" t="str">
        <f>IF(CW5="",IF(MAX(CY5,DA5)&gt;0,MAX(CY5,DA5),""),MAX(CY5,DA5)+CW5)</f>
        <v/>
      </c>
      <c r="DC5" s="11" t="str">
        <f>IF(CS5&gt;0,CS5,"")</f>
        <v/>
      </c>
      <c r="DD5" s="11" t="str">
        <f>IF(SUM(CQ5:CT5)-CU5&gt;0,SUM(CQ5:CT5)-CU5,"")</f>
        <v/>
      </c>
      <c r="DE5" s="11" t="str">
        <f>IF(SUM(DB5,DD5)&gt;0,SUM(DB5,DD5),"")</f>
        <v/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>
        <v>15.7</v>
      </c>
      <c r="DK5" s="24">
        <v>9.6999999999999993</v>
      </c>
      <c r="DL5" s="24">
        <v>0</v>
      </c>
      <c r="DM5" s="24">
        <v>15.08</v>
      </c>
      <c r="DN5" s="24">
        <v>0</v>
      </c>
      <c r="DO5" s="24">
        <v>8.6</v>
      </c>
      <c r="DP5" s="24">
        <v>5.4</v>
      </c>
      <c r="DQ5" s="24">
        <v>7</v>
      </c>
      <c r="DR5" s="24">
        <v>9.06</v>
      </c>
      <c r="DS5" s="24">
        <v>0</v>
      </c>
      <c r="DT5" s="24"/>
      <c r="DU5" s="24"/>
      <c r="DV5" s="24"/>
      <c r="DW5" s="24"/>
      <c r="DX5" s="24"/>
      <c r="DY5" s="11">
        <f>IF(DQ5&gt;0,DQ5,"")</f>
        <v>7</v>
      </c>
      <c r="DZ5" s="11">
        <f>IF(SUM(DJ5:DM5)-DN5&gt;0,SUM(DJ5:DM5)-DN5,"")</f>
        <v>40.479999999999997</v>
      </c>
      <c r="EA5" s="11">
        <f>IF(SUM(DO5:DR5)-DS5&gt;0,SUM(DO5:DR5)-DS5,"")</f>
        <v>30.060000000000002</v>
      </c>
      <c r="EB5" s="11">
        <f>IF(SUM(DZ5:EA5)&gt;0,SUM(DZ5:EA5),"")</f>
        <v>70.539999999999992</v>
      </c>
      <c r="EC5" s="11" t="str">
        <f>IF(DV5&gt;0,DV5,"")</f>
        <v/>
      </c>
      <c r="ED5" s="11" t="str">
        <f>IF(SUM(DT5:DW5)-DX5&gt;0,SUM(DT5:DW5)-DX5,"")</f>
        <v/>
      </c>
      <c r="EE5" s="11">
        <f>IF(SUM(EB5,ED5)&gt;0,SUM(EB5,ED5),"")</f>
        <v>70.539999999999992</v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8.5500000000000007</v>
      </c>
      <c r="NO5" s="38">
        <f>IF($CV5="P",CC5,(CC5+AY5)/2)</f>
        <v>4.6500000000000004</v>
      </c>
      <c r="NP5" s="38">
        <f>IF($CV5="P",CD5,(CD5+AZ5)/2)</f>
        <v>0</v>
      </c>
      <c r="NQ5" s="38">
        <f>IF($CV5="P",CE5,(CE5+BA5)/2)</f>
        <v>7.6950000000000003</v>
      </c>
      <c r="NR5" s="38">
        <f>IF($CV5="P",CF5,(CF5+BB5)/2)</f>
        <v>0</v>
      </c>
      <c r="NS5" s="38">
        <f>IF($CV5="P",CG5,(CG5+BC5)/2)</f>
        <v>6.55</v>
      </c>
      <c r="NT5" s="38">
        <f>IF($CV5="P",CH5,(CH5+BD5)/2)</f>
        <v>3.9</v>
      </c>
      <c r="NU5" s="38">
        <f>IF($CV5="P",CI5,(CI5+BE5)/2)</f>
        <v>4.45</v>
      </c>
      <c r="NV5" s="38">
        <f>IF($CV5="P",CJ5,(CJ5+BF5)/2)</f>
        <v>6.81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7.4</v>
      </c>
      <c r="OD5" s="38">
        <f>IF($CV5="P",CR5,(CR5+BN5)/2)</f>
        <v>4.55</v>
      </c>
      <c r="OE5" s="38">
        <f>IF($CV5="P",CS5,(CS5+BO5)/2)</f>
        <v>6.1</v>
      </c>
      <c r="OF5" s="38">
        <f>IF($CV5="P",CT5,(CT5+BP5)/2)</f>
        <v>7.49</v>
      </c>
      <c r="OG5" s="38">
        <f>IF($CV5="P",CU5,(CU5+BQ5)/2)</f>
        <v>0</v>
      </c>
      <c r="OH5" s="45" t="s">
        <v>44</v>
      </c>
      <c r="OI5" s="11">
        <f>IF(SUM(NN5:NQ5)-NR5&gt;0,SUM(NN5:NQ5)-NR5,"")</f>
        <v>20.895000000000003</v>
      </c>
      <c r="OJ5" s="11">
        <f>IF(NU5&gt;0,NU5,"")</f>
        <v>4.45</v>
      </c>
      <c r="OK5" s="11">
        <f>IF(SUM(NS5:NV5)-NW5&gt;0,SUM(NS5:NV5)-NW5,"")</f>
        <v>21.709999999999997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42.605000000000004</v>
      </c>
      <c r="OO5" s="11">
        <f>IF(OE5&gt;0,OE5,"")</f>
        <v>6.1</v>
      </c>
      <c r="OP5" s="11">
        <f t="shared" ref="OP5" si="2">IF(SUM(OC5:OF5)-OG5&gt;0,SUM(OC5:OF5)-OG5,"")</f>
        <v>25.54</v>
      </c>
      <c r="OQ5" s="11">
        <f t="shared" ref="OQ5" si="3">IF(SUM(ON5,OP5)&gt;0,SUM(ON5,OP5),"")</f>
        <v>68.14500000000001</v>
      </c>
    </row>
    <row r="6" spans="1:407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8" t="s">
        <v>92</v>
      </c>
      <c r="C6" s="4" t="s">
        <v>66</v>
      </c>
      <c r="D6" s="7">
        <v>2007</v>
      </c>
      <c r="E6" s="15">
        <f>SUM(I6:Q6)</f>
        <v>175.81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6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14">
        <f>IF(MAX(AT6,BX6,DB6)&gt;0,MAX(AT6,BX6,DB6),0)</f>
        <v>93.37</v>
      </c>
      <c r="J6" s="14" t="str">
        <f>IF(I6=0,"",IF(I6=DB6,$CB$1,IF(I6=BX6,$AX$1,IF(I6=AT6,$T$1,""))))</f>
        <v>2022 3rd Domestic Trial</v>
      </c>
      <c r="K6" s="14">
        <f>IF($I6=$AT6,MAX(BS6,CW6),IF($I6=$BX6,MAX(AO6,CW6),IF($I6=$DB6,MAX(AO6,BS6),MAX(AO6,BS6,CW6))))</f>
        <v>16.899999999999999</v>
      </c>
      <c r="L6" s="14" t="str">
        <f>IF(K6=0,"",IF(AND(K6=CW6,$J6&lt;&gt;$CB$1),$CB$1,IF(AND(K6=BS6,$J6&lt;&gt;$AX$1),$AX$1,IF(AND(K6=AO6,$J6&lt;&gt;$T$1),$T$1,""))))</f>
        <v>2022 Nationals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15.790000000000003</v>
      </c>
      <c r="N6" s="14" t="str">
        <f>IF(M6=0,"",IF(AND(OR(M6=DA6,M6=CY6),$J6&lt;&gt;$CB$1),$CB$1,IF(AND(OR(M6=BW6,M6=BU6),$J6&lt;&gt;$AX$1),$AX$1,IF(AND(OR(M6=AS6,M6=AQ6),$J6&lt;&gt;$T$1),$T$1,""))))</f>
        <v>2022 Nationals</v>
      </c>
      <c r="O6" s="14">
        <f>MAX(AV6,BZ6,DD6)</f>
        <v>49.75</v>
      </c>
      <c r="P6" s="14" t="str">
        <f>IF(O6=0,"",IF(O6=DD6,$CB$1,IF(O6=BZ6,$AX$1,IF(O6=AV6,$T$1,""))))</f>
        <v>2022 3rd Domestic Trial</v>
      </c>
      <c r="Q6" s="14" t="str">
        <f>IF(MAX(DF6,DG6,DH6,DI6)&gt;0,MAX(DF6,DG6,DH6,DI6),"")</f>
        <v/>
      </c>
      <c r="R6" s="20" t="str">
        <f>IF(Q6="","",IF(Q6=DF6,"(Vol 1)",IF(Q6=DG6,"(Vol 2)",IF(Q6=DH6,"(Prelim)",IF(Q6=DI6,"(Final)")))))</f>
        <v/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45"/>
      <c r="AO6" s="11" t="str">
        <f>IF(SUM(T6:W6)-X6&gt;0,SUM(T6:W6)-X6,"")</f>
        <v/>
      </c>
      <c r="AP6" s="11" t="str">
        <f>IF(AA6&gt;0,AA6,"")</f>
        <v/>
      </c>
      <c r="AQ6" s="11" t="str">
        <f>IF(SUM(Y6:AB6)-AC6&gt;0,SUM(Y6:AB6)-AC6,"")</f>
        <v/>
      </c>
      <c r="AR6" s="11" t="str">
        <f>IF(AF6&gt;0,AF6,"")</f>
        <v/>
      </c>
      <c r="AS6" s="11" t="str">
        <f>IF(SUM(AD6:AG6)-AH6&gt;0,SUM(AD6:AG6)-AH6,"")</f>
        <v/>
      </c>
      <c r="AT6" s="11" t="str">
        <f>IF(AO6="",IF(MAX(AQ6,AS6)&gt;0,MAX(AQ6,AS6),""),MAX(AQ6,AS6)+AO6)</f>
        <v/>
      </c>
      <c r="AU6" s="11" t="str">
        <f>IF(AK6&gt;0,AK6,"")</f>
        <v/>
      </c>
      <c r="AV6" s="11" t="str">
        <f>IF(SUM(AI6:AL6)-AM6&gt;0,SUM(AI6:AL6)-AM6,"")</f>
        <v/>
      </c>
      <c r="AW6" s="11" t="str">
        <f>IF(SUM(AT6,AV6)&gt;0,SUM(AT6,AV6),"")</f>
        <v/>
      </c>
      <c r="AX6" s="34">
        <v>16.899999999999999</v>
      </c>
      <c r="AY6" s="34">
        <v>0</v>
      </c>
      <c r="AZ6" s="34">
        <v>0</v>
      </c>
      <c r="BA6" s="34">
        <v>0</v>
      </c>
      <c r="BB6" s="34">
        <v>0</v>
      </c>
      <c r="BC6" s="34">
        <v>4.4000000000000004</v>
      </c>
      <c r="BD6" s="34">
        <v>2.5</v>
      </c>
      <c r="BE6" s="34">
        <v>4.2</v>
      </c>
      <c r="BF6" s="34">
        <v>4.6900000000000004</v>
      </c>
      <c r="BG6" s="34">
        <v>0</v>
      </c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46"/>
      <c r="BS6" s="14">
        <f>IF(SUM(AX6:BA6)-BB6&gt;0,SUM(AX6:BA6)-BB6,"")</f>
        <v>16.899999999999999</v>
      </c>
      <c r="BT6" s="14">
        <f>IF(BE6&gt;0,BE6,"")</f>
        <v>4.2</v>
      </c>
      <c r="BU6" s="14">
        <f>IF(SUM(BC6:BF6)-BG6&gt;0,SUM(BC6:BF6)-BG6,"")</f>
        <v>15.790000000000003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32.69</v>
      </c>
      <c r="BY6" s="14" t="str">
        <f>IF(BO6&gt;0,BO6,"")</f>
        <v/>
      </c>
      <c r="BZ6" s="14" t="str">
        <f>IF(SUM(BM6:BP6)-BQ6&gt;0,SUM(BM6:BP6)-BQ6,"")</f>
        <v/>
      </c>
      <c r="CA6" s="14">
        <f>IF(SUM(BX6,BZ6)&gt;0,SUM(BX6,BZ6),"")</f>
        <v>32.69</v>
      </c>
      <c r="CB6" s="38">
        <v>16.8</v>
      </c>
      <c r="CC6" s="38">
        <v>9.3000000000000007</v>
      </c>
      <c r="CD6" s="38">
        <v>0</v>
      </c>
      <c r="CE6" s="38">
        <v>15.73</v>
      </c>
      <c r="CF6" s="38">
        <v>0</v>
      </c>
      <c r="CG6" s="38">
        <v>15</v>
      </c>
      <c r="CH6" s="38">
        <v>9.1999999999999993</v>
      </c>
      <c r="CI6" s="38">
        <v>12.3</v>
      </c>
      <c r="CJ6" s="38">
        <v>15.04</v>
      </c>
      <c r="CK6" s="38">
        <v>0</v>
      </c>
      <c r="CL6" s="38"/>
      <c r="CM6" s="38"/>
      <c r="CN6" s="38"/>
      <c r="CO6" s="38"/>
      <c r="CP6" s="38"/>
      <c r="CQ6" s="38">
        <v>14.74</v>
      </c>
      <c r="CR6" s="38">
        <v>8.5</v>
      </c>
      <c r="CS6" s="38">
        <v>11.4</v>
      </c>
      <c r="CT6" s="38">
        <v>15.11</v>
      </c>
      <c r="CU6" s="38">
        <v>0</v>
      </c>
      <c r="CV6" s="45"/>
      <c r="CW6" s="11">
        <f>IF(SUM(CB6:CE6)-CF6&gt;0,SUM(CB6:CE6)-CF6,"")</f>
        <v>41.83</v>
      </c>
      <c r="CX6" s="11">
        <f>IF(CI6&gt;0,CI6,"")</f>
        <v>12.3</v>
      </c>
      <c r="CY6" s="11">
        <f>IF(SUM(CG6:CJ6)-CK6&gt;0,SUM(CG6:CJ6)-CK6,"")</f>
        <v>51.54</v>
      </c>
      <c r="CZ6" s="11" t="str">
        <f>IF(CN6&gt;0,CN6,"")</f>
        <v/>
      </c>
      <c r="DA6" s="11" t="str">
        <f>IF(SUM(CL6:CO6)-CP6&gt;0,SUM(CL6:CO6)-CP6,"")</f>
        <v/>
      </c>
      <c r="DB6" s="11">
        <f>IF(CW6="",IF(MAX(CY6,DA6)&gt;0,MAX(CY6,DA6),""),MAX(CY6,DA6)+CW6)</f>
        <v>93.37</v>
      </c>
      <c r="DC6" s="11">
        <f>IF(CS6&gt;0,CS6,"")</f>
        <v>11.4</v>
      </c>
      <c r="DD6" s="11">
        <f>IF(SUM(CQ6:CT6)-CU6&gt;0,SUM(CQ6:CT6)-CU6,"")</f>
        <v>49.75</v>
      </c>
      <c r="DE6" s="11">
        <f>IF(SUM(DB6,DD6)&gt;0,SUM(DB6,DD6),"")</f>
        <v>143.12</v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 t="str">
        <f>IF(M6&gt;=0.001,IF(MAX(EA6,EW6,FS6,GO6,HK6,IG6,JC6,JY6,KU6,LQ6,MM6,NI6)-IF(M6="",0,M6)&gt;0.001,MAX(EA6,EW6,FS6,GO6,HK6,IG6,JC6,JY6,KU6,LQ6,MM6,NI6)-IF(M6="",0,M6),""),"")</f>
        <v/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11" t="str">
        <f>IF(DQ6&gt;0,DQ6,"")</f>
        <v/>
      </c>
      <c r="DZ6" s="11" t="str">
        <f>IF(SUM(DJ6:DM6)-DN6&gt;0,SUM(DJ6:DM6)-DN6,"")</f>
        <v/>
      </c>
      <c r="EA6" s="11" t="str">
        <f>IF(SUM(DO6:DR6)-DS6&gt;0,SUM(DO6:DR6)-DS6,"")</f>
        <v/>
      </c>
      <c r="EB6" s="11" t="str">
        <f>IF(SUM(DZ6:EA6)&gt;0,SUM(DZ6:EA6),"")</f>
        <v/>
      </c>
      <c r="EC6" s="11" t="str">
        <f>IF(DV6&gt;0,DV6,"")</f>
        <v/>
      </c>
      <c r="ED6" s="11" t="str">
        <f>IF(SUM(DT6:DW6)-DX6&gt;0,SUM(DT6:DW6)-DX6,"")</f>
        <v/>
      </c>
      <c r="EE6" s="11" t="str">
        <f>IF(SUM(EB6,ED6)&gt;0,SUM(EB6,ED6),"")</f>
        <v/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16.850000000000001</v>
      </c>
      <c r="NO6" s="38">
        <f>IF($CV6="P",CC6,(CC6+AY6)/2)</f>
        <v>4.6500000000000004</v>
      </c>
      <c r="NP6" s="38">
        <f>IF($CV6="P",CD6,(CD6+AZ6)/2)</f>
        <v>0</v>
      </c>
      <c r="NQ6" s="38">
        <f>IF($CV6="P",CE6,(CE6+BA6)/2)</f>
        <v>7.8650000000000002</v>
      </c>
      <c r="NR6" s="38">
        <f>IF($CV6="P",CF6,(CF6+BB6)/2)</f>
        <v>0</v>
      </c>
      <c r="NS6" s="38">
        <f>IF($CV6="P",CG6,(CG6+BC6)/2)</f>
        <v>9.6999999999999993</v>
      </c>
      <c r="NT6" s="38">
        <f>IF($CV6="P",CH6,(CH6+BD6)/2)</f>
        <v>5.85</v>
      </c>
      <c r="NU6" s="38">
        <f>IF($CV6="P",CI6,(CI6+BE6)/2)</f>
        <v>8.25</v>
      </c>
      <c r="NV6" s="38">
        <f>IF($CV6="P",CJ6,(CJ6+BF6)/2)</f>
        <v>9.8650000000000002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7.37</v>
      </c>
      <c r="OD6" s="38">
        <f>IF($CV6="P",CR6,(CR6+BN6)/2)</f>
        <v>4.25</v>
      </c>
      <c r="OE6" s="38">
        <f>IF($CV6="P",CS6,(CS6+BO6)/2)</f>
        <v>5.7</v>
      </c>
      <c r="OF6" s="38">
        <f>IF($CV6="P",CT6,(CT6+BP6)/2)</f>
        <v>7.5549999999999997</v>
      </c>
      <c r="OG6" s="38">
        <f>IF($CV6="P",CU6,(CU6+BQ6)/2)</f>
        <v>0</v>
      </c>
      <c r="OH6" s="45" t="s">
        <v>44</v>
      </c>
      <c r="OI6" s="11">
        <f>IF(SUM(NN6:NQ6)-NR6&gt;0,SUM(NN6:NQ6)-NR6,"")</f>
        <v>29.365000000000002</v>
      </c>
      <c r="OJ6" s="11">
        <f>IF(NU6&gt;0,NU6,"")</f>
        <v>8.25</v>
      </c>
      <c r="OK6" s="11">
        <f>IF(SUM(NS6:NV6)-NW6&gt;0,SUM(NS6:NV6)-NW6,"")</f>
        <v>33.664999999999999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63.03</v>
      </c>
      <c r="OO6" s="11">
        <f>IF(OE6&gt;0,OE6,"")</f>
        <v>5.7</v>
      </c>
      <c r="OP6" s="11">
        <f t="shared" ref="OP6" si="4">IF(SUM(OC6:OF6)-OG6&gt;0,SUM(OC6:OF6)-OG6,"")</f>
        <v>24.875</v>
      </c>
      <c r="OQ6" s="11">
        <f t="shared" ref="OQ6" si="5">IF(SUM(ON6,OP6)&gt;0,SUM(ON6,OP6),"")</f>
        <v>87.905000000000001</v>
      </c>
    </row>
    <row r="7" spans="1:407" x14ac:dyDescent="0.2">
      <c r="B7" s="6"/>
      <c r="D7" s="1"/>
    </row>
    <row r="9" spans="1:407" x14ac:dyDescent="0.2">
      <c r="B9" s="39" t="s">
        <v>42</v>
      </c>
      <c r="C9" s="33"/>
      <c r="AP9" s="66"/>
      <c r="AQ9" s="66"/>
      <c r="AR9" s="66"/>
      <c r="AU9" s="31"/>
      <c r="AW9" s="35">
        <v>13.5</v>
      </c>
      <c r="BT9" s="66"/>
      <c r="BU9" s="66"/>
      <c r="BV9" s="66"/>
      <c r="BY9" s="31"/>
      <c r="CA9" s="35">
        <v>13.5</v>
      </c>
      <c r="CX9" s="66"/>
      <c r="CY9" s="66"/>
      <c r="CZ9" s="66"/>
      <c r="DC9" s="31"/>
      <c r="DE9" s="35">
        <v>13.5</v>
      </c>
      <c r="DY9" s="33"/>
      <c r="EC9" s="31"/>
      <c r="EE9" s="35">
        <v>13.5</v>
      </c>
      <c r="EU9" s="33"/>
      <c r="EY9" s="31"/>
      <c r="FA9" s="35">
        <v>13.5</v>
      </c>
      <c r="FQ9" s="33"/>
      <c r="FU9" s="31"/>
      <c r="FW9" s="35">
        <v>13.5</v>
      </c>
      <c r="GM9" s="33"/>
      <c r="GQ9" s="31"/>
      <c r="GS9" s="35">
        <v>13.5</v>
      </c>
      <c r="HI9" s="33"/>
      <c r="HM9" s="31"/>
      <c r="HO9" s="35">
        <v>13.5</v>
      </c>
      <c r="IE9" s="33"/>
      <c r="II9" s="31"/>
      <c r="IK9" s="35">
        <v>13.5</v>
      </c>
      <c r="JA9" s="33"/>
      <c r="JE9" s="31"/>
      <c r="JG9" s="35">
        <v>13.5</v>
      </c>
      <c r="JW9" s="33"/>
      <c r="KA9" s="31"/>
      <c r="KC9" s="35">
        <v>13.5</v>
      </c>
      <c r="KS9" s="33"/>
      <c r="KW9" s="31"/>
      <c r="KY9" s="35">
        <v>13.5</v>
      </c>
      <c r="LO9" s="33"/>
      <c r="LS9" s="31"/>
      <c r="LU9" s="35">
        <v>13.5</v>
      </c>
      <c r="MK9" s="33"/>
      <c r="MO9" s="31"/>
      <c r="MQ9" s="35">
        <v>13.5</v>
      </c>
      <c r="NG9" s="33"/>
      <c r="NK9" s="31"/>
      <c r="NM9" s="35">
        <v>13.5</v>
      </c>
    </row>
    <row r="10" spans="1:407" hidden="1" x14ac:dyDescent="0.2">
      <c r="B10" s="48" t="s">
        <v>41</v>
      </c>
      <c r="C10" s="33"/>
      <c r="AP10" s="66"/>
      <c r="AQ10" s="66"/>
      <c r="AR10" s="66"/>
      <c r="AU10" s="31"/>
      <c r="AW10" s="53">
        <v>13.5</v>
      </c>
      <c r="BT10" s="66"/>
      <c r="BU10" s="66"/>
      <c r="BV10" s="66"/>
      <c r="BY10" s="31"/>
      <c r="CA10" s="53">
        <v>13.5</v>
      </c>
      <c r="CX10" s="66"/>
      <c r="CY10" s="66"/>
      <c r="CZ10" s="66"/>
      <c r="DC10" s="31"/>
      <c r="DE10" s="53">
        <v>13.5</v>
      </c>
      <c r="DY10" s="33"/>
      <c r="EC10" s="31"/>
      <c r="EE10" s="53">
        <v>13.5</v>
      </c>
      <c r="EU10" s="33"/>
      <c r="EY10" s="31"/>
      <c r="FA10" s="53">
        <v>13.5</v>
      </c>
      <c r="FQ10" s="33"/>
      <c r="FU10" s="31"/>
      <c r="FW10" s="53">
        <v>13.5</v>
      </c>
      <c r="GM10" s="33"/>
      <c r="GQ10" s="31"/>
      <c r="GS10" s="53">
        <v>13.5</v>
      </c>
      <c r="HI10" s="33"/>
      <c r="HM10" s="31"/>
      <c r="HO10" s="53">
        <v>13.5</v>
      </c>
      <c r="IE10" s="33"/>
      <c r="II10" s="31"/>
      <c r="IK10" s="53">
        <v>13.5</v>
      </c>
      <c r="JA10" s="33"/>
      <c r="JE10" s="31"/>
      <c r="JG10" s="53">
        <v>13.5</v>
      </c>
      <c r="JW10" s="33"/>
      <c r="KA10" s="31"/>
      <c r="KC10" s="53">
        <v>13.5</v>
      </c>
      <c r="KS10" s="33"/>
      <c r="KW10" s="31"/>
      <c r="KY10" s="53">
        <v>13.5</v>
      </c>
      <c r="LO10" s="33"/>
      <c r="LS10" s="31"/>
      <c r="LU10" s="53">
        <v>13.5</v>
      </c>
      <c r="MK10" s="33"/>
      <c r="MO10" s="31"/>
      <c r="MQ10" s="53">
        <v>13.5</v>
      </c>
      <c r="NG10" s="33"/>
      <c r="NK10" s="31"/>
      <c r="NM10" s="53">
        <v>13.5</v>
      </c>
    </row>
    <row r="11" spans="1:407" x14ac:dyDescent="0.2">
      <c r="A11" s="33"/>
      <c r="B11" s="49" t="s">
        <v>54</v>
      </c>
      <c r="C11" s="33"/>
      <c r="AP11" s="66"/>
      <c r="AQ11" s="66"/>
      <c r="AR11" s="66"/>
      <c r="AT11" s="31"/>
      <c r="AU11" s="31"/>
      <c r="AV11" s="31"/>
      <c r="AW11" s="51">
        <v>13.5</v>
      </c>
      <c r="BT11" s="66"/>
      <c r="BU11" s="66"/>
      <c r="BV11" s="66"/>
      <c r="BY11" s="31"/>
      <c r="CA11" s="51">
        <v>13.5</v>
      </c>
      <c r="CX11" s="66"/>
      <c r="CY11" s="66"/>
      <c r="CZ11" s="66"/>
      <c r="DB11" s="31"/>
      <c r="DC11" s="31"/>
      <c r="DD11" s="31"/>
      <c r="DE11" s="51">
        <v>13.5</v>
      </c>
      <c r="DY11" s="33"/>
      <c r="EC11" s="31"/>
      <c r="EE11" s="51">
        <v>13.5</v>
      </c>
      <c r="EU11" s="33"/>
      <c r="EY11" s="31"/>
      <c r="FA11" s="51">
        <v>13.5</v>
      </c>
      <c r="FQ11" s="33"/>
      <c r="FU11" s="31"/>
      <c r="FW11" s="51">
        <v>13.5</v>
      </c>
      <c r="GM11" s="33"/>
      <c r="GQ11" s="31"/>
      <c r="GS11" s="51">
        <v>13.5</v>
      </c>
      <c r="HI11" s="33"/>
      <c r="HM11" s="31"/>
      <c r="HO11" s="51">
        <v>13.5</v>
      </c>
      <c r="IE11" s="33"/>
      <c r="II11" s="31"/>
      <c r="IK11" s="51">
        <v>13.5</v>
      </c>
      <c r="JA11" s="33"/>
      <c r="JE11" s="31"/>
      <c r="JG11" s="51">
        <v>13.5</v>
      </c>
      <c r="JW11" s="33"/>
      <c r="KA11" s="31"/>
      <c r="KC11" s="51">
        <v>13.5</v>
      </c>
      <c r="KS11" s="33"/>
      <c r="KW11" s="31"/>
      <c r="KY11" s="51">
        <v>13.5</v>
      </c>
      <c r="LO11" s="33"/>
      <c r="LS11" s="31"/>
      <c r="LU11" s="51">
        <v>13.5</v>
      </c>
      <c r="MK11" s="33"/>
      <c r="MO11" s="31"/>
      <c r="MQ11" s="51">
        <v>13.5</v>
      </c>
      <c r="NG11" s="33"/>
      <c r="NK11" s="31"/>
      <c r="NM11" s="51">
        <v>13.5</v>
      </c>
    </row>
    <row r="12" spans="1:407" x14ac:dyDescent="0.2">
      <c r="A12" s="33"/>
      <c r="B12" s="62" t="s">
        <v>59</v>
      </c>
      <c r="C12" s="33"/>
      <c r="AP12" s="66"/>
      <c r="AQ12" s="66"/>
      <c r="AR12" s="66"/>
      <c r="AT12" s="31"/>
      <c r="AU12" s="31"/>
      <c r="AV12" s="31"/>
      <c r="AW12" s="63">
        <v>13.5</v>
      </c>
      <c r="BT12" s="66"/>
      <c r="BU12" s="66"/>
      <c r="BV12" s="66"/>
      <c r="BY12" s="31"/>
      <c r="CA12" s="63">
        <v>13.5</v>
      </c>
      <c r="CX12" s="66"/>
      <c r="CY12" s="66"/>
      <c r="CZ12" s="66"/>
      <c r="DB12" s="31"/>
      <c r="DC12" s="31"/>
      <c r="DD12" s="31"/>
      <c r="DE12" s="63">
        <v>13.5</v>
      </c>
      <c r="DY12" s="33"/>
      <c r="EC12" s="31"/>
      <c r="EE12" s="63">
        <v>13.5</v>
      </c>
      <c r="EU12" s="33"/>
      <c r="EY12" s="31"/>
      <c r="FA12" s="63">
        <v>13.5</v>
      </c>
      <c r="FQ12" s="33"/>
      <c r="FU12" s="31"/>
      <c r="FW12" s="63">
        <v>13.5</v>
      </c>
      <c r="GM12" s="33"/>
      <c r="GQ12" s="31"/>
      <c r="GS12" s="63">
        <v>13.5</v>
      </c>
      <c r="HI12" s="33"/>
      <c r="HM12" s="31"/>
      <c r="HO12" s="63">
        <v>13.5</v>
      </c>
      <c r="IE12" s="33"/>
      <c r="II12" s="31"/>
      <c r="IK12" s="63">
        <v>13.5</v>
      </c>
      <c r="JA12" s="33"/>
      <c r="JE12" s="31"/>
      <c r="JG12" s="63">
        <v>13.5</v>
      </c>
      <c r="JW12" s="33"/>
      <c r="KA12" s="31"/>
      <c r="KC12" s="63">
        <v>13.5</v>
      </c>
      <c r="KS12" s="33"/>
      <c r="KW12" s="31"/>
      <c r="KY12" s="63">
        <v>13.5</v>
      </c>
      <c r="LO12" s="33"/>
      <c r="LS12" s="31"/>
      <c r="LU12" s="63">
        <v>13.5</v>
      </c>
      <c r="MK12" s="33"/>
      <c r="MO12" s="31"/>
      <c r="MQ12" s="63">
        <v>13.5</v>
      </c>
      <c r="NG12" s="33"/>
      <c r="NK12" s="31"/>
      <c r="NM12" s="63">
        <v>13.5</v>
      </c>
    </row>
    <row r="13" spans="1:407" x14ac:dyDescent="0.2">
      <c r="A13" s="33"/>
      <c r="B13" s="60" t="s">
        <v>39</v>
      </c>
      <c r="C13" s="33"/>
      <c r="M13" s="2"/>
      <c r="AP13" s="66"/>
      <c r="AQ13" s="66"/>
      <c r="AR13" s="66"/>
      <c r="AT13" s="31"/>
      <c r="AU13" s="31"/>
      <c r="AV13" s="31"/>
      <c r="AW13" s="61">
        <v>96</v>
      </c>
      <c r="BT13" s="66"/>
      <c r="BU13" s="66"/>
      <c r="BV13" s="66"/>
      <c r="BY13" s="31"/>
      <c r="CA13" s="61">
        <v>96</v>
      </c>
      <c r="CX13" s="66"/>
      <c r="CY13" s="66"/>
      <c r="CZ13" s="66"/>
      <c r="DB13" s="31"/>
      <c r="DC13" s="31"/>
      <c r="DD13" s="31"/>
      <c r="DE13" s="61">
        <v>96</v>
      </c>
      <c r="DY13" s="33"/>
      <c r="EC13" s="31"/>
      <c r="EE13" s="61">
        <v>96</v>
      </c>
      <c r="EU13" s="33"/>
      <c r="EY13" s="31"/>
      <c r="FA13" s="61">
        <v>96</v>
      </c>
      <c r="FQ13" s="33"/>
      <c r="FU13" s="31"/>
      <c r="FW13" s="61">
        <v>96</v>
      </c>
      <c r="GM13" s="33"/>
      <c r="GQ13" s="31"/>
      <c r="GS13" s="61">
        <v>96</v>
      </c>
      <c r="HI13" s="33"/>
      <c r="HM13" s="31"/>
      <c r="HO13" s="61">
        <v>96</v>
      </c>
      <c r="IE13" s="33"/>
      <c r="II13" s="31"/>
      <c r="IK13" s="61">
        <v>96</v>
      </c>
      <c r="JA13" s="33"/>
      <c r="JE13" s="31"/>
      <c r="JG13" s="61">
        <v>96</v>
      </c>
      <c r="JW13" s="33"/>
      <c r="KA13" s="31"/>
      <c r="KC13" s="61">
        <v>96</v>
      </c>
      <c r="KS13" s="33"/>
      <c r="KW13" s="31"/>
      <c r="KY13" s="61">
        <v>96</v>
      </c>
      <c r="LO13" s="33"/>
      <c r="LS13" s="31"/>
      <c r="LU13" s="61">
        <v>96</v>
      </c>
      <c r="MK13" s="33"/>
      <c r="MO13" s="31"/>
      <c r="MQ13" s="61">
        <v>96</v>
      </c>
      <c r="NG13" s="33"/>
      <c r="NK13" s="31"/>
      <c r="NM13" s="61">
        <v>96</v>
      </c>
    </row>
    <row r="14" spans="1:407" hidden="1" x14ac:dyDescent="0.2">
      <c r="A14" s="33"/>
      <c r="B14" s="40" t="s">
        <v>40</v>
      </c>
      <c r="C14" s="33"/>
      <c r="M14" s="2"/>
      <c r="AP14" s="66"/>
      <c r="AQ14" s="66"/>
      <c r="AR14" s="66"/>
      <c r="AT14" s="31"/>
      <c r="AU14" s="31"/>
      <c r="AV14" s="31"/>
      <c r="AW14" s="36">
        <v>99.2</v>
      </c>
      <c r="BT14" s="66"/>
      <c r="BU14" s="66"/>
      <c r="BV14" s="66"/>
      <c r="BY14" s="31"/>
      <c r="CA14" s="36">
        <v>99.2</v>
      </c>
      <c r="CX14" s="66"/>
      <c r="CY14" s="66"/>
      <c r="CZ14" s="66"/>
      <c r="DB14" s="31"/>
      <c r="DC14" s="31"/>
      <c r="DD14" s="31"/>
      <c r="DE14" s="36">
        <v>99.2</v>
      </c>
      <c r="DY14" s="33"/>
      <c r="EC14" s="31"/>
      <c r="EE14" s="36">
        <v>99.2</v>
      </c>
      <c r="EU14" s="33"/>
      <c r="EY14" s="31"/>
      <c r="FA14" s="36">
        <v>99.2</v>
      </c>
      <c r="FQ14" s="33"/>
      <c r="FU14" s="31"/>
      <c r="FW14" s="36">
        <v>99.2</v>
      </c>
      <c r="GM14" s="33"/>
      <c r="GQ14" s="31"/>
      <c r="GS14" s="36">
        <v>99.2</v>
      </c>
      <c r="HI14" s="33"/>
      <c r="HM14" s="31"/>
      <c r="HO14" s="36">
        <v>99.2</v>
      </c>
      <c r="IE14" s="33"/>
      <c r="II14" s="31"/>
      <c r="IK14" s="36">
        <v>99.2</v>
      </c>
      <c r="JA14" s="33"/>
      <c r="JE14" s="31"/>
      <c r="JG14" s="36">
        <v>99.2</v>
      </c>
      <c r="JW14" s="33"/>
      <c r="KA14" s="31"/>
      <c r="KC14" s="36">
        <v>99.2</v>
      </c>
      <c r="KS14" s="33"/>
      <c r="KW14" s="31"/>
      <c r="KY14" s="36">
        <v>99.2</v>
      </c>
      <c r="LO14" s="33"/>
      <c r="LS14" s="31"/>
      <c r="LU14" s="36">
        <v>99.2</v>
      </c>
      <c r="MK14" s="33"/>
      <c r="MO14" s="31"/>
      <c r="MQ14" s="36">
        <v>99.2</v>
      </c>
      <c r="NG14" s="33"/>
      <c r="NK14" s="31"/>
      <c r="NM14" s="36">
        <v>99.2</v>
      </c>
    </row>
    <row r="15" spans="1:407" x14ac:dyDescent="0.2">
      <c r="A15" s="33"/>
      <c r="B15" s="58" t="s">
        <v>53</v>
      </c>
      <c r="C15" s="33"/>
      <c r="AP15" s="66"/>
      <c r="AQ15" s="66"/>
      <c r="AR15" s="66"/>
      <c r="AT15" s="31"/>
      <c r="AU15" s="31"/>
      <c r="AV15" s="31"/>
      <c r="AW15" s="59">
        <v>99.2</v>
      </c>
      <c r="BT15" s="66"/>
      <c r="BU15" s="66"/>
      <c r="BV15" s="66"/>
      <c r="BY15" s="31"/>
      <c r="BZ15" s="70"/>
      <c r="CA15" s="59">
        <v>99.2</v>
      </c>
      <c r="CX15" s="66"/>
      <c r="CY15" s="66"/>
      <c r="CZ15" s="66"/>
      <c r="DB15" s="31"/>
      <c r="DC15" s="31"/>
      <c r="DD15" s="31"/>
      <c r="DE15" s="59">
        <v>99.2</v>
      </c>
      <c r="DY15" s="33"/>
      <c r="EC15" s="31"/>
      <c r="ED15" s="70"/>
      <c r="EE15" s="59">
        <v>99.2</v>
      </c>
      <c r="EU15" s="33"/>
      <c r="EY15" s="31"/>
      <c r="FA15" s="59">
        <v>99.2</v>
      </c>
      <c r="FQ15" s="33"/>
      <c r="FU15" s="31"/>
      <c r="FW15" s="59">
        <v>99.2</v>
      </c>
      <c r="GM15" s="33"/>
      <c r="GQ15" s="31"/>
      <c r="GR15" s="70"/>
      <c r="GS15" s="59">
        <v>99.2</v>
      </c>
      <c r="HI15" s="33"/>
      <c r="HM15" s="31"/>
      <c r="HN15" s="70"/>
      <c r="HO15" s="59">
        <v>99.2</v>
      </c>
      <c r="IE15" s="33"/>
      <c r="II15" s="31"/>
      <c r="IJ15" s="70"/>
      <c r="IK15" s="59">
        <v>99.2</v>
      </c>
      <c r="JA15" s="33"/>
      <c r="JE15" s="31"/>
      <c r="JG15" s="59">
        <v>99.2</v>
      </c>
      <c r="JW15" s="33"/>
      <c r="KA15" s="31"/>
      <c r="KC15" s="59">
        <v>99.2</v>
      </c>
      <c r="KS15" s="33"/>
      <c r="KW15" s="31"/>
      <c r="KY15" s="59">
        <v>99.2</v>
      </c>
      <c r="LO15" s="33"/>
      <c r="LS15" s="31"/>
      <c r="LU15" s="59">
        <v>99.2</v>
      </c>
      <c r="MK15" s="33"/>
      <c r="MO15" s="31"/>
      <c r="MQ15" s="59">
        <v>99.2</v>
      </c>
      <c r="NG15" s="33"/>
      <c r="NK15" s="31"/>
      <c r="NM15" s="59">
        <v>99.2</v>
      </c>
    </row>
    <row r="16" spans="1:407" x14ac:dyDescent="0.2">
      <c r="A16" s="33"/>
      <c r="B16" s="41" t="s">
        <v>26</v>
      </c>
      <c r="C16" s="33"/>
      <c r="M16" s="2"/>
      <c r="AP16" s="66"/>
      <c r="AQ16" s="66"/>
      <c r="AR16" s="66"/>
      <c r="AT16" s="31"/>
      <c r="AU16" s="31"/>
      <c r="AV16" s="31"/>
      <c r="AW16" s="37">
        <v>56</v>
      </c>
      <c r="BT16" s="66"/>
      <c r="BU16" s="66"/>
      <c r="BV16" s="66"/>
      <c r="BY16" s="31"/>
      <c r="CA16" s="37">
        <v>56</v>
      </c>
      <c r="CX16" s="66"/>
      <c r="CY16" s="66"/>
      <c r="CZ16" s="66"/>
      <c r="DB16" s="31"/>
      <c r="DC16" s="31"/>
      <c r="DD16" s="31"/>
      <c r="DE16" s="37">
        <v>56</v>
      </c>
      <c r="DY16" s="33"/>
      <c r="EC16" s="31"/>
      <c r="EE16" s="37">
        <v>56</v>
      </c>
      <c r="EU16" s="33"/>
      <c r="EY16" s="31"/>
      <c r="FA16" s="37">
        <v>56</v>
      </c>
      <c r="FQ16" s="33"/>
      <c r="FU16" s="31"/>
      <c r="FW16" s="37">
        <v>56</v>
      </c>
      <c r="GM16" s="33"/>
      <c r="GQ16" s="31"/>
      <c r="GS16" s="37">
        <v>56</v>
      </c>
      <c r="HI16" s="33"/>
      <c r="HM16" s="31"/>
      <c r="HO16" s="37">
        <v>56</v>
      </c>
      <c r="IE16" s="33"/>
      <c r="II16" s="31"/>
      <c r="IJ16" s="70"/>
      <c r="IK16" s="37">
        <v>56</v>
      </c>
      <c r="JA16" s="33"/>
      <c r="JE16" s="31"/>
      <c r="JG16" s="37">
        <v>56</v>
      </c>
      <c r="JW16" s="33"/>
      <c r="KA16" s="31"/>
      <c r="KC16" s="37">
        <v>56</v>
      </c>
      <c r="KS16" s="33"/>
      <c r="KW16" s="31"/>
      <c r="KY16" s="37">
        <v>56</v>
      </c>
      <c r="LO16" s="33"/>
      <c r="LS16" s="31"/>
      <c r="LU16" s="37">
        <v>56</v>
      </c>
      <c r="MK16" s="33"/>
      <c r="MO16" s="31"/>
      <c r="MQ16" s="37">
        <v>56</v>
      </c>
      <c r="NG16" s="33"/>
      <c r="NK16" s="31"/>
      <c r="NM16" s="37">
        <v>56</v>
      </c>
    </row>
    <row r="17" spans="1:152" x14ac:dyDescent="0.2">
      <c r="B17" s="47" t="s">
        <v>45</v>
      </c>
      <c r="C17" s="2"/>
      <c r="AS17" s="31"/>
      <c r="AT17" s="31"/>
      <c r="AV17" s="31"/>
      <c r="DA17" s="31"/>
      <c r="DB17" s="31"/>
      <c r="DD17" s="31"/>
      <c r="EV17" s="31"/>
    </row>
    <row r="18" spans="1:152" x14ac:dyDescent="0.2">
      <c r="A18" s="33"/>
      <c r="B18" s="33"/>
      <c r="C18" s="32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52" ht="17" x14ac:dyDescent="0.2">
      <c r="A19" s="33"/>
      <c r="B19" s="33"/>
      <c r="C19" s="32"/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52" ht="17" x14ac:dyDescent="0.2">
      <c r="A20" s="33"/>
      <c r="B20" s="33"/>
      <c r="C20" s="32"/>
      <c r="Q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52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52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52" ht="17" x14ac:dyDescent="0.2">
      <c r="Q23" s="16"/>
      <c r="R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152" ht="17" x14ac:dyDescent="0.2">
      <c r="Q24" s="16"/>
      <c r="R24" s="16"/>
      <c r="S24" s="16"/>
    </row>
    <row r="25" spans="1:152" ht="17" x14ac:dyDescent="0.2">
      <c r="Q25" s="16"/>
      <c r="R25" s="16"/>
      <c r="S25" s="16"/>
    </row>
    <row r="26" spans="1:152" ht="17" x14ac:dyDescent="0.2">
      <c r="Q26" s="16"/>
      <c r="R26" s="16"/>
      <c r="S26" s="16"/>
    </row>
    <row r="27" spans="1:152" ht="17" x14ac:dyDescent="0.2">
      <c r="Q27" s="16"/>
      <c r="R27" s="16"/>
      <c r="S27" s="16"/>
    </row>
    <row r="28" spans="1:152" ht="17" x14ac:dyDescent="0.2">
      <c r="Q28" s="16"/>
      <c r="R28" s="16"/>
      <c r="S28" s="16"/>
    </row>
    <row r="29" spans="1:152" ht="17" x14ac:dyDescent="0.2">
      <c r="Q29" s="16"/>
      <c r="R29" s="16"/>
      <c r="S29" s="16"/>
    </row>
    <row r="30" spans="1:152" ht="17" x14ac:dyDescent="0.2">
      <c r="Q30" s="16"/>
      <c r="R30" s="16"/>
      <c r="S30" s="16"/>
    </row>
    <row r="31" spans="1:152" ht="17" x14ac:dyDescent="0.2">
      <c r="Q31" s="16"/>
      <c r="R31" s="16"/>
      <c r="S31" s="16"/>
    </row>
    <row r="32" spans="1:152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6">
      <sortCondition descending="1" ref="F1:F7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6">
    <cfRule type="expression" dxfId="181" priority="1" stopIfTrue="1">
      <formula>IF($AN4&lt;&gt;"",1,0)</formula>
    </cfRule>
  </conditionalFormatting>
  <conditionalFormatting sqref="AX4:CA6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6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AW$16</formula>
      <formula>1000</formula>
    </cfRule>
    <cfRule type="cellIs" dxfId="174" priority="47013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AW$15</formula>
      <formula>1000</formula>
    </cfRule>
    <cfRule type="cellIs" dxfId="172" priority="47103" operator="between">
      <formula>AW$14</formula>
      <formula>AW$15</formula>
    </cfRule>
    <cfRule type="cellIs" dxfId="171" priority="47104" operator="between">
      <formula>AW$13</formula>
      <formula>AW$14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AW$16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EE$12</formula>
      <formula>1000</formula>
    </cfRule>
    <cfRule type="cellIs" dxfId="168" priority="47283" operator="between">
      <formula>EE$11</formula>
      <formula>EE$12</formula>
    </cfRule>
    <cfRule type="cellIs" dxfId="167" priority="47284" operator="between">
      <formula>EE$10</formula>
      <formula>EE$11</formula>
    </cfRule>
    <cfRule type="cellIs" dxfId="166" priority="47285" operator="between">
      <formula>EE$9</formula>
      <formula>EE$10</formula>
    </cfRule>
  </conditionalFormatting>
  <conditionalFormatting sqref="AP1:AP1048576 BT1:BT1048576 CX1:CX1048576">
    <cfRule type="cellIs" dxfId="165" priority="47426" operator="between">
      <formula>AW$12</formula>
      <formula>1000</formula>
    </cfRule>
    <cfRule type="cellIs" dxfId="164" priority="47427" operator="between">
      <formula>AW$11</formula>
      <formula>AW$12</formula>
    </cfRule>
    <cfRule type="cellIs" dxfId="163" priority="47428" operator="between">
      <formula>AW$10</formula>
      <formula>AW$11</formula>
    </cfRule>
    <cfRule type="cellIs" dxfId="162" priority="47429" operator="between">
      <formula>AW$9</formula>
      <formula>AW$10</formula>
    </cfRule>
  </conditionalFormatting>
  <conditionalFormatting sqref="AQ1:AQ1048576 BU1:BU1048576 CY1:CY1048576">
    <cfRule type="cellIs" dxfId="161" priority="47462" operator="between">
      <formula>AW$16</formula>
      <formula>1000</formula>
    </cfRule>
  </conditionalFormatting>
  <conditionalFormatting sqref="AR1:AR1048576 BV1:BV1048576 CZ1:CZ1048576">
    <cfRule type="cellIs" dxfId="160" priority="47471" operator="between">
      <formula>AW$12</formula>
      <formula>1000</formula>
    </cfRule>
    <cfRule type="cellIs" dxfId="159" priority="47472" operator="between">
      <formula>AW$11</formula>
      <formula>AW$12</formula>
    </cfRule>
    <cfRule type="cellIs" dxfId="158" priority="47473" operator="between">
      <formula>AW$10</formula>
      <formula>AW$11</formula>
    </cfRule>
    <cfRule type="cellIs" dxfId="157" priority="47474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AW$12</formula>
      <formula>1000</formula>
    </cfRule>
    <cfRule type="cellIs" dxfId="155" priority="47508" operator="between">
      <formula>AW$11</formula>
      <formula>AW$12</formula>
    </cfRule>
    <cfRule type="cellIs" dxfId="154" priority="47509" operator="between">
      <formula>AW$10</formula>
      <formula>AW$11</formula>
    </cfRule>
    <cfRule type="cellIs" dxfId="153" priority="47510" operator="between">
      <formula>AW$9</formula>
      <formula>AW$10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72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88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94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 t="s">
        <v>86</v>
      </c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 t="s">
        <v>96</v>
      </c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8" t="s">
        <v>70</v>
      </c>
      <c r="C4" s="5" t="s">
        <v>65</v>
      </c>
      <c r="D4" s="5">
        <v>2006</v>
      </c>
      <c r="E4" s="15">
        <f>SUM(I4:Q4)</f>
        <v>235.25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6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41.97</v>
      </c>
      <c r="L4" s="14" t="str">
        <f>IF(K4=0,"",IF(AND(K4=CW4,$J4&lt;&gt;$CB$1),$CB$1,IF(AND(K4=BS4,$J4&lt;&gt;$AX$1),$AX$1,IF(AND(K4=AO4,$J4&lt;&gt;$T$1),$T$1,""))))</f>
        <v>2022 Nationals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49.180000000000007</v>
      </c>
      <c r="N4" s="14" t="str">
        <f>IF(M4=0,"",IF(AND(OR(M4=DA4,M4=CY4),$J4&lt;&gt;$CB$1),$CB$1,IF(AND(OR(M4=BW4,M4=BU4),$J4&lt;&gt;$AX$1),$AX$1,IF(AND(OR(M4=AS4,M4=AQ4),$J4&lt;&gt;$T$1),$T$1,""))))</f>
        <v>2022 3rd Domestic Trial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>
        <f>IF(MAX(DF4,DG4,DH4,DI4)&gt;0,MAX(DF4,DG4,DH4,DI4),"")</f>
        <v>0.28000000000000114</v>
      </c>
      <c r="R4" s="20" t="str">
        <f>IF(Q4="","",IF(Q4=DF4,"(Vol 1)",IF(Q4=DG4,"(Vol 2)",IF(Q4=DH4,"(Prelim)",IF(Q4=DI4,"(Final)")))))</f>
        <v>(Vol 1)</v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38">
        <v>17.399999999999999</v>
      </c>
      <c r="U4" s="38">
        <v>9.3000000000000007</v>
      </c>
      <c r="V4" s="38">
        <v>0</v>
      </c>
      <c r="W4" s="38">
        <v>15.45</v>
      </c>
      <c r="X4" s="38">
        <v>0</v>
      </c>
      <c r="Y4" s="38">
        <v>15.2</v>
      </c>
      <c r="Z4" s="38">
        <v>9.8000000000000007</v>
      </c>
      <c r="AA4" s="38">
        <v>11.4</v>
      </c>
      <c r="AB4" s="38">
        <v>14.62</v>
      </c>
      <c r="AC4" s="38">
        <v>0</v>
      </c>
      <c r="AD4" s="38"/>
      <c r="AE4" s="38"/>
      <c r="AF4" s="38"/>
      <c r="AG4" s="38"/>
      <c r="AH4" s="38"/>
      <c r="AI4" s="38">
        <v>15.5</v>
      </c>
      <c r="AJ4" s="38">
        <v>9.1</v>
      </c>
      <c r="AK4" s="38">
        <v>11.4</v>
      </c>
      <c r="AL4" s="38">
        <v>14.65</v>
      </c>
      <c r="AM4" s="38">
        <v>0</v>
      </c>
      <c r="AN4" s="45"/>
      <c r="AO4" s="11">
        <f>IF(SUM(T4:W4)-X4&gt;0,SUM(T4:W4)-X4,"")</f>
        <v>42.15</v>
      </c>
      <c r="AP4" s="11">
        <f>IF(AA4&gt;0,AA4,"")</f>
        <v>11.4</v>
      </c>
      <c r="AQ4" s="11">
        <f>IF(SUM(Y4:AB4)-AC4&gt;0,SUM(Y4:AB4)-AC4,"")</f>
        <v>51.019999999999996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93.169999999999987</v>
      </c>
      <c r="AU4" s="11">
        <f>IF(AK4&gt;0,AK4,"")</f>
        <v>11.4</v>
      </c>
      <c r="AV4" s="11">
        <f>IF(SUM(AI4:AL4)-AM4&gt;0,SUM(AI4:AL4)-AM4,"")</f>
        <v>50.65</v>
      </c>
      <c r="AW4" s="11">
        <f>IF(SUM(AT4,AV4)&gt;0,SUM(AT4,AV4),"")</f>
        <v>143.82</v>
      </c>
      <c r="AX4" s="42">
        <v>17.100000000000001</v>
      </c>
      <c r="AY4" s="42">
        <v>10</v>
      </c>
      <c r="AZ4" s="42">
        <v>0</v>
      </c>
      <c r="BA4" s="42">
        <v>14.87</v>
      </c>
      <c r="BB4" s="42">
        <v>0</v>
      </c>
      <c r="BC4" s="42">
        <v>13.8</v>
      </c>
      <c r="BD4" s="42">
        <v>8.9</v>
      </c>
      <c r="BE4" s="42">
        <v>11.3</v>
      </c>
      <c r="BF4" s="42">
        <v>14.06</v>
      </c>
      <c r="BG4" s="42">
        <v>0</v>
      </c>
      <c r="BH4" s="42"/>
      <c r="BI4" s="42"/>
      <c r="BJ4" s="42"/>
      <c r="BK4" s="42"/>
      <c r="BL4" s="42"/>
      <c r="BM4" s="42">
        <v>14.1</v>
      </c>
      <c r="BN4" s="42">
        <v>9</v>
      </c>
      <c r="BO4" s="42">
        <v>11.3</v>
      </c>
      <c r="BP4" s="42">
        <v>13.9</v>
      </c>
      <c r="BQ4" s="42">
        <v>0</v>
      </c>
      <c r="BR4" s="46"/>
      <c r="BS4" s="14">
        <f>IF(SUM(AX4:BA4)-BB4&gt;0,SUM(AX4:BA4)-BB4,"")</f>
        <v>41.97</v>
      </c>
      <c r="BT4" s="14">
        <f>IF(BE4&gt;0,BE4,"")</f>
        <v>11.3</v>
      </c>
      <c r="BU4" s="14">
        <f>IF(SUM(BC4:BF4)-BG4&gt;0,SUM(BC4:BF4)-BG4,"")</f>
        <v>48.06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90.03</v>
      </c>
      <c r="BY4" s="14">
        <f>IF(BO4&gt;0,BO4,"")</f>
        <v>11.3</v>
      </c>
      <c r="BZ4" s="14">
        <f>IF(SUM(BM4:BP4)-BQ4&gt;0,SUM(BM4:BP4)-BQ4,"")</f>
        <v>48.300000000000004</v>
      </c>
      <c r="CA4" s="14">
        <f>IF(SUM(BX4,BZ4)&gt;0,SUM(BX4,BZ4),"")</f>
        <v>138.33000000000001</v>
      </c>
      <c r="CB4" s="38">
        <v>16.600000000000001</v>
      </c>
      <c r="CC4" s="38">
        <v>9</v>
      </c>
      <c r="CD4" s="38">
        <v>0</v>
      </c>
      <c r="CE4" s="38">
        <v>14.95</v>
      </c>
      <c r="CF4" s="38">
        <v>0</v>
      </c>
      <c r="CG4" s="38">
        <v>13.1</v>
      </c>
      <c r="CH4" s="38">
        <v>8.9</v>
      </c>
      <c r="CI4" s="38">
        <v>12.2</v>
      </c>
      <c r="CJ4" s="38">
        <v>14.98</v>
      </c>
      <c r="CK4" s="38">
        <v>0</v>
      </c>
      <c r="CL4" s="38"/>
      <c r="CM4" s="38"/>
      <c r="CN4" s="38"/>
      <c r="CO4" s="38"/>
      <c r="CP4" s="38"/>
      <c r="CQ4" s="38">
        <v>12.7</v>
      </c>
      <c r="CR4" s="38">
        <v>8.8000000000000007</v>
      </c>
      <c r="CS4" s="38">
        <v>12</v>
      </c>
      <c r="CT4" s="38">
        <v>14.13</v>
      </c>
      <c r="CU4" s="38">
        <v>0</v>
      </c>
      <c r="CV4" s="45"/>
      <c r="CW4" s="11">
        <f>IF(SUM(CB4:CE4)-CF4&gt;0,SUM(CB4:CE4)-CF4,"")</f>
        <v>40.549999999999997</v>
      </c>
      <c r="CX4" s="11">
        <f>IF(CI4&gt;0,CI4,"")</f>
        <v>12.2</v>
      </c>
      <c r="CY4" s="11">
        <f>IF(SUM(CG4:CJ4)-CK4&gt;0,SUM(CG4:CJ4)-CK4,"")</f>
        <v>49.180000000000007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89.73</v>
      </c>
      <c r="DC4" s="11">
        <f>IF(CS4&gt;0,CS4,"")</f>
        <v>12</v>
      </c>
      <c r="DD4" s="11">
        <f>IF(SUM(CQ4:CT4)-CU4&gt;0,SUM(CQ4:CT4)-CU4,"")</f>
        <v>47.63</v>
      </c>
      <c r="DE4" s="11">
        <f>IF(SUM(DB4,DD4)&gt;0,SUM(DB4,DD4),"")</f>
        <v>137.36000000000001</v>
      </c>
      <c r="DF4" s="19">
        <f>IF(K4&gt;=0.001,IF(MAX(DZ4,EV4,FR4,GN4,HJ4,IF4,JB4,JX4,KT4,LP4,ML4,NH4)-IF(K4="",0,K4)&gt;0.001,MAX(DZ4,EV4,FR4,GN4,HJ4,IF4,JB4,JX4,KT4,LP4,ML4,NH4)-IF(K4="",0,K4),""),"")</f>
        <v>0.28000000000000114</v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>
        <v>17.600000000000001</v>
      </c>
      <c r="DK4" s="24">
        <v>9.9</v>
      </c>
      <c r="DL4" s="24">
        <v>0</v>
      </c>
      <c r="DM4" s="24">
        <v>14.75</v>
      </c>
      <c r="DN4" s="24">
        <v>0</v>
      </c>
      <c r="DO4" s="24">
        <v>14</v>
      </c>
      <c r="DP4" s="24">
        <v>9.3000000000000007</v>
      </c>
      <c r="DQ4" s="24">
        <v>11.3</v>
      </c>
      <c r="DR4" s="24">
        <v>14.06</v>
      </c>
      <c r="DS4" s="24">
        <v>0</v>
      </c>
      <c r="DT4" s="24">
        <v>7.1</v>
      </c>
      <c r="DU4" s="24">
        <v>4.4000000000000004</v>
      </c>
      <c r="DV4" s="24">
        <v>6</v>
      </c>
      <c r="DW4" s="24">
        <v>7.0449999999999999</v>
      </c>
      <c r="DX4" s="24">
        <v>0</v>
      </c>
      <c r="DY4" s="11">
        <f>IF(DQ4&gt;0,DQ4,"")</f>
        <v>11.3</v>
      </c>
      <c r="DZ4" s="11">
        <f>IF(SUM(DJ4:DM4)-DN4&gt;0,SUM(DJ4:DM4)-DN4,"")</f>
        <v>42.25</v>
      </c>
      <c r="EA4" s="11">
        <f>IF(SUM(DO4:DR4)-DS4&gt;0,SUM(DO4:DR4)-DS4,"")</f>
        <v>48.660000000000004</v>
      </c>
      <c r="EB4" s="11">
        <f>IF(SUM(DZ4:EA4)&gt;0,SUM(DZ4:EA4),"")</f>
        <v>90.91</v>
      </c>
      <c r="EC4" s="11">
        <f>IF(DV4&gt;0,DV4,"")</f>
        <v>6</v>
      </c>
      <c r="ED4" s="11">
        <f>IF(SUM(DT4:DW4)-DX4&gt;0,SUM(DT4:DW4)-DX4,"")</f>
        <v>24.545000000000002</v>
      </c>
      <c r="EE4" s="11">
        <f>IF(SUM(EB4,ED4)&gt;0,SUM(EB4,ED4),"")</f>
        <v>115.455</v>
      </c>
      <c r="EF4" s="25">
        <v>14.9</v>
      </c>
      <c r="EG4" s="25">
        <v>8.6</v>
      </c>
      <c r="EH4" s="25">
        <v>0</v>
      </c>
      <c r="EI4" s="25">
        <v>13.51</v>
      </c>
      <c r="EJ4" s="25">
        <v>0</v>
      </c>
      <c r="EK4" s="25">
        <v>12.1</v>
      </c>
      <c r="EL4" s="25">
        <v>9.1</v>
      </c>
      <c r="EM4" s="25">
        <v>11.3</v>
      </c>
      <c r="EN4" s="25">
        <v>13.48</v>
      </c>
      <c r="EO4" s="25">
        <v>0</v>
      </c>
      <c r="EP4" s="25"/>
      <c r="EQ4" s="25"/>
      <c r="ER4" s="25"/>
      <c r="ES4" s="25"/>
      <c r="ET4" s="25"/>
      <c r="EU4" s="14">
        <f>IF(EM4&gt;0,EM4,"")</f>
        <v>11.3</v>
      </c>
      <c r="EV4" s="14">
        <f>IF(SUM(EF4:EI4)-EJ4&gt;0,SUM(EF4:EI4)-EJ4,"")</f>
        <v>37.01</v>
      </c>
      <c r="EW4" s="14">
        <f>IF(SUM(EK4:EN4)-EO4&gt;0,SUM(EK4:EN4)-EO4,"")</f>
        <v>45.980000000000004</v>
      </c>
      <c r="EX4" s="14">
        <f>IF(SUM(EV4:EW4)&gt;0,SUM(EV4:EW4),"")</f>
        <v>82.990000000000009</v>
      </c>
      <c r="EY4" s="14" t="str">
        <f>IF(ER4&gt;0,ER4,"")</f>
        <v/>
      </c>
      <c r="EZ4" s="14" t="str">
        <f>IF(SUM(EP4:ES4)-ET4&gt;0,SUM(EP4:ES4)-ET4,"")</f>
        <v/>
      </c>
      <c r="FA4" s="14">
        <f>IF(SUM(EX4,EZ4)&gt;0,SUM(EX4,EZ4),"")</f>
        <v>82.990000000000009</v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16.850000000000001</v>
      </c>
      <c r="NO4" s="38">
        <f>IF($CV4="P",CC4,(CC4+AY4)/2)</f>
        <v>9.5</v>
      </c>
      <c r="NP4" s="38">
        <f>IF($CV4="P",CD4,(CD4+AZ4)/2)</f>
        <v>0</v>
      </c>
      <c r="NQ4" s="38">
        <f>IF($CV4="P",CE4,(CE4+BA4)/2)</f>
        <v>14.91</v>
      </c>
      <c r="NR4" s="38">
        <f>IF($CV4="P",CF4,(CF4+BB4)/2)</f>
        <v>0</v>
      </c>
      <c r="NS4" s="38">
        <f>IF($CV4="P",CG4,(CG4+BC4)/2)</f>
        <v>13.45</v>
      </c>
      <c r="NT4" s="38">
        <f>IF($CV4="P",CH4,(CH4+BD4)/2)</f>
        <v>8.9</v>
      </c>
      <c r="NU4" s="38">
        <f>IF($CV4="P",CI4,(CI4+BE4)/2)</f>
        <v>11.75</v>
      </c>
      <c r="NV4" s="38">
        <f>IF($CV4="P",CJ4,(CJ4+BF4)/2)</f>
        <v>14.52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13.399999999999999</v>
      </c>
      <c r="OD4" s="38">
        <f>IF($CV4="P",CR4,(CR4+BN4)/2)</f>
        <v>8.9</v>
      </c>
      <c r="OE4" s="38">
        <f>IF($CV4="P",CS4,(CS4+BO4)/2)</f>
        <v>11.65</v>
      </c>
      <c r="OF4" s="38">
        <f>IF($CV4="P",CT4,(CT4+BP4)/2)</f>
        <v>14.015000000000001</v>
      </c>
      <c r="OG4" s="38">
        <f>IF($CV4="P",CU4,(CU4+BQ4)/2)</f>
        <v>0</v>
      </c>
      <c r="OH4" s="45" t="s">
        <v>44</v>
      </c>
      <c r="OI4" s="11">
        <f>IF(SUM(NN4:NQ4)-NR4&gt;0,SUM(NN4:NQ4)-NR4,"")</f>
        <v>41.260000000000005</v>
      </c>
      <c r="OJ4" s="11">
        <f>IF(NU4&gt;0,NU4,"")</f>
        <v>11.75</v>
      </c>
      <c r="OK4" s="11">
        <f>IF(SUM(NS4:NV4)-NW4&gt;0,SUM(NS4:NV4)-NW4,"")</f>
        <v>48.620000000000005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89.88000000000001</v>
      </c>
      <c r="OO4" s="11">
        <f>IF(OE4&gt;0,OE4,"")</f>
        <v>11.65</v>
      </c>
      <c r="OP4" s="11">
        <f t="shared" ref="OP4" si="0">IF(SUM(OC4:OF4)-OG4&gt;0,SUM(OC4:OF4)-OG4,"")</f>
        <v>47.964999999999996</v>
      </c>
      <c r="OQ4" s="11">
        <f t="shared" ref="OQ4" si="1">IF(SUM(ON4,OP4)&gt;0,SUM(ON4,OP4),"")</f>
        <v>137.845</v>
      </c>
    </row>
    <row r="5" spans="1:407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8" t="s">
        <v>71</v>
      </c>
      <c r="C5" s="5" t="s">
        <v>3</v>
      </c>
      <c r="D5" s="5">
        <v>2006</v>
      </c>
      <c r="E5" s="15">
        <f>SUM(I5:Q5)</f>
        <v>230.8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6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41.58</v>
      </c>
      <c r="L5" s="14" t="str">
        <f>IF(K5=0,"",IF(AND(K5=CW5,$J5&lt;&gt;$CB$1),$CB$1,IF(AND(K5=BS5,$J5&lt;&gt;$AX$1),$AX$1,IF(AND(K5=AO5,$J5&lt;&gt;$T$1),$T$1,""))))</f>
        <v>2022 Nationals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43.95</v>
      </c>
      <c r="N5" s="14" t="str">
        <f>IF(M5=0,"",IF(AND(OR(M5=DA5,M5=CY5),$J5&lt;&gt;$CB$1),$CB$1,IF(AND(OR(M5=BW5,M5=BU5),$J5&lt;&gt;$AX$1),$AX$1,IF(AND(OR(M5=AS5,M5=AQ5),$J5&lt;&gt;$T$1),$T$1,""))))</f>
        <v>2022 3rd Domestic Trial</v>
      </c>
      <c r="O5" s="14">
        <f>MAX(AV5,BZ5,DD5)</f>
        <v>49.06</v>
      </c>
      <c r="P5" s="14" t="str">
        <f>IF(O5=0,"",IF(O5=DD5,$CB$1,IF(O5=BZ5,$AX$1,IF(O5=AV5,$T$1,""))))</f>
        <v>2022 Elite Canada</v>
      </c>
      <c r="Q5" s="14">
        <f>IF(MAX(DF5,DG5,DH5,DI5)&gt;0,MAX(DF5,DG5,DH5,DI5),"")</f>
        <v>5.1199999999999974</v>
      </c>
      <c r="R5" s="20" t="str">
        <f>IF(Q5="","",IF(Q5=DF5,"(Vol 1)",IF(Q5=DG5,"(Vol 2)",IF(Q5=DH5,"(Prelim)",IF(Q5=DI5,"(Final)")))))</f>
        <v>(Vol 2)</v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38">
        <v>17.100000000000001</v>
      </c>
      <c r="U5" s="38">
        <v>9.6</v>
      </c>
      <c r="V5" s="38">
        <v>0</v>
      </c>
      <c r="W5" s="38">
        <v>15.38</v>
      </c>
      <c r="X5" s="38">
        <v>0</v>
      </c>
      <c r="Y5" s="38">
        <v>14.8</v>
      </c>
      <c r="Z5" s="38">
        <v>8.9</v>
      </c>
      <c r="AA5" s="38">
        <v>10.5</v>
      </c>
      <c r="AB5" s="38">
        <v>14.81</v>
      </c>
      <c r="AC5" s="38">
        <v>0</v>
      </c>
      <c r="AD5" s="38"/>
      <c r="AE5" s="38"/>
      <c r="AF5" s="38"/>
      <c r="AG5" s="38"/>
      <c r="AH5" s="38"/>
      <c r="AI5" s="38">
        <v>15</v>
      </c>
      <c r="AJ5" s="38">
        <v>9</v>
      </c>
      <c r="AK5" s="38">
        <v>10.4</v>
      </c>
      <c r="AL5" s="38">
        <v>14.66</v>
      </c>
      <c r="AM5" s="38">
        <v>0</v>
      </c>
      <c r="AN5" s="45"/>
      <c r="AO5" s="11">
        <f>IF(SUM(T5:W5)-X5&gt;0,SUM(T5:W5)-X5,"")</f>
        <v>42.080000000000005</v>
      </c>
      <c r="AP5" s="11">
        <f>IF(AA5&gt;0,AA5,"")</f>
        <v>10.5</v>
      </c>
      <c r="AQ5" s="11">
        <f>IF(SUM(Y5:AB5)-AC5&gt;0,SUM(Y5:AB5)-AC5,"")</f>
        <v>49.010000000000005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91.09</v>
      </c>
      <c r="AU5" s="11">
        <f>IF(AK5&gt;0,AK5,"")</f>
        <v>10.4</v>
      </c>
      <c r="AV5" s="11">
        <f>IF(SUM(AI5:AL5)-AM5&gt;0,SUM(AI5:AL5)-AM5,"")</f>
        <v>49.06</v>
      </c>
      <c r="AW5" s="11">
        <f>IF(SUM(AT5,AV5)&gt;0,SUM(AT5,AV5),"")</f>
        <v>140.15</v>
      </c>
      <c r="AX5" s="42">
        <v>16.8</v>
      </c>
      <c r="AY5" s="42">
        <v>9.5</v>
      </c>
      <c r="AZ5" s="42">
        <v>0</v>
      </c>
      <c r="BA5" s="42">
        <v>15.28</v>
      </c>
      <c r="BB5" s="42">
        <v>0</v>
      </c>
      <c r="BC5" s="42">
        <v>5.8</v>
      </c>
      <c r="BD5" s="42">
        <v>3.5</v>
      </c>
      <c r="BE5" s="42">
        <v>5</v>
      </c>
      <c r="BF5" s="42">
        <v>5.8</v>
      </c>
      <c r="BG5" s="42">
        <v>0</v>
      </c>
      <c r="BH5" s="42"/>
      <c r="BI5" s="42"/>
      <c r="BJ5" s="42"/>
      <c r="BK5" s="42"/>
      <c r="BL5" s="42"/>
      <c r="BM5" s="42">
        <v>4.5999999999999996</v>
      </c>
      <c r="BN5" s="42">
        <v>2.8</v>
      </c>
      <c r="BO5" s="42">
        <v>3.8</v>
      </c>
      <c r="BP5" s="42">
        <v>4.62</v>
      </c>
      <c r="BQ5" s="42">
        <v>0</v>
      </c>
      <c r="BR5" s="46"/>
      <c r="BS5" s="14">
        <f>IF(SUM(AX5:BA5)-BB5&gt;0,SUM(AX5:BA5)-BB5,"")</f>
        <v>41.58</v>
      </c>
      <c r="BT5" s="14">
        <f>IF(BE5&gt;0,BE5,"")</f>
        <v>5</v>
      </c>
      <c r="BU5" s="14">
        <f>IF(SUM(BC5:BF5)-BG5&gt;0,SUM(BC5:BF5)-BG5,"")</f>
        <v>20.100000000000001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61.68</v>
      </c>
      <c r="BY5" s="14">
        <f>IF(BO5&gt;0,BO5,"")</f>
        <v>3.8</v>
      </c>
      <c r="BZ5" s="14">
        <f>IF(SUM(BM5:BP5)-BQ5&gt;0,SUM(BM5:BP5)-BQ5,"")</f>
        <v>15.82</v>
      </c>
      <c r="CA5" s="14">
        <f>IF(SUM(BX5,BZ5)&gt;0,SUM(BX5,BZ5),"")</f>
        <v>77.5</v>
      </c>
      <c r="CB5" s="38">
        <v>15.96</v>
      </c>
      <c r="CC5" s="38">
        <v>9.1999999999999993</v>
      </c>
      <c r="CD5" s="38">
        <v>0</v>
      </c>
      <c r="CE5" s="38">
        <v>15.71</v>
      </c>
      <c r="CF5" s="38">
        <v>0</v>
      </c>
      <c r="CG5" s="38">
        <v>12.5</v>
      </c>
      <c r="CH5" s="38">
        <v>8</v>
      </c>
      <c r="CI5" s="38">
        <v>9.8000000000000007</v>
      </c>
      <c r="CJ5" s="38">
        <v>13.65</v>
      </c>
      <c r="CK5" s="38">
        <v>0</v>
      </c>
      <c r="CL5" s="38"/>
      <c r="CM5" s="38"/>
      <c r="CN5" s="38"/>
      <c r="CO5" s="38"/>
      <c r="CP5" s="38"/>
      <c r="CQ5" s="38">
        <v>9.6</v>
      </c>
      <c r="CR5" s="38">
        <v>5.6</v>
      </c>
      <c r="CS5" s="38">
        <v>6.2</v>
      </c>
      <c r="CT5" s="38">
        <v>9.23</v>
      </c>
      <c r="CU5" s="38">
        <v>0</v>
      </c>
      <c r="CV5" s="45"/>
      <c r="CW5" s="11">
        <f>IF(SUM(CB5:CE5)-CF5&gt;0,SUM(CB5:CE5)-CF5,"")</f>
        <v>40.870000000000005</v>
      </c>
      <c r="CX5" s="11">
        <f>IF(CI5&gt;0,CI5,"")</f>
        <v>9.8000000000000007</v>
      </c>
      <c r="CY5" s="11">
        <f>IF(SUM(CG5:CJ5)-CK5&gt;0,SUM(CG5:CJ5)-CK5,"")</f>
        <v>43.95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84.820000000000007</v>
      </c>
      <c r="DC5" s="11">
        <f>IF(CS5&gt;0,CS5,"")</f>
        <v>6.2</v>
      </c>
      <c r="DD5" s="11">
        <f>IF(SUM(CQ5:CT5)-CU5&gt;0,SUM(CQ5:CT5)-CU5,"")</f>
        <v>30.63</v>
      </c>
      <c r="DE5" s="11">
        <f>IF(SUM(DB5,DD5)&gt;0,SUM(DB5,DD5),"")</f>
        <v>115.45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>
        <f>IF(M5&gt;=0.001,IF(MAX(EA5,EW5,FS5,GO5,HK5,IG5,JC5,JY5,KU5,LQ5,MM5,NI5)-IF(M5="",0,M5)&gt;0.001,MAX(EA5,EW5,FS5,GO5,HK5,IG5,JC5,JY5,KU5,LQ5,MM5,NI5)-IF(M5="",0,M5),""),"")</f>
        <v>5.1199999999999974</v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>
        <v>16</v>
      </c>
      <c r="EG5" s="25">
        <v>9.6</v>
      </c>
      <c r="EH5" s="25">
        <v>0</v>
      </c>
      <c r="EI5" s="25">
        <v>15.48</v>
      </c>
      <c r="EJ5" s="25">
        <v>0</v>
      </c>
      <c r="EK5" s="25">
        <v>14.6</v>
      </c>
      <c r="EL5" s="25">
        <v>9.5</v>
      </c>
      <c r="EM5" s="25">
        <v>10.5</v>
      </c>
      <c r="EN5" s="25">
        <v>14.47</v>
      </c>
      <c r="EO5" s="25">
        <v>0</v>
      </c>
      <c r="EP5" s="25"/>
      <c r="EQ5" s="25"/>
      <c r="ER5" s="25"/>
      <c r="ES5" s="25"/>
      <c r="ET5" s="25"/>
      <c r="EU5" s="14">
        <f>IF(EM5&gt;0,EM5,"")</f>
        <v>10.5</v>
      </c>
      <c r="EV5" s="14">
        <f>IF(SUM(EF5:EI5)-EJ5&gt;0,SUM(EF5:EI5)-EJ5,"")</f>
        <v>41.08</v>
      </c>
      <c r="EW5" s="14">
        <f>IF(SUM(EK5:EN5)-EO5&gt;0,SUM(EK5:EN5)-EO5,"")</f>
        <v>49.07</v>
      </c>
      <c r="EX5" s="14">
        <f>IF(SUM(EV5:EW5)&gt;0,SUM(EV5:EW5),"")</f>
        <v>90.15</v>
      </c>
      <c r="EY5" s="14" t="str">
        <f>IF(ER5&gt;0,ER5,"")</f>
        <v/>
      </c>
      <c r="EZ5" s="14" t="str">
        <f>IF(SUM(EP5:ES5)-ET5&gt;0,SUM(EP5:ES5)-ET5,"")</f>
        <v/>
      </c>
      <c r="FA5" s="14">
        <f>IF(SUM(EX5,EZ5)&gt;0,SUM(EX5,EZ5),"")</f>
        <v>90.15</v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16.380000000000003</v>
      </c>
      <c r="NO5" s="38">
        <f>IF($CV5="P",CC5,(CC5+AY5)/2)</f>
        <v>9.35</v>
      </c>
      <c r="NP5" s="38">
        <f>IF($CV5="P",CD5,(CD5+AZ5)/2)</f>
        <v>0</v>
      </c>
      <c r="NQ5" s="38">
        <f>IF($CV5="P",CE5,(CE5+BA5)/2)</f>
        <v>15.495000000000001</v>
      </c>
      <c r="NR5" s="38">
        <f>IF($CV5="P",CF5,(CF5+BB5)/2)</f>
        <v>0</v>
      </c>
      <c r="NS5" s="38">
        <f>IF($CV5="P",CG5,(CG5+BC5)/2)</f>
        <v>9.15</v>
      </c>
      <c r="NT5" s="38">
        <f>IF($CV5="P",CH5,(CH5+BD5)/2)</f>
        <v>5.75</v>
      </c>
      <c r="NU5" s="38">
        <f>IF($CV5="P",CI5,(CI5+BE5)/2)</f>
        <v>7.4</v>
      </c>
      <c r="NV5" s="38">
        <f>IF($CV5="P",CJ5,(CJ5+BF5)/2)</f>
        <v>9.7249999999999996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7.1</v>
      </c>
      <c r="OD5" s="38">
        <f>IF($CV5="P",CR5,(CR5+BN5)/2)</f>
        <v>4.1999999999999993</v>
      </c>
      <c r="OE5" s="38">
        <f>IF($CV5="P",CS5,(CS5+BO5)/2)</f>
        <v>5</v>
      </c>
      <c r="OF5" s="38">
        <f>IF($CV5="P",CT5,(CT5+BP5)/2)</f>
        <v>6.9250000000000007</v>
      </c>
      <c r="OG5" s="38">
        <f>IF($CV5="P",CU5,(CU5+BQ5)/2)</f>
        <v>0</v>
      </c>
      <c r="OH5" s="45" t="s">
        <v>44</v>
      </c>
      <c r="OI5" s="11">
        <f>IF(SUM(NN5:NQ5)-NR5&gt;0,SUM(NN5:NQ5)-NR5,"")</f>
        <v>41.225000000000009</v>
      </c>
      <c r="OJ5" s="11">
        <f>IF(NU5&gt;0,NU5,"")</f>
        <v>7.4</v>
      </c>
      <c r="OK5" s="11">
        <f>IF(SUM(NS5:NV5)-NW5&gt;0,SUM(NS5:NV5)-NW5,"")</f>
        <v>32.024999999999999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73.25</v>
      </c>
      <c r="OO5" s="11">
        <f>IF(OE5&gt;0,OE5,"")</f>
        <v>5</v>
      </c>
      <c r="OP5" s="11">
        <f t="shared" ref="OP5" si="2">IF(SUM(OC5:OF5)-OG5&gt;0,SUM(OC5:OF5)-OG5,"")</f>
        <v>23.224999999999998</v>
      </c>
      <c r="OQ5" s="11">
        <f t="shared" ref="OQ5" si="3">IF(SUM(ON5,OP5)&gt;0,SUM(ON5,OP5),"")</f>
        <v>96.474999999999994</v>
      </c>
    </row>
    <row r="6" spans="1:407" x14ac:dyDescent="0.2">
      <c r="A6" s="5" t="str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/>
      </c>
      <c r="B6" s="68" t="s">
        <v>93</v>
      </c>
      <c r="C6" s="5" t="s">
        <v>3</v>
      </c>
      <c r="D6" s="5">
        <v>2007</v>
      </c>
      <c r="E6" s="15">
        <f>SUM(I6:Q6)</f>
        <v>225.41000000000003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6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14">
        <f>IF(MAX(AT6,BX6,DB6)&gt;0,MAX(AT6,BX6,DB6),0)</f>
        <v>88.78</v>
      </c>
      <c r="J6" s="14" t="str">
        <f>IF(I6=0,"",IF(I6=DB6,$CB$1,IF(I6=BX6,$AX$1,IF(I6=AT6,$T$1,""))))</f>
        <v>2022 Elite Canada</v>
      </c>
      <c r="K6" s="14">
        <f>IF($I6=$AT6,MAX(BS6,CW6),IF($I6=$BX6,MAX(AO6,CW6),IF($I6=$DB6,MAX(AO6,BS6),MAX(AO6,BS6,CW6))))</f>
        <v>41.45</v>
      </c>
      <c r="L6" s="14" t="str">
        <f>IF(K6=0,"",IF(AND(K6=CW6,$J6&lt;&gt;$CB$1),$CB$1,IF(AND(K6=BS6,$J6&lt;&gt;$AX$1),$AX$1,IF(AND(K6=AO6,$J6&lt;&gt;$T$1),$T$1,""))))</f>
        <v>2022 Nationals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46.47</v>
      </c>
      <c r="N6" s="14" t="str">
        <f>IF(M6=0,"",IF(AND(OR(M6=DA6,M6=CY6),$J6&lt;&gt;$CB$1),$CB$1,IF(AND(OR(M6=BW6,M6=BU6),$J6&lt;&gt;$AX$1),$AX$1,IF(AND(OR(M6=AS6,M6=AQ6),$J6&lt;&gt;$T$1),$T$1,""))))</f>
        <v>2022 Nationals</v>
      </c>
      <c r="O6" s="14">
        <f>MAX(AV6,BZ6,DD6)</f>
        <v>47.68</v>
      </c>
      <c r="P6" s="14" t="str">
        <f>IF(O6=0,"",IF(O6=DD6,$CB$1,IF(O6=BZ6,$AX$1,IF(O6=AV6,$T$1,""))))</f>
        <v>2022 3rd Domestic Trial</v>
      </c>
      <c r="Q6" s="14">
        <f>IF(MAX(DF6,DG6,DH6,DI6)&gt;0,MAX(DF6,DG6,DH6,DI6),"")</f>
        <v>1.0300000000000011</v>
      </c>
      <c r="R6" s="20" t="str">
        <f>IF(Q6="","",IF(Q6=DF6,"(Vol 1)",IF(Q6=DG6,"(Vol 2)",IF(Q6=DH6,"(Prelim)",IF(Q6=DI6,"(Final)")))))</f>
        <v>(Vol 2)</v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Coimbra Gym Fest (June 26)</v>
      </c>
      <c r="T6" s="38">
        <v>16.7</v>
      </c>
      <c r="U6" s="38">
        <v>9.8000000000000007</v>
      </c>
      <c r="V6" s="38">
        <v>0</v>
      </c>
      <c r="W6" s="38">
        <v>14.34</v>
      </c>
      <c r="X6" s="38">
        <v>0</v>
      </c>
      <c r="Y6" s="38">
        <v>15.6</v>
      </c>
      <c r="Z6" s="38">
        <v>9.1</v>
      </c>
      <c r="AA6" s="38">
        <v>9.1</v>
      </c>
      <c r="AB6" s="38">
        <v>14.14</v>
      </c>
      <c r="AC6" s="38">
        <v>0</v>
      </c>
      <c r="AD6" s="38"/>
      <c r="AE6" s="38"/>
      <c r="AF6" s="38"/>
      <c r="AG6" s="38"/>
      <c r="AH6" s="38"/>
      <c r="AI6" s="38">
        <v>14.5</v>
      </c>
      <c r="AJ6" s="38">
        <v>8.9</v>
      </c>
      <c r="AK6" s="38">
        <v>9.1</v>
      </c>
      <c r="AL6" s="38">
        <v>13.82</v>
      </c>
      <c r="AM6" s="38">
        <v>0</v>
      </c>
      <c r="AN6" s="45"/>
      <c r="AO6" s="11">
        <f>IF(SUM(T6:W6)-X6&gt;0,SUM(T6:W6)-X6,"")</f>
        <v>40.840000000000003</v>
      </c>
      <c r="AP6" s="11">
        <f>IF(AA6&gt;0,AA6,"")</f>
        <v>9.1</v>
      </c>
      <c r="AQ6" s="11">
        <f>IF(SUM(Y6:AB6)-AC6&gt;0,SUM(Y6:AB6)-AC6,"")</f>
        <v>47.94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88.78</v>
      </c>
      <c r="AU6" s="11">
        <f>IF(AK6&gt;0,AK6,"")</f>
        <v>9.1</v>
      </c>
      <c r="AV6" s="11">
        <f>IF(SUM(AI6:AL6)-AM6&gt;0,SUM(AI6:AL6)-AM6,"")</f>
        <v>46.32</v>
      </c>
      <c r="AW6" s="11">
        <f>IF(SUM(AT6,AV6)&gt;0,SUM(AT6,AV6),"")</f>
        <v>135.1</v>
      </c>
      <c r="AX6" s="42">
        <v>17.3</v>
      </c>
      <c r="AY6" s="42">
        <v>9.5</v>
      </c>
      <c r="AZ6" s="42">
        <v>0</v>
      </c>
      <c r="BA6" s="42">
        <v>14.65</v>
      </c>
      <c r="BB6" s="42">
        <v>0</v>
      </c>
      <c r="BC6" s="42">
        <v>13.8</v>
      </c>
      <c r="BD6" s="42">
        <v>9.4</v>
      </c>
      <c r="BE6" s="42">
        <v>10</v>
      </c>
      <c r="BF6" s="42">
        <v>13.27</v>
      </c>
      <c r="BG6" s="42">
        <v>0</v>
      </c>
      <c r="BH6" s="42"/>
      <c r="BI6" s="42"/>
      <c r="BJ6" s="42"/>
      <c r="BK6" s="42"/>
      <c r="BL6" s="42"/>
      <c r="BM6" s="42">
        <v>14.5</v>
      </c>
      <c r="BN6" s="42">
        <v>9.4</v>
      </c>
      <c r="BO6" s="42">
        <v>10</v>
      </c>
      <c r="BP6" s="42">
        <v>13.53</v>
      </c>
      <c r="BQ6" s="42">
        <v>0</v>
      </c>
      <c r="BR6" s="46"/>
      <c r="BS6" s="14">
        <f>IF(SUM(AX6:BA6)-BB6&gt;0,SUM(AX6:BA6)-BB6,"")</f>
        <v>41.45</v>
      </c>
      <c r="BT6" s="14">
        <f>IF(BE6&gt;0,BE6,"")</f>
        <v>10</v>
      </c>
      <c r="BU6" s="14">
        <f>IF(SUM(BC6:BF6)-BG6&gt;0,SUM(BC6:BF6)-BG6,"")</f>
        <v>46.47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87.92</v>
      </c>
      <c r="BY6" s="14">
        <f>IF(BO6&gt;0,BO6,"")</f>
        <v>10</v>
      </c>
      <c r="BZ6" s="14">
        <f>IF(SUM(BM6:BP6)-BQ6&gt;0,SUM(BM6:BP6)-BQ6,"")</f>
        <v>47.43</v>
      </c>
      <c r="CA6" s="14">
        <f>IF(SUM(BX6,BZ6)&gt;0,SUM(BX6,BZ6),"")</f>
        <v>135.35</v>
      </c>
      <c r="CB6" s="38">
        <v>15.7</v>
      </c>
      <c r="CC6" s="38">
        <v>9.6</v>
      </c>
      <c r="CD6" s="38">
        <v>0</v>
      </c>
      <c r="CE6" s="38">
        <v>14.9</v>
      </c>
      <c r="CF6" s="38">
        <v>2</v>
      </c>
      <c r="CG6" s="38">
        <v>11.7</v>
      </c>
      <c r="CH6" s="38">
        <v>9.1999999999999993</v>
      </c>
      <c r="CI6" s="38">
        <v>10</v>
      </c>
      <c r="CJ6" s="38">
        <v>14.05</v>
      </c>
      <c r="CK6" s="38">
        <v>0</v>
      </c>
      <c r="CL6" s="38"/>
      <c r="CM6" s="38"/>
      <c r="CN6" s="38"/>
      <c r="CO6" s="38"/>
      <c r="CP6" s="38"/>
      <c r="CQ6" s="38">
        <v>14.3</v>
      </c>
      <c r="CR6" s="38">
        <v>9</v>
      </c>
      <c r="CS6" s="38">
        <v>10</v>
      </c>
      <c r="CT6" s="38">
        <v>14.38</v>
      </c>
      <c r="CU6" s="38">
        <v>0</v>
      </c>
      <c r="CV6" s="45"/>
      <c r="CW6" s="11">
        <f>IF(SUM(CB6:CE6)-CF6&gt;0,SUM(CB6:CE6)-CF6,"")</f>
        <v>38.199999999999996</v>
      </c>
      <c r="CX6" s="11">
        <f>IF(CI6&gt;0,CI6,"")</f>
        <v>10</v>
      </c>
      <c r="CY6" s="11">
        <f>IF(SUM(CG6:CJ6)-CK6&gt;0,SUM(CG6:CJ6)-CK6,"")</f>
        <v>44.95</v>
      </c>
      <c r="CZ6" s="11" t="str">
        <f>IF(CN6&gt;0,CN6,"")</f>
        <v/>
      </c>
      <c r="DA6" s="11" t="str">
        <f>IF(SUM(CL6:CO6)-CP6&gt;0,SUM(CL6:CO6)-CP6,"")</f>
        <v/>
      </c>
      <c r="DB6" s="11">
        <f>IF(CW6="",IF(MAX(CY6,DA6)&gt;0,MAX(CY6,DA6),""),MAX(CY6,DA6)+CW6)</f>
        <v>83.15</v>
      </c>
      <c r="DC6" s="11">
        <f>IF(CS6&gt;0,CS6,"")</f>
        <v>10</v>
      </c>
      <c r="DD6" s="11">
        <f>IF(SUM(CQ6:CT6)-CU6&gt;0,SUM(CQ6:CT6)-CU6,"")</f>
        <v>47.68</v>
      </c>
      <c r="DE6" s="11">
        <f>IF(SUM(DB6,DD6)&gt;0,SUM(DB6,DD6),"")</f>
        <v>130.83000000000001</v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>
        <f>IF(M6&gt;=0.001,IF(MAX(EA6,EW6,FS6,GO6,HK6,IG6,JC6,JY6,KU6,LQ6,MM6,NI6)-IF(M6="",0,M6)&gt;0.001,MAX(EA6,EW6,FS6,GO6,HK6,IG6,JC6,JY6,KU6,LQ6,MM6,NI6)-IF(M6="",0,M6),""),"")</f>
        <v>1.0300000000000011</v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>
        <v>16.2</v>
      </c>
      <c r="DK6" s="24">
        <v>9.9</v>
      </c>
      <c r="DL6" s="24">
        <v>0</v>
      </c>
      <c r="DM6" s="24">
        <v>14.48</v>
      </c>
      <c r="DN6" s="24">
        <v>0</v>
      </c>
      <c r="DO6" s="24">
        <v>14.9</v>
      </c>
      <c r="DP6" s="24">
        <v>9.1</v>
      </c>
      <c r="DQ6" s="24">
        <v>10</v>
      </c>
      <c r="DR6" s="24">
        <v>13.5</v>
      </c>
      <c r="DS6" s="24">
        <v>0</v>
      </c>
      <c r="DT6" s="24"/>
      <c r="DU6" s="24"/>
      <c r="DV6" s="24"/>
      <c r="DW6" s="24"/>
      <c r="DX6" s="24"/>
      <c r="DY6" s="11">
        <f>IF(DQ6&gt;0,DQ6,"")</f>
        <v>10</v>
      </c>
      <c r="DZ6" s="11">
        <f>IF(SUM(DJ6:DM6)-DN6&gt;0,SUM(DJ6:DM6)-DN6,"")</f>
        <v>40.58</v>
      </c>
      <c r="EA6" s="11">
        <f>IF(SUM(DO6:DR6)-DS6&gt;0,SUM(DO6:DR6)-DS6,"")</f>
        <v>47.5</v>
      </c>
      <c r="EB6" s="11">
        <f>IF(SUM(DZ6:EA6)&gt;0,SUM(DZ6:EA6),"")</f>
        <v>88.08</v>
      </c>
      <c r="EC6" s="11" t="str">
        <f>IF(DV6&gt;0,DV6,"")</f>
        <v/>
      </c>
      <c r="ED6" s="11" t="str">
        <f>IF(SUM(DT6:DW6)-DX6&gt;0,SUM(DT6:DW6)-DX6,"")</f>
        <v/>
      </c>
      <c r="EE6" s="11">
        <f>IF(SUM(EB6,ED6)&gt;0,SUM(EB6,ED6),"")</f>
        <v>88.08</v>
      </c>
      <c r="EF6" s="25">
        <v>16.2</v>
      </c>
      <c r="EG6" s="25">
        <v>9.5</v>
      </c>
      <c r="EH6" s="25">
        <v>0</v>
      </c>
      <c r="EI6" s="25">
        <v>14.4</v>
      </c>
      <c r="EJ6" s="25">
        <v>0</v>
      </c>
      <c r="EK6" s="25">
        <v>6.6</v>
      </c>
      <c r="EL6" s="25">
        <v>4.0999999999999996</v>
      </c>
      <c r="EM6" s="25">
        <v>6.1</v>
      </c>
      <c r="EN6" s="25">
        <v>6.54</v>
      </c>
      <c r="EO6" s="25">
        <v>0</v>
      </c>
      <c r="EP6" s="25"/>
      <c r="EQ6" s="25"/>
      <c r="ER6" s="25"/>
      <c r="ES6" s="25"/>
      <c r="ET6" s="25"/>
      <c r="EU6" s="14">
        <f>IF(EM6&gt;0,EM6,"")</f>
        <v>6.1</v>
      </c>
      <c r="EV6" s="14">
        <f>IF(SUM(EF6:EI6)-EJ6&gt;0,SUM(EF6:EI6)-EJ6,"")</f>
        <v>40.1</v>
      </c>
      <c r="EW6" s="14">
        <f>IF(SUM(EK6:EN6)-EO6&gt;0,SUM(EK6:EN6)-EO6,"")</f>
        <v>23.339999999999996</v>
      </c>
      <c r="EX6" s="14">
        <f>IF(SUM(EV6:EW6)&gt;0,SUM(EV6:EW6),"")</f>
        <v>63.44</v>
      </c>
      <c r="EY6" s="14" t="str">
        <f>IF(ER6&gt;0,ER6,"")</f>
        <v/>
      </c>
      <c r="EZ6" s="14" t="str">
        <f>IF(SUM(EP6:ES6)-ET6&gt;0,SUM(EP6:ES6)-ET6,"")</f>
        <v/>
      </c>
      <c r="FA6" s="14">
        <f>IF(SUM(EX6,EZ6)&gt;0,SUM(EX6,EZ6),"")</f>
        <v>63.44</v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16.5</v>
      </c>
      <c r="NO6" s="38">
        <f>IF($CV6="P",CC6,(CC6+AY6)/2)</f>
        <v>9.5500000000000007</v>
      </c>
      <c r="NP6" s="38">
        <f>IF($CV6="P",CD6,(CD6+AZ6)/2)</f>
        <v>0</v>
      </c>
      <c r="NQ6" s="38">
        <f>IF($CV6="P",CE6,(CE6+BA6)/2)</f>
        <v>14.775</v>
      </c>
      <c r="NR6" s="38">
        <f>IF($CV6="P",CF6,(CF6+BB6)/2)</f>
        <v>1</v>
      </c>
      <c r="NS6" s="38">
        <f>IF($CV6="P",CG6,(CG6+BC6)/2)</f>
        <v>12.75</v>
      </c>
      <c r="NT6" s="38">
        <f>IF($CV6="P",CH6,(CH6+BD6)/2)</f>
        <v>9.3000000000000007</v>
      </c>
      <c r="NU6" s="38">
        <f>IF($CV6="P",CI6,(CI6+BE6)/2)</f>
        <v>10</v>
      </c>
      <c r="NV6" s="38">
        <f>IF($CV6="P",CJ6,(CJ6+BF6)/2)</f>
        <v>13.66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14.4</v>
      </c>
      <c r="OD6" s="38">
        <f>IF($CV6="P",CR6,(CR6+BN6)/2)</f>
        <v>9.1999999999999993</v>
      </c>
      <c r="OE6" s="38">
        <f>IF($CV6="P",CS6,(CS6+BO6)/2)</f>
        <v>10</v>
      </c>
      <c r="OF6" s="38">
        <f>IF($CV6="P",CT6,(CT6+BP6)/2)</f>
        <v>13.955</v>
      </c>
      <c r="OG6" s="38">
        <f>IF($CV6="P",CU6,(CU6+BQ6)/2)</f>
        <v>0</v>
      </c>
      <c r="OH6" s="45" t="s">
        <v>44</v>
      </c>
      <c r="OI6" s="11">
        <f>IF(SUM(NN6:NQ6)-NR6&gt;0,SUM(NN6:NQ6)-NR6,"")</f>
        <v>39.825000000000003</v>
      </c>
      <c r="OJ6" s="11">
        <f>IF(NU6&gt;0,NU6,"")</f>
        <v>10</v>
      </c>
      <c r="OK6" s="11">
        <f>IF(SUM(NS6:NV6)-NW6&gt;0,SUM(NS6:NV6)-NW6,"")</f>
        <v>45.709999999999994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85.534999999999997</v>
      </c>
      <c r="OO6" s="11">
        <f>IF(OE6&gt;0,OE6,"")</f>
        <v>10</v>
      </c>
      <c r="OP6" s="11">
        <f t="shared" ref="OP6" si="4">IF(SUM(OC6:OF6)-OG6&gt;0,SUM(OC6:OF6)-OG6,"")</f>
        <v>47.555</v>
      </c>
      <c r="OQ6" s="11">
        <f t="shared" ref="OQ6" si="5">IF(SUM(ON6,OP6)&gt;0,SUM(ON6,OP6),"")</f>
        <v>133.09</v>
      </c>
    </row>
    <row r="7" spans="1:407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8" t="s">
        <v>90</v>
      </c>
      <c r="C7" s="5" t="s">
        <v>75</v>
      </c>
      <c r="D7" s="5">
        <v>2009</v>
      </c>
      <c r="E7" s="15">
        <f>SUM(I7:Q7)</f>
        <v>221.42999999999998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6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14">
        <f>IF(MAX(AT7,BX7,DB7)&gt;0,MAX(AT7,BX7,DB7),0)</f>
        <v>86.37</v>
      </c>
      <c r="J7" s="14" t="str">
        <f>IF(I7=0,"",IF(I7=DB7,$CB$1,IF(I7=BX7,$AX$1,IF(I7=AT7,$T$1,""))))</f>
        <v>2022 Elite Canada</v>
      </c>
      <c r="K7" s="14">
        <f>IF($I7=$AT7,MAX(BS7,CW7),IF($I7=$BX7,MAX(AO7,CW7),IF($I7=$DB7,MAX(AO7,BS7),MAX(AO7,BS7,CW7))))</f>
        <v>39.200000000000003</v>
      </c>
      <c r="L7" s="14" t="str">
        <f>IF(K7=0,"",IF(AND(K7=CW7,$J7&lt;&gt;$CB$1),$CB$1,IF(AND(K7=BS7,$J7&lt;&gt;$AX$1),$AX$1,IF(AND(K7=AO7,$J7&lt;&gt;$T$1),$T$1,""))))</f>
        <v>2022 Nationals</v>
      </c>
      <c r="M7" s="14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46.02</v>
      </c>
      <c r="N7" s="14" t="str">
        <f>IF(M7=0,"",IF(AND(OR(M7=DA7,M7=CY7),$J7&lt;&gt;$CB$1),$CB$1,IF(AND(OR(M7=BW7,M7=BU7),$J7&lt;&gt;$AX$1),$AX$1,IF(AND(OR(M7=AS7,M7=AQ7),$J7&lt;&gt;$T$1),$T$1,""))))</f>
        <v>2022 Nationals</v>
      </c>
      <c r="O7" s="14">
        <f>MAX(AV7,BZ7,DD7)</f>
        <v>48.489999999999995</v>
      </c>
      <c r="P7" s="14" t="str">
        <f>IF(O7=0,"",IF(O7=DD7,$CB$1,IF(O7=BZ7,$AX$1,IF(O7=AV7,$T$1,""))))</f>
        <v>2022 Elite Canada</v>
      </c>
      <c r="Q7" s="14">
        <f>IF(MAX(DF7,DG7,DH7,DI7)&gt;0,MAX(DF7,DG7,DH7,DI7),"")</f>
        <v>1.3500000000000014</v>
      </c>
      <c r="R7" s="20" t="str">
        <f>IF(Q7="","",IF(Q7=DF7,"(Vol 1)",IF(Q7=DG7,"(Vol 2)",IF(Q7=DH7,"(Prelim)",IF(Q7=DI7,"(Final)")))))</f>
        <v>(Vol 1)</v>
      </c>
      <c r="S7" s="14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2022 Coimbra Gym Fest (June 26)</v>
      </c>
      <c r="T7" s="38">
        <v>16</v>
      </c>
      <c r="U7" s="38">
        <v>9.3000000000000007</v>
      </c>
      <c r="V7" s="38">
        <v>0</v>
      </c>
      <c r="W7" s="38">
        <v>13.37</v>
      </c>
      <c r="X7" s="38">
        <v>0</v>
      </c>
      <c r="Y7" s="38">
        <v>15.3</v>
      </c>
      <c r="Z7" s="38">
        <v>9.3000000000000007</v>
      </c>
      <c r="AA7" s="38">
        <v>9.6999999999999993</v>
      </c>
      <c r="AB7" s="38">
        <v>13.4</v>
      </c>
      <c r="AC7" s="38">
        <v>0</v>
      </c>
      <c r="AD7" s="38"/>
      <c r="AE7" s="38"/>
      <c r="AF7" s="38"/>
      <c r="AG7" s="38"/>
      <c r="AH7" s="38"/>
      <c r="AI7" s="38">
        <v>15.5</v>
      </c>
      <c r="AJ7" s="38">
        <v>9.6999999999999993</v>
      </c>
      <c r="AK7" s="38">
        <v>9.6999999999999993</v>
      </c>
      <c r="AL7" s="38">
        <v>13.59</v>
      </c>
      <c r="AM7" s="38">
        <v>0</v>
      </c>
      <c r="AN7" s="45"/>
      <c r="AO7" s="11">
        <f>IF(SUM(T7:W7)-X7&gt;0,SUM(T7:W7)-X7,"")</f>
        <v>38.67</v>
      </c>
      <c r="AP7" s="11">
        <f>IF(AA7&gt;0,AA7,"")</f>
        <v>9.6999999999999993</v>
      </c>
      <c r="AQ7" s="11">
        <f>IF(SUM(Y7:AB7)-AC7&gt;0,SUM(Y7:AB7)-AC7,"")</f>
        <v>47.699999999999996</v>
      </c>
      <c r="AR7" s="11" t="str">
        <f>IF(AF7&gt;0,AF7,"")</f>
        <v/>
      </c>
      <c r="AS7" s="11" t="str">
        <f>IF(SUM(AD7:AG7)-AH7&gt;0,SUM(AD7:AG7)-AH7,"")</f>
        <v/>
      </c>
      <c r="AT7" s="11">
        <f>IF(AO7="",IF(MAX(AQ7,AS7)&gt;0,MAX(AQ7,AS7),""),MAX(AQ7,AS7)+AO7)</f>
        <v>86.37</v>
      </c>
      <c r="AU7" s="11">
        <f>IF(AK7&gt;0,AK7,"")</f>
        <v>9.6999999999999993</v>
      </c>
      <c r="AV7" s="11">
        <f>IF(SUM(AI7:AL7)-AM7&gt;0,SUM(AI7:AL7)-AM7,"")</f>
        <v>48.489999999999995</v>
      </c>
      <c r="AW7" s="11">
        <f>IF(SUM(AT7,AV7)&gt;0,SUM(AT7,AV7),"")</f>
        <v>134.86000000000001</v>
      </c>
      <c r="AX7" s="42">
        <v>16.3</v>
      </c>
      <c r="AY7" s="42">
        <v>9.5</v>
      </c>
      <c r="AZ7" s="42">
        <v>0</v>
      </c>
      <c r="BA7" s="42">
        <v>13.4</v>
      </c>
      <c r="BB7" s="42">
        <v>0</v>
      </c>
      <c r="BC7" s="42">
        <v>13.3</v>
      </c>
      <c r="BD7" s="42">
        <v>9.1</v>
      </c>
      <c r="BE7" s="42">
        <v>10.3</v>
      </c>
      <c r="BF7" s="42">
        <v>13.32</v>
      </c>
      <c r="BG7" s="42">
        <v>0</v>
      </c>
      <c r="BH7" s="42"/>
      <c r="BI7" s="42"/>
      <c r="BJ7" s="42"/>
      <c r="BK7" s="42"/>
      <c r="BL7" s="42"/>
      <c r="BM7" s="42">
        <v>7.3</v>
      </c>
      <c r="BN7" s="42">
        <v>4.5999999999999996</v>
      </c>
      <c r="BO7" s="42">
        <v>5.6</v>
      </c>
      <c r="BP7" s="42">
        <v>6.95</v>
      </c>
      <c r="BQ7" s="42">
        <v>0</v>
      </c>
      <c r="BR7" s="46"/>
      <c r="BS7" s="14">
        <f>IF(SUM(AX7:BA7)-BB7&gt;0,SUM(AX7:BA7)-BB7,"")</f>
        <v>39.200000000000003</v>
      </c>
      <c r="BT7" s="14">
        <f>IF(BE7&gt;0,BE7,"")</f>
        <v>10.3</v>
      </c>
      <c r="BU7" s="14">
        <f>IF(SUM(BC7:BF7)-BG7&gt;0,SUM(BC7:BF7)-BG7,"")</f>
        <v>46.02</v>
      </c>
      <c r="BV7" s="14" t="str">
        <f>IF(BJ7&gt;0,BJ7,"")</f>
        <v/>
      </c>
      <c r="BW7" s="14" t="str">
        <f>IF(SUM(BH7:BK7)-BL7&gt;0,SUM(BH7:BK7)-BL7,"")</f>
        <v/>
      </c>
      <c r="BX7" s="14">
        <f>IF(BS7="",IF(MAX(BU7,BW7)&gt;0,MAX(BU7,BW7),""),MAX(BU7,BW7)+BS7)</f>
        <v>85.22</v>
      </c>
      <c r="BY7" s="14">
        <f>IF(BO7&gt;0,BO7,"")</f>
        <v>5.6</v>
      </c>
      <c r="BZ7" s="14">
        <f>IF(SUM(BM7:BP7)-BQ7&gt;0,SUM(BM7:BP7)-BQ7,"")</f>
        <v>24.45</v>
      </c>
      <c r="CA7" s="14">
        <f>IF(SUM(BX7,BZ7)&gt;0,SUM(BX7,BZ7),"")</f>
        <v>109.67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45"/>
      <c r="CW7" s="11" t="str">
        <f>IF(SUM(CB7:CE7)-CF7&gt;0,SUM(CB7:CE7)-CF7,"")</f>
        <v/>
      </c>
      <c r="CX7" s="11" t="str">
        <f>IF(CI7&gt;0,CI7,"")</f>
        <v/>
      </c>
      <c r="CY7" s="11" t="str">
        <f>IF(SUM(CG7:CJ7)-CK7&gt;0,SUM(CG7:CJ7)-CK7,"")</f>
        <v/>
      </c>
      <c r="CZ7" s="11" t="str">
        <f>IF(CN7&gt;0,CN7,"")</f>
        <v/>
      </c>
      <c r="DA7" s="11" t="str">
        <f>IF(SUM(CL7:CO7)-CP7&gt;0,SUM(CL7:CO7)-CP7,"")</f>
        <v/>
      </c>
      <c r="DB7" s="11" t="str">
        <f>IF(CW7="",IF(MAX(CY7,DA7)&gt;0,MAX(CY7,DA7),""),MAX(CY7,DA7)+CW7)</f>
        <v/>
      </c>
      <c r="DC7" s="11" t="str">
        <f>IF(CS7&gt;0,CS7,"")</f>
        <v/>
      </c>
      <c r="DD7" s="11" t="str">
        <f>IF(SUM(CQ7:CT7)-CU7&gt;0,SUM(CQ7:CT7)-CU7,"")</f>
        <v/>
      </c>
      <c r="DE7" s="11" t="str">
        <f>IF(SUM(DB7,DD7)&gt;0,SUM(DB7,DD7),"")</f>
        <v/>
      </c>
      <c r="DF7" s="19">
        <f>IF(K7&gt;=0.001,IF(MAX(DZ7,EV7,FR7,GN7,HJ7,IF7,JB7,JX7,KT7,LP7,ML7,NH7)-IF(K7="",0,K7)&gt;0.001,MAX(DZ7,EV7,FR7,GN7,HJ7,IF7,JB7,JX7,KT7,LP7,ML7,NH7)-IF(K7="",0,K7),""),"")</f>
        <v>1.3500000000000014</v>
      </c>
      <c r="DG7" s="19">
        <f>IF(M7&gt;=0.001,IF(MAX(EA7,EW7,FS7,GO7,HK7,IG7,JC7,JY7,KU7,LQ7,MM7,NI7)-IF(M7="",0,M7)&gt;0.001,MAX(EA7,EW7,FS7,GO7,HK7,IG7,JC7,JY7,KU7,LQ7,MM7,NI7)-IF(M7="",0,M7),""),"")</f>
        <v>0.42999999999999972</v>
      </c>
      <c r="DH7" s="19" t="str">
        <f>IF(I7&gt;=0.001,IF(MAX(EB7,EX7,FT7,GP7,HL7,IH7,JD7,JZ7,KV7,LR7,MN7,NJ7)-IF(I7="",0,I7)&gt;0.001,MAX(EB7,EX7,FT7,GP7,HL7,IH7,JD7,JZ7,KV7,LR7,MN7,NJ7)-IF(I7="",0,I7),""),"")</f>
        <v/>
      </c>
      <c r="DI7" s="19" t="str">
        <f>IF(O7&gt;=0.001,IF(MAX(ED7,EZ7,FV7,GR7,HN7,IJ7,JF7,KB7,KX7,LT7,MP7,NL7)-IF(O7="",0,O7)&gt;0.001,MAX(ED7,EZ7,FV7,GR7,HN7,IJ7,JF7,KB7,KX7,LT7,MP7,NL7)-IF(O7="",0,O7),""),"")</f>
        <v/>
      </c>
      <c r="DJ7" s="24">
        <v>17.100000000000001</v>
      </c>
      <c r="DK7" s="24">
        <v>9.8000000000000007</v>
      </c>
      <c r="DL7" s="24">
        <v>0</v>
      </c>
      <c r="DM7" s="24">
        <v>13.65</v>
      </c>
      <c r="DN7" s="24">
        <v>0</v>
      </c>
      <c r="DO7" s="24">
        <v>7.4</v>
      </c>
      <c r="DP7" s="24">
        <v>4.7</v>
      </c>
      <c r="DQ7" s="24">
        <v>5.6</v>
      </c>
      <c r="DR7" s="24">
        <v>7.13</v>
      </c>
      <c r="DS7" s="24">
        <v>0</v>
      </c>
      <c r="DT7" s="24"/>
      <c r="DU7" s="24"/>
      <c r="DV7" s="24"/>
      <c r="DW7" s="24"/>
      <c r="DX7" s="24"/>
      <c r="DY7" s="11">
        <f>IF(DQ7&gt;0,DQ7,"")</f>
        <v>5.6</v>
      </c>
      <c r="DZ7" s="11">
        <f>IF(SUM(DJ7:DM7)-DN7&gt;0,SUM(DJ7:DM7)-DN7,"")</f>
        <v>40.550000000000004</v>
      </c>
      <c r="EA7" s="11">
        <f>IF(SUM(DO7:DR7)-DS7&gt;0,SUM(DO7:DR7)-DS7,"")</f>
        <v>24.830000000000002</v>
      </c>
      <c r="EB7" s="11">
        <f>IF(SUM(DZ7:EA7)&gt;0,SUM(DZ7:EA7),"")</f>
        <v>65.38000000000001</v>
      </c>
      <c r="EC7" s="11" t="str">
        <f>IF(DV7&gt;0,DV7,"")</f>
        <v/>
      </c>
      <c r="ED7" s="11" t="str">
        <f>IF(SUM(DT7:DW7)-DX7&gt;0,SUM(DT7:DW7)-DX7,"")</f>
        <v/>
      </c>
      <c r="EE7" s="11">
        <f>IF(SUM(EB7,ED7)&gt;0,SUM(EB7,ED7),"")</f>
        <v>65.38000000000001</v>
      </c>
      <c r="EF7" s="25">
        <v>16.100000000000001</v>
      </c>
      <c r="EG7" s="25">
        <v>9.4</v>
      </c>
      <c r="EH7" s="25">
        <v>0</v>
      </c>
      <c r="EI7" s="25">
        <v>13.83</v>
      </c>
      <c r="EJ7" s="25">
        <v>0</v>
      </c>
      <c r="EK7" s="25">
        <v>12.5</v>
      </c>
      <c r="EL7" s="25">
        <v>9.4</v>
      </c>
      <c r="EM7" s="25">
        <v>11</v>
      </c>
      <c r="EN7" s="25">
        <v>13.55</v>
      </c>
      <c r="EO7" s="25">
        <v>0</v>
      </c>
      <c r="EP7" s="25"/>
      <c r="EQ7" s="25"/>
      <c r="ER7" s="25"/>
      <c r="ES7" s="25"/>
      <c r="ET7" s="25"/>
      <c r="EU7" s="14">
        <f>IF(EM7&gt;0,EM7,"")</f>
        <v>11</v>
      </c>
      <c r="EV7" s="14">
        <f>IF(SUM(EF7:EI7)-EJ7&gt;0,SUM(EF7:EI7)-EJ7,"")</f>
        <v>39.33</v>
      </c>
      <c r="EW7" s="14">
        <f>IF(SUM(EK7:EN7)-EO7&gt;0,SUM(EK7:EN7)-EO7,"")</f>
        <v>46.45</v>
      </c>
      <c r="EX7" s="14">
        <f>IF(SUM(EV7:EW7)&gt;0,SUM(EV7:EW7),"")</f>
        <v>85.78</v>
      </c>
      <c r="EY7" s="14" t="str">
        <f>IF(ER7&gt;0,ER7,"")</f>
        <v/>
      </c>
      <c r="EZ7" s="14" t="str">
        <f>IF(SUM(EP7:ES7)-ET7&gt;0,SUM(EP7:ES7)-ET7,"")</f>
        <v/>
      </c>
      <c r="FA7" s="14">
        <f>IF(SUM(EX7,EZ7)&gt;0,SUM(EX7,EZ7),"")</f>
        <v>85.78</v>
      </c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11" t="str">
        <f>IF(FI7&gt;0,FI7,"")</f>
        <v/>
      </c>
      <c r="FR7" s="11" t="str">
        <f>IF(SUM(FB7:FE7)-FF7&gt;0,SUM(FB7:FE7)-FF7,"")</f>
        <v/>
      </c>
      <c r="FS7" s="11" t="str">
        <f>IF(SUM(FG7:FJ7)-FK7&gt;0,SUM(FG7:FJ7)-FK7,"")</f>
        <v/>
      </c>
      <c r="FT7" s="11" t="str">
        <f>IF(SUM(FR7:FS7)&gt;0,SUM(FR7:FS7),"")</f>
        <v/>
      </c>
      <c r="FU7" s="11" t="str">
        <f>IF(FN7&gt;0,FN7,"")</f>
        <v/>
      </c>
      <c r="FV7" s="11" t="str">
        <f>IF(SUM(FL7:FO7)-FP7&gt;0,SUM(FL7:FO7)-FP7,"")</f>
        <v/>
      </c>
      <c r="FW7" s="11" t="str">
        <f>IF(SUM(FT7,FV7)&gt;0,SUM(FT7,FV7),"")</f>
        <v/>
      </c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14" t="str">
        <f>IF(GE7&gt;0,GE7,"")</f>
        <v/>
      </c>
      <c r="GN7" s="14" t="str">
        <f>IF(SUM(FX7:GA7)-GB7&gt;0,SUM(FX7:GA7)-GB7,"")</f>
        <v/>
      </c>
      <c r="GO7" s="14" t="str">
        <f>IF(SUM(GC7:GF7)-GG7&gt;0,SUM(GC7:GF7)-GG7,"")</f>
        <v/>
      </c>
      <c r="GP7" s="14" t="str">
        <f>IF(SUM(GN7:GO7)&gt;0,SUM(GN7:GO7),"")</f>
        <v/>
      </c>
      <c r="GQ7" s="14" t="str">
        <f>IF(GJ7&gt;0,GJ7,"")</f>
        <v/>
      </c>
      <c r="GR7" s="14" t="str">
        <f>IF(SUM(GH7:GK7)-GL7&gt;0,SUM(GH7:GK7)-GL7,"")</f>
        <v/>
      </c>
      <c r="GS7" s="14" t="str">
        <f>IF(SUM(GP7,GR7)&gt;0,SUM(GP7,GR7),"")</f>
        <v/>
      </c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11" t="str">
        <f>IF(HA7&gt;0,HA7,"")</f>
        <v/>
      </c>
      <c r="HJ7" s="11" t="str">
        <f>IF(SUM(GT7:GW7)-GX7&gt;0,SUM(GT7:GW7)-GX7,"")</f>
        <v/>
      </c>
      <c r="HK7" s="11" t="str">
        <f>IF(SUM(GY7:HB7)-HC7&gt;0,SUM(GY7:HB7)-HC7,"")</f>
        <v/>
      </c>
      <c r="HL7" s="11" t="str">
        <f>IF(SUM(HJ7:HK7)&gt;0,SUM(HJ7:HK7),"")</f>
        <v/>
      </c>
      <c r="HM7" s="11" t="str">
        <f>IF(HF7&gt;0,HF7,"")</f>
        <v/>
      </c>
      <c r="HN7" s="11" t="str">
        <f>IF(SUM(HD7:HG7)-HH7&gt;0,SUM(HD7:HG7)-HH7,"")</f>
        <v/>
      </c>
      <c r="HO7" s="11" t="str">
        <f>IF(SUM(HL7,HN7)&gt;0,SUM(HL7,HN7),"")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14" t="str">
        <f>IF(HW7&gt;0,HW7,"")</f>
        <v/>
      </c>
      <c r="IF7" s="14" t="str">
        <f>IF(SUM(HP7:HS7)-HT7&gt;0,SUM(HP7:HS7)-HT7,"")</f>
        <v/>
      </c>
      <c r="IG7" s="14" t="str">
        <f>IF(SUM(HU7:HX7)-HY7&gt;0,SUM(HU7:HX7)-HY7,"")</f>
        <v/>
      </c>
      <c r="IH7" s="14" t="str">
        <f>IF(SUM(IF7:IG7)&gt;0,SUM(IF7:IG7),"")</f>
        <v/>
      </c>
      <c r="II7" s="14" t="str">
        <f>IF(IB7&gt;0,IB7,"")</f>
        <v/>
      </c>
      <c r="IJ7" s="14" t="str">
        <f>IF(SUM(HZ7:IC7)-ID7&gt;0,SUM(HZ7:IC7)-ID7,"")</f>
        <v/>
      </c>
      <c r="IK7" s="14" t="str">
        <f>IF(SUM(IH7,IJ7)&gt;0,SUM(IH7,IJ7),"")</f>
        <v/>
      </c>
      <c r="IL7" s="24"/>
      <c r="IM7" s="24"/>
      <c r="IN7" s="24"/>
      <c r="IO7" s="24"/>
      <c r="IP7" s="24"/>
      <c r="IQ7" s="24"/>
      <c r="IR7" s="24"/>
      <c r="IS7" s="24"/>
      <c r="IT7" s="24"/>
      <c r="IU7" s="24"/>
      <c r="IV7" s="24"/>
      <c r="IW7" s="24"/>
      <c r="IX7" s="24"/>
      <c r="IY7" s="24"/>
      <c r="IZ7" s="24"/>
      <c r="JA7" s="11" t="str">
        <f>IF(IS7&gt;0,IS7,"")</f>
        <v/>
      </c>
      <c r="JB7" s="11" t="str">
        <f>IF(SUM(IL7:IO7)-IP7&gt;0,SUM(IL7:IO7)-IP7,"")</f>
        <v/>
      </c>
      <c r="JC7" s="11" t="str">
        <f>IF(SUM(IQ7:IT7)-IU7&gt;0,SUM(IQ7:IT7)-IU7,"")</f>
        <v/>
      </c>
      <c r="JD7" s="11" t="str">
        <f>IF(SUM(JB7:JC7)&gt;0,SUM(JB7:JC7),"")</f>
        <v/>
      </c>
      <c r="JE7" s="11" t="str">
        <f>IF(IX7&gt;0,IX7,"")</f>
        <v/>
      </c>
      <c r="JF7" s="11" t="str">
        <f>IF(SUM(IV7:IY7)-IZ7&gt;0,SUM(IV7:IY7)-IZ7,"")</f>
        <v/>
      </c>
      <c r="JG7" s="11" t="str">
        <f>IF(SUM(JD7,JF7)&gt;0,SUM(JD7,JF7),"")</f>
        <v/>
      </c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14" t="str">
        <f>IF(JO7&gt;0,JO7,"")</f>
        <v/>
      </c>
      <c r="JX7" s="14" t="str">
        <f>IF(SUM(JH7:JK7)-JL7&gt;0,SUM(JH7:JK7)-JL7,"")</f>
        <v/>
      </c>
      <c r="JY7" s="14" t="str">
        <f>IF(SUM(JM7:JP7)-JQ7&gt;0,SUM(JM7:JP7)-JQ7,"")</f>
        <v/>
      </c>
      <c r="JZ7" s="14" t="str">
        <f>IF(SUM(JX7:JY7)&gt;0,SUM(JX7:JY7),"")</f>
        <v/>
      </c>
      <c r="KA7" s="14" t="str">
        <f>IF(JT7&gt;0,JT7,"")</f>
        <v/>
      </c>
      <c r="KB7" s="14" t="str">
        <f>IF(SUM(JR7:JU7)-JV7&gt;0,SUM(JR7:JU7)-JV7,"")</f>
        <v/>
      </c>
      <c r="KC7" s="14" t="str">
        <f>IF(SUM(JZ7,KB7)&gt;0,SUM(JZ7,KB7),"")</f>
        <v/>
      </c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4"/>
      <c r="KR7" s="24"/>
      <c r="KS7" s="11" t="str">
        <f>IF(KK7&gt;0,KK7,"")</f>
        <v/>
      </c>
      <c r="KT7" s="11" t="str">
        <f>IF(SUM(KD7:KG7)-KH7&gt;0,SUM(KD7:KG7)-KH7,"")</f>
        <v/>
      </c>
      <c r="KU7" s="11" t="str">
        <f>IF(SUM(KI7:KL7)-KM7&gt;0,SUM(KI7:KL7)-KM7,"")</f>
        <v/>
      </c>
      <c r="KV7" s="11" t="str">
        <f>IF(SUM(KT7:KU7)&gt;0,SUM(KT7:KU7),"")</f>
        <v/>
      </c>
      <c r="KW7" s="11" t="str">
        <f>IF(KP7&gt;0,KP7,"")</f>
        <v/>
      </c>
      <c r="KX7" s="11" t="str">
        <f>IF(SUM(KN7:KQ7)-KR7&gt;0,SUM(KN7:KQ7)-KR7,"")</f>
        <v/>
      </c>
      <c r="KY7" s="11" t="str">
        <f>IF(SUM(KV7,KX7)&gt;0,SUM(KV7,KX7),"")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14" t="str">
        <f>IF(LG7&gt;0,LG7,"")</f>
        <v/>
      </c>
      <c r="LP7" s="14" t="str">
        <f>IF(SUM(KZ7:LC7)-LD7&gt;0,SUM(KZ7:LC7)-LD7,"")</f>
        <v/>
      </c>
      <c r="LQ7" s="14" t="str">
        <f>IF(SUM(LE7:LH7)-LI7&gt;0,SUM(LE7:LH7)-LI7,"")</f>
        <v/>
      </c>
      <c r="LR7" s="14" t="str">
        <f>IF(SUM(LP7:LQ7)&gt;0,SUM(LP7:LQ7),"")</f>
        <v/>
      </c>
      <c r="LS7" s="14" t="str">
        <f>IF(LL7&gt;0,LL7,"")</f>
        <v/>
      </c>
      <c r="LT7" s="14" t="str">
        <f>IF(SUM(LJ7:LM7)-LN7&gt;0,SUM(LJ7:LM7)-LN7,"")</f>
        <v/>
      </c>
      <c r="LU7" s="14" t="str">
        <f>IF(SUM(LR7,LT7)&gt;0,SUM(LR7,LT7),"")</f>
        <v/>
      </c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11" t="str">
        <f>IF(MC7&gt;0,MC7,"")</f>
        <v/>
      </c>
      <c r="ML7" s="11" t="str">
        <f>IF(SUM(LV7:LY7)-LZ7&gt;0,SUM(LV7:LY7)-LZ7,"")</f>
        <v/>
      </c>
      <c r="MM7" s="11" t="str">
        <f>IF(SUM(MA7:MD7)-ME7&gt;0,SUM(MA7:MD7)-ME7,"")</f>
        <v/>
      </c>
      <c r="MN7" s="11" t="str">
        <f>IF(SUM(ML7:MM7)&gt;0,SUM(ML7:MM7),"")</f>
        <v/>
      </c>
      <c r="MO7" s="11" t="str">
        <f>IF(MH7&gt;0,MH7,"")</f>
        <v/>
      </c>
      <c r="MP7" s="11" t="str">
        <f>IF(SUM(MF7:MI7)-MJ7&gt;0,SUM(MF7:MI7)-MJ7,"")</f>
        <v/>
      </c>
      <c r="MQ7" s="11" t="str">
        <f>IF(SUM(MN7,MP7)&gt;0,SUM(MN7,MP7),"")</f>
        <v/>
      </c>
      <c r="MR7" s="25"/>
      <c r="MS7" s="25"/>
      <c r="MT7" s="25"/>
      <c r="MU7" s="25"/>
      <c r="MV7" s="25"/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14" t="str">
        <f>IF(MY7&gt;0,MY7,"")</f>
        <v/>
      </c>
      <c r="NH7" s="14" t="str">
        <f>IF(SUM(MR7:MU7)-MV7&gt;0,SUM(MR7:MU7)-MV7,"")</f>
        <v/>
      </c>
      <c r="NI7" s="14" t="str">
        <f>IF(SUM(MW7:MZ7)-NA7&gt;0,SUM(MW7:MZ7)-NA7,"")</f>
        <v/>
      </c>
      <c r="NJ7" s="14" t="str">
        <f>IF(SUM(NH7:NI7)&gt;0,SUM(NH7:NI7),"")</f>
        <v/>
      </c>
      <c r="NK7" s="14" t="str">
        <f>IF(ND7&gt;0,ND7,"")</f>
        <v/>
      </c>
      <c r="NL7" s="14" t="str">
        <f>IF(SUM(NB7:NE7)-NF7&gt;0,SUM(NB7:NE7)-NF7,"")</f>
        <v/>
      </c>
      <c r="NM7" s="14" t="str">
        <f>IF(SUM(NJ7,NL7)&gt;0,SUM(NJ7,NL7),"")</f>
        <v/>
      </c>
      <c r="NN7" s="38">
        <f>IF($CV7="P",CB7,(CB7+AX7)/2)</f>
        <v>8.15</v>
      </c>
      <c r="NO7" s="38">
        <f>IF($CV7="P",CC7,(CC7+AY7)/2)</f>
        <v>4.75</v>
      </c>
      <c r="NP7" s="38">
        <f>IF($CV7="P",CD7,(CD7+AZ7)/2)</f>
        <v>0</v>
      </c>
      <c r="NQ7" s="38">
        <f>IF($CV7="P",CE7,(CE7+BA7)/2)</f>
        <v>6.7</v>
      </c>
      <c r="NR7" s="38">
        <f>IF($CV7="P",CF7,(CF7+BB7)/2)</f>
        <v>0</v>
      </c>
      <c r="NS7" s="38">
        <f>IF($CV7="P",CG7,(CG7+BC7)/2)</f>
        <v>6.65</v>
      </c>
      <c r="NT7" s="38">
        <f>IF($CV7="P",CH7,(CH7+BD7)/2)</f>
        <v>4.55</v>
      </c>
      <c r="NU7" s="38">
        <f>IF($CV7="P",CI7,(CI7+BE7)/2)</f>
        <v>5.15</v>
      </c>
      <c r="NV7" s="38">
        <f>IF($CV7="P",CJ7,(CJ7+BF7)/2)</f>
        <v>6.66</v>
      </c>
      <c r="NW7" s="38">
        <f>IF($CV7="P",CK7,(CK7+BG7)/2)</f>
        <v>0</v>
      </c>
      <c r="NX7" s="38">
        <f>IF($CV7="P",CL7,(CL7+BH7)/2)</f>
        <v>0</v>
      </c>
      <c r="NY7" s="38">
        <f>IF($CV7="P",CM7,(CM7+BI7)/2)</f>
        <v>0</v>
      </c>
      <c r="NZ7" s="38">
        <f>IF($CV7="P",CN7,(CN7+BJ7)/2)</f>
        <v>0</v>
      </c>
      <c r="OA7" s="38">
        <f>IF($CV7="P",CO7,(CO7+BK7)/2)</f>
        <v>0</v>
      </c>
      <c r="OB7" s="38">
        <f>IF($CV7="P",CP7,(CP7+BL7)/2)</f>
        <v>0</v>
      </c>
      <c r="OC7" s="38">
        <f>IF($CV7="P",CQ7,(CQ7+BM7)/2)</f>
        <v>3.65</v>
      </c>
      <c r="OD7" s="38">
        <f>IF($CV7="P",CR7,(CR7+BN7)/2)</f>
        <v>2.2999999999999998</v>
      </c>
      <c r="OE7" s="38">
        <f>IF($CV7="P",CS7,(CS7+BO7)/2)</f>
        <v>2.8</v>
      </c>
      <c r="OF7" s="38">
        <f>IF($CV7="P",CT7,(CT7+BP7)/2)</f>
        <v>3.4750000000000001</v>
      </c>
      <c r="OG7" s="38">
        <f>IF($CV7="P",CU7,(CU7+BQ7)/2)</f>
        <v>0</v>
      </c>
      <c r="OH7" s="45" t="s">
        <v>44</v>
      </c>
      <c r="OI7" s="11">
        <f>IF(SUM(NN7:NQ7)-NR7&gt;0,SUM(NN7:NQ7)-NR7,"")</f>
        <v>19.600000000000001</v>
      </c>
      <c r="OJ7" s="11">
        <f>IF(NU7&gt;0,NU7,"")</f>
        <v>5.15</v>
      </c>
      <c r="OK7" s="11">
        <f>IF(SUM(NS7:NV7)-NW7&gt;0,SUM(NS7:NV7)-NW7,"")</f>
        <v>23.01</v>
      </c>
      <c r="OL7" s="11" t="str">
        <f>IF(NZ7&gt;0,NZ7,"")</f>
        <v/>
      </c>
      <c r="OM7" s="11" t="str">
        <f>IF(SUM(NX7:OA7)-OB7&gt;0,SUM(NX7:OA7)-OB7,"")</f>
        <v/>
      </c>
      <c r="ON7" s="11">
        <f>IF(OR(OI7&lt;&gt;"",OK7&lt;&gt;"",OM7&lt;&gt;""),OI7+MAX(OK7,OM7),"")</f>
        <v>42.61</v>
      </c>
      <c r="OO7" s="11">
        <f>IF(OE7&gt;0,OE7,"")</f>
        <v>2.8</v>
      </c>
      <c r="OP7" s="11">
        <f t="shared" ref="OP7" si="6">IF(SUM(OC7:OF7)-OG7&gt;0,SUM(OC7:OF7)-OG7,"")</f>
        <v>12.225</v>
      </c>
      <c r="OQ7" s="11">
        <f t="shared" ref="OQ7" si="7">IF(SUM(ON7,OP7)&gt;0,SUM(ON7,OP7),"")</f>
        <v>54.835000000000001</v>
      </c>
    </row>
    <row r="8" spans="1:407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8" t="s">
        <v>89</v>
      </c>
      <c r="C8" s="5" t="s">
        <v>65</v>
      </c>
      <c r="D8" s="5">
        <v>2006</v>
      </c>
      <c r="E8" s="15">
        <f>SUM(I8:Q8)</f>
        <v>212.88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6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14">
        <f>IF(MAX(AT8,BX8,DB8)&gt;0,MAX(AT8,BX8,DB8),0)</f>
        <v>84.460000000000008</v>
      </c>
      <c r="J8" s="14" t="str">
        <f>IF(I8=0,"",IF(I8=DB8,$CB$1,IF(I8=BX8,$AX$1,IF(I8=AT8,$T$1,""))))</f>
        <v>2022 3rd Domestic Trial</v>
      </c>
      <c r="K8" s="14">
        <f>IF($I8=$AT8,MAX(BS8,CW8),IF($I8=$BX8,MAX(AO8,CW8),IF($I8=$DB8,MAX(AO8,BS8),MAX(AO8,BS8,CW8))))</f>
        <v>35.659999999999997</v>
      </c>
      <c r="L8" s="14" t="str">
        <f>IF(K8=0,"",IF(AND(K8=CW8,$J8&lt;&gt;$CB$1),$CB$1,IF(AND(K8=BS8,$J8&lt;&gt;$AX$1),$AX$1,IF(AND(K8=AO8,$J8&lt;&gt;$T$1),$T$1,""))))</f>
        <v>2022 Nationals</v>
      </c>
      <c r="M8" s="14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47.16</v>
      </c>
      <c r="N8" s="14" t="str">
        <f>IF(M8=0,"",IF(AND(OR(M8=DA8,M8=CY8),$J8&lt;&gt;$CB$1),$CB$1,IF(AND(OR(M8=BW8,M8=BU8),$J8&lt;&gt;$AX$1),$AX$1,IF(AND(OR(M8=AS8,M8=AQ8),$J8&lt;&gt;$T$1),$T$1,""))))</f>
        <v>2022 Nationals</v>
      </c>
      <c r="O8" s="14">
        <f>MAX(AV8,BZ8,DD8)</f>
        <v>45.600000000000009</v>
      </c>
      <c r="P8" s="14" t="str">
        <f>IF(O8=0,"",IF(O8=DD8,$CB$1,IF(O8=BZ8,$AX$1,IF(O8=AV8,$T$1,""))))</f>
        <v>2022 Nationals</v>
      </c>
      <c r="Q8" s="14" t="str">
        <f>IF(MAX(DF8,DG8,DH8,DI8)&gt;0,MAX(DF8,DG8,DH8,DI8),"")</f>
        <v/>
      </c>
      <c r="R8" s="20" t="str">
        <f>IF(Q8="","",IF(Q8=DF8,"(Vol 1)",IF(Q8=DG8,"(Vol 2)",IF(Q8=DH8,"(Prelim)",IF(Q8=DI8,"(Final)")))))</f>
        <v/>
      </c>
      <c r="S8" s="14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45"/>
      <c r="AO8" s="11" t="str">
        <f>IF(SUM(T8:W8)-X8&gt;0,SUM(T8:W8)-X8,"")</f>
        <v/>
      </c>
      <c r="AP8" s="11" t="str">
        <f>IF(AA8&gt;0,AA8,"")</f>
        <v/>
      </c>
      <c r="AQ8" s="11" t="str">
        <f>IF(SUM(Y8:AB8)-AC8&gt;0,SUM(Y8:AB8)-AC8,"")</f>
        <v/>
      </c>
      <c r="AR8" s="11" t="str">
        <f>IF(AF8&gt;0,AF8,"")</f>
        <v/>
      </c>
      <c r="AS8" s="11" t="str">
        <f>IF(SUM(AD8:AG8)-AH8&gt;0,SUM(AD8:AG8)-AH8,"")</f>
        <v/>
      </c>
      <c r="AT8" s="11" t="str">
        <f>IF(AO8="",IF(MAX(AQ8,AS8)&gt;0,MAX(AQ8,AS8),""),MAX(AQ8,AS8)+AO8)</f>
        <v/>
      </c>
      <c r="AU8" s="11" t="str">
        <f>IF(AK8&gt;0,AK8,"")</f>
        <v/>
      </c>
      <c r="AV8" s="11" t="str">
        <f>IF(SUM(AI8:AL8)-AM8&gt;0,SUM(AI8:AL8)-AM8,"")</f>
        <v/>
      </c>
      <c r="AW8" s="11" t="str">
        <f>IF(SUM(AT8,AV8)&gt;0,SUM(AT8,AV8),"")</f>
        <v/>
      </c>
      <c r="AX8" s="42">
        <v>13.7</v>
      </c>
      <c r="AY8" s="42">
        <v>8.8000000000000007</v>
      </c>
      <c r="AZ8" s="42">
        <v>0</v>
      </c>
      <c r="BA8" s="42">
        <v>13.16</v>
      </c>
      <c r="BB8" s="42">
        <v>0</v>
      </c>
      <c r="BC8" s="42">
        <v>14.5</v>
      </c>
      <c r="BD8" s="42">
        <v>9.6999999999999993</v>
      </c>
      <c r="BE8" s="42">
        <v>9.6</v>
      </c>
      <c r="BF8" s="42">
        <v>13.36</v>
      </c>
      <c r="BG8" s="42">
        <v>0</v>
      </c>
      <c r="BH8" s="42"/>
      <c r="BI8" s="42"/>
      <c r="BJ8" s="42"/>
      <c r="BK8" s="42"/>
      <c r="BL8" s="42"/>
      <c r="BM8" s="42">
        <v>13.9</v>
      </c>
      <c r="BN8" s="42">
        <v>9.3000000000000007</v>
      </c>
      <c r="BO8" s="42">
        <v>9.6</v>
      </c>
      <c r="BP8" s="42">
        <v>12.8</v>
      </c>
      <c r="BQ8" s="42">
        <v>0</v>
      </c>
      <c r="BR8" s="46"/>
      <c r="BS8" s="14">
        <f>IF(SUM(AX8:BA8)-BB8&gt;0,SUM(AX8:BA8)-BB8,"")</f>
        <v>35.659999999999997</v>
      </c>
      <c r="BT8" s="14">
        <f>IF(BE8&gt;0,BE8,"")</f>
        <v>9.6</v>
      </c>
      <c r="BU8" s="14">
        <f>IF(SUM(BC8:BF8)-BG8&gt;0,SUM(BC8:BF8)-BG8,"")</f>
        <v>47.16</v>
      </c>
      <c r="BV8" s="14" t="str">
        <f>IF(BJ8&gt;0,BJ8,"")</f>
        <v/>
      </c>
      <c r="BW8" s="14" t="str">
        <f>IF(SUM(BH8:BK8)-BL8&gt;0,SUM(BH8:BK8)-BL8,"")</f>
        <v/>
      </c>
      <c r="BX8" s="14">
        <f>IF(BS8="",IF(MAX(BU8,BW8)&gt;0,MAX(BU8,BW8),""),MAX(BU8,BW8)+BS8)</f>
        <v>82.82</v>
      </c>
      <c r="BY8" s="14">
        <f>IF(BO8&gt;0,BO8,"")</f>
        <v>9.6</v>
      </c>
      <c r="BZ8" s="14">
        <f>IF(SUM(BM8:BP8)-BQ8&gt;0,SUM(BM8:BP8)-BQ8,"")</f>
        <v>45.600000000000009</v>
      </c>
      <c r="CA8" s="14">
        <f>IF(SUM(BX8,BZ8)&gt;0,SUM(BX8,BZ8),"")</f>
        <v>128.42000000000002</v>
      </c>
      <c r="CB8" s="38">
        <v>16.5</v>
      </c>
      <c r="CC8" s="38">
        <v>9.6999999999999993</v>
      </c>
      <c r="CD8" s="38">
        <v>0</v>
      </c>
      <c r="CE8" s="38">
        <v>13.59</v>
      </c>
      <c r="CF8" s="38">
        <v>0</v>
      </c>
      <c r="CG8" s="38">
        <v>12.76</v>
      </c>
      <c r="CH8" s="38">
        <v>9.4</v>
      </c>
      <c r="CI8" s="38">
        <v>9.6</v>
      </c>
      <c r="CJ8" s="38">
        <v>12.91</v>
      </c>
      <c r="CK8" s="38">
        <v>0</v>
      </c>
      <c r="CL8" s="38"/>
      <c r="CM8" s="38"/>
      <c r="CN8" s="38"/>
      <c r="CO8" s="38"/>
      <c r="CP8" s="38"/>
      <c r="CQ8" s="38">
        <v>12.6</v>
      </c>
      <c r="CR8" s="38">
        <v>8.8000000000000007</v>
      </c>
      <c r="CS8" s="38">
        <v>9.6</v>
      </c>
      <c r="CT8" s="38">
        <v>12.89</v>
      </c>
      <c r="CU8" s="38">
        <v>0</v>
      </c>
      <c r="CV8" s="45"/>
      <c r="CW8" s="11">
        <f>IF(SUM(CB8:CE8)-CF8&gt;0,SUM(CB8:CE8)-CF8,"")</f>
        <v>39.79</v>
      </c>
      <c r="CX8" s="11">
        <f>IF(CI8&gt;0,CI8,"")</f>
        <v>9.6</v>
      </c>
      <c r="CY8" s="11">
        <f>IF(SUM(CG8:CJ8)-CK8&gt;0,SUM(CG8:CJ8)-CK8,"")</f>
        <v>44.67</v>
      </c>
      <c r="CZ8" s="11" t="str">
        <f>IF(CN8&gt;0,CN8,"")</f>
        <v/>
      </c>
      <c r="DA8" s="11" t="str">
        <f>IF(SUM(CL8:CO8)-CP8&gt;0,SUM(CL8:CO8)-CP8,"")</f>
        <v/>
      </c>
      <c r="DB8" s="11">
        <f>IF(CW8="",IF(MAX(CY8,DA8)&gt;0,MAX(CY8,DA8),""),MAX(CY8,DA8)+CW8)</f>
        <v>84.460000000000008</v>
      </c>
      <c r="DC8" s="11">
        <f>IF(CS8&gt;0,CS8,"")</f>
        <v>9.6</v>
      </c>
      <c r="DD8" s="11">
        <f>IF(SUM(CQ8:CT8)-CU8&gt;0,SUM(CQ8:CT8)-CU8,"")</f>
        <v>43.89</v>
      </c>
      <c r="DE8" s="11">
        <f>IF(SUM(DB8,DD8)&gt;0,SUM(DB8,DD8),"")</f>
        <v>128.35000000000002</v>
      </c>
      <c r="DF8" s="19" t="str">
        <f>IF(K8&gt;=0.001,IF(MAX(DZ8,EV8,FR8,GN8,HJ8,IF8,JB8,JX8,KT8,LP8,ML8,NH8)-IF(K8="",0,K8)&gt;0.001,MAX(DZ8,EV8,FR8,GN8,HJ8,IF8,JB8,JX8,KT8,LP8,ML8,NH8)-IF(K8="",0,K8),""),"")</f>
        <v/>
      </c>
      <c r="DG8" s="19" t="str">
        <f>IF(M8&gt;=0.001,IF(MAX(EA8,EW8,FS8,GO8,HK8,IG8,JC8,JY8,KU8,LQ8,MM8,NI8)-IF(M8="",0,M8)&gt;0.001,MAX(EA8,EW8,FS8,GO8,HK8,IG8,JC8,JY8,KU8,LQ8,MM8,NI8)-IF(M8="",0,M8),""),"")</f>
        <v/>
      </c>
      <c r="DH8" s="19" t="str">
        <f>IF(I8&gt;=0.001,IF(MAX(EB8,EX8,FT8,GP8,HL8,IH8,JD8,JZ8,KV8,LR8,MN8,NJ8)-IF(I8="",0,I8)&gt;0.001,MAX(EB8,EX8,FT8,GP8,HL8,IH8,JD8,JZ8,KV8,LR8,MN8,NJ8)-IF(I8="",0,I8),""),"")</f>
        <v/>
      </c>
      <c r="DI8" s="19" t="str">
        <f>IF(O8&gt;=0.001,IF(MAX(ED8,EZ8,FV8,GR8,HN8,IJ8,JF8,KB8,KX8,LT8,MP8,NL8)-IF(O8="",0,O8)&gt;0.001,MAX(ED8,EZ8,FV8,GR8,HN8,IJ8,JF8,KB8,KX8,LT8,MP8,NL8)-IF(O8="",0,O8),""),"")</f>
        <v/>
      </c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11" t="str">
        <f>IF(DQ8&gt;0,DQ8,"")</f>
        <v/>
      </c>
      <c r="DZ8" s="11" t="str">
        <f>IF(SUM(DJ8:DM8)-DN8&gt;0,SUM(DJ8:DM8)-DN8,"")</f>
        <v/>
      </c>
      <c r="EA8" s="11" t="str">
        <f>IF(SUM(DO8:DR8)-DS8&gt;0,SUM(DO8:DR8)-DS8,"")</f>
        <v/>
      </c>
      <c r="EB8" s="11" t="str">
        <f>IF(SUM(DZ8:EA8)&gt;0,SUM(DZ8:EA8),"")</f>
        <v/>
      </c>
      <c r="EC8" s="11" t="str">
        <f>IF(DV8&gt;0,DV8,"")</f>
        <v/>
      </c>
      <c r="ED8" s="11" t="str">
        <f>IF(SUM(DT8:DW8)-DX8&gt;0,SUM(DT8:DW8)-DX8,"")</f>
        <v/>
      </c>
      <c r="EE8" s="11" t="str">
        <f>IF(SUM(EB8,ED8)&gt;0,SUM(EB8,ED8),"")</f>
        <v/>
      </c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14" t="str">
        <f>IF(EM8&gt;0,EM8,"")</f>
        <v/>
      </c>
      <c r="EV8" s="14" t="str">
        <f>IF(SUM(EF8:EI8)-EJ8&gt;0,SUM(EF8:EI8)-EJ8,"")</f>
        <v/>
      </c>
      <c r="EW8" s="14" t="str">
        <f>IF(SUM(EK8:EN8)-EO8&gt;0,SUM(EK8:EN8)-EO8,"")</f>
        <v/>
      </c>
      <c r="EX8" s="14" t="str">
        <f>IF(SUM(EV8:EW8)&gt;0,SUM(EV8:EW8),"")</f>
        <v/>
      </c>
      <c r="EY8" s="14" t="str">
        <f>IF(ER8&gt;0,ER8,"")</f>
        <v/>
      </c>
      <c r="EZ8" s="14" t="str">
        <f>IF(SUM(EP8:ES8)-ET8&gt;0,SUM(EP8:ES8)-ET8,"")</f>
        <v/>
      </c>
      <c r="FA8" s="14" t="str">
        <f>IF(SUM(EX8,EZ8)&gt;0,SUM(EX8,EZ8),"")</f>
        <v/>
      </c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11" t="str">
        <f>IF(FI8&gt;0,FI8,"")</f>
        <v/>
      </c>
      <c r="FR8" s="11" t="str">
        <f>IF(SUM(FB8:FE8)-FF8&gt;0,SUM(FB8:FE8)-FF8,"")</f>
        <v/>
      </c>
      <c r="FS8" s="11" t="str">
        <f>IF(SUM(FG8:FJ8)-FK8&gt;0,SUM(FG8:FJ8)-FK8,"")</f>
        <v/>
      </c>
      <c r="FT8" s="11" t="str">
        <f>IF(SUM(FR8:FS8)&gt;0,SUM(FR8:FS8),"")</f>
        <v/>
      </c>
      <c r="FU8" s="11" t="str">
        <f>IF(FN8&gt;0,FN8,"")</f>
        <v/>
      </c>
      <c r="FV8" s="11" t="str">
        <f>IF(SUM(FL8:FO8)-FP8&gt;0,SUM(FL8:FO8)-FP8,"")</f>
        <v/>
      </c>
      <c r="FW8" s="11" t="str">
        <f>IF(SUM(FT8,FV8)&gt;0,SUM(FT8,FV8),"")</f>
        <v/>
      </c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14" t="str">
        <f>IF(GE8&gt;0,GE8,"")</f>
        <v/>
      </c>
      <c r="GN8" s="14" t="str">
        <f>IF(SUM(FX8:GA8)-GB8&gt;0,SUM(FX8:GA8)-GB8,"")</f>
        <v/>
      </c>
      <c r="GO8" s="14" t="str">
        <f>IF(SUM(GC8:GF8)-GG8&gt;0,SUM(GC8:GF8)-GG8,"")</f>
        <v/>
      </c>
      <c r="GP8" s="14" t="str">
        <f>IF(SUM(GN8:GO8)&gt;0,SUM(GN8:GO8),"")</f>
        <v/>
      </c>
      <c r="GQ8" s="14" t="str">
        <f>IF(GJ8&gt;0,GJ8,"")</f>
        <v/>
      </c>
      <c r="GR8" s="14" t="str">
        <f>IF(SUM(GH8:GK8)-GL8&gt;0,SUM(GH8:GK8)-GL8,"")</f>
        <v/>
      </c>
      <c r="GS8" s="14" t="str">
        <f>IF(SUM(GP8,GR8)&gt;0,SUM(GP8,GR8),"")</f>
        <v/>
      </c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11" t="str">
        <f>IF(HA8&gt;0,HA8,"")</f>
        <v/>
      </c>
      <c r="HJ8" s="11" t="str">
        <f>IF(SUM(GT8:GW8)-GX8&gt;0,SUM(GT8:GW8)-GX8,"")</f>
        <v/>
      </c>
      <c r="HK8" s="11" t="str">
        <f>IF(SUM(GY8:HB8)-HC8&gt;0,SUM(GY8:HB8)-HC8,"")</f>
        <v/>
      </c>
      <c r="HL8" s="11" t="str">
        <f>IF(SUM(HJ8:HK8)&gt;0,SUM(HJ8:HK8),"")</f>
        <v/>
      </c>
      <c r="HM8" s="11" t="str">
        <f>IF(HF8&gt;0,HF8,"")</f>
        <v/>
      </c>
      <c r="HN8" s="11" t="str">
        <f>IF(SUM(HD8:HG8)-HH8&gt;0,SUM(HD8:HG8)-HH8,"")</f>
        <v/>
      </c>
      <c r="HO8" s="11" t="str">
        <f>IF(SUM(HL8,HN8)&gt;0,SUM(HL8,HN8),"")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14" t="str">
        <f>IF(HW8&gt;0,HW8,"")</f>
        <v/>
      </c>
      <c r="IF8" s="14" t="str">
        <f>IF(SUM(HP8:HS8)-HT8&gt;0,SUM(HP8:HS8)-HT8,"")</f>
        <v/>
      </c>
      <c r="IG8" s="14" t="str">
        <f>IF(SUM(HU8:HX8)-HY8&gt;0,SUM(HU8:HX8)-HY8,"")</f>
        <v/>
      </c>
      <c r="IH8" s="14" t="str">
        <f>IF(SUM(IF8:IG8)&gt;0,SUM(IF8:IG8),"")</f>
        <v/>
      </c>
      <c r="II8" s="14" t="str">
        <f>IF(IB8&gt;0,IB8,"")</f>
        <v/>
      </c>
      <c r="IJ8" s="14" t="str">
        <f>IF(SUM(HZ8:IC8)-ID8&gt;0,SUM(HZ8:IC8)-ID8,"")</f>
        <v/>
      </c>
      <c r="IK8" s="14" t="str">
        <f>IF(SUM(IH8,IJ8)&gt;0,SUM(IH8,IJ8),"")</f>
        <v/>
      </c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11" t="str">
        <f>IF(IS8&gt;0,IS8,"")</f>
        <v/>
      </c>
      <c r="JB8" s="11" t="str">
        <f>IF(SUM(IL8:IO8)-IP8&gt;0,SUM(IL8:IO8)-IP8,"")</f>
        <v/>
      </c>
      <c r="JC8" s="11" t="str">
        <f>IF(SUM(IQ8:IT8)-IU8&gt;0,SUM(IQ8:IT8)-IU8,"")</f>
        <v/>
      </c>
      <c r="JD8" s="11" t="str">
        <f>IF(SUM(JB8:JC8)&gt;0,SUM(JB8:JC8),"")</f>
        <v/>
      </c>
      <c r="JE8" s="11" t="str">
        <f>IF(IX8&gt;0,IX8,"")</f>
        <v/>
      </c>
      <c r="JF8" s="11" t="str">
        <f>IF(SUM(IV8:IY8)-IZ8&gt;0,SUM(IV8:IY8)-IZ8,"")</f>
        <v/>
      </c>
      <c r="JG8" s="11" t="str">
        <f>IF(SUM(JD8,JF8)&gt;0,SUM(JD8,JF8),"")</f>
        <v/>
      </c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14" t="str">
        <f>IF(JO8&gt;0,JO8,"")</f>
        <v/>
      </c>
      <c r="JX8" s="14" t="str">
        <f>IF(SUM(JH8:JK8)-JL8&gt;0,SUM(JH8:JK8)-JL8,"")</f>
        <v/>
      </c>
      <c r="JY8" s="14" t="str">
        <f>IF(SUM(JM8:JP8)-JQ8&gt;0,SUM(JM8:JP8)-JQ8,"")</f>
        <v/>
      </c>
      <c r="JZ8" s="14" t="str">
        <f>IF(SUM(JX8:JY8)&gt;0,SUM(JX8:JY8),"")</f>
        <v/>
      </c>
      <c r="KA8" s="14" t="str">
        <f>IF(JT8&gt;0,JT8,"")</f>
        <v/>
      </c>
      <c r="KB8" s="14" t="str">
        <f>IF(SUM(JR8:JU8)-JV8&gt;0,SUM(JR8:JU8)-JV8,"")</f>
        <v/>
      </c>
      <c r="KC8" s="14" t="str">
        <f>IF(SUM(JZ8,KB8)&gt;0,SUM(JZ8,KB8),"")</f>
        <v/>
      </c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11" t="str">
        <f>IF(KK8&gt;0,KK8,"")</f>
        <v/>
      </c>
      <c r="KT8" s="11" t="str">
        <f>IF(SUM(KD8:KG8)-KH8&gt;0,SUM(KD8:KG8)-KH8,"")</f>
        <v/>
      </c>
      <c r="KU8" s="11" t="str">
        <f>IF(SUM(KI8:KL8)-KM8&gt;0,SUM(KI8:KL8)-KM8,"")</f>
        <v/>
      </c>
      <c r="KV8" s="11" t="str">
        <f>IF(SUM(KT8:KU8)&gt;0,SUM(KT8:KU8),"")</f>
        <v/>
      </c>
      <c r="KW8" s="11" t="str">
        <f>IF(KP8&gt;0,KP8,"")</f>
        <v/>
      </c>
      <c r="KX8" s="11" t="str">
        <f>IF(SUM(KN8:KQ8)-KR8&gt;0,SUM(KN8:KQ8)-KR8,"")</f>
        <v/>
      </c>
      <c r="KY8" s="11" t="str">
        <f>IF(SUM(KV8,KX8)&gt;0,SUM(KV8,KX8),"")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14" t="str">
        <f>IF(LG8&gt;0,LG8,"")</f>
        <v/>
      </c>
      <c r="LP8" s="14" t="str">
        <f>IF(SUM(KZ8:LC8)-LD8&gt;0,SUM(KZ8:LC8)-LD8,"")</f>
        <v/>
      </c>
      <c r="LQ8" s="14" t="str">
        <f>IF(SUM(LE8:LH8)-LI8&gt;0,SUM(LE8:LH8)-LI8,"")</f>
        <v/>
      </c>
      <c r="LR8" s="14" t="str">
        <f>IF(SUM(LP8:LQ8)&gt;0,SUM(LP8:LQ8),"")</f>
        <v/>
      </c>
      <c r="LS8" s="14" t="str">
        <f>IF(LL8&gt;0,LL8,"")</f>
        <v/>
      </c>
      <c r="LT8" s="14" t="str">
        <f>IF(SUM(LJ8:LM8)-LN8&gt;0,SUM(LJ8:LM8)-LN8,"")</f>
        <v/>
      </c>
      <c r="LU8" s="14" t="str">
        <f>IF(SUM(LR8,LT8)&gt;0,SUM(LR8,LT8),"")</f>
        <v/>
      </c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11" t="str">
        <f>IF(MC8&gt;0,MC8,"")</f>
        <v/>
      </c>
      <c r="ML8" s="11" t="str">
        <f>IF(SUM(LV8:LY8)-LZ8&gt;0,SUM(LV8:LY8)-LZ8,"")</f>
        <v/>
      </c>
      <c r="MM8" s="11" t="str">
        <f>IF(SUM(MA8:MD8)-ME8&gt;0,SUM(MA8:MD8)-ME8,"")</f>
        <v/>
      </c>
      <c r="MN8" s="11" t="str">
        <f>IF(SUM(ML8:MM8)&gt;0,SUM(ML8:MM8),"")</f>
        <v/>
      </c>
      <c r="MO8" s="11" t="str">
        <f>IF(MH8&gt;0,MH8,"")</f>
        <v/>
      </c>
      <c r="MP8" s="11" t="str">
        <f>IF(SUM(MF8:MI8)-MJ8&gt;0,SUM(MF8:MI8)-MJ8,"")</f>
        <v/>
      </c>
      <c r="MQ8" s="11" t="str">
        <f>IF(SUM(MN8,MP8)&gt;0,SUM(MN8,MP8),"")</f>
        <v/>
      </c>
      <c r="MR8" s="25"/>
      <c r="MS8" s="25"/>
      <c r="MT8" s="25"/>
      <c r="MU8" s="25"/>
      <c r="MV8" s="25"/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14" t="str">
        <f>IF(MY8&gt;0,MY8,"")</f>
        <v/>
      </c>
      <c r="NH8" s="14" t="str">
        <f>IF(SUM(MR8:MU8)-MV8&gt;0,SUM(MR8:MU8)-MV8,"")</f>
        <v/>
      </c>
      <c r="NI8" s="14" t="str">
        <f>IF(SUM(MW8:MZ8)-NA8&gt;0,SUM(MW8:MZ8)-NA8,"")</f>
        <v/>
      </c>
      <c r="NJ8" s="14" t="str">
        <f>IF(SUM(NH8:NI8)&gt;0,SUM(NH8:NI8),"")</f>
        <v/>
      </c>
      <c r="NK8" s="14" t="str">
        <f>IF(ND8&gt;0,ND8,"")</f>
        <v/>
      </c>
      <c r="NL8" s="14" t="str">
        <f>IF(SUM(NB8:NE8)-NF8&gt;0,SUM(NB8:NE8)-NF8,"")</f>
        <v/>
      </c>
      <c r="NM8" s="14" t="str">
        <f>IF(SUM(NJ8,NL8)&gt;0,SUM(NJ8,NL8),"")</f>
        <v/>
      </c>
      <c r="NN8" s="38">
        <f>IF($CV8="P",CB8,(CB8+AX8)/2)</f>
        <v>15.1</v>
      </c>
      <c r="NO8" s="38">
        <f>IF($CV8="P",CC8,(CC8+AY8)/2)</f>
        <v>9.25</v>
      </c>
      <c r="NP8" s="38">
        <f>IF($CV8="P",CD8,(CD8+AZ8)/2)</f>
        <v>0</v>
      </c>
      <c r="NQ8" s="38">
        <f>IF($CV8="P",CE8,(CE8+BA8)/2)</f>
        <v>13.375</v>
      </c>
      <c r="NR8" s="38">
        <f>IF($CV8="P",CF8,(CF8+BB8)/2)</f>
        <v>0</v>
      </c>
      <c r="NS8" s="38">
        <f>IF($CV8="P",CG8,(CG8+BC8)/2)</f>
        <v>13.629999999999999</v>
      </c>
      <c r="NT8" s="38">
        <f>IF($CV8="P",CH8,(CH8+BD8)/2)</f>
        <v>9.5500000000000007</v>
      </c>
      <c r="NU8" s="38">
        <f>IF($CV8="P",CI8,(CI8+BE8)/2)</f>
        <v>9.6</v>
      </c>
      <c r="NV8" s="38">
        <f>IF($CV8="P",CJ8,(CJ8+BF8)/2)</f>
        <v>13.135</v>
      </c>
      <c r="NW8" s="38">
        <f>IF($CV8="P",CK8,(CK8+BG8)/2)</f>
        <v>0</v>
      </c>
      <c r="NX8" s="38">
        <f>IF($CV8="P",CL8,(CL8+BH8)/2)</f>
        <v>0</v>
      </c>
      <c r="NY8" s="38">
        <f>IF($CV8="P",CM8,(CM8+BI8)/2)</f>
        <v>0</v>
      </c>
      <c r="NZ8" s="38">
        <f>IF($CV8="P",CN8,(CN8+BJ8)/2)</f>
        <v>0</v>
      </c>
      <c r="OA8" s="38">
        <f>IF($CV8="P",CO8,(CO8+BK8)/2)</f>
        <v>0</v>
      </c>
      <c r="OB8" s="38">
        <f>IF($CV8="P",CP8,(CP8+BL8)/2)</f>
        <v>0</v>
      </c>
      <c r="OC8" s="38">
        <f>IF($CV8="P",CQ8,(CQ8+BM8)/2)</f>
        <v>13.25</v>
      </c>
      <c r="OD8" s="38">
        <f>IF($CV8="P",CR8,(CR8+BN8)/2)</f>
        <v>9.0500000000000007</v>
      </c>
      <c r="OE8" s="38">
        <f>IF($CV8="P",CS8,(CS8+BO8)/2)</f>
        <v>9.6</v>
      </c>
      <c r="OF8" s="38">
        <f>IF($CV8="P",CT8,(CT8+BP8)/2)</f>
        <v>12.845000000000001</v>
      </c>
      <c r="OG8" s="38">
        <f>IF($CV8="P",CU8,(CU8+BQ8)/2)</f>
        <v>0</v>
      </c>
      <c r="OH8" s="45" t="s">
        <v>44</v>
      </c>
      <c r="OI8" s="11">
        <f>IF(SUM(NN8:NQ8)-NR8&gt;0,SUM(NN8:NQ8)-NR8,"")</f>
        <v>37.725000000000001</v>
      </c>
      <c r="OJ8" s="11">
        <f>IF(NU8&gt;0,NU8,"")</f>
        <v>9.6</v>
      </c>
      <c r="OK8" s="11">
        <f>IF(SUM(NS8:NV8)-NW8&gt;0,SUM(NS8:NV8)-NW8,"")</f>
        <v>45.914999999999999</v>
      </c>
      <c r="OL8" s="11" t="str">
        <f>IF(NZ8&gt;0,NZ8,"")</f>
        <v/>
      </c>
      <c r="OM8" s="11" t="str">
        <f>IF(SUM(NX8:OA8)-OB8&gt;0,SUM(NX8:OA8)-OB8,"")</f>
        <v/>
      </c>
      <c r="ON8" s="11">
        <f>IF(OR(OI8&lt;&gt;"",OK8&lt;&gt;"",OM8&lt;&gt;""),OI8+MAX(OK8,OM8),"")</f>
        <v>83.64</v>
      </c>
      <c r="OO8" s="11">
        <f>IF(OE8&gt;0,OE8,"")</f>
        <v>9.6</v>
      </c>
      <c r="OP8" s="11">
        <f t="shared" ref="OP8" si="8">IF(SUM(OC8:OF8)-OG8&gt;0,SUM(OC8:OF8)-OG8,"")</f>
        <v>44.744999999999997</v>
      </c>
      <c r="OQ8" s="11">
        <f t="shared" ref="OQ8" si="9">IF(SUM(ON8,OP8)&gt;0,SUM(ON8,OP8),"")</f>
        <v>128.38499999999999</v>
      </c>
    </row>
    <row r="9" spans="1:407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8" t="s">
        <v>67</v>
      </c>
      <c r="C9" s="5" t="s">
        <v>66</v>
      </c>
      <c r="D9" s="5">
        <v>2006</v>
      </c>
      <c r="E9" s="15">
        <f>SUM(I9:Q9)</f>
        <v>0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6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14">
        <f>IF(MAX(AT9,BX9,DB9)&gt;0,MAX(AT9,BX9,DB9),0)</f>
        <v>0</v>
      </c>
      <c r="J9" s="14" t="str">
        <f>IF(I9=0,"",IF(I9=DB9,$CB$1,IF(I9=BX9,$AX$1,IF(I9=AT9,$T$1,""))))</f>
        <v/>
      </c>
      <c r="K9" s="14">
        <f>IF($I9=$AT9,MAX(BS9,CW9),IF($I9=$BX9,MAX(AO9,CW9),IF($I9=$DB9,MAX(AO9,BS9),MAX(AO9,BS9,CW9))))</f>
        <v>0</v>
      </c>
      <c r="L9" s="14" t="str">
        <f>IF(K9=0,"",IF(AND(K9=CW9,$J9&lt;&gt;$CB$1),$CB$1,IF(AND(K9=BS9,$J9&lt;&gt;$AX$1),$AX$1,IF(AND(K9=AO9,$J9&lt;&gt;$T$1),$T$1,""))))</f>
        <v/>
      </c>
      <c r="M9" s="14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14" t="str">
        <f>IF(M9=0,"",IF(AND(OR(M9=DA9,M9=CY9),$J9&lt;&gt;$CB$1),$CB$1,IF(AND(OR(M9=BW9,M9=BU9),$J9&lt;&gt;$AX$1),$AX$1,IF(AND(OR(M9=AS9,M9=AQ9),$J9&lt;&gt;$T$1),$T$1,""))))</f>
        <v/>
      </c>
      <c r="O9" s="14">
        <f>MAX(AV9,BZ9,DD9)</f>
        <v>0</v>
      </c>
      <c r="P9" s="14" t="str">
        <f>IF(O9=0,"",IF(O9=DD9,$CB$1,IF(O9=BZ9,$AX$1,IF(O9=AV9,$T$1,""))))</f>
        <v/>
      </c>
      <c r="Q9" s="14" t="str">
        <f>IF(MAX(DF9,DG9,DH9,DI9)&gt;0,MAX(DF9,DG9,DH9,DI9),"")</f>
        <v/>
      </c>
      <c r="R9" s="20" t="str">
        <f>IF(Q9="","",IF(Q9=DF9,"(Vol 1)",IF(Q9=DG9,"(Vol 2)",IF(Q9=DH9,"(Prelim)",IF(Q9=DI9,"(Final)")))))</f>
        <v/>
      </c>
      <c r="S9" s="14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45"/>
      <c r="AO9" s="11" t="str">
        <f>IF(SUM(T9:W9)-X9&gt;0,SUM(T9:W9)-X9,"")</f>
        <v/>
      </c>
      <c r="AP9" s="11" t="str">
        <f>IF(AA9&gt;0,AA9,"")</f>
        <v/>
      </c>
      <c r="AQ9" s="11" t="str">
        <f>IF(SUM(Y9:AB9)-AC9&gt;0,SUM(Y9:AB9)-AC9,"")</f>
        <v/>
      </c>
      <c r="AR9" s="11" t="str">
        <f>IF(AF9&gt;0,AF9,"")</f>
        <v/>
      </c>
      <c r="AS9" s="11" t="str">
        <f>IF(SUM(AD9:AG9)-AH9&gt;0,SUM(AD9:AG9)-AH9,"")</f>
        <v/>
      </c>
      <c r="AT9" s="11" t="str">
        <f>IF(AO9="",IF(MAX(AQ9,AS9)&gt;0,MAX(AQ9,AS9),""),MAX(AQ9,AS9)+AO9)</f>
        <v/>
      </c>
      <c r="AU9" s="11" t="str">
        <f>IF(AK9&gt;0,AK9,"")</f>
        <v/>
      </c>
      <c r="AV9" s="11" t="str">
        <f>IF(SUM(AI9:AL9)-AM9&gt;0,SUM(AI9:AL9)-AM9,"")</f>
        <v/>
      </c>
      <c r="AW9" s="11" t="str">
        <f>IF(SUM(AT9,AV9)&gt;0,SUM(AT9,AV9),"")</f>
        <v/>
      </c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6"/>
      <c r="BS9" s="14" t="str">
        <f>IF(SUM(AX9:BA9)-BB9&gt;0,SUM(AX9:BA9)-BB9,"")</f>
        <v/>
      </c>
      <c r="BT9" s="14" t="str">
        <f>IF(BE9&gt;0,BE9,"")</f>
        <v/>
      </c>
      <c r="BU9" s="14" t="str">
        <f>IF(SUM(BC9:BF9)-BG9&gt;0,SUM(BC9:BF9)-BG9,"")</f>
        <v/>
      </c>
      <c r="BV9" s="14" t="str">
        <f>IF(BJ9&gt;0,BJ9,"")</f>
        <v/>
      </c>
      <c r="BW9" s="14" t="str">
        <f>IF(SUM(BH9:BK9)-BL9&gt;0,SUM(BH9:BK9)-BL9,"")</f>
        <v/>
      </c>
      <c r="BX9" s="14" t="str">
        <f>IF(BS9="",IF(MAX(BU9,BW9)&gt;0,MAX(BU9,BW9),""),MAX(BU9,BW9)+BS9)</f>
        <v/>
      </c>
      <c r="BY9" s="14" t="str">
        <f>IF(BO9&gt;0,BO9,"")</f>
        <v/>
      </c>
      <c r="BZ9" s="14" t="str">
        <f>IF(SUM(BM9:BP9)-BQ9&gt;0,SUM(BM9:BP9)-BQ9,"")</f>
        <v/>
      </c>
      <c r="CA9" s="14" t="str">
        <f>IF(SUM(BX9,BZ9)&gt;0,SUM(BX9,BZ9),"")</f>
        <v/>
      </c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45"/>
      <c r="CW9" s="11" t="str">
        <f>IF(SUM(CB9:CE9)-CF9&gt;0,SUM(CB9:CE9)-CF9,"")</f>
        <v/>
      </c>
      <c r="CX9" s="11" t="str">
        <f>IF(CI9&gt;0,CI9,"")</f>
        <v/>
      </c>
      <c r="CY9" s="11" t="str">
        <f>IF(SUM(CG9:CJ9)-CK9&gt;0,SUM(CG9:CJ9)-CK9,"")</f>
        <v/>
      </c>
      <c r="CZ9" s="11" t="str">
        <f>IF(CN9&gt;0,CN9,"")</f>
        <v/>
      </c>
      <c r="DA9" s="11" t="str">
        <f>IF(SUM(CL9:CO9)-CP9&gt;0,SUM(CL9:CO9)-CP9,"")</f>
        <v/>
      </c>
      <c r="DB9" s="11" t="str">
        <f>IF(CW9="",IF(MAX(CY9,DA9)&gt;0,MAX(CY9,DA9),""),MAX(CY9,DA9)+CW9)</f>
        <v/>
      </c>
      <c r="DC9" s="11" t="str">
        <f>IF(CS9&gt;0,CS9,"")</f>
        <v/>
      </c>
      <c r="DD9" s="11" t="str">
        <f>IF(SUM(CQ9:CT9)-CU9&gt;0,SUM(CQ9:CT9)-CU9,"")</f>
        <v/>
      </c>
      <c r="DE9" s="11" t="str">
        <f>IF(SUM(DB9,DD9)&gt;0,SUM(DB9,DD9),"")</f>
        <v/>
      </c>
      <c r="DF9" s="19" t="str">
        <f>IF(K9&gt;=0.001,IF(MAX(DZ9,EV9,FR9,GN9,HJ9,IF9,JB9,JX9,KT9,LP9,ML9,NH9)-IF(K9="",0,K9)&gt;0.001,MAX(DZ9,EV9,FR9,GN9,HJ9,IF9,JB9,JX9,KT9,LP9,ML9,NH9)-IF(K9="",0,K9),""),"")</f>
        <v/>
      </c>
      <c r="DG9" s="19" t="str">
        <f>IF(M9&gt;=0.001,IF(MAX(EA9,EW9,FS9,GO9,HK9,IG9,JC9,JY9,KU9,LQ9,MM9,NI9)-IF(M9="",0,M9)&gt;0.001,MAX(EA9,EW9,FS9,GO9,HK9,IG9,JC9,JY9,KU9,LQ9,MM9,NI9)-IF(M9="",0,M9),""),"")</f>
        <v/>
      </c>
      <c r="DH9" s="19" t="str">
        <f>IF(I9&gt;=0.001,IF(MAX(EB9,EX9,FT9,GP9,HL9,IH9,JD9,JZ9,KV9,LR9,MN9,NJ9)-IF(I9="",0,I9)&gt;0.001,MAX(EB9,EX9,FT9,GP9,HL9,IH9,JD9,JZ9,KV9,LR9,MN9,NJ9)-IF(I9="",0,I9),""),"")</f>
        <v/>
      </c>
      <c r="DI9" s="19" t="str">
        <f>IF(O9&gt;=0.001,IF(MAX(ED9,EZ9,FV9,GR9,HN9,IJ9,JF9,KB9,KX9,LT9,MP9,NL9)-IF(O9="",0,O9)&gt;0.001,MAX(ED9,EZ9,FV9,GR9,HN9,IJ9,JF9,KB9,KX9,LT9,MP9,NL9)-IF(O9="",0,O9),""),"")</f>
        <v/>
      </c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11" t="str">
        <f>IF(DQ9&gt;0,DQ9,"")</f>
        <v/>
      </c>
      <c r="DZ9" s="11" t="str">
        <f>IF(SUM(DJ9:DM9)-DN9&gt;0,SUM(DJ9:DM9)-DN9,"")</f>
        <v/>
      </c>
      <c r="EA9" s="11" t="str">
        <f>IF(SUM(DO9:DR9)-DS9&gt;0,SUM(DO9:DR9)-DS9,"")</f>
        <v/>
      </c>
      <c r="EB9" s="11" t="str">
        <f>IF(SUM(DZ9:EA9)&gt;0,SUM(DZ9:EA9),"")</f>
        <v/>
      </c>
      <c r="EC9" s="11" t="str">
        <f>IF(DV9&gt;0,DV9,"")</f>
        <v/>
      </c>
      <c r="ED9" s="11" t="str">
        <f>IF(SUM(DT9:DW9)-DX9&gt;0,SUM(DT9:DW9)-DX9,"")</f>
        <v/>
      </c>
      <c r="EE9" s="11" t="str">
        <f>IF(SUM(EB9,ED9)&gt;0,SUM(EB9,ED9),"")</f>
        <v/>
      </c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14" t="str">
        <f>IF(EM9&gt;0,EM9,"")</f>
        <v/>
      </c>
      <c r="EV9" s="14" t="str">
        <f>IF(SUM(EF9:EI9)-EJ9&gt;0,SUM(EF9:EI9)-EJ9,"")</f>
        <v/>
      </c>
      <c r="EW9" s="14" t="str">
        <f>IF(SUM(EK9:EN9)-EO9&gt;0,SUM(EK9:EN9)-EO9,"")</f>
        <v/>
      </c>
      <c r="EX9" s="14" t="str">
        <f>IF(SUM(EV9:EW9)&gt;0,SUM(EV9:EW9),"")</f>
        <v/>
      </c>
      <c r="EY9" s="14" t="str">
        <f>IF(ER9&gt;0,ER9,"")</f>
        <v/>
      </c>
      <c r="EZ9" s="14" t="str">
        <f>IF(SUM(EP9:ES9)-ET9&gt;0,SUM(EP9:ES9)-ET9,"")</f>
        <v/>
      </c>
      <c r="FA9" s="14" t="str">
        <f>IF(SUM(EX9,EZ9)&gt;0,SUM(EX9,EZ9),"")</f>
        <v/>
      </c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11" t="str">
        <f>IF(FI9&gt;0,FI9,"")</f>
        <v/>
      </c>
      <c r="FR9" s="11" t="str">
        <f>IF(SUM(FB9:FE9)-FF9&gt;0,SUM(FB9:FE9)-FF9,"")</f>
        <v/>
      </c>
      <c r="FS9" s="11" t="str">
        <f>IF(SUM(FG9:FJ9)-FK9&gt;0,SUM(FG9:FJ9)-FK9,"")</f>
        <v/>
      </c>
      <c r="FT9" s="11" t="str">
        <f>IF(SUM(FR9:FS9)&gt;0,SUM(FR9:FS9),"")</f>
        <v/>
      </c>
      <c r="FU9" s="11" t="str">
        <f>IF(FN9&gt;0,FN9,"")</f>
        <v/>
      </c>
      <c r="FV9" s="11" t="str">
        <f>IF(SUM(FL9:FO9)-FP9&gt;0,SUM(FL9:FO9)-FP9,"")</f>
        <v/>
      </c>
      <c r="FW9" s="11" t="str">
        <f>IF(SUM(FT9,FV9)&gt;0,SUM(FT9,FV9),"")</f>
        <v/>
      </c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14" t="str">
        <f>IF(GE9&gt;0,GE9,"")</f>
        <v/>
      </c>
      <c r="GN9" s="14" t="str">
        <f>IF(SUM(FX9:GA9)-GB9&gt;0,SUM(FX9:GA9)-GB9,"")</f>
        <v/>
      </c>
      <c r="GO9" s="14" t="str">
        <f>IF(SUM(GC9:GF9)-GG9&gt;0,SUM(GC9:GF9)-GG9,"")</f>
        <v/>
      </c>
      <c r="GP9" s="14" t="str">
        <f>IF(SUM(GN9:GO9)&gt;0,SUM(GN9:GO9),"")</f>
        <v/>
      </c>
      <c r="GQ9" s="14" t="str">
        <f>IF(GJ9&gt;0,GJ9,"")</f>
        <v/>
      </c>
      <c r="GR9" s="14" t="str">
        <f>IF(SUM(GH9:GK9)-GL9&gt;0,SUM(GH9:GK9)-GL9,"")</f>
        <v/>
      </c>
      <c r="GS9" s="14" t="str">
        <f>IF(SUM(GP9,GR9)&gt;0,SUM(GP9,GR9),"")</f>
        <v/>
      </c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11" t="str">
        <f>IF(HA9&gt;0,HA9,"")</f>
        <v/>
      </c>
      <c r="HJ9" s="11" t="str">
        <f>IF(SUM(GT9:GW9)-GX9&gt;0,SUM(GT9:GW9)-GX9,"")</f>
        <v/>
      </c>
      <c r="HK9" s="11" t="str">
        <f>IF(SUM(GY9:HB9)-HC9&gt;0,SUM(GY9:HB9)-HC9,"")</f>
        <v/>
      </c>
      <c r="HL9" s="11" t="str">
        <f>IF(SUM(HJ9:HK9)&gt;0,SUM(HJ9:HK9),"")</f>
        <v/>
      </c>
      <c r="HM9" s="11" t="str">
        <f>IF(HF9&gt;0,HF9,"")</f>
        <v/>
      </c>
      <c r="HN9" s="11" t="str">
        <f>IF(SUM(HD9:HG9)-HH9&gt;0,SUM(HD9:HG9)-HH9,"")</f>
        <v/>
      </c>
      <c r="HO9" s="11" t="str">
        <f>IF(SUM(HL9,HN9)&gt;0,SUM(HL9,HN9),"")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14" t="str">
        <f>IF(HW9&gt;0,HW9,"")</f>
        <v/>
      </c>
      <c r="IF9" s="14" t="str">
        <f>IF(SUM(HP9:HS9)-HT9&gt;0,SUM(HP9:HS9)-HT9,"")</f>
        <v/>
      </c>
      <c r="IG9" s="14" t="str">
        <f>IF(SUM(HU9:HX9)-HY9&gt;0,SUM(HU9:HX9)-HY9,"")</f>
        <v/>
      </c>
      <c r="IH9" s="14" t="str">
        <f>IF(SUM(IF9:IG9)&gt;0,SUM(IF9:IG9),"")</f>
        <v/>
      </c>
      <c r="II9" s="14" t="str">
        <f>IF(IB9&gt;0,IB9,"")</f>
        <v/>
      </c>
      <c r="IJ9" s="14" t="str">
        <f>IF(SUM(HZ9:IC9)-ID9&gt;0,SUM(HZ9:IC9)-ID9,"")</f>
        <v/>
      </c>
      <c r="IK9" s="14" t="str">
        <f>IF(SUM(IH9,IJ9)&gt;0,SUM(IH9,IJ9),"")</f>
        <v/>
      </c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11" t="str">
        <f>IF(IS9&gt;0,IS9,"")</f>
        <v/>
      </c>
      <c r="JB9" s="11" t="str">
        <f>IF(SUM(IL9:IO9)-IP9&gt;0,SUM(IL9:IO9)-IP9,"")</f>
        <v/>
      </c>
      <c r="JC9" s="11" t="str">
        <f>IF(SUM(IQ9:IT9)-IU9&gt;0,SUM(IQ9:IT9)-IU9,"")</f>
        <v/>
      </c>
      <c r="JD9" s="11" t="str">
        <f>IF(SUM(JB9:JC9)&gt;0,SUM(JB9:JC9),"")</f>
        <v/>
      </c>
      <c r="JE9" s="11" t="str">
        <f>IF(IX9&gt;0,IX9,"")</f>
        <v/>
      </c>
      <c r="JF9" s="11" t="str">
        <f>IF(SUM(IV9:IY9)-IZ9&gt;0,SUM(IV9:IY9)-IZ9,"")</f>
        <v/>
      </c>
      <c r="JG9" s="11" t="str">
        <f>IF(SUM(JD9,JF9)&gt;0,SUM(JD9,JF9),"")</f>
        <v/>
      </c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14" t="str">
        <f>IF(JO9&gt;0,JO9,"")</f>
        <v/>
      </c>
      <c r="JX9" s="14" t="str">
        <f>IF(SUM(JH9:JK9)-JL9&gt;0,SUM(JH9:JK9)-JL9,"")</f>
        <v/>
      </c>
      <c r="JY9" s="14" t="str">
        <f>IF(SUM(JM9:JP9)-JQ9&gt;0,SUM(JM9:JP9)-JQ9,"")</f>
        <v/>
      </c>
      <c r="JZ9" s="14" t="str">
        <f>IF(SUM(JX9:JY9)&gt;0,SUM(JX9:JY9),"")</f>
        <v/>
      </c>
      <c r="KA9" s="14" t="str">
        <f>IF(JT9&gt;0,JT9,"")</f>
        <v/>
      </c>
      <c r="KB9" s="14" t="str">
        <f>IF(SUM(JR9:JU9)-JV9&gt;0,SUM(JR9:JU9)-JV9,"")</f>
        <v/>
      </c>
      <c r="KC9" s="14" t="str">
        <f>IF(SUM(JZ9,KB9)&gt;0,SUM(JZ9,KB9),"")</f>
        <v/>
      </c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11" t="str">
        <f>IF(KK9&gt;0,KK9,"")</f>
        <v/>
      </c>
      <c r="KT9" s="11" t="str">
        <f>IF(SUM(KD9:KG9)-KH9&gt;0,SUM(KD9:KG9)-KH9,"")</f>
        <v/>
      </c>
      <c r="KU9" s="11" t="str">
        <f>IF(SUM(KI9:KL9)-KM9&gt;0,SUM(KI9:KL9)-KM9,"")</f>
        <v/>
      </c>
      <c r="KV9" s="11" t="str">
        <f>IF(SUM(KT9:KU9)&gt;0,SUM(KT9:KU9),"")</f>
        <v/>
      </c>
      <c r="KW9" s="11" t="str">
        <f>IF(KP9&gt;0,KP9,"")</f>
        <v/>
      </c>
      <c r="KX9" s="11" t="str">
        <f>IF(SUM(KN9:KQ9)-KR9&gt;0,SUM(KN9:KQ9)-KR9,"")</f>
        <v/>
      </c>
      <c r="KY9" s="11" t="str">
        <f>IF(SUM(KV9,KX9)&gt;0,SUM(KV9,KX9),"")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14" t="str">
        <f>IF(LG9&gt;0,LG9,"")</f>
        <v/>
      </c>
      <c r="LP9" s="14" t="str">
        <f>IF(SUM(KZ9:LC9)-LD9&gt;0,SUM(KZ9:LC9)-LD9,"")</f>
        <v/>
      </c>
      <c r="LQ9" s="14" t="str">
        <f>IF(SUM(LE9:LH9)-LI9&gt;0,SUM(LE9:LH9)-LI9,"")</f>
        <v/>
      </c>
      <c r="LR9" s="14" t="str">
        <f>IF(SUM(LP9:LQ9)&gt;0,SUM(LP9:LQ9),"")</f>
        <v/>
      </c>
      <c r="LS9" s="14" t="str">
        <f>IF(LL9&gt;0,LL9,"")</f>
        <v/>
      </c>
      <c r="LT9" s="14" t="str">
        <f>IF(SUM(LJ9:LM9)-LN9&gt;0,SUM(LJ9:LM9)-LN9,"")</f>
        <v/>
      </c>
      <c r="LU9" s="14" t="str">
        <f>IF(SUM(LR9,LT9)&gt;0,SUM(LR9,LT9),"")</f>
        <v/>
      </c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11" t="str">
        <f>IF(MC9&gt;0,MC9,"")</f>
        <v/>
      </c>
      <c r="ML9" s="11" t="str">
        <f>IF(SUM(LV9:LY9)-LZ9&gt;0,SUM(LV9:LY9)-LZ9,"")</f>
        <v/>
      </c>
      <c r="MM9" s="11" t="str">
        <f>IF(SUM(MA9:MD9)-ME9&gt;0,SUM(MA9:MD9)-ME9,"")</f>
        <v/>
      </c>
      <c r="MN9" s="11" t="str">
        <f>IF(SUM(ML9:MM9)&gt;0,SUM(ML9:MM9),"")</f>
        <v/>
      </c>
      <c r="MO9" s="11" t="str">
        <f>IF(MH9&gt;0,MH9,"")</f>
        <v/>
      </c>
      <c r="MP9" s="11" t="str">
        <f>IF(SUM(MF9:MI9)-MJ9&gt;0,SUM(MF9:MI9)-MJ9,"")</f>
        <v/>
      </c>
      <c r="MQ9" s="11" t="str">
        <f>IF(SUM(MN9,MP9)&gt;0,SUM(MN9,MP9),"")</f>
        <v/>
      </c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14" t="str">
        <f>IF(MY9&gt;0,MY9,"")</f>
        <v/>
      </c>
      <c r="NH9" s="14" t="str">
        <f>IF(SUM(MR9:MU9)-MV9&gt;0,SUM(MR9:MU9)-MV9,"")</f>
        <v/>
      </c>
      <c r="NI9" s="14" t="str">
        <f>IF(SUM(MW9:MZ9)-NA9&gt;0,SUM(MW9:MZ9)-NA9,"")</f>
        <v/>
      </c>
      <c r="NJ9" s="14" t="str">
        <f>IF(SUM(NH9:NI9)&gt;0,SUM(NH9:NI9),"")</f>
        <v/>
      </c>
      <c r="NK9" s="14" t="str">
        <f>IF(ND9&gt;0,ND9,"")</f>
        <v/>
      </c>
      <c r="NL9" s="14" t="str">
        <f>IF(SUM(NB9:NE9)-NF9&gt;0,SUM(NB9:NE9)-NF9,"")</f>
        <v/>
      </c>
      <c r="NM9" s="14" t="str">
        <f>IF(SUM(NJ9,NL9)&gt;0,SUM(NJ9,NL9),"")</f>
        <v/>
      </c>
      <c r="NN9" s="38">
        <f>IF($CV9="P",CB9,(CB9+AX9)/2)</f>
        <v>0</v>
      </c>
      <c r="NO9" s="38">
        <f>IF($CV9="P",CC9,(CC9+AY9)/2)</f>
        <v>0</v>
      </c>
      <c r="NP9" s="38">
        <f>IF($CV9="P",CD9,(CD9+AZ9)/2)</f>
        <v>0</v>
      </c>
      <c r="NQ9" s="38">
        <f>IF($CV9="P",CE9,(CE9+BA9)/2)</f>
        <v>0</v>
      </c>
      <c r="NR9" s="38">
        <f>IF($CV9="P",CF9,(CF9+BB9)/2)</f>
        <v>0</v>
      </c>
      <c r="NS9" s="38">
        <f>IF($CV9="P",CG9,(CG9+BC9)/2)</f>
        <v>0</v>
      </c>
      <c r="NT9" s="38">
        <f>IF($CV9="P",CH9,(CH9+BD9)/2)</f>
        <v>0</v>
      </c>
      <c r="NU9" s="38">
        <f>IF($CV9="P",CI9,(CI9+BE9)/2)</f>
        <v>0</v>
      </c>
      <c r="NV9" s="38">
        <f>IF($CV9="P",CJ9,(CJ9+BF9)/2)</f>
        <v>0</v>
      </c>
      <c r="NW9" s="38">
        <f>IF($CV9="P",CK9,(CK9+BG9)/2)</f>
        <v>0</v>
      </c>
      <c r="NX9" s="38">
        <f>IF($CV9="P",CL9,(CL9+BH9)/2)</f>
        <v>0</v>
      </c>
      <c r="NY9" s="38">
        <f>IF($CV9="P",CM9,(CM9+BI9)/2)</f>
        <v>0</v>
      </c>
      <c r="NZ9" s="38">
        <f>IF($CV9="P",CN9,(CN9+BJ9)/2)</f>
        <v>0</v>
      </c>
      <c r="OA9" s="38">
        <f>IF($CV9="P",CO9,(CO9+BK9)/2)</f>
        <v>0</v>
      </c>
      <c r="OB9" s="38">
        <f>IF($CV9="P",CP9,(CP9+BL9)/2)</f>
        <v>0</v>
      </c>
      <c r="OC9" s="38">
        <f>IF($CV9="P",CQ9,(CQ9+BM9)/2)</f>
        <v>0</v>
      </c>
      <c r="OD9" s="38">
        <f>IF($CV9="P",CR9,(CR9+BN9)/2)</f>
        <v>0</v>
      </c>
      <c r="OE9" s="38">
        <f>IF($CV9="P",CS9,(CS9+BO9)/2)</f>
        <v>0</v>
      </c>
      <c r="OF9" s="38">
        <f>IF($CV9="P",CT9,(CT9+BP9)/2)</f>
        <v>0</v>
      </c>
      <c r="OG9" s="38">
        <f>IF($CV9="P",CU9,(CU9+BQ9)/2)</f>
        <v>0</v>
      </c>
      <c r="OH9" s="45" t="s">
        <v>44</v>
      </c>
      <c r="OI9" s="11" t="str">
        <f>IF(SUM(NN9:NQ9)-NR9&gt;0,SUM(NN9:NQ9)-NR9,"")</f>
        <v/>
      </c>
      <c r="OJ9" s="11" t="str">
        <f>IF(NU9&gt;0,NU9,"")</f>
        <v/>
      </c>
      <c r="OK9" s="11" t="str">
        <f>IF(SUM(NS9:NV9)-NW9&gt;0,SUM(NS9:NV9)-NW9,"")</f>
        <v/>
      </c>
      <c r="OL9" s="11" t="str">
        <f>IF(NZ9&gt;0,NZ9,"")</f>
        <v/>
      </c>
      <c r="OM9" s="11" t="str">
        <f>IF(SUM(NX9:OA9)-OB9&gt;0,SUM(NX9:OA9)-OB9,"")</f>
        <v/>
      </c>
      <c r="ON9" s="11" t="str">
        <f>IF(OR(OI9&lt;&gt;"",OK9&lt;&gt;"",OM9&lt;&gt;""),OI9+MAX(OK9,OM9),"")</f>
        <v/>
      </c>
      <c r="OO9" s="11" t="str">
        <f>IF(OE9&gt;0,OE9,"")</f>
        <v/>
      </c>
      <c r="OP9" s="11" t="str">
        <f t="shared" ref="OP9" si="10">IF(SUM(OC9:OF9)-OG9&gt;0,SUM(OC9:OF9)-OG9,"")</f>
        <v/>
      </c>
      <c r="OQ9" s="11" t="str">
        <f t="shared" ref="OQ9" si="11">IF(SUM(ON9,OP9)&gt;0,SUM(ON9,OP9),"")</f>
        <v/>
      </c>
    </row>
    <row r="10" spans="1:407" x14ac:dyDescent="0.2">
      <c r="B10" s="6"/>
      <c r="D10" s="1"/>
    </row>
    <row r="12" spans="1:407" x14ac:dyDescent="0.2">
      <c r="B12" s="39" t="s">
        <v>42</v>
      </c>
      <c r="C12" s="33"/>
      <c r="AP12" s="66"/>
      <c r="AQ12" s="66"/>
      <c r="AR12" s="66"/>
      <c r="AU12" s="31"/>
      <c r="AW12" s="35">
        <v>11.2</v>
      </c>
      <c r="BT12" s="66"/>
      <c r="BU12" s="66"/>
      <c r="BV12" s="66"/>
      <c r="BY12" s="31"/>
      <c r="CA12" s="35">
        <v>11.2</v>
      </c>
      <c r="CX12" s="66"/>
      <c r="CY12" s="66"/>
      <c r="CZ12" s="66"/>
      <c r="DC12" s="31"/>
      <c r="DE12" s="35">
        <v>11.2</v>
      </c>
      <c r="DY12" s="33"/>
      <c r="EC12" s="31"/>
      <c r="EE12" s="35">
        <v>11.2</v>
      </c>
      <c r="EU12" s="33"/>
      <c r="EY12" s="31"/>
      <c r="FA12" s="35">
        <v>11.2</v>
      </c>
      <c r="FQ12" s="33"/>
      <c r="FU12" s="31"/>
      <c r="FW12" s="35">
        <v>11.2</v>
      </c>
      <c r="GM12" s="33"/>
      <c r="GQ12" s="31"/>
      <c r="GS12" s="35">
        <v>11.2</v>
      </c>
      <c r="HI12" s="33"/>
      <c r="HM12" s="31"/>
      <c r="HO12" s="35">
        <v>11.2</v>
      </c>
      <c r="IE12" s="33"/>
      <c r="II12" s="31"/>
      <c r="IK12" s="35">
        <v>11.2</v>
      </c>
      <c r="JA12" s="33"/>
      <c r="JE12" s="31"/>
      <c r="JG12" s="35">
        <v>11.2</v>
      </c>
      <c r="JW12" s="33"/>
      <c r="KA12" s="31"/>
      <c r="KC12" s="35">
        <v>11.2</v>
      </c>
      <c r="KS12" s="33"/>
      <c r="KW12" s="31"/>
      <c r="KY12" s="35">
        <v>11.2</v>
      </c>
      <c r="LO12" s="33"/>
      <c r="LS12" s="31"/>
      <c r="LU12" s="35">
        <v>11.2</v>
      </c>
      <c r="MK12" s="33"/>
      <c r="MO12" s="31"/>
      <c r="MQ12" s="35">
        <v>11.2</v>
      </c>
      <c r="NG12" s="33"/>
      <c r="NK12" s="31"/>
      <c r="NM12" s="35">
        <v>11.2</v>
      </c>
    </row>
    <row r="13" spans="1:407" hidden="1" x14ac:dyDescent="0.2">
      <c r="B13" s="48" t="s">
        <v>41</v>
      </c>
      <c r="C13" s="33"/>
      <c r="AP13" s="66"/>
      <c r="AQ13" s="66"/>
      <c r="AR13" s="66"/>
      <c r="AU13" s="31"/>
      <c r="AW13" s="50">
        <v>11.2</v>
      </c>
      <c r="BT13" s="66"/>
      <c r="BU13" s="66"/>
      <c r="BV13" s="66"/>
      <c r="BY13" s="31"/>
      <c r="CA13" s="50">
        <v>11.2</v>
      </c>
      <c r="CX13" s="66"/>
      <c r="CY13" s="66"/>
      <c r="CZ13" s="66"/>
      <c r="DC13" s="31"/>
      <c r="DE13" s="50">
        <v>11.2</v>
      </c>
      <c r="DY13" s="33"/>
      <c r="EC13" s="31"/>
      <c r="EE13" s="50">
        <v>11.2</v>
      </c>
      <c r="EU13" s="33"/>
      <c r="EY13" s="31"/>
      <c r="FA13" s="50">
        <v>11.2</v>
      </c>
      <c r="FQ13" s="33"/>
      <c r="FU13" s="31"/>
      <c r="FW13" s="50">
        <v>11.2</v>
      </c>
      <c r="GM13" s="33"/>
      <c r="GQ13" s="31"/>
      <c r="GS13" s="50">
        <v>11.2</v>
      </c>
      <c r="HI13" s="33"/>
      <c r="HM13" s="31"/>
      <c r="HO13" s="50">
        <v>11.2</v>
      </c>
      <c r="IE13" s="33"/>
      <c r="II13" s="31"/>
      <c r="IK13" s="50">
        <v>11.2</v>
      </c>
      <c r="JA13" s="33"/>
      <c r="JE13" s="31"/>
      <c r="JG13" s="50">
        <v>11.2</v>
      </c>
      <c r="JW13" s="33"/>
      <c r="KA13" s="31"/>
      <c r="KC13" s="50">
        <v>11.2</v>
      </c>
      <c r="KS13" s="33"/>
      <c r="KW13" s="31"/>
      <c r="KY13" s="50">
        <v>11.2</v>
      </c>
      <c r="LO13" s="33"/>
      <c r="LS13" s="31"/>
      <c r="LU13" s="50">
        <v>11.2</v>
      </c>
      <c r="MK13" s="33"/>
      <c r="MO13" s="31"/>
      <c r="MQ13" s="50">
        <v>11.2</v>
      </c>
      <c r="NG13" s="33"/>
      <c r="NK13" s="31"/>
      <c r="NM13" s="50">
        <v>11.2</v>
      </c>
    </row>
    <row r="14" spans="1:407" x14ac:dyDescent="0.2">
      <c r="A14" s="33"/>
      <c r="B14" s="49" t="s">
        <v>54</v>
      </c>
      <c r="C14" s="33"/>
      <c r="AP14" s="66"/>
      <c r="AQ14" s="66"/>
      <c r="AR14" s="66"/>
      <c r="AT14" s="31"/>
      <c r="AU14" s="31"/>
      <c r="AV14" s="31"/>
      <c r="AW14" s="51">
        <v>11.2</v>
      </c>
      <c r="BT14" s="66"/>
      <c r="BU14" s="66"/>
      <c r="BV14" s="66"/>
      <c r="BY14" s="31"/>
      <c r="CA14" s="51">
        <v>11.2</v>
      </c>
      <c r="CX14" s="66"/>
      <c r="CY14" s="66"/>
      <c r="CZ14" s="66"/>
      <c r="DB14" s="31"/>
      <c r="DC14" s="31"/>
      <c r="DD14" s="31"/>
      <c r="DE14" s="51">
        <v>11.2</v>
      </c>
      <c r="DY14" s="33"/>
      <c r="EC14" s="31"/>
      <c r="EE14" s="51">
        <v>11.2</v>
      </c>
      <c r="EU14" s="33"/>
      <c r="EY14" s="31"/>
      <c r="FA14" s="51">
        <v>11.2</v>
      </c>
      <c r="FQ14" s="33"/>
      <c r="FU14" s="31"/>
      <c r="FW14" s="51">
        <v>11.2</v>
      </c>
      <c r="GM14" s="33"/>
      <c r="GQ14" s="31"/>
      <c r="GS14" s="51">
        <v>11.2</v>
      </c>
      <c r="HI14" s="33"/>
      <c r="HM14" s="31"/>
      <c r="HO14" s="51">
        <v>11.2</v>
      </c>
      <c r="IE14" s="33"/>
      <c r="II14" s="31"/>
      <c r="IK14" s="51">
        <v>11.2</v>
      </c>
      <c r="JA14" s="33"/>
      <c r="JE14" s="31"/>
      <c r="JG14" s="51">
        <v>11.2</v>
      </c>
      <c r="JW14" s="33"/>
      <c r="KA14" s="31"/>
      <c r="KC14" s="51">
        <v>11.2</v>
      </c>
      <c r="KS14" s="33"/>
      <c r="KW14" s="31"/>
      <c r="KY14" s="51">
        <v>11.2</v>
      </c>
      <c r="LO14" s="33"/>
      <c r="LS14" s="31"/>
      <c r="LU14" s="51">
        <v>11.2</v>
      </c>
      <c r="MK14" s="33"/>
      <c r="MO14" s="31"/>
      <c r="MQ14" s="51">
        <v>11.2</v>
      </c>
      <c r="NG14" s="33"/>
      <c r="NK14" s="31"/>
      <c r="NM14" s="51">
        <v>11.2</v>
      </c>
    </row>
    <row r="15" spans="1:407" x14ac:dyDescent="0.2">
      <c r="A15" s="33"/>
      <c r="B15" s="62" t="s">
        <v>59</v>
      </c>
      <c r="C15" s="33"/>
      <c r="AP15" s="66"/>
      <c r="AQ15" s="66"/>
      <c r="AR15" s="66"/>
      <c r="AT15" s="31"/>
      <c r="AU15" s="31"/>
      <c r="AV15" s="31"/>
      <c r="AW15" s="63">
        <v>11.2</v>
      </c>
      <c r="BT15" s="66"/>
      <c r="BU15" s="66"/>
      <c r="BV15" s="66"/>
      <c r="BY15" s="31"/>
      <c r="CA15" s="63">
        <v>11.2</v>
      </c>
      <c r="CX15" s="66"/>
      <c r="CY15" s="66"/>
      <c r="CZ15" s="66"/>
      <c r="DB15" s="31"/>
      <c r="DC15" s="31"/>
      <c r="DD15" s="31"/>
      <c r="DE15" s="63">
        <v>11.2</v>
      </c>
      <c r="DY15" s="33"/>
      <c r="EC15" s="31"/>
      <c r="EE15" s="63">
        <v>11.2</v>
      </c>
      <c r="EU15" s="33"/>
      <c r="EY15" s="31"/>
      <c r="FA15" s="63">
        <v>11.2</v>
      </c>
      <c r="FQ15" s="33"/>
      <c r="FU15" s="31"/>
      <c r="FW15" s="63">
        <v>11.2</v>
      </c>
      <c r="GM15" s="33"/>
      <c r="GQ15" s="31"/>
      <c r="GS15" s="63">
        <v>11.2</v>
      </c>
      <c r="HI15" s="33"/>
      <c r="HM15" s="31"/>
      <c r="HO15" s="63">
        <v>11.2</v>
      </c>
      <c r="IE15" s="33"/>
      <c r="II15" s="31"/>
      <c r="IK15" s="63">
        <v>11.2</v>
      </c>
      <c r="JA15" s="33"/>
      <c r="JE15" s="31"/>
      <c r="JG15" s="63">
        <v>11.2</v>
      </c>
      <c r="JW15" s="33"/>
      <c r="KA15" s="31"/>
      <c r="KC15" s="63">
        <v>11.2</v>
      </c>
      <c r="KS15" s="33"/>
      <c r="KW15" s="31"/>
      <c r="KY15" s="63">
        <v>11.2</v>
      </c>
      <c r="LO15" s="33"/>
      <c r="LS15" s="31"/>
      <c r="LU15" s="63">
        <v>11.2</v>
      </c>
      <c r="MK15" s="33"/>
      <c r="MO15" s="31"/>
      <c r="MQ15" s="63">
        <v>11.2</v>
      </c>
      <c r="NG15" s="33"/>
      <c r="NK15" s="31"/>
      <c r="NM15" s="63">
        <v>11.2</v>
      </c>
    </row>
    <row r="16" spans="1:407" x14ac:dyDescent="0.2">
      <c r="A16" s="33"/>
      <c r="B16" s="60" t="s">
        <v>39</v>
      </c>
      <c r="C16" s="33"/>
      <c r="M16" s="2"/>
      <c r="AP16" s="66"/>
      <c r="AQ16" s="66"/>
      <c r="AR16" s="66"/>
      <c r="AT16" s="31"/>
      <c r="AU16" s="31"/>
      <c r="AV16" s="31"/>
      <c r="AW16" s="61">
        <v>90.2</v>
      </c>
      <c r="BT16" s="66"/>
      <c r="BU16" s="66"/>
      <c r="BV16" s="66"/>
      <c r="BY16" s="31"/>
      <c r="CA16" s="61">
        <v>90.2</v>
      </c>
      <c r="CX16" s="66"/>
      <c r="CY16" s="66"/>
      <c r="CZ16" s="66"/>
      <c r="DB16" s="31"/>
      <c r="DC16" s="31"/>
      <c r="DD16" s="31"/>
      <c r="DE16" s="61">
        <v>90.2</v>
      </c>
      <c r="DY16" s="33"/>
      <c r="EC16" s="31"/>
      <c r="EE16" s="61">
        <v>90.2</v>
      </c>
      <c r="EU16" s="33"/>
      <c r="EY16" s="31"/>
      <c r="FA16" s="61">
        <v>90.2</v>
      </c>
      <c r="FQ16" s="33"/>
      <c r="FU16" s="31"/>
      <c r="FW16" s="61">
        <v>90.2</v>
      </c>
      <c r="GM16" s="33"/>
      <c r="GQ16" s="31"/>
      <c r="GS16" s="61">
        <v>90.2</v>
      </c>
      <c r="HI16" s="33"/>
      <c r="HM16" s="31"/>
      <c r="HO16" s="61">
        <v>90.2</v>
      </c>
      <c r="IE16" s="33"/>
      <c r="II16" s="31"/>
      <c r="IK16" s="61">
        <v>90.2</v>
      </c>
      <c r="JA16" s="33"/>
      <c r="JE16" s="31"/>
      <c r="JG16" s="61">
        <v>90.2</v>
      </c>
      <c r="JW16" s="33"/>
      <c r="KA16" s="31"/>
      <c r="KC16" s="61">
        <v>90.2</v>
      </c>
      <c r="KS16" s="33"/>
      <c r="KW16" s="31"/>
      <c r="KY16" s="61">
        <v>90.2</v>
      </c>
      <c r="LO16" s="33"/>
      <c r="LS16" s="31"/>
      <c r="LU16" s="61">
        <v>90.2</v>
      </c>
      <c r="MK16" s="33"/>
      <c r="MO16" s="31"/>
      <c r="MQ16" s="61">
        <v>90.2</v>
      </c>
      <c r="NG16" s="33"/>
      <c r="NK16" s="31"/>
      <c r="NM16" s="61">
        <v>90.2</v>
      </c>
    </row>
    <row r="17" spans="1:377" hidden="1" x14ac:dyDescent="0.2">
      <c r="A17" s="33"/>
      <c r="B17" s="40" t="s">
        <v>40</v>
      </c>
      <c r="C17" s="33"/>
      <c r="M17" s="2"/>
      <c r="AP17" s="66"/>
      <c r="AQ17" s="66"/>
      <c r="AR17" s="66"/>
      <c r="AT17" s="31"/>
      <c r="AU17" s="31"/>
      <c r="AV17" s="31"/>
      <c r="AW17" s="36">
        <v>93.1</v>
      </c>
      <c r="BT17" s="66"/>
      <c r="BU17" s="66"/>
      <c r="BV17" s="66"/>
      <c r="BY17" s="31"/>
      <c r="CA17" s="36">
        <v>93.1</v>
      </c>
      <c r="CX17" s="66"/>
      <c r="CY17" s="66"/>
      <c r="CZ17" s="66"/>
      <c r="DB17" s="31"/>
      <c r="DC17" s="31"/>
      <c r="DD17" s="31"/>
      <c r="DE17" s="36">
        <v>93.1</v>
      </c>
      <c r="DY17" s="33"/>
      <c r="EC17" s="31"/>
      <c r="EE17" s="36">
        <v>93.1</v>
      </c>
      <c r="EU17" s="33"/>
      <c r="EY17" s="31"/>
      <c r="FA17" s="36">
        <v>93.1</v>
      </c>
      <c r="FQ17" s="33"/>
      <c r="FU17" s="31"/>
      <c r="FW17" s="36">
        <v>93.1</v>
      </c>
      <c r="GM17" s="33"/>
      <c r="GQ17" s="31"/>
      <c r="GS17" s="36">
        <v>93.1</v>
      </c>
      <c r="HI17" s="33"/>
      <c r="HM17" s="31"/>
      <c r="HO17" s="36">
        <v>93.1</v>
      </c>
      <c r="IE17" s="33"/>
      <c r="II17" s="31"/>
      <c r="IK17" s="36">
        <v>93.1</v>
      </c>
      <c r="JA17" s="33"/>
      <c r="JE17" s="31"/>
      <c r="JG17" s="36">
        <v>93.1</v>
      </c>
      <c r="JW17" s="33"/>
      <c r="KA17" s="31"/>
      <c r="KC17" s="36">
        <v>93.1</v>
      </c>
      <c r="KS17" s="33"/>
      <c r="KW17" s="31"/>
      <c r="KY17" s="36">
        <v>93.1</v>
      </c>
      <c r="LO17" s="33"/>
      <c r="LS17" s="31"/>
      <c r="LU17" s="36">
        <v>93.1</v>
      </c>
      <c r="MK17" s="33"/>
      <c r="MO17" s="31"/>
      <c r="MQ17" s="36">
        <v>93.1</v>
      </c>
      <c r="NG17" s="33"/>
      <c r="NK17" s="31"/>
      <c r="NM17" s="36">
        <v>93.1</v>
      </c>
    </row>
    <row r="18" spans="1:377" x14ac:dyDescent="0.2">
      <c r="A18" s="33"/>
      <c r="B18" s="58" t="s">
        <v>53</v>
      </c>
      <c r="C18" s="33"/>
      <c r="AP18" s="66"/>
      <c r="AQ18" s="66"/>
      <c r="AR18" s="66"/>
      <c r="AT18" s="31"/>
      <c r="AU18" s="31"/>
      <c r="AV18" s="71"/>
      <c r="AW18" s="59">
        <v>93.1</v>
      </c>
      <c r="BT18" s="66"/>
      <c r="BU18" s="66"/>
      <c r="BV18" s="66"/>
      <c r="BY18" s="31"/>
      <c r="BZ18" s="70"/>
      <c r="CA18" s="59">
        <v>93.1</v>
      </c>
      <c r="CX18" s="66"/>
      <c r="CY18" s="66"/>
      <c r="CZ18" s="66"/>
      <c r="DB18" s="31"/>
      <c r="DC18" s="31"/>
      <c r="DD18" s="31"/>
      <c r="DE18" s="59">
        <v>93.1</v>
      </c>
      <c r="DY18" s="33"/>
      <c r="EC18" s="31"/>
      <c r="EE18" s="59">
        <v>93.1</v>
      </c>
      <c r="EU18" s="33"/>
      <c r="EY18" s="31"/>
      <c r="FA18" s="59">
        <v>93.1</v>
      </c>
      <c r="FQ18" s="33"/>
      <c r="FU18" s="31"/>
      <c r="FW18" s="59">
        <v>93.1</v>
      </c>
      <c r="GM18" s="33"/>
      <c r="GQ18" s="31"/>
      <c r="GR18" s="70"/>
      <c r="GS18" s="59">
        <v>93.1</v>
      </c>
      <c r="HI18" s="33"/>
      <c r="HM18" s="31"/>
      <c r="HN18" s="70"/>
      <c r="HO18" s="59">
        <v>93.1</v>
      </c>
      <c r="IE18" s="33"/>
      <c r="II18" s="31"/>
      <c r="IK18" s="59">
        <v>93.1</v>
      </c>
      <c r="JA18" s="33"/>
      <c r="JE18" s="31"/>
      <c r="JG18" s="59">
        <v>93.1</v>
      </c>
      <c r="JW18" s="33"/>
      <c r="KA18" s="31"/>
      <c r="KB18" s="72"/>
      <c r="KC18" s="59">
        <v>93.1</v>
      </c>
      <c r="KS18" s="33"/>
      <c r="KW18" s="31"/>
      <c r="KY18" s="59">
        <v>93.1</v>
      </c>
      <c r="LO18" s="33"/>
      <c r="LS18" s="31"/>
      <c r="LU18" s="59">
        <v>93.1</v>
      </c>
      <c r="MK18" s="33"/>
      <c r="MO18" s="31"/>
      <c r="MP18" s="72"/>
      <c r="MQ18" s="59">
        <v>93.1</v>
      </c>
      <c r="NG18" s="33"/>
      <c r="NK18" s="31"/>
      <c r="NM18" s="59">
        <v>93.1</v>
      </c>
    </row>
    <row r="19" spans="1:377" x14ac:dyDescent="0.2">
      <c r="A19" s="33"/>
      <c r="B19" s="41" t="s">
        <v>26</v>
      </c>
      <c r="C19" s="33"/>
      <c r="M19" s="2"/>
      <c r="AP19" s="66"/>
      <c r="AQ19" s="66"/>
      <c r="AR19" s="66"/>
      <c r="AT19" s="31"/>
      <c r="AU19" s="31"/>
      <c r="AV19" s="31"/>
      <c r="AW19" s="37">
        <v>51</v>
      </c>
      <c r="BT19" s="66"/>
      <c r="BU19" s="66"/>
      <c r="BV19" s="66"/>
      <c r="BY19" s="31"/>
      <c r="CA19" s="37">
        <v>51</v>
      </c>
      <c r="CX19" s="66"/>
      <c r="CY19" s="66"/>
      <c r="CZ19" s="66"/>
      <c r="DB19" s="31"/>
      <c r="DC19" s="31"/>
      <c r="DD19" s="31"/>
      <c r="DE19" s="37">
        <v>51</v>
      </c>
      <c r="DY19" s="33"/>
      <c r="EC19" s="31"/>
      <c r="EE19" s="37">
        <v>51</v>
      </c>
      <c r="EU19" s="33"/>
      <c r="EY19" s="31"/>
      <c r="FA19" s="37">
        <v>51</v>
      </c>
      <c r="FQ19" s="33"/>
      <c r="FU19" s="31"/>
      <c r="FW19" s="37">
        <v>51</v>
      </c>
      <c r="GM19" s="33"/>
      <c r="GQ19" s="31"/>
      <c r="GR19" s="70"/>
      <c r="GS19" s="37">
        <v>51</v>
      </c>
      <c r="HI19" s="33"/>
      <c r="HM19" s="31"/>
      <c r="HO19" s="37">
        <v>51</v>
      </c>
      <c r="IE19" s="33"/>
      <c r="II19" s="31"/>
      <c r="IK19" s="37">
        <v>51</v>
      </c>
      <c r="JA19" s="33"/>
      <c r="JE19" s="31"/>
      <c r="JG19" s="37">
        <v>51</v>
      </c>
      <c r="JW19" s="33"/>
      <c r="KA19" s="31"/>
      <c r="KC19" s="37">
        <v>51</v>
      </c>
      <c r="KS19" s="33"/>
      <c r="KW19" s="31"/>
      <c r="KY19" s="37">
        <v>51</v>
      </c>
      <c r="LO19" s="33"/>
      <c r="LS19" s="31"/>
      <c r="LU19" s="37">
        <v>51</v>
      </c>
      <c r="MK19" s="33"/>
      <c r="MO19" s="31"/>
      <c r="MQ19" s="37">
        <v>51</v>
      </c>
      <c r="NG19" s="33"/>
      <c r="NK19" s="31"/>
      <c r="NM19" s="37">
        <v>51</v>
      </c>
    </row>
    <row r="20" spans="1:377" x14ac:dyDescent="0.2">
      <c r="B20" s="47" t="s">
        <v>45</v>
      </c>
      <c r="C20" s="2"/>
      <c r="AS20" s="31"/>
      <c r="AT20" s="31"/>
      <c r="AV20" s="31"/>
      <c r="DA20" s="31"/>
      <c r="DB20" s="31"/>
      <c r="DD20" s="31"/>
      <c r="EV20" s="31"/>
    </row>
    <row r="21" spans="1:377" x14ac:dyDescent="0.2">
      <c r="A21" s="33"/>
      <c r="B21" s="33"/>
      <c r="C21" s="32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377" ht="17" x14ac:dyDescent="0.2">
      <c r="A22" s="33"/>
      <c r="B22" s="33"/>
      <c r="C22" s="32"/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377" ht="17" x14ac:dyDescent="0.2">
      <c r="A23" s="33"/>
      <c r="B23" s="33"/>
      <c r="C23" s="32"/>
      <c r="Q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377" ht="17" x14ac:dyDescent="0.2">
      <c r="Q24" s="16"/>
      <c r="R24" s="16"/>
      <c r="AO24" s="31"/>
      <c r="AP24" s="31"/>
      <c r="AQ24" s="31"/>
      <c r="AR24" s="31"/>
      <c r="AS24" s="31"/>
      <c r="AT24" s="31"/>
      <c r="AV24" s="31"/>
      <c r="CW24" s="31"/>
      <c r="CX24" s="31"/>
      <c r="CY24" s="31"/>
      <c r="CZ24" s="31"/>
      <c r="DA24" s="31"/>
      <c r="DB24" s="31"/>
      <c r="DD24" s="31"/>
    </row>
    <row r="25" spans="1:377" ht="17" x14ac:dyDescent="0.2">
      <c r="Q25" s="16"/>
      <c r="R25" s="16"/>
      <c r="AO25" s="31"/>
      <c r="AP25" s="31"/>
      <c r="AQ25" s="31"/>
      <c r="AR25" s="31"/>
      <c r="AS25" s="31"/>
      <c r="AT25" s="31"/>
      <c r="AV25" s="31"/>
      <c r="CW25" s="31"/>
      <c r="CX25" s="31"/>
      <c r="CY25" s="31"/>
      <c r="CZ25" s="31"/>
      <c r="DA25" s="31"/>
      <c r="DB25" s="31"/>
      <c r="DD25" s="31"/>
    </row>
    <row r="26" spans="1:377" ht="17" x14ac:dyDescent="0.2">
      <c r="Q26" s="16"/>
      <c r="R26" s="16"/>
      <c r="AO26" s="31"/>
      <c r="AP26" s="31"/>
      <c r="AQ26" s="31"/>
      <c r="AR26" s="31"/>
      <c r="AS26" s="31"/>
      <c r="AT26" s="31"/>
      <c r="AV26" s="31"/>
      <c r="CW26" s="31"/>
      <c r="CX26" s="31"/>
      <c r="CY26" s="31"/>
      <c r="CZ26" s="31"/>
      <c r="DA26" s="31"/>
      <c r="DB26" s="31"/>
      <c r="DD26" s="31"/>
    </row>
    <row r="27" spans="1:377" ht="17" x14ac:dyDescent="0.2">
      <c r="Q27" s="16"/>
      <c r="R27" s="16"/>
      <c r="S27" s="16"/>
    </row>
    <row r="28" spans="1:377" ht="17" x14ac:dyDescent="0.2">
      <c r="Q28" s="16"/>
      <c r="R28" s="16"/>
      <c r="S28" s="16"/>
    </row>
    <row r="29" spans="1:377" ht="17" x14ac:dyDescent="0.2">
      <c r="Q29" s="16"/>
      <c r="R29" s="16"/>
      <c r="S29" s="16"/>
    </row>
    <row r="30" spans="1:377" ht="17" x14ac:dyDescent="0.2">
      <c r="Q30" s="16"/>
      <c r="R30" s="16"/>
      <c r="S30" s="16"/>
    </row>
    <row r="31" spans="1:377" ht="17" x14ac:dyDescent="0.2">
      <c r="Q31" s="16"/>
      <c r="R31" s="16"/>
      <c r="S31" s="16"/>
    </row>
    <row r="32" spans="1:377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  <row r="39" spans="17:19" ht="17" x14ac:dyDescent="0.2">
      <c r="Q39" s="16"/>
      <c r="R39" s="16"/>
      <c r="S39" s="16"/>
    </row>
    <row r="40" spans="17:19" ht="17" x14ac:dyDescent="0.2">
      <c r="Q40" s="16"/>
      <c r="R40" s="16"/>
      <c r="S40" s="16"/>
    </row>
    <row r="41" spans="17:19" ht="17" x14ac:dyDescent="0.2">
      <c r="Q41" s="16"/>
      <c r="R41" s="16"/>
      <c r="S41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9">
    <cfRule type="expression" dxfId="146" priority="6" stopIfTrue="1">
      <formula>IF($AN4&lt;&gt;"",1,0)</formula>
    </cfRule>
  </conditionalFormatting>
  <conditionalFormatting sqref="AX4:CA9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9">
    <cfRule type="expression" dxfId="141" priority="15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0" priority="37584" operator="between">
      <formula>AW$19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AW$19</formula>
      <formula>1000</formula>
    </cfRule>
    <cfRule type="cellIs" dxfId="138" priority="46507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AW$18</formula>
      <formula>1000</formula>
    </cfRule>
    <cfRule type="cellIs" dxfId="136" priority="46597" operator="between">
      <formula>AW$17</formula>
      <formula>AW$18</formula>
    </cfRule>
    <cfRule type="cellIs" dxfId="135" priority="46598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EE$15</formula>
      <formula>1000</formula>
    </cfRule>
    <cfRule type="cellIs" dxfId="133" priority="46732" operator="between">
      <formula>EE$14</formula>
      <formula>EE$15</formula>
    </cfRule>
    <cfRule type="cellIs" dxfId="132" priority="46733" operator="between">
      <formula>EE$13</formula>
      <formula>EE$14</formula>
    </cfRule>
    <cfRule type="cellIs" dxfId="131" priority="46734" operator="between">
      <formula>EE$12</formula>
      <formula>EE$13</formula>
    </cfRule>
  </conditionalFormatting>
  <conditionalFormatting sqref="AP1:AP1048576 BT1:BT1048576 CX1:CX1048576">
    <cfRule type="cellIs" dxfId="130" priority="46875" operator="between">
      <formula>AW$15</formula>
      <formula>1000</formula>
    </cfRule>
    <cfRule type="cellIs" dxfId="129" priority="46876" operator="between">
      <formula>AW$14</formula>
      <formula>AW$15</formula>
    </cfRule>
    <cfRule type="cellIs" dxfId="128" priority="46877" operator="between">
      <formula>AW$13</formula>
      <formula>AW$14</formula>
    </cfRule>
    <cfRule type="cellIs" dxfId="127" priority="46878" operator="between">
      <formula>AW$12</formula>
      <formula>AW$13</formula>
    </cfRule>
  </conditionalFormatting>
  <conditionalFormatting sqref="AQ1:AQ1048576 BU1:BU1048576 CY1:CY1048576">
    <cfRule type="cellIs" dxfId="126" priority="46911" operator="between">
      <formula>AW$19</formula>
      <formula>1000</formula>
    </cfRule>
  </conditionalFormatting>
  <conditionalFormatting sqref="AR1:AR1048576 BV1:BV1048576 CZ1:CZ1048576">
    <cfRule type="cellIs" dxfId="125" priority="46920" operator="between">
      <formula>AW$15</formula>
      <formula>1000</formula>
    </cfRule>
    <cfRule type="cellIs" dxfId="124" priority="46921" operator="between">
      <formula>AW$14</formula>
      <formula>AW$15</formula>
    </cfRule>
    <cfRule type="cellIs" dxfId="123" priority="46922" operator="between">
      <formula>AW$13</formula>
      <formula>AW$14</formula>
    </cfRule>
    <cfRule type="cellIs" dxfId="122" priority="46923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AW$15</formula>
      <formula>1000</formula>
    </cfRule>
    <cfRule type="cellIs" dxfId="120" priority="46957" operator="between">
      <formula>AW$14</formula>
      <formula>AW$15</formula>
    </cfRule>
    <cfRule type="cellIs" dxfId="119" priority="46958" operator="between">
      <formula>AW$13</formula>
      <formula>AW$14</formula>
    </cfRule>
    <cfRule type="cellIs" dxfId="118" priority="46959" operator="between">
      <formula>AW$12</formula>
      <formula>AW$13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97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68</v>
      </c>
      <c r="C4" s="5" t="s">
        <v>65</v>
      </c>
      <c r="D4" s="5">
        <v>2006</v>
      </c>
      <c r="E4" s="15">
        <f>SUM(I4:O4)+SUM(I4:M4)*0.0000001+SUM(I4)*0.0000000000001</f>
        <v>150.30001480000499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49.6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48.3</v>
      </c>
      <c r="L4" s="14" t="str">
        <f>IF(K4=0,"",IF(K4=CP4,$BT$1,IF(K4=BO4,$AS$1,IF(K4=AN4,$R$1,""))))</f>
        <v>2022 Elite Canada</v>
      </c>
      <c r="M4" s="14">
        <f>IF(MAX(AQ4,BR4,CS4)&gt;0,MAX(AQ4,BR4,CS4),0)</f>
        <v>50.099999999999994</v>
      </c>
      <c r="N4" s="14" t="str">
        <f>IF(M4=0,"",IF(M4=CS4,$BT$1,IF(M4=BR4,$AS$1,IF(M4=AQ4,$R$1,""))))</f>
        <v>2022 3rd Domestic Trial</v>
      </c>
      <c r="O4" s="14">
        <f>IF(MAX(CU4:CV4)&gt;0,MAX(CU4:CV4),"")</f>
        <v>2.2999999999999972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WAGC (Nov 25)</v>
      </c>
      <c r="R4" s="26">
        <v>17.7</v>
      </c>
      <c r="S4" s="26">
        <v>6.9</v>
      </c>
      <c r="T4" s="26">
        <v>0.2</v>
      </c>
      <c r="U4" s="26">
        <v>0.3</v>
      </c>
      <c r="V4" s="26">
        <v>17</v>
      </c>
      <c r="W4" s="26">
        <v>6.3</v>
      </c>
      <c r="X4" s="26">
        <v>0</v>
      </c>
      <c r="Y4" s="26">
        <v>0.3</v>
      </c>
      <c r="Z4" s="26"/>
      <c r="AA4" s="26"/>
      <c r="AB4" s="26"/>
      <c r="AC4" s="26"/>
      <c r="AD4" s="26">
        <v>17.7</v>
      </c>
      <c r="AE4" s="26">
        <v>6.5</v>
      </c>
      <c r="AF4" s="26">
        <v>0</v>
      </c>
      <c r="AG4" s="26">
        <v>0.3</v>
      </c>
      <c r="AH4" s="26">
        <v>17.3</v>
      </c>
      <c r="AI4" s="26">
        <v>6.3</v>
      </c>
      <c r="AJ4" s="26">
        <v>0</v>
      </c>
      <c r="AK4" s="26">
        <v>0.3</v>
      </c>
      <c r="AL4" s="45"/>
      <c r="AM4" s="81">
        <f>IF(SUM(S4,W4)&gt;0,SUM(S4,W4),"")</f>
        <v>13.2</v>
      </c>
      <c r="AN4" s="81">
        <f>IF(SUM(R4:S4,U4:W4,Y4)-T4-X4&gt;0,SUM(R4:S4,U4:W4,Y4)-T4-X4,"")</f>
        <v>48.3</v>
      </c>
      <c r="AO4" s="81" t="str">
        <f>IF(SUM(Z4:AA4,AC4)-AB4&gt;0,SUM(Z4:AA4,AC4)-AB4,"")</f>
        <v/>
      </c>
      <c r="AP4" s="81">
        <f>IF(SUM(AE4,AI4)&gt;0,SUM(AE4,AI4),"")</f>
        <v>12.8</v>
      </c>
      <c r="AQ4" s="81">
        <f>IF(SUM(AD4:AE4,AG4:AI4,AK4)-SUM(AF4,AJ4)&gt;0,SUM(AD4:AE4,AG4:AI4,AK4)-SUM(AF4,AJ4),"")</f>
        <v>48.399999999999991</v>
      </c>
      <c r="AR4" s="81">
        <f>IF(SUM(AN4,AQ4)&gt;0,SUM(AN4,AQ4),"")</f>
        <v>96.699999999999989</v>
      </c>
      <c r="AS4" s="25">
        <v>8.85</v>
      </c>
      <c r="AT4" s="25">
        <v>3.45</v>
      </c>
      <c r="AU4" s="25">
        <v>0.1</v>
      </c>
      <c r="AV4" s="25">
        <v>0.15</v>
      </c>
      <c r="AW4" s="25">
        <v>8.5</v>
      </c>
      <c r="AX4" s="25">
        <v>3.15</v>
      </c>
      <c r="AY4" s="25">
        <v>0</v>
      </c>
      <c r="AZ4" s="25">
        <v>0.15</v>
      </c>
      <c r="BA4" s="25"/>
      <c r="BB4" s="25"/>
      <c r="BC4" s="25"/>
      <c r="BD4" s="25"/>
      <c r="BE4" s="25">
        <v>8.85</v>
      </c>
      <c r="BF4" s="25">
        <v>3.25</v>
      </c>
      <c r="BG4" s="25">
        <v>0</v>
      </c>
      <c r="BH4" s="25">
        <v>0.15</v>
      </c>
      <c r="BI4" s="25">
        <v>8.65</v>
      </c>
      <c r="BJ4" s="25">
        <v>3.15</v>
      </c>
      <c r="BK4" s="25">
        <v>0</v>
      </c>
      <c r="BL4" s="25">
        <v>0.15</v>
      </c>
      <c r="BM4" s="46" t="s">
        <v>44</v>
      </c>
      <c r="BN4" s="20">
        <f>IF(SUM(AT4,AX4)&gt;0,SUM(AT4,AX4),"")</f>
        <v>6.6</v>
      </c>
      <c r="BO4" s="20">
        <f>IF(SUM(AS4:AT4,AV4:AX4,AZ4)-AU4-AY4&gt;0,SUM(AS4:AT4,AV4:AX4,AZ4)-AU4-AY4,"")</f>
        <v>24.15</v>
      </c>
      <c r="BP4" s="20" t="str">
        <f>IF(SUM(BA4:BB4,BD4)-BC4&gt;0,SUM(BA4:BB4,BD4)-BC4,"")</f>
        <v/>
      </c>
      <c r="BQ4" s="20">
        <f>IF(SUM(BF4,BJ4)&gt;0,SUM(BF4,BJ4),"")</f>
        <v>6.4</v>
      </c>
      <c r="BR4" s="20">
        <f>IF(SUM(BE4:BF4,BH4:BJ4,BL4)-SUM(BG4,BK4)&gt;0,SUM(BE4:BF4,BH4:BJ4,BL4)-SUM(BG4,BK4),"")</f>
        <v>24.199999999999996</v>
      </c>
      <c r="BS4" s="20">
        <f>IF(SUM(BO4,BR4)&gt;0,SUM(BO4,BR4),"")</f>
        <v>48.349999999999994</v>
      </c>
      <c r="BT4" s="26">
        <v>17.2</v>
      </c>
      <c r="BU4" s="26">
        <v>7.8</v>
      </c>
      <c r="BV4" s="26">
        <v>0</v>
      </c>
      <c r="BW4" s="26">
        <v>0.3</v>
      </c>
      <c r="BX4" s="26">
        <v>17.100000000000001</v>
      </c>
      <c r="BY4" s="26">
        <v>6.9</v>
      </c>
      <c r="BZ4" s="26">
        <v>0</v>
      </c>
      <c r="CA4" s="26">
        <v>0.3</v>
      </c>
      <c r="CB4" s="26"/>
      <c r="CC4" s="26"/>
      <c r="CD4" s="26"/>
      <c r="CE4" s="26"/>
      <c r="CF4" s="26">
        <v>17.100000000000001</v>
      </c>
      <c r="CG4" s="26">
        <v>7.8</v>
      </c>
      <c r="CH4" s="26">
        <v>0</v>
      </c>
      <c r="CI4" s="26">
        <v>0.3</v>
      </c>
      <c r="CJ4" s="26">
        <v>17.3</v>
      </c>
      <c r="CK4" s="26">
        <v>7.3</v>
      </c>
      <c r="CL4" s="26">
        <v>0</v>
      </c>
      <c r="CM4" s="26">
        <v>0.3</v>
      </c>
      <c r="CN4" s="45"/>
      <c r="CO4" s="81">
        <f>IF(SUM(BU4,BY4)&gt;0,SUM(BU4,BY4),"")</f>
        <v>14.7</v>
      </c>
      <c r="CP4" s="81">
        <f>IF(SUM(BT4:BU4,BW4:BY4,CA4)-BV4-BZ4&gt;0,SUM(BT4:BU4,BW4:BY4,CA4)-BV4-BZ4,"")</f>
        <v>49.6</v>
      </c>
      <c r="CQ4" s="81" t="str">
        <f>IF(SUM(CB4:CC4,CE4)-CD4&gt;0,SUM(CB4:CC4,CE4)-CD4,"")</f>
        <v/>
      </c>
      <c r="CR4" s="81">
        <f>IF(SUM(CG4,CK4)&gt;0,SUM(CG4,CK4),"")</f>
        <v>15.1</v>
      </c>
      <c r="CS4" s="81">
        <f>IF(SUM(CF4:CG4,CI4:CK4,CM4)-SUM(CH4,CL4)&gt;0,SUM(CF4:CG4,CI4:CK4,CM4)-SUM(CH4,CL4),"")</f>
        <v>50.099999999999994</v>
      </c>
      <c r="CT4" s="81">
        <f>IF(SUM(CP4,CS4)&gt;0,SUM(CP4,CS4),"")</f>
        <v>99.699999999999989</v>
      </c>
      <c r="CU4" s="82">
        <f>IF(K4&gt;=0.001,IF(MAX(DR4,ER4,FR4,GR4,HR4,IR4,JR4,KR4,LR4,MR4,NR4,OR4)-IF(K4="",0,K4)&gt;0.001,MAX(DR4,ER4,FR4,GR4,HR4,IR4,JR4,KR4,LR4,MR4,NR4,OR4)-IF(K4="",0,K4),""),"")</f>
        <v>2.2999999999999972</v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>
        <v>18.3</v>
      </c>
      <c r="CX4" s="24">
        <v>7.6</v>
      </c>
      <c r="CY4" s="24">
        <v>0</v>
      </c>
      <c r="CZ4" s="24">
        <v>0</v>
      </c>
      <c r="DA4" s="24">
        <v>17.399999999999999</v>
      </c>
      <c r="DB4" s="24">
        <v>7.3</v>
      </c>
      <c r="DC4" s="24">
        <v>0</v>
      </c>
      <c r="DD4" s="24">
        <v>0</v>
      </c>
      <c r="DE4" s="24"/>
      <c r="DF4" s="24"/>
      <c r="DG4" s="24"/>
      <c r="DH4" s="24"/>
      <c r="DI4" s="24">
        <v>16.7</v>
      </c>
      <c r="DJ4" s="24">
        <v>8.8000000000000007</v>
      </c>
      <c r="DK4" s="24">
        <v>0</v>
      </c>
      <c r="DL4" s="24">
        <v>0</v>
      </c>
      <c r="DM4" s="24">
        <v>16.5</v>
      </c>
      <c r="DN4" s="24">
        <v>3.3</v>
      </c>
      <c r="DO4" s="24">
        <v>0</v>
      </c>
      <c r="DP4" s="24">
        <v>0</v>
      </c>
      <c r="DQ4" s="81">
        <f>IF(SUM(CX4,DB4)&gt;0,SUM(CX4,DB4),"")</f>
        <v>14.899999999999999</v>
      </c>
      <c r="DR4" s="81">
        <f>IF(SUM(CW4:CX4,CZ4:DB4,DD4)-CY4-DC4&gt;0,SUM(CW4:CX4,CZ4:DB4,DD4)-CY4-DC4,"")</f>
        <v>50.599999999999994</v>
      </c>
      <c r="DS4" s="81" t="str">
        <f>IF(SUM(DE4:DF4,DH4)-DG4&gt;0,SUM(DE4:DF4,DH4)-DG4,"")</f>
        <v/>
      </c>
      <c r="DT4" s="81">
        <f>IF(SUM(DJ4,DN4)&gt;0,SUM(DJ4,DN4),"")</f>
        <v>12.100000000000001</v>
      </c>
      <c r="DU4" s="81">
        <f>IF(SUM(DI4:DJ4,DL4:DN4,DP4)-SUM(DK4,DO4)&gt;0,SUM(DI4:DJ4,DL4:DN4,DP4)-SUM(DK4,DO4),"")</f>
        <v>45.3</v>
      </c>
      <c r="DV4" s="81">
        <f>IF(SUM(DR4,DU4)&gt;0,SUM(DR4,DU4),"")</f>
        <v>95.899999999999991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13.024999999999999</v>
      </c>
      <c r="OX4" s="38">
        <f t="shared" si="0"/>
        <v>5.625</v>
      </c>
      <c r="OY4" s="38">
        <f t="shared" si="0"/>
        <v>0.05</v>
      </c>
      <c r="OZ4" s="38">
        <f t="shared" si="0"/>
        <v>0.22499999999999998</v>
      </c>
      <c r="PA4" s="38">
        <f t="shared" si="0"/>
        <v>12.8</v>
      </c>
      <c r="PB4" s="38">
        <f t="shared" si="0"/>
        <v>5.0250000000000004</v>
      </c>
      <c r="PC4" s="38">
        <f t="shared" si="0"/>
        <v>0</v>
      </c>
      <c r="PD4" s="38">
        <f t="shared" si="0"/>
        <v>0.22499999999999998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12.975000000000001</v>
      </c>
      <c r="PJ4" s="38">
        <f t="shared" si="0"/>
        <v>5.5250000000000004</v>
      </c>
      <c r="PK4" s="38">
        <f t="shared" si="0"/>
        <v>0</v>
      </c>
      <c r="PL4" s="38">
        <f t="shared" si="0"/>
        <v>0.22499999999999998</v>
      </c>
      <c r="PM4" s="38">
        <f t="shared" ref="PM4:PP4" si="1">IF($CN4="P",CJ4,(CJ4+BI4)/2)</f>
        <v>12.975000000000001</v>
      </c>
      <c r="PN4" s="38">
        <f t="shared" si="1"/>
        <v>5.2249999999999996</v>
      </c>
      <c r="PO4" s="38">
        <f t="shared" si="1"/>
        <v>0</v>
      </c>
      <c r="PP4" s="38">
        <f t="shared" si="1"/>
        <v>0.22499999999999998</v>
      </c>
      <c r="PQ4" s="45" t="s">
        <v>44</v>
      </c>
      <c r="PR4" s="81">
        <f>IF(SUM(OX4,PB4)&gt;0,SUM(OX4,PB4),"")</f>
        <v>10.65</v>
      </c>
      <c r="PS4" s="81">
        <f>IF(SUM(OW4:OX4,OZ4:PB4,PD4)-OY4-PC4&gt;0,SUM(OW4:OX4,OZ4:PB4,PD4)-OY4-PC4,"")</f>
        <v>36.875000000000007</v>
      </c>
      <c r="PT4" s="81" t="str">
        <f>IF(SUM(PE4:PF4,PH4)-PG4&gt;0,SUM(PE4:PF4,PH4)-PG4,"")</f>
        <v/>
      </c>
      <c r="PU4" s="81">
        <f>IF(SUM(PJ4,PN4)&gt;0,SUM(PJ4,PN4),"")</f>
        <v>10.75</v>
      </c>
      <c r="PV4" s="81">
        <f>IF(SUM(PI4:PJ4,PL4:PN4,PP4)-SUM(PK4,PO4)&gt;0,SUM(PI4:PJ4,PL4:PN4,PP4)-SUM(PK4,PO4),"")</f>
        <v>37.150000000000006</v>
      </c>
      <c r="PW4" s="81">
        <f>IF(SUM(PS4,PV4)&gt;0,SUM(PS4,PV4),"")</f>
        <v>74.025000000000006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8.4</v>
      </c>
      <c r="BN7" s="5"/>
      <c r="BS7" s="84">
        <v>8.4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9.4</v>
      </c>
      <c r="BN8" s="5"/>
      <c r="BS8" s="86">
        <f>BS9</f>
        <v>9.4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9.4</v>
      </c>
      <c r="BN9" s="5"/>
      <c r="BS9" s="88">
        <v>9.4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43.6</v>
      </c>
      <c r="BN11" s="5"/>
      <c r="BS11" s="92">
        <v>43.6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44.6</v>
      </c>
      <c r="BN12" s="5"/>
      <c r="BS12" s="94">
        <f>BS13</f>
        <v>44.6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44.6</v>
      </c>
      <c r="BN13" s="5"/>
      <c r="BS13" s="96">
        <v>44.6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 t="s">
        <v>98</v>
      </c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73</v>
      </c>
      <c r="C4" s="5" t="s">
        <v>75</v>
      </c>
      <c r="D4" s="5">
        <v>2009</v>
      </c>
      <c r="E4" s="15">
        <f>SUM(I4:O4)+SUM(I4:M4)*0.0000001+SUM(I4)*0.0000000000001</f>
        <v>128.10001268000428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41.79999999999999</v>
      </c>
      <c r="L4" s="14" t="str">
        <f>IF(K4=0,"",IF(K4=CP4,$BT$1,IF(K4=BO4,$AS$1,IF(K4=AN4,$R$1,""))))</f>
        <v>2022 Nationals</v>
      </c>
      <c r="M4" s="14">
        <f>IF(MAX(AQ4,BR4,CS4)&gt;0,MAX(AQ4,BR4,CS4),0)</f>
        <v>42.099999999999994</v>
      </c>
      <c r="N4" s="14" t="str">
        <f>IF(M4=0,"",IF(M4=CS4,$BT$1,IF(M4=BR4,$AS$1,IF(M4=AQ4,$R$1,""))))</f>
        <v>2022 Nationals</v>
      </c>
      <c r="O4" s="14">
        <f>IF(MAX(CU4:CV4)&gt;0,MAX(CU4:CV4),"")</f>
        <v>1.3000000000000043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17.600000000000001</v>
      </c>
      <c r="S4" s="26">
        <v>3.4</v>
      </c>
      <c r="T4" s="26">
        <v>0</v>
      </c>
      <c r="U4" s="26">
        <v>0</v>
      </c>
      <c r="V4" s="26">
        <v>16.7</v>
      </c>
      <c r="W4" s="26">
        <v>4.5999999999999996</v>
      </c>
      <c r="X4" s="26">
        <v>0</v>
      </c>
      <c r="Y4" s="26">
        <v>0.6</v>
      </c>
      <c r="Z4" s="26"/>
      <c r="AA4" s="26"/>
      <c r="AB4" s="26"/>
      <c r="AC4" s="26"/>
      <c r="AD4" s="26">
        <v>17.399999999999999</v>
      </c>
      <c r="AE4" s="26">
        <v>3.2</v>
      </c>
      <c r="AF4" s="26">
        <v>0.2</v>
      </c>
      <c r="AG4" s="26">
        <v>0</v>
      </c>
      <c r="AH4" s="26">
        <v>16.399999999999999</v>
      </c>
      <c r="AI4" s="26">
        <v>4.8</v>
      </c>
      <c r="AJ4" s="26">
        <v>0.2</v>
      </c>
      <c r="AK4" s="26">
        <v>0.6</v>
      </c>
      <c r="AL4" s="45"/>
      <c r="AM4" s="81">
        <f>IF(SUM(S4,W4)&gt;0,SUM(S4,W4),"")</f>
        <v>8</v>
      </c>
      <c r="AN4" s="81">
        <f>IF(SUM(R4:S4,U4:W4,Y4)-T4-X4&gt;0,SUM(R4:S4,U4:W4,Y4)-T4-X4,"")</f>
        <v>42.900000000000006</v>
      </c>
      <c r="AO4" s="81" t="str">
        <f>IF(SUM(Z4:AA4,AC4)-AB4&gt;0,SUM(Z4:AA4,AC4)-AB4,"")</f>
        <v/>
      </c>
      <c r="AP4" s="81">
        <f>IF(SUM(AE4,AI4)&gt;0,SUM(AE4,AI4),"")</f>
        <v>8</v>
      </c>
      <c r="AQ4" s="81">
        <f>IF(SUM(AD4:AE4,AG4:AI4,AK4)-SUM(AF4,AJ4)&gt;0,SUM(AD4:AE4,AG4:AI4,AK4)-SUM(AF4,AJ4),"")</f>
        <v>42</v>
      </c>
      <c r="AR4" s="81">
        <f>IF(SUM(AN4,AQ4)&gt;0,SUM(AN4,AQ4),"")</f>
        <v>84.9</v>
      </c>
      <c r="AS4" s="25">
        <v>16.2</v>
      </c>
      <c r="AT4" s="25">
        <v>4.0999999999999996</v>
      </c>
      <c r="AU4" s="25">
        <v>0.2</v>
      </c>
      <c r="AV4" s="25">
        <v>0.3</v>
      </c>
      <c r="AW4" s="25">
        <v>17.399999999999999</v>
      </c>
      <c r="AX4" s="25">
        <v>3.9</v>
      </c>
      <c r="AY4" s="25">
        <v>0.2</v>
      </c>
      <c r="AZ4" s="25">
        <v>0.3</v>
      </c>
      <c r="BA4" s="25"/>
      <c r="BB4" s="25"/>
      <c r="BC4" s="25"/>
      <c r="BD4" s="25"/>
      <c r="BE4" s="25">
        <v>16.5</v>
      </c>
      <c r="BF4" s="25">
        <v>3.9</v>
      </c>
      <c r="BG4" s="25">
        <v>0</v>
      </c>
      <c r="BH4" s="25">
        <v>0.3</v>
      </c>
      <c r="BI4" s="25">
        <v>16.899999999999999</v>
      </c>
      <c r="BJ4" s="25">
        <v>3.9</v>
      </c>
      <c r="BK4" s="25">
        <v>0</v>
      </c>
      <c r="BL4" s="25">
        <v>0.6</v>
      </c>
      <c r="BM4" s="46"/>
      <c r="BN4" s="20">
        <f>IF(SUM(AT4,AX4)&gt;0,SUM(AT4,AX4),"")</f>
        <v>8</v>
      </c>
      <c r="BO4" s="20">
        <f>IF(SUM(AS4:AT4,AV4:AX4,AZ4)-AU4-AY4&gt;0,SUM(AS4:AT4,AV4:AX4,AZ4)-AU4-AY4,"")</f>
        <v>41.79999999999999</v>
      </c>
      <c r="BP4" s="20" t="str">
        <f>IF(SUM(BA4:BB4,BD4)-BC4&gt;0,SUM(BA4:BB4,BD4)-BC4,"")</f>
        <v/>
      </c>
      <c r="BQ4" s="20">
        <f>IF(SUM(BF4,BJ4)&gt;0,SUM(BF4,BJ4),"")</f>
        <v>7.8</v>
      </c>
      <c r="BR4" s="20">
        <f>IF(SUM(BE4:BF4,BH4:BJ4,BL4)-SUM(BG4,BK4)&gt;0,SUM(BE4:BF4,BH4:BJ4,BL4)-SUM(BG4,BK4),"")</f>
        <v>42.099999999999994</v>
      </c>
      <c r="BS4" s="20">
        <f>IF(SUM(BO4,BR4)&gt;0,SUM(BO4,BR4),"")</f>
        <v>83.899999999999977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>
        <f>IF(K4&gt;=0.001,IF(MAX(DR4,ER4,FR4,GR4,HR4,IR4,JR4,KR4,LR4,MR4,NR4,OR4)-IF(K4="",0,K4)&gt;0.001,MAX(DR4,ER4,FR4,GR4,HR4,IR4,JR4,KR4,LR4,MR4,NR4,OR4)-IF(K4="",0,K4),""),"")</f>
        <v>0.70000000000000284</v>
      </c>
      <c r="CV4" s="82">
        <f>IF(M4&gt;=0.001,IF(MAX(DU4,EU4,FU4,GU4,HU4,IU4,JU4,KU4,LU4,MU4,NU4,OU4)-IF(M4="",0,M4)&gt;0.001,MAX(DU4,EU4,FU4,GU4,HU4,IU4,JU4,KU4,LU4,MU4,NU4,OU4)-IF(M4="",0,M4),""),"")</f>
        <v>1.3000000000000043</v>
      </c>
      <c r="CW4" s="24">
        <v>17.3</v>
      </c>
      <c r="CX4" s="24">
        <v>4.0999999999999996</v>
      </c>
      <c r="CY4" s="24">
        <v>0</v>
      </c>
      <c r="CZ4" s="24">
        <v>0</v>
      </c>
      <c r="DA4" s="24">
        <v>17.2</v>
      </c>
      <c r="DB4" s="24">
        <v>3.9</v>
      </c>
      <c r="DC4" s="24">
        <v>0</v>
      </c>
      <c r="DD4" s="24">
        <v>0</v>
      </c>
      <c r="DE4" s="24"/>
      <c r="DF4" s="24"/>
      <c r="DG4" s="24"/>
      <c r="DH4" s="24"/>
      <c r="DI4" s="24">
        <v>17.600000000000001</v>
      </c>
      <c r="DJ4" s="24">
        <v>3.9</v>
      </c>
      <c r="DK4" s="24">
        <v>0</v>
      </c>
      <c r="DL4" s="24">
        <v>0</v>
      </c>
      <c r="DM4" s="24">
        <v>17.8</v>
      </c>
      <c r="DN4" s="24">
        <v>4.0999999999999996</v>
      </c>
      <c r="DO4" s="24">
        <v>0</v>
      </c>
      <c r="DP4" s="24">
        <v>0</v>
      </c>
      <c r="DQ4" s="81">
        <f>IF(SUM(CX4,DB4)&gt;0,SUM(CX4,DB4),"")</f>
        <v>8</v>
      </c>
      <c r="DR4" s="81">
        <f>IF(SUM(CW4:CX4,CZ4:DB4,DD4)-CY4-DC4&gt;0,SUM(CW4:CX4,CZ4:DB4,DD4)-CY4-DC4,"")</f>
        <v>42.499999999999993</v>
      </c>
      <c r="DS4" s="81" t="str">
        <f>IF(SUM(DE4:DF4,DH4)-DG4&gt;0,SUM(DE4:DF4,DH4)-DG4,"")</f>
        <v/>
      </c>
      <c r="DT4" s="81">
        <f>IF(SUM(DJ4,DN4)&gt;0,SUM(DJ4,DN4),"")</f>
        <v>8</v>
      </c>
      <c r="DU4" s="81">
        <f>IF(SUM(DI4:DJ4,DL4:DN4,DP4)-SUM(DK4,DO4)&gt;0,SUM(DI4:DJ4,DL4:DN4,DP4)-SUM(DK4,DO4),"")</f>
        <v>43.4</v>
      </c>
      <c r="DV4" s="81">
        <f>IF(SUM(DR4,DU4)&gt;0,SUM(DR4,DU4),"")</f>
        <v>85.899999999999991</v>
      </c>
      <c r="DW4" s="25">
        <v>16.8</v>
      </c>
      <c r="DX4" s="25">
        <v>3.9</v>
      </c>
      <c r="DY4" s="25">
        <v>0</v>
      </c>
      <c r="DZ4" s="25">
        <v>0</v>
      </c>
      <c r="EA4" s="25">
        <v>17.600000000000001</v>
      </c>
      <c r="EB4" s="25">
        <v>3</v>
      </c>
      <c r="EC4" s="25">
        <v>0</v>
      </c>
      <c r="ED4" s="25">
        <v>0</v>
      </c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>
        <f>IF(SUM(DX4,EB4)&gt;0,SUM(DX4,EB4),"")</f>
        <v>6.9</v>
      </c>
      <c r="ER4" s="20">
        <f>IF(SUM(DW4:DX4,DZ4:EB4,ED4)-DY4-EC4&gt;0,SUM(DW4:DX4,DZ4:EB4,ED4)-DY4-EC4,"")</f>
        <v>41.3</v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>
        <f>IF(SUM(ER4,EU4)&gt;0,SUM(ER4,EU4),"")</f>
        <v>41.3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8.1</v>
      </c>
      <c r="OX4" s="38">
        <f>IF($CN4="P",BU4,(BU4+AT4)/2)</f>
        <v>2.0499999999999998</v>
      </c>
      <c r="OY4" s="38">
        <f>IF($CN4="P",BV4,(BV4+AU4)/2)</f>
        <v>0.1</v>
      </c>
      <c r="OZ4" s="38">
        <f>IF($CN4="P",BW4,(BW4+AV4)/2)</f>
        <v>0.15</v>
      </c>
      <c r="PA4" s="38">
        <f>IF($CN4="P",BX4,(BX4+AW4)/2)</f>
        <v>8.6999999999999993</v>
      </c>
      <c r="PB4" s="38">
        <f>IF($CN4="P",BY4,(BY4+AX4)/2)</f>
        <v>1.95</v>
      </c>
      <c r="PC4" s="38">
        <f>IF($CN4="P",BZ4,(BZ4+AY4)/2)</f>
        <v>0.1</v>
      </c>
      <c r="PD4" s="38">
        <f>IF($CN4="P",CA4,(CA4+AZ4)/2)</f>
        <v>0.15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8.25</v>
      </c>
      <c r="PJ4" s="38">
        <f>IF($CN4="P",CG4,(CG4+BF4)/2)</f>
        <v>1.95</v>
      </c>
      <c r="PK4" s="38">
        <f>IF($CN4="P",CH4,(CH4+BG4)/2)</f>
        <v>0</v>
      </c>
      <c r="PL4" s="38">
        <f>IF($CN4="P",CI4,(CI4+BH4)/2)</f>
        <v>0.15</v>
      </c>
      <c r="PM4" s="38">
        <f>IF($CN4="P",CJ4,(CJ4+BI4)/2)</f>
        <v>8.4499999999999993</v>
      </c>
      <c r="PN4" s="38">
        <f>IF($CN4="P",CK4,(CK4+BJ4)/2)</f>
        <v>1.95</v>
      </c>
      <c r="PO4" s="38">
        <f>IF($CN4="P",CL4,(CL4+BK4)/2)</f>
        <v>0</v>
      </c>
      <c r="PP4" s="38">
        <f>IF($CN4="P",CM4,(CM4+BL4)/2)</f>
        <v>0.3</v>
      </c>
      <c r="PQ4" s="45" t="s">
        <v>44</v>
      </c>
      <c r="PR4" s="81">
        <f>IF(SUM(OX4,PB4)&gt;0,SUM(OX4,PB4),"")</f>
        <v>4</v>
      </c>
      <c r="PS4" s="81">
        <f>IF(SUM(OW4:OX4,OZ4:PB4,PD4)-OY4-PC4&gt;0,SUM(OW4:OX4,OZ4:PB4,PD4)-OY4-PC4,"")</f>
        <v>20.899999999999995</v>
      </c>
      <c r="PT4" s="81" t="str">
        <f>IF(SUM(PE4:PF4,PH4)-PG4&gt;0,SUM(PE4:PF4,PH4)-PG4,"")</f>
        <v/>
      </c>
      <c r="PU4" s="81">
        <f>IF(SUM(PJ4,PN4)&gt;0,SUM(PJ4,PN4),"")</f>
        <v>3.9</v>
      </c>
      <c r="PV4" s="81">
        <f>IF(SUM(PI4:PJ4,PL4:PN4,PP4)-SUM(PK4,PO4)&gt;0,SUM(PI4:PJ4,PL4:PN4,PP4)-SUM(PK4,PO4),"")</f>
        <v>21.049999999999997</v>
      </c>
      <c r="PW4" s="81">
        <f>IF(SUM(PS4,PV4)&gt;0,SUM(PS4,PV4),"")</f>
        <v>41.949999999999989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74</v>
      </c>
      <c r="C5" s="5" t="s">
        <v>66</v>
      </c>
      <c r="D5" s="5">
        <v>2006</v>
      </c>
      <c r="E5" s="15">
        <f>SUM(I5:O5)+SUM(I5:M5)*0.0000001+SUM(I5)*0.0000000000001</f>
        <v>126.80001255000434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43.300000000000004</v>
      </c>
      <c r="J5" s="14" t="str">
        <f>IF(I5=0,"",IF(I5=CP5,$BT$1,IF(I5=BO5,$AS$1,IF(I5=AN5,$R$1,""))))</f>
        <v>2022 Nationals</v>
      </c>
      <c r="K5" s="14">
        <f>IF(COUNT(AN5,BO5,CP5)&gt;1,LARGE((AN5,BO5,CP5),2),0)</f>
        <v>38.399999999999991</v>
      </c>
      <c r="L5" s="14" t="str">
        <f>IF(K5=0,"",IF(K5=CP5,$BT$1,IF(K5=BO5,$AS$1,IF(K5=AN5,$R$1,""))))</f>
        <v>2022 Elite Canada</v>
      </c>
      <c r="M5" s="14">
        <f>IF(MAX(AQ5,BR5,CS5)&gt;0,MAX(AQ5,BR5,CS5),0)</f>
        <v>43.800000000000004</v>
      </c>
      <c r="N5" s="14" t="str">
        <f>IF(M5=0,"",IF(M5=CS5,$BT$1,IF(M5=BR5,$AS$1,IF(M5=AQ5,$R$1,""))))</f>
        <v>2022 Nationals</v>
      </c>
      <c r="O5" s="14">
        <f>IF(MAX(CU5:CV5)&gt;0,MAX(CU5:CV5),"")</f>
        <v>1.3000000000000114</v>
      </c>
      <c r="P5" s="20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6">
        <v>15.5</v>
      </c>
      <c r="S5" s="26">
        <v>3.4</v>
      </c>
      <c r="T5" s="26">
        <v>0.2</v>
      </c>
      <c r="U5" s="26">
        <v>0</v>
      </c>
      <c r="V5" s="26">
        <v>15.9</v>
      </c>
      <c r="W5" s="26">
        <v>3.9</v>
      </c>
      <c r="X5" s="26">
        <v>0.4</v>
      </c>
      <c r="Y5" s="26">
        <v>0.3</v>
      </c>
      <c r="Z5" s="26"/>
      <c r="AA5" s="26"/>
      <c r="AB5" s="26"/>
      <c r="AC5" s="26"/>
      <c r="AD5" s="26">
        <v>17</v>
      </c>
      <c r="AE5" s="26">
        <v>3.4</v>
      </c>
      <c r="AF5" s="26">
        <v>0</v>
      </c>
      <c r="AG5" s="26">
        <v>0</v>
      </c>
      <c r="AH5" s="26">
        <v>17.100000000000001</v>
      </c>
      <c r="AI5" s="26">
        <v>3.9</v>
      </c>
      <c r="AJ5" s="26">
        <v>0</v>
      </c>
      <c r="AK5" s="26">
        <v>0.3</v>
      </c>
      <c r="AL5" s="45"/>
      <c r="AM5" s="81">
        <f>IF(SUM(S5,W5)&gt;0,SUM(S5,W5),"")</f>
        <v>7.3</v>
      </c>
      <c r="AN5" s="81">
        <f>IF(SUM(R5:S5,U5:W5,Y5)-T5-X5&gt;0,SUM(R5:S5,U5:W5,Y5)-T5-X5,"")</f>
        <v>38.399999999999991</v>
      </c>
      <c r="AO5" s="81" t="str">
        <f>IF(SUM(Z5:AA5,AC5)-AB5&gt;0,SUM(Z5:AA5,AC5)-AB5,"")</f>
        <v/>
      </c>
      <c r="AP5" s="81">
        <f>IF(SUM(AE5,AI5)&gt;0,SUM(AE5,AI5),"")</f>
        <v>7.3</v>
      </c>
      <c r="AQ5" s="81">
        <f>IF(SUM(AD5:AE5,AG5:AI5,AK5)-SUM(AF5,AJ5)&gt;0,SUM(AD5:AE5,AG5:AI5,AK5)-SUM(AF5,AJ5),"")</f>
        <v>41.699999999999996</v>
      </c>
      <c r="AR5" s="81">
        <f>IF(SUM(AN5,AQ5)&gt;0,SUM(AN5,AQ5),"")</f>
        <v>80.099999999999994</v>
      </c>
      <c r="AS5" s="25">
        <v>17.7</v>
      </c>
      <c r="AT5" s="25">
        <v>3.6</v>
      </c>
      <c r="AU5" s="25">
        <v>0</v>
      </c>
      <c r="AV5" s="25">
        <v>0</v>
      </c>
      <c r="AW5" s="25">
        <v>16.600000000000001</v>
      </c>
      <c r="AX5" s="25">
        <v>4.8</v>
      </c>
      <c r="AY5" s="25">
        <v>0</v>
      </c>
      <c r="AZ5" s="25">
        <v>0.6</v>
      </c>
      <c r="BA5" s="25"/>
      <c r="BB5" s="25"/>
      <c r="BC5" s="25"/>
      <c r="BD5" s="25"/>
      <c r="BE5" s="25">
        <v>17.5</v>
      </c>
      <c r="BF5" s="25">
        <v>3.6</v>
      </c>
      <c r="BG5" s="25">
        <v>0</v>
      </c>
      <c r="BH5" s="25">
        <v>0</v>
      </c>
      <c r="BI5" s="25">
        <v>17.3</v>
      </c>
      <c r="BJ5" s="25">
        <v>4.8</v>
      </c>
      <c r="BK5" s="25">
        <v>0</v>
      </c>
      <c r="BL5" s="25">
        <v>0.6</v>
      </c>
      <c r="BM5" s="46"/>
      <c r="BN5" s="20">
        <f>IF(SUM(AT5,AX5)&gt;0,SUM(AT5,AX5),"")</f>
        <v>8.4</v>
      </c>
      <c r="BO5" s="20">
        <f>IF(SUM(AS5:AT5,AV5:AX5,AZ5)-AU5-AY5&gt;0,SUM(AS5:AT5,AV5:AX5,AZ5)-AU5-AY5,"")</f>
        <v>43.300000000000004</v>
      </c>
      <c r="BP5" s="20" t="str">
        <f>IF(SUM(BA5:BB5,BD5)-BC5&gt;0,SUM(BA5:BB5,BD5)-BC5,"")</f>
        <v/>
      </c>
      <c r="BQ5" s="20">
        <f>IF(SUM(BF5,BJ5)&gt;0,SUM(BF5,BJ5),"")</f>
        <v>8.4</v>
      </c>
      <c r="BR5" s="20">
        <f>IF(SUM(BE5:BF5,BH5:BJ5,BL5)-SUM(BG5,BK5)&gt;0,SUM(BE5:BF5,BH5:BJ5,BL5)-SUM(BG5,BK5),"")</f>
        <v>43.800000000000004</v>
      </c>
      <c r="BS5" s="20">
        <f>IF(SUM(BO5,BR5)&gt;0,SUM(BO5,BR5),"")</f>
        <v>87.100000000000009</v>
      </c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45"/>
      <c r="CO5" s="81" t="str">
        <f>IF(SUM(BU5,BY5)&gt;0,SUM(BU5,BY5),"")</f>
        <v/>
      </c>
      <c r="CP5" s="81" t="str">
        <f>IF(SUM(BT5:BU5,BW5:BY5,CA5)-BV5-BZ5&gt;0,SUM(BT5:BU5,BW5:BY5,CA5)-BV5-BZ5,"")</f>
        <v/>
      </c>
      <c r="CQ5" s="81" t="str">
        <f>IF(SUM(CB5:CC5,CE5)-CD5&gt;0,SUM(CB5:CC5,CE5)-CD5,"")</f>
        <v/>
      </c>
      <c r="CR5" s="81" t="str">
        <f>IF(SUM(CG5,CK5)&gt;0,SUM(CG5,CK5),"")</f>
        <v/>
      </c>
      <c r="CS5" s="81" t="str">
        <f>IF(SUM(CF5:CG5,CI5:CK5,CM5)-SUM(CH5,CL5)&gt;0,SUM(CF5:CG5,CI5:CK5,CM5)-SUM(CH5,CL5),"")</f>
        <v/>
      </c>
      <c r="CT5" s="81" t="str">
        <f>IF(SUM(CP5,CS5)&gt;0,SUM(CP5,CS5),"")</f>
        <v/>
      </c>
      <c r="CU5" s="82">
        <f>IF(K5&gt;=0.001,IF(MAX(DR5,ER5,FR5,GR5,HR5,IR5,JR5,KR5,LR5,MR5,NR5,OR5)-IF(K5="",0,K5)&gt;0.001,MAX(DR5,ER5,FR5,GR5,HR5,IR5,JR5,KR5,LR5,MR5,NR5,OR5)-IF(K5="",0,K5),""),"")</f>
        <v>1.3000000000000114</v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15.5</v>
      </c>
      <c r="CX5" s="24">
        <v>1.2</v>
      </c>
      <c r="CY5" s="24">
        <v>0</v>
      </c>
      <c r="CZ5" s="24">
        <v>0</v>
      </c>
      <c r="DA5" s="24">
        <v>15.9</v>
      </c>
      <c r="DB5" s="24">
        <v>4.8</v>
      </c>
      <c r="DC5" s="24">
        <v>0</v>
      </c>
      <c r="DD5" s="24">
        <v>0</v>
      </c>
      <c r="DE5" s="24"/>
      <c r="DF5" s="24"/>
      <c r="DG5" s="24"/>
      <c r="DH5" s="24"/>
      <c r="DI5" s="24">
        <v>17.5</v>
      </c>
      <c r="DJ5" s="24">
        <v>3.6</v>
      </c>
      <c r="DK5" s="24">
        <v>0.2</v>
      </c>
      <c r="DL5" s="24">
        <v>0</v>
      </c>
      <c r="DM5" s="24">
        <v>16.100000000000001</v>
      </c>
      <c r="DN5" s="24">
        <v>4.8</v>
      </c>
      <c r="DO5" s="24">
        <v>0</v>
      </c>
      <c r="DP5" s="24">
        <v>0</v>
      </c>
      <c r="DQ5" s="81">
        <f>IF(SUM(CX5,DB5)&gt;0,SUM(CX5,DB5),"")</f>
        <v>6</v>
      </c>
      <c r="DR5" s="81">
        <f>IF(SUM(CW5:CX5,CZ5:DB5,DD5)-CY5-DC5&gt;0,SUM(CW5:CX5,CZ5:DB5,DD5)-CY5-DC5,"")</f>
        <v>37.4</v>
      </c>
      <c r="DS5" s="81" t="str">
        <f>IF(SUM(DE5:DF5,DH5)-DG5&gt;0,SUM(DE5:DF5,DH5)-DG5,"")</f>
        <v/>
      </c>
      <c r="DT5" s="81">
        <f>IF(SUM(DJ5,DN5)&gt;0,SUM(DJ5,DN5),"")</f>
        <v>8.4</v>
      </c>
      <c r="DU5" s="81">
        <f>IF(SUM(DI5:DJ5,DL5:DN5,DP5)-SUM(DK5,DO5)&gt;0,SUM(DI5:DJ5,DL5:DN5,DP5)-SUM(DK5,DO5),"")</f>
        <v>41.8</v>
      </c>
      <c r="DV5" s="81">
        <f>IF(SUM(DR5,DU5)&gt;0,SUM(DR5,DU5),"")</f>
        <v>79.199999999999989</v>
      </c>
      <c r="DW5" s="25">
        <v>16.100000000000001</v>
      </c>
      <c r="DX5" s="25">
        <v>1.9</v>
      </c>
      <c r="DY5" s="25">
        <v>0</v>
      </c>
      <c r="DZ5" s="25">
        <v>0</v>
      </c>
      <c r="EA5" s="25">
        <v>17.100000000000001</v>
      </c>
      <c r="EB5" s="25">
        <v>4.5999999999999996</v>
      </c>
      <c r="EC5" s="25">
        <v>0</v>
      </c>
      <c r="ED5" s="25">
        <v>0</v>
      </c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>
        <f>IF(SUM(DX5,EB5)&gt;0,SUM(DX5,EB5),"")</f>
        <v>6.5</v>
      </c>
      <c r="ER5" s="20">
        <f>IF(SUM(DW5:DX5,DZ5:EB5,ED5)-DY5-EC5&gt;0,SUM(DW5:DX5,DZ5:EB5,ED5)-DY5-EC5,"")</f>
        <v>39.700000000000003</v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>
        <f>IF(SUM(ER5,EU5)&gt;0,SUM(ER5,EU5),"")</f>
        <v>39.700000000000003</v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8.85</v>
      </c>
      <c r="OX5" s="38">
        <f>IF($CN5="P",BU5,(BU5+AT5)/2)</f>
        <v>1.8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8.3000000000000007</v>
      </c>
      <c r="PB5" s="38">
        <f>IF($CN5="P",BY5,(BY5+AX5)/2)</f>
        <v>2.4</v>
      </c>
      <c r="PC5" s="38">
        <f>IF($CN5="P",BZ5,(BZ5+AY5)/2)</f>
        <v>0</v>
      </c>
      <c r="PD5" s="38">
        <f>IF($CN5="P",CA5,(CA5+AZ5)/2)</f>
        <v>0.3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8.75</v>
      </c>
      <c r="PJ5" s="38">
        <f>IF($CN5="P",CG5,(CG5+BF5)/2)</f>
        <v>1.8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8.65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0.3</v>
      </c>
      <c r="PQ5" s="45" t="s">
        <v>44</v>
      </c>
      <c r="PR5" s="81">
        <f>IF(SUM(OX5,PB5)&gt;0,SUM(OX5,PB5),"")</f>
        <v>4.2</v>
      </c>
      <c r="PS5" s="81">
        <f>IF(SUM(OW5:OX5,OZ5:PB5,PD5)-OY5-PC5&gt;0,SUM(OW5:OX5,OZ5:PB5,PD5)-OY5-PC5,"")</f>
        <v>21.650000000000002</v>
      </c>
      <c r="PT5" s="81" t="str">
        <f>IF(SUM(PE5:PF5,PH5)-PG5&gt;0,SUM(PE5:PF5,PH5)-PG5,"")</f>
        <v/>
      </c>
      <c r="PU5" s="81">
        <f>IF(SUM(PJ5,PN5)&gt;0,SUM(PJ5,PN5),"")</f>
        <v>4.2</v>
      </c>
      <c r="PV5" s="81">
        <f>IF(SUM(PI5:PJ5,PL5:PN5,PP5)-SUM(PK5,PO5)&gt;0,SUM(PI5:PJ5,PL5:PN5,PP5)-SUM(PK5,PO5),"")</f>
        <v>21.900000000000002</v>
      </c>
      <c r="PW5" s="81">
        <f>IF(SUM(PS5,PV5)&gt;0,SUM(PS5,PV5),"")</f>
        <v>43.550000000000004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7.2</v>
      </c>
      <c r="BN8" s="5"/>
      <c r="BS8" s="84">
        <v>7.2</v>
      </c>
      <c r="CO8" s="5"/>
      <c r="CT8" s="84">
        <v>7.2</v>
      </c>
      <c r="DQ8" s="5"/>
      <c r="DV8" s="84">
        <v>7.2</v>
      </c>
      <c r="EQ8" s="5"/>
      <c r="EV8" s="84">
        <v>7.2</v>
      </c>
      <c r="FQ8" s="5"/>
      <c r="FV8" s="84">
        <v>7.2</v>
      </c>
      <c r="GQ8" s="5"/>
      <c r="GV8" s="84">
        <v>7.2</v>
      </c>
      <c r="HQ8" s="5"/>
      <c r="HV8" s="84">
        <v>7.2</v>
      </c>
      <c r="IQ8" s="5"/>
      <c r="IV8" s="84">
        <v>7.2</v>
      </c>
      <c r="JQ8" s="5"/>
      <c r="JV8" s="84">
        <v>7.2</v>
      </c>
      <c r="KQ8" s="5"/>
      <c r="KV8" s="84">
        <v>7.2</v>
      </c>
      <c r="LQ8" s="5"/>
      <c r="LV8" s="84">
        <v>7.2</v>
      </c>
      <c r="MQ8" s="5"/>
      <c r="MV8" s="84">
        <v>7.2</v>
      </c>
      <c r="NQ8" s="5"/>
      <c r="NV8" s="84">
        <v>7.2</v>
      </c>
      <c r="OQ8" s="5"/>
      <c r="OV8" s="84">
        <v>7.2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v>7.2</v>
      </c>
      <c r="BN9" s="5"/>
      <c r="BS9" s="86">
        <v>7.2</v>
      </c>
      <c r="CO9" s="5"/>
      <c r="CT9" s="86">
        <v>7.2</v>
      </c>
      <c r="DQ9" s="5"/>
      <c r="DV9" s="86">
        <v>7.2</v>
      </c>
      <c r="EQ9" s="5"/>
      <c r="EV9" s="86">
        <v>7.2</v>
      </c>
      <c r="FQ9" s="5"/>
      <c r="FV9" s="86">
        <v>7.2</v>
      </c>
      <c r="GQ9" s="5"/>
      <c r="GV9" s="86">
        <v>7.2</v>
      </c>
      <c r="HQ9" s="5"/>
      <c r="HV9" s="86">
        <v>7.2</v>
      </c>
      <c r="IQ9" s="5"/>
      <c r="IV9" s="86">
        <v>7.2</v>
      </c>
      <c r="JQ9" s="5"/>
      <c r="JV9" s="86">
        <v>7.2</v>
      </c>
      <c r="KQ9" s="5"/>
      <c r="KV9" s="86">
        <v>7.2</v>
      </c>
      <c r="LQ9" s="5"/>
      <c r="LV9" s="86">
        <v>7.2</v>
      </c>
      <c r="MQ9" s="5"/>
      <c r="MV9" s="86">
        <v>7.2</v>
      </c>
      <c r="NQ9" s="5"/>
      <c r="NV9" s="86">
        <v>7.2</v>
      </c>
      <c r="OQ9" s="5"/>
      <c r="OV9" s="86">
        <v>7.2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7.2</v>
      </c>
      <c r="BN10" s="5"/>
      <c r="BS10" s="88">
        <v>7.2</v>
      </c>
      <c r="CO10" s="5"/>
      <c r="CT10" s="88">
        <v>7.2</v>
      </c>
      <c r="DQ10" s="5"/>
      <c r="DV10" s="88">
        <v>7.2</v>
      </c>
      <c r="EQ10" s="5"/>
      <c r="EV10" s="88">
        <v>7.2</v>
      </c>
      <c r="FQ10" s="5"/>
      <c r="FV10" s="88">
        <v>7.2</v>
      </c>
      <c r="GQ10" s="5"/>
      <c r="GV10" s="88">
        <v>7.2</v>
      </c>
      <c r="HQ10" s="5"/>
      <c r="HV10" s="88">
        <v>7.2</v>
      </c>
      <c r="IQ10" s="5"/>
      <c r="IV10" s="88">
        <v>7.2</v>
      </c>
      <c r="JQ10" s="5"/>
      <c r="JV10" s="88">
        <v>7.2</v>
      </c>
      <c r="KQ10" s="5"/>
      <c r="KV10" s="88">
        <v>7.2</v>
      </c>
      <c r="LQ10" s="5"/>
      <c r="LV10" s="88">
        <v>7.2</v>
      </c>
      <c r="MQ10" s="5"/>
      <c r="MV10" s="88">
        <v>7.2</v>
      </c>
      <c r="NQ10" s="5"/>
      <c r="NV10" s="88">
        <v>7.2</v>
      </c>
      <c r="OQ10" s="5"/>
      <c r="OV10" s="88">
        <v>7.2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1000</v>
      </c>
      <c r="DQ11" s="5"/>
      <c r="DV11" s="90">
        <v>1000</v>
      </c>
      <c r="EQ11" s="5"/>
      <c r="EV11" s="90">
        <v>1000</v>
      </c>
      <c r="FQ11" s="5"/>
      <c r="FV11" s="90">
        <v>1000</v>
      </c>
      <c r="GQ11" s="5"/>
      <c r="GV11" s="90">
        <v>1000</v>
      </c>
      <c r="HQ11" s="5"/>
      <c r="HV11" s="90">
        <v>1000</v>
      </c>
      <c r="IQ11" s="5"/>
      <c r="IV11" s="90">
        <v>1000</v>
      </c>
      <c r="JQ11" s="5"/>
      <c r="JV11" s="90">
        <v>1000</v>
      </c>
      <c r="KQ11" s="5"/>
      <c r="KV11" s="90">
        <v>1000</v>
      </c>
      <c r="LQ11" s="5"/>
      <c r="LV11" s="90">
        <v>1000</v>
      </c>
      <c r="MQ11" s="5"/>
      <c r="MV11" s="90">
        <v>1000</v>
      </c>
      <c r="NQ11" s="5"/>
      <c r="NV11" s="90">
        <v>1000</v>
      </c>
      <c r="OQ11" s="5"/>
      <c r="OV11" s="90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42</v>
      </c>
      <c r="BN12" s="5"/>
      <c r="BS12" s="92">
        <v>42</v>
      </c>
      <c r="CO12" s="5"/>
      <c r="CT12" s="92">
        <v>42</v>
      </c>
      <c r="DQ12" s="5"/>
      <c r="DV12" s="92">
        <v>42</v>
      </c>
      <c r="EQ12" s="5"/>
      <c r="EV12" s="92">
        <v>42</v>
      </c>
      <c r="FQ12" s="5"/>
      <c r="FV12" s="92">
        <v>42</v>
      </c>
      <c r="GQ12" s="5"/>
      <c r="GV12" s="92">
        <v>42</v>
      </c>
      <c r="HQ12" s="5"/>
      <c r="HV12" s="92">
        <v>42</v>
      </c>
      <c r="IQ12" s="5"/>
      <c r="IV12" s="92">
        <v>42</v>
      </c>
      <c r="JQ12" s="5"/>
      <c r="JV12" s="92">
        <v>42</v>
      </c>
      <c r="KQ12" s="5"/>
      <c r="KV12" s="92">
        <v>42</v>
      </c>
      <c r="LQ12" s="5"/>
      <c r="LV12" s="92">
        <v>42</v>
      </c>
      <c r="MQ12" s="5"/>
      <c r="MV12" s="92">
        <v>42</v>
      </c>
      <c r="NQ12" s="5"/>
      <c r="NV12" s="92">
        <v>42</v>
      </c>
      <c r="OQ12" s="5"/>
      <c r="OV12" s="92">
        <v>42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v>43.4</v>
      </c>
      <c r="BN13" s="5"/>
      <c r="BS13" s="94">
        <v>43.4</v>
      </c>
      <c r="CO13" s="5"/>
      <c r="CT13" s="94">
        <v>43.4</v>
      </c>
      <c r="DQ13" s="5"/>
      <c r="DV13" s="94">
        <v>43.4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43.4</v>
      </c>
      <c r="BN14" s="5"/>
      <c r="BS14" s="96">
        <v>43.4</v>
      </c>
      <c r="CO14" s="5"/>
      <c r="CT14" s="96">
        <v>43.4</v>
      </c>
      <c r="DQ14" s="5"/>
      <c r="DV14" s="96">
        <v>43.4</v>
      </c>
      <c r="EQ14" s="5"/>
      <c r="EV14" s="96">
        <v>43.4</v>
      </c>
      <c r="FQ14" s="5"/>
      <c r="FV14" s="96">
        <v>43.4</v>
      </c>
      <c r="GQ14" s="5"/>
      <c r="GV14" s="96">
        <v>43.4</v>
      </c>
      <c r="HQ14" s="5"/>
      <c r="HV14" s="96">
        <v>43.4</v>
      </c>
      <c r="IQ14" s="5"/>
      <c r="IV14" s="96">
        <v>43.4</v>
      </c>
      <c r="JQ14" s="5"/>
      <c r="JV14" s="96">
        <v>43.4</v>
      </c>
      <c r="KQ14" s="5"/>
      <c r="KV14" s="96">
        <v>43.4</v>
      </c>
      <c r="LQ14" s="5"/>
      <c r="LV14" s="96">
        <v>43.4</v>
      </c>
      <c r="MQ14" s="5"/>
      <c r="MV14" s="96">
        <v>43.4</v>
      </c>
      <c r="NQ14" s="5"/>
      <c r="NV14" s="96">
        <v>43.4</v>
      </c>
      <c r="OQ14" s="5"/>
      <c r="OV14" s="96">
        <v>43.4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 t="s">
        <v>98</v>
      </c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91</v>
      </c>
      <c r="C4" s="5" t="s">
        <v>75</v>
      </c>
      <c r="D4" s="5">
        <v>2007</v>
      </c>
      <c r="E4" s="15">
        <f>SUM(I4:O4)+SUM(I4:M4)*0.0000001+SUM(I4)*0.0000000000001</f>
        <v>147.10001459000495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49.5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46.400000000000006</v>
      </c>
      <c r="L4" s="14" t="str">
        <f>IF(K4=0,"",IF(K4=CP4,$BT$1,IF(K4=BO4,$AS$1,IF(K4=AN4,$R$1,""))))</f>
        <v>2022 Elite Canada</v>
      </c>
      <c r="M4" s="14">
        <f>IF(MAX(AQ4,BR4,CS4)&gt;0,MAX(AQ4,BR4,CS4),0)</f>
        <v>49.999999999999993</v>
      </c>
      <c r="N4" s="14" t="str">
        <f>IF(M4=0,"",IF(M4=CS4,$BT$1,IF(M4=BR4,$AS$1,IF(M4=AQ4,$R$1,""))))</f>
        <v>2022 3rd Domestic Trial</v>
      </c>
      <c r="O4" s="14">
        <f>IF(MAX(CU4:CV4)&gt;0,MAX(CU4:CV4),"")</f>
        <v>1.1999999999999957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18.600000000000001</v>
      </c>
      <c r="S4" s="26">
        <v>3.9</v>
      </c>
      <c r="T4" s="26">
        <v>0</v>
      </c>
      <c r="U4" s="26">
        <v>0</v>
      </c>
      <c r="V4" s="26">
        <v>18.7</v>
      </c>
      <c r="W4" s="26">
        <v>5.2</v>
      </c>
      <c r="X4" s="26">
        <v>0</v>
      </c>
      <c r="Y4" s="26">
        <v>0</v>
      </c>
      <c r="Z4" s="26"/>
      <c r="AA4" s="26"/>
      <c r="AB4" s="26"/>
      <c r="AC4" s="26"/>
      <c r="AD4" s="26">
        <v>19.2</v>
      </c>
      <c r="AE4" s="26">
        <v>3.5</v>
      </c>
      <c r="AF4" s="26">
        <v>0</v>
      </c>
      <c r="AG4" s="26">
        <v>0</v>
      </c>
      <c r="AH4" s="26">
        <v>18.2</v>
      </c>
      <c r="AI4" s="26">
        <v>5.2</v>
      </c>
      <c r="AJ4" s="26">
        <v>0.6</v>
      </c>
      <c r="AK4" s="26">
        <v>0</v>
      </c>
      <c r="AL4" s="45"/>
      <c r="AM4" s="81">
        <f>IF(SUM(S4,W4)&gt;0,SUM(S4,W4),"")</f>
        <v>9.1</v>
      </c>
      <c r="AN4" s="81">
        <f>IF(SUM(R4:S4,U4:W4,Y4)-T4-X4&gt;0,SUM(R4:S4,U4:W4,Y4)-T4-X4,"")</f>
        <v>46.400000000000006</v>
      </c>
      <c r="AO4" s="81" t="str">
        <f>IF(SUM(Z4:AA4,AC4)-AB4&gt;0,SUM(Z4:AA4,AC4)-AB4,"")</f>
        <v/>
      </c>
      <c r="AP4" s="81">
        <f>IF(SUM(AE4,AI4)&gt;0,SUM(AE4,AI4),"")</f>
        <v>8.6999999999999993</v>
      </c>
      <c r="AQ4" s="81">
        <f>IF(SUM(AD4:AE4,AG4:AI4,AK4)-SUM(AF4,AJ4)&gt;0,SUM(AD4:AE4,AG4:AI4,AK4)-SUM(AF4,AJ4),"")</f>
        <v>45.5</v>
      </c>
      <c r="AR4" s="81">
        <f>IF(SUM(AN4,AQ4)&gt;0,SUM(AN4,AQ4),"")</f>
        <v>91.9</v>
      </c>
      <c r="AS4" s="25">
        <v>18.8</v>
      </c>
      <c r="AT4" s="25">
        <v>5.6</v>
      </c>
      <c r="AU4" s="25">
        <v>0.6</v>
      </c>
      <c r="AV4" s="25">
        <v>0</v>
      </c>
      <c r="AW4" s="25">
        <v>17.2</v>
      </c>
      <c r="AX4" s="25">
        <v>2.8</v>
      </c>
      <c r="AY4" s="25">
        <v>0</v>
      </c>
      <c r="AZ4" s="25">
        <v>0</v>
      </c>
      <c r="BA4" s="25">
        <v>18.2</v>
      </c>
      <c r="BB4" s="25">
        <v>5.6</v>
      </c>
      <c r="BC4" s="25">
        <v>0.8</v>
      </c>
      <c r="BD4" s="25">
        <v>0</v>
      </c>
      <c r="BE4" s="25">
        <v>18.5</v>
      </c>
      <c r="BF4" s="25">
        <v>5.6</v>
      </c>
      <c r="BG4" s="25">
        <v>0</v>
      </c>
      <c r="BH4" s="25">
        <v>0</v>
      </c>
      <c r="BI4" s="25">
        <v>19.2</v>
      </c>
      <c r="BJ4" s="25">
        <v>6.4</v>
      </c>
      <c r="BK4" s="25">
        <v>0.6</v>
      </c>
      <c r="BL4" s="25">
        <v>0</v>
      </c>
      <c r="BM4" s="46"/>
      <c r="BN4" s="20">
        <f>IF(SUM(AT4,AX4)&gt;0,SUM(AT4,AX4),"")</f>
        <v>8.3999999999999986</v>
      </c>
      <c r="BO4" s="20">
        <f>IF(SUM(AS4:AT4,AV4:AX4,AZ4)-AU4-AY4&gt;0,SUM(AS4:AT4,AV4:AX4,AZ4)-AU4-AY4,"")</f>
        <v>43.79999999999999</v>
      </c>
      <c r="BP4" s="20">
        <f>IF(SUM(BA4:BB4,BD4)-BC4&gt;0,SUM(BA4:BB4,BD4)-BC4,"")</f>
        <v>22.999999999999996</v>
      </c>
      <c r="BQ4" s="20">
        <f>IF(SUM(BF4,BJ4)&gt;0,SUM(BF4,BJ4),"")</f>
        <v>12</v>
      </c>
      <c r="BR4" s="20">
        <f>IF(SUM(BE4:BF4,BH4:BJ4,BL4)-SUM(BG4,BK4)&gt;0,SUM(BE4:BF4,BH4:BJ4,BL4)-SUM(BG4,BK4),"")</f>
        <v>49.099999999999994</v>
      </c>
      <c r="BS4" s="20">
        <f>IF(SUM(BO4,BR4)&gt;0,SUM(BO4,BR4),"")</f>
        <v>92.899999999999977</v>
      </c>
      <c r="BT4" s="26">
        <v>19.100000000000001</v>
      </c>
      <c r="BU4" s="26">
        <v>5.6</v>
      </c>
      <c r="BV4" s="26">
        <v>0</v>
      </c>
      <c r="BW4" s="26">
        <v>0</v>
      </c>
      <c r="BX4" s="26">
        <v>19</v>
      </c>
      <c r="BY4" s="26">
        <v>6.4</v>
      </c>
      <c r="BZ4" s="26">
        <v>0.6</v>
      </c>
      <c r="CA4" s="26">
        <v>0</v>
      </c>
      <c r="CB4" s="26">
        <v>18.899999999999999</v>
      </c>
      <c r="CC4" s="26">
        <v>5.6</v>
      </c>
      <c r="CD4" s="26">
        <v>0.6</v>
      </c>
      <c r="CE4" s="26">
        <v>0</v>
      </c>
      <c r="CF4" s="26">
        <v>19.2</v>
      </c>
      <c r="CG4" s="26">
        <v>5.6</v>
      </c>
      <c r="CH4" s="26">
        <v>0</v>
      </c>
      <c r="CI4" s="26">
        <v>0</v>
      </c>
      <c r="CJ4" s="26">
        <v>19.399999999999999</v>
      </c>
      <c r="CK4" s="26">
        <v>6.4</v>
      </c>
      <c r="CL4" s="26">
        <v>0.6</v>
      </c>
      <c r="CM4" s="26">
        <v>0</v>
      </c>
      <c r="CN4" s="45"/>
      <c r="CO4" s="81">
        <f>IF(SUM(BU4,BY4)&gt;0,SUM(BU4,BY4),"")</f>
        <v>12</v>
      </c>
      <c r="CP4" s="81">
        <f>IF(SUM(BT4:BU4,BW4:BY4,CA4)-BV4-BZ4&gt;0,SUM(BT4:BU4,BW4:BY4,CA4)-BV4-BZ4,"")</f>
        <v>49.5</v>
      </c>
      <c r="CQ4" s="81">
        <f>IF(SUM(CB4:CC4,CE4)-CD4&gt;0,SUM(CB4:CC4,CE4)-CD4,"")</f>
        <v>23.9</v>
      </c>
      <c r="CR4" s="81">
        <f>IF(SUM(CG4,CK4)&gt;0,SUM(CG4,CK4),"")</f>
        <v>12</v>
      </c>
      <c r="CS4" s="81">
        <f>IF(SUM(CF4:CG4,CI4:CK4,CM4)-SUM(CH4,CL4)&gt;0,SUM(CF4:CG4,CI4:CK4,CM4)-SUM(CH4,CL4),"")</f>
        <v>49.999999999999993</v>
      </c>
      <c r="CT4" s="81">
        <f>IF(SUM(CP4,CS4)&gt;0,SUM(CP4,CS4),"")</f>
        <v>99.5</v>
      </c>
      <c r="CU4" s="82">
        <f>IF(K4&gt;=0.001,IF(MAX(DR4,ER4,FR4,GR4,HR4,IR4,JR4,KR4,LR4,MR4,NR4,OR4)-IF(K4="",0,K4)&gt;0.001,MAX(DR4,ER4,FR4,GR4,HR4,IR4,JR4,KR4,LR4,MR4,NR4,OR4)-IF(K4="",0,K4),""),"")</f>
        <v>1.1999999999999957</v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>
        <v>18.399999999999999</v>
      </c>
      <c r="CX4" s="24">
        <v>5.2</v>
      </c>
      <c r="CY4" s="24">
        <v>0.6</v>
      </c>
      <c r="CZ4" s="24">
        <v>0</v>
      </c>
      <c r="DA4" s="24">
        <v>18.600000000000001</v>
      </c>
      <c r="DB4" s="24">
        <v>6</v>
      </c>
      <c r="DC4" s="24">
        <v>0</v>
      </c>
      <c r="DD4" s="24">
        <v>0</v>
      </c>
      <c r="DE4" s="24"/>
      <c r="DF4" s="24"/>
      <c r="DG4" s="24"/>
      <c r="DH4" s="24"/>
      <c r="DI4" s="24">
        <v>18.5</v>
      </c>
      <c r="DJ4" s="24">
        <v>6.4</v>
      </c>
      <c r="DK4" s="24">
        <v>0.6</v>
      </c>
      <c r="DL4" s="24">
        <v>0</v>
      </c>
      <c r="DM4" s="24"/>
      <c r="DN4" s="24"/>
      <c r="DO4" s="24"/>
      <c r="DP4" s="24"/>
      <c r="DQ4" s="81">
        <f>IF(SUM(CX4,DB4)&gt;0,SUM(CX4,DB4),"")</f>
        <v>11.2</v>
      </c>
      <c r="DR4" s="81">
        <f>IF(SUM(CW4:CX4,CZ4:DB4,DD4)-CY4-DC4&gt;0,SUM(CW4:CX4,CZ4:DB4,DD4)-CY4-DC4,"")</f>
        <v>47.6</v>
      </c>
      <c r="DS4" s="81" t="str">
        <f>IF(SUM(DE4:DF4,DH4)-DG4&gt;0,SUM(DE4:DF4,DH4)-DG4,"")</f>
        <v/>
      </c>
      <c r="DT4" s="81">
        <f>IF(SUM(DJ4,DN4)&gt;0,SUM(DJ4,DN4),"")</f>
        <v>6.4</v>
      </c>
      <c r="DU4" s="81">
        <f>IF(SUM(DI4:DJ4,DL4:DN4,DP4)-SUM(DK4,DO4)&gt;0,SUM(DI4:DJ4,DL4:DN4,DP4)-SUM(DK4,DO4),"")</f>
        <v>24.299999999999997</v>
      </c>
      <c r="DV4" s="81">
        <f>IF(SUM(DR4,DU4)&gt;0,SUM(DR4,DU4),"")</f>
        <v>71.900000000000006</v>
      </c>
      <c r="DW4" s="25">
        <v>18.8</v>
      </c>
      <c r="DX4" s="25">
        <v>6.4</v>
      </c>
      <c r="DY4" s="25">
        <v>0.6</v>
      </c>
      <c r="DZ4" s="25">
        <v>0</v>
      </c>
      <c r="EA4" s="25">
        <v>17</v>
      </c>
      <c r="EB4" s="25">
        <v>6.4</v>
      </c>
      <c r="EC4" s="25">
        <v>1</v>
      </c>
      <c r="ED4" s="25">
        <v>0</v>
      </c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>
        <f>IF(SUM(DX4,EB4)&gt;0,SUM(DX4,EB4),"")</f>
        <v>12.8</v>
      </c>
      <c r="ER4" s="20">
        <f>IF(SUM(DW4:DX4,DZ4:EB4,ED4)-DY4-EC4&gt;0,SUM(DW4:DX4,DZ4:EB4,ED4)-DY4-EC4,"")</f>
        <v>47</v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>
        <f>IF(SUM(ER4,EU4)&gt;0,SUM(ER4,EU4),"")</f>
        <v>47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18.950000000000003</v>
      </c>
      <c r="OX4" s="38">
        <f>IF($CN4="P",BU4,(BU4+AT4)/2)</f>
        <v>5.6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18.100000000000001</v>
      </c>
      <c r="PB4" s="38">
        <f>IF($CN4="P",BY4,(BY4+AX4)/2)</f>
        <v>4.5999999999999996</v>
      </c>
      <c r="PC4" s="38">
        <f>IF($CN4="P",BZ4,(BZ4+AY4)/2)</f>
        <v>0.3</v>
      </c>
      <c r="PD4" s="38">
        <f>IF($CN4="P",CA4,(CA4+AZ4)/2)</f>
        <v>0</v>
      </c>
      <c r="PE4" s="38">
        <f>IF($CN4="P",CB4,(CB4+BA4)/2)</f>
        <v>18.549999999999997</v>
      </c>
      <c r="PF4" s="38">
        <f>IF($CN4="P",CC4,(CC4+BB4)/2)</f>
        <v>5.6</v>
      </c>
      <c r="PG4" s="38">
        <f>IF($CN4="P",CD4,(CD4+BC4)/2)</f>
        <v>0.7</v>
      </c>
      <c r="PH4" s="38">
        <f>IF($CN4="P",CE4,(CE4+BD4)/2)</f>
        <v>0</v>
      </c>
      <c r="PI4" s="38">
        <f>IF($CN4="P",CF4,(CF4+BE4)/2)</f>
        <v>18.850000000000001</v>
      </c>
      <c r="PJ4" s="38">
        <f>IF($CN4="P",CG4,(CG4+BF4)/2)</f>
        <v>5.6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19.299999999999997</v>
      </c>
      <c r="PN4" s="38">
        <f>IF($CN4="P",CK4,(CK4+BJ4)/2)</f>
        <v>6.4</v>
      </c>
      <c r="PO4" s="38">
        <f>IF($CN4="P",CL4,(CL4+BK4)/2)</f>
        <v>0.6</v>
      </c>
      <c r="PP4" s="38">
        <f>IF($CN4="P",CM4,(CM4+BL4)/2)</f>
        <v>0</v>
      </c>
      <c r="PQ4" s="45" t="s">
        <v>44</v>
      </c>
      <c r="PR4" s="81">
        <f>IF(SUM(OX4,PB4)&gt;0,SUM(OX4,PB4),"")</f>
        <v>10.199999999999999</v>
      </c>
      <c r="PS4" s="81">
        <f>IF(SUM(OW4:OX4,OZ4:PB4,PD4)-OY4-PC4&gt;0,SUM(OW4:OX4,OZ4:PB4,PD4)-OY4-PC4,"")</f>
        <v>46.650000000000013</v>
      </c>
      <c r="PT4" s="81">
        <f>IF(SUM(PE4:PF4,PH4)-PG4&gt;0,SUM(PE4:PF4,PH4)-PG4,"")</f>
        <v>23.45</v>
      </c>
      <c r="PU4" s="81">
        <f>IF(SUM(PJ4,PN4)&gt;0,SUM(PJ4,PN4),"")</f>
        <v>12</v>
      </c>
      <c r="PV4" s="81">
        <f>IF(SUM(PI4:PJ4,PL4:PN4,PP4)-SUM(PK4,PO4)&gt;0,SUM(PI4:PJ4,PL4:PN4,PP4)-SUM(PK4,PO4),"")</f>
        <v>49.55</v>
      </c>
      <c r="PW4" s="81">
        <f>IF(SUM(PS4,PV4)&gt;0,SUM(PS4,PV4),"")</f>
        <v>96.200000000000017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92</v>
      </c>
      <c r="C5" s="5" t="s">
        <v>66</v>
      </c>
      <c r="D5" s="5">
        <v>2007</v>
      </c>
      <c r="E5" s="15">
        <f>SUM(I5:O5)+SUM(I5:M5)*0.0000001+SUM(I5)*0.0000000000001</f>
        <v>139.80001398000459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No DD</v>
      </c>
      <c r="I5" s="14">
        <f>IF(COUNT(AN5,BO5,CP5)&gt;0,LARGE((AN5,BO5,CP5),1),0)</f>
        <v>46.099999999999994</v>
      </c>
      <c r="J5" s="14" t="str">
        <f>IF(I5=0,"",IF(I5=CP5,$BT$1,IF(I5=BO5,$AS$1,IF(I5=AN5,$R$1,""))))</f>
        <v>2022 Nationals</v>
      </c>
      <c r="K5" s="14">
        <f>IF(COUNT(AN5,BO5,CP5)&gt;1,LARGE((AN5,BO5,CP5),2),0)</f>
        <v>45.199999999999989</v>
      </c>
      <c r="L5" s="14" t="str">
        <f>IF(K5=0,"",IF(K5=CP5,$BT$1,IF(K5=BO5,$AS$1,IF(K5=AN5,$R$1,""))))</f>
        <v>2022 3rd Domestic Trial</v>
      </c>
      <c r="M5" s="14">
        <f>IF(MAX(AQ5,BR5,CS5)&gt;0,MAX(AQ5,BR5,CS5),0)</f>
        <v>48.5</v>
      </c>
      <c r="N5" s="14" t="str">
        <f>IF(M5=0,"",IF(M5=CS5,$BT$1,IF(M5=BR5,$AS$1,IF(M5=AQ5,$R$1,""))))</f>
        <v>2022 3rd Domestic Trial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>
        <v>18.3</v>
      </c>
      <c r="AT5" s="25">
        <v>5.6</v>
      </c>
      <c r="AU5" s="25">
        <v>1</v>
      </c>
      <c r="AV5" s="25">
        <v>0</v>
      </c>
      <c r="AW5" s="25">
        <v>18.399999999999999</v>
      </c>
      <c r="AX5" s="25">
        <v>4.8</v>
      </c>
      <c r="AY5" s="25">
        <v>0</v>
      </c>
      <c r="AZ5" s="25">
        <v>0</v>
      </c>
      <c r="BA5" s="25">
        <v>18.2</v>
      </c>
      <c r="BB5" s="25">
        <v>4.4000000000000004</v>
      </c>
      <c r="BC5" s="25">
        <v>0.2</v>
      </c>
      <c r="BD5" s="25">
        <v>0</v>
      </c>
      <c r="BE5" s="25">
        <v>18.8</v>
      </c>
      <c r="BF5" s="25">
        <v>5.2</v>
      </c>
      <c r="BG5" s="25">
        <v>0.2</v>
      </c>
      <c r="BH5" s="25">
        <v>0</v>
      </c>
      <c r="BI5" s="25">
        <v>16.600000000000001</v>
      </c>
      <c r="BJ5" s="25">
        <v>5.2</v>
      </c>
      <c r="BK5" s="25">
        <v>1</v>
      </c>
      <c r="BL5" s="25">
        <v>0</v>
      </c>
      <c r="BM5" s="46"/>
      <c r="BN5" s="20">
        <f>IF(SUM(AT5,AX5)&gt;0,SUM(AT5,AX5),"")</f>
        <v>10.399999999999999</v>
      </c>
      <c r="BO5" s="20">
        <f>IF(SUM(AS5:AT5,AV5:AX5,AZ5)-AU5-AY5&gt;0,SUM(AS5:AT5,AV5:AX5,AZ5)-AU5-AY5,"")</f>
        <v>46.099999999999994</v>
      </c>
      <c r="BP5" s="20">
        <f>IF(SUM(BA5:BB5,BD5)-BC5&gt;0,SUM(BA5:BB5,BD5)-BC5,"")</f>
        <v>22.400000000000002</v>
      </c>
      <c r="BQ5" s="20">
        <f>IF(SUM(BF5,BJ5)&gt;0,SUM(BF5,BJ5),"")</f>
        <v>10.4</v>
      </c>
      <c r="BR5" s="20">
        <f>IF(SUM(BE5:BF5,BH5:BJ5,BL5)-SUM(BG5,BK5)&gt;0,SUM(BE5:BF5,BH5:BJ5,BL5)-SUM(BG5,BK5),"")</f>
        <v>44.6</v>
      </c>
      <c r="BS5" s="20">
        <f>IF(SUM(BO5,BR5)&gt;0,SUM(BO5,BR5),"")</f>
        <v>90.699999999999989</v>
      </c>
      <c r="BT5" s="26">
        <v>19.2</v>
      </c>
      <c r="BU5" s="26">
        <v>5.2</v>
      </c>
      <c r="BV5" s="26">
        <v>0</v>
      </c>
      <c r="BW5" s="26">
        <v>0</v>
      </c>
      <c r="BX5" s="26">
        <v>18.7</v>
      </c>
      <c r="BY5" s="26">
        <v>3.3</v>
      </c>
      <c r="BZ5" s="26">
        <v>1.2</v>
      </c>
      <c r="CA5" s="26">
        <v>0</v>
      </c>
      <c r="CB5" s="26">
        <v>18.5</v>
      </c>
      <c r="CC5" s="26">
        <v>4.4000000000000004</v>
      </c>
      <c r="CD5" s="26">
        <v>0</v>
      </c>
      <c r="CE5" s="26">
        <v>0</v>
      </c>
      <c r="CF5" s="26">
        <v>18.7</v>
      </c>
      <c r="CG5" s="26">
        <v>5.2</v>
      </c>
      <c r="CH5" s="26">
        <v>0</v>
      </c>
      <c r="CI5" s="26">
        <v>0</v>
      </c>
      <c r="CJ5" s="26">
        <v>18.600000000000001</v>
      </c>
      <c r="CK5" s="26">
        <v>6</v>
      </c>
      <c r="CL5" s="26">
        <v>0</v>
      </c>
      <c r="CM5" s="26">
        <v>0</v>
      </c>
      <c r="CN5" s="45"/>
      <c r="CO5" s="81">
        <f>IF(SUM(BU5,BY5)&gt;0,SUM(BU5,BY5),"")</f>
        <v>8.5</v>
      </c>
      <c r="CP5" s="81">
        <f>IF(SUM(BT5:BU5,BW5:BY5,CA5)-BV5-BZ5&gt;0,SUM(BT5:BU5,BW5:BY5,CA5)-BV5-BZ5,"")</f>
        <v>45.199999999999989</v>
      </c>
      <c r="CQ5" s="81">
        <f>IF(SUM(CB5:CC5,CE5)-CD5&gt;0,SUM(CB5:CC5,CE5)-CD5,"")</f>
        <v>22.9</v>
      </c>
      <c r="CR5" s="81">
        <f>IF(SUM(CG5,CK5)&gt;0,SUM(CG5,CK5),"")</f>
        <v>11.2</v>
      </c>
      <c r="CS5" s="81">
        <f>IF(SUM(CF5:CG5,CI5:CK5,CM5)-SUM(CH5,CL5)&gt;0,SUM(CF5:CG5,CI5:CK5,CM5)-SUM(CH5,CL5),"")</f>
        <v>48.5</v>
      </c>
      <c r="CT5" s="81">
        <f>IF(SUM(CP5,CS5)&gt;0,SUM(CP5,CS5),"")</f>
        <v>93.699999999999989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18.75</v>
      </c>
      <c r="OX5" s="38">
        <f>IF($CN5="P",BU5,(BU5+AT5)/2)</f>
        <v>5.4</v>
      </c>
      <c r="OY5" s="38">
        <f>IF($CN5="P",BV5,(BV5+AU5)/2)</f>
        <v>0.5</v>
      </c>
      <c r="OZ5" s="38">
        <f>IF($CN5="P",BW5,(BW5+AV5)/2)</f>
        <v>0</v>
      </c>
      <c r="PA5" s="38">
        <f>IF($CN5="P",BX5,(BX5+AW5)/2)</f>
        <v>18.549999999999997</v>
      </c>
      <c r="PB5" s="38">
        <f>IF($CN5="P",BY5,(BY5+AX5)/2)</f>
        <v>4.05</v>
      </c>
      <c r="PC5" s="38">
        <f>IF($CN5="P",BZ5,(BZ5+AY5)/2)</f>
        <v>0.6</v>
      </c>
      <c r="PD5" s="38">
        <f>IF($CN5="P",CA5,(CA5+AZ5)/2)</f>
        <v>0</v>
      </c>
      <c r="PE5" s="38">
        <f>IF($CN5="P",CB5,(CB5+BA5)/2)</f>
        <v>18.350000000000001</v>
      </c>
      <c r="PF5" s="38">
        <f>IF($CN5="P",CC5,(CC5+BB5)/2)</f>
        <v>4.4000000000000004</v>
      </c>
      <c r="PG5" s="38">
        <f>IF($CN5="P",CD5,(CD5+BC5)/2)</f>
        <v>0.1</v>
      </c>
      <c r="PH5" s="38">
        <f>IF($CN5="P",CE5,(CE5+BD5)/2)</f>
        <v>0</v>
      </c>
      <c r="PI5" s="38">
        <f>IF($CN5="P",CF5,(CF5+BE5)/2)</f>
        <v>18.75</v>
      </c>
      <c r="PJ5" s="38">
        <f>IF($CN5="P",CG5,(CG5+BF5)/2)</f>
        <v>5.2</v>
      </c>
      <c r="PK5" s="38">
        <f>IF($CN5="P",CH5,(CH5+BG5)/2)</f>
        <v>0.1</v>
      </c>
      <c r="PL5" s="38">
        <f>IF($CN5="P",CI5,(CI5+BH5)/2)</f>
        <v>0</v>
      </c>
      <c r="PM5" s="38">
        <f>IF($CN5="P",CJ5,(CJ5+BI5)/2)</f>
        <v>17.600000000000001</v>
      </c>
      <c r="PN5" s="38">
        <f>IF($CN5="P",CK5,(CK5+BJ5)/2)</f>
        <v>5.6</v>
      </c>
      <c r="PO5" s="38">
        <f>IF($CN5="P",CL5,(CL5+BK5)/2)</f>
        <v>0.5</v>
      </c>
      <c r="PP5" s="38">
        <f>IF($CN5="P",CM5,(CM5+BL5)/2)</f>
        <v>0</v>
      </c>
      <c r="PQ5" s="45" t="s">
        <v>44</v>
      </c>
      <c r="PR5" s="81">
        <f>IF(SUM(OX5,PB5)&gt;0,SUM(OX5,PB5),"")</f>
        <v>9.4499999999999993</v>
      </c>
      <c r="PS5" s="81">
        <f>IF(SUM(OW5:OX5,OZ5:PB5,PD5)-OY5-PC5&gt;0,SUM(OW5:OX5,OZ5:PB5,PD5)-OY5-PC5,"")</f>
        <v>45.649999999999991</v>
      </c>
      <c r="PT5" s="81">
        <f>IF(SUM(PE5:PF5,PH5)-PG5&gt;0,SUM(PE5:PF5,PH5)-PG5,"")</f>
        <v>22.65</v>
      </c>
      <c r="PU5" s="81">
        <f>IF(SUM(PJ5,PN5)&gt;0,SUM(PJ5,PN5),"")</f>
        <v>10.8</v>
      </c>
      <c r="PV5" s="81">
        <f>IF(SUM(PI5:PJ5,PL5:PN5,PP5)-SUM(PK5,PO5)&gt;0,SUM(PI5:PJ5,PL5:PN5,PP5)-SUM(PK5,PO5),"")</f>
        <v>46.55</v>
      </c>
      <c r="PW5" s="81">
        <f>IF(SUM(PS5,PV5)&gt;0,SUM(PS5,PV5),"")</f>
        <v>92.199999999999989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11.6</v>
      </c>
      <c r="BN8" s="5"/>
      <c r="BS8" s="84">
        <v>11.6</v>
      </c>
      <c r="CO8" s="5"/>
      <c r="CT8" s="84">
        <v>11.6</v>
      </c>
      <c r="DQ8" s="5"/>
      <c r="DV8" s="84">
        <v>11.6</v>
      </c>
      <c r="EQ8" s="5"/>
      <c r="EV8" s="84">
        <v>11.6</v>
      </c>
      <c r="FQ8" s="5"/>
      <c r="FV8" s="84">
        <v>11.6</v>
      </c>
      <c r="GQ8" s="5"/>
      <c r="GV8" s="84">
        <v>11.6</v>
      </c>
      <c r="HQ8" s="5"/>
      <c r="HV8" s="84">
        <v>11.6</v>
      </c>
      <c r="IQ8" s="5"/>
      <c r="IV8" s="84">
        <v>11.6</v>
      </c>
      <c r="JQ8" s="5"/>
      <c r="JV8" s="84">
        <v>11.6</v>
      </c>
      <c r="KQ8" s="5"/>
      <c r="KV8" s="84">
        <v>11.6</v>
      </c>
      <c r="LQ8" s="5"/>
      <c r="LV8" s="84">
        <v>11.6</v>
      </c>
      <c r="MQ8" s="5"/>
      <c r="MV8" s="84">
        <v>11.6</v>
      </c>
      <c r="NQ8" s="5"/>
      <c r="NV8" s="84">
        <v>11.6</v>
      </c>
      <c r="OQ8" s="5"/>
      <c r="OV8" s="84">
        <v>11.6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12</v>
      </c>
      <c r="BN9" s="5"/>
      <c r="BS9" s="86">
        <f>BS10</f>
        <v>12</v>
      </c>
      <c r="CO9" s="5"/>
      <c r="CT9" s="86">
        <f>CT10</f>
        <v>12</v>
      </c>
      <c r="DQ9" s="5"/>
      <c r="DV9" s="86">
        <f>DV10</f>
        <v>12</v>
      </c>
      <c r="EQ9" s="5"/>
      <c r="EV9" s="86">
        <f>EV10</f>
        <v>12</v>
      </c>
      <c r="FQ9" s="5"/>
      <c r="FV9" s="86">
        <f>FV10</f>
        <v>12</v>
      </c>
      <c r="GQ9" s="5"/>
      <c r="GV9" s="86">
        <f>GV10</f>
        <v>12</v>
      </c>
      <c r="HQ9" s="5"/>
      <c r="HV9" s="86">
        <f>HV10</f>
        <v>12</v>
      </c>
      <c r="IQ9" s="5"/>
      <c r="IV9" s="86">
        <f>IV10</f>
        <v>12</v>
      </c>
      <c r="JQ9" s="5"/>
      <c r="JV9" s="86">
        <f>JV10</f>
        <v>12</v>
      </c>
      <c r="KQ9" s="5"/>
      <c r="KV9" s="86">
        <f>KV10</f>
        <v>12</v>
      </c>
      <c r="LQ9" s="5"/>
      <c r="LV9" s="86">
        <f>LV10</f>
        <v>12</v>
      </c>
      <c r="MQ9" s="5"/>
      <c r="MV9" s="86">
        <f>MV10</f>
        <v>12</v>
      </c>
      <c r="NQ9" s="5"/>
      <c r="NV9" s="86">
        <f>NV10</f>
        <v>12</v>
      </c>
      <c r="OQ9" s="5"/>
      <c r="OV9" s="86">
        <f>OV10</f>
        <v>12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12</v>
      </c>
      <c r="BN10" s="5"/>
      <c r="BS10" s="88">
        <v>12</v>
      </c>
      <c r="CO10" s="5"/>
      <c r="CT10" s="88">
        <v>12</v>
      </c>
      <c r="DQ10" s="5"/>
      <c r="DV10" s="88">
        <v>12</v>
      </c>
      <c r="EQ10" s="5"/>
      <c r="EV10" s="88">
        <v>12</v>
      </c>
      <c r="FQ10" s="5"/>
      <c r="FV10" s="88">
        <v>12</v>
      </c>
      <c r="GQ10" s="5"/>
      <c r="GV10" s="88">
        <v>12</v>
      </c>
      <c r="HQ10" s="5"/>
      <c r="HV10" s="88">
        <v>12</v>
      </c>
      <c r="IQ10" s="5"/>
      <c r="IV10" s="88">
        <v>12</v>
      </c>
      <c r="JQ10" s="5"/>
      <c r="JV10" s="88">
        <v>12</v>
      </c>
      <c r="KQ10" s="5"/>
      <c r="KV10" s="88">
        <v>12</v>
      </c>
      <c r="LQ10" s="5"/>
      <c r="LV10" s="88">
        <v>12</v>
      </c>
      <c r="MQ10" s="5"/>
      <c r="MV10" s="88">
        <v>12</v>
      </c>
      <c r="NQ10" s="5"/>
      <c r="NV10" s="88">
        <v>12</v>
      </c>
      <c r="OQ10" s="5"/>
      <c r="OV10" s="88">
        <v>12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48.4</v>
      </c>
      <c r="BN12" s="5"/>
      <c r="BS12" s="99">
        <v>48.4</v>
      </c>
      <c r="CO12" s="5"/>
      <c r="CT12" s="99">
        <v>48.4</v>
      </c>
      <c r="DQ12" s="5"/>
      <c r="DV12" s="99">
        <v>48.4</v>
      </c>
      <c r="EQ12" s="5"/>
      <c r="EV12" s="99">
        <v>48.4</v>
      </c>
      <c r="FQ12" s="5"/>
      <c r="FV12" s="99">
        <v>48.4</v>
      </c>
      <c r="GQ12" s="5"/>
      <c r="GV12" s="99">
        <v>48.4</v>
      </c>
      <c r="HQ12" s="5"/>
      <c r="HV12" s="99">
        <v>48.4</v>
      </c>
      <c r="IQ12" s="5"/>
      <c r="IV12" s="99">
        <v>48.4</v>
      </c>
      <c r="JQ12" s="5"/>
      <c r="JV12" s="99">
        <v>48.4</v>
      </c>
      <c r="KQ12" s="5"/>
      <c r="KV12" s="99">
        <v>48.4</v>
      </c>
      <c r="LQ12" s="5"/>
      <c r="LV12" s="99">
        <v>48.4</v>
      </c>
      <c r="MQ12" s="5"/>
      <c r="MV12" s="99">
        <v>48.4</v>
      </c>
      <c r="NQ12" s="5"/>
      <c r="NV12" s="99">
        <v>48.4</v>
      </c>
      <c r="OQ12" s="5"/>
      <c r="OV12" s="99">
        <v>48.4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49.8</v>
      </c>
      <c r="BN13" s="5"/>
      <c r="BS13" s="94">
        <f>BS14</f>
        <v>49.8</v>
      </c>
      <c r="CO13" s="5"/>
      <c r="CT13" s="94">
        <f>CT14</f>
        <v>49.8</v>
      </c>
      <c r="DQ13" s="5"/>
      <c r="DV13" s="94">
        <f>DV14</f>
        <v>49.8</v>
      </c>
      <c r="EQ13" s="5"/>
      <c r="EV13" s="94">
        <f>EV14</f>
        <v>49.8</v>
      </c>
      <c r="FQ13" s="5"/>
      <c r="FV13" s="94">
        <f>FV14</f>
        <v>49.8</v>
      </c>
      <c r="GQ13" s="5"/>
      <c r="GV13" s="94">
        <f>GV14</f>
        <v>49.8</v>
      </c>
      <c r="HQ13" s="5"/>
      <c r="HV13" s="94">
        <f>HV14</f>
        <v>49.8</v>
      </c>
      <c r="IQ13" s="5"/>
      <c r="IV13" s="94">
        <f>IV14</f>
        <v>49.8</v>
      </c>
      <c r="JQ13" s="5"/>
      <c r="JV13" s="94">
        <f>JV14</f>
        <v>49.8</v>
      </c>
      <c r="KQ13" s="5"/>
      <c r="KV13" s="94">
        <f>KV14</f>
        <v>49.8</v>
      </c>
      <c r="LQ13" s="5"/>
      <c r="LV13" s="94">
        <f>LV14</f>
        <v>49.8</v>
      </c>
      <c r="MQ13" s="5"/>
      <c r="MV13" s="94">
        <f>MV14</f>
        <v>49.8</v>
      </c>
      <c r="NQ13" s="5"/>
      <c r="NV13" s="94">
        <f>NV14</f>
        <v>49.8</v>
      </c>
      <c r="OQ13" s="5"/>
      <c r="OV13" s="94">
        <f>OV14</f>
        <v>49.8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49.8</v>
      </c>
      <c r="BN14" s="5"/>
      <c r="BS14" s="96">
        <v>49.8</v>
      </c>
      <c r="CO14" s="5"/>
      <c r="CT14" s="96">
        <v>49.8</v>
      </c>
      <c r="DQ14" s="5"/>
      <c r="DV14" s="96">
        <v>49.8</v>
      </c>
      <c r="EQ14" s="5"/>
      <c r="EV14" s="96">
        <v>49.8</v>
      </c>
      <c r="FQ14" s="5"/>
      <c r="FV14" s="96">
        <v>49.8</v>
      </c>
      <c r="GQ14" s="5"/>
      <c r="GV14" s="96">
        <v>49.8</v>
      </c>
      <c r="HQ14" s="5"/>
      <c r="HV14" s="96">
        <v>49.8</v>
      </c>
      <c r="IQ14" s="5"/>
      <c r="IV14" s="96">
        <v>49.8</v>
      </c>
      <c r="JQ14" s="5"/>
      <c r="JV14" s="96">
        <v>49.8</v>
      </c>
      <c r="KQ14" s="5"/>
      <c r="KV14" s="96">
        <v>49.8</v>
      </c>
      <c r="LQ14" s="5"/>
      <c r="LV14" s="96">
        <v>49.8</v>
      </c>
      <c r="MQ14" s="5"/>
      <c r="MV14" s="96">
        <v>49.8</v>
      </c>
      <c r="NQ14" s="5"/>
      <c r="NV14" s="96">
        <v>49.8</v>
      </c>
      <c r="OQ14" s="5"/>
      <c r="OV14" s="96">
        <v>49.8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55" priority="1" stopIfTrue="1">
      <formula>IF($AL4&lt;&gt;"",1,0)</formula>
    </cfRule>
  </conditionalFormatting>
  <conditionalFormatting sqref="AS4:BS5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5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AR$11</formula>
      <formula>1000</formula>
    </cfRule>
    <cfRule type="cellIs" dxfId="42" priority="14" operator="between">
      <formula>AR$10</formula>
      <formula>AR$11</formula>
    </cfRule>
    <cfRule type="cellIs" dxfId="41" priority="15" operator="between">
      <formula>AR$9</formula>
      <formula>AR$10</formula>
    </cfRule>
    <cfRule type="cellIs" dxfId="40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AR$15</formula>
      <formula>1000</formula>
    </cfRule>
    <cfRule type="cellIs" dxfId="38" priority="18" operator="between">
      <formula>AR$14</formula>
      <formula>AR$15</formula>
    </cfRule>
    <cfRule type="cellIs" dxfId="37" priority="19" operator="between">
      <formula>AR$13</formula>
      <formula>AR$14</formula>
    </cfRule>
    <cfRule type="cellIs" dxfId="36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AR$11</formula>
      <formula>1000</formula>
    </cfRule>
    <cfRule type="cellIs" dxfId="34" priority="22" operator="between">
      <formula>AR$10</formula>
      <formula>AR$11</formula>
    </cfRule>
    <cfRule type="cellIs" dxfId="33" priority="23" operator="between">
      <formula>AR$9</formula>
      <formula>AR$10</formula>
    </cfRule>
    <cfRule type="cellIs" dxfId="32" priority="24" operator="between">
      <formula>AR$8</formula>
      <formula>AR$9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AR$12</formula>
      <formula>AR$13</formula>
    </cfRule>
    <cfRule type="cellIs" dxfId="30" priority="26" operator="between">
      <formula>AR$13</formula>
      <formula>AR$14</formula>
    </cfRule>
    <cfRule type="cellIs" dxfId="29" priority="27" operator="between">
      <formula>AR$14</formula>
      <formula>AR$15</formula>
    </cfRule>
    <cfRule type="cellIs" dxfId="28" priority="28" operator="between">
      <formula>AR$15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 t="s">
        <v>98</v>
      </c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74</v>
      </c>
      <c r="C4" s="5" t="s">
        <v>66</v>
      </c>
      <c r="D4" s="5">
        <v>2006</v>
      </c>
      <c r="E4" s="15">
        <f>SUM(I4:O4)+SUM(I4:M4)*0.0000001+SUM(I4)*0.0000000000001</f>
        <v>143.90001385000465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46.599999999999994</v>
      </c>
      <c r="J4" s="14" t="str">
        <f>IF(I4=0,"",IF(I4=CP4,$BT$1,IF(I4=BO4,$AS$1,IF(I4=AN4,$R$1,""))))</f>
        <v>2022 Elite Canada</v>
      </c>
      <c r="K4" s="14">
        <f>IF(COUNT(AN4,BO4,CP4)&gt;1,LARGE((AN4,BO4,CP4),2),0)</f>
        <v>43.3</v>
      </c>
      <c r="L4" s="14" t="str">
        <f>IF(K4=0,"",IF(K4=CP4,$BT$1,IF(K4=BO4,$AS$1,IF(K4=AN4,$R$1,""))))</f>
        <v>2022 Nationals</v>
      </c>
      <c r="M4" s="14">
        <f>IF(MAX(AQ4,BR4,CS4)&gt;0,MAX(AQ4,BR4,CS4),0)</f>
        <v>48.6</v>
      </c>
      <c r="N4" s="14" t="str">
        <f>IF(M4=0,"",IF(M4=CS4,$BT$1,IF(M4=BR4,$AS$1,IF(M4=AQ4,$R$1,""))))</f>
        <v>2022 Nationals</v>
      </c>
      <c r="O4" s="14">
        <f>IF(MAX(CU4:CV4)&gt;0,MAX(CU4:CV4),"")</f>
        <v>5.3999999999999986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WAGC (Nov 26)</v>
      </c>
      <c r="R4" s="26">
        <v>18.399999999999999</v>
      </c>
      <c r="S4" s="26">
        <v>5.2</v>
      </c>
      <c r="T4" s="26">
        <v>0</v>
      </c>
      <c r="U4" s="26">
        <v>0</v>
      </c>
      <c r="V4" s="26">
        <v>18</v>
      </c>
      <c r="W4" s="26">
        <v>5.2</v>
      </c>
      <c r="X4" s="26">
        <v>0.2</v>
      </c>
      <c r="Y4" s="26">
        <v>0</v>
      </c>
      <c r="Z4" s="26">
        <v>18.399999999999999</v>
      </c>
      <c r="AA4" s="26">
        <v>4.4000000000000004</v>
      </c>
      <c r="AB4" s="26">
        <v>0</v>
      </c>
      <c r="AC4" s="26">
        <v>0</v>
      </c>
      <c r="AD4" s="26">
        <v>18.399999999999999</v>
      </c>
      <c r="AE4" s="26">
        <v>5.2</v>
      </c>
      <c r="AF4" s="26">
        <v>0.6</v>
      </c>
      <c r="AG4" s="26">
        <v>0</v>
      </c>
      <c r="AH4" s="26">
        <v>18.420000000000002</v>
      </c>
      <c r="AI4" s="26">
        <v>4.8</v>
      </c>
      <c r="AJ4" s="26">
        <v>0</v>
      </c>
      <c r="AK4" s="26">
        <v>0</v>
      </c>
      <c r="AL4" s="45"/>
      <c r="AM4" s="81">
        <f>IF(SUM(S4,W4)&gt;0,SUM(S4,W4),"")</f>
        <v>10.4</v>
      </c>
      <c r="AN4" s="81">
        <f>IF(SUM(R4:S4,U4:W4,Y4)-T4-X4&gt;0,SUM(R4:S4,U4:W4,Y4)-T4-X4,"")</f>
        <v>46.599999999999994</v>
      </c>
      <c r="AO4" s="81">
        <f>IF(SUM(Z4:AA4,AC4)-AB4&gt;0,SUM(Z4:AA4,AC4)-AB4,"")</f>
        <v>22.799999999999997</v>
      </c>
      <c r="AP4" s="81">
        <f>IF(SUM(AE4,AI4)&gt;0,SUM(AE4,AI4),"")</f>
        <v>10</v>
      </c>
      <c r="AQ4" s="81">
        <f>IF(SUM(AD4:AE4,AG4:AI4,AK4)-SUM(AF4,AJ4)&gt;0,SUM(AD4:AE4,AG4:AI4,AK4)-SUM(AF4,AJ4),"")</f>
        <v>46.219999999999992</v>
      </c>
      <c r="AR4" s="81">
        <f>IF(SUM(AN4,AQ4)&gt;0,SUM(AN4,AQ4),"")</f>
        <v>92.82</v>
      </c>
      <c r="AS4" s="25">
        <v>18.7</v>
      </c>
      <c r="AT4" s="25">
        <v>5.6</v>
      </c>
      <c r="AU4" s="25">
        <v>0.6</v>
      </c>
      <c r="AV4" s="25">
        <v>0</v>
      </c>
      <c r="AW4" s="25">
        <v>17.2</v>
      </c>
      <c r="AX4" s="25">
        <v>2.4</v>
      </c>
      <c r="AY4" s="25">
        <v>0</v>
      </c>
      <c r="AZ4" s="25">
        <v>0</v>
      </c>
      <c r="BA4" s="25">
        <v>0</v>
      </c>
      <c r="BB4" s="25">
        <v>0</v>
      </c>
      <c r="BC4" s="25">
        <v>0</v>
      </c>
      <c r="BD4" s="25">
        <v>0</v>
      </c>
      <c r="BE4" s="25">
        <v>18.8</v>
      </c>
      <c r="BF4" s="25">
        <v>5.6</v>
      </c>
      <c r="BG4" s="25">
        <v>0.6</v>
      </c>
      <c r="BH4" s="25">
        <v>0</v>
      </c>
      <c r="BI4" s="25">
        <v>18.8</v>
      </c>
      <c r="BJ4" s="25">
        <v>6</v>
      </c>
      <c r="BK4" s="25">
        <v>0</v>
      </c>
      <c r="BL4" s="25">
        <v>0</v>
      </c>
      <c r="BM4" s="46"/>
      <c r="BN4" s="20">
        <f>IF(SUM(AT4,AX4)&gt;0,SUM(AT4,AX4),"")</f>
        <v>8</v>
      </c>
      <c r="BO4" s="20">
        <f>IF(SUM(AS4:AT4,AV4:AX4,AZ4)-AU4-AY4&gt;0,SUM(AS4:AT4,AV4:AX4,AZ4)-AU4-AY4,"")</f>
        <v>43.3</v>
      </c>
      <c r="BP4" s="20" t="str">
        <f>IF(SUM(BA4:BB4,BD4)-BC4&gt;0,SUM(BA4:BB4,BD4)-BC4,"")</f>
        <v/>
      </c>
      <c r="BQ4" s="20">
        <f>IF(SUM(BF4,BJ4)&gt;0,SUM(BF4,BJ4),"")</f>
        <v>11.6</v>
      </c>
      <c r="BR4" s="20">
        <f>IF(SUM(BE4:BF4,BH4:BJ4,BL4)-SUM(BG4,BK4)&gt;0,SUM(BE4:BF4,BH4:BJ4,BL4)-SUM(BG4,BK4),"")</f>
        <v>48.6</v>
      </c>
      <c r="BS4" s="20">
        <f>IF(SUM(BO4,BR4)&gt;0,SUM(BO4,BR4),"")</f>
        <v>91.9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>
        <f>IF(K4&gt;=0.001,IF(MAX(DR4,ER4,FR4,GR4,HR4,IR4,JR4,KR4,LR4,MR4,NR4,OR4)-IF(K4="",0,K4)&gt;0.001,MAX(DR4,ER4,FR4,GR4,HR4,IR4,JR4,KR4,LR4,MR4,NR4,OR4)-IF(K4="",0,K4),""),"")</f>
        <v>5.3999999999999986</v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>
        <v>18.600000000000001</v>
      </c>
      <c r="CX4" s="24">
        <v>5.6</v>
      </c>
      <c r="CY4" s="24">
        <v>0.6</v>
      </c>
      <c r="CZ4" s="24">
        <v>0</v>
      </c>
      <c r="DA4" s="24">
        <v>18.2</v>
      </c>
      <c r="DB4" s="24">
        <v>4.8</v>
      </c>
      <c r="DC4" s="24">
        <v>0.6</v>
      </c>
      <c r="DD4" s="24">
        <v>0</v>
      </c>
      <c r="DE4" s="24"/>
      <c r="DF4" s="24"/>
      <c r="DG4" s="24"/>
      <c r="DH4" s="24"/>
      <c r="DI4" s="24">
        <v>16.2</v>
      </c>
      <c r="DJ4" s="24">
        <v>5.6</v>
      </c>
      <c r="DK4" s="24">
        <v>1</v>
      </c>
      <c r="DL4" s="24">
        <v>0</v>
      </c>
      <c r="DM4" s="24">
        <v>18.5</v>
      </c>
      <c r="DN4" s="24">
        <v>6</v>
      </c>
      <c r="DO4" s="24">
        <v>0.2</v>
      </c>
      <c r="DP4" s="24">
        <v>0</v>
      </c>
      <c r="DQ4" s="81">
        <f>IF(SUM(CX4,DB4)&gt;0,SUM(CX4,DB4),"")</f>
        <v>10.399999999999999</v>
      </c>
      <c r="DR4" s="81">
        <f>IF(SUM(CW4:CX4,CZ4:DB4,DD4)-CY4-DC4&gt;0,SUM(CW4:CX4,CZ4:DB4,DD4)-CY4-DC4,"")</f>
        <v>46</v>
      </c>
      <c r="DS4" s="81" t="str">
        <f>IF(SUM(DE4:DF4,DH4)-DG4&gt;0,SUM(DE4:DF4,DH4)-DG4,"")</f>
        <v/>
      </c>
      <c r="DT4" s="81">
        <f>IF(SUM(DJ4,DN4)&gt;0,SUM(DJ4,DN4),"")</f>
        <v>11.6</v>
      </c>
      <c r="DU4" s="81">
        <f>IF(SUM(DI4:DJ4,DL4:DN4,DP4)-SUM(DK4,DO4)&gt;0,SUM(DI4:DJ4,DL4:DN4,DP4)-SUM(DK4,DO4),"")</f>
        <v>45.099999999999994</v>
      </c>
      <c r="DV4" s="81">
        <f>IF(SUM(DR4,DU4)&gt;0,SUM(DR4,DU4),"")</f>
        <v>91.1</v>
      </c>
      <c r="DW4" s="25">
        <v>18.899999999999999</v>
      </c>
      <c r="DX4" s="25">
        <v>5.6</v>
      </c>
      <c r="DY4" s="25">
        <v>0</v>
      </c>
      <c r="DZ4" s="25">
        <v>0</v>
      </c>
      <c r="EA4" s="25">
        <v>18.399999999999999</v>
      </c>
      <c r="EB4" s="25">
        <v>6</v>
      </c>
      <c r="EC4" s="25">
        <v>0.2</v>
      </c>
      <c r="ED4" s="25">
        <v>0</v>
      </c>
      <c r="EE4" s="25"/>
      <c r="EF4" s="25"/>
      <c r="EG4" s="25"/>
      <c r="EH4" s="25"/>
      <c r="EI4" s="25">
        <v>18.8</v>
      </c>
      <c r="EJ4" s="25">
        <v>5.6</v>
      </c>
      <c r="EK4" s="25">
        <v>0.6</v>
      </c>
      <c r="EL4" s="25">
        <v>0</v>
      </c>
      <c r="EM4" s="25"/>
      <c r="EN4" s="25"/>
      <c r="EO4" s="25"/>
      <c r="EP4" s="25"/>
      <c r="EQ4" s="20">
        <f>IF(SUM(DX4,EB4)&gt;0,SUM(DX4,EB4),"")</f>
        <v>11.6</v>
      </c>
      <c r="ER4" s="20">
        <f>IF(SUM(DW4:DX4,DZ4:EB4,ED4)-DY4-EC4&gt;0,SUM(DW4:DX4,DZ4:EB4,ED4)-DY4-EC4,"")</f>
        <v>48.699999999999996</v>
      </c>
      <c r="ES4" s="20" t="str">
        <f>IF(SUM(EE4:EF4,EH4)-EG4&gt;0,SUM(EE4:EF4,EH4)-EG4,"")</f>
        <v/>
      </c>
      <c r="ET4" s="20">
        <f>IF(SUM(EJ4,EN4)&gt;0,SUM(EJ4,EN4),"")</f>
        <v>5.6</v>
      </c>
      <c r="EU4" s="20">
        <f>IF(SUM(EI4:EJ4,EL4:EN4,EP4)-SUM(EK4,EO4)&gt;0,SUM(EI4:EJ4,EL4:EN4,EP4)-SUM(EK4,EO4),"")</f>
        <v>23.799999999999997</v>
      </c>
      <c r="EV4" s="20">
        <f>IF(SUM(ER4,EU4)&gt;0,SUM(ER4,EU4),"")</f>
        <v>72.5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9.35</v>
      </c>
      <c r="OX4" s="38">
        <f>IF($CN4="P",BU4,(BU4+AT4)/2)</f>
        <v>2.8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8.6</v>
      </c>
      <c r="PB4" s="38">
        <f>IF($CN4="P",BY4,(BY4+AX4)/2)</f>
        <v>1.2</v>
      </c>
      <c r="PC4" s="38">
        <f>IF($CN4="P",BZ4,(BZ4+AY4)/2)</f>
        <v>0</v>
      </c>
      <c r="PD4" s="38">
        <f>IF($CN4="P",CA4,(CA4+AZ4)/2)</f>
        <v>0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9.4</v>
      </c>
      <c r="PJ4" s="38">
        <f>IF($CN4="P",CG4,(CG4+BF4)/2)</f>
        <v>2.8</v>
      </c>
      <c r="PK4" s="38">
        <f>IF($CN4="P",CH4,(CH4+BG4)/2)</f>
        <v>0.3</v>
      </c>
      <c r="PL4" s="38">
        <f>IF($CN4="P",CI4,(CI4+BH4)/2)</f>
        <v>0</v>
      </c>
      <c r="PM4" s="38">
        <f>IF($CN4="P",CJ4,(CJ4+BI4)/2)</f>
        <v>9.4</v>
      </c>
      <c r="PN4" s="38">
        <f>IF($CN4="P",CK4,(CK4+BJ4)/2)</f>
        <v>3</v>
      </c>
      <c r="PO4" s="38">
        <f>IF($CN4="P",CL4,(CL4+BK4)/2)</f>
        <v>0</v>
      </c>
      <c r="PP4" s="38">
        <f>IF($CN4="P",CM4,(CM4+BL4)/2)</f>
        <v>0</v>
      </c>
      <c r="PQ4" s="45" t="s">
        <v>44</v>
      </c>
      <c r="PR4" s="81">
        <f>IF(SUM(OX4,PB4)&gt;0,SUM(OX4,PB4),"")</f>
        <v>4</v>
      </c>
      <c r="PS4" s="81">
        <f>IF(SUM(OW4:OX4,OZ4:PB4,PD4)-OY4-PC4&gt;0,SUM(OW4:OX4,OZ4:PB4,PD4)-OY4-PC4,"")</f>
        <v>21.65</v>
      </c>
      <c r="PT4" s="81" t="str">
        <f>IF(SUM(PE4:PF4,PH4)-PG4&gt;0,SUM(PE4:PF4,PH4)-PG4,"")</f>
        <v/>
      </c>
      <c r="PU4" s="81">
        <f>IF(SUM(PJ4,PN4)&gt;0,SUM(PJ4,PN4),"")</f>
        <v>5.8</v>
      </c>
      <c r="PV4" s="81">
        <f>IF(SUM(PI4:PJ4,PL4:PN4,PP4)-SUM(PK4,PO4)&gt;0,SUM(PI4:PJ4,PL4:PN4,PP4)-SUM(PK4,PO4),"")</f>
        <v>24.3</v>
      </c>
      <c r="PW4" s="81">
        <f>IF(SUM(PS4,PV4)&gt;0,SUM(PS4,PV4),"")</f>
        <v>45.95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73</v>
      </c>
      <c r="C5" s="5" t="s">
        <v>75</v>
      </c>
      <c r="D5" s="5">
        <v>2009</v>
      </c>
      <c r="E5" s="15">
        <f>SUM(I5:O5)+SUM(I5:M5)*0.0000001+SUM(I5)*0.0000000000001</f>
        <v>143.4000142000047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47</v>
      </c>
      <c r="J5" s="14" t="str">
        <f>IF(I5=0,"",IF(I5=CP5,$BT$1,IF(I5=BO5,$AS$1,IF(I5=AN5,$R$1,""))))</f>
        <v>2022 Nationals</v>
      </c>
      <c r="K5" s="14">
        <f>IF(COUNT(AN5,BO5,CP5)&gt;1,LARGE((AN5,BO5,CP5),2),0)</f>
        <v>46.8</v>
      </c>
      <c r="L5" s="14" t="str">
        <f>IF(K5=0,"",IF(K5=CP5,$BT$1,IF(K5=BO5,$AS$1,IF(K5=AN5,$R$1,""))))</f>
        <v>2022 Elite Canada</v>
      </c>
      <c r="M5" s="14">
        <f>IF(MAX(AQ5,BR5,CS5)&gt;0,MAX(AQ5,BR5,CS5),0)</f>
        <v>48.2</v>
      </c>
      <c r="N5" s="14" t="str">
        <f>IF(M5=0,"",IF(M5=CS5,$BT$1,IF(M5=BR5,$AS$1,IF(M5=AQ5,$R$1,""))))</f>
        <v>2022 Nationals</v>
      </c>
      <c r="O5" s="14">
        <f>IF(MAX(CU5:CV5)&gt;0,MAX(CU5:CV5),"")</f>
        <v>1.3999999999999986</v>
      </c>
      <c r="P5" s="20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>
        <v>18.8</v>
      </c>
      <c r="S5" s="26">
        <v>5.2</v>
      </c>
      <c r="T5" s="26">
        <v>0.6</v>
      </c>
      <c r="U5" s="26">
        <v>0</v>
      </c>
      <c r="V5" s="26">
        <v>18.8</v>
      </c>
      <c r="W5" s="26">
        <v>5.2</v>
      </c>
      <c r="X5" s="26">
        <v>0.6</v>
      </c>
      <c r="Y5" s="26">
        <v>0</v>
      </c>
      <c r="Z5" s="26">
        <v>17</v>
      </c>
      <c r="AA5" s="26">
        <v>3</v>
      </c>
      <c r="AB5" s="26">
        <v>1.7</v>
      </c>
      <c r="AC5" s="26">
        <v>0</v>
      </c>
      <c r="AD5" s="26">
        <v>19</v>
      </c>
      <c r="AE5" s="26">
        <v>5.2</v>
      </c>
      <c r="AF5" s="26">
        <v>0</v>
      </c>
      <c r="AG5" s="26">
        <v>0</v>
      </c>
      <c r="AH5" s="26">
        <v>18.3</v>
      </c>
      <c r="AI5" s="26">
        <v>4.8</v>
      </c>
      <c r="AJ5" s="26">
        <v>0</v>
      </c>
      <c r="AK5" s="26">
        <v>0</v>
      </c>
      <c r="AL5" s="45"/>
      <c r="AM5" s="81">
        <f>IF(SUM(S5,W5)&gt;0,SUM(S5,W5),"")</f>
        <v>10.4</v>
      </c>
      <c r="AN5" s="81">
        <f>IF(SUM(R5:S5,U5:W5,Y5)-T5-X5&gt;0,SUM(R5:S5,U5:W5,Y5)-T5-X5,"")</f>
        <v>46.8</v>
      </c>
      <c r="AO5" s="81">
        <f>IF(SUM(Z5:AA5,AC5)-AB5&gt;0,SUM(Z5:AA5,AC5)-AB5,"")</f>
        <v>18.3</v>
      </c>
      <c r="AP5" s="81">
        <f>IF(SUM(AE5,AI5)&gt;0,SUM(AE5,AI5),"")</f>
        <v>10</v>
      </c>
      <c r="AQ5" s="81">
        <f>IF(SUM(AD5:AE5,AG5:AI5,AK5)-SUM(AF5,AJ5)&gt;0,SUM(AD5:AE5,AG5:AI5,AK5)-SUM(AF5,AJ5),"")</f>
        <v>47.3</v>
      </c>
      <c r="AR5" s="81">
        <f>IF(SUM(AN5,AQ5)&gt;0,SUM(AN5,AQ5),"")</f>
        <v>94.1</v>
      </c>
      <c r="AS5" s="25">
        <v>18.600000000000001</v>
      </c>
      <c r="AT5" s="25">
        <v>5.6</v>
      </c>
      <c r="AU5" s="25">
        <v>0</v>
      </c>
      <c r="AV5" s="25">
        <v>0</v>
      </c>
      <c r="AW5" s="25">
        <v>18.600000000000001</v>
      </c>
      <c r="AX5" s="25">
        <v>4.8</v>
      </c>
      <c r="AY5" s="25">
        <v>0.6</v>
      </c>
      <c r="AZ5" s="25">
        <v>0</v>
      </c>
      <c r="BA5" s="25">
        <v>18.399999999999999</v>
      </c>
      <c r="BB5" s="25">
        <v>5.2</v>
      </c>
      <c r="BC5" s="25">
        <v>0</v>
      </c>
      <c r="BD5" s="25">
        <v>0</v>
      </c>
      <c r="BE5" s="25">
        <v>18.399999999999999</v>
      </c>
      <c r="BF5" s="25">
        <v>5.6</v>
      </c>
      <c r="BG5" s="25">
        <v>0</v>
      </c>
      <c r="BH5" s="25">
        <v>0</v>
      </c>
      <c r="BI5" s="25">
        <v>18.600000000000001</v>
      </c>
      <c r="BJ5" s="25">
        <v>5.6</v>
      </c>
      <c r="BK5" s="25">
        <v>0</v>
      </c>
      <c r="BL5" s="25">
        <v>0</v>
      </c>
      <c r="BM5" s="46"/>
      <c r="BN5" s="20">
        <f>IF(SUM(AT5,AX5)&gt;0,SUM(AT5,AX5),"")</f>
        <v>10.399999999999999</v>
      </c>
      <c r="BO5" s="20">
        <f>IF(SUM(AS5:AT5,AV5:AX5,AZ5)-AU5-AY5&gt;0,SUM(AS5:AT5,AV5:AX5,AZ5)-AU5-AY5,"")</f>
        <v>47</v>
      </c>
      <c r="BP5" s="20">
        <f>IF(SUM(BA5:BB5,BD5)-BC5&gt;0,SUM(BA5:BB5,BD5)-BC5,"")</f>
        <v>23.599999999999998</v>
      </c>
      <c r="BQ5" s="20">
        <f>IF(SUM(BF5,BJ5)&gt;0,SUM(BF5,BJ5),"")</f>
        <v>11.2</v>
      </c>
      <c r="BR5" s="20">
        <f>IF(SUM(BE5:BF5,BH5:BJ5,BL5)-SUM(BG5,BK5)&gt;0,SUM(BE5:BF5,BH5:BJ5,BL5)-SUM(BG5,BK5),"")</f>
        <v>48.2</v>
      </c>
      <c r="BS5" s="20">
        <f>IF(SUM(BO5,BR5)&gt;0,SUM(BO5,BR5),"")</f>
        <v>95.2</v>
      </c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45"/>
      <c r="CO5" s="81" t="str">
        <f>IF(SUM(BU5,BY5)&gt;0,SUM(BU5,BY5),"")</f>
        <v/>
      </c>
      <c r="CP5" s="81" t="str">
        <f>IF(SUM(BT5:BU5,BW5:BY5,CA5)-BV5-BZ5&gt;0,SUM(BT5:BU5,BW5:BY5,CA5)-BV5-BZ5,"")</f>
        <v/>
      </c>
      <c r="CQ5" s="81" t="str">
        <f>IF(SUM(CB5:CC5,CE5)-CD5&gt;0,SUM(CB5:CC5,CE5)-CD5,"")</f>
        <v/>
      </c>
      <c r="CR5" s="81" t="str">
        <f>IF(SUM(CG5,CK5)&gt;0,SUM(CG5,CK5),"")</f>
        <v/>
      </c>
      <c r="CS5" s="81" t="str">
        <f>IF(SUM(CF5:CG5,CI5:CK5,CM5)-SUM(CH5,CL5)&gt;0,SUM(CF5:CG5,CI5:CK5,CM5)-SUM(CH5,CL5),"")</f>
        <v/>
      </c>
      <c r="CT5" s="81" t="str">
        <f>IF(SUM(CP5,CS5)&gt;0,SUM(CP5,CS5),"")</f>
        <v/>
      </c>
      <c r="CU5" s="82">
        <f>IF(K5&gt;=0.001,IF(MAX(DR5,ER5,FR5,GR5,HR5,IR5,JR5,KR5,LR5,MR5,NR5,OR5)-IF(K5="",0,K5)&gt;0.001,MAX(DR5,ER5,FR5,GR5,HR5,IR5,JR5,KR5,LR5,MR5,NR5,OR5)-IF(K5="",0,K5),""),"")</f>
        <v>1.3999999999999986</v>
      </c>
      <c r="CV5" s="82">
        <f>IF(M5&gt;=0.001,IF(MAX(DU5,EU5,FU5,GU5,HU5,IU5,JU5,KU5,LU5,MU5,NU5,OU5)-IF(M5="",0,M5)&gt;0.001,MAX(DU5,EU5,FU5,GU5,HU5,IU5,JU5,KU5,LU5,MU5,NU5,OU5)-IF(M5="",0,M5),""),"")</f>
        <v>0.5</v>
      </c>
      <c r="CW5" s="24">
        <v>18.7</v>
      </c>
      <c r="CX5" s="24">
        <v>5.6</v>
      </c>
      <c r="CY5" s="24">
        <v>0</v>
      </c>
      <c r="CZ5" s="24">
        <v>0</v>
      </c>
      <c r="DA5" s="24">
        <v>18.899999999999999</v>
      </c>
      <c r="DB5" s="24">
        <v>5.6</v>
      </c>
      <c r="DC5" s="24">
        <v>0.6</v>
      </c>
      <c r="DD5" s="24">
        <v>0</v>
      </c>
      <c r="DE5" s="24"/>
      <c r="DF5" s="24"/>
      <c r="DG5" s="24"/>
      <c r="DH5" s="24"/>
      <c r="DI5" s="24">
        <v>18.5</v>
      </c>
      <c r="DJ5" s="24">
        <v>5.6</v>
      </c>
      <c r="DK5" s="24">
        <v>0</v>
      </c>
      <c r="DL5" s="24">
        <v>0</v>
      </c>
      <c r="DM5" s="24">
        <v>19</v>
      </c>
      <c r="DN5" s="24">
        <v>5.6</v>
      </c>
      <c r="DO5" s="24">
        <v>0</v>
      </c>
      <c r="DP5" s="24">
        <v>0</v>
      </c>
      <c r="DQ5" s="81">
        <f>IF(SUM(CX5,DB5)&gt;0,SUM(CX5,DB5),"")</f>
        <v>11.2</v>
      </c>
      <c r="DR5" s="81">
        <f>IF(SUM(CW5:CX5,CZ5:DB5,DD5)-CY5-DC5&gt;0,SUM(CW5:CX5,CZ5:DB5,DD5)-CY5-DC5,"")</f>
        <v>48.199999999999996</v>
      </c>
      <c r="DS5" s="81" t="str">
        <f>IF(SUM(DE5:DF5,DH5)-DG5&gt;0,SUM(DE5:DF5,DH5)-DG5,"")</f>
        <v/>
      </c>
      <c r="DT5" s="81">
        <f>IF(SUM(DJ5,DN5)&gt;0,SUM(DJ5,DN5),"")</f>
        <v>11.2</v>
      </c>
      <c r="DU5" s="81">
        <f>IF(SUM(DI5:DJ5,DL5:DN5,DP5)-SUM(DK5,DO5)&gt;0,SUM(DI5:DJ5,DL5:DN5,DP5)-SUM(DK5,DO5),"")</f>
        <v>48.7</v>
      </c>
      <c r="DV5" s="81">
        <f>IF(SUM(DR5,DU5)&gt;0,SUM(DR5,DU5),"")</f>
        <v>96.9</v>
      </c>
      <c r="DW5" s="25">
        <v>18.3</v>
      </c>
      <c r="DX5" s="25">
        <v>5.2</v>
      </c>
      <c r="DY5" s="25">
        <v>0.6</v>
      </c>
      <c r="DZ5" s="25">
        <v>0</v>
      </c>
      <c r="EA5" s="25">
        <v>18.3</v>
      </c>
      <c r="EB5" s="25">
        <v>4.8</v>
      </c>
      <c r="EC5" s="25">
        <v>0</v>
      </c>
      <c r="ED5" s="25">
        <v>0</v>
      </c>
      <c r="EE5" s="25"/>
      <c r="EF5" s="25"/>
      <c r="EG5" s="25"/>
      <c r="EH5" s="25"/>
      <c r="EI5" s="25">
        <v>18.7</v>
      </c>
      <c r="EJ5" s="25">
        <v>5.6</v>
      </c>
      <c r="EK5" s="25">
        <v>0.6</v>
      </c>
      <c r="EL5" s="25">
        <v>0</v>
      </c>
      <c r="EM5" s="25">
        <v>18.600000000000001</v>
      </c>
      <c r="EN5" s="25">
        <v>6</v>
      </c>
      <c r="EO5" s="25">
        <v>0.6</v>
      </c>
      <c r="EP5" s="25">
        <v>0</v>
      </c>
      <c r="EQ5" s="20">
        <f>IF(SUM(DX5,EB5)&gt;0,SUM(DX5,EB5),"")</f>
        <v>10</v>
      </c>
      <c r="ER5" s="20">
        <f>IF(SUM(DW5:DX5,DZ5:EB5,ED5)-DY5-EC5&gt;0,SUM(DW5:DX5,DZ5:EB5,ED5)-DY5-EC5,"")</f>
        <v>45.999999999999993</v>
      </c>
      <c r="ES5" s="20" t="str">
        <f>IF(SUM(EE5:EF5,EH5)-EG5&gt;0,SUM(EE5:EF5,EH5)-EG5,"")</f>
        <v/>
      </c>
      <c r="ET5" s="20">
        <f>IF(SUM(EJ5,EN5)&gt;0,SUM(EJ5,EN5),"")</f>
        <v>11.6</v>
      </c>
      <c r="EU5" s="20">
        <f>IF(SUM(EI5:EJ5,EL5:EN5,EP5)-SUM(EK5,EO5)&gt;0,SUM(EI5:EJ5,EL5:EN5,EP5)-SUM(EK5,EO5),"")</f>
        <v>47.699999999999996</v>
      </c>
      <c r="EV5" s="20">
        <f>IF(SUM(ER5,EU5)&gt;0,SUM(ER5,EU5),"")</f>
        <v>93.699999999999989</v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9.3000000000000007</v>
      </c>
      <c r="OX5" s="38">
        <f>IF($CN5="P",BU5,(BU5+AT5)/2)</f>
        <v>2.8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9.3000000000000007</v>
      </c>
      <c r="PB5" s="38">
        <f>IF($CN5="P",BY5,(BY5+AX5)/2)</f>
        <v>2.4</v>
      </c>
      <c r="PC5" s="38">
        <f>IF($CN5="P",BZ5,(BZ5+AY5)/2)</f>
        <v>0.3</v>
      </c>
      <c r="PD5" s="38">
        <f>IF($CN5="P",CA5,(CA5+AZ5)/2)</f>
        <v>0</v>
      </c>
      <c r="PE5" s="38">
        <f>IF($CN5="P",CB5,(CB5+BA5)/2)</f>
        <v>9.1999999999999993</v>
      </c>
      <c r="PF5" s="38">
        <f>IF($CN5="P",CC5,(CC5+BB5)/2)</f>
        <v>2.6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9.1999999999999993</v>
      </c>
      <c r="PJ5" s="38">
        <f>IF($CN5="P",CG5,(CG5+BF5)/2)</f>
        <v>2.8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9.3000000000000007</v>
      </c>
      <c r="PN5" s="38">
        <f>IF($CN5="P",CK5,(CK5+BJ5)/2)</f>
        <v>2.8</v>
      </c>
      <c r="PO5" s="38">
        <f>IF($CN5="P",CL5,(CL5+BK5)/2)</f>
        <v>0</v>
      </c>
      <c r="PP5" s="38">
        <f>IF($CN5="P",CM5,(CM5+BL5)/2)</f>
        <v>0</v>
      </c>
      <c r="PQ5" s="45" t="s">
        <v>44</v>
      </c>
      <c r="PR5" s="81">
        <f>IF(SUM(OX5,PB5)&gt;0,SUM(OX5,PB5),"")</f>
        <v>5.1999999999999993</v>
      </c>
      <c r="PS5" s="81">
        <f>IF(SUM(OW5:OX5,OZ5:PB5,PD5)-OY5-PC5&gt;0,SUM(OW5:OX5,OZ5:PB5,PD5)-OY5-PC5,"")</f>
        <v>23.5</v>
      </c>
      <c r="PT5" s="81">
        <f>IF(SUM(PE5:PF5,PH5)-PG5&gt;0,SUM(PE5:PF5,PH5)-PG5,"")</f>
        <v>11.799999999999999</v>
      </c>
      <c r="PU5" s="81">
        <f>IF(SUM(PJ5,PN5)&gt;0,SUM(PJ5,PN5),"")</f>
        <v>5.6</v>
      </c>
      <c r="PV5" s="81">
        <f>IF(SUM(PI5:PJ5,PL5:PN5,PP5)-SUM(PK5,PO5)&gt;0,SUM(PI5:PJ5,PL5:PN5,PP5)-SUM(PK5,PO5),"")</f>
        <v>24.1</v>
      </c>
      <c r="PW5" s="81">
        <f>IF(SUM(PS5,PV5)&gt;0,SUM(PS5,PV5),"")</f>
        <v>47.6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9.6</v>
      </c>
      <c r="BN8" s="5"/>
      <c r="BS8" s="84">
        <v>9.6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10.4</v>
      </c>
      <c r="BN9" s="5"/>
      <c r="BS9" s="86">
        <f>BS10</f>
        <v>10.4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10.4</v>
      </c>
      <c r="BN10" s="5"/>
      <c r="BS10" s="88">
        <v>10.4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46.4</v>
      </c>
      <c r="BN12" s="5"/>
      <c r="BS12" s="99">
        <v>46.4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48</v>
      </c>
      <c r="BN13" s="5"/>
      <c r="BS13" s="94">
        <f>BS14</f>
        <v>48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48</v>
      </c>
      <c r="BN14" s="5"/>
      <c r="BS14" s="96">
        <v>48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2022-11-26T20:18:37Z</dcterms:modified>
</cp:coreProperties>
</file>