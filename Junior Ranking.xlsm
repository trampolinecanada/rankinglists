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10984281-D961-2E4C-B0D5-2EEC4795A1FA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'DMT-M'!$A$1:$MT$4</definedName>
    <definedName name="_xlnm._FilterDatabase" localSheetId="6" hidden="1">'DMT-W'!$A$1:$MT$4</definedName>
    <definedName name="_xlnm._FilterDatabase" localSheetId="1" hidden="1">'TRA-M'!$A$1:$OQ$4</definedName>
    <definedName name="_xlnm._FilterDatabase" localSheetId="2" hidden="1">'TRA-W'!$A$1:$OQ$3</definedName>
    <definedName name="_xlnm._FilterDatabase" localSheetId="3" hidden="1">'TUM-M'!$A$1:$MT$4</definedName>
    <definedName name="_xlnm._FilterDatabase" localSheetId="4" hidden="1">'TUM-W'!$A$1:$MT$4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H4" i="12" l="1"/>
  <c r="BG4" i="12"/>
  <c r="BF4" i="12"/>
  <c r="BE4" i="12"/>
  <c r="BD4" i="12"/>
  <c r="AK4" i="12"/>
  <c r="AJ4" i="12"/>
  <c r="AI4" i="12"/>
  <c r="AL4" i="12" s="1"/>
  <c r="AH4" i="12"/>
  <c r="BG4" i="6"/>
  <c r="BF4" i="6"/>
  <c r="BE4" i="6"/>
  <c r="BH4" i="6" s="1"/>
  <c r="BD4" i="6"/>
  <c r="AK4" i="6"/>
  <c r="AJ4" i="6"/>
  <c r="AI4" i="6"/>
  <c r="AL4" i="6" s="1"/>
  <c r="AH4" i="6"/>
  <c r="BG4" i="8"/>
  <c r="BF4" i="8"/>
  <c r="BE4" i="8"/>
  <c r="BH4" i="8" s="1"/>
  <c r="BD4" i="8"/>
  <c r="AK4" i="8"/>
  <c r="AJ4" i="8"/>
  <c r="AI4" i="8"/>
  <c r="AL4" i="8" s="1"/>
  <c r="AH4" i="8"/>
  <c r="BG4" i="7"/>
  <c r="BF4" i="7"/>
  <c r="BE4" i="7"/>
  <c r="BH4" i="7" s="1"/>
  <c r="BD4" i="7"/>
  <c r="AL4" i="7"/>
  <c r="AK4" i="7"/>
  <c r="AJ4" i="7"/>
  <c r="AI4" i="7"/>
  <c r="AH4" i="7"/>
  <c r="CB5" i="13"/>
  <c r="CA5" i="13"/>
  <c r="BY5" i="13"/>
  <c r="BX5" i="13"/>
  <c r="BW5" i="13"/>
  <c r="BZ5" i="13" s="1"/>
  <c r="CC5" i="13" s="1"/>
  <c r="BV5" i="13"/>
  <c r="BU5" i="13"/>
  <c r="CB4" i="13"/>
  <c r="CA4" i="13"/>
  <c r="BY4" i="13"/>
  <c r="BX4" i="13"/>
  <c r="BW4" i="13"/>
  <c r="BV4" i="13"/>
  <c r="BU4" i="13"/>
  <c r="BZ4" i="13" s="1"/>
  <c r="CC4" i="13" s="1"/>
  <c r="AX5" i="13"/>
  <c r="AW5" i="13"/>
  <c r="AU5" i="13"/>
  <c r="AT5" i="13"/>
  <c r="AS5" i="13"/>
  <c r="AR5" i="13"/>
  <c r="AQ5" i="13"/>
  <c r="AV5" i="13" s="1"/>
  <c r="AY5" i="13" s="1"/>
  <c r="AX4" i="13"/>
  <c r="AW4" i="13"/>
  <c r="AU4" i="13"/>
  <c r="AT4" i="13"/>
  <c r="AS4" i="13"/>
  <c r="AR4" i="13"/>
  <c r="AQ4" i="13"/>
  <c r="AV4" i="13" s="1"/>
  <c r="AY4" i="13" s="1"/>
  <c r="CB5" i="4"/>
  <c r="CA5" i="4"/>
  <c r="BY5" i="4"/>
  <c r="BX5" i="4"/>
  <c r="BW5" i="4"/>
  <c r="BV5" i="4"/>
  <c r="BU5" i="4"/>
  <c r="BZ5" i="4" s="1"/>
  <c r="CC5" i="4" s="1"/>
  <c r="CB4" i="4"/>
  <c r="CA4" i="4"/>
  <c r="BY4" i="4"/>
  <c r="BX4" i="4"/>
  <c r="BW4" i="4"/>
  <c r="BV4" i="4"/>
  <c r="BU4" i="4"/>
  <c r="BZ4" i="4" s="1"/>
  <c r="CC4" i="4" s="1"/>
  <c r="AX5" i="4"/>
  <c r="AW5" i="4"/>
  <c r="AU5" i="4"/>
  <c r="AT5" i="4"/>
  <c r="AS5" i="4"/>
  <c r="AR5" i="4"/>
  <c r="AQ5" i="4"/>
  <c r="AV5" i="4" s="1"/>
  <c r="AY5" i="4" s="1"/>
  <c r="AX4" i="4"/>
  <c r="AW4" i="4"/>
  <c r="AU4" i="4"/>
  <c r="AT4" i="4"/>
  <c r="AS4" i="4"/>
  <c r="AR4" i="4"/>
  <c r="AQ4" i="4"/>
  <c r="AV4" i="4" s="1"/>
  <c r="AY4" i="4" s="1"/>
  <c r="CY5" i="13"/>
  <c r="CZ5" i="13"/>
  <c r="DA5" i="13"/>
  <c r="DB5" i="13"/>
  <c r="DC5" i="13"/>
  <c r="DE5" i="13"/>
  <c r="DF5" i="13"/>
  <c r="EA5" i="13"/>
  <c r="EB5" i="13"/>
  <c r="ED5" i="13" s="1"/>
  <c r="EG5" i="13" s="1"/>
  <c r="EC5" i="13"/>
  <c r="EE5" i="13"/>
  <c r="EF5" i="13"/>
  <c r="EW5" i="13"/>
  <c r="EX5" i="13"/>
  <c r="EY5" i="13"/>
  <c r="EZ5" i="13" s="1"/>
  <c r="FC5" i="13" s="1"/>
  <c r="FA5" i="13"/>
  <c r="FB5" i="13"/>
  <c r="FS5" i="13"/>
  <c r="FT5" i="13"/>
  <c r="FV5" i="13" s="1"/>
  <c r="FU5" i="13"/>
  <c r="FW5" i="13"/>
  <c r="FX5" i="13"/>
  <c r="GO5" i="13"/>
  <c r="GP5" i="13"/>
  <c r="GQ5" i="13"/>
  <c r="GS5" i="13"/>
  <c r="GT5" i="13"/>
  <c r="HK5" i="13"/>
  <c r="HL5" i="13"/>
  <c r="HN5" i="13" s="1"/>
  <c r="HM5" i="13"/>
  <c r="HO5" i="13"/>
  <c r="HP5" i="13"/>
  <c r="IG5" i="13"/>
  <c r="IH5" i="13"/>
  <c r="II5" i="13"/>
  <c r="IK5" i="13"/>
  <c r="IL5" i="13"/>
  <c r="JC5" i="13"/>
  <c r="JD5" i="13"/>
  <c r="JF5" i="13" s="1"/>
  <c r="JI5" i="13" s="1"/>
  <c r="JE5" i="13"/>
  <c r="JG5" i="13"/>
  <c r="JH5" i="13"/>
  <c r="JY5" i="13"/>
  <c r="JZ5" i="13"/>
  <c r="KB5" i="13" s="1"/>
  <c r="KE5" i="13" s="1"/>
  <c r="KA5" i="13"/>
  <c r="KC5" i="13"/>
  <c r="KD5" i="13"/>
  <c r="KU5" i="13"/>
  <c r="KV5" i="13"/>
  <c r="KX5" i="13" s="1"/>
  <c r="LA5" i="13" s="1"/>
  <c r="KW5" i="13"/>
  <c r="KY5" i="13"/>
  <c r="KZ5" i="13"/>
  <c r="LQ5" i="13"/>
  <c r="LR5" i="13"/>
  <c r="LS5" i="13"/>
  <c r="LT5" i="13" s="1"/>
  <c r="LU5" i="13"/>
  <c r="LV5" i="13"/>
  <c r="MM5" i="13"/>
  <c r="MN5" i="13"/>
  <c r="MP5" i="13" s="1"/>
  <c r="MS5" i="13" s="1"/>
  <c r="MO5" i="13"/>
  <c r="MQ5" i="13"/>
  <c r="MR5" i="13"/>
  <c r="NI5" i="13"/>
  <c r="NJ5" i="13"/>
  <c r="NK5" i="13"/>
  <c r="NL5" i="13" s="1"/>
  <c r="NO5" i="13" s="1"/>
  <c r="NM5" i="13"/>
  <c r="NN5" i="13"/>
  <c r="NP5" i="13"/>
  <c r="NQ5" i="13"/>
  <c r="NR5" i="13"/>
  <c r="NS5" i="13"/>
  <c r="NT5" i="13"/>
  <c r="NU5" i="13"/>
  <c r="NV5" i="13"/>
  <c r="NW5" i="13"/>
  <c r="OL5" i="13" s="1"/>
  <c r="NX5" i="13"/>
  <c r="NY5" i="13"/>
  <c r="NZ5" i="13"/>
  <c r="OA5" i="13"/>
  <c r="OB5" i="13"/>
  <c r="ON5" i="13" s="1"/>
  <c r="OC5" i="13"/>
  <c r="OD5" i="13"/>
  <c r="OE5" i="13"/>
  <c r="OF5" i="13"/>
  <c r="OG5" i="13"/>
  <c r="OQ5" i="13" s="1"/>
  <c r="OH5" i="13"/>
  <c r="OI5" i="13"/>
  <c r="OO5" i="13" l="1"/>
  <c r="Q5" i="13"/>
  <c r="DK5" i="13" s="1"/>
  <c r="DD5" i="13"/>
  <c r="DG5" i="13" s="1"/>
  <c r="LW5" i="13"/>
  <c r="IJ5" i="13"/>
  <c r="IM5" i="13" s="1"/>
  <c r="HQ5" i="13"/>
  <c r="GR5" i="13"/>
  <c r="GU5" i="13" s="1"/>
  <c r="FY5" i="13"/>
  <c r="OK5" i="13"/>
  <c r="OR5" i="13"/>
  <c r="OM5" i="13"/>
  <c r="G5" i="13"/>
  <c r="H5" i="13"/>
  <c r="CY4" i="13"/>
  <c r="CZ4" i="13"/>
  <c r="DA4" i="13"/>
  <c r="DB4" i="13"/>
  <c r="DC4" i="13"/>
  <c r="DE4" i="13"/>
  <c r="DF4" i="13"/>
  <c r="EA4" i="13"/>
  <c r="EB4" i="13"/>
  <c r="EC4" i="13"/>
  <c r="EE4" i="13"/>
  <c r="EF4" i="13"/>
  <c r="EW4" i="13"/>
  <c r="EX4" i="13"/>
  <c r="EY4" i="13"/>
  <c r="EZ4" i="13" s="1"/>
  <c r="FA4" i="13"/>
  <c r="FB4" i="13"/>
  <c r="FS4" i="13"/>
  <c r="FT4" i="13"/>
  <c r="FU4" i="13"/>
  <c r="FW4" i="13"/>
  <c r="FX4" i="13"/>
  <c r="GO4" i="13"/>
  <c r="GP4" i="13"/>
  <c r="GR4" i="13" s="1"/>
  <c r="GU4" i="13" s="1"/>
  <c r="GQ4" i="13"/>
  <c r="GS4" i="13"/>
  <c r="GT4" i="13"/>
  <c r="HK4" i="13"/>
  <c r="HL4" i="13"/>
  <c r="HM4" i="13"/>
  <c r="HO4" i="13"/>
  <c r="HP4" i="13"/>
  <c r="IG4" i="13"/>
  <c r="IH4" i="13"/>
  <c r="II4" i="13"/>
  <c r="IK4" i="13"/>
  <c r="IL4" i="13"/>
  <c r="JC4" i="13"/>
  <c r="JD4" i="13"/>
  <c r="JF4" i="13" s="1"/>
  <c r="JI4" i="13" s="1"/>
  <c r="JE4" i="13"/>
  <c r="JG4" i="13"/>
  <c r="JH4" i="13"/>
  <c r="JY4" i="13"/>
  <c r="JZ4" i="13"/>
  <c r="KB4" i="13" s="1"/>
  <c r="KA4" i="13"/>
  <c r="KC4" i="13"/>
  <c r="KD4" i="13"/>
  <c r="KU4" i="13"/>
  <c r="KV4" i="13"/>
  <c r="KX4" i="13" s="1"/>
  <c r="KW4" i="13"/>
  <c r="KY4" i="13"/>
  <c r="KZ4" i="13"/>
  <c r="LQ4" i="13"/>
  <c r="LR4" i="13"/>
  <c r="LS4" i="13"/>
  <c r="LU4" i="13"/>
  <c r="LV4" i="13"/>
  <c r="MM4" i="13"/>
  <c r="MN4" i="13"/>
  <c r="MO4" i="13"/>
  <c r="MP4" i="13" s="1"/>
  <c r="MQ4" i="13"/>
  <c r="MR4" i="13"/>
  <c r="NI4" i="13"/>
  <c r="NJ4" i="13"/>
  <c r="NK4" i="13"/>
  <c r="NM4" i="13"/>
  <c r="NN4" i="13"/>
  <c r="NP4" i="13"/>
  <c r="NQ4" i="13"/>
  <c r="NR4" i="13"/>
  <c r="NS4" i="13"/>
  <c r="NT4" i="13"/>
  <c r="NU4" i="13"/>
  <c r="NV4" i="13"/>
  <c r="NW4" i="13"/>
  <c r="OL4" i="13" s="1"/>
  <c r="NX4" i="13"/>
  <c r="NY4" i="13"/>
  <c r="NZ4" i="13"/>
  <c r="OA4" i="13"/>
  <c r="OB4" i="13"/>
  <c r="ON4" i="13" s="1"/>
  <c r="OC4" i="13"/>
  <c r="OD4" i="13"/>
  <c r="OE4" i="13"/>
  <c r="OF4" i="13"/>
  <c r="OG4" i="13"/>
  <c r="OQ4" i="13" s="1"/>
  <c r="OH4" i="13"/>
  <c r="OI4" i="13"/>
  <c r="CY5" i="4"/>
  <c r="CZ5" i="4"/>
  <c r="DA5" i="4"/>
  <c r="DB5" i="4"/>
  <c r="DC5" i="4"/>
  <c r="DE5" i="4"/>
  <c r="DF5" i="4"/>
  <c r="EA5" i="4"/>
  <c r="EB5" i="4"/>
  <c r="ED5" i="4" s="1"/>
  <c r="EG5" i="4" s="1"/>
  <c r="EC5" i="4"/>
  <c r="EE5" i="4"/>
  <c r="EF5" i="4"/>
  <c r="EW5" i="4"/>
  <c r="EX5" i="4"/>
  <c r="EY5" i="4"/>
  <c r="FA5" i="4"/>
  <c r="FB5" i="4"/>
  <c r="FS5" i="4"/>
  <c r="FT5" i="4"/>
  <c r="FU5" i="4"/>
  <c r="FV5" i="4"/>
  <c r="FW5" i="4"/>
  <c r="FX5" i="4"/>
  <c r="GO5" i="4"/>
  <c r="GP5" i="4"/>
  <c r="GQ5" i="4"/>
  <c r="GS5" i="4"/>
  <c r="GT5" i="4"/>
  <c r="HK5" i="4"/>
  <c r="HL5" i="4"/>
  <c r="HM5" i="4"/>
  <c r="HO5" i="4"/>
  <c r="HP5" i="4"/>
  <c r="IG5" i="4"/>
  <c r="IH5" i="4"/>
  <c r="II5" i="4"/>
  <c r="IK5" i="4"/>
  <c r="IL5" i="4"/>
  <c r="JC5" i="4"/>
  <c r="JD5" i="4"/>
  <c r="JE5" i="4"/>
  <c r="JG5" i="4"/>
  <c r="JH5" i="4"/>
  <c r="JY5" i="4"/>
  <c r="JZ5" i="4"/>
  <c r="KA5" i="4"/>
  <c r="KC5" i="4"/>
  <c r="KD5" i="4"/>
  <c r="KU5" i="4"/>
  <c r="KV5" i="4"/>
  <c r="KW5" i="4"/>
  <c r="KY5" i="4"/>
  <c r="KZ5" i="4"/>
  <c r="LQ5" i="4"/>
  <c r="LR5" i="4"/>
  <c r="LS5" i="4"/>
  <c r="LU5" i="4"/>
  <c r="LV5" i="4"/>
  <c r="MM5" i="4"/>
  <c r="MN5" i="4"/>
  <c r="MO5" i="4"/>
  <c r="MQ5" i="4"/>
  <c r="MR5" i="4"/>
  <c r="NI5" i="4"/>
  <c r="NJ5" i="4"/>
  <c r="NL5" i="4" s="1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4" i="4"/>
  <c r="CZ4" i="4"/>
  <c r="DA4" i="4"/>
  <c r="DB4" i="4"/>
  <c r="DC4" i="4"/>
  <c r="DE4" i="4"/>
  <c r="DF4" i="4"/>
  <c r="LT4" i="12"/>
  <c r="LU4" i="12"/>
  <c r="LV4" i="12"/>
  <c r="LW4" i="12"/>
  <c r="KY4" i="12"/>
  <c r="KZ4" i="12"/>
  <c r="LA4" i="12"/>
  <c r="LB4" i="12"/>
  <c r="KD4" i="12"/>
  <c r="KE4" i="12"/>
  <c r="KF4" i="12"/>
  <c r="KG4" i="12"/>
  <c r="JI4" i="12"/>
  <c r="JJ4" i="12"/>
  <c r="JK4" i="12"/>
  <c r="JL4" i="12"/>
  <c r="IN4" i="12"/>
  <c r="IO4" i="12"/>
  <c r="IP4" i="12"/>
  <c r="IQ4" i="12"/>
  <c r="HS4" i="12"/>
  <c r="HT4" i="12"/>
  <c r="HU4" i="12"/>
  <c r="HV4" i="12"/>
  <c r="GX4" i="12"/>
  <c r="GY4" i="12"/>
  <c r="GZ4" i="12"/>
  <c r="HA4" i="12"/>
  <c r="GE4" i="12"/>
  <c r="FJ4" i="12"/>
  <c r="EO4" i="12"/>
  <c r="DT4" i="12"/>
  <c r="CY4" i="12"/>
  <c r="CB4" i="12"/>
  <c r="LV4" i="6"/>
  <c r="LA4" i="6"/>
  <c r="KF4" i="6"/>
  <c r="JK4" i="6"/>
  <c r="IP4" i="6"/>
  <c r="HU4" i="6"/>
  <c r="GZ4" i="6"/>
  <c r="GE4" i="6"/>
  <c r="FJ4" i="6"/>
  <c r="EO4" i="6"/>
  <c r="DT4" i="6"/>
  <c r="CY4" i="6"/>
  <c r="CB4" i="6"/>
  <c r="LV4" i="8"/>
  <c r="LA4" i="8"/>
  <c r="KF4" i="8"/>
  <c r="JK4" i="8"/>
  <c r="IP4" i="8"/>
  <c r="HU4" i="8"/>
  <c r="GZ4" i="8"/>
  <c r="GE4" i="8"/>
  <c r="FJ4" i="8"/>
  <c r="EO4" i="8"/>
  <c r="DT4" i="8"/>
  <c r="CY4" i="8"/>
  <c r="CB4" i="8"/>
  <c r="LV4" i="7"/>
  <c r="LA4" i="7"/>
  <c r="KF4" i="7"/>
  <c r="IP4" i="7"/>
  <c r="HU4" i="7"/>
  <c r="GZ4" i="7"/>
  <c r="GE4" i="7"/>
  <c r="FJ4" i="7"/>
  <c r="EO4" i="7"/>
  <c r="DT4" i="7"/>
  <c r="CY4" i="7"/>
  <c r="CB4" i="7"/>
  <c r="R5" i="13" l="1"/>
  <c r="J5" i="13"/>
  <c r="K5" i="13"/>
  <c r="DJ5" i="13" s="1"/>
  <c r="DD4" i="13"/>
  <c r="DG4" i="13" s="1"/>
  <c r="OP5" i="13"/>
  <c r="OS5" i="13" s="1"/>
  <c r="F5" i="13"/>
  <c r="A5" i="13" a="1"/>
  <c r="A5" i="13" s="1"/>
  <c r="I5" i="13"/>
  <c r="IJ4" i="13"/>
  <c r="FV4" i="13"/>
  <c r="LT5" i="4"/>
  <c r="LW5" i="4" s="1"/>
  <c r="FY5" i="4"/>
  <c r="KB5" i="4"/>
  <c r="EZ5" i="4"/>
  <c r="FC5" i="4" s="1"/>
  <c r="OO5" i="4"/>
  <c r="KX5" i="4"/>
  <c r="LA5" i="4" s="1"/>
  <c r="MP5" i="4"/>
  <c r="MS5" i="4" s="1"/>
  <c r="GR5" i="4"/>
  <c r="GU5" i="4" s="1"/>
  <c r="NO5" i="4"/>
  <c r="LT4" i="13"/>
  <c r="LW4" i="13" s="1"/>
  <c r="MS4" i="13"/>
  <c r="FC4" i="13"/>
  <c r="ED4" i="13"/>
  <c r="EG4" i="13" s="1"/>
  <c r="OO4" i="13"/>
  <c r="OR4" i="13"/>
  <c r="NL4" i="13"/>
  <c r="NO4" i="13" s="1"/>
  <c r="LA4" i="13"/>
  <c r="IM4" i="13"/>
  <c r="KE4" i="13"/>
  <c r="HN4" i="13"/>
  <c r="HQ4" i="13" s="1"/>
  <c r="FY4" i="13"/>
  <c r="OK4" i="13"/>
  <c r="OM4" i="13"/>
  <c r="Q4" i="13"/>
  <c r="DK4" i="13" s="1"/>
  <c r="H4" i="13"/>
  <c r="G4" i="13"/>
  <c r="DD5" i="4"/>
  <c r="DG5" i="4" s="1"/>
  <c r="KE5" i="4"/>
  <c r="JF5" i="4"/>
  <c r="JI5" i="4" s="1"/>
  <c r="IJ5" i="4"/>
  <c r="IM5" i="4" s="1"/>
  <c r="HN5" i="4"/>
  <c r="HQ5" i="4" s="1"/>
  <c r="OK5" i="4"/>
  <c r="OM5" i="4"/>
  <c r="OR5" i="4"/>
  <c r="G5" i="4"/>
  <c r="F5" i="4" s="1"/>
  <c r="Q5" i="4"/>
  <c r="DK5" i="4" s="1"/>
  <c r="LC4" i="12"/>
  <c r="OR4" i="4"/>
  <c r="OM4" i="4"/>
  <c r="OO4" i="4"/>
  <c r="DD4" i="4"/>
  <c r="DG4" i="4" s="1"/>
  <c r="LX4" i="12"/>
  <c r="HW4" i="12"/>
  <c r="IR4" i="12"/>
  <c r="HB4" i="12"/>
  <c r="JM4" i="12"/>
  <c r="KH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Y4" i="12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C4" i="12"/>
  <c r="CA4" i="12"/>
  <c r="J4" i="12" s="1"/>
  <c r="L4" i="12" s="1"/>
  <c r="M4" i="12" s="1"/>
  <c r="BZ4" i="12"/>
  <c r="CC4" i="6"/>
  <c r="CA4" i="6"/>
  <c r="J4" i="6" s="1"/>
  <c r="BZ4" i="6"/>
  <c r="CC4" i="8"/>
  <c r="CA4" i="8"/>
  <c r="BZ4" i="8"/>
  <c r="CC4" i="7"/>
  <c r="CA4" i="7"/>
  <c r="BZ4" i="7"/>
  <c r="NQ4" i="4"/>
  <c r="NR4" i="4"/>
  <c r="NS4" i="4"/>
  <c r="NP4" i="4"/>
  <c r="M5" i="13" l="1"/>
  <c r="DH5" i="13" s="1"/>
  <c r="K4" i="13"/>
  <c r="L4" i="13" s="1"/>
  <c r="O5" i="13"/>
  <c r="L5" i="13"/>
  <c r="CE4" i="12"/>
  <c r="K4" i="12"/>
  <c r="CF4" i="12"/>
  <c r="CE4" i="6"/>
  <c r="K4" i="6"/>
  <c r="OP4" i="13"/>
  <c r="OS4" i="13" s="1"/>
  <c r="R4" i="13"/>
  <c r="I4" i="13"/>
  <c r="F4" i="13"/>
  <c r="A4" i="13" a="1"/>
  <c r="A4" i="13" s="1"/>
  <c r="J4" i="13"/>
  <c r="R5" i="4"/>
  <c r="K5" i="4"/>
  <c r="DJ5" i="4" s="1"/>
  <c r="OP5" i="4"/>
  <c r="OS5" i="4" s="1"/>
  <c r="H5" i="4"/>
  <c r="I5" i="4" s="1"/>
  <c r="J5" i="4"/>
  <c r="OK4" i="4"/>
  <c r="OP4" i="4" s="1"/>
  <c r="MR4" i="8"/>
  <c r="MR4" i="7"/>
  <c r="MR4" i="6"/>
  <c r="MQ4" i="12"/>
  <c r="MR4" i="12"/>
  <c r="MP4" i="12"/>
  <c r="MS4" i="12"/>
  <c r="CD4" i="12"/>
  <c r="CD4" i="6"/>
  <c r="L4" i="6" s="1"/>
  <c r="M4" i="6" s="1"/>
  <c r="CD4" i="8"/>
  <c r="CD4" i="7"/>
  <c r="P5" i="13" l="1"/>
  <c r="N5" i="13"/>
  <c r="DJ4" i="13"/>
  <c r="O4" i="13"/>
  <c r="DI4" i="13" s="1"/>
  <c r="M4" i="13"/>
  <c r="N4" i="13" s="1"/>
  <c r="DI5" i="13"/>
  <c r="S5" i="13" s="1"/>
  <c r="O5" i="4"/>
  <c r="DI5" i="4" s="1"/>
  <c r="M5" i="4"/>
  <c r="L5" i="4"/>
  <c r="OS4" i="4"/>
  <c r="MT4" i="12"/>
  <c r="E5" i="13" l="1"/>
  <c r="P4" i="13"/>
  <c r="DH4" i="13"/>
  <c r="S4" i="13" s="1"/>
  <c r="U5" i="13"/>
  <c r="T5" i="13"/>
  <c r="P5" i="4"/>
  <c r="N5" i="4"/>
  <c r="DH5" i="4"/>
  <c r="S5" i="4" s="1"/>
  <c r="E5" i="4" l="1"/>
  <c r="A5" i="4" s="1" a="1"/>
  <c r="A5" i="4" s="1"/>
  <c r="T4" i="13"/>
  <c r="U4" i="13"/>
  <c r="E4" i="13"/>
  <c r="U5" i="4"/>
  <c r="T5" i="4"/>
  <c r="C11" i="11" l="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MR4" i="4" l="1"/>
  <c r="MQ4" i="4"/>
  <c r="MO4" i="4"/>
  <c r="MN4" i="4"/>
  <c r="MM4" i="4"/>
  <c r="LV4" i="4"/>
  <c r="LU4" i="4"/>
  <c r="LS4" i="4"/>
  <c r="LR4" i="4"/>
  <c r="LQ4" i="4"/>
  <c r="KZ4" i="4"/>
  <c r="KY4" i="4"/>
  <c r="KW4" i="4"/>
  <c r="KV4" i="4"/>
  <c r="KU4" i="4"/>
  <c r="KD4" i="4"/>
  <c r="KC4" i="4"/>
  <c r="KA4" i="4"/>
  <c r="JZ4" i="4"/>
  <c r="JY4" i="4"/>
  <c r="JH4" i="4"/>
  <c r="JG4" i="4"/>
  <c r="JE4" i="4"/>
  <c r="JD4" i="4"/>
  <c r="JC4" i="4"/>
  <c r="IL4" i="4"/>
  <c r="IK4" i="4"/>
  <c r="II4" i="4"/>
  <c r="IH4" i="4"/>
  <c r="IG4" i="4"/>
  <c r="HP4" i="4"/>
  <c r="HO4" i="4"/>
  <c r="HM4" i="4"/>
  <c r="HL4" i="4"/>
  <c r="HK4" i="4"/>
  <c r="GT4" i="4"/>
  <c r="GS4" i="4"/>
  <c r="GQ4" i="4"/>
  <c r="GP4" i="4"/>
  <c r="GO4" i="4"/>
  <c r="FX4" i="4"/>
  <c r="FW4" i="4"/>
  <c r="FU4" i="4"/>
  <c r="FT4" i="4"/>
  <c r="FS4" i="4"/>
  <c r="FB4" i="4"/>
  <c r="FA4" i="4"/>
  <c r="EY4" i="4"/>
  <c r="EX4" i="4"/>
  <c r="EW4" i="4"/>
  <c r="EF4" i="4"/>
  <c r="EE4" i="4"/>
  <c r="EC4" i="4"/>
  <c r="EB4" i="4"/>
  <c r="EA4" i="4"/>
  <c r="KX4" i="4" l="1"/>
  <c r="LA4" i="4" s="1"/>
  <c r="LT4" i="4"/>
  <c r="LW4" i="4" s="1"/>
  <c r="EZ4" i="4"/>
  <c r="FC4" i="4" s="1"/>
  <c r="KB4" i="4"/>
  <c r="KE4" i="4" s="1"/>
  <c r="GR4" i="4"/>
  <c r="GU4" i="4" s="1"/>
  <c r="JF4" i="4"/>
  <c r="JI4" i="4" s="1"/>
  <c r="ED4" i="4"/>
  <c r="EG4" i="4" s="1"/>
  <c r="FV4" i="4"/>
  <c r="FY4" i="4" s="1"/>
  <c r="HN4" i="4"/>
  <c r="HQ4" i="4" s="1"/>
  <c r="IJ4" i="4"/>
  <c r="IM4" i="4" s="1"/>
  <c r="MP4" i="4"/>
  <c r="MS4" i="4" s="1"/>
  <c r="GF4" i="12"/>
  <c r="GD4" i="12"/>
  <c r="GC4" i="12"/>
  <c r="FK4" i="12"/>
  <c r="FI4" i="12"/>
  <c r="FH4" i="12"/>
  <c r="EP4" i="12"/>
  <c r="EN4" i="12"/>
  <c r="EM4" i="12"/>
  <c r="DU4" i="12"/>
  <c r="DS4" i="12"/>
  <c r="DR4" i="12"/>
  <c r="CZ4" i="12"/>
  <c r="CX4" i="12"/>
  <c r="CW4" i="12"/>
  <c r="LB4" i="6"/>
  <c r="KZ4" i="6"/>
  <c r="KY4" i="6"/>
  <c r="KG4" i="6"/>
  <c r="KE4" i="6"/>
  <c r="KD4" i="6"/>
  <c r="JL4" i="6"/>
  <c r="JJ4" i="6"/>
  <c r="JI4" i="6"/>
  <c r="IQ4" i="6"/>
  <c r="IO4" i="6"/>
  <c r="IN4" i="6"/>
  <c r="HV4" i="6"/>
  <c r="HT4" i="6"/>
  <c r="HS4" i="6"/>
  <c r="HA4" i="6"/>
  <c r="GY4" i="6"/>
  <c r="GX4" i="6"/>
  <c r="GF4" i="6"/>
  <c r="GD4" i="6"/>
  <c r="GC4" i="6"/>
  <c r="FK4" i="6"/>
  <c r="FI4" i="6"/>
  <c r="FH4" i="6"/>
  <c r="EP4" i="6"/>
  <c r="EN4" i="6"/>
  <c r="EM4" i="6"/>
  <c r="DU4" i="6"/>
  <c r="DS4" i="6"/>
  <c r="DR4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4" i="7"/>
  <c r="KZ4" i="7"/>
  <c r="KY4" i="7"/>
  <c r="KG4" i="7"/>
  <c r="KE4" i="7"/>
  <c r="KD4" i="7"/>
  <c r="JL4" i="7"/>
  <c r="JJ4" i="7"/>
  <c r="JI4" i="7"/>
  <c r="IQ4" i="7"/>
  <c r="IO4" i="7"/>
  <c r="IN4" i="7"/>
  <c r="HV4" i="7"/>
  <c r="HT4" i="7"/>
  <c r="HS4" i="7"/>
  <c r="HA4" i="7"/>
  <c r="GY4" i="7"/>
  <c r="GX4" i="7"/>
  <c r="GF4" i="7"/>
  <c r="GD4" i="7"/>
  <c r="GC4" i="7"/>
  <c r="FK4" i="7"/>
  <c r="FI4" i="7"/>
  <c r="FH4" i="7"/>
  <c r="EP4" i="7"/>
  <c r="EN4" i="7"/>
  <c r="EM4" i="7"/>
  <c r="DU4" i="7"/>
  <c r="DS4" i="7"/>
  <c r="DR4" i="7"/>
  <c r="CZ4" i="7"/>
  <c r="CX4" i="7"/>
  <c r="CW4" i="7"/>
  <c r="HB4" i="6" l="1"/>
  <c r="KH4" i="6"/>
  <c r="DA4" i="6"/>
  <c r="HW4" i="6"/>
  <c r="JM4" i="6"/>
  <c r="DA4" i="8"/>
  <c r="JM4" i="8"/>
  <c r="HW4" i="7"/>
  <c r="HB4" i="7"/>
  <c r="KH4" i="7"/>
  <c r="GG4" i="12"/>
  <c r="IR4" i="8"/>
  <c r="HB4" i="8"/>
  <c r="IR4" i="7"/>
  <c r="EQ4" i="12"/>
  <c r="FL4" i="12"/>
  <c r="DA4" i="12"/>
  <c r="DV4" i="12"/>
  <c r="FL4" i="6"/>
  <c r="DV4" i="6"/>
  <c r="GG4" i="6"/>
  <c r="IR4" i="6"/>
  <c r="LC4" i="6"/>
  <c r="DV4" i="8"/>
  <c r="HW4" i="8"/>
  <c r="EQ4" i="8"/>
  <c r="FL4" i="8"/>
  <c r="KH4" i="8"/>
  <c r="GG4" i="8"/>
  <c r="LC4" i="8"/>
  <c r="DA4" i="7"/>
  <c r="EQ4" i="7"/>
  <c r="LC4" i="7"/>
  <c r="FL4" i="7"/>
  <c r="DV4" i="7"/>
  <c r="GG4" i="7"/>
  <c r="JM4" i="7"/>
  <c r="EQ4" i="6"/>
  <c r="K4" i="4" l="1"/>
  <c r="O4" i="4" s="1"/>
  <c r="NM4" i="4" l="1"/>
  <c r="MP4" i="8" l="1"/>
  <c r="MP4" i="6"/>
  <c r="MQ4" i="6"/>
  <c r="MS4" i="6"/>
  <c r="MQ4" i="8"/>
  <c r="MS4" i="8"/>
  <c r="MQ4" i="7"/>
  <c r="MP4" i="7"/>
  <c r="MS4" i="7"/>
  <c r="MT4" i="7" l="1"/>
  <c r="MT4" i="8"/>
  <c r="MT4" i="6"/>
  <c r="LT4" i="6"/>
  <c r="LU4" i="8" l="1"/>
  <c r="G4" i="8"/>
  <c r="LU4" i="7"/>
  <c r="G4" i="12"/>
  <c r="F4" i="12" l="1"/>
  <c r="J4" i="7"/>
  <c r="K4" i="7" s="1"/>
  <c r="G4" i="7"/>
  <c r="J4" i="8"/>
  <c r="K4" i="8" s="1"/>
  <c r="H4" i="12" l="1"/>
  <c r="I4" i="12" s="1"/>
  <c r="N4" i="12" l="1"/>
  <c r="O4" i="12" l="1"/>
  <c r="P4" i="12"/>
  <c r="E4" i="12"/>
  <c r="A4" i="12" l="1"/>
  <c r="LW4" i="6"/>
  <c r="LU4" i="6"/>
  <c r="C42" i="11" l="1"/>
  <c r="C49" i="11"/>
  <c r="C43" i="11"/>
  <c r="C44" i="11"/>
  <c r="C45" i="11"/>
  <c r="C46" i="11"/>
  <c r="C47" i="11"/>
  <c r="C48" i="11"/>
  <c r="G4" i="6"/>
  <c r="F4" i="6"/>
  <c r="D43" i="11"/>
  <c r="D48" i="11"/>
  <c r="D49" i="11"/>
  <c r="D42" i="11"/>
  <c r="D44" i="11"/>
  <c r="D45" i="11"/>
  <c r="D46" i="11"/>
  <c r="D47" i="11"/>
  <c r="LX4" i="6"/>
  <c r="H4" i="6" l="1"/>
  <c r="I4" i="6" s="1"/>
  <c r="NI4" i="4"/>
  <c r="G4" i="4" s="1"/>
  <c r="F4" i="4" s="1"/>
  <c r="CF4" i="6" l="1"/>
  <c r="L4" i="8"/>
  <c r="M4" i="8" s="1"/>
  <c r="L4" i="7"/>
  <c r="M4" i="7" s="1"/>
  <c r="Q4" i="4" l="1"/>
  <c r="R4" i="4" s="1"/>
  <c r="CE4" i="7" l="1"/>
  <c r="CE4" i="8"/>
  <c r="L4" i="4" l="1"/>
  <c r="P4" i="4" s="1"/>
  <c r="M4" i="4"/>
  <c r="N4" i="4" l="1"/>
  <c r="LW4" i="7" l="1"/>
  <c r="LT4" i="7"/>
  <c r="LW4" i="8"/>
  <c r="LT4" i="8"/>
  <c r="F4" i="7" l="1"/>
  <c r="F4" i="8"/>
  <c r="H4" i="8" s="1"/>
  <c r="CF4" i="8"/>
  <c r="CF4" i="7"/>
  <c r="LX4" i="7"/>
  <c r="LX4" i="8"/>
  <c r="H4" i="7" l="1"/>
  <c r="I4" i="7" s="1"/>
  <c r="I4" i="8"/>
  <c r="N4" i="7"/>
  <c r="P4" i="7" s="1"/>
  <c r="O4" i="7" l="1"/>
  <c r="E4" i="7"/>
  <c r="N4" i="8" l="1"/>
  <c r="P4" i="8" s="1"/>
  <c r="NJ4" i="4"/>
  <c r="NK4" i="4"/>
  <c r="NN4" i="4"/>
  <c r="H4" i="4" l="1"/>
  <c r="O4" i="8"/>
  <c r="DH4" i="4"/>
  <c r="DK4" i="4"/>
  <c r="DI4" i="4"/>
  <c r="E4" i="8"/>
  <c r="NL4" i="4"/>
  <c r="I4" i="4" l="1"/>
  <c r="J4" i="4"/>
  <c r="NO4" i="4"/>
  <c r="DJ4" i="4"/>
  <c r="N4" i="6" l="1"/>
  <c r="P4" i="6" l="1"/>
  <c r="O4" i="6"/>
  <c r="E4" i="6"/>
  <c r="S4" i="4" l="1"/>
  <c r="U4" i="4" s="1"/>
  <c r="A4" i="6" l="1"/>
  <c r="T4" i="4"/>
  <c r="E4" i="4"/>
  <c r="A4" i="4" l="1" a="1"/>
  <c r="A4" i="4" s="1"/>
  <c r="C34" i="11"/>
  <c r="C35" i="11"/>
  <c r="C36" i="11"/>
  <c r="C37" i="11"/>
  <c r="C38" i="11"/>
  <c r="C39" i="11"/>
  <c r="C40" i="11"/>
  <c r="C41" i="11"/>
  <c r="D35" i="11"/>
  <c r="D36" i="11"/>
  <c r="D37" i="11"/>
  <c r="D41" i="11"/>
  <c r="D34" i="11"/>
  <c r="D38" i="11"/>
  <c r="D39" i="11"/>
  <c r="D40" i="11"/>
  <c r="A4" i="8"/>
  <c r="A4" i="7"/>
  <c r="C18" i="11" s="1"/>
  <c r="C26" i="11" l="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<sst xmlns="http://schemas.openxmlformats.org/spreadsheetml/2006/main" count="2738" uniqueCount="88">
  <si>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</si>
  <si>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</si>
  <si>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</si>
  <si>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</si>
  <si>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</si>
  <si>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</si>
  <si>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</si>
  <si>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</si>
  <si>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</si>
  <si>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</si>
  <si>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</si>
  <si>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</si>
  <si>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</si>
  <si>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</si>
  <si>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</si>
  <si>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</si>
  <si>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</si>
  <si>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</si>
  <si>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</si>
  <si>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</si>
  <si>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</si>
  <si>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</si>
  <si>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</si>
  <si>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</si>
  <si>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</si>
  <si>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</si>
  <si>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</si>
  <si>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</si>
  <si>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</si>
  <si>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</si>
  <si>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</si>
  <si>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</si>
  <si>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</si>
  <si>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</si>
  <si>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</si>
  <si>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</si>
  <si>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</si>
  <si>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</si>
  <si>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</si>
  <si>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</si>
  <si>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</si>
  <si>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</si>
  <si>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</si>
  <si>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</si>
  <si>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</si>
  <si>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</si>
  <si>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</si>
  <si>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</si>
  <si>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</si>
  <si>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</si>
  <si>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</si>
  <si>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</si>
  <si>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</si>
  <si>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</si>
  <si>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</si>
  <si>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</si>
  <si>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</si>
  <si>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</si>
  <si>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</si>
  <si>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</si>
  <si>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</si>
  <si>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</si>
  <si>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</si>
  <si>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</si>
  <si>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</si>
  <si>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</si>
  <si>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</si>
  <si>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</si>
  <si>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</si>
  <si>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</si>
  <si>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</si>
  <si>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</si>
  <si>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</si>
  <si>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CLOUTIER, Étienne</t>
  </si>
  <si>
    <t>Best Vol 2</t>
  </si>
  <si>
    <t>Level Empty</t>
  </si>
  <si>
    <t>Worlds Eligible</t>
  </si>
  <si>
    <t>2021 2nd Virtual Technical Trial</t>
  </si>
  <si>
    <t>ON</t>
  </si>
  <si>
    <t>REMIAS, Botond</t>
  </si>
  <si>
    <t>AB</t>
  </si>
  <si>
    <t>ULMER, Lily-Ann</t>
  </si>
  <si>
    <t>MATTHEWS, Jared</t>
  </si>
  <si>
    <t>Best 4 Pass</t>
  </si>
  <si>
    <t>2021 Elite Canada</t>
  </si>
  <si>
    <t>PROBE, Celia</t>
  </si>
  <si>
    <t>2021 Canadian Championships</t>
  </si>
  <si>
    <t>Canadian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</si>
</sst>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24" fillId="5" borderId="0" xfId="0" applyFont="1" applyFill="1" applyAlignment="1"/>
    <xf numFmtId="164" fontId="24" fillId="5" borderId="0" xfId="0" applyNumberFormat="1" applyFont="1" applyFill="1" applyProtection="1">
      <protection locked="0"/>
    </xf>
    <xf numFmtId="0" fontId="23" fillId="18" borderId="0" xfId="0" applyFont="1" applyFill="1" applyAlignment="1"/>
    <xf numFmtId="164" fontId="23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35</v>
      </c>
      <c r="B1" t="s">
        <v>1</v>
      </c>
      <c r="C1" t="s">
        <v>37</v>
      </c>
      <c r="D1" s="115" t="s">
        <v>6</v>
      </c>
      <c r="E1" s="44"/>
      <c r="F1" s="44"/>
      <c r="J1" s="44"/>
      <c r="K1" s="44"/>
      <c r="L1" s="44"/>
    </row>
    <row r="2" spans="1:12" x14ac:dyDescent="0.2">
      <c r="A2" s="10" t="s">
        <v>36</v>
      </c>
      <c r="B2" s="10">
        <v>1</v>
      </c>
      <c r="C2" s="10" t="str">
        <f>IF(B2&gt;MAX('TRA-M'!A:A),"",INDEX('TRA-M'!B:B,MATCH(B2,'TRA-M'!A:A,0)))</f>
        <v>CLOUTIER, Étienne</v>
      </c>
      <c r="D2" s="111" t="str">
        <f>IF(B2&gt;MAX('TRA-M'!A:A),"",INDEX('TRA-M'!I:I,MATCH(B2,'TRA-M'!A:A,0)))</f>
        <v>National Team</v>
      </c>
      <c r="E2" s="25"/>
      <c r="F2" s="25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111" t="str">
        <f>IF(B3&gt;MAX('TRA-M'!A:A),"",INDEX('TRA-M'!I:I,MATCH(B3,'TRA-M'!A:A,0)))</f>
        <v/>
      </c>
      <c r="E3" s="25"/>
      <c r="F3" s="25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111" t="str">
        <f>IF(B4&gt;MAX('TRA-M'!A:A),"",INDEX('TRA-M'!I:I,MATCH(B4,'TRA-M'!A:A,0)))</f>
        <v/>
      </c>
      <c r="E4" s="25"/>
      <c r="F4" s="25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111" t="str">
        <f>IF(B5&gt;MAX('TRA-M'!A:A),"",INDEX('TRA-M'!I:I,MATCH(B5,'TRA-M'!A:A,0)))</f>
        <v/>
      </c>
    </row>
    <row r="6" spans="1:12" hidden="1" x14ac:dyDescent="0.2">
      <c r="A6" s="10"/>
      <c r="B6" s="10">
        <v>5</v>
      </c>
      <c r="C6" s="10" t="str">
        <f>IF(B6&gt;MAX('TRA-M'!A:A),"",INDEX('TRA-M'!B:B,MATCH(B6,'TRA-M'!A:A,0)))</f>
        <v/>
      </c>
      <c r="D6" s="111" t="str">
        <f>IF(B6&gt;MAX('TRA-M'!A:A),"",INDEX('TRA-M'!I:I,MATCH(B6,'TRA-M'!A:A,0)))</f>
        <v/>
      </c>
    </row>
    <row r="7" spans="1:12" hidden="1" x14ac:dyDescent="0.2">
      <c r="A7" s="10"/>
      <c r="B7" s="10">
        <v>6</v>
      </c>
      <c r="C7" s="10" t="str">
        <f>IF(B7&gt;MAX('TRA-M'!A:A),"",INDEX('TRA-M'!B:B,MATCH(B7,'TRA-M'!A:A,0)))</f>
        <v/>
      </c>
      <c r="D7" s="111" t="str">
        <f>IF(B7&gt;MAX('TRA-M'!A:A),"",INDEX('TRA-M'!I:I,MATCH(B7,'TRA-M'!A:A,0)))</f>
        <v/>
      </c>
      <c r="G7" s="45"/>
    </row>
    <row r="8" spans="1:12" hidden="1" x14ac:dyDescent="0.2">
      <c r="A8" s="10"/>
      <c r="B8" s="10">
        <v>7</v>
      </c>
      <c r="C8" s="10" t="str">
        <f>IF(B8&gt;MAX('TRA-M'!A:A),"",INDEX('TRA-M'!B:B,MATCH(B8,'TRA-M'!A:A,0)))</f>
        <v/>
      </c>
      <c r="D8" s="111" t="str">
        <f>IF(B8&gt;MAX('TRA-M'!A:A),"",INDEX('TRA-M'!I:I,MATCH(B8,'TRA-M'!A:A,0)))</f>
        <v/>
      </c>
      <c r="G8" s="45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1" t="str">
        <f>IF(B9&gt;MAX('TRA-M'!A:A),"",INDEX('TRA-M'!I:I,MATCH(B9,'TRA-M'!A:A,0)))</f>
        <v/>
      </c>
    </row>
    <row r="10" spans="1:12" hidden="1" x14ac:dyDescent="0.2">
      <c r="A10" s="13" t="s">
        <v>39</v>
      </c>
      <c r="B10" s="13">
        <v>1</v>
      </c>
      <c r="C10" s="13" t="str">
        <f>IF(B2&gt;MAX('TRA-W'!A:A),"",INDEX('TRA-W'!B:B,MATCH(B2,'TRA-W'!A:A,0)))</f>
        <v/>
      </c>
      <c r="D10" s="112" t="str">
        <f>IF(B2&gt;MAX('TRA-W'!A:A),"",INDEX('TRA-W'!I:I,MATCH(B2,'TRA-W'!A:A,0)))</f>
        <v/>
      </c>
    </row>
    <row r="11" spans="1:12" hidden="1" x14ac:dyDescent="0.2">
      <c r="A11" s="13"/>
      <c r="B11" s="13">
        <v>2</v>
      </c>
      <c r="C11" s="13" t="str">
        <f>IF(B3&gt;MAX('TRA-W'!A:A),"",INDEX('TRA-W'!B:B,MATCH(B3,'TRA-W'!A:A,0)))</f>
        <v/>
      </c>
      <c r="D11" s="117" t="str">
        <f>IF(B3&gt;MAX('TRA-W'!A:A),"",INDEX('TRA-W'!I:I,MATCH(B3,'TRA-W'!A:A,0)))</f>
        <v/>
      </c>
    </row>
    <row r="12" spans="1:12" hidden="1" x14ac:dyDescent="0.2">
      <c r="A12" s="13"/>
      <c r="B12" s="13">
        <v>3</v>
      </c>
      <c r="C12" s="13" t="str">
        <f>IF(B4&gt;MAX('TRA-W'!A:A),"",INDEX('TRA-W'!B:B,MATCH(B4,'TRA-W'!A:A,0)))</f>
        <v/>
      </c>
      <c r="D12" s="117" t="str">
        <f>IF(B4&gt;MAX('TRA-W'!A:A),"",INDEX('TRA-W'!I:I,MATCH(B4,'TRA-W'!A:A,0)))</f>
        <v/>
      </c>
    </row>
    <row r="13" spans="1:12" hidden="1" x14ac:dyDescent="0.2">
      <c r="A13" s="13"/>
      <c r="B13" s="13">
        <v>4</v>
      </c>
      <c r="C13" s="13" t="str">
        <f>IF(B5&gt;MAX('TRA-W'!A:A),"",INDEX('TRA-W'!B:B,MATCH(B5,'TRA-W'!A:A,0)))</f>
        <v/>
      </c>
      <c r="D13" s="117" t="str">
        <f>IF(B5&gt;MAX('TRA-W'!A:A),"",INDEX('TRA-W'!I:I,MATCH(B5,'TRA-W'!A:A,0)))</f>
        <v/>
      </c>
    </row>
    <row r="14" spans="1:12" hidden="1" x14ac:dyDescent="0.2">
      <c r="A14" s="13"/>
      <c r="B14" s="13">
        <v>5</v>
      </c>
      <c r="C14" s="13" t="str">
        <f>IF(B6&gt;MAX('TRA-W'!A:A),"",INDEX('TRA-W'!B:B,MATCH(B6,'TRA-W'!A:A,0)))</f>
        <v/>
      </c>
      <c r="D14" s="117" t="str">
        <f>IF(B6&gt;MAX('TRA-W'!A:A),"",INDEX('TRA-W'!I:I,MATCH(B6,'TRA-W'!A:A,0)))</f>
        <v/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7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7" t="str">
        <f>IF(B8&gt;MAX('TRA-W'!A:A),"",INDEX('TRA-W'!I:I,MATCH(B8,'TRA-W'!A:A,0)))</f>
        <v/>
      </c>
      <c r="J16" s="44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7" t="str">
        <f>IF(B9&gt;MAX('TRA-W'!A:A),"",INDEX('TRA-W'!I:I,MATCH(B9,'TRA-W'!A:A,0)))</f>
        <v/>
      </c>
      <c r="J17" s="44"/>
    </row>
    <row r="18" spans="1:10" x14ac:dyDescent="0.2">
      <c r="A18" s="10" t="s">
        <v>40</v>
      </c>
      <c r="B18" s="10">
        <v>1</v>
      </c>
      <c r="C18" s="10" t="str">
        <f>IF(B2&gt;MAX('TUM-M'!A:A),"",INDEX('TUM-M'!B:B,MATCH(B2,'TUM-M'!A:A,0)))</f>
        <v>MATTHEWS, Jared</v>
      </c>
      <c r="D18" s="111" t="str">
        <f>IF(B2&gt;MAX('TUM-M'!A:A),"",INDEX('TUM-M'!H:H,MATCH(B2,'TUM-M'!A:A,0)))</f>
        <v>Excellence</v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1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1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1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1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1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1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1" t="str">
        <f>IF(B9&gt;MAX('TUM-M'!A:A),"",INDEX('TUM-M'!H:H,MATCH(B9,'TUM-M'!A:A,0)))</f>
        <v/>
      </c>
    </row>
    <row r="26" spans="1:10" hidden="1" x14ac:dyDescent="0.2">
      <c r="A26" s="13" t="s">
        <v>41</v>
      </c>
      <c r="B26" s="13">
        <v>1</v>
      </c>
      <c r="C26" s="13" t="str">
        <f>IF(B2&gt;MAX('TUM-W'!A:A),"",INDEX('TUM-W'!B:B,MATCH(B2,'TUM-W'!A:A,0)))</f>
        <v/>
      </c>
      <c r="D26" s="112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2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2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2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2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2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2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2" t="str">
        <f>IF(B9&gt;MAX('TUM-W'!A:A),"",INDEX('TUM-W'!H:H,MATCH(B9,'TUM-W'!A:A,0)))</f>
        <v/>
      </c>
    </row>
    <row r="34" spans="1:4" x14ac:dyDescent="0.2">
      <c r="A34" s="10" t="s">
        <v>42</v>
      </c>
      <c r="B34" s="10">
        <v>1</v>
      </c>
      <c r="C34" s="10" t="str">
        <f>IF(B2&gt;MAX('DMT-M'!A:A),"",INDEX('DMT-M'!B:B,MATCH(B2,'DMT-M'!A:A,0)))</f>
        <v>CLOUTIER, Étienne</v>
      </c>
      <c r="D34" s="111" t="str">
        <f>IF(B2&gt;MAX('DMT-M'!A:A),"",INDEX('DMT-M'!H:H,MATCH(B2,'DMT-M'!A:A,0)))</f>
        <v>Excellence</v>
      </c>
    </row>
    <row r="35" spans="1:4" hidden="1" x14ac:dyDescent="0.2">
      <c r="A35" s="10"/>
      <c r="B35" s="10">
        <v>2</v>
      </c>
      <c r="C35" s="10" t="str">
        <f>IF(B3&gt;MAX('DMT-M'!A:A),"",INDEX('DMT-M'!B:B,MATCH(B3,'DMT-M'!A:A,0)))</f>
        <v/>
      </c>
      <c r="D35" s="111" t="str">
        <f>IF(B3&gt;MAX('DMT-M'!A:A),"",INDEX('DMT-M'!H:H,MATCH(B3,'DMT-M'!A:A,0)))</f>
        <v/>
      </c>
    </row>
    <row r="36" spans="1:4" hidden="1" x14ac:dyDescent="0.2">
      <c r="A36" s="10"/>
      <c r="B36" s="10">
        <v>3</v>
      </c>
      <c r="C36" s="10" t="str">
        <f>IF(B4&gt;MAX('DMT-M'!A:A),"",INDEX('DMT-M'!B:B,MATCH(B4,'DMT-M'!A:A,0)))</f>
        <v/>
      </c>
      <c r="D36" s="111" t="str">
        <f>IF(B4&gt;MAX('DMT-M'!A:A),"",INDEX('DMT-M'!H:H,MATCH(B4,'DMT-M'!A:A,0)))</f>
        <v/>
      </c>
    </row>
    <row r="37" spans="1:4" hidden="1" x14ac:dyDescent="0.2">
      <c r="A37" s="10"/>
      <c r="B37" s="10">
        <v>4</v>
      </c>
      <c r="C37" s="10" t="str">
        <f>IF(B5&gt;MAX('DMT-M'!A:A),"",INDEX('DMT-M'!B:B,MATCH(B5,'DMT-M'!A:A,0)))</f>
        <v/>
      </c>
      <c r="D37" s="111" t="str">
        <f>IF(B5&gt;MAX('DMT-M'!A:A),"",INDEX('DMT-M'!H:H,MATCH(B5,'DMT-M'!A:A,0)))</f>
        <v/>
      </c>
    </row>
    <row r="38" spans="1:4" hidden="1" x14ac:dyDescent="0.2">
      <c r="A38" s="10"/>
      <c r="B38" s="10">
        <v>5</v>
      </c>
      <c r="C38" s="10" t="str">
        <f>IF(B6&gt;MAX('DMT-M'!A:A),"",INDEX('DMT-M'!B:B,MATCH(B6,'DMT-M'!A:A,0)))</f>
        <v/>
      </c>
      <c r="D38" s="111" t="str">
        <f>IF(B6&gt;MAX('DMT-M'!A:A),"",INDEX('DMT-M'!H:H,MATCH(B6,'DMT-M'!A:A,0)))</f>
        <v/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1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1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1" t="str">
        <f>IF(B9&gt;MAX('DMT-M'!A:A),"",INDEX('DMT-M'!H:H,MATCH(B9,'DMT-M'!A:A,0)))</f>
        <v/>
      </c>
    </row>
    <row r="42" spans="1:4" hidden="1" x14ac:dyDescent="0.2">
      <c r="A42" s="13" t="s">
        <v>43</v>
      </c>
      <c r="B42" s="13">
        <v>1</v>
      </c>
      <c r="C42" s="13" t="str">
        <f>IF(B2&gt;MAX('DMT-W'!A:A),"",INDEX('DMT-W'!B:B,MATCH(B2,'DMT-W'!A:A,0)))</f>
        <v/>
      </c>
      <c r="D42" s="112" t="str">
        <f>IF(B2&gt;MAX('DMT-W'!A:A),"",INDEX('DMT-W'!H:H,MATCH(B2,'DMT-W'!A:A,0)))</f>
        <v/>
      </c>
    </row>
    <row r="43" spans="1:4" hidden="1" x14ac:dyDescent="0.2">
      <c r="A43" s="13"/>
      <c r="B43" s="13">
        <v>2</v>
      </c>
      <c r="C43" s="13" t="str">
        <f>IF(B3&gt;MAX('DMT-W'!A:A),"",INDEX('DMT-W'!B:B,MATCH(B3,'DMT-W'!A:A,0)))</f>
        <v/>
      </c>
      <c r="D43" s="112" t="str">
        <f>IF(B3&gt;MAX('DMT-W'!A:A),"",INDEX('DMT-W'!H:H,MATCH(B3,'DMT-W'!A:A,0)))</f>
        <v/>
      </c>
    </row>
    <row r="44" spans="1:4" hidden="1" x14ac:dyDescent="0.2">
      <c r="A44" s="13"/>
      <c r="B44" s="13">
        <v>3</v>
      </c>
      <c r="C44" s="13" t="str">
        <f>IF(B4&gt;MAX('DMT-W'!A:A),"",INDEX('DMT-W'!B:B,MATCH(B4,'DMT-W'!A:A,0)))</f>
        <v/>
      </c>
      <c r="D44" s="112" t="str">
        <f>IF(B4&gt;MAX('DMT-W'!A:A),"",INDEX('DMT-W'!H:H,MATCH(B4,'DMT-W'!A:A,0)))</f>
        <v/>
      </c>
    </row>
    <row r="45" spans="1:4" hidden="1" x14ac:dyDescent="0.2">
      <c r="A45" s="13"/>
      <c r="B45" s="13">
        <v>4</v>
      </c>
      <c r="C45" s="13" t="str">
        <f>IF(B5&gt;MAX('DMT-W'!A:A),"",INDEX('DMT-W'!B:B,MATCH(B5,'DMT-W'!A:A,0)))</f>
        <v/>
      </c>
      <c r="D45" s="112" t="str">
        <f>IF(B5&gt;MAX('DMT-W'!A:A),"",INDEX('DMT-W'!H:H,MATCH(B5,'DMT-W'!A:A,0)))</f>
        <v/>
      </c>
    </row>
    <row r="46" spans="1:4" hidden="1" x14ac:dyDescent="0.2">
      <c r="A46" s="13"/>
      <c r="B46" s="13">
        <v>5</v>
      </c>
      <c r="C46" s="13" t="str">
        <f>IF(B6&gt;MAX('DMT-W'!A:A),"",INDEX('DMT-W'!B:B,MATCH(B6,'DMT-W'!A:A,0)))</f>
        <v/>
      </c>
      <c r="D46" s="112" t="str">
        <f>IF(B6&gt;MAX('DMT-W'!A:A),"",INDEX('DMT-W'!H:H,MATCH(B6,'DMT-W'!A:A,0)))</f>
        <v/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2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2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2" t="str">
        <f>IF(B9&gt;MAX('DMT-W'!A:A),"",INDEX('DMT-W'!H:H,MATCH(B9,'DMT-W'!A:A,0)))</f>
        <v/>
      </c>
    </row>
    <row r="50" spans="1:5" x14ac:dyDescent="0.2">
      <c r="D50" s="115"/>
    </row>
    <row r="51" spans="1:5" x14ac:dyDescent="0.2">
      <c r="B51" s="44" t="s">
        <v>34</v>
      </c>
    </row>
    <row r="52" spans="1:5" x14ac:dyDescent="0.2">
      <c r="B52" s="44" t="s">
        <v>32</v>
      </c>
    </row>
    <row r="53" spans="1:5" x14ac:dyDescent="0.2">
      <c r="B53" s="44" t="s">
        <v>33</v>
      </c>
    </row>
    <row r="54" spans="1:5" x14ac:dyDescent="0.2">
      <c r="B54" s="25" t="s">
        <v>54</v>
      </c>
      <c r="D54" s="44" t="s">
        <v>52</v>
      </c>
    </row>
    <row r="55" spans="1:5" x14ac:dyDescent="0.2">
      <c r="B55" s="25" t="s">
        <v>63</v>
      </c>
      <c r="D55" s="44" t="s">
        <v>52</v>
      </c>
      <c r="E55" t="s">
        <v>52</v>
      </c>
    </row>
    <row r="56" spans="1:5" x14ac:dyDescent="0.2">
      <c r="B56" s="44" t="s">
        <v>53</v>
      </c>
      <c r="D56" s="44"/>
    </row>
    <row r="57" spans="1:5" x14ac:dyDescent="0.2">
      <c r="B57" s="44" t="s">
        <v>64</v>
      </c>
      <c r="D57" s="44"/>
    </row>
    <row r="58" spans="1:5" x14ac:dyDescent="0.2">
      <c r="A58" t="s">
        <v>38</v>
      </c>
      <c r="B58" s="122">
        <v>44497</v>
      </c>
      <c r="C58" s="122"/>
    </row>
    <row r="59" spans="1:5" x14ac:dyDescent="0.2">
      <c r="B59" s="99" t="s">
        <v>87</v>
      </c>
    </row>
    <row r="60" spans="1:5" x14ac:dyDescent="0.2">
      <c r="B60" s="99"/>
    </row>
    <row r="61" spans="1:5" x14ac:dyDescent="0.2">
      <c r="B61" s="44"/>
    </row>
    <row r="62" spans="1:5" x14ac:dyDescent="0.2">
      <c r="B62" s="44"/>
    </row>
    <row r="63" spans="1:5" x14ac:dyDescent="0.2">
      <c r="B63" s="44"/>
    </row>
  </sheetData>
  <sheetProtection formatCells="0" formatColumns="0" formatRows="0"/>
  <mergeCells count="1">
    <mergeCell ref="B58:C58"/>
  </mergeCells>
  <conditionalFormatting sqref="D2:D49">
    <cfRule type="containsText" dxfId="154" priority="1" operator="containsText" text="No DD">
      <formula>NOT(ISERROR(SEARCH("No DD",D2)))</formula>
    </cfRule>
    <cfRule type="containsText" dxfId="153" priority="4" operator="containsText" text="Merit">
      <formula>NOT(ISERROR(SEARCH("Merit",D2)))</formula>
    </cfRule>
    <cfRule type="containsText" dxfId="152" priority="5" operator="containsText" text="Excellence">
      <formula>NOT(ISERROR(SEARCH("Excellence",D2)))</formula>
    </cfRule>
    <cfRule type="containsText" dxfId="151" priority="6" operator="containsText" text="Worlds Team">
      <formula>NOT(ISERROR(SEARCH("Worlds Team",D2)))</formula>
    </cfRule>
    <cfRule type="containsText" dxfId="1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28" t="s">
        <v>72</v>
      </c>
      <c r="G1" s="128" t="s">
        <v>70</v>
      </c>
      <c r="H1" s="128" t="s">
        <v>71</v>
      </c>
      <c r="I1" s="128" t="s">
        <v>6</v>
      </c>
      <c r="J1" s="128" t="s">
        <v>76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74</v>
      </c>
      <c r="P1" s="129" t="s">
        <v>29</v>
      </c>
      <c r="Q1" s="129" t="s">
        <v>9</v>
      </c>
      <c r="R1" s="129" t="s">
        <v>29</v>
      </c>
      <c r="S1" s="130" t="s">
        <v>10</v>
      </c>
      <c r="T1" s="129" t="s">
        <v>30</v>
      </c>
      <c r="U1" s="129" t="s">
        <v>29</v>
      </c>
      <c r="V1" s="125" t="s">
        <v>77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6" t="s">
        <v>84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5" t="s">
        <v>86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27" t="s">
        <v>10</v>
      </c>
      <c r="DI1" s="127"/>
      <c r="DJ1" s="127"/>
      <c r="DK1" s="127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9"/>
      <c r="L2" s="129"/>
      <c r="M2" s="129"/>
      <c r="N2" s="129"/>
      <c r="O2" s="129"/>
      <c r="P2" s="129"/>
      <c r="Q2" s="129"/>
      <c r="R2" s="129"/>
      <c r="S2" s="130"/>
      <c r="T2" s="129"/>
      <c r="U2" s="129"/>
      <c r="V2" s="124" t="s">
        <v>15</v>
      </c>
      <c r="W2" s="124"/>
      <c r="X2" s="124"/>
      <c r="Y2" s="124"/>
      <c r="Z2" s="124"/>
      <c r="AA2" s="124" t="s">
        <v>16</v>
      </c>
      <c r="AB2" s="124"/>
      <c r="AC2" s="124"/>
      <c r="AD2" s="124"/>
      <c r="AE2" s="124"/>
      <c r="AF2" s="124" t="s">
        <v>66</v>
      </c>
      <c r="AG2" s="124"/>
      <c r="AH2" s="124"/>
      <c r="AI2" s="124"/>
      <c r="AJ2" s="124"/>
      <c r="AK2" s="124" t="s">
        <v>19</v>
      </c>
      <c r="AL2" s="124"/>
      <c r="AM2" s="124"/>
      <c r="AN2" s="124"/>
      <c r="AO2" s="124"/>
      <c r="AP2" s="69"/>
      <c r="AQ2" s="9" t="s">
        <v>17</v>
      </c>
      <c r="AR2" s="9" t="s">
        <v>68</v>
      </c>
      <c r="AS2" s="9" t="s">
        <v>18</v>
      </c>
      <c r="AT2" s="9" t="s">
        <v>69</v>
      </c>
      <c r="AU2" s="9" t="s">
        <v>67</v>
      </c>
      <c r="AV2" s="9" t="s">
        <v>20</v>
      </c>
      <c r="AW2" s="9" t="s">
        <v>62</v>
      </c>
      <c r="AX2" s="9" t="s">
        <v>19</v>
      </c>
      <c r="AY2" s="9" t="s">
        <v>14</v>
      </c>
      <c r="AZ2" s="123" t="s">
        <v>15</v>
      </c>
      <c r="BA2" s="123"/>
      <c r="BB2" s="123"/>
      <c r="BC2" s="123"/>
      <c r="BD2" s="123"/>
      <c r="BE2" s="123" t="s">
        <v>16</v>
      </c>
      <c r="BF2" s="123"/>
      <c r="BG2" s="123"/>
      <c r="BH2" s="123"/>
      <c r="BI2" s="123"/>
      <c r="BJ2" s="123" t="s">
        <v>66</v>
      </c>
      <c r="BK2" s="123"/>
      <c r="BL2" s="123"/>
      <c r="BM2" s="123"/>
      <c r="BN2" s="123"/>
      <c r="BO2" s="123" t="s">
        <v>19</v>
      </c>
      <c r="BP2" s="123"/>
      <c r="BQ2" s="123"/>
      <c r="BR2" s="123"/>
      <c r="BS2" s="123"/>
      <c r="BT2" s="68"/>
      <c r="BU2" s="12" t="s">
        <v>17</v>
      </c>
      <c r="BV2" s="12" t="s">
        <v>68</v>
      </c>
      <c r="BW2" s="12" t="s">
        <v>18</v>
      </c>
      <c r="BX2" s="12" t="s">
        <v>69</v>
      </c>
      <c r="BY2" s="12" t="s">
        <v>67</v>
      </c>
      <c r="BZ2" s="12" t="s">
        <v>20</v>
      </c>
      <c r="CA2" s="12" t="s">
        <v>62</v>
      </c>
      <c r="CB2" s="12" t="s">
        <v>19</v>
      </c>
      <c r="CC2" s="12" t="s">
        <v>14</v>
      </c>
      <c r="CD2" s="124" t="s">
        <v>15</v>
      </c>
      <c r="CE2" s="124"/>
      <c r="CF2" s="124"/>
      <c r="CG2" s="124"/>
      <c r="CH2" s="124"/>
      <c r="CI2" s="124" t="s">
        <v>16</v>
      </c>
      <c r="CJ2" s="124"/>
      <c r="CK2" s="124"/>
      <c r="CL2" s="124"/>
      <c r="CM2" s="124"/>
      <c r="CN2" s="124" t="s">
        <v>66</v>
      </c>
      <c r="CO2" s="124"/>
      <c r="CP2" s="124"/>
      <c r="CQ2" s="124"/>
      <c r="CR2" s="124"/>
      <c r="CS2" s="124" t="s">
        <v>19</v>
      </c>
      <c r="CT2" s="124"/>
      <c r="CU2" s="124"/>
      <c r="CV2" s="124"/>
      <c r="CW2" s="124"/>
      <c r="CX2" s="100"/>
      <c r="CY2" s="9" t="s">
        <v>17</v>
      </c>
      <c r="CZ2" s="9" t="s">
        <v>68</v>
      </c>
      <c r="DA2" s="9" t="s">
        <v>18</v>
      </c>
      <c r="DB2" s="9" t="s">
        <v>69</v>
      </c>
      <c r="DC2" s="9" t="s">
        <v>67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4" t="s">
        <v>15</v>
      </c>
      <c r="DM2" s="124"/>
      <c r="DN2" s="124"/>
      <c r="DO2" s="124"/>
      <c r="DP2" s="124"/>
      <c r="DQ2" s="124" t="s">
        <v>16</v>
      </c>
      <c r="DR2" s="124"/>
      <c r="DS2" s="124"/>
      <c r="DT2" s="124"/>
      <c r="DU2" s="124"/>
      <c r="DV2" s="124" t="s">
        <v>19</v>
      </c>
      <c r="DW2" s="124"/>
      <c r="DX2" s="124"/>
      <c r="DY2" s="124"/>
      <c r="DZ2" s="124"/>
      <c r="EA2" s="3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3" t="s">
        <v>15</v>
      </c>
      <c r="EI2" s="123"/>
      <c r="EJ2" s="123"/>
      <c r="EK2" s="123"/>
      <c r="EL2" s="123"/>
      <c r="EM2" s="123" t="s">
        <v>16</v>
      </c>
      <c r="EN2" s="123"/>
      <c r="EO2" s="123"/>
      <c r="EP2" s="123"/>
      <c r="EQ2" s="123"/>
      <c r="ER2" s="123" t="s">
        <v>19</v>
      </c>
      <c r="ES2" s="123"/>
      <c r="ET2" s="123"/>
      <c r="EU2" s="123"/>
      <c r="EV2" s="123"/>
      <c r="EW2" s="3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4" t="s">
        <v>15</v>
      </c>
      <c r="FE2" s="124"/>
      <c r="FF2" s="124"/>
      <c r="FG2" s="124"/>
      <c r="FH2" s="124"/>
      <c r="FI2" s="124" t="s">
        <v>16</v>
      </c>
      <c r="FJ2" s="124"/>
      <c r="FK2" s="124"/>
      <c r="FL2" s="124"/>
      <c r="FM2" s="124"/>
      <c r="FN2" s="124" t="s">
        <v>19</v>
      </c>
      <c r="FO2" s="124"/>
      <c r="FP2" s="124"/>
      <c r="FQ2" s="124"/>
      <c r="FR2" s="124"/>
      <c r="FS2" s="3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3" t="s">
        <v>15</v>
      </c>
      <c r="GA2" s="123"/>
      <c r="GB2" s="123"/>
      <c r="GC2" s="123"/>
      <c r="GD2" s="123"/>
      <c r="GE2" s="123" t="s">
        <v>16</v>
      </c>
      <c r="GF2" s="123"/>
      <c r="GG2" s="123"/>
      <c r="GH2" s="123"/>
      <c r="GI2" s="123"/>
      <c r="GJ2" s="123" t="s">
        <v>19</v>
      </c>
      <c r="GK2" s="123"/>
      <c r="GL2" s="123"/>
      <c r="GM2" s="123"/>
      <c r="GN2" s="123"/>
      <c r="GO2" s="3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4" t="s">
        <v>15</v>
      </c>
      <c r="GW2" s="124"/>
      <c r="GX2" s="124"/>
      <c r="GY2" s="124"/>
      <c r="GZ2" s="124"/>
      <c r="HA2" s="124" t="s">
        <v>16</v>
      </c>
      <c r="HB2" s="124"/>
      <c r="HC2" s="124"/>
      <c r="HD2" s="124"/>
      <c r="HE2" s="124"/>
      <c r="HF2" s="124" t="s">
        <v>19</v>
      </c>
      <c r="HG2" s="124"/>
      <c r="HH2" s="124"/>
      <c r="HI2" s="124"/>
      <c r="HJ2" s="124"/>
      <c r="HK2" s="3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3" t="s">
        <v>15</v>
      </c>
      <c r="HS2" s="123"/>
      <c r="HT2" s="123"/>
      <c r="HU2" s="123"/>
      <c r="HV2" s="123"/>
      <c r="HW2" s="123" t="s">
        <v>16</v>
      </c>
      <c r="HX2" s="123"/>
      <c r="HY2" s="123"/>
      <c r="HZ2" s="123"/>
      <c r="IA2" s="123"/>
      <c r="IB2" s="123" t="s">
        <v>19</v>
      </c>
      <c r="IC2" s="123"/>
      <c r="ID2" s="123"/>
      <c r="IE2" s="123"/>
      <c r="IF2" s="123"/>
      <c r="IG2" s="3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4" t="s">
        <v>15</v>
      </c>
      <c r="IO2" s="124"/>
      <c r="IP2" s="124"/>
      <c r="IQ2" s="124"/>
      <c r="IR2" s="124"/>
      <c r="IS2" s="124" t="s">
        <v>16</v>
      </c>
      <c r="IT2" s="124"/>
      <c r="IU2" s="124"/>
      <c r="IV2" s="124"/>
      <c r="IW2" s="124"/>
      <c r="IX2" s="124" t="s">
        <v>19</v>
      </c>
      <c r="IY2" s="124"/>
      <c r="IZ2" s="124"/>
      <c r="JA2" s="124"/>
      <c r="JB2" s="124"/>
      <c r="JC2" s="3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3" t="s">
        <v>15</v>
      </c>
      <c r="JK2" s="123"/>
      <c r="JL2" s="123"/>
      <c r="JM2" s="123"/>
      <c r="JN2" s="123"/>
      <c r="JO2" s="123" t="s">
        <v>16</v>
      </c>
      <c r="JP2" s="123"/>
      <c r="JQ2" s="123"/>
      <c r="JR2" s="123"/>
      <c r="JS2" s="123"/>
      <c r="JT2" s="123" t="s">
        <v>19</v>
      </c>
      <c r="JU2" s="123"/>
      <c r="JV2" s="123"/>
      <c r="JW2" s="123"/>
      <c r="JX2" s="123"/>
      <c r="JY2" s="3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4" t="s">
        <v>15</v>
      </c>
      <c r="KG2" s="124"/>
      <c r="KH2" s="124"/>
      <c r="KI2" s="124"/>
      <c r="KJ2" s="124"/>
      <c r="KK2" s="124" t="s">
        <v>16</v>
      </c>
      <c r="KL2" s="124"/>
      <c r="KM2" s="124"/>
      <c r="KN2" s="124"/>
      <c r="KO2" s="124"/>
      <c r="KP2" s="124" t="s">
        <v>19</v>
      </c>
      <c r="KQ2" s="124"/>
      <c r="KR2" s="124"/>
      <c r="KS2" s="124"/>
      <c r="KT2" s="124"/>
      <c r="KU2" s="3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3" t="s">
        <v>15</v>
      </c>
      <c r="LC2" s="123"/>
      <c r="LD2" s="123"/>
      <c r="LE2" s="123"/>
      <c r="LF2" s="123"/>
      <c r="LG2" s="123" t="s">
        <v>16</v>
      </c>
      <c r="LH2" s="123"/>
      <c r="LI2" s="123"/>
      <c r="LJ2" s="123"/>
      <c r="LK2" s="123"/>
      <c r="LL2" s="123" t="s">
        <v>19</v>
      </c>
      <c r="LM2" s="123"/>
      <c r="LN2" s="123"/>
      <c r="LO2" s="123"/>
      <c r="LP2" s="123"/>
      <c r="LQ2" s="3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4" t="s">
        <v>15</v>
      </c>
      <c r="LY2" s="124"/>
      <c r="LZ2" s="124"/>
      <c r="MA2" s="124"/>
      <c r="MB2" s="124"/>
      <c r="MC2" s="124" t="s">
        <v>16</v>
      </c>
      <c r="MD2" s="124"/>
      <c r="ME2" s="124"/>
      <c r="MF2" s="124"/>
      <c r="MG2" s="124"/>
      <c r="MH2" s="124" t="s">
        <v>19</v>
      </c>
      <c r="MI2" s="124"/>
      <c r="MJ2" s="124"/>
      <c r="MK2" s="124"/>
      <c r="ML2" s="124"/>
      <c r="MM2" s="3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3" t="s">
        <v>15</v>
      </c>
      <c r="MU2" s="123"/>
      <c r="MV2" s="123"/>
      <c r="MW2" s="123"/>
      <c r="MX2" s="123"/>
      <c r="MY2" s="123" t="s">
        <v>16</v>
      </c>
      <c r="MZ2" s="123"/>
      <c r="NA2" s="123"/>
      <c r="NB2" s="123"/>
      <c r="NC2" s="123"/>
      <c r="ND2" s="123" t="s">
        <v>19</v>
      </c>
      <c r="NE2" s="123"/>
      <c r="NF2" s="123"/>
      <c r="NG2" s="123"/>
      <c r="NH2" s="123"/>
      <c r="NI2" s="3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4" t="s">
        <v>15</v>
      </c>
      <c r="NQ2" s="124"/>
      <c r="NR2" s="124"/>
      <c r="NS2" s="124"/>
      <c r="NT2" s="124"/>
      <c r="NU2" s="124" t="s">
        <v>16</v>
      </c>
      <c r="NV2" s="124"/>
      <c r="NW2" s="124"/>
      <c r="NX2" s="124"/>
      <c r="NY2" s="124"/>
      <c r="NZ2" s="124" t="s">
        <v>66</v>
      </c>
      <c r="OA2" s="124"/>
      <c r="OB2" s="124"/>
      <c r="OC2" s="124"/>
      <c r="OD2" s="124"/>
      <c r="OE2" s="124" t="s">
        <v>19</v>
      </c>
      <c r="OF2" s="124"/>
      <c r="OG2" s="124"/>
      <c r="OH2" s="124"/>
      <c r="OI2" s="124"/>
      <c r="OJ2" s="94"/>
      <c r="OK2" s="9" t="s">
        <v>17</v>
      </c>
      <c r="OL2" s="9" t="s">
        <v>68</v>
      </c>
      <c r="OM2" s="9" t="s">
        <v>18</v>
      </c>
      <c r="ON2" s="9" t="s">
        <v>69</v>
      </c>
      <c r="OO2" s="9" t="s">
        <v>67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9"/>
      <c r="L3" s="129"/>
      <c r="M3" s="129"/>
      <c r="N3" s="129"/>
      <c r="O3" s="129"/>
      <c r="P3" s="129"/>
      <c r="Q3" s="129"/>
      <c r="R3" s="129"/>
      <c r="S3" s="130"/>
      <c r="T3" s="129"/>
      <c r="U3" s="129"/>
      <c r="V3" s="33" t="s">
        <v>11</v>
      </c>
      <c r="W3" s="33" t="s">
        <v>12</v>
      </c>
      <c r="X3" s="33" t="s">
        <v>4</v>
      </c>
      <c r="Y3" s="33" t="s">
        <v>13</v>
      </c>
      <c r="Z3" s="41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33" t="s">
        <v>11</v>
      </c>
      <c r="AG3" s="33" t="s">
        <v>12</v>
      </c>
      <c r="AH3" s="33" t="s">
        <v>4</v>
      </c>
      <c r="AI3" s="33" t="s">
        <v>13</v>
      </c>
      <c r="AJ3" s="41" t="s">
        <v>24</v>
      </c>
      <c r="AK3" s="33" t="s">
        <v>11</v>
      </c>
      <c r="AL3" s="33" t="s">
        <v>12</v>
      </c>
      <c r="AM3" s="33" t="s">
        <v>4</v>
      </c>
      <c r="AN3" s="33" t="s">
        <v>13</v>
      </c>
      <c r="AO3" s="41" t="s">
        <v>24</v>
      </c>
      <c r="AP3" s="69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11</v>
      </c>
      <c r="BA3" s="34" t="s">
        <v>12</v>
      </c>
      <c r="BB3" s="34" t="s">
        <v>4</v>
      </c>
      <c r="BC3" s="34" t="s">
        <v>13</v>
      </c>
      <c r="BD3" s="42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34" t="s">
        <v>11</v>
      </c>
      <c r="BK3" s="34" t="s">
        <v>12</v>
      </c>
      <c r="BL3" s="34" t="s">
        <v>4</v>
      </c>
      <c r="BM3" s="34" t="s">
        <v>13</v>
      </c>
      <c r="BN3" s="42" t="s">
        <v>24</v>
      </c>
      <c r="BO3" s="34" t="s">
        <v>11</v>
      </c>
      <c r="BP3" s="34" t="s">
        <v>12</v>
      </c>
      <c r="BQ3" s="34" t="s">
        <v>4</v>
      </c>
      <c r="BR3" s="42" t="s">
        <v>13</v>
      </c>
      <c r="BS3" s="34" t="s">
        <v>24</v>
      </c>
      <c r="BT3" s="68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0" t="s">
        <v>11</v>
      </c>
      <c r="CE3" s="100" t="s">
        <v>12</v>
      </c>
      <c r="CF3" s="100" t="s">
        <v>4</v>
      </c>
      <c r="CG3" s="100" t="s">
        <v>13</v>
      </c>
      <c r="CH3" s="100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0" t="s">
        <v>11</v>
      </c>
      <c r="CO3" s="100" t="s">
        <v>12</v>
      </c>
      <c r="CP3" s="100" t="s">
        <v>4</v>
      </c>
      <c r="CQ3" s="100" t="s">
        <v>13</v>
      </c>
      <c r="CR3" s="100" t="s">
        <v>24</v>
      </c>
      <c r="CS3" s="100" t="s">
        <v>11</v>
      </c>
      <c r="CT3" s="100" t="s">
        <v>12</v>
      </c>
      <c r="CU3" s="100" t="s">
        <v>4</v>
      </c>
      <c r="CV3" s="100" t="s">
        <v>13</v>
      </c>
      <c r="CW3" s="100" t="s">
        <v>24</v>
      </c>
      <c r="CX3" s="100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11</v>
      </c>
      <c r="DM3" s="33" t="s">
        <v>12</v>
      </c>
      <c r="DN3" s="33" t="s">
        <v>4</v>
      </c>
      <c r="DO3" s="33" t="s">
        <v>13</v>
      </c>
      <c r="DP3" s="41" t="s">
        <v>24</v>
      </c>
      <c r="DQ3" s="33" t="s">
        <v>11</v>
      </c>
      <c r="DR3" s="33" t="s">
        <v>12</v>
      </c>
      <c r="DS3" s="33" t="s">
        <v>4</v>
      </c>
      <c r="DT3" s="33" t="s">
        <v>13</v>
      </c>
      <c r="DU3" s="41" t="s">
        <v>24</v>
      </c>
      <c r="DV3" s="33" t="s">
        <v>11</v>
      </c>
      <c r="DW3" s="33" t="s">
        <v>12</v>
      </c>
      <c r="DX3" s="33" t="s">
        <v>4</v>
      </c>
      <c r="DY3" s="33" t="s">
        <v>13</v>
      </c>
      <c r="DZ3" s="41" t="s">
        <v>24</v>
      </c>
      <c r="EA3" s="10"/>
      <c r="EB3" s="9"/>
      <c r="EC3" s="9"/>
      <c r="ED3" s="9"/>
      <c r="EE3" s="9"/>
      <c r="EF3" s="10"/>
      <c r="EG3" s="10"/>
      <c r="EH3" s="34" t="s">
        <v>11</v>
      </c>
      <c r="EI3" s="34" t="s">
        <v>12</v>
      </c>
      <c r="EJ3" s="34" t="s">
        <v>4</v>
      </c>
      <c r="EK3" s="34" t="s">
        <v>13</v>
      </c>
      <c r="EL3" s="42" t="s">
        <v>24</v>
      </c>
      <c r="EM3" s="34" t="s">
        <v>11</v>
      </c>
      <c r="EN3" s="34" t="s">
        <v>12</v>
      </c>
      <c r="EO3" s="34" t="s">
        <v>4</v>
      </c>
      <c r="EP3" s="34" t="s">
        <v>13</v>
      </c>
      <c r="EQ3" s="42" t="s">
        <v>24</v>
      </c>
      <c r="ER3" s="34" t="s">
        <v>11</v>
      </c>
      <c r="ES3" s="34" t="s">
        <v>12</v>
      </c>
      <c r="ET3" s="34" t="s">
        <v>4</v>
      </c>
      <c r="EU3" s="3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33" t="s">
        <v>11</v>
      </c>
      <c r="FE3" s="33" t="s">
        <v>12</v>
      </c>
      <c r="FF3" s="33" t="s">
        <v>4</v>
      </c>
      <c r="FG3" s="33" t="s">
        <v>13</v>
      </c>
      <c r="FH3" s="41" t="s">
        <v>24</v>
      </c>
      <c r="FI3" s="33" t="s">
        <v>11</v>
      </c>
      <c r="FJ3" s="33" t="s">
        <v>12</v>
      </c>
      <c r="FK3" s="33" t="s">
        <v>4</v>
      </c>
      <c r="FL3" s="33" t="s">
        <v>13</v>
      </c>
      <c r="FM3" s="41" t="s">
        <v>24</v>
      </c>
      <c r="FN3" s="33" t="s">
        <v>11</v>
      </c>
      <c r="FO3" s="33" t="s">
        <v>12</v>
      </c>
      <c r="FP3" s="33" t="s">
        <v>4</v>
      </c>
      <c r="FQ3" s="33" t="s">
        <v>13</v>
      </c>
      <c r="FR3" s="41" t="s">
        <v>24</v>
      </c>
      <c r="FS3" s="10"/>
      <c r="FT3" s="9"/>
      <c r="FU3" s="9"/>
      <c r="FV3" s="9"/>
      <c r="FW3" s="9"/>
      <c r="FX3" s="10"/>
      <c r="FY3" s="10"/>
      <c r="FZ3" s="34" t="s">
        <v>11</v>
      </c>
      <c r="GA3" s="34" t="s">
        <v>12</v>
      </c>
      <c r="GB3" s="34" t="s">
        <v>4</v>
      </c>
      <c r="GC3" s="34" t="s">
        <v>13</v>
      </c>
      <c r="GD3" s="42" t="s">
        <v>24</v>
      </c>
      <c r="GE3" s="34" t="s">
        <v>11</v>
      </c>
      <c r="GF3" s="34" t="s">
        <v>12</v>
      </c>
      <c r="GG3" s="34" t="s">
        <v>4</v>
      </c>
      <c r="GH3" s="34" t="s">
        <v>13</v>
      </c>
      <c r="GI3" s="42" t="s">
        <v>24</v>
      </c>
      <c r="GJ3" s="34" t="s">
        <v>11</v>
      </c>
      <c r="GK3" s="34" t="s">
        <v>12</v>
      </c>
      <c r="GL3" s="34" t="s">
        <v>4</v>
      </c>
      <c r="GM3" s="34" t="s">
        <v>13</v>
      </c>
      <c r="GN3" s="42" t="s">
        <v>24</v>
      </c>
      <c r="GO3" s="13"/>
      <c r="GP3" s="12"/>
      <c r="GQ3" s="12"/>
      <c r="GR3" s="12"/>
      <c r="GS3" s="12"/>
      <c r="GT3" s="13"/>
      <c r="GU3" s="13"/>
      <c r="GV3" s="33" t="s">
        <v>11</v>
      </c>
      <c r="GW3" s="33" t="s">
        <v>12</v>
      </c>
      <c r="GX3" s="33" t="s">
        <v>4</v>
      </c>
      <c r="GY3" s="33" t="s">
        <v>13</v>
      </c>
      <c r="GZ3" s="41" t="s">
        <v>24</v>
      </c>
      <c r="HA3" s="33" t="s">
        <v>11</v>
      </c>
      <c r="HB3" s="33" t="s">
        <v>12</v>
      </c>
      <c r="HC3" s="33" t="s">
        <v>4</v>
      </c>
      <c r="HD3" s="33" t="s">
        <v>13</v>
      </c>
      <c r="HE3" s="41" t="s">
        <v>24</v>
      </c>
      <c r="HF3" s="33" t="s">
        <v>11</v>
      </c>
      <c r="HG3" s="33" t="s">
        <v>12</v>
      </c>
      <c r="HH3" s="33" t="s">
        <v>4</v>
      </c>
      <c r="HI3" s="33" t="s">
        <v>13</v>
      </c>
      <c r="HJ3" s="41" t="s">
        <v>24</v>
      </c>
      <c r="HK3" s="10"/>
      <c r="HL3" s="9"/>
      <c r="HM3" s="9"/>
      <c r="HN3" s="9"/>
      <c r="HO3" s="9"/>
      <c r="HP3" s="10"/>
      <c r="HQ3" s="10"/>
      <c r="HR3" s="34" t="s">
        <v>11</v>
      </c>
      <c r="HS3" s="34" t="s">
        <v>12</v>
      </c>
      <c r="HT3" s="34" t="s">
        <v>4</v>
      </c>
      <c r="HU3" s="34" t="s">
        <v>13</v>
      </c>
      <c r="HV3" s="42" t="s">
        <v>24</v>
      </c>
      <c r="HW3" s="34" t="s">
        <v>11</v>
      </c>
      <c r="HX3" s="34" t="s">
        <v>12</v>
      </c>
      <c r="HY3" s="34" t="s">
        <v>4</v>
      </c>
      <c r="HZ3" s="34" t="s">
        <v>13</v>
      </c>
      <c r="IA3" s="42" t="s">
        <v>24</v>
      </c>
      <c r="IB3" s="34" t="s">
        <v>11</v>
      </c>
      <c r="IC3" s="34" t="s">
        <v>12</v>
      </c>
      <c r="ID3" s="34" t="s">
        <v>4</v>
      </c>
      <c r="IE3" s="34" t="s">
        <v>13</v>
      </c>
      <c r="IF3" s="42" t="s">
        <v>24</v>
      </c>
      <c r="IG3" s="13"/>
      <c r="IH3" s="12"/>
      <c r="II3" s="12"/>
      <c r="IJ3" s="12"/>
      <c r="IK3" s="12"/>
      <c r="IL3" s="13"/>
      <c r="IM3" s="13"/>
      <c r="IN3" s="33" t="s">
        <v>11</v>
      </c>
      <c r="IO3" s="33" t="s">
        <v>12</v>
      </c>
      <c r="IP3" s="33" t="s">
        <v>4</v>
      </c>
      <c r="IQ3" s="33" t="s">
        <v>13</v>
      </c>
      <c r="IR3" s="41" t="s">
        <v>24</v>
      </c>
      <c r="IS3" s="33" t="s">
        <v>11</v>
      </c>
      <c r="IT3" s="33" t="s">
        <v>12</v>
      </c>
      <c r="IU3" s="33" t="s">
        <v>4</v>
      </c>
      <c r="IV3" s="33" t="s">
        <v>13</v>
      </c>
      <c r="IW3" s="41" t="s">
        <v>24</v>
      </c>
      <c r="IX3" s="33" t="s">
        <v>11</v>
      </c>
      <c r="IY3" s="33" t="s">
        <v>12</v>
      </c>
      <c r="IZ3" s="33" t="s">
        <v>4</v>
      </c>
      <c r="JA3" s="33" t="s">
        <v>13</v>
      </c>
      <c r="JB3" s="41" t="s">
        <v>24</v>
      </c>
      <c r="JC3" s="10"/>
      <c r="JD3" s="9"/>
      <c r="JE3" s="9"/>
      <c r="JF3" s="9"/>
      <c r="JG3" s="9"/>
      <c r="JH3" s="10"/>
      <c r="JI3" s="10"/>
      <c r="JJ3" s="34" t="s">
        <v>11</v>
      </c>
      <c r="JK3" s="34" t="s">
        <v>12</v>
      </c>
      <c r="JL3" s="34" t="s">
        <v>4</v>
      </c>
      <c r="JM3" s="34" t="s">
        <v>13</v>
      </c>
      <c r="JN3" s="42" t="s">
        <v>24</v>
      </c>
      <c r="JO3" s="34" t="s">
        <v>11</v>
      </c>
      <c r="JP3" s="34" t="s">
        <v>12</v>
      </c>
      <c r="JQ3" s="34" t="s">
        <v>4</v>
      </c>
      <c r="JR3" s="34" t="s">
        <v>13</v>
      </c>
      <c r="JS3" s="42" t="s">
        <v>24</v>
      </c>
      <c r="JT3" s="34" t="s">
        <v>11</v>
      </c>
      <c r="JU3" s="34" t="s">
        <v>12</v>
      </c>
      <c r="JV3" s="34" t="s">
        <v>4</v>
      </c>
      <c r="JW3" s="34" t="s">
        <v>13</v>
      </c>
      <c r="JX3" s="42" t="s">
        <v>24</v>
      </c>
      <c r="JY3" s="13"/>
      <c r="JZ3" s="12"/>
      <c r="KA3" s="12"/>
      <c r="KB3" s="12"/>
      <c r="KC3" s="12"/>
      <c r="KD3" s="13"/>
      <c r="KE3" s="13"/>
      <c r="KF3" s="33" t="s">
        <v>11</v>
      </c>
      <c r="KG3" s="33" t="s">
        <v>12</v>
      </c>
      <c r="KH3" s="33" t="s">
        <v>4</v>
      </c>
      <c r="KI3" s="33" t="s">
        <v>13</v>
      </c>
      <c r="KJ3" s="41" t="s">
        <v>24</v>
      </c>
      <c r="KK3" s="33" t="s">
        <v>11</v>
      </c>
      <c r="KL3" s="33" t="s">
        <v>12</v>
      </c>
      <c r="KM3" s="33" t="s">
        <v>4</v>
      </c>
      <c r="KN3" s="33" t="s">
        <v>13</v>
      </c>
      <c r="KO3" s="41" t="s">
        <v>24</v>
      </c>
      <c r="KP3" s="33" t="s">
        <v>11</v>
      </c>
      <c r="KQ3" s="33" t="s">
        <v>12</v>
      </c>
      <c r="KR3" s="33" t="s">
        <v>4</v>
      </c>
      <c r="KS3" s="33" t="s">
        <v>13</v>
      </c>
      <c r="KT3" s="41" t="s">
        <v>24</v>
      </c>
      <c r="KU3" s="10"/>
      <c r="KV3" s="9"/>
      <c r="KW3" s="9"/>
      <c r="KX3" s="9"/>
      <c r="KY3" s="9"/>
      <c r="KZ3" s="10"/>
      <c r="LA3" s="10"/>
      <c r="LB3" s="34" t="s">
        <v>11</v>
      </c>
      <c r="LC3" s="34" t="s">
        <v>12</v>
      </c>
      <c r="LD3" s="34" t="s">
        <v>4</v>
      </c>
      <c r="LE3" s="34" t="s">
        <v>13</v>
      </c>
      <c r="LF3" s="42" t="s">
        <v>24</v>
      </c>
      <c r="LG3" s="34" t="s">
        <v>11</v>
      </c>
      <c r="LH3" s="34" t="s">
        <v>12</v>
      </c>
      <c r="LI3" s="34" t="s">
        <v>4</v>
      </c>
      <c r="LJ3" s="34" t="s">
        <v>13</v>
      </c>
      <c r="LK3" s="42" t="s">
        <v>24</v>
      </c>
      <c r="LL3" s="34" t="s">
        <v>11</v>
      </c>
      <c r="LM3" s="34" t="s">
        <v>12</v>
      </c>
      <c r="LN3" s="34" t="s">
        <v>4</v>
      </c>
      <c r="LO3" s="34" t="s">
        <v>13</v>
      </c>
      <c r="LP3" s="42" t="s">
        <v>24</v>
      </c>
      <c r="LQ3" s="13"/>
      <c r="LR3" s="12"/>
      <c r="LS3" s="12"/>
      <c r="LT3" s="12"/>
      <c r="LU3" s="12"/>
      <c r="LV3" s="13"/>
      <c r="LW3" s="13"/>
      <c r="LX3" s="33" t="s">
        <v>11</v>
      </c>
      <c r="LY3" s="33" t="s">
        <v>12</v>
      </c>
      <c r="LZ3" s="33" t="s">
        <v>4</v>
      </c>
      <c r="MA3" s="33" t="s">
        <v>13</v>
      </c>
      <c r="MB3" s="41" t="s">
        <v>24</v>
      </c>
      <c r="MC3" s="33" t="s">
        <v>11</v>
      </c>
      <c r="MD3" s="33" t="s">
        <v>12</v>
      </c>
      <c r="ME3" s="33" t="s">
        <v>4</v>
      </c>
      <c r="MF3" s="33" t="s">
        <v>13</v>
      </c>
      <c r="MG3" s="41" t="s">
        <v>24</v>
      </c>
      <c r="MH3" s="33" t="s">
        <v>11</v>
      </c>
      <c r="MI3" s="33" t="s">
        <v>12</v>
      </c>
      <c r="MJ3" s="33" t="s">
        <v>4</v>
      </c>
      <c r="MK3" s="33" t="s">
        <v>13</v>
      </c>
      <c r="ML3" s="41" t="s">
        <v>24</v>
      </c>
      <c r="MM3" s="10"/>
      <c r="MN3" s="9"/>
      <c r="MO3" s="9"/>
      <c r="MP3" s="9"/>
      <c r="MQ3" s="9"/>
      <c r="MR3" s="10"/>
      <c r="MS3" s="10"/>
      <c r="MT3" s="34" t="s">
        <v>11</v>
      </c>
      <c r="MU3" s="34" t="s">
        <v>12</v>
      </c>
      <c r="MV3" s="34" t="s">
        <v>4</v>
      </c>
      <c r="MW3" s="34" t="s">
        <v>13</v>
      </c>
      <c r="MX3" s="42" t="s">
        <v>24</v>
      </c>
      <c r="MY3" s="34" t="s">
        <v>11</v>
      </c>
      <c r="MZ3" s="34" t="s">
        <v>12</v>
      </c>
      <c r="NA3" s="34" t="s">
        <v>4</v>
      </c>
      <c r="NB3" s="34" t="s">
        <v>13</v>
      </c>
      <c r="NC3" s="42" t="s">
        <v>24</v>
      </c>
      <c r="ND3" s="34" t="s">
        <v>11</v>
      </c>
      <c r="NE3" s="34" t="s">
        <v>12</v>
      </c>
      <c r="NF3" s="34" t="s">
        <v>4</v>
      </c>
      <c r="NG3" s="34" t="s">
        <v>13</v>
      </c>
      <c r="NH3" s="42" t="s">
        <v>24</v>
      </c>
      <c r="NI3" s="13"/>
      <c r="NJ3" s="12"/>
      <c r="NK3" s="12"/>
      <c r="NL3" s="12"/>
      <c r="NM3" s="12"/>
      <c r="NN3" s="13"/>
      <c r="NO3" s="13"/>
      <c r="NP3" s="94" t="s">
        <v>11</v>
      </c>
      <c r="NQ3" s="94" t="s">
        <v>12</v>
      </c>
      <c r="NR3" s="94" t="s">
        <v>4</v>
      </c>
      <c r="NS3" s="94" t="s">
        <v>13</v>
      </c>
      <c r="NT3" s="94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94" t="s">
        <v>11</v>
      </c>
      <c r="OA3" s="94" t="s">
        <v>12</v>
      </c>
      <c r="OB3" s="94" t="s">
        <v>4</v>
      </c>
      <c r="OC3" s="94" t="s">
        <v>13</v>
      </c>
      <c r="OD3" s="94" t="s">
        <v>24</v>
      </c>
      <c r="OE3" s="94" t="s">
        <v>11</v>
      </c>
      <c r="OF3" s="94" t="s">
        <v>12</v>
      </c>
      <c r="OG3" s="94" t="s">
        <v>4</v>
      </c>
      <c r="OH3" s="94" t="s">
        <v>13</v>
      </c>
      <c r="OI3" s="94" t="s">
        <v>24</v>
      </c>
      <c r="OJ3" s="94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8" t="s">
        <v>73</v>
      </c>
      <c r="C4" s="4" t="s">
        <v>3</v>
      </c>
      <c r="D4" s="7">
        <v>2005</v>
      </c>
      <c r="E4" s="15">
        <f>SUM(K4:S4)</f>
        <v>248.98000000000002</v>
      </c>
      <c r="F4" s="3" t="str">
        <f>IF(G4&lt;&gt;"","P","")</f>
        <v>P</v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>Merit</v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>National Team</v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97.314999999999998</v>
      </c>
      <c r="L4" s="14" t="str">
        <f>IF(K4=0,"",IF(K4=DD4,$CD$1,IF(K4=BZ4,$AZ$1,IF(K4=AV4,$V$1,""))))</f>
        <v>2021 Elite Canada</v>
      </c>
      <c r="M4" s="14">
        <f>IF($K4=$AV4,MAX(BU4,CY4),IF($K4=$BZ4,MAX(AQ4,CY4),IF($K4=$DD4,MAX(AQ4,BU4),MAX(AQ4,BU4,CY4))))</f>
        <v>44.05</v>
      </c>
      <c r="N4" s="14" t="str">
        <f>IF(M4=0,"",IF(AND(M4=CY4,$L4&lt;&gt;$CD$1),$CD$1,IF(AND(M4=BU4,$L4&lt;&gt;$AZ$1),$AZ$1,IF(AND(M4=AQ4,$L4&lt;&gt;$V$1),$V$1,""))))</f>
        <v>2021 Canadian Championships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53.24</v>
      </c>
      <c r="P4" s="14" t="str">
        <f>IF(O4=0,"",IF(AND(OR(O4=DC4,O4=DA4),$L4&lt;&gt;$CD$1),$CD$1,IF(AND(OR(O4=BY4,O4=BW4),$L4&lt;&gt;$AZ$1),$AZ$1,IF(AND(OR(O4=AU4,O4=AS4),$L4&lt;&gt;$V$1),$V$1,""))))</f>
        <v>2021 2nd Virtual Technical Trial</v>
      </c>
      <c r="Q4" s="14">
        <f>MAX(AX4,CB4,DF4)</f>
        <v>54.375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17.899999999999999</v>
      </c>
      <c r="W4" s="61">
        <v>9.1999999999999993</v>
      </c>
      <c r="X4" s="61">
        <v>0</v>
      </c>
      <c r="Y4" s="61">
        <v>16.12</v>
      </c>
      <c r="Z4" s="61">
        <v>0</v>
      </c>
      <c r="AA4" s="61">
        <v>15.6</v>
      </c>
      <c r="AB4" s="61">
        <v>9.1</v>
      </c>
      <c r="AC4" s="61">
        <v>13.5</v>
      </c>
      <c r="AD4" s="61">
        <v>15.04</v>
      </c>
      <c r="AE4" s="61">
        <v>0</v>
      </c>
      <c r="AF4" s="61"/>
      <c r="AG4" s="61"/>
      <c r="AH4" s="61"/>
      <c r="AI4" s="61"/>
      <c r="AJ4" s="61"/>
      <c r="AK4" s="61">
        <v>16.3</v>
      </c>
      <c r="AL4" s="61">
        <v>9.5</v>
      </c>
      <c r="AM4" s="61">
        <v>13.5</v>
      </c>
      <c r="AN4" s="61">
        <v>15.074999999999999</v>
      </c>
      <c r="AO4" s="61">
        <v>0</v>
      </c>
      <c r="AP4" s="72"/>
      <c r="AQ4" s="11">
        <f>IF(SUM(V4:Y4)-Z4&gt;0,SUM(V4:Y4)-Z4,"")</f>
        <v>43.22</v>
      </c>
      <c r="AR4" s="11">
        <f>IF(AC4&gt;0,AC4,"")</f>
        <v>13.5</v>
      </c>
      <c r="AS4" s="11">
        <f>IF(SUM(AA4:AD4)-AE4&gt;0,SUM(AA4:AD4)-AE4,"")</f>
        <v>53.24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96.460000000000008</v>
      </c>
      <c r="AW4" s="11">
        <f>IF(AM4&gt;0,AM4,"")</f>
        <v>13.5</v>
      </c>
      <c r="AX4" s="11">
        <f>IF(SUM(AK4:AN4)-AO4&gt;0,SUM(AK4:AN4)-AO4,"")</f>
        <v>54.375</v>
      </c>
      <c r="AY4" s="11">
        <f>IF(SUM(AV4,AX4)&gt;0,SUM(AV4,AX4),"")</f>
        <v>150.83500000000001</v>
      </c>
      <c r="AZ4" s="55">
        <v>18.399999999999999</v>
      </c>
      <c r="BA4" s="55">
        <v>9.6</v>
      </c>
      <c r="BB4" s="55">
        <v>0</v>
      </c>
      <c r="BC4" s="55">
        <v>16.015000000000001</v>
      </c>
      <c r="BD4" s="55">
        <v>0</v>
      </c>
      <c r="BE4" s="55">
        <v>16</v>
      </c>
      <c r="BF4" s="55">
        <v>8.9</v>
      </c>
      <c r="BG4" s="55">
        <v>13.5</v>
      </c>
      <c r="BH4" s="55">
        <v>14.9</v>
      </c>
      <c r="BI4" s="55">
        <v>0</v>
      </c>
      <c r="BJ4" s="55"/>
      <c r="BK4" s="55"/>
      <c r="BL4" s="55"/>
      <c r="BM4" s="55"/>
      <c r="BN4" s="55"/>
      <c r="BO4" s="55">
        <v>16.100000000000001</v>
      </c>
      <c r="BP4" s="55">
        <v>8.6</v>
      </c>
      <c r="BQ4" s="55">
        <v>13.3</v>
      </c>
      <c r="BR4" s="55">
        <v>14.715</v>
      </c>
      <c r="BS4" s="55">
        <v>0</v>
      </c>
      <c r="BT4" s="73"/>
      <c r="BU4" s="14">
        <f>IF(SUM(AZ4:BC4)-BD4&gt;0,SUM(AZ4:BC4)-BD4,"")</f>
        <v>44.015000000000001</v>
      </c>
      <c r="BV4" s="14">
        <f>IF(BG4&gt;0,BG4,"")</f>
        <v>13.5</v>
      </c>
      <c r="BW4" s="14">
        <f>IF(SUM(BE4:BH4)-BI4&gt;0,SUM(BE4:BH4)-BI4,"")</f>
        <v>53.3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97.314999999999998</v>
      </c>
      <c r="CA4" s="14">
        <f>IF(BQ4&gt;0,BQ4,"")</f>
        <v>13.3</v>
      </c>
      <c r="CB4" s="14">
        <f>IF(SUM(BO4:BR4)-BS4&gt;0,SUM(BO4:BR4)-BS4,"")</f>
        <v>52.715000000000003</v>
      </c>
      <c r="CC4" s="14">
        <f>IF(SUM(BZ4,CB4)&gt;0,SUM(BZ4,CB4),"")</f>
        <v>150.03</v>
      </c>
      <c r="CD4" s="61">
        <v>18.5</v>
      </c>
      <c r="CE4" s="61">
        <v>9.5</v>
      </c>
      <c r="CF4" s="61">
        <v>0</v>
      </c>
      <c r="CG4" s="61">
        <v>16.05</v>
      </c>
      <c r="CH4" s="61">
        <v>0</v>
      </c>
      <c r="CI4" s="61">
        <v>15.3</v>
      </c>
      <c r="CJ4" s="61">
        <v>9.1</v>
      </c>
      <c r="CK4" s="61">
        <v>12.5</v>
      </c>
      <c r="CL4" s="61">
        <v>14.185</v>
      </c>
      <c r="CM4" s="61">
        <v>0</v>
      </c>
      <c r="CN4" s="61"/>
      <c r="CO4" s="61"/>
      <c r="CP4" s="61"/>
      <c r="CQ4" s="61"/>
      <c r="CR4" s="61"/>
      <c r="CS4" s="61">
        <v>15.3</v>
      </c>
      <c r="CT4" s="61">
        <v>8.9</v>
      </c>
      <c r="CU4" s="61">
        <v>13.5</v>
      </c>
      <c r="CV4" s="61">
        <v>14.605</v>
      </c>
      <c r="CW4" s="61">
        <v>0</v>
      </c>
      <c r="CX4" s="72"/>
      <c r="CY4" s="11">
        <f>IF(SUM(CD4:CG4)-CH4&gt;0,SUM(CD4:CG4)-CH4,"")</f>
        <v>44.05</v>
      </c>
      <c r="CZ4" s="11">
        <f>IF(CK4&gt;0,CK4,"")</f>
        <v>12.5</v>
      </c>
      <c r="DA4" s="11">
        <f>IF(SUM(CI4:CL4)-CM4&gt;0,SUM(CI4:CL4)-CM4,"")</f>
        <v>51.085000000000001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95.134999999999991</v>
      </c>
      <c r="DE4" s="11">
        <f>IF(CU4&gt;0,CU4,"")</f>
        <v>13.5</v>
      </c>
      <c r="DF4" s="11">
        <f>IF(SUM(CS4:CV4)-CW4&gt;0,SUM(CS4:CV4)-CW4,"")</f>
        <v>52.305000000000007</v>
      </c>
      <c r="DG4" s="11">
        <f>IF(SUM(DD4,DF4)&gt;0,SUM(DD4,DF4),"")</f>
        <v>147.44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:NY5" si="0">IF($CX4="P",CD4,(CD4+AZ4)/2)</f>
        <v>18.45</v>
      </c>
      <c r="NQ4" s="61">
        <f t="shared" si="0"/>
        <v>9.5500000000000007</v>
      </c>
      <c r="NR4" s="61">
        <f t="shared" si="0"/>
        <v>0</v>
      </c>
      <c r="NS4" s="61">
        <f t="shared" si="0"/>
        <v>16.032499999999999</v>
      </c>
      <c r="NT4" s="61">
        <f t="shared" si="0"/>
        <v>0</v>
      </c>
      <c r="NU4" s="61">
        <f t="shared" si="0"/>
        <v>15.65</v>
      </c>
      <c r="NV4" s="61">
        <f t="shared" si="0"/>
        <v>9</v>
      </c>
      <c r="NW4" s="61">
        <f t="shared" si="0"/>
        <v>13</v>
      </c>
      <c r="NX4" s="61">
        <f t="shared" si="0"/>
        <v>14.5425</v>
      </c>
      <c r="NY4" s="61">
        <f t="shared" si="0"/>
        <v>0</v>
      </c>
      <c r="NZ4" s="61">
        <f t="shared" ref="NZ4:OI5" si="1">IF($CX4="P",CN4,(CN4+BJ4)/2)</f>
        <v>0</v>
      </c>
      <c r="OA4" s="61">
        <f t="shared" si="1"/>
        <v>0</v>
      </c>
      <c r="OB4" s="61">
        <f t="shared" si="1"/>
        <v>0</v>
      </c>
      <c r="OC4" s="61">
        <f t="shared" si="1"/>
        <v>0</v>
      </c>
      <c r="OD4" s="61">
        <f t="shared" si="1"/>
        <v>0</v>
      </c>
      <c r="OE4" s="61">
        <f t="shared" si="1"/>
        <v>15.700000000000001</v>
      </c>
      <c r="OF4" s="61">
        <f t="shared" si="1"/>
        <v>8.75</v>
      </c>
      <c r="OG4" s="61">
        <f t="shared" si="1"/>
        <v>13.4</v>
      </c>
      <c r="OH4" s="61">
        <f t="shared" si="1"/>
        <v>14.66</v>
      </c>
      <c r="OI4" s="61">
        <f t="shared" si="1"/>
        <v>0</v>
      </c>
      <c r="OJ4" s="72" t="s">
        <v>49</v>
      </c>
      <c r="OK4" s="11">
        <f>IF(SUM(NP4:NS4)-NT4&gt;0,SUM(NP4:NS4)-NT4,"")</f>
        <v>44.032499999999999</v>
      </c>
      <c r="OL4" s="11">
        <f>IF(NW4&gt;0,NW4,"")</f>
        <v>13</v>
      </c>
      <c r="OM4" s="11">
        <f>IF(SUM(NU4:NX4)-NY4&gt;0,SUM(NU4:NX4)-NY4,"")</f>
        <v>52.192499999999995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96.224999999999994</v>
      </c>
      <c r="OQ4" s="11">
        <f>IF(OG4&gt;0,OG4,"")</f>
        <v>13.4</v>
      </c>
      <c r="OR4" s="11">
        <f t="shared" ref="OR4" si="2">IF(SUM(OE4:OH4)-OI4&gt;0,SUM(OE4:OH4)-OI4,"")</f>
        <v>52.510000000000005</v>
      </c>
      <c r="OS4" s="11">
        <f t="shared" ref="OS4" si="3">IF(SUM(OP4,OR4)&gt;0,SUM(OP4,OR4),"")</f>
        <v>148.73500000000001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79</v>
      </c>
      <c r="C5" s="4" t="s">
        <v>78</v>
      </c>
      <c r="D5" s="7">
        <v>2005</v>
      </c>
      <c r="E5" s="15">
        <f>SUM(K5:S5)</f>
        <v>140.75</v>
      </c>
      <c r="F5" s="3" t="str">
        <f>IF(G5&lt;&gt;"","P","")</f>
        <v>P</v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>Merit</v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91.61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0</v>
      </c>
      <c r="N5" s="14" t="str">
        <f>IF(M5=0,"",IF(AND(M5=CY5,$L5&lt;&gt;$CD$1),$CD$1,IF(AND(M5=BU5,$L5&lt;&gt;$AZ$1),$AZ$1,IF(AND(M5=AQ5,$L5&lt;&gt;$V$1),$V$1,""))))</f>
        <v/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0</v>
      </c>
      <c r="P5" s="14" t="str">
        <f>IF(O5=0,"",IF(AND(OR(O5=DC5,O5=DA5),$L5&lt;&gt;$CD$1),$CD$1,IF(AND(OR(O5=BY5,O5=BW5),$L5&lt;&gt;$AZ$1),$AZ$1,IF(AND(OR(O5=AU5,O5=AS5),$L5&lt;&gt;$V$1),$V$1,""))))</f>
        <v/>
      </c>
      <c r="Q5" s="14">
        <f>MAX(AX5,CB5,DF5)</f>
        <v>49.14</v>
      </c>
      <c r="R5" s="14" t="str">
        <f>IF(Q5=0,"",IF(Q5=DF5,$CD$1,IF(Q5=CB5,$AZ$1,IF(Q5=AX5,$V$1,""))))</f>
        <v>2021 2nd Virtual Technical Trial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17.5</v>
      </c>
      <c r="W5" s="61">
        <v>9.1999999999999993</v>
      </c>
      <c r="X5" s="61">
        <v>0</v>
      </c>
      <c r="Y5" s="61">
        <v>14.68</v>
      </c>
      <c r="Z5" s="61">
        <v>0</v>
      </c>
      <c r="AA5" s="61">
        <v>13.6</v>
      </c>
      <c r="AB5" s="61">
        <v>9</v>
      </c>
      <c r="AC5" s="61">
        <v>13.5</v>
      </c>
      <c r="AD5" s="61">
        <v>14.13</v>
      </c>
      <c r="AE5" s="61">
        <v>0</v>
      </c>
      <c r="AF5" s="61"/>
      <c r="AG5" s="61"/>
      <c r="AH5" s="61"/>
      <c r="AI5" s="61"/>
      <c r="AJ5" s="61"/>
      <c r="AK5" s="61">
        <v>13</v>
      </c>
      <c r="AL5" s="61">
        <v>8.8000000000000007</v>
      </c>
      <c r="AM5" s="61">
        <v>13.3</v>
      </c>
      <c r="AN5" s="61">
        <v>14.04</v>
      </c>
      <c r="AO5" s="61">
        <v>0</v>
      </c>
      <c r="AP5" s="72"/>
      <c r="AQ5" s="11">
        <f>IF(SUM(V5:Y5)-Z5&gt;0,SUM(V5:Y5)-Z5,"")</f>
        <v>41.379999999999995</v>
      </c>
      <c r="AR5" s="11">
        <f>IF(AC5&gt;0,AC5,"")</f>
        <v>13.5</v>
      </c>
      <c r="AS5" s="11">
        <f>IF(SUM(AA5:AD5)-AE5&gt;0,SUM(AA5:AD5)-AE5,"")</f>
        <v>50.230000000000004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91.61</v>
      </c>
      <c r="AW5" s="11">
        <f>IF(AM5&gt;0,AM5,"")</f>
        <v>13.3</v>
      </c>
      <c r="AX5" s="11">
        <f>IF(SUM(AK5:AN5)-AO5&gt;0,SUM(AK5:AN5)-AO5,"")</f>
        <v>49.14</v>
      </c>
      <c r="AY5" s="11">
        <f>IF(SUM(AV5,AX5)&gt;0,SUM(AV5,AX5),"")</f>
        <v>140.75</v>
      </c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73"/>
      <c r="BU5" s="14" t="str">
        <f>IF(SUM(AZ5:BC5)-BD5&gt;0,SUM(AZ5:BC5)-BD5,"")</f>
        <v/>
      </c>
      <c r="BV5" s="14" t="str">
        <f>IF(BG5&gt;0,BG5,"")</f>
        <v/>
      </c>
      <c r="BW5" s="14" t="str">
        <f>IF(SUM(BE5:BH5)-BI5&gt;0,SUM(BE5:BH5)-BI5,"")</f>
        <v/>
      </c>
      <c r="BX5" s="14" t="str">
        <f>IF(BL5&gt;0,BL5,"")</f>
        <v/>
      </c>
      <c r="BY5" s="14" t="str">
        <f>IF(SUM(BJ5:BM5)-BN5&gt;0,SUM(BJ5:BM5)-BN5,"")</f>
        <v/>
      </c>
      <c r="BZ5" s="14" t="str">
        <f>IF(BU5="",IF(MAX(BW5,BY5)&gt;0,MAX(BW5,BY5),""),MAX(BW5,BY5)+BU5)</f>
        <v/>
      </c>
      <c r="CA5" s="14" t="str">
        <f>IF(BQ5&gt;0,BQ5,"")</f>
        <v/>
      </c>
      <c r="CB5" s="14" t="str">
        <f>IF(SUM(BO5:BR5)-BS5&gt;0,SUM(BO5:BR5)-BS5,"")</f>
        <v/>
      </c>
      <c r="CC5" s="14" t="str">
        <f>IF(SUM(BZ5,CB5)&gt;0,SUM(BZ5,CB5),"")</f>
        <v/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 t="shared" si="0"/>
        <v>0</v>
      </c>
      <c r="NQ5" s="61">
        <f t="shared" si="0"/>
        <v>0</v>
      </c>
      <c r="NR5" s="61">
        <f t="shared" si="0"/>
        <v>0</v>
      </c>
      <c r="NS5" s="61">
        <f t="shared" si="0"/>
        <v>0</v>
      </c>
      <c r="NT5" s="61">
        <f t="shared" si="0"/>
        <v>0</v>
      </c>
      <c r="NU5" s="61">
        <f t="shared" si="0"/>
        <v>0</v>
      </c>
      <c r="NV5" s="61">
        <f t="shared" si="0"/>
        <v>0</v>
      </c>
      <c r="NW5" s="61">
        <f t="shared" si="0"/>
        <v>0</v>
      </c>
      <c r="NX5" s="61">
        <f t="shared" si="0"/>
        <v>0</v>
      </c>
      <c r="NY5" s="61">
        <f t="shared" si="0"/>
        <v>0</v>
      </c>
      <c r="NZ5" s="61">
        <f t="shared" si="1"/>
        <v>0</v>
      </c>
      <c r="OA5" s="61">
        <f t="shared" si="1"/>
        <v>0</v>
      </c>
      <c r="OB5" s="61">
        <f t="shared" si="1"/>
        <v>0</v>
      </c>
      <c r="OC5" s="61">
        <f t="shared" si="1"/>
        <v>0</v>
      </c>
      <c r="OD5" s="61">
        <f t="shared" si="1"/>
        <v>0</v>
      </c>
      <c r="OE5" s="61">
        <f t="shared" si="1"/>
        <v>0</v>
      </c>
      <c r="OF5" s="61">
        <f t="shared" si="1"/>
        <v>0</v>
      </c>
      <c r="OG5" s="61">
        <f t="shared" si="1"/>
        <v>0</v>
      </c>
      <c r="OH5" s="61">
        <f t="shared" si="1"/>
        <v>0</v>
      </c>
      <c r="OI5" s="61">
        <f t="shared" si="1"/>
        <v>0</v>
      </c>
      <c r="OJ5" s="72" t="s">
        <v>49</v>
      </c>
      <c r="OK5" s="11" t="str">
        <f>IF(SUM(NP5:NS5)-NT5&gt;0,SUM(NP5:NS5)-NT5,"")</f>
        <v/>
      </c>
      <c r="OL5" s="11" t="str">
        <f>IF(NW5&gt;0,NW5,"")</f>
        <v/>
      </c>
      <c r="OM5" s="11" t="str">
        <f>IF(SUM(NU5:NX5)-NY5&gt;0,SUM(NU5:NX5)-NY5,"")</f>
        <v/>
      </c>
      <c r="ON5" s="11" t="str">
        <f>IF(OB5&gt;0,OB5,"")</f>
        <v/>
      </c>
      <c r="OO5" s="11" t="str">
        <f>IF(SUM(NZ5:OC5)-OD5&gt;0,SUM(NZ5:OC5)-OD5,"")</f>
        <v/>
      </c>
      <c r="OP5" s="11" t="str">
        <f>IF(OR(OK5&lt;&gt;"",OM5&lt;&gt;"",OO5&lt;&gt;""),OK5+MAX(OM5,OO5),"")</f>
        <v/>
      </c>
      <c r="OQ5" s="11" t="str">
        <f>IF(OG5&gt;0,OG5,"")</f>
        <v/>
      </c>
      <c r="OR5" s="11" t="str">
        <f t="shared" ref="OR5" si="4">IF(SUM(OE5:OH5)-OI5&gt;0,SUM(OE5:OH5)-OI5,"")</f>
        <v/>
      </c>
      <c r="OS5" s="11" t="str">
        <f t="shared" ref="OS5" si="5">IF(SUM(OP5,OR5)&gt;0,SUM(OP5,OR5),"")</f>
        <v/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13.5</v>
      </c>
      <c r="BV8" s="113"/>
      <c r="BW8" s="113"/>
      <c r="BX8" s="113"/>
      <c r="CA8" s="46"/>
      <c r="CC8" s="56">
        <v>13.5</v>
      </c>
      <c r="CZ8" s="113"/>
      <c r="DA8" s="113"/>
      <c r="DB8" s="113"/>
      <c r="DE8" s="46"/>
      <c r="DG8" s="56">
        <v>13.5</v>
      </c>
      <c r="EA8" s="48"/>
      <c r="EE8" s="46"/>
      <c r="EG8" s="56">
        <v>13.5</v>
      </c>
      <c r="EW8" s="48"/>
      <c r="FA8" s="46"/>
      <c r="FC8" s="56">
        <v>13.5</v>
      </c>
      <c r="FS8" s="48"/>
      <c r="FW8" s="46"/>
      <c r="FY8" s="56">
        <v>13.5</v>
      </c>
      <c r="GO8" s="48"/>
      <c r="GS8" s="46"/>
      <c r="GU8" s="56">
        <v>13.5</v>
      </c>
      <c r="HK8" s="48"/>
      <c r="HO8" s="46"/>
      <c r="HQ8" s="56">
        <v>13.5</v>
      </c>
      <c r="IG8" s="48"/>
      <c r="IK8" s="46"/>
      <c r="IM8" s="56">
        <v>13.5</v>
      </c>
      <c r="JC8" s="48"/>
      <c r="JG8" s="46"/>
      <c r="JI8" s="56">
        <v>13.5</v>
      </c>
      <c r="JY8" s="48"/>
      <c r="KC8" s="46"/>
      <c r="KE8" s="56">
        <v>13.5</v>
      </c>
      <c r="KU8" s="48"/>
      <c r="KY8" s="46"/>
      <c r="LA8" s="56">
        <v>13.5</v>
      </c>
      <c r="LQ8" s="48"/>
      <c r="LU8" s="46"/>
      <c r="LW8" s="56">
        <v>13.5</v>
      </c>
      <c r="MM8" s="48"/>
      <c r="MQ8" s="46"/>
      <c r="MS8" s="56">
        <v>13.5</v>
      </c>
      <c r="NI8" s="48"/>
      <c r="NM8" s="46"/>
      <c r="NO8" s="56">
        <v>13.5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98">
        <v>13.5</v>
      </c>
      <c r="BV9" s="113"/>
      <c r="BW9" s="113"/>
      <c r="BX9" s="113"/>
      <c r="CA9" s="46"/>
      <c r="CC9" s="98">
        <v>13.5</v>
      </c>
      <c r="CZ9" s="113"/>
      <c r="DA9" s="113"/>
      <c r="DB9" s="113"/>
      <c r="DE9" s="46"/>
      <c r="DG9" s="98">
        <v>13.5</v>
      </c>
      <c r="EA9" s="48"/>
      <c r="EE9" s="46"/>
      <c r="EG9" s="98">
        <v>13.5</v>
      </c>
      <c r="EW9" s="48"/>
      <c r="FA9" s="46"/>
      <c r="FC9" s="98">
        <v>13.5</v>
      </c>
      <c r="FS9" s="48"/>
      <c r="FW9" s="46"/>
      <c r="FY9" s="98">
        <v>13.5</v>
      </c>
      <c r="GO9" s="48"/>
      <c r="GS9" s="46"/>
      <c r="GU9" s="98">
        <v>13.5</v>
      </c>
      <c r="HK9" s="48"/>
      <c r="HO9" s="46"/>
      <c r="HQ9" s="98">
        <v>13.5</v>
      </c>
      <c r="IG9" s="48"/>
      <c r="IK9" s="46"/>
      <c r="IM9" s="98">
        <v>13.5</v>
      </c>
      <c r="JC9" s="48"/>
      <c r="JG9" s="46"/>
      <c r="JI9" s="98">
        <v>13.5</v>
      </c>
      <c r="JY9" s="48"/>
      <c r="KC9" s="46"/>
      <c r="KE9" s="98">
        <v>13.5</v>
      </c>
      <c r="KU9" s="48"/>
      <c r="KY9" s="46"/>
      <c r="LA9" s="98">
        <v>13.5</v>
      </c>
      <c r="LQ9" s="48"/>
      <c r="LU9" s="46"/>
      <c r="LW9" s="98">
        <v>13.5</v>
      </c>
      <c r="MM9" s="48"/>
      <c r="MQ9" s="46"/>
      <c r="MS9" s="98">
        <v>13.5</v>
      </c>
      <c r="NI9" s="48"/>
      <c r="NM9" s="46"/>
      <c r="NO9" s="98">
        <v>13.5</v>
      </c>
    </row>
    <row r="10" spans="1:409" x14ac:dyDescent="0.2">
      <c r="A10" s="48"/>
      <c r="B10" s="84" t="s">
        <v>60</v>
      </c>
      <c r="C10" s="48"/>
      <c r="AR10" s="113"/>
      <c r="AS10" s="113"/>
      <c r="AT10" s="113"/>
      <c r="AV10" s="46"/>
      <c r="AW10" s="46"/>
      <c r="AX10" s="46"/>
      <c r="AY10" s="86">
        <v>13.5</v>
      </c>
      <c r="BV10" s="113"/>
      <c r="BW10" s="113"/>
      <c r="BX10" s="113"/>
      <c r="CA10" s="46"/>
      <c r="CC10" s="86">
        <v>13.5</v>
      </c>
      <c r="CZ10" s="113"/>
      <c r="DA10" s="113"/>
      <c r="DB10" s="113"/>
      <c r="DD10" s="46"/>
      <c r="DE10" s="46"/>
      <c r="DF10" s="46"/>
      <c r="DG10" s="86">
        <v>13.5</v>
      </c>
      <c r="EA10" s="48"/>
      <c r="EE10" s="46"/>
      <c r="EG10" s="86">
        <v>13.5</v>
      </c>
      <c r="EW10" s="48"/>
      <c r="FA10" s="46"/>
      <c r="FC10" s="86">
        <v>13.5</v>
      </c>
      <c r="FS10" s="48"/>
      <c r="FW10" s="46"/>
      <c r="FY10" s="86">
        <v>13.5</v>
      </c>
      <c r="GO10" s="48"/>
      <c r="GS10" s="46"/>
      <c r="GU10" s="86">
        <v>13.5</v>
      </c>
      <c r="HK10" s="48"/>
      <c r="HO10" s="46"/>
      <c r="HQ10" s="86">
        <v>13.5</v>
      </c>
      <c r="IG10" s="48"/>
      <c r="IK10" s="46"/>
      <c r="IM10" s="86">
        <v>13.5</v>
      </c>
      <c r="JC10" s="48"/>
      <c r="JG10" s="46"/>
      <c r="JI10" s="86">
        <v>13.5</v>
      </c>
      <c r="JY10" s="48"/>
      <c r="KC10" s="46"/>
      <c r="KE10" s="86">
        <v>13.5</v>
      </c>
      <c r="KU10" s="48"/>
      <c r="KY10" s="46"/>
      <c r="LA10" s="86">
        <v>13.5</v>
      </c>
      <c r="LQ10" s="48"/>
      <c r="LU10" s="46"/>
      <c r="LW10" s="86">
        <v>13.5</v>
      </c>
      <c r="MM10" s="48"/>
      <c r="MQ10" s="46"/>
      <c r="MS10" s="86">
        <v>13.5</v>
      </c>
      <c r="NI10" s="48"/>
      <c r="NM10" s="46"/>
      <c r="NO10" s="86">
        <v>13.5</v>
      </c>
    </row>
    <row r="11" spans="1:409" x14ac:dyDescent="0.2">
      <c r="A11" s="48"/>
      <c r="B11" s="109" t="s">
        <v>65</v>
      </c>
      <c r="C11" s="48"/>
      <c r="AR11" s="113"/>
      <c r="AS11" s="113"/>
      <c r="AT11" s="113"/>
      <c r="AV11" s="46"/>
      <c r="AW11" s="46"/>
      <c r="AX11" s="46"/>
      <c r="AY11" s="110">
        <v>13.5</v>
      </c>
      <c r="BV11" s="113"/>
      <c r="BW11" s="113"/>
      <c r="BX11" s="113"/>
      <c r="CA11" s="46"/>
      <c r="CC11" s="110">
        <v>13.5</v>
      </c>
      <c r="CZ11" s="113"/>
      <c r="DA11" s="113"/>
      <c r="DB11" s="113"/>
      <c r="DD11" s="46"/>
      <c r="DE11" s="46"/>
      <c r="DF11" s="46"/>
      <c r="DG11" s="110">
        <v>13.5</v>
      </c>
      <c r="EA11" s="48"/>
      <c r="EE11" s="46"/>
      <c r="EG11" s="110">
        <v>13.5</v>
      </c>
      <c r="EW11" s="48"/>
      <c r="FA11" s="46"/>
      <c r="FC11" s="110">
        <v>13.5</v>
      </c>
      <c r="FS11" s="48"/>
      <c r="FW11" s="46"/>
      <c r="FY11" s="110">
        <v>13.5</v>
      </c>
      <c r="GO11" s="48"/>
      <c r="GS11" s="46"/>
      <c r="GU11" s="110">
        <v>13.5</v>
      </c>
      <c r="HK11" s="48"/>
      <c r="HO11" s="46"/>
      <c r="HQ11" s="110">
        <v>13.5</v>
      </c>
      <c r="IG11" s="48"/>
      <c r="IK11" s="46"/>
      <c r="IM11" s="110">
        <v>13.5</v>
      </c>
      <c r="JC11" s="48"/>
      <c r="JG11" s="46"/>
      <c r="JI11" s="110">
        <v>13.5</v>
      </c>
      <c r="JY11" s="48"/>
      <c r="KC11" s="46"/>
      <c r="KE11" s="110">
        <v>13.5</v>
      </c>
      <c r="KU11" s="48"/>
      <c r="KY11" s="46"/>
      <c r="LA11" s="110">
        <v>13.5</v>
      </c>
      <c r="LQ11" s="48"/>
      <c r="LU11" s="46"/>
      <c r="LW11" s="110">
        <v>13.5</v>
      </c>
      <c r="MM11" s="48"/>
      <c r="MQ11" s="46"/>
      <c r="MS11" s="110">
        <v>13.5</v>
      </c>
      <c r="NI11" s="48"/>
      <c r="NM11" s="46"/>
      <c r="NO11" s="110">
        <v>13.5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96</v>
      </c>
      <c r="BV12" s="113"/>
      <c r="BW12" s="113"/>
      <c r="BX12" s="113"/>
      <c r="CA12" s="46"/>
      <c r="CC12" s="108">
        <v>96</v>
      </c>
      <c r="CZ12" s="113"/>
      <c r="DA12" s="113"/>
      <c r="DB12" s="113"/>
      <c r="DD12" s="46"/>
      <c r="DE12" s="46"/>
      <c r="DF12" s="46"/>
      <c r="DG12" s="108">
        <v>96</v>
      </c>
      <c r="EA12" s="48"/>
      <c r="EE12" s="46"/>
      <c r="EG12" s="108">
        <v>98</v>
      </c>
      <c r="EW12" s="48"/>
      <c r="FA12" s="46"/>
      <c r="FC12" s="108">
        <v>96</v>
      </c>
      <c r="FS12" s="48"/>
      <c r="FW12" s="46"/>
      <c r="FY12" s="108">
        <v>96</v>
      </c>
      <c r="GO12" s="48"/>
      <c r="GS12" s="46"/>
      <c r="GU12" s="108">
        <v>96</v>
      </c>
      <c r="HK12" s="48"/>
      <c r="HO12" s="46"/>
      <c r="HQ12" s="108">
        <v>96</v>
      </c>
      <c r="IG12" s="48"/>
      <c r="IK12" s="46"/>
      <c r="IM12" s="108">
        <v>96</v>
      </c>
      <c r="JC12" s="48"/>
      <c r="JG12" s="46"/>
      <c r="JI12" s="108">
        <v>96</v>
      </c>
      <c r="JY12" s="48"/>
      <c r="KC12" s="46"/>
      <c r="KE12" s="108">
        <v>96</v>
      </c>
      <c r="KU12" s="48"/>
      <c r="KY12" s="46"/>
      <c r="LA12" s="108">
        <v>96</v>
      </c>
      <c r="LQ12" s="48"/>
      <c r="LU12" s="46"/>
      <c r="LW12" s="108">
        <v>96</v>
      </c>
      <c r="MM12" s="48"/>
      <c r="MQ12" s="46"/>
      <c r="MS12" s="108">
        <v>96</v>
      </c>
      <c r="NI12" s="48"/>
      <c r="NM12" s="46"/>
      <c r="NO12" s="108">
        <v>96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99.2</v>
      </c>
      <c r="BV13" s="113"/>
      <c r="BW13" s="113"/>
      <c r="BX13" s="113"/>
      <c r="CA13" s="46"/>
      <c r="CC13" s="58">
        <v>99.2</v>
      </c>
      <c r="CZ13" s="113"/>
      <c r="DA13" s="113"/>
      <c r="DB13" s="113"/>
      <c r="DD13" s="46"/>
      <c r="DE13" s="46"/>
      <c r="DF13" s="46"/>
      <c r="DG13" s="58">
        <v>99.2</v>
      </c>
      <c r="EA13" s="48"/>
      <c r="EE13" s="46"/>
      <c r="EG13" s="58">
        <v>101.2</v>
      </c>
      <c r="EW13" s="48"/>
      <c r="FA13" s="46"/>
      <c r="FC13" s="58">
        <v>99.2</v>
      </c>
      <c r="FS13" s="48"/>
      <c r="FW13" s="46"/>
      <c r="FY13" s="58">
        <v>99.2</v>
      </c>
      <c r="GO13" s="48"/>
      <c r="GS13" s="46"/>
      <c r="GU13" s="58">
        <v>99.2</v>
      </c>
      <c r="HK13" s="48"/>
      <c r="HO13" s="46"/>
      <c r="HQ13" s="58">
        <v>99.2</v>
      </c>
      <c r="IG13" s="48"/>
      <c r="IK13" s="46"/>
      <c r="IM13" s="58">
        <v>99.2</v>
      </c>
      <c r="JC13" s="48"/>
      <c r="JG13" s="46"/>
      <c r="JI13" s="58">
        <v>99.2</v>
      </c>
      <c r="JY13" s="48"/>
      <c r="KC13" s="46"/>
      <c r="KE13" s="58">
        <v>99.2</v>
      </c>
      <c r="KU13" s="48"/>
      <c r="KY13" s="46"/>
      <c r="LA13" s="58">
        <v>99.2</v>
      </c>
      <c r="LQ13" s="48"/>
      <c r="LU13" s="46"/>
      <c r="LW13" s="58">
        <v>99.2</v>
      </c>
      <c r="MM13" s="48"/>
      <c r="MQ13" s="46"/>
      <c r="MS13" s="58">
        <v>99.2</v>
      </c>
      <c r="NI13" s="48"/>
      <c r="NM13" s="46"/>
      <c r="NO13" s="58">
        <v>99.2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46"/>
      <c r="AY14" s="106">
        <v>99.2</v>
      </c>
      <c r="BV14" s="113"/>
      <c r="BW14" s="113"/>
      <c r="BX14" s="113"/>
      <c r="CA14" s="46"/>
      <c r="CB14" s="118"/>
      <c r="CC14" s="106">
        <v>99.2</v>
      </c>
      <c r="CZ14" s="113"/>
      <c r="DA14" s="113"/>
      <c r="DB14" s="113"/>
      <c r="DD14" s="46"/>
      <c r="DE14" s="46"/>
      <c r="DF14" s="46"/>
      <c r="DG14" s="106">
        <v>99.2</v>
      </c>
      <c r="EA14" s="48"/>
      <c r="EE14" s="46"/>
      <c r="EF14" s="118"/>
      <c r="EG14" s="106">
        <v>101.2</v>
      </c>
      <c r="EW14" s="48"/>
      <c r="FA14" s="46"/>
      <c r="FC14" s="106">
        <v>99.2</v>
      </c>
      <c r="FS14" s="48"/>
      <c r="FW14" s="46"/>
      <c r="FY14" s="106">
        <v>99.2</v>
      </c>
      <c r="GO14" s="48"/>
      <c r="GS14" s="46"/>
      <c r="GT14" s="118"/>
      <c r="GU14" s="106">
        <v>99.2</v>
      </c>
      <c r="HK14" s="48"/>
      <c r="HO14" s="46"/>
      <c r="HP14" s="118"/>
      <c r="HQ14" s="106">
        <v>99.2</v>
      </c>
      <c r="IG14" s="48"/>
      <c r="IK14" s="46"/>
      <c r="IL14" s="118"/>
      <c r="IM14" s="106">
        <v>99.2</v>
      </c>
      <c r="JC14" s="48"/>
      <c r="JG14" s="46"/>
      <c r="JI14" s="106">
        <v>99.2</v>
      </c>
      <c r="JY14" s="48"/>
      <c r="KC14" s="46"/>
      <c r="KE14" s="106">
        <v>99.2</v>
      </c>
      <c r="KU14" s="48"/>
      <c r="KY14" s="46"/>
      <c r="LA14" s="106">
        <v>99.2</v>
      </c>
      <c r="LQ14" s="48"/>
      <c r="LU14" s="46"/>
      <c r="LW14" s="106">
        <v>99.2</v>
      </c>
      <c r="MM14" s="48"/>
      <c r="MQ14" s="46"/>
      <c r="MS14" s="106">
        <v>99.2</v>
      </c>
      <c r="NI14" s="48"/>
      <c r="NM14" s="46"/>
      <c r="NO14" s="106">
        <v>99.2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56.7</v>
      </c>
      <c r="BV15" s="113"/>
      <c r="BW15" s="113"/>
      <c r="BX15" s="113"/>
      <c r="CA15" s="46"/>
      <c r="CC15" s="60">
        <v>56.7</v>
      </c>
      <c r="CZ15" s="113"/>
      <c r="DA15" s="113"/>
      <c r="DB15" s="113"/>
      <c r="DD15" s="46"/>
      <c r="DE15" s="46"/>
      <c r="DF15" s="46"/>
      <c r="DG15" s="60">
        <v>56.7</v>
      </c>
      <c r="EA15" s="48"/>
      <c r="EE15" s="46"/>
      <c r="EG15" s="60">
        <v>56.7</v>
      </c>
      <c r="EW15" s="48"/>
      <c r="FA15" s="46"/>
      <c r="FC15" s="60">
        <v>56.7</v>
      </c>
      <c r="FS15" s="48"/>
      <c r="FW15" s="46"/>
      <c r="FY15" s="60">
        <v>56.7</v>
      </c>
      <c r="GO15" s="48"/>
      <c r="GS15" s="46"/>
      <c r="GU15" s="60">
        <v>56.7</v>
      </c>
      <c r="HK15" s="48"/>
      <c r="HO15" s="46"/>
      <c r="HQ15" s="60">
        <v>56.7</v>
      </c>
      <c r="IG15" s="48"/>
      <c r="IK15" s="46"/>
      <c r="IL15" s="118"/>
      <c r="IM15" s="60">
        <v>56.7</v>
      </c>
      <c r="JC15" s="48"/>
      <c r="JG15" s="46"/>
      <c r="JI15" s="60">
        <v>56.7</v>
      </c>
      <c r="JY15" s="48"/>
      <c r="KC15" s="46"/>
      <c r="KE15" s="60">
        <v>56.7</v>
      </c>
      <c r="KU15" s="48"/>
      <c r="KY15" s="46"/>
      <c r="LA15" s="60">
        <v>56.7</v>
      </c>
      <c r="LQ15" s="48"/>
      <c r="LU15" s="46"/>
      <c r="LW15" s="60">
        <v>56.7</v>
      </c>
      <c r="MM15" s="48"/>
      <c r="MQ15" s="46"/>
      <c r="MS15" s="60">
        <v>56.7</v>
      </c>
      <c r="NI15" s="48"/>
      <c r="NM15" s="46"/>
      <c r="NO15" s="60">
        <v>56.7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5:OQ6">
      <sortCondition descending="1" ref="F1:F6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149" priority="5" operator="containsText" text="No DD">
      <formula>NOT(ISERROR(SEARCH("No DD",I1)))</formula>
    </cfRule>
    <cfRule type="containsText" dxfId="148" priority="6" operator="containsText" text="Merit">
      <formula>NOT(ISERROR(SEARCH("Merit",I1)))</formula>
    </cfRule>
    <cfRule type="containsText" dxfId="147" priority="7" operator="containsText" text="Excellence">
      <formula>NOT(ISERROR(SEARCH("Excellence",I1)))</formula>
    </cfRule>
    <cfRule type="containsText" dxfId="146" priority="8" operator="containsText" text="Worlds Team">
      <formula>NOT(ISERROR(SEARCH("Worlds Team",I1)))</formula>
    </cfRule>
    <cfRule type="containsText" dxfId="145" priority="9" operator="containsText" text="National Team">
      <formula>NOT(ISERROR(SEARCH("National Team",I1)))</formula>
    </cfRule>
  </conditionalFormatting>
  <conditionalFormatting sqref="V4:AY5">
    <cfRule type="expression" dxfId="144" priority="1" stopIfTrue="1">
      <formula>IF($AP4&lt;&gt;"",1,0)</formula>
    </cfRule>
  </conditionalFormatting>
  <conditionalFormatting sqref="AZ4:CC5">
    <cfRule type="expression" dxfId="143" priority="3" stopIfTrue="1">
      <formula>IF($BT4&lt;&gt;"",1,0)</formula>
    </cfRule>
  </conditionalFormatting>
  <conditionalFormatting sqref="N1:N1048576 R1:R1048576 L1:L1048576 P1:P1048576">
    <cfRule type="expression" dxfId="142" priority="10">
      <formula>IF(L1=$CD$1,1,0)</formula>
    </cfRule>
    <cfRule type="expression" dxfId="141" priority="11">
      <formula>IF(L1=$AZ$1,1,0)</formula>
    </cfRule>
    <cfRule type="expression" dxfId="140" priority="12">
      <formula>IF(L1=$V$1,1,0)</formula>
    </cfRule>
  </conditionalFormatting>
  <conditionalFormatting sqref="A1:A1048576">
    <cfRule type="expression" dxfId="139" priority="37339">
      <formula>AND(H1&lt;&gt;"",G1="")</formula>
    </cfRule>
  </conditionalFormatting>
  <conditionalFormatting sqref="CD4:DG5">
    <cfRule type="expression" dxfId="138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37" priority="44900" operator="between">
      <formula>AY$15</formula>
      <formula>1000</formula>
    </cfRule>
    <cfRule type="cellIs" dxfId="136" priority="44901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35" priority="44990" operator="between">
      <formula>AY$14</formula>
      <formula>1000</formula>
    </cfRule>
    <cfRule type="cellIs" dxfId="134" priority="44991" operator="between">
      <formula>AY$13</formula>
      <formula>AY$14</formula>
    </cfRule>
    <cfRule type="cellIs" dxfId="133" priority="44992" operator="between">
      <formula>AY$12</formula>
      <formula>AY$13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32" priority="45125" operator="between">
      <formula>AY$15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31" priority="45170" operator="between">
      <formula>EG$11</formula>
      <formula>1000</formula>
    </cfRule>
    <cfRule type="cellIs" dxfId="130" priority="45171" operator="between">
      <formula>EG$10</formula>
      <formula>EG$11</formula>
    </cfRule>
    <cfRule type="cellIs" dxfId="129" priority="45172" operator="between">
      <formula>EG$9</formula>
      <formula>EG$10</formula>
    </cfRule>
    <cfRule type="cellIs" dxfId="128" priority="45173" operator="between">
      <formula>EG$8</formula>
      <formula>EG$9</formula>
    </cfRule>
  </conditionalFormatting>
  <conditionalFormatting sqref="AR1:AR1048576 BV1:BV1048576 CZ1:CZ1048576">
    <cfRule type="cellIs" dxfId="127" priority="45314" operator="between">
      <formula>AY$11</formula>
      <formula>1000</formula>
    </cfRule>
    <cfRule type="cellIs" dxfId="126" priority="45315" operator="between">
      <formula>AY$10</formula>
      <formula>AY$11</formula>
    </cfRule>
    <cfRule type="cellIs" dxfId="125" priority="45316" operator="between">
      <formula>AY$9</formula>
      <formula>AY$10</formula>
    </cfRule>
    <cfRule type="cellIs" dxfId="124" priority="45317" operator="between">
      <formula>AY$8</formula>
      <formula>AY$9</formula>
    </cfRule>
  </conditionalFormatting>
  <conditionalFormatting sqref="AS1:AS1048576 BW1:BW1048576 DA1:DA1048576">
    <cfRule type="cellIs" dxfId="123" priority="45350" operator="between">
      <formula>AY$15</formula>
      <formula>1000</formula>
    </cfRule>
  </conditionalFormatting>
  <conditionalFormatting sqref="AT1:AT1048576 BX1:BX1048576 DB1:DB1048576">
    <cfRule type="cellIs" dxfId="122" priority="45359" operator="between">
      <formula>AY$11</formula>
      <formula>1000</formula>
    </cfRule>
    <cfRule type="cellIs" dxfId="121" priority="45360" operator="between">
      <formula>AY$10</formula>
      <formula>AY$11</formula>
    </cfRule>
    <cfRule type="cellIs" dxfId="120" priority="45361" operator="between">
      <formula>AY$9</formula>
      <formula>AY$10</formula>
    </cfRule>
    <cfRule type="cellIs" dxfId="119" priority="45362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8" priority="45395" operator="between">
      <formula>AY$11</formula>
      <formula>1000</formula>
    </cfRule>
    <cfRule type="cellIs" dxfId="117" priority="45396" operator="between">
      <formula>AY$10</formula>
      <formula>AY$11</formula>
    </cfRule>
    <cfRule type="cellIs" dxfId="116" priority="45397" operator="between">
      <formula>AY$9</formula>
      <formula>AY$10</formula>
    </cfRule>
    <cfRule type="cellIs" dxfId="115" priority="45398" operator="between">
      <formula>AY$8</formula>
      <formula>AY$9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7.5" bestFit="1" customWidth="1"/>
    <col min="14" max="14" width="20.5" bestFit="1" customWidth="1"/>
    <col min="16" max="16" width="20.5" bestFit="1" customWidth="1"/>
    <col min="18" max="18" width="27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28" t="s">
        <v>72</v>
      </c>
      <c r="G1" s="128" t="s">
        <v>70</v>
      </c>
      <c r="H1" s="128" t="s">
        <v>71</v>
      </c>
      <c r="I1" s="128" t="s">
        <v>6</v>
      </c>
      <c r="J1" s="128" t="s">
        <v>76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74</v>
      </c>
      <c r="P1" s="129" t="s">
        <v>29</v>
      </c>
      <c r="Q1" s="129" t="s">
        <v>9</v>
      </c>
      <c r="R1" s="129" t="s">
        <v>29</v>
      </c>
      <c r="S1" s="130" t="s">
        <v>10</v>
      </c>
      <c r="T1" s="129" t="s">
        <v>30</v>
      </c>
      <c r="U1" s="129" t="s">
        <v>29</v>
      </c>
      <c r="V1" s="125" t="s">
        <v>77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6" t="s">
        <v>84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5" t="s">
        <v>86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27" t="s">
        <v>10</v>
      </c>
      <c r="DI1" s="127"/>
      <c r="DJ1" s="127"/>
      <c r="DK1" s="127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9"/>
      <c r="L2" s="129"/>
      <c r="M2" s="129"/>
      <c r="N2" s="129"/>
      <c r="O2" s="129"/>
      <c r="P2" s="129"/>
      <c r="Q2" s="129"/>
      <c r="R2" s="129"/>
      <c r="S2" s="130"/>
      <c r="T2" s="129"/>
      <c r="U2" s="129"/>
      <c r="V2" s="124" t="s">
        <v>15</v>
      </c>
      <c r="W2" s="124"/>
      <c r="X2" s="124"/>
      <c r="Y2" s="124"/>
      <c r="Z2" s="124"/>
      <c r="AA2" s="124" t="s">
        <v>16</v>
      </c>
      <c r="AB2" s="124"/>
      <c r="AC2" s="124"/>
      <c r="AD2" s="124"/>
      <c r="AE2" s="124"/>
      <c r="AF2" s="124" t="s">
        <v>66</v>
      </c>
      <c r="AG2" s="124"/>
      <c r="AH2" s="124"/>
      <c r="AI2" s="124"/>
      <c r="AJ2" s="124"/>
      <c r="AK2" s="124" t="s">
        <v>19</v>
      </c>
      <c r="AL2" s="124"/>
      <c r="AM2" s="124"/>
      <c r="AN2" s="124"/>
      <c r="AO2" s="124"/>
      <c r="AP2" s="103"/>
      <c r="AQ2" s="9" t="s">
        <v>17</v>
      </c>
      <c r="AR2" s="9" t="s">
        <v>68</v>
      </c>
      <c r="AS2" s="9" t="s">
        <v>18</v>
      </c>
      <c r="AT2" s="9" t="s">
        <v>69</v>
      </c>
      <c r="AU2" s="9" t="s">
        <v>67</v>
      </c>
      <c r="AV2" s="9" t="s">
        <v>20</v>
      </c>
      <c r="AW2" s="9" t="s">
        <v>62</v>
      </c>
      <c r="AX2" s="9" t="s">
        <v>19</v>
      </c>
      <c r="AY2" s="9" t="s">
        <v>14</v>
      </c>
      <c r="AZ2" s="123" t="s">
        <v>15</v>
      </c>
      <c r="BA2" s="123"/>
      <c r="BB2" s="123"/>
      <c r="BC2" s="123"/>
      <c r="BD2" s="123"/>
      <c r="BE2" s="123" t="s">
        <v>16</v>
      </c>
      <c r="BF2" s="123"/>
      <c r="BG2" s="123"/>
      <c r="BH2" s="123"/>
      <c r="BI2" s="123"/>
      <c r="BJ2" s="123" t="s">
        <v>66</v>
      </c>
      <c r="BK2" s="123"/>
      <c r="BL2" s="123"/>
      <c r="BM2" s="123"/>
      <c r="BN2" s="123"/>
      <c r="BO2" s="123" t="s">
        <v>19</v>
      </c>
      <c r="BP2" s="123"/>
      <c r="BQ2" s="123"/>
      <c r="BR2" s="123"/>
      <c r="BS2" s="123"/>
      <c r="BT2" s="104"/>
      <c r="BU2" s="12" t="s">
        <v>17</v>
      </c>
      <c r="BV2" s="12" t="s">
        <v>68</v>
      </c>
      <c r="BW2" s="12" t="s">
        <v>18</v>
      </c>
      <c r="BX2" s="12" t="s">
        <v>69</v>
      </c>
      <c r="BY2" s="12" t="s">
        <v>67</v>
      </c>
      <c r="BZ2" s="12" t="s">
        <v>20</v>
      </c>
      <c r="CA2" s="12" t="s">
        <v>62</v>
      </c>
      <c r="CB2" s="12" t="s">
        <v>19</v>
      </c>
      <c r="CC2" s="12" t="s">
        <v>14</v>
      </c>
      <c r="CD2" s="124" t="s">
        <v>15</v>
      </c>
      <c r="CE2" s="124"/>
      <c r="CF2" s="124"/>
      <c r="CG2" s="124"/>
      <c r="CH2" s="124"/>
      <c r="CI2" s="124" t="s">
        <v>16</v>
      </c>
      <c r="CJ2" s="124"/>
      <c r="CK2" s="124"/>
      <c r="CL2" s="124"/>
      <c r="CM2" s="124"/>
      <c r="CN2" s="124" t="s">
        <v>66</v>
      </c>
      <c r="CO2" s="124"/>
      <c r="CP2" s="124"/>
      <c r="CQ2" s="124"/>
      <c r="CR2" s="124"/>
      <c r="CS2" s="124" t="s">
        <v>19</v>
      </c>
      <c r="CT2" s="124"/>
      <c r="CU2" s="124"/>
      <c r="CV2" s="124"/>
      <c r="CW2" s="124"/>
      <c r="CX2" s="103"/>
      <c r="CY2" s="9" t="s">
        <v>17</v>
      </c>
      <c r="CZ2" s="9" t="s">
        <v>68</v>
      </c>
      <c r="DA2" s="9" t="s">
        <v>18</v>
      </c>
      <c r="DB2" s="9" t="s">
        <v>69</v>
      </c>
      <c r="DC2" s="9" t="s">
        <v>67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4" t="s">
        <v>15</v>
      </c>
      <c r="DM2" s="124"/>
      <c r="DN2" s="124"/>
      <c r="DO2" s="124"/>
      <c r="DP2" s="124"/>
      <c r="DQ2" s="124" t="s">
        <v>16</v>
      </c>
      <c r="DR2" s="124"/>
      <c r="DS2" s="124"/>
      <c r="DT2" s="124"/>
      <c r="DU2" s="124"/>
      <c r="DV2" s="124" t="s">
        <v>19</v>
      </c>
      <c r="DW2" s="124"/>
      <c r="DX2" s="124"/>
      <c r="DY2" s="124"/>
      <c r="DZ2" s="124"/>
      <c r="EA2" s="10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3" t="s">
        <v>15</v>
      </c>
      <c r="EI2" s="123"/>
      <c r="EJ2" s="123"/>
      <c r="EK2" s="123"/>
      <c r="EL2" s="123"/>
      <c r="EM2" s="123" t="s">
        <v>16</v>
      </c>
      <c r="EN2" s="123"/>
      <c r="EO2" s="123"/>
      <c r="EP2" s="123"/>
      <c r="EQ2" s="123"/>
      <c r="ER2" s="123" t="s">
        <v>19</v>
      </c>
      <c r="ES2" s="123"/>
      <c r="ET2" s="123"/>
      <c r="EU2" s="123"/>
      <c r="EV2" s="123"/>
      <c r="EW2" s="10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4" t="s">
        <v>15</v>
      </c>
      <c r="FE2" s="124"/>
      <c r="FF2" s="124"/>
      <c r="FG2" s="124"/>
      <c r="FH2" s="124"/>
      <c r="FI2" s="124" t="s">
        <v>16</v>
      </c>
      <c r="FJ2" s="124"/>
      <c r="FK2" s="124"/>
      <c r="FL2" s="124"/>
      <c r="FM2" s="124"/>
      <c r="FN2" s="124" t="s">
        <v>19</v>
      </c>
      <c r="FO2" s="124"/>
      <c r="FP2" s="124"/>
      <c r="FQ2" s="124"/>
      <c r="FR2" s="124"/>
      <c r="FS2" s="10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3" t="s">
        <v>15</v>
      </c>
      <c r="GA2" s="123"/>
      <c r="GB2" s="123"/>
      <c r="GC2" s="123"/>
      <c r="GD2" s="123"/>
      <c r="GE2" s="123" t="s">
        <v>16</v>
      </c>
      <c r="GF2" s="123"/>
      <c r="GG2" s="123"/>
      <c r="GH2" s="123"/>
      <c r="GI2" s="123"/>
      <c r="GJ2" s="123" t="s">
        <v>19</v>
      </c>
      <c r="GK2" s="123"/>
      <c r="GL2" s="123"/>
      <c r="GM2" s="123"/>
      <c r="GN2" s="123"/>
      <c r="GO2" s="10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4" t="s">
        <v>15</v>
      </c>
      <c r="GW2" s="124"/>
      <c r="GX2" s="124"/>
      <c r="GY2" s="124"/>
      <c r="GZ2" s="124"/>
      <c r="HA2" s="124" t="s">
        <v>16</v>
      </c>
      <c r="HB2" s="124"/>
      <c r="HC2" s="124"/>
      <c r="HD2" s="124"/>
      <c r="HE2" s="124"/>
      <c r="HF2" s="124" t="s">
        <v>19</v>
      </c>
      <c r="HG2" s="124"/>
      <c r="HH2" s="124"/>
      <c r="HI2" s="124"/>
      <c r="HJ2" s="124"/>
      <c r="HK2" s="10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3" t="s">
        <v>15</v>
      </c>
      <c r="HS2" s="123"/>
      <c r="HT2" s="123"/>
      <c r="HU2" s="123"/>
      <c r="HV2" s="123"/>
      <c r="HW2" s="123" t="s">
        <v>16</v>
      </c>
      <c r="HX2" s="123"/>
      <c r="HY2" s="123"/>
      <c r="HZ2" s="123"/>
      <c r="IA2" s="123"/>
      <c r="IB2" s="123" t="s">
        <v>19</v>
      </c>
      <c r="IC2" s="123"/>
      <c r="ID2" s="123"/>
      <c r="IE2" s="123"/>
      <c r="IF2" s="123"/>
      <c r="IG2" s="10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4" t="s">
        <v>15</v>
      </c>
      <c r="IO2" s="124"/>
      <c r="IP2" s="124"/>
      <c r="IQ2" s="124"/>
      <c r="IR2" s="124"/>
      <c r="IS2" s="124" t="s">
        <v>16</v>
      </c>
      <c r="IT2" s="124"/>
      <c r="IU2" s="124"/>
      <c r="IV2" s="124"/>
      <c r="IW2" s="124"/>
      <c r="IX2" s="124" t="s">
        <v>19</v>
      </c>
      <c r="IY2" s="124"/>
      <c r="IZ2" s="124"/>
      <c r="JA2" s="124"/>
      <c r="JB2" s="124"/>
      <c r="JC2" s="10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3" t="s">
        <v>15</v>
      </c>
      <c r="JK2" s="123"/>
      <c r="JL2" s="123"/>
      <c r="JM2" s="123"/>
      <c r="JN2" s="123"/>
      <c r="JO2" s="123" t="s">
        <v>16</v>
      </c>
      <c r="JP2" s="123"/>
      <c r="JQ2" s="123"/>
      <c r="JR2" s="123"/>
      <c r="JS2" s="123"/>
      <c r="JT2" s="123" t="s">
        <v>19</v>
      </c>
      <c r="JU2" s="123"/>
      <c r="JV2" s="123"/>
      <c r="JW2" s="123"/>
      <c r="JX2" s="123"/>
      <c r="JY2" s="10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4" t="s">
        <v>15</v>
      </c>
      <c r="KG2" s="124"/>
      <c r="KH2" s="124"/>
      <c r="KI2" s="124"/>
      <c r="KJ2" s="124"/>
      <c r="KK2" s="124" t="s">
        <v>16</v>
      </c>
      <c r="KL2" s="124"/>
      <c r="KM2" s="124"/>
      <c r="KN2" s="124"/>
      <c r="KO2" s="124"/>
      <c r="KP2" s="124" t="s">
        <v>19</v>
      </c>
      <c r="KQ2" s="124"/>
      <c r="KR2" s="124"/>
      <c r="KS2" s="124"/>
      <c r="KT2" s="124"/>
      <c r="KU2" s="10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3" t="s">
        <v>15</v>
      </c>
      <c r="LC2" s="123"/>
      <c r="LD2" s="123"/>
      <c r="LE2" s="123"/>
      <c r="LF2" s="123"/>
      <c r="LG2" s="123" t="s">
        <v>16</v>
      </c>
      <c r="LH2" s="123"/>
      <c r="LI2" s="123"/>
      <c r="LJ2" s="123"/>
      <c r="LK2" s="123"/>
      <c r="LL2" s="123" t="s">
        <v>19</v>
      </c>
      <c r="LM2" s="123"/>
      <c r="LN2" s="123"/>
      <c r="LO2" s="123"/>
      <c r="LP2" s="123"/>
      <c r="LQ2" s="10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4" t="s">
        <v>15</v>
      </c>
      <c r="LY2" s="124"/>
      <c r="LZ2" s="124"/>
      <c r="MA2" s="124"/>
      <c r="MB2" s="124"/>
      <c r="MC2" s="124" t="s">
        <v>16</v>
      </c>
      <c r="MD2" s="124"/>
      <c r="ME2" s="124"/>
      <c r="MF2" s="124"/>
      <c r="MG2" s="124"/>
      <c r="MH2" s="124" t="s">
        <v>19</v>
      </c>
      <c r="MI2" s="124"/>
      <c r="MJ2" s="124"/>
      <c r="MK2" s="124"/>
      <c r="ML2" s="124"/>
      <c r="MM2" s="10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3" t="s">
        <v>15</v>
      </c>
      <c r="MU2" s="123"/>
      <c r="MV2" s="123"/>
      <c r="MW2" s="123"/>
      <c r="MX2" s="123"/>
      <c r="MY2" s="123" t="s">
        <v>16</v>
      </c>
      <c r="MZ2" s="123"/>
      <c r="NA2" s="123"/>
      <c r="NB2" s="123"/>
      <c r="NC2" s="123"/>
      <c r="ND2" s="123" t="s">
        <v>19</v>
      </c>
      <c r="NE2" s="123"/>
      <c r="NF2" s="123"/>
      <c r="NG2" s="123"/>
      <c r="NH2" s="123"/>
      <c r="NI2" s="10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4" t="s">
        <v>15</v>
      </c>
      <c r="NQ2" s="124"/>
      <c r="NR2" s="124"/>
      <c r="NS2" s="124"/>
      <c r="NT2" s="124"/>
      <c r="NU2" s="124" t="s">
        <v>16</v>
      </c>
      <c r="NV2" s="124"/>
      <c r="NW2" s="124"/>
      <c r="NX2" s="124"/>
      <c r="NY2" s="124"/>
      <c r="NZ2" s="124" t="s">
        <v>66</v>
      </c>
      <c r="OA2" s="124"/>
      <c r="OB2" s="124"/>
      <c r="OC2" s="124"/>
      <c r="OD2" s="124"/>
      <c r="OE2" s="124" t="s">
        <v>19</v>
      </c>
      <c r="OF2" s="124"/>
      <c r="OG2" s="124"/>
      <c r="OH2" s="124"/>
      <c r="OI2" s="124"/>
      <c r="OJ2" s="103"/>
      <c r="OK2" s="9" t="s">
        <v>17</v>
      </c>
      <c r="OL2" s="9" t="s">
        <v>68</v>
      </c>
      <c r="OM2" s="9" t="s">
        <v>18</v>
      </c>
      <c r="ON2" s="9" t="s">
        <v>69</v>
      </c>
      <c r="OO2" s="9" t="s">
        <v>67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9"/>
      <c r="L3" s="129"/>
      <c r="M3" s="129"/>
      <c r="N3" s="129"/>
      <c r="O3" s="129"/>
      <c r="P3" s="129"/>
      <c r="Q3" s="129"/>
      <c r="R3" s="129"/>
      <c r="S3" s="130"/>
      <c r="T3" s="129"/>
      <c r="U3" s="129"/>
      <c r="V3" s="103" t="s">
        <v>11</v>
      </c>
      <c r="W3" s="103" t="s">
        <v>12</v>
      </c>
      <c r="X3" s="103" t="s">
        <v>4</v>
      </c>
      <c r="Y3" s="103" t="s">
        <v>13</v>
      </c>
      <c r="Z3" s="103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103" t="s">
        <v>11</v>
      </c>
      <c r="AG3" s="103" t="s">
        <v>12</v>
      </c>
      <c r="AH3" s="103" t="s">
        <v>4</v>
      </c>
      <c r="AI3" s="103" t="s">
        <v>13</v>
      </c>
      <c r="AJ3" s="103" t="s">
        <v>24</v>
      </c>
      <c r="AK3" s="103" t="s">
        <v>11</v>
      </c>
      <c r="AL3" s="103" t="s">
        <v>12</v>
      </c>
      <c r="AM3" s="103" t="s">
        <v>4</v>
      </c>
      <c r="AN3" s="103" t="s">
        <v>13</v>
      </c>
      <c r="AO3" s="103" t="s">
        <v>24</v>
      </c>
      <c r="AP3" s="103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104" t="s">
        <v>11</v>
      </c>
      <c r="BA3" s="104" t="s">
        <v>12</v>
      </c>
      <c r="BB3" s="104" t="s">
        <v>4</v>
      </c>
      <c r="BC3" s="104" t="s">
        <v>13</v>
      </c>
      <c r="BD3" s="104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104" t="s">
        <v>11</v>
      </c>
      <c r="BK3" s="104" t="s">
        <v>12</v>
      </c>
      <c r="BL3" s="104" t="s">
        <v>4</v>
      </c>
      <c r="BM3" s="104" t="s">
        <v>13</v>
      </c>
      <c r="BN3" s="104" t="s">
        <v>24</v>
      </c>
      <c r="BO3" s="104" t="s">
        <v>11</v>
      </c>
      <c r="BP3" s="104" t="s">
        <v>12</v>
      </c>
      <c r="BQ3" s="104" t="s">
        <v>4</v>
      </c>
      <c r="BR3" s="104" t="s">
        <v>13</v>
      </c>
      <c r="BS3" s="104" t="s">
        <v>24</v>
      </c>
      <c r="BT3" s="104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3" t="s">
        <v>11</v>
      </c>
      <c r="CE3" s="103" t="s">
        <v>12</v>
      </c>
      <c r="CF3" s="103" t="s">
        <v>4</v>
      </c>
      <c r="CG3" s="103" t="s">
        <v>13</v>
      </c>
      <c r="CH3" s="103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3" t="s">
        <v>11</v>
      </c>
      <c r="CO3" s="103" t="s">
        <v>12</v>
      </c>
      <c r="CP3" s="103" t="s">
        <v>4</v>
      </c>
      <c r="CQ3" s="103" t="s">
        <v>13</v>
      </c>
      <c r="CR3" s="103" t="s">
        <v>24</v>
      </c>
      <c r="CS3" s="103" t="s">
        <v>11</v>
      </c>
      <c r="CT3" s="103" t="s">
        <v>12</v>
      </c>
      <c r="CU3" s="103" t="s">
        <v>4</v>
      </c>
      <c r="CV3" s="103" t="s">
        <v>13</v>
      </c>
      <c r="CW3" s="103" t="s">
        <v>24</v>
      </c>
      <c r="CX3" s="103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03" t="s">
        <v>11</v>
      </c>
      <c r="DM3" s="103" t="s">
        <v>12</v>
      </c>
      <c r="DN3" s="103" t="s">
        <v>4</v>
      </c>
      <c r="DO3" s="103" t="s">
        <v>13</v>
      </c>
      <c r="DP3" s="103" t="s">
        <v>24</v>
      </c>
      <c r="DQ3" s="103" t="s">
        <v>11</v>
      </c>
      <c r="DR3" s="103" t="s">
        <v>12</v>
      </c>
      <c r="DS3" s="103" t="s">
        <v>4</v>
      </c>
      <c r="DT3" s="103" t="s">
        <v>13</v>
      </c>
      <c r="DU3" s="103" t="s">
        <v>24</v>
      </c>
      <c r="DV3" s="103" t="s">
        <v>11</v>
      </c>
      <c r="DW3" s="103" t="s">
        <v>12</v>
      </c>
      <c r="DX3" s="103" t="s">
        <v>4</v>
      </c>
      <c r="DY3" s="103" t="s">
        <v>13</v>
      </c>
      <c r="DZ3" s="103" t="s">
        <v>24</v>
      </c>
      <c r="EA3" s="10"/>
      <c r="EB3" s="9"/>
      <c r="EC3" s="9"/>
      <c r="ED3" s="9"/>
      <c r="EE3" s="9"/>
      <c r="EF3" s="10"/>
      <c r="EG3" s="10"/>
      <c r="EH3" s="104" t="s">
        <v>11</v>
      </c>
      <c r="EI3" s="104" t="s">
        <v>12</v>
      </c>
      <c r="EJ3" s="104" t="s">
        <v>4</v>
      </c>
      <c r="EK3" s="104" t="s">
        <v>13</v>
      </c>
      <c r="EL3" s="104" t="s">
        <v>24</v>
      </c>
      <c r="EM3" s="104" t="s">
        <v>11</v>
      </c>
      <c r="EN3" s="104" t="s">
        <v>12</v>
      </c>
      <c r="EO3" s="104" t="s">
        <v>4</v>
      </c>
      <c r="EP3" s="104" t="s">
        <v>13</v>
      </c>
      <c r="EQ3" s="104" t="s">
        <v>24</v>
      </c>
      <c r="ER3" s="104" t="s">
        <v>11</v>
      </c>
      <c r="ES3" s="104" t="s">
        <v>12</v>
      </c>
      <c r="ET3" s="104" t="s">
        <v>4</v>
      </c>
      <c r="EU3" s="10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103" t="s">
        <v>11</v>
      </c>
      <c r="FE3" s="103" t="s">
        <v>12</v>
      </c>
      <c r="FF3" s="103" t="s">
        <v>4</v>
      </c>
      <c r="FG3" s="103" t="s">
        <v>13</v>
      </c>
      <c r="FH3" s="103" t="s">
        <v>24</v>
      </c>
      <c r="FI3" s="103" t="s">
        <v>11</v>
      </c>
      <c r="FJ3" s="103" t="s">
        <v>12</v>
      </c>
      <c r="FK3" s="103" t="s">
        <v>4</v>
      </c>
      <c r="FL3" s="103" t="s">
        <v>13</v>
      </c>
      <c r="FM3" s="103" t="s">
        <v>24</v>
      </c>
      <c r="FN3" s="103" t="s">
        <v>11</v>
      </c>
      <c r="FO3" s="103" t="s">
        <v>12</v>
      </c>
      <c r="FP3" s="103" t="s">
        <v>4</v>
      </c>
      <c r="FQ3" s="103" t="s">
        <v>13</v>
      </c>
      <c r="FR3" s="103" t="s">
        <v>24</v>
      </c>
      <c r="FS3" s="10"/>
      <c r="FT3" s="9"/>
      <c r="FU3" s="9"/>
      <c r="FV3" s="9"/>
      <c r="FW3" s="9"/>
      <c r="FX3" s="10"/>
      <c r="FY3" s="10"/>
      <c r="FZ3" s="104" t="s">
        <v>11</v>
      </c>
      <c r="GA3" s="104" t="s">
        <v>12</v>
      </c>
      <c r="GB3" s="104" t="s">
        <v>4</v>
      </c>
      <c r="GC3" s="104" t="s">
        <v>13</v>
      </c>
      <c r="GD3" s="104" t="s">
        <v>24</v>
      </c>
      <c r="GE3" s="104" t="s">
        <v>11</v>
      </c>
      <c r="GF3" s="104" t="s">
        <v>12</v>
      </c>
      <c r="GG3" s="104" t="s">
        <v>4</v>
      </c>
      <c r="GH3" s="104" t="s">
        <v>13</v>
      </c>
      <c r="GI3" s="104" t="s">
        <v>24</v>
      </c>
      <c r="GJ3" s="104" t="s">
        <v>11</v>
      </c>
      <c r="GK3" s="104" t="s">
        <v>12</v>
      </c>
      <c r="GL3" s="104" t="s">
        <v>4</v>
      </c>
      <c r="GM3" s="104" t="s">
        <v>13</v>
      </c>
      <c r="GN3" s="104" t="s">
        <v>24</v>
      </c>
      <c r="GO3" s="13"/>
      <c r="GP3" s="12"/>
      <c r="GQ3" s="12"/>
      <c r="GR3" s="12"/>
      <c r="GS3" s="12"/>
      <c r="GT3" s="13"/>
      <c r="GU3" s="13"/>
      <c r="GV3" s="103" t="s">
        <v>11</v>
      </c>
      <c r="GW3" s="103" t="s">
        <v>12</v>
      </c>
      <c r="GX3" s="103" t="s">
        <v>4</v>
      </c>
      <c r="GY3" s="103" t="s">
        <v>13</v>
      </c>
      <c r="GZ3" s="103" t="s">
        <v>24</v>
      </c>
      <c r="HA3" s="103" t="s">
        <v>11</v>
      </c>
      <c r="HB3" s="103" t="s">
        <v>12</v>
      </c>
      <c r="HC3" s="103" t="s">
        <v>4</v>
      </c>
      <c r="HD3" s="103" t="s">
        <v>13</v>
      </c>
      <c r="HE3" s="103" t="s">
        <v>24</v>
      </c>
      <c r="HF3" s="103" t="s">
        <v>11</v>
      </c>
      <c r="HG3" s="103" t="s">
        <v>12</v>
      </c>
      <c r="HH3" s="103" t="s">
        <v>4</v>
      </c>
      <c r="HI3" s="103" t="s">
        <v>13</v>
      </c>
      <c r="HJ3" s="103" t="s">
        <v>24</v>
      </c>
      <c r="HK3" s="10"/>
      <c r="HL3" s="9"/>
      <c r="HM3" s="9"/>
      <c r="HN3" s="9"/>
      <c r="HO3" s="9"/>
      <c r="HP3" s="10"/>
      <c r="HQ3" s="10"/>
      <c r="HR3" s="104" t="s">
        <v>11</v>
      </c>
      <c r="HS3" s="104" t="s">
        <v>12</v>
      </c>
      <c r="HT3" s="104" t="s">
        <v>4</v>
      </c>
      <c r="HU3" s="104" t="s">
        <v>13</v>
      </c>
      <c r="HV3" s="104" t="s">
        <v>24</v>
      </c>
      <c r="HW3" s="104" t="s">
        <v>11</v>
      </c>
      <c r="HX3" s="104" t="s">
        <v>12</v>
      </c>
      <c r="HY3" s="104" t="s">
        <v>4</v>
      </c>
      <c r="HZ3" s="104" t="s">
        <v>13</v>
      </c>
      <c r="IA3" s="104" t="s">
        <v>24</v>
      </c>
      <c r="IB3" s="104" t="s">
        <v>11</v>
      </c>
      <c r="IC3" s="104" t="s">
        <v>12</v>
      </c>
      <c r="ID3" s="104" t="s">
        <v>4</v>
      </c>
      <c r="IE3" s="104" t="s">
        <v>13</v>
      </c>
      <c r="IF3" s="104" t="s">
        <v>24</v>
      </c>
      <c r="IG3" s="13"/>
      <c r="IH3" s="12"/>
      <c r="II3" s="12"/>
      <c r="IJ3" s="12"/>
      <c r="IK3" s="12"/>
      <c r="IL3" s="13"/>
      <c r="IM3" s="13"/>
      <c r="IN3" s="103" t="s">
        <v>11</v>
      </c>
      <c r="IO3" s="103" t="s">
        <v>12</v>
      </c>
      <c r="IP3" s="103" t="s">
        <v>4</v>
      </c>
      <c r="IQ3" s="103" t="s">
        <v>13</v>
      </c>
      <c r="IR3" s="103" t="s">
        <v>24</v>
      </c>
      <c r="IS3" s="103" t="s">
        <v>11</v>
      </c>
      <c r="IT3" s="103" t="s">
        <v>12</v>
      </c>
      <c r="IU3" s="103" t="s">
        <v>4</v>
      </c>
      <c r="IV3" s="103" t="s">
        <v>13</v>
      </c>
      <c r="IW3" s="103" t="s">
        <v>24</v>
      </c>
      <c r="IX3" s="103" t="s">
        <v>11</v>
      </c>
      <c r="IY3" s="103" t="s">
        <v>12</v>
      </c>
      <c r="IZ3" s="103" t="s">
        <v>4</v>
      </c>
      <c r="JA3" s="103" t="s">
        <v>13</v>
      </c>
      <c r="JB3" s="103" t="s">
        <v>24</v>
      </c>
      <c r="JC3" s="10"/>
      <c r="JD3" s="9"/>
      <c r="JE3" s="9"/>
      <c r="JF3" s="9"/>
      <c r="JG3" s="9"/>
      <c r="JH3" s="10"/>
      <c r="JI3" s="10"/>
      <c r="JJ3" s="104" t="s">
        <v>11</v>
      </c>
      <c r="JK3" s="104" t="s">
        <v>12</v>
      </c>
      <c r="JL3" s="104" t="s">
        <v>4</v>
      </c>
      <c r="JM3" s="104" t="s">
        <v>13</v>
      </c>
      <c r="JN3" s="104" t="s">
        <v>24</v>
      </c>
      <c r="JO3" s="104" t="s">
        <v>11</v>
      </c>
      <c r="JP3" s="104" t="s">
        <v>12</v>
      </c>
      <c r="JQ3" s="104" t="s">
        <v>4</v>
      </c>
      <c r="JR3" s="104" t="s">
        <v>13</v>
      </c>
      <c r="JS3" s="104" t="s">
        <v>24</v>
      </c>
      <c r="JT3" s="104" t="s">
        <v>11</v>
      </c>
      <c r="JU3" s="104" t="s">
        <v>12</v>
      </c>
      <c r="JV3" s="104" t="s">
        <v>4</v>
      </c>
      <c r="JW3" s="104" t="s">
        <v>13</v>
      </c>
      <c r="JX3" s="104" t="s">
        <v>24</v>
      </c>
      <c r="JY3" s="13"/>
      <c r="JZ3" s="12"/>
      <c r="KA3" s="12"/>
      <c r="KB3" s="12"/>
      <c r="KC3" s="12"/>
      <c r="KD3" s="13"/>
      <c r="KE3" s="13"/>
      <c r="KF3" s="103" t="s">
        <v>11</v>
      </c>
      <c r="KG3" s="103" t="s">
        <v>12</v>
      </c>
      <c r="KH3" s="103" t="s">
        <v>4</v>
      </c>
      <c r="KI3" s="103" t="s">
        <v>13</v>
      </c>
      <c r="KJ3" s="103" t="s">
        <v>24</v>
      </c>
      <c r="KK3" s="103" t="s">
        <v>11</v>
      </c>
      <c r="KL3" s="103" t="s">
        <v>12</v>
      </c>
      <c r="KM3" s="103" t="s">
        <v>4</v>
      </c>
      <c r="KN3" s="103" t="s">
        <v>13</v>
      </c>
      <c r="KO3" s="103" t="s">
        <v>24</v>
      </c>
      <c r="KP3" s="103" t="s">
        <v>11</v>
      </c>
      <c r="KQ3" s="103" t="s">
        <v>12</v>
      </c>
      <c r="KR3" s="103" t="s">
        <v>4</v>
      </c>
      <c r="KS3" s="103" t="s">
        <v>13</v>
      </c>
      <c r="KT3" s="103" t="s">
        <v>24</v>
      </c>
      <c r="KU3" s="10"/>
      <c r="KV3" s="9"/>
      <c r="KW3" s="9"/>
      <c r="KX3" s="9"/>
      <c r="KY3" s="9"/>
      <c r="KZ3" s="10"/>
      <c r="LA3" s="10"/>
      <c r="LB3" s="104" t="s">
        <v>11</v>
      </c>
      <c r="LC3" s="104" t="s">
        <v>12</v>
      </c>
      <c r="LD3" s="104" t="s">
        <v>4</v>
      </c>
      <c r="LE3" s="104" t="s">
        <v>13</v>
      </c>
      <c r="LF3" s="104" t="s">
        <v>24</v>
      </c>
      <c r="LG3" s="104" t="s">
        <v>11</v>
      </c>
      <c r="LH3" s="104" t="s">
        <v>12</v>
      </c>
      <c r="LI3" s="104" t="s">
        <v>4</v>
      </c>
      <c r="LJ3" s="104" t="s">
        <v>13</v>
      </c>
      <c r="LK3" s="104" t="s">
        <v>24</v>
      </c>
      <c r="LL3" s="104" t="s">
        <v>11</v>
      </c>
      <c r="LM3" s="104" t="s">
        <v>12</v>
      </c>
      <c r="LN3" s="104" t="s">
        <v>4</v>
      </c>
      <c r="LO3" s="104" t="s">
        <v>13</v>
      </c>
      <c r="LP3" s="104" t="s">
        <v>24</v>
      </c>
      <c r="LQ3" s="13"/>
      <c r="LR3" s="12"/>
      <c r="LS3" s="12"/>
      <c r="LT3" s="12"/>
      <c r="LU3" s="12"/>
      <c r="LV3" s="13"/>
      <c r="LW3" s="13"/>
      <c r="LX3" s="103" t="s">
        <v>11</v>
      </c>
      <c r="LY3" s="103" t="s">
        <v>12</v>
      </c>
      <c r="LZ3" s="103" t="s">
        <v>4</v>
      </c>
      <c r="MA3" s="103" t="s">
        <v>13</v>
      </c>
      <c r="MB3" s="103" t="s">
        <v>24</v>
      </c>
      <c r="MC3" s="103" t="s">
        <v>11</v>
      </c>
      <c r="MD3" s="103" t="s">
        <v>12</v>
      </c>
      <c r="ME3" s="103" t="s">
        <v>4</v>
      </c>
      <c r="MF3" s="103" t="s">
        <v>13</v>
      </c>
      <c r="MG3" s="103" t="s">
        <v>24</v>
      </c>
      <c r="MH3" s="103" t="s">
        <v>11</v>
      </c>
      <c r="MI3" s="103" t="s">
        <v>12</v>
      </c>
      <c r="MJ3" s="103" t="s">
        <v>4</v>
      </c>
      <c r="MK3" s="103" t="s">
        <v>13</v>
      </c>
      <c r="ML3" s="103" t="s">
        <v>24</v>
      </c>
      <c r="MM3" s="10"/>
      <c r="MN3" s="9"/>
      <c r="MO3" s="9"/>
      <c r="MP3" s="9"/>
      <c r="MQ3" s="9"/>
      <c r="MR3" s="10"/>
      <c r="MS3" s="10"/>
      <c r="MT3" s="104" t="s">
        <v>11</v>
      </c>
      <c r="MU3" s="104" t="s">
        <v>12</v>
      </c>
      <c r="MV3" s="104" t="s">
        <v>4</v>
      </c>
      <c r="MW3" s="104" t="s">
        <v>13</v>
      </c>
      <c r="MX3" s="104" t="s">
        <v>24</v>
      </c>
      <c r="MY3" s="104" t="s">
        <v>11</v>
      </c>
      <c r="MZ3" s="104" t="s">
        <v>12</v>
      </c>
      <c r="NA3" s="104" t="s">
        <v>4</v>
      </c>
      <c r="NB3" s="104" t="s">
        <v>13</v>
      </c>
      <c r="NC3" s="104" t="s">
        <v>24</v>
      </c>
      <c r="ND3" s="104" t="s">
        <v>11</v>
      </c>
      <c r="NE3" s="104" t="s">
        <v>12</v>
      </c>
      <c r="NF3" s="104" t="s">
        <v>4</v>
      </c>
      <c r="NG3" s="104" t="s">
        <v>13</v>
      </c>
      <c r="NH3" s="104" t="s">
        <v>24</v>
      </c>
      <c r="NI3" s="13"/>
      <c r="NJ3" s="12"/>
      <c r="NK3" s="12"/>
      <c r="NL3" s="12"/>
      <c r="NM3" s="12"/>
      <c r="NN3" s="13"/>
      <c r="NO3" s="13"/>
      <c r="NP3" s="103" t="s">
        <v>11</v>
      </c>
      <c r="NQ3" s="103" t="s">
        <v>12</v>
      </c>
      <c r="NR3" s="103" t="s">
        <v>4</v>
      </c>
      <c r="NS3" s="103" t="s">
        <v>13</v>
      </c>
      <c r="NT3" s="103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103" t="s">
        <v>11</v>
      </c>
      <c r="OA3" s="103" t="s">
        <v>12</v>
      </c>
      <c r="OB3" s="103" t="s">
        <v>4</v>
      </c>
      <c r="OC3" s="103" t="s">
        <v>13</v>
      </c>
      <c r="OD3" s="103" t="s">
        <v>24</v>
      </c>
      <c r="OE3" s="103" t="s">
        <v>11</v>
      </c>
      <c r="OF3" s="103" t="s">
        <v>12</v>
      </c>
      <c r="OG3" s="103" t="s">
        <v>4</v>
      </c>
      <c r="OH3" s="103" t="s">
        <v>13</v>
      </c>
      <c r="OI3" s="103" t="s">
        <v>24</v>
      </c>
      <c r="OJ3" s="103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t="str" cm="1">
        <f t="array" ref="A4">IF(AND(G4&lt;&gt;"",H4&lt;&gt;""),SUMPRODUCT((G$4:G$6&lt;&gt;"")*(H$4:H$6&lt;&gt;"")*(E$4:E$6&gt;E4))+1,IF(H4&lt;&gt;"",SUMPRODUCT((I$4:I$6="No DD")*(E$4:E$6&gt;E4))+1+SUMPRODUCT((G$4:G$6&lt;&gt;"")*(H$4:H$6&lt;&gt;"")),""))</f>
        <v/>
      </c>
      <c r="B4" s="116" t="s">
        <v>81</v>
      </c>
      <c r="C4" s="5" t="s">
        <v>80</v>
      </c>
      <c r="D4" s="5">
        <v>2006</v>
      </c>
      <c r="E4" s="15">
        <f>SUM(K4:S4)</f>
        <v>222.67500000000001</v>
      </c>
      <c r="F4" s="3" t="str">
        <f>IF(G4&lt;&gt;"","P","")</f>
        <v/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/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/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87.564999999999998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40.71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47.589999999999996</v>
      </c>
      <c r="P4" s="14" t="str">
        <f>IF(O4=0,"",IF(AND(OR(O4=DC4,O4=DA4),$L4&lt;&gt;$CD$1),$CD$1,IF(AND(OR(O4=BY4,O4=BW4),$L4&lt;&gt;$AZ$1),$AZ$1,IF(AND(OR(O4=AU4,O4=AS4),$L4&lt;&gt;$V$1),$V$1,""))))</f>
        <v>2021 Elite Canada</v>
      </c>
      <c r="Q4" s="14">
        <f>MAX(AX4,CB4,DF4)</f>
        <v>46.81</v>
      </c>
      <c r="R4" s="14" t="str">
        <f>IF(Q4=0,"",IF(Q4=DF4,$CD$1,IF(Q4=CB4,$AZ$1,IF(Q4=AX4,$V$1,""))))</f>
        <v>2021 Elite Canada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15.7</v>
      </c>
      <c r="W4" s="61">
        <v>9.4</v>
      </c>
      <c r="X4" s="61">
        <v>0</v>
      </c>
      <c r="Y4" s="61">
        <v>15.61</v>
      </c>
      <c r="Z4" s="61">
        <v>0</v>
      </c>
      <c r="AA4" s="61">
        <v>13</v>
      </c>
      <c r="AB4" s="61">
        <v>8.4</v>
      </c>
      <c r="AC4" s="61">
        <v>9.1</v>
      </c>
      <c r="AD4" s="61">
        <v>14.71</v>
      </c>
      <c r="AE4" s="61">
        <v>0.4</v>
      </c>
      <c r="AF4" s="61"/>
      <c r="AG4" s="61"/>
      <c r="AH4" s="61"/>
      <c r="AI4" s="61"/>
      <c r="AJ4" s="61"/>
      <c r="AK4" s="61">
        <v>10.8</v>
      </c>
      <c r="AL4" s="61">
        <v>7.2</v>
      </c>
      <c r="AM4" s="61">
        <v>9.1999999999999993</v>
      </c>
      <c r="AN4" s="61">
        <v>11.69</v>
      </c>
      <c r="AO4" s="61">
        <v>0</v>
      </c>
      <c r="AP4" s="72"/>
      <c r="AQ4" s="11">
        <f>IF(SUM(V4:Y4)-Z4&gt;0,SUM(V4:Y4)-Z4,"")</f>
        <v>40.71</v>
      </c>
      <c r="AR4" s="11">
        <f>IF(AC4&gt;0,AC4,"")</f>
        <v>9.1</v>
      </c>
      <c r="AS4" s="11">
        <f>IF(SUM(AA4:AD4)-AE4&gt;0,SUM(AA4:AD4)-AE4,"")</f>
        <v>44.81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85.52000000000001</v>
      </c>
      <c r="AW4" s="11">
        <f>IF(AM4&gt;0,AM4,"")</f>
        <v>9.1999999999999993</v>
      </c>
      <c r="AX4" s="11">
        <f>IF(SUM(AK4:AN4)-AO4&gt;0,SUM(AK4:AN4)-AO4,"")</f>
        <v>38.89</v>
      </c>
      <c r="AY4" s="11">
        <f>IF(SUM(AV4,AX4)&gt;0,SUM(AV4,AX4),"")</f>
        <v>124.41000000000001</v>
      </c>
      <c r="AZ4" s="67">
        <v>15.4</v>
      </c>
      <c r="BA4" s="67">
        <v>9.1</v>
      </c>
      <c r="BB4" s="67">
        <v>0</v>
      </c>
      <c r="BC4" s="67">
        <v>15.125</v>
      </c>
      <c r="BD4" s="67">
        <v>0</v>
      </c>
      <c r="BE4" s="67">
        <v>14.1</v>
      </c>
      <c r="BF4" s="67">
        <v>9.1999999999999993</v>
      </c>
      <c r="BG4" s="67">
        <v>9.8000000000000007</v>
      </c>
      <c r="BH4" s="67">
        <v>14.49</v>
      </c>
      <c r="BI4" s="67">
        <v>0</v>
      </c>
      <c r="BJ4" s="67"/>
      <c r="BK4" s="67"/>
      <c r="BL4" s="67"/>
      <c r="BM4" s="67"/>
      <c r="BN4" s="67"/>
      <c r="BO4" s="67">
        <v>13.7</v>
      </c>
      <c r="BP4" s="67">
        <v>9.1999999999999993</v>
      </c>
      <c r="BQ4" s="67">
        <v>9.8000000000000007</v>
      </c>
      <c r="BR4" s="67">
        <v>14.11</v>
      </c>
      <c r="BS4" s="67">
        <v>0</v>
      </c>
      <c r="BT4" s="73"/>
      <c r="BU4" s="14">
        <f>IF(SUM(AZ4:BC4)-BD4&gt;0,SUM(AZ4:BC4)-BD4,"")</f>
        <v>39.625</v>
      </c>
      <c r="BV4" s="14">
        <f>IF(BG4&gt;0,BG4,"")</f>
        <v>9.8000000000000007</v>
      </c>
      <c r="BW4" s="14">
        <f>IF(SUM(BE4:BH4)-BI4&gt;0,SUM(BE4:BH4)-BI4,"")</f>
        <v>47.589999999999996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87.215000000000003</v>
      </c>
      <c r="CA4" s="14">
        <f>IF(BQ4&gt;0,BQ4,"")</f>
        <v>9.8000000000000007</v>
      </c>
      <c r="CB4" s="14">
        <f>IF(SUM(BO4:BR4)-BS4&gt;0,SUM(BO4:BR4)-BS4,"")</f>
        <v>46.81</v>
      </c>
      <c r="CC4" s="14">
        <f>IF(SUM(BZ4,CB4)&gt;0,SUM(BZ4,CB4),"")</f>
        <v>134.02500000000001</v>
      </c>
      <c r="CD4" s="61">
        <v>15.4</v>
      </c>
      <c r="CE4" s="61">
        <v>9.3000000000000007</v>
      </c>
      <c r="CF4" s="61">
        <v>0</v>
      </c>
      <c r="CG4" s="61">
        <v>15.31</v>
      </c>
      <c r="CH4" s="61">
        <v>0</v>
      </c>
      <c r="CI4" s="61">
        <v>13.4</v>
      </c>
      <c r="CJ4" s="61">
        <v>9.4</v>
      </c>
      <c r="CK4" s="61">
        <v>10.5</v>
      </c>
      <c r="CL4" s="61">
        <v>14.255000000000001</v>
      </c>
      <c r="CM4" s="61">
        <v>0</v>
      </c>
      <c r="CN4" s="61"/>
      <c r="CO4" s="61"/>
      <c r="CP4" s="61"/>
      <c r="CQ4" s="61"/>
      <c r="CR4" s="61"/>
      <c r="CS4" s="61">
        <v>13.4</v>
      </c>
      <c r="CT4" s="61">
        <v>9.1</v>
      </c>
      <c r="CU4" s="61">
        <v>8.4</v>
      </c>
      <c r="CV4" s="61">
        <v>14.234999999999999</v>
      </c>
      <c r="CW4" s="61">
        <v>1.1000000000000001</v>
      </c>
      <c r="CX4" s="72"/>
      <c r="CY4" s="11">
        <f>IF(SUM(CD4:CG4)-CH4&gt;0,SUM(CD4:CG4)-CH4,"")</f>
        <v>40.010000000000005</v>
      </c>
      <c r="CZ4" s="11">
        <f>IF(CK4&gt;0,CK4,"")</f>
        <v>10.5</v>
      </c>
      <c r="DA4" s="11">
        <f>IF(SUM(CI4:CL4)-CM4&gt;0,SUM(CI4:CL4)-CM4,"")</f>
        <v>47.555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87.564999999999998</v>
      </c>
      <c r="DE4" s="11">
        <f>IF(CU4&gt;0,CU4,"")</f>
        <v>8.4</v>
      </c>
      <c r="DF4" s="11">
        <f>IF(SUM(CS4:CV4)-CW4&gt;0,SUM(CS4:CV4)-CW4,"")</f>
        <v>44.034999999999997</v>
      </c>
      <c r="DG4" s="11">
        <f>IF(SUM(DD4,DF4)&gt;0,SUM(DD4,DF4),"")</f>
        <v>131.6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" si="0">IF($CX4="P",CD4,(CD4+AZ4)/2)</f>
        <v>15.4</v>
      </c>
      <c r="NQ4" s="61">
        <f t="shared" ref="NQ4" si="1">IF($CX4="P",CE4,(CE4+BA4)/2)</f>
        <v>9.1999999999999993</v>
      </c>
      <c r="NR4" s="61">
        <f t="shared" ref="NR4" si="2">IF($CX4="P",CF4,(CF4+BB4)/2)</f>
        <v>0</v>
      </c>
      <c r="NS4" s="61">
        <f t="shared" ref="NS4" si="3">IF($CX4="P",CG4,(CG4+BC4)/2)</f>
        <v>15.217500000000001</v>
      </c>
      <c r="NT4" s="61">
        <f t="shared" ref="NT4" si="4">IF($CX4="P",CH4,(CH4+BD4)/2)</f>
        <v>0</v>
      </c>
      <c r="NU4" s="61">
        <f t="shared" ref="NU4" si="5">IF($CX4="P",CI4,(CI4+BE4)/2)</f>
        <v>13.75</v>
      </c>
      <c r="NV4" s="61">
        <f t="shared" ref="NV4" si="6">IF($CX4="P",CJ4,(CJ4+BF4)/2)</f>
        <v>9.3000000000000007</v>
      </c>
      <c r="NW4" s="61">
        <f t="shared" ref="NW4" si="7">IF($CX4="P",CK4,(CK4+BG4)/2)</f>
        <v>10.15</v>
      </c>
      <c r="NX4" s="61">
        <f t="shared" ref="NX4" si="8">IF($CX4="P",CL4,(CL4+BH4)/2)</f>
        <v>14.3725</v>
      </c>
      <c r="NY4" s="61">
        <f t="shared" ref="NY4" si="9">IF($CX4="P",CM4,(CM4+BI4)/2)</f>
        <v>0</v>
      </c>
      <c r="NZ4" s="61">
        <f t="shared" ref="NZ4" si="10">IF($CX4="P",CN4,(CN4+BJ4)/2)</f>
        <v>0</v>
      </c>
      <c r="OA4" s="61">
        <f t="shared" ref="OA4" si="11">IF($CX4="P",CO4,(CO4+BK4)/2)</f>
        <v>0</v>
      </c>
      <c r="OB4" s="61">
        <f t="shared" ref="OB4" si="12">IF($CX4="P",CP4,(CP4+BL4)/2)</f>
        <v>0</v>
      </c>
      <c r="OC4" s="61">
        <f t="shared" ref="OC4" si="13">IF($CX4="P",CQ4,(CQ4+BM4)/2)</f>
        <v>0</v>
      </c>
      <c r="OD4" s="61">
        <f t="shared" ref="OD4" si="14">IF($CX4="P",CR4,(CR4+BN4)/2)</f>
        <v>0</v>
      </c>
      <c r="OE4" s="61">
        <f t="shared" ref="OE4" si="15">IF($CX4="P",CS4,(CS4+BO4)/2)</f>
        <v>13.55</v>
      </c>
      <c r="OF4" s="61">
        <f t="shared" ref="OF4" si="16">IF($CX4="P",CT4,(CT4+BP4)/2)</f>
        <v>9.1499999999999986</v>
      </c>
      <c r="OG4" s="61">
        <f t="shared" ref="OG4" si="17">IF($CX4="P",CU4,(CU4+BQ4)/2)</f>
        <v>9.1000000000000014</v>
      </c>
      <c r="OH4" s="61">
        <f t="shared" ref="OH4" si="18">IF($CX4="P",CV4,(CV4+BR4)/2)</f>
        <v>14.172499999999999</v>
      </c>
      <c r="OI4" s="61">
        <f t="shared" ref="OI4" si="19">IF($CX4="P",CW4,(CW4+BS4)/2)</f>
        <v>0.55000000000000004</v>
      </c>
      <c r="OJ4" s="72" t="s">
        <v>49</v>
      </c>
      <c r="OK4" s="11">
        <f>IF(SUM(NP4:NS4)-NT4&gt;0,SUM(NP4:NS4)-NT4,"")</f>
        <v>39.817500000000003</v>
      </c>
      <c r="OL4" s="11">
        <f>IF(NW4&gt;0,NW4,"")</f>
        <v>10.15</v>
      </c>
      <c r="OM4" s="11">
        <f>IF(SUM(NU4:NX4)-NY4&gt;0,SUM(NU4:NX4)-NY4,"")</f>
        <v>47.572500000000005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87.390000000000015</v>
      </c>
      <c r="OQ4" s="11">
        <f>IF(OG4&gt;0,OG4,"")</f>
        <v>9.1000000000000014</v>
      </c>
      <c r="OR4" s="11">
        <f t="shared" ref="OR4" si="20">IF(SUM(OE4:OH4)-OI4&gt;0,SUM(OE4:OH4)-OI4,"")</f>
        <v>45.422499999999999</v>
      </c>
      <c r="OS4" s="11">
        <f t="shared" ref="OS4" si="21">IF(SUM(OP4,OR4)&gt;0,SUM(OP4,OR4),"")</f>
        <v>132.8125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116" t="s">
        <v>85</v>
      </c>
      <c r="C5" s="5" t="s">
        <v>80</v>
      </c>
      <c r="D5" s="5">
        <v>2005</v>
      </c>
      <c r="E5" s="15">
        <f>SUM(K5:S5)</f>
        <v>177.80500000000001</v>
      </c>
      <c r="F5" s="3" t="str">
        <f>IF(G5&lt;&gt;"","P","")</f>
        <v/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/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86.724999999999994</v>
      </c>
      <c r="L5" s="14" t="str">
        <f>IF(K5=0,"",IF(K5=DD5,$CD$1,IF(K5=BZ5,$AZ$1,IF(K5=AV5,$V$1,""))))</f>
        <v>2021 Elite Canada</v>
      </c>
      <c r="M5" s="14">
        <f>IF($K5=$AV5,MAX(BU5,CY5),IF($K5=$BZ5,MAX(AQ5,CY5),IF($K5=$DD5,MAX(AQ5,BU5),MAX(AQ5,BU5,CY5))))</f>
        <v>40.025000000000006</v>
      </c>
      <c r="N5" s="14" t="str">
        <f>IF(M5=0,"",IF(AND(M5=CY5,$L5&lt;&gt;$CD$1),$CD$1,IF(AND(M5=BU5,$L5&lt;&gt;$AZ$1),$AZ$1,IF(AND(M5=AQ5,$L5&lt;&gt;$V$1),$V$1,""))))</f>
        <v>2021 Canadian Championships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5.2299999999999995</v>
      </c>
      <c r="P5" s="14" t="str">
        <f>IF(O5=0,"",IF(AND(OR(O5=DC5,O5=DA5),$L5&lt;&gt;$CD$1),$CD$1,IF(AND(OR(O5=BY5,O5=BW5),$L5&lt;&gt;$AZ$1),$AZ$1,IF(AND(OR(O5=AU5,O5=AS5),$L5&lt;&gt;$V$1),$V$1,""))))</f>
        <v>2021 Canadian Championships</v>
      </c>
      <c r="Q5" s="14">
        <f>MAX(AX5,CB5,DF5)</f>
        <v>45.82500000000001</v>
      </c>
      <c r="R5" s="14" t="str">
        <f>IF(Q5=0,"",IF(Q5=DF5,$CD$1,IF(Q5=CB5,$AZ$1,IF(Q5=AX5,$V$1,""))))</f>
        <v>2021 Elite Canada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72"/>
      <c r="AQ5" s="11" t="str">
        <f>IF(SUM(V5:Y5)-Z5&gt;0,SUM(V5:Y5)-Z5,"")</f>
        <v/>
      </c>
      <c r="AR5" s="11" t="str">
        <f>IF(AC5&gt;0,AC5,"")</f>
        <v/>
      </c>
      <c r="AS5" s="11" t="str">
        <f>IF(SUM(AA5:AD5)-AE5&gt;0,SUM(AA5:AD5)-AE5,"")</f>
        <v/>
      </c>
      <c r="AT5" s="11" t="str">
        <f>IF(AH5&gt;0,AH5,"")</f>
        <v/>
      </c>
      <c r="AU5" s="11" t="str">
        <f>IF(SUM(AF5:AI5)-AJ5&gt;0,SUM(AF5:AI5)-AJ5,"")</f>
        <v/>
      </c>
      <c r="AV5" s="11" t="str">
        <f>IF(AQ5="",IF(MAX(AS5,AU5)&gt;0,MAX(AS5,AU5),""),MAX(AS5,AU5)+AQ5)</f>
        <v/>
      </c>
      <c r="AW5" s="11" t="str">
        <f>IF(AM5&gt;0,AM5,"")</f>
        <v/>
      </c>
      <c r="AX5" s="11" t="str">
        <f>IF(SUM(AK5:AN5)-AO5&gt;0,SUM(AK5:AN5)-AO5,"")</f>
        <v/>
      </c>
      <c r="AY5" s="11" t="str">
        <f>IF(SUM(AV5,AX5)&gt;0,SUM(AV5,AX5),"")</f>
        <v/>
      </c>
      <c r="AZ5" s="67">
        <v>16</v>
      </c>
      <c r="BA5" s="67">
        <v>9.6999999999999993</v>
      </c>
      <c r="BB5" s="67">
        <v>0</v>
      </c>
      <c r="BC5" s="67">
        <v>14.27</v>
      </c>
      <c r="BD5" s="67">
        <v>0</v>
      </c>
      <c r="BE5" s="67">
        <v>14.6</v>
      </c>
      <c r="BF5" s="67">
        <v>9.6</v>
      </c>
      <c r="BG5" s="67">
        <v>9.1999999999999993</v>
      </c>
      <c r="BH5" s="67">
        <v>13.654999999999999</v>
      </c>
      <c r="BI5" s="67">
        <v>0.3</v>
      </c>
      <c r="BJ5" s="67"/>
      <c r="BK5" s="67"/>
      <c r="BL5" s="67"/>
      <c r="BM5" s="67"/>
      <c r="BN5" s="67"/>
      <c r="BO5" s="67">
        <v>13.8</v>
      </c>
      <c r="BP5" s="67">
        <v>9.4</v>
      </c>
      <c r="BQ5" s="67">
        <v>9.1999999999999993</v>
      </c>
      <c r="BR5" s="67">
        <v>13.725</v>
      </c>
      <c r="BS5" s="67">
        <v>0.3</v>
      </c>
      <c r="BT5" s="73"/>
      <c r="BU5" s="14">
        <f>IF(SUM(AZ5:BC5)-BD5&gt;0,SUM(AZ5:BC5)-BD5,"")</f>
        <v>39.97</v>
      </c>
      <c r="BV5" s="14">
        <f>IF(BG5&gt;0,BG5,"")</f>
        <v>9.1999999999999993</v>
      </c>
      <c r="BW5" s="14">
        <f>IF(SUM(BE5:BH5)-BI5&gt;0,SUM(BE5:BH5)-BI5,"")</f>
        <v>46.755000000000003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86.724999999999994</v>
      </c>
      <c r="CA5" s="14">
        <f>IF(BQ5&gt;0,BQ5,"")</f>
        <v>9.1999999999999993</v>
      </c>
      <c r="CB5" s="14">
        <f>IF(SUM(BO5:BR5)-BS5&gt;0,SUM(BO5:BR5)-BS5,"")</f>
        <v>45.82500000000001</v>
      </c>
      <c r="CC5" s="14">
        <f>IF(SUM(BZ5,CB5)&gt;0,SUM(BZ5,CB5),"")</f>
        <v>132.55000000000001</v>
      </c>
      <c r="CD5" s="61">
        <v>16.3</v>
      </c>
      <c r="CE5" s="61">
        <v>9.3000000000000007</v>
      </c>
      <c r="CF5" s="61">
        <v>0</v>
      </c>
      <c r="CG5" s="61">
        <v>14.425000000000001</v>
      </c>
      <c r="CH5" s="61">
        <v>0</v>
      </c>
      <c r="CI5" s="61">
        <v>1.3</v>
      </c>
      <c r="CJ5" s="61">
        <v>1</v>
      </c>
      <c r="CK5" s="61">
        <v>1.5</v>
      </c>
      <c r="CL5" s="61">
        <v>1.43</v>
      </c>
      <c r="CM5" s="61">
        <v>0</v>
      </c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>
        <f>IF(SUM(CD5:CG5)-CH5&gt;0,SUM(CD5:CG5)-CH5,"")</f>
        <v>40.025000000000006</v>
      </c>
      <c r="CZ5" s="11">
        <f>IF(CK5&gt;0,CK5,"")</f>
        <v>1.5</v>
      </c>
      <c r="DA5" s="11">
        <f>IF(SUM(CI5:CL5)-CM5&gt;0,SUM(CI5:CL5)-CM5,"")</f>
        <v>5.2299999999999995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45.255000000000003</v>
      </c>
      <c r="DE5" s="11" t="str">
        <f>IF(CU5&gt;0,CU5,"")</f>
        <v/>
      </c>
      <c r="DF5" s="11" t="str">
        <f>IF(SUM(CS5:CV5)-CW5&gt;0,SUM(CS5:CV5)-CW5,"")</f>
        <v/>
      </c>
      <c r="DG5" s="11">
        <f>IF(SUM(DD5,DF5)&gt;0,SUM(DD5,DF5),"")</f>
        <v>45.255000000000003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 t="shared" ref="NP5" si="22">IF($CX5="P",CD5,(CD5+AZ5)/2)</f>
        <v>16.149999999999999</v>
      </c>
      <c r="NQ5" s="61">
        <f t="shared" ref="NQ5" si="23">IF($CX5="P",CE5,(CE5+BA5)/2)</f>
        <v>9.5</v>
      </c>
      <c r="NR5" s="61">
        <f t="shared" ref="NR5" si="24">IF($CX5="P",CF5,(CF5+BB5)/2)</f>
        <v>0</v>
      </c>
      <c r="NS5" s="61">
        <f t="shared" ref="NS5" si="25">IF($CX5="P",CG5,(CG5+BC5)/2)</f>
        <v>14.3475</v>
      </c>
      <c r="NT5" s="61">
        <f t="shared" ref="NT5" si="26">IF($CX5="P",CH5,(CH5+BD5)/2)</f>
        <v>0</v>
      </c>
      <c r="NU5" s="61">
        <f t="shared" ref="NU5" si="27">IF($CX5="P",CI5,(CI5+BE5)/2)</f>
        <v>7.95</v>
      </c>
      <c r="NV5" s="61">
        <f t="shared" ref="NV5" si="28">IF($CX5="P",CJ5,(CJ5+BF5)/2)</f>
        <v>5.3</v>
      </c>
      <c r="NW5" s="61">
        <f t="shared" ref="NW5" si="29">IF($CX5="P",CK5,(CK5+BG5)/2)</f>
        <v>5.35</v>
      </c>
      <c r="NX5" s="61">
        <f t="shared" ref="NX5" si="30">IF($CX5="P",CL5,(CL5+BH5)/2)</f>
        <v>7.5424999999999995</v>
      </c>
      <c r="NY5" s="61">
        <f t="shared" ref="NY5" si="31">IF($CX5="P",CM5,(CM5+BI5)/2)</f>
        <v>0.15</v>
      </c>
      <c r="NZ5" s="61">
        <f t="shared" ref="NZ5" si="32">IF($CX5="P",CN5,(CN5+BJ5)/2)</f>
        <v>0</v>
      </c>
      <c r="OA5" s="61">
        <f t="shared" ref="OA5" si="33">IF($CX5="P",CO5,(CO5+BK5)/2)</f>
        <v>0</v>
      </c>
      <c r="OB5" s="61">
        <f t="shared" ref="OB5" si="34">IF($CX5="P",CP5,(CP5+BL5)/2)</f>
        <v>0</v>
      </c>
      <c r="OC5" s="61">
        <f t="shared" ref="OC5" si="35">IF($CX5="P",CQ5,(CQ5+BM5)/2)</f>
        <v>0</v>
      </c>
      <c r="OD5" s="61">
        <f t="shared" ref="OD5" si="36">IF($CX5="P",CR5,(CR5+BN5)/2)</f>
        <v>0</v>
      </c>
      <c r="OE5" s="61">
        <f t="shared" ref="OE5" si="37">IF($CX5="P",CS5,(CS5+BO5)/2)</f>
        <v>6.9</v>
      </c>
      <c r="OF5" s="61">
        <f t="shared" ref="OF5" si="38">IF($CX5="P",CT5,(CT5+BP5)/2)</f>
        <v>4.7</v>
      </c>
      <c r="OG5" s="61">
        <f t="shared" ref="OG5" si="39">IF($CX5="P",CU5,(CU5+BQ5)/2)</f>
        <v>4.5999999999999996</v>
      </c>
      <c r="OH5" s="61">
        <f t="shared" ref="OH5" si="40">IF($CX5="P",CV5,(CV5+BR5)/2)</f>
        <v>6.8624999999999998</v>
      </c>
      <c r="OI5" s="61">
        <f t="shared" ref="OI5" si="41">IF($CX5="P",CW5,(CW5+BS5)/2)</f>
        <v>0.15</v>
      </c>
      <c r="OJ5" s="72" t="s">
        <v>49</v>
      </c>
      <c r="OK5" s="11">
        <f>IF(SUM(NP5:NS5)-NT5&gt;0,SUM(NP5:NS5)-NT5,"")</f>
        <v>39.997500000000002</v>
      </c>
      <c r="OL5" s="11">
        <f>IF(NW5&gt;0,NW5,"")</f>
        <v>5.35</v>
      </c>
      <c r="OM5" s="11">
        <f>IF(SUM(NU5:NX5)-NY5&gt;0,SUM(NU5:NX5)-NY5,"")</f>
        <v>25.992500000000003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65.990000000000009</v>
      </c>
      <c r="OQ5" s="11">
        <f>IF(OG5&gt;0,OG5,"")</f>
        <v>4.5999999999999996</v>
      </c>
      <c r="OR5" s="11">
        <f t="shared" ref="OR5" si="42">IF(SUM(OE5:OH5)-OI5&gt;0,SUM(OE5:OH5)-OI5,"")</f>
        <v>22.912500000000005</v>
      </c>
      <c r="OS5" s="11">
        <f t="shared" ref="OS5" si="43">IF(SUM(OP5,OR5)&gt;0,SUM(OP5,OR5),"")</f>
        <v>88.902500000000018</v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11.2</v>
      </c>
      <c r="BV8" s="113"/>
      <c r="BW8" s="113"/>
      <c r="BX8" s="113"/>
      <c r="CA8" s="46"/>
      <c r="CC8" s="56">
        <v>11.2</v>
      </c>
      <c r="CZ8" s="113"/>
      <c r="DA8" s="113"/>
      <c r="DB8" s="113"/>
      <c r="DE8" s="46"/>
      <c r="DG8" s="56">
        <v>11.2</v>
      </c>
      <c r="EA8" s="48"/>
      <c r="EE8" s="46"/>
      <c r="EG8" s="56">
        <v>11.2</v>
      </c>
      <c r="EW8" s="48"/>
      <c r="FA8" s="46"/>
      <c r="FC8" s="56">
        <v>11.2</v>
      </c>
      <c r="FS8" s="48"/>
      <c r="FW8" s="46"/>
      <c r="FY8" s="56">
        <v>11.2</v>
      </c>
      <c r="GO8" s="48"/>
      <c r="GS8" s="46"/>
      <c r="GU8" s="56">
        <v>11.2</v>
      </c>
      <c r="HK8" s="48"/>
      <c r="HO8" s="46"/>
      <c r="HQ8" s="56">
        <v>11.2</v>
      </c>
      <c r="IG8" s="48"/>
      <c r="IK8" s="46"/>
      <c r="IM8" s="56">
        <v>11.2</v>
      </c>
      <c r="JC8" s="48"/>
      <c r="JG8" s="46"/>
      <c r="JI8" s="56">
        <v>11.2</v>
      </c>
      <c r="JY8" s="48"/>
      <c r="KC8" s="46"/>
      <c r="KE8" s="56">
        <v>11.2</v>
      </c>
      <c r="KU8" s="48"/>
      <c r="KY8" s="46"/>
      <c r="LA8" s="56">
        <v>11.2</v>
      </c>
      <c r="LQ8" s="48"/>
      <c r="LU8" s="46"/>
      <c r="LW8" s="56">
        <v>11.2</v>
      </c>
      <c r="MM8" s="48"/>
      <c r="MQ8" s="46"/>
      <c r="MS8" s="56">
        <v>11.2</v>
      </c>
      <c r="NI8" s="48"/>
      <c r="NM8" s="46"/>
      <c r="NO8" s="56">
        <v>11.2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85">
        <v>11.2</v>
      </c>
      <c r="BV9" s="113"/>
      <c r="BW9" s="113"/>
      <c r="BX9" s="113"/>
      <c r="CA9" s="46"/>
      <c r="CC9" s="85">
        <v>11.2</v>
      </c>
      <c r="CZ9" s="113"/>
      <c r="DA9" s="113"/>
      <c r="DB9" s="113"/>
      <c r="DE9" s="46"/>
      <c r="DG9" s="85">
        <v>11.2</v>
      </c>
      <c r="EA9" s="48"/>
      <c r="EE9" s="46"/>
      <c r="EG9" s="85">
        <v>11.2</v>
      </c>
      <c r="EW9" s="48"/>
      <c r="FA9" s="46"/>
      <c r="FC9" s="85">
        <v>11.2</v>
      </c>
      <c r="FS9" s="48"/>
      <c r="FW9" s="46"/>
      <c r="FY9" s="85">
        <v>11.2</v>
      </c>
      <c r="GO9" s="48"/>
      <c r="GS9" s="46"/>
      <c r="GU9" s="85">
        <v>11.2</v>
      </c>
      <c r="HK9" s="48"/>
      <c r="HO9" s="46"/>
      <c r="HQ9" s="85">
        <v>11.2</v>
      </c>
      <c r="IG9" s="48"/>
      <c r="IK9" s="46"/>
      <c r="IM9" s="85">
        <v>11.2</v>
      </c>
      <c r="JC9" s="48"/>
      <c r="JG9" s="46"/>
      <c r="JI9" s="85">
        <v>11.2</v>
      </c>
      <c r="JY9" s="48"/>
      <c r="KC9" s="46"/>
      <c r="KE9" s="85">
        <v>11.2</v>
      </c>
      <c r="KU9" s="48"/>
      <c r="KY9" s="46"/>
      <c r="LA9" s="85">
        <v>11.2</v>
      </c>
      <c r="LQ9" s="48"/>
      <c r="LU9" s="46"/>
      <c r="LW9" s="85">
        <v>11.2</v>
      </c>
      <c r="MM9" s="48"/>
      <c r="MQ9" s="46"/>
      <c r="MS9" s="85">
        <v>11.2</v>
      </c>
      <c r="NI9" s="48"/>
      <c r="NM9" s="46"/>
      <c r="NO9" s="85">
        <v>11.2</v>
      </c>
    </row>
    <row r="10" spans="1:409" x14ac:dyDescent="0.2">
      <c r="A10" s="48"/>
      <c r="B10" s="84" t="s">
        <v>60</v>
      </c>
      <c r="C10" s="48"/>
      <c r="AR10" s="113"/>
      <c r="AS10" s="113"/>
      <c r="AT10" s="113"/>
      <c r="AV10" s="46"/>
      <c r="AW10" s="46"/>
      <c r="AX10" s="46"/>
      <c r="AY10" s="86">
        <v>11.2</v>
      </c>
      <c r="BV10" s="113"/>
      <c r="BW10" s="113"/>
      <c r="BX10" s="113"/>
      <c r="CA10" s="46"/>
      <c r="CC10" s="86">
        <v>11.2</v>
      </c>
      <c r="CZ10" s="113"/>
      <c r="DA10" s="113"/>
      <c r="DB10" s="113"/>
      <c r="DD10" s="46"/>
      <c r="DE10" s="46"/>
      <c r="DF10" s="46"/>
      <c r="DG10" s="86">
        <v>11.2</v>
      </c>
      <c r="EA10" s="48"/>
      <c r="EE10" s="46"/>
      <c r="EG10" s="86">
        <v>11.2</v>
      </c>
      <c r="EW10" s="48"/>
      <c r="FA10" s="46"/>
      <c r="FC10" s="86">
        <v>11.2</v>
      </c>
      <c r="FS10" s="48"/>
      <c r="FW10" s="46"/>
      <c r="FY10" s="86">
        <v>11.2</v>
      </c>
      <c r="GO10" s="48"/>
      <c r="GS10" s="46"/>
      <c r="GU10" s="86">
        <v>11.2</v>
      </c>
      <c r="HK10" s="48"/>
      <c r="HO10" s="46"/>
      <c r="HQ10" s="86">
        <v>11.2</v>
      </c>
      <c r="IG10" s="48"/>
      <c r="IK10" s="46"/>
      <c r="IM10" s="86">
        <v>11.2</v>
      </c>
      <c r="JC10" s="48"/>
      <c r="JG10" s="46"/>
      <c r="JI10" s="86">
        <v>11.2</v>
      </c>
      <c r="JY10" s="48"/>
      <c r="KC10" s="46"/>
      <c r="KE10" s="86">
        <v>11.2</v>
      </c>
      <c r="KU10" s="48"/>
      <c r="KY10" s="46"/>
      <c r="LA10" s="86">
        <v>11.2</v>
      </c>
      <c r="LQ10" s="48"/>
      <c r="LU10" s="46"/>
      <c r="LW10" s="86">
        <v>11.2</v>
      </c>
      <c r="MM10" s="48"/>
      <c r="MQ10" s="46"/>
      <c r="MS10" s="86">
        <v>11.2</v>
      </c>
      <c r="NI10" s="48"/>
      <c r="NM10" s="46"/>
      <c r="NO10" s="86">
        <v>11.2</v>
      </c>
    </row>
    <row r="11" spans="1:409" x14ac:dyDescent="0.2">
      <c r="A11" s="48"/>
      <c r="B11" s="109" t="s">
        <v>65</v>
      </c>
      <c r="C11" s="48"/>
      <c r="AR11" s="113"/>
      <c r="AS11" s="113"/>
      <c r="AT11" s="113"/>
      <c r="AV11" s="46"/>
      <c r="AW11" s="46"/>
      <c r="AX11" s="46"/>
      <c r="AY11" s="110">
        <v>11.2</v>
      </c>
      <c r="BV11" s="113"/>
      <c r="BW11" s="113"/>
      <c r="BX11" s="113"/>
      <c r="CA11" s="46"/>
      <c r="CC11" s="110">
        <v>11.2</v>
      </c>
      <c r="CZ11" s="113"/>
      <c r="DA11" s="113"/>
      <c r="DB11" s="113"/>
      <c r="DD11" s="46"/>
      <c r="DE11" s="46"/>
      <c r="DF11" s="46"/>
      <c r="DG11" s="110">
        <v>11.2</v>
      </c>
      <c r="EA11" s="48"/>
      <c r="EE11" s="46"/>
      <c r="EG11" s="110">
        <v>11.2</v>
      </c>
      <c r="EW11" s="48"/>
      <c r="FA11" s="46"/>
      <c r="FC11" s="110">
        <v>11.2</v>
      </c>
      <c r="FS11" s="48"/>
      <c r="FW11" s="46"/>
      <c r="FY11" s="110">
        <v>11.2</v>
      </c>
      <c r="GO11" s="48"/>
      <c r="GS11" s="46"/>
      <c r="GU11" s="110">
        <v>11.2</v>
      </c>
      <c r="HK11" s="48"/>
      <c r="HO11" s="46"/>
      <c r="HQ11" s="110">
        <v>11.2</v>
      </c>
      <c r="IG11" s="48"/>
      <c r="IK11" s="46"/>
      <c r="IM11" s="110">
        <v>11.2</v>
      </c>
      <c r="JC11" s="48"/>
      <c r="JG11" s="46"/>
      <c r="JI11" s="110">
        <v>11.2</v>
      </c>
      <c r="JY11" s="48"/>
      <c r="KC11" s="46"/>
      <c r="KE11" s="110">
        <v>11.2</v>
      </c>
      <c r="KU11" s="48"/>
      <c r="KY11" s="46"/>
      <c r="LA11" s="110">
        <v>11.2</v>
      </c>
      <c r="LQ11" s="48"/>
      <c r="LU11" s="46"/>
      <c r="LW11" s="110">
        <v>11.2</v>
      </c>
      <c r="MM11" s="48"/>
      <c r="MQ11" s="46"/>
      <c r="MS11" s="110">
        <v>11.2</v>
      </c>
      <c r="NI11" s="48"/>
      <c r="NM11" s="46"/>
      <c r="NO11" s="110">
        <v>11.2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90.2</v>
      </c>
      <c r="BV12" s="113"/>
      <c r="BW12" s="113"/>
      <c r="BX12" s="113"/>
      <c r="CA12" s="46"/>
      <c r="CC12" s="108">
        <v>90.2</v>
      </c>
      <c r="CZ12" s="113"/>
      <c r="DA12" s="113"/>
      <c r="DB12" s="113"/>
      <c r="DD12" s="46"/>
      <c r="DE12" s="46"/>
      <c r="DF12" s="46"/>
      <c r="DG12" s="108">
        <v>90.2</v>
      </c>
      <c r="EA12" s="48"/>
      <c r="EE12" s="46"/>
      <c r="EG12" s="108">
        <v>92.2</v>
      </c>
      <c r="EW12" s="48"/>
      <c r="FA12" s="46"/>
      <c r="FC12" s="108">
        <v>90.2</v>
      </c>
      <c r="FS12" s="48"/>
      <c r="FW12" s="46"/>
      <c r="FY12" s="108">
        <v>90.2</v>
      </c>
      <c r="GO12" s="48"/>
      <c r="GS12" s="46"/>
      <c r="GU12" s="108">
        <v>90.2</v>
      </c>
      <c r="HK12" s="48"/>
      <c r="HO12" s="46"/>
      <c r="HQ12" s="108">
        <v>90.2</v>
      </c>
      <c r="IG12" s="48"/>
      <c r="IK12" s="46"/>
      <c r="IM12" s="108">
        <v>90.2</v>
      </c>
      <c r="JC12" s="48"/>
      <c r="JG12" s="46"/>
      <c r="JI12" s="108">
        <v>90.2</v>
      </c>
      <c r="JY12" s="48"/>
      <c r="KC12" s="46"/>
      <c r="KE12" s="108">
        <v>90.2</v>
      </c>
      <c r="KU12" s="48"/>
      <c r="KY12" s="46"/>
      <c r="LA12" s="108">
        <v>90.2</v>
      </c>
      <c r="LQ12" s="48"/>
      <c r="LU12" s="46"/>
      <c r="LW12" s="108">
        <v>90.2</v>
      </c>
      <c r="MM12" s="48"/>
      <c r="MQ12" s="46"/>
      <c r="MS12" s="108">
        <v>90.2</v>
      </c>
      <c r="NI12" s="48"/>
      <c r="NM12" s="46"/>
      <c r="NO12" s="108">
        <v>90.2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93.1</v>
      </c>
      <c r="BV13" s="113"/>
      <c r="BW13" s="113"/>
      <c r="BX13" s="113"/>
      <c r="CA13" s="46"/>
      <c r="CC13" s="58">
        <v>93.1</v>
      </c>
      <c r="CZ13" s="113"/>
      <c r="DA13" s="113"/>
      <c r="DB13" s="113"/>
      <c r="DD13" s="46"/>
      <c r="DE13" s="46"/>
      <c r="DF13" s="46"/>
      <c r="DG13" s="58">
        <v>93.1</v>
      </c>
      <c r="EA13" s="48"/>
      <c r="EE13" s="46"/>
      <c r="EG13" s="58">
        <v>95.1</v>
      </c>
      <c r="EW13" s="48"/>
      <c r="FA13" s="46"/>
      <c r="FC13" s="58">
        <v>93.1</v>
      </c>
      <c r="FS13" s="48"/>
      <c r="FW13" s="46"/>
      <c r="FY13" s="58">
        <v>93.1</v>
      </c>
      <c r="GO13" s="48"/>
      <c r="GS13" s="46"/>
      <c r="GU13" s="58">
        <v>93.1</v>
      </c>
      <c r="HK13" s="48"/>
      <c r="HO13" s="46"/>
      <c r="HQ13" s="58">
        <v>93.1</v>
      </c>
      <c r="IG13" s="48"/>
      <c r="IK13" s="46"/>
      <c r="IM13" s="58">
        <v>93.1</v>
      </c>
      <c r="JC13" s="48"/>
      <c r="JG13" s="46"/>
      <c r="JI13" s="58">
        <v>93.1</v>
      </c>
      <c r="JY13" s="48"/>
      <c r="KC13" s="46"/>
      <c r="KE13" s="58">
        <v>93.1</v>
      </c>
      <c r="KU13" s="48"/>
      <c r="KY13" s="46"/>
      <c r="LA13" s="58">
        <v>93.1</v>
      </c>
      <c r="LQ13" s="48"/>
      <c r="LU13" s="46"/>
      <c r="LW13" s="58">
        <v>93.1</v>
      </c>
      <c r="MM13" s="48"/>
      <c r="MQ13" s="46"/>
      <c r="MS13" s="58">
        <v>93.1</v>
      </c>
      <c r="NI13" s="48"/>
      <c r="NM13" s="46"/>
      <c r="NO13" s="58">
        <v>93.1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119"/>
      <c r="AY14" s="106">
        <v>93.1</v>
      </c>
      <c r="BV14" s="113"/>
      <c r="BW14" s="113"/>
      <c r="BX14" s="113"/>
      <c r="CA14" s="46"/>
      <c r="CB14" s="118"/>
      <c r="CC14" s="106">
        <v>93.1</v>
      </c>
      <c r="CZ14" s="113"/>
      <c r="DA14" s="113"/>
      <c r="DB14" s="113"/>
      <c r="DD14" s="46"/>
      <c r="DE14" s="46"/>
      <c r="DF14" s="46"/>
      <c r="DG14" s="106">
        <v>93.1</v>
      </c>
      <c r="EA14" s="48"/>
      <c r="EE14" s="46"/>
      <c r="EG14" s="106">
        <v>95.1</v>
      </c>
      <c r="EW14" s="48"/>
      <c r="FA14" s="46"/>
      <c r="FC14" s="106">
        <v>93.1</v>
      </c>
      <c r="FS14" s="48"/>
      <c r="FW14" s="46"/>
      <c r="FY14" s="106">
        <v>93.1</v>
      </c>
      <c r="GO14" s="48"/>
      <c r="GS14" s="46"/>
      <c r="GT14" s="118"/>
      <c r="GU14" s="106">
        <v>93.1</v>
      </c>
      <c r="HK14" s="48"/>
      <c r="HO14" s="46"/>
      <c r="HP14" s="118"/>
      <c r="HQ14" s="106">
        <v>93.1</v>
      </c>
      <c r="IG14" s="48"/>
      <c r="IK14" s="46"/>
      <c r="IM14" s="106">
        <v>93.1</v>
      </c>
      <c r="JC14" s="48"/>
      <c r="JG14" s="46"/>
      <c r="JI14" s="106">
        <v>93.1</v>
      </c>
      <c r="JY14" s="48"/>
      <c r="KC14" s="46"/>
      <c r="KD14" s="120"/>
      <c r="KE14" s="106">
        <v>93.1</v>
      </c>
      <c r="KU14" s="48"/>
      <c r="KY14" s="46"/>
      <c r="LA14" s="106">
        <v>93.1</v>
      </c>
      <c r="LQ14" s="48"/>
      <c r="LU14" s="46"/>
      <c r="LW14" s="106">
        <v>93.1</v>
      </c>
      <c r="MM14" s="48"/>
      <c r="MQ14" s="46"/>
      <c r="MR14" s="120"/>
      <c r="MS14" s="106">
        <v>93.1</v>
      </c>
      <c r="NI14" s="48"/>
      <c r="NM14" s="46"/>
      <c r="NO14" s="106">
        <v>93.1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51.8</v>
      </c>
      <c r="BV15" s="113"/>
      <c r="BW15" s="113"/>
      <c r="BX15" s="113"/>
      <c r="CA15" s="46"/>
      <c r="CC15" s="60">
        <v>51.8</v>
      </c>
      <c r="CZ15" s="113"/>
      <c r="DA15" s="113"/>
      <c r="DB15" s="113"/>
      <c r="DD15" s="46"/>
      <c r="DE15" s="46"/>
      <c r="DF15" s="46"/>
      <c r="DG15" s="60">
        <v>51.8</v>
      </c>
      <c r="EA15" s="48"/>
      <c r="EE15" s="46"/>
      <c r="EG15" s="60">
        <v>51.8</v>
      </c>
      <c r="EW15" s="48"/>
      <c r="FA15" s="46"/>
      <c r="FC15" s="60">
        <v>51.8</v>
      </c>
      <c r="FS15" s="48"/>
      <c r="FW15" s="46"/>
      <c r="FY15" s="60">
        <v>51.8</v>
      </c>
      <c r="GO15" s="48"/>
      <c r="GS15" s="46"/>
      <c r="GT15" s="118"/>
      <c r="GU15" s="60">
        <v>51.8</v>
      </c>
      <c r="HK15" s="48"/>
      <c r="HO15" s="46"/>
      <c r="HQ15" s="60">
        <v>51.8</v>
      </c>
      <c r="IG15" s="48"/>
      <c r="IK15" s="46"/>
      <c r="IM15" s="60">
        <v>51.8</v>
      </c>
      <c r="JC15" s="48"/>
      <c r="JG15" s="46"/>
      <c r="JI15" s="60">
        <v>51.8</v>
      </c>
      <c r="JY15" s="48"/>
      <c r="KC15" s="46"/>
      <c r="KE15" s="60">
        <v>51.8</v>
      </c>
      <c r="KU15" s="48"/>
      <c r="KY15" s="46"/>
      <c r="LA15" s="60">
        <v>51.8</v>
      </c>
      <c r="LQ15" s="48"/>
      <c r="LU15" s="46"/>
      <c r="LW15" s="60">
        <v>51.8</v>
      </c>
      <c r="MM15" s="48"/>
      <c r="MQ15" s="46"/>
      <c r="MS15" s="60">
        <v>51.8</v>
      </c>
      <c r="NI15" s="48"/>
      <c r="NM15" s="46"/>
      <c r="NO15" s="60">
        <v>51.8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3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6">
      <sortCondition descending="1" ref="F1:F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14" priority="11" operator="containsText" text="No DD">
      <formula>NOT(ISERROR(SEARCH("No DD",I1)))</formula>
    </cfRule>
    <cfRule type="containsText" dxfId="113" priority="12" operator="containsText" text="Merit">
      <formula>NOT(ISERROR(SEARCH("Merit",I1)))</formula>
    </cfRule>
    <cfRule type="containsText" dxfId="112" priority="13" operator="containsText" text="Excellence">
      <formula>NOT(ISERROR(SEARCH("Excellence",I1)))</formula>
    </cfRule>
    <cfRule type="containsText" dxfId="111" priority="14" operator="containsText" text="Worlds Team">
      <formula>NOT(ISERROR(SEARCH("Worlds Team",I1)))</formula>
    </cfRule>
    <cfRule type="containsText" dxfId="110" priority="15" operator="containsText" text="National Team">
      <formula>NOT(ISERROR(SEARCH("National Team",I1)))</formula>
    </cfRule>
  </conditionalFormatting>
  <conditionalFormatting sqref="V4:AY5">
    <cfRule type="expression" dxfId="109" priority="1" stopIfTrue="1">
      <formula>IF($AP4&lt;&gt;"",1,0)</formula>
    </cfRule>
  </conditionalFormatting>
  <conditionalFormatting sqref="AZ4:CC5">
    <cfRule type="expression" dxfId="108" priority="9" stopIfTrue="1">
      <formula>IF($BT4&lt;&gt;"",1,0)</formula>
    </cfRule>
  </conditionalFormatting>
  <conditionalFormatting sqref="N1:N1048576 R1:R1048576 L1:L1048576 P1:P1048576">
    <cfRule type="expression" dxfId="107" priority="16">
      <formula>IF(L1=$CD$1,1,0)</formula>
    </cfRule>
    <cfRule type="expression" dxfId="106" priority="17">
      <formula>IF(L1=$AZ$1,1,0)</formula>
    </cfRule>
    <cfRule type="expression" dxfId="105" priority="18">
      <formula>IF(L1=$V$1,1,0)</formula>
    </cfRule>
  </conditionalFormatting>
  <conditionalFormatting sqref="A1:A1048576">
    <cfRule type="expression" dxfId="104" priority="43">
      <formula>AND(H1&lt;&gt;"",G1="")</formula>
    </cfRule>
  </conditionalFormatting>
  <conditionalFormatting sqref="CD4:DG5">
    <cfRule type="expression" dxfId="103" priority="10" stopIfTrue="1">
      <formula>IF($CX4&lt;&gt;"",1,0)</formula>
    </cfRule>
  </conditionalFormatting>
  <conditionalFormatting sqref="GT16:GT1048576 HP15:HP1048576 KD15:KD1048576 MR15:MR1048576 AX1:AX1048576 CB1:CB1048576 DF1:DF1048576 EF1:EF1048576 FB1:FB1048576 FX1:FX1048576 GT1:GT13 HP1:HP13 IL1:IL1048576 JH1:JH1048576 KD1:KD13 KZ1:KZ1048576 LV1:LV1048576 MR1:MR13 NN1:NN1048576">
    <cfRule type="cellIs" dxfId="102" priority="37579" operator="between">
      <formula>AY$15</formula>
      <formula>1000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01" priority="46501" operator="between">
      <formula>AY$15</formula>
      <formula>1000</formula>
    </cfRule>
    <cfRule type="cellIs" dxfId="100" priority="46502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99" priority="46591" operator="between">
      <formula>AY$14</formula>
      <formula>1000</formula>
    </cfRule>
    <cfRule type="cellIs" dxfId="98" priority="46592" operator="between">
      <formula>AY$13</formula>
      <formula>AY$14</formula>
    </cfRule>
    <cfRule type="cellIs" dxfId="97" priority="46593" operator="between">
      <formula>AY$12</formula>
      <formula>AY$13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726" operator="between">
      <formula>EG$11</formula>
      <formula>1000</formula>
    </cfRule>
    <cfRule type="cellIs" dxfId="95" priority="46727" operator="between">
      <formula>EG$10</formula>
      <formula>EG$11</formula>
    </cfRule>
    <cfRule type="cellIs" dxfId="94" priority="46728" operator="between">
      <formula>EG$9</formula>
      <formula>EG$10</formula>
    </cfRule>
    <cfRule type="cellIs" dxfId="93" priority="46729" operator="between">
      <formula>EG$8</formula>
      <formula>EG$9</formula>
    </cfRule>
  </conditionalFormatting>
  <conditionalFormatting sqref="AR1:AR1048576 BV1:BV1048576 CZ1:CZ1048576">
    <cfRule type="cellIs" dxfId="92" priority="46870" operator="between">
      <formula>AY$11</formula>
      <formula>1000</formula>
    </cfRule>
    <cfRule type="cellIs" dxfId="91" priority="46871" operator="between">
      <formula>AY$10</formula>
      <formula>AY$11</formula>
    </cfRule>
    <cfRule type="cellIs" dxfId="90" priority="46872" operator="between">
      <formula>AY$9</formula>
      <formula>AY$10</formula>
    </cfRule>
    <cfRule type="cellIs" dxfId="89" priority="46873" operator="between">
      <formula>AY$8</formula>
      <formula>AY$9</formula>
    </cfRule>
  </conditionalFormatting>
  <conditionalFormatting sqref="AS1:AS1048576 BW1:BW1048576 DA1:DA1048576">
    <cfRule type="cellIs" dxfId="88" priority="46906" operator="between">
      <formula>AY$15</formula>
      <formula>1000</formula>
    </cfRule>
  </conditionalFormatting>
  <conditionalFormatting sqref="AT1:AT1048576 BX1:BX1048576 DB1:DB1048576">
    <cfRule type="cellIs" dxfId="87" priority="46915" operator="between">
      <formula>AY$11</formula>
      <formula>1000</formula>
    </cfRule>
    <cfRule type="cellIs" dxfId="86" priority="46916" operator="between">
      <formula>AY$10</formula>
      <formula>AY$11</formula>
    </cfRule>
    <cfRule type="cellIs" dxfId="85" priority="46917" operator="between">
      <formula>AY$9</formula>
      <formula>AY$10</formula>
    </cfRule>
    <cfRule type="cellIs" dxfId="84" priority="46918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951" operator="between">
      <formula>AY$11</formula>
      <formula>1000</formula>
    </cfRule>
    <cfRule type="cellIs" dxfId="82" priority="46952" operator="between">
      <formula>AY$10</formula>
      <formula>AY$11</formula>
    </cfRule>
    <cfRule type="cellIs" dxfId="81" priority="46953" operator="between">
      <formula>AY$9</formula>
      <formula>AY$10</formula>
    </cfRule>
    <cfRule type="cellIs" dxfId="80" priority="46954" operator="between">
      <formula>AY$8</formula>
      <formula>AY$9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5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3" width="10.83203125" customWidth="1"/>
    <col min="84" max="84" width="11.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76</v>
      </c>
      <c r="J1" s="129" t="s">
        <v>7</v>
      </c>
      <c r="K1" s="129" t="s">
        <v>29</v>
      </c>
      <c r="L1" s="129" t="s">
        <v>9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77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84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86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29"/>
      <c r="K2" s="129"/>
      <c r="L2" s="129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2" t="s">
        <v>28</v>
      </c>
      <c r="CT2" s="132"/>
      <c r="CU2" s="132"/>
      <c r="CV2" s="132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3" t="s">
        <v>23</v>
      </c>
      <c r="DC2" s="123"/>
      <c r="DD2" s="123"/>
      <c r="DE2" s="123"/>
      <c r="DF2" s="123" t="s">
        <v>26</v>
      </c>
      <c r="DG2" s="123"/>
      <c r="DH2" s="123"/>
      <c r="DI2" s="123"/>
      <c r="DJ2" s="123" t="s">
        <v>27</v>
      </c>
      <c r="DK2" s="123"/>
      <c r="DL2" s="123"/>
      <c r="DM2" s="123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4" t="s">
        <v>23</v>
      </c>
      <c r="DX2" s="124"/>
      <c r="DY2" s="124"/>
      <c r="DZ2" s="124"/>
      <c r="EA2" s="124" t="s">
        <v>26</v>
      </c>
      <c r="EB2" s="124"/>
      <c r="EC2" s="124"/>
      <c r="ED2" s="124"/>
      <c r="EE2" s="124" t="s">
        <v>27</v>
      </c>
      <c r="EF2" s="124"/>
      <c r="EG2" s="124"/>
      <c r="EH2" s="124"/>
      <c r="EI2" s="132" t="s">
        <v>28</v>
      </c>
      <c r="EJ2" s="132"/>
      <c r="EK2" s="132"/>
      <c r="EL2" s="132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3" t="s">
        <v>23</v>
      </c>
      <c r="ES2" s="123"/>
      <c r="ET2" s="123"/>
      <c r="EU2" s="123"/>
      <c r="EV2" s="123" t="s">
        <v>26</v>
      </c>
      <c r="EW2" s="123"/>
      <c r="EX2" s="123"/>
      <c r="EY2" s="123"/>
      <c r="EZ2" s="123" t="s">
        <v>27</v>
      </c>
      <c r="FA2" s="123"/>
      <c r="FB2" s="123"/>
      <c r="FC2" s="123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4" t="s">
        <v>23</v>
      </c>
      <c r="FN2" s="124"/>
      <c r="FO2" s="124"/>
      <c r="FP2" s="124"/>
      <c r="FQ2" s="124" t="s">
        <v>26</v>
      </c>
      <c r="FR2" s="124"/>
      <c r="FS2" s="124"/>
      <c r="FT2" s="124"/>
      <c r="FU2" s="124" t="s">
        <v>27</v>
      </c>
      <c r="FV2" s="124"/>
      <c r="FW2" s="124"/>
      <c r="FX2" s="124"/>
      <c r="FY2" s="132" t="s">
        <v>28</v>
      </c>
      <c r="FZ2" s="132"/>
      <c r="GA2" s="132"/>
      <c r="GB2" s="132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3" t="s">
        <v>23</v>
      </c>
      <c r="GI2" s="123"/>
      <c r="GJ2" s="123"/>
      <c r="GK2" s="123"/>
      <c r="GL2" s="123" t="s">
        <v>26</v>
      </c>
      <c r="GM2" s="123"/>
      <c r="GN2" s="123"/>
      <c r="GO2" s="123"/>
      <c r="GP2" s="123" t="s">
        <v>27</v>
      </c>
      <c r="GQ2" s="123"/>
      <c r="GR2" s="123"/>
      <c r="GS2" s="123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4" t="s">
        <v>23</v>
      </c>
      <c r="HD2" s="124"/>
      <c r="HE2" s="124"/>
      <c r="HF2" s="124"/>
      <c r="HG2" s="124" t="s">
        <v>26</v>
      </c>
      <c r="HH2" s="124"/>
      <c r="HI2" s="124"/>
      <c r="HJ2" s="124"/>
      <c r="HK2" s="124" t="s">
        <v>27</v>
      </c>
      <c r="HL2" s="124"/>
      <c r="HM2" s="124"/>
      <c r="HN2" s="124"/>
      <c r="HO2" s="132" t="s">
        <v>28</v>
      </c>
      <c r="HP2" s="132"/>
      <c r="HQ2" s="132"/>
      <c r="HR2" s="132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3" t="s">
        <v>23</v>
      </c>
      <c r="HY2" s="123"/>
      <c r="HZ2" s="123"/>
      <c r="IA2" s="123"/>
      <c r="IB2" s="123" t="s">
        <v>26</v>
      </c>
      <c r="IC2" s="123"/>
      <c r="ID2" s="123"/>
      <c r="IE2" s="123"/>
      <c r="IF2" s="123" t="s">
        <v>27</v>
      </c>
      <c r="IG2" s="123"/>
      <c r="IH2" s="123"/>
      <c r="II2" s="123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4" t="s">
        <v>23</v>
      </c>
      <c r="IT2" s="124"/>
      <c r="IU2" s="124"/>
      <c r="IV2" s="124"/>
      <c r="IW2" s="124" t="s">
        <v>26</v>
      </c>
      <c r="IX2" s="124"/>
      <c r="IY2" s="124"/>
      <c r="IZ2" s="124"/>
      <c r="JA2" s="124" t="s">
        <v>27</v>
      </c>
      <c r="JB2" s="124"/>
      <c r="JC2" s="124"/>
      <c r="JD2" s="124"/>
      <c r="JE2" s="132" t="s">
        <v>28</v>
      </c>
      <c r="JF2" s="132"/>
      <c r="JG2" s="132"/>
      <c r="JH2" s="132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3" t="s">
        <v>23</v>
      </c>
      <c r="JO2" s="123"/>
      <c r="JP2" s="123"/>
      <c r="JQ2" s="123"/>
      <c r="JR2" s="123" t="s">
        <v>26</v>
      </c>
      <c r="JS2" s="123"/>
      <c r="JT2" s="123"/>
      <c r="JU2" s="123"/>
      <c r="JV2" s="123" t="s">
        <v>27</v>
      </c>
      <c r="JW2" s="123"/>
      <c r="JX2" s="123"/>
      <c r="JY2" s="123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4" t="s">
        <v>23</v>
      </c>
      <c r="KJ2" s="124"/>
      <c r="KK2" s="124"/>
      <c r="KL2" s="124"/>
      <c r="KM2" s="124" t="s">
        <v>26</v>
      </c>
      <c r="KN2" s="124"/>
      <c r="KO2" s="124"/>
      <c r="KP2" s="124"/>
      <c r="KQ2" s="124" t="s">
        <v>27</v>
      </c>
      <c r="KR2" s="124"/>
      <c r="KS2" s="124"/>
      <c r="KT2" s="124"/>
      <c r="KU2" s="132" t="s">
        <v>28</v>
      </c>
      <c r="KV2" s="132"/>
      <c r="KW2" s="132"/>
      <c r="KX2" s="132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3" t="s">
        <v>23</v>
      </c>
      <c r="LE2" s="123"/>
      <c r="LF2" s="123"/>
      <c r="LG2" s="123"/>
      <c r="LH2" s="123" t="s">
        <v>26</v>
      </c>
      <c r="LI2" s="123"/>
      <c r="LJ2" s="123"/>
      <c r="LK2" s="123"/>
      <c r="LL2" s="123" t="s">
        <v>27</v>
      </c>
      <c r="LM2" s="123"/>
      <c r="LN2" s="123"/>
      <c r="LO2" s="123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29"/>
      <c r="K3" s="129"/>
      <c r="L3" s="129"/>
      <c r="M3" s="129"/>
      <c r="N3" s="130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82</v>
      </c>
      <c r="C4" s="4" t="s">
        <v>78</v>
      </c>
      <c r="D4" s="26">
        <v>2006</v>
      </c>
      <c r="E4" s="15">
        <f>SUM(J4:N4)</f>
        <v>131.39999999999998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65.399999999999991</v>
      </c>
      <c r="K4" s="14" t="str">
        <f>IF(J4=0,"",IF(J4=CA4,$BI$1,IF(J4=BE4,$AM$1,IF(J4=AI4,$Q$1,""))))</f>
        <v>2021 2nd Virtual Technical Trial</v>
      </c>
      <c r="L4" s="14">
        <f>MAX(AK4,BG4,CC4)</f>
        <v>66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</v>
      </c>
      <c r="R4" s="61">
        <v>6.5</v>
      </c>
      <c r="S4" s="61">
        <v>0</v>
      </c>
      <c r="T4" s="61">
        <v>0.3</v>
      </c>
      <c r="U4" s="61">
        <v>27.8</v>
      </c>
      <c r="V4" s="61">
        <v>4.8</v>
      </c>
      <c r="W4" s="61">
        <v>0</v>
      </c>
      <c r="X4" s="61">
        <v>0</v>
      </c>
      <c r="Y4" s="61">
        <v>26.2</v>
      </c>
      <c r="Z4" s="61">
        <v>6.5</v>
      </c>
      <c r="AA4" s="61">
        <v>0</v>
      </c>
      <c r="AB4" s="61">
        <v>0.3</v>
      </c>
      <c r="AC4" s="61">
        <v>28.2</v>
      </c>
      <c r="AD4" s="61">
        <v>4.8</v>
      </c>
      <c r="AE4" s="61">
        <v>0</v>
      </c>
      <c r="AF4" s="61">
        <v>0</v>
      </c>
      <c r="AG4" s="72"/>
      <c r="AH4" s="11">
        <f>IF(SUM(R4,V4)&gt;0,SUM(R4,V4),"")</f>
        <v>11.3</v>
      </c>
      <c r="AI4" s="11">
        <f>IF(SUM(Q4:R4,T4:V4,X4)-S4-W4&gt;0,SUM(Q4:R4,T4:V4,X4)-S4-W4,"")</f>
        <v>65.399999999999991</v>
      </c>
      <c r="AJ4" s="11">
        <f>IF(SUM(Z4,AD4)&gt;0,SUM(Z4,AD4),"")</f>
        <v>11.3</v>
      </c>
      <c r="AK4" s="11">
        <f>IF(SUM(Y4:Z4,AB4:AD4,AF4)-SUM(AA4,AE4)&gt;0,SUM(Y4:Z4,AB4:AD4,AF4)-SUM(AA4,AE4),"")</f>
        <v>66</v>
      </c>
      <c r="AL4" s="11">
        <f>IF(SUM(AI4,AK4)&gt;0,SUM(AI4,AK4),"")</f>
        <v>131.39999999999998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/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D5" s="1"/>
    </row>
    <row r="7" spans="1:358" x14ac:dyDescent="0.2">
      <c r="B7" s="62" t="s">
        <v>47</v>
      </c>
      <c r="AH7" s="48"/>
      <c r="AL7" s="56">
        <v>7.6</v>
      </c>
      <c r="BD7" s="48"/>
      <c r="BH7" s="56">
        <v>7.6</v>
      </c>
      <c r="BZ7" s="48"/>
      <c r="CD7" s="56">
        <v>7.6</v>
      </c>
      <c r="CW7" s="48"/>
      <c r="DA7" s="56">
        <v>10.9</v>
      </c>
      <c r="DR7" s="48"/>
      <c r="DV7" s="56">
        <v>7.6</v>
      </c>
      <c r="EM7" s="48"/>
      <c r="EQ7" s="56">
        <v>7.6</v>
      </c>
      <c r="FH7" s="48"/>
      <c r="FL7" s="56">
        <v>7.6</v>
      </c>
      <c r="GC7" s="48"/>
      <c r="GG7" s="56">
        <v>7.6</v>
      </c>
      <c r="GX7" s="48"/>
      <c r="HB7" s="56">
        <v>7.6</v>
      </c>
      <c r="HS7" s="48"/>
      <c r="HW7" s="56">
        <v>7.6</v>
      </c>
      <c r="IN7" s="48"/>
      <c r="IR7" s="56">
        <v>7.6</v>
      </c>
      <c r="JI7" s="48"/>
      <c r="JM7" s="56">
        <v>7.6</v>
      </c>
      <c r="KD7" s="48"/>
      <c r="KH7" s="56">
        <v>7.6</v>
      </c>
      <c r="KY7" s="48"/>
      <c r="LC7" s="56">
        <v>7.6</v>
      </c>
      <c r="LT7" s="48"/>
      <c r="LX7" s="56">
        <v>7.6</v>
      </c>
    </row>
    <row r="8" spans="1:358" hidden="1" x14ac:dyDescent="0.2">
      <c r="B8" s="83" t="s">
        <v>46</v>
      </c>
      <c r="AH8" s="48"/>
      <c r="AL8" s="85">
        <v>9.1</v>
      </c>
      <c r="BD8" s="48"/>
      <c r="BH8" s="85">
        <v>9.1</v>
      </c>
      <c r="BZ8" s="48"/>
      <c r="CD8" s="85">
        <v>9.1</v>
      </c>
      <c r="CW8" s="48"/>
      <c r="DA8" s="85">
        <v>10.9</v>
      </c>
      <c r="DR8" s="48"/>
      <c r="DV8" s="85">
        <v>9.1</v>
      </c>
      <c r="EM8" s="48"/>
      <c r="EQ8" s="85">
        <v>9.1</v>
      </c>
      <c r="FH8" s="48"/>
      <c r="FL8" s="85">
        <v>9.1</v>
      </c>
      <c r="GC8" s="48"/>
      <c r="GG8" s="85">
        <v>9.1</v>
      </c>
      <c r="GX8" s="48"/>
      <c r="HB8" s="85">
        <v>9.1</v>
      </c>
      <c r="HS8" s="48"/>
      <c r="HW8" s="85">
        <v>9.1</v>
      </c>
      <c r="IN8" s="48"/>
      <c r="IR8" s="85">
        <v>9.1</v>
      </c>
      <c r="JI8" s="48"/>
      <c r="JM8" s="85">
        <v>9.1</v>
      </c>
      <c r="KD8" s="48"/>
      <c r="KH8" s="85">
        <v>9.1</v>
      </c>
      <c r="KY8" s="48"/>
      <c r="LC8" s="85">
        <v>9.1</v>
      </c>
      <c r="LT8" s="48"/>
      <c r="LX8" s="85">
        <v>9.1</v>
      </c>
    </row>
    <row r="9" spans="1:358" x14ac:dyDescent="0.2">
      <c r="A9" s="48"/>
      <c r="B9" s="84" t="s">
        <v>60</v>
      </c>
      <c r="C9" s="47"/>
      <c r="AH9" s="48"/>
      <c r="AL9" s="86">
        <v>9.1</v>
      </c>
      <c r="BD9" s="48"/>
      <c r="BH9" s="86">
        <v>9.1</v>
      </c>
      <c r="BZ9" s="48"/>
      <c r="CD9" s="86">
        <v>9.1</v>
      </c>
      <c r="CW9" s="48"/>
      <c r="DA9" s="86">
        <v>10.9</v>
      </c>
      <c r="DR9" s="48"/>
      <c r="DV9" s="86">
        <v>9.1</v>
      </c>
      <c r="EM9" s="48"/>
      <c r="EQ9" s="86">
        <v>9.1</v>
      </c>
      <c r="FH9" s="48"/>
      <c r="FL9" s="86">
        <v>9.1</v>
      </c>
      <c r="GC9" s="48"/>
      <c r="GG9" s="86">
        <v>9.1</v>
      </c>
      <c r="GX9" s="48"/>
      <c r="HB9" s="86">
        <v>9.1</v>
      </c>
      <c r="HS9" s="48"/>
      <c r="HW9" s="86">
        <v>9.1</v>
      </c>
      <c r="IN9" s="48"/>
      <c r="IR9" s="86">
        <v>9.1</v>
      </c>
      <c r="JI9" s="48"/>
      <c r="JM9" s="86">
        <v>9.1</v>
      </c>
      <c r="KD9" s="48"/>
      <c r="KH9" s="86">
        <v>9.1</v>
      </c>
      <c r="KY9" s="48"/>
      <c r="LC9" s="86">
        <v>9.1</v>
      </c>
      <c r="LT9" s="48"/>
      <c r="LX9" s="86">
        <v>9.1</v>
      </c>
    </row>
    <row r="10" spans="1:358" hidden="1" x14ac:dyDescent="0.2">
      <c r="A10" s="48"/>
      <c r="B10" s="109" t="s">
        <v>65</v>
      </c>
      <c r="C10" s="47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x14ac:dyDescent="0.2">
      <c r="A11" s="48"/>
      <c r="B11" s="107" t="s">
        <v>44</v>
      </c>
      <c r="C11" s="47"/>
      <c r="AH11" s="48"/>
      <c r="AL11" s="108">
        <v>61</v>
      </c>
      <c r="BD11" s="48"/>
      <c r="BH11" s="108">
        <v>61</v>
      </c>
      <c r="BZ11" s="48"/>
      <c r="CD11" s="108">
        <v>61</v>
      </c>
      <c r="CW11" s="48"/>
      <c r="DA11" s="108">
        <v>62.1</v>
      </c>
      <c r="DR11" s="48"/>
      <c r="DV11" s="108">
        <v>61</v>
      </c>
      <c r="EM11" s="48"/>
      <c r="EQ11" s="108">
        <v>61</v>
      </c>
      <c r="FH11" s="48"/>
      <c r="FL11" s="108">
        <v>61</v>
      </c>
      <c r="GC11" s="48"/>
      <c r="GG11" s="108">
        <v>61</v>
      </c>
      <c r="GX11" s="48"/>
      <c r="HB11" s="108">
        <v>61</v>
      </c>
      <c r="HS11" s="48"/>
      <c r="HW11" s="108">
        <v>61</v>
      </c>
      <c r="IN11" s="48"/>
      <c r="IR11" s="108">
        <v>61</v>
      </c>
      <c r="JI11" s="48"/>
      <c r="JM11" s="108">
        <v>61</v>
      </c>
      <c r="KD11" s="48"/>
      <c r="KH11" s="108">
        <v>61</v>
      </c>
      <c r="KY11" s="48"/>
      <c r="LC11" s="108">
        <v>61</v>
      </c>
      <c r="LT11" s="48"/>
      <c r="LX11" s="108">
        <v>61</v>
      </c>
    </row>
    <row r="12" spans="1:358" hidden="1" x14ac:dyDescent="0.2">
      <c r="A12" s="48"/>
      <c r="B12" s="64" t="s">
        <v>45</v>
      </c>
      <c r="C12" s="47"/>
      <c r="AH12" s="48"/>
      <c r="AL12" s="58">
        <v>62.5</v>
      </c>
      <c r="BD12" s="48"/>
      <c r="BH12" s="58">
        <v>62.5</v>
      </c>
      <c r="BZ12" s="48"/>
      <c r="CD12" s="58">
        <v>62.5</v>
      </c>
      <c r="CW12" s="48"/>
      <c r="DA12" s="58">
        <v>63.7</v>
      </c>
      <c r="DR12" s="48"/>
      <c r="DV12" s="58">
        <v>62.5</v>
      </c>
      <c r="EM12" s="48"/>
      <c r="EQ12" s="58">
        <v>62.5</v>
      </c>
      <c r="FH12" s="48"/>
      <c r="FL12" s="58">
        <v>62.5</v>
      </c>
      <c r="GC12" s="48"/>
      <c r="GG12" s="58">
        <v>62.5</v>
      </c>
      <c r="GX12" s="48"/>
      <c r="HB12" s="58">
        <v>62.5</v>
      </c>
      <c r="HS12" s="48"/>
      <c r="HW12" s="58">
        <v>62.5</v>
      </c>
      <c r="IN12" s="48"/>
      <c r="IR12" s="58">
        <v>62.5</v>
      </c>
      <c r="JI12" s="48"/>
      <c r="JM12" s="58">
        <v>62.5</v>
      </c>
      <c r="KD12" s="48"/>
      <c r="KH12" s="58">
        <v>62.5</v>
      </c>
      <c r="KY12" s="48"/>
      <c r="LC12" s="58">
        <v>62.5</v>
      </c>
      <c r="LT12" s="48"/>
      <c r="LX12" s="58">
        <v>62.5</v>
      </c>
    </row>
    <row r="13" spans="1:358" x14ac:dyDescent="0.2">
      <c r="A13" s="48"/>
      <c r="B13" s="105" t="s">
        <v>58</v>
      </c>
      <c r="C13" s="47"/>
      <c r="AH13" s="48"/>
      <c r="AL13" s="106">
        <v>62.5</v>
      </c>
      <c r="BD13" s="48"/>
      <c r="BH13" s="106">
        <v>62.5</v>
      </c>
      <c r="BZ13" s="48"/>
      <c r="CD13" s="106">
        <v>62.5</v>
      </c>
      <c r="CW13" s="48"/>
      <c r="DA13" s="106">
        <v>63.7</v>
      </c>
      <c r="DR13" s="48"/>
      <c r="DV13" s="106">
        <v>62.5</v>
      </c>
      <c r="EM13" s="48"/>
      <c r="EQ13" s="106">
        <v>62.5</v>
      </c>
      <c r="FH13" s="48"/>
      <c r="FL13" s="106">
        <v>62.5</v>
      </c>
      <c r="GC13" s="48"/>
      <c r="GG13" s="106">
        <v>62.5</v>
      </c>
      <c r="GX13" s="48"/>
      <c r="HB13" s="106">
        <v>62.5</v>
      </c>
      <c r="HS13" s="48"/>
      <c r="HW13" s="106">
        <v>62.5</v>
      </c>
      <c r="IN13" s="48"/>
      <c r="IR13" s="106">
        <v>62.5</v>
      </c>
      <c r="JI13" s="48"/>
      <c r="JM13" s="106">
        <v>62.5</v>
      </c>
      <c r="KD13" s="48"/>
      <c r="KH13" s="106">
        <v>62.5</v>
      </c>
      <c r="KY13" s="48"/>
      <c r="LC13" s="106">
        <v>62.5</v>
      </c>
      <c r="LT13" s="48"/>
      <c r="LX13" s="106">
        <v>62.5</v>
      </c>
    </row>
    <row r="14" spans="1:358" hidden="1" x14ac:dyDescent="0.2">
      <c r="A14" s="48"/>
      <c r="B14" s="66" t="s">
        <v>31</v>
      </c>
      <c r="C14" s="47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16" ht="17" x14ac:dyDescent="0.2">
      <c r="A17" s="48"/>
      <c r="B17" s="48"/>
      <c r="C17" s="47"/>
      <c r="N17" s="18"/>
      <c r="O17" s="18"/>
      <c r="P17" s="18"/>
    </row>
    <row r="18" spans="1:16" ht="17" x14ac:dyDescent="0.2">
      <c r="A18" s="48"/>
      <c r="B18" s="48"/>
      <c r="C18" s="47"/>
      <c r="N18" s="18"/>
      <c r="O18" s="18"/>
      <c r="P18" s="18"/>
    </row>
    <row r="19" spans="1:16" ht="17" x14ac:dyDescent="0.2">
      <c r="N19" s="18"/>
      <c r="O19" s="18"/>
      <c r="P19" s="18"/>
    </row>
    <row r="20" spans="1:16" ht="17" x14ac:dyDescent="0.2">
      <c r="N20" s="18"/>
      <c r="O20" s="18"/>
      <c r="P20" s="18"/>
    </row>
    <row r="21" spans="1:16" ht="17" x14ac:dyDescent="0.2">
      <c r="N21" s="18"/>
      <c r="O21" s="18"/>
      <c r="P21" s="18"/>
    </row>
    <row r="22" spans="1:16" ht="17" x14ac:dyDescent="0.2">
      <c r="N22" s="18"/>
      <c r="O22" s="18"/>
      <c r="P22" s="18"/>
    </row>
    <row r="23" spans="1:16" ht="17" x14ac:dyDescent="0.2">
      <c r="N23" s="18"/>
      <c r="O23" s="18"/>
      <c r="P23" s="18"/>
    </row>
    <row r="24" spans="1:16" ht="17" x14ac:dyDescent="0.2">
      <c r="N24" s="18"/>
      <c r="O24" s="18"/>
      <c r="P24" s="18"/>
    </row>
    <row r="25" spans="1:16" ht="17" x14ac:dyDescent="0.2">
      <c r="N25" s="18"/>
      <c r="O25" s="18"/>
      <c r="P25" s="18"/>
    </row>
    <row r="26" spans="1:16" ht="17" x14ac:dyDescent="0.2">
      <c r="N26" s="18"/>
      <c r="O26" s="18"/>
      <c r="P26" s="18"/>
    </row>
    <row r="27" spans="1:16" ht="17" x14ac:dyDescent="0.2">
      <c r="N27" s="18"/>
      <c r="O27" s="18"/>
      <c r="P27" s="18"/>
    </row>
    <row r="28" spans="1:16" ht="17" x14ac:dyDescent="0.2">
      <c r="N28" s="18"/>
      <c r="O28" s="18"/>
      <c r="P28" s="18"/>
    </row>
    <row r="29" spans="1:16" ht="17" x14ac:dyDescent="0.2">
      <c r="N29" s="18"/>
      <c r="O29" s="18"/>
      <c r="P29" s="18"/>
    </row>
    <row r="30" spans="1:16" ht="17" x14ac:dyDescent="0.2">
      <c r="N30" s="18"/>
      <c r="O30" s="18"/>
      <c r="P30" s="18"/>
    </row>
    <row r="31" spans="1:16" ht="17" x14ac:dyDescent="0.2">
      <c r="N31" s="18"/>
      <c r="O31" s="18"/>
      <c r="P31" s="18"/>
    </row>
    <row r="32" spans="1:1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</sheetData>
  <sheetProtection sheet="1" formatCells="0" formatColumns="0" formatRows="0"/>
  <autoFilter ref="A1:MT4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4">
    <cfRule type="expression" dxfId="79" priority="1" stopIfTrue="1">
      <formula>IF($AG4&lt;&gt;"",1,0)</formula>
    </cfRule>
  </conditionalFormatting>
  <conditionalFormatting sqref="AM4:BH4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4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657" operator="between">
      <formula>AL$10</formula>
      <formula>1000</formula>
    </cfRule>
    <cfRule type="cellIs" dxfId="66" priority="43658" operator="between">
      <formula>AL$9</formula>
      <formula>AL$10</formula>
    </cfRule>
    <cfRule type="cellIs" dxfId="65" priority="43659" operator="between">
      <formula>AL$8</formula>
      <formula>AL$9</formula>
    </cfRule>
    <cfRule type="cellIs" dxfId="64" priority="43660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837" operator="between">
      <formula>AL$14</formula>
      <formula>1000</formula>
    </cfRule>
    <cfRule type="cellIs" dxfId="62" priority="43838" operator="between">
      <formula>AL$13</formula>
      <formula>AL$14</formula>
    </cfRule>
    <cfRule type="cellIs" dxfId="61" priority="43839" operator="between">
      <formula>AL$12</formula>
      <formula>AL$13</formula>
    </cfRule>
    <cfRule type="cellIs" dxfId="60" priority="43840" operator="between">
      <formula>AL$11</formula>
      <formula>AL$12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5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4" width="10.8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76</v>
      </c>
      <c r="J1" s="129" t="s">
        <v>7</v>
      </c>
      <c r="K1" s="129" t="s">
        <v>29</v>
      </c>
      <c r="L1" s="129" t="s">
        <v>9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77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84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86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29"/>
      <c r="K2" s="129"/>
      <c r="L2" s="129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2" t="s">
        <v>28</v>
      </c>
      <c r="CT2" s="132"/>
      <c r="CU2" s="132"/>
      <c r="CV2" s="132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3" t="s">
        <v>23</v>
      </c>
      <c r="DC2" s="123"/>
      <c r="DD2" s="123"/>
      <c r="DE2" s="123"/>
      <c r="DF2" s="123" t="s">
        <v>26</v>
      </c>
      <c r="DG2" s="123"/>
      <c r="DH2" s="123"/>
      <c r="DI2" s="123"/>
      <c r="DJ2" s="123" t="s">
        <v>27</v>
      </c>
      <c r="DK2" s="123"/>
      <c r="DL2" s="123"/>
      <c r="DM2" s="123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4" t="s">
        <v>23</v>
      </c>
      <c r="DX2" s="124"/>
      <c r="DY2" s="124"/>
      <c r="DZ2" s="124"/>
      <c r="EA2" s="124" t="s">
        <v>26</v>
      </c>
      <c r="EB2" s="124"/>
      <c r="EC2" s="124"/>
      <c r="ED2" s="124"/>
      <c r="EE2" s="124" t="s">
        <v>27</v>
      </c>
      <c r="EF2" s="124"/>
      <c r="EG2" s="124"/>
      <c r="EH2" s="124"/>
      <c r="EI2" s="132" t="s">
        <v>28</v>
      </c>
      <c r="EJ2" s="132"/>
      <c r="EK2" s="132"/>
      <c r="EL2" s="132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3" t="s">
        <v>23</v>
      </c>
      <c r="ES2" s="123"/>
      <c r="ET2" s="123"/>
      <c r="EU2" s="123"/>
      <c r="EV2" s="123" t="s">
        <v>26</v>
      </c>
      <c r="EW2" s="123"/>
      <c r="EX2" s="123"/>
      <c r="EY2" s="123"/>
      <c r="EZ2" s="123" t="s">
        <v>27</v>
      </c>
      <c r="FA2" s="123"/>
      <c r="FB2" s="123"/>
      <c r="FC2" s="123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4" t="s">
        <v>23</v>
      </c>
      <c r="FN2" s="124"/>
      <c r="FO2" s="124"/>
      <c r="FP2" s="124"/>
      <c r="FQ2" s="124" t="s">
        <v>26</v>
      </c>
      <c r="FR2" s="124"/>
      <c r="FS2" s="124"/>
      <c r="FT2" s="124"/>
      <c r="FU2" s="124" t="s">
        <v>27</v>
      </c>
      <c r="FV2" s="124"/>
      <c r="FW2" s="124"/>
      <c r="FX2" s="124"/>
      <c r="FY2" s="132" t="s">
        <v>28</v>
      </c>
      <c r="FZ2" s="132"/>
      <c r="GA2" s="132"/>
      <c r="GB2" s="132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3" t="s">
        <v>23</v>
      </c>
      <c r="GI2" s="123"/>
      <c r="GJ2" s="123"/>
      <c r="GK2" s="123"/>
      <c r="GL2" s="123" t="s">
        <v>26</v>
      </c>
      <c r="GM2" s="123"/>
      <c r="GN2" s="123"/>
      <c r="GO2" s="123"/>
      <c r="GP2" s="123" t="s">
        <v>27</v>
      </c>
      <c r="GQ2" s="123"/>
      <c r="GR2" s="123"/>
      <c r="GS2" s="123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4" t="s">
        <v>23</v>
      </c>
      <c r="HD2" s="124"/>
      <c r="HE2" s="124"/>
      <c r="HF2" s="124"/>
      <c r="HG2" s="124" t="s">
        <v>26</v>
      </c>
      <c r="HH2" s="124"/>
      <c r="HI2" s="124"/>
      <c r="HJ2" s="124"/>
      <c r="HK2" s="124" t="s">
        <v>27</v>
      </c>
      <c r="HL2" s="124"/>
      <c r="HM2" s="124"/>
      <c r="HN2" s="124"/>
      <c r="HO2" s="132" t="s">
        <v>28</v>
      </c>
      <c r="HP2" s="132"/>
      <c r="HQ2" s="132"/>
      <c r="HR2" s="132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3" t="s">
        <v>23</v>
      </c>
      <c r="HY2" s="123"/>
      <c r="HZ2" s="123"/>
      <c r="IA2" s="123"/>
      <c r="IB2" s="123" t="s">
        <v>26</v>
      </c>
      <c r="IC2" s="123"/>
      <c r="ID2" s="123"/>
      <c r="IE2" s="123"/>
      <c r="IF2" s="123" t="s">
        <v>27</v>
      </c>
      <c r="IG2" s="123"/>
      <c r="IH2" s="123"/>
      <c r="II2" s="123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4" t="s">
        <v>23</v>
      </c>
      <c r="IT2" s="124"/>
      <c r="IU2" s="124"/>
      <c r="IV2" s="124"/>
      <c r="IW2" s="124" t="s">
        <v>26</v>
      </c>
      <c r="IX2" s="124"/>
      <c r="IY2" s="124"/>
      <c r="IZ2" s="124"/>
      <c r="JA2" s="124" t="s">
        <v>27</v>
      </c>
      <c r="JB2" s="124"/>
      <c r="JC2" s="124"/>
      <c r="JD2" s="124"/>
      <c r="JE2" s="132" t="s">
        <v>28</v>
      </c>
      <c r="JF2" s="132"/>
      <c r="JG2" s="132"/>
      <c r="JH2" s="132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3" t="s">
        <v>23</v>
      </c>
      <c r="JO2" s="123"/>
      <c r="JP2" s="123"/>
      <c r="JQ2" s="123"/>
      <c r="JR2" s="123" t="s">
        <v>26</v>
      </c>
      <c r="JS2" s="123"/>
      <c r="JT2" s="123"/>
      <c r="JU2" s="123"/>
      <c r="JV2" s="123" t="s">
        <v>27</v>
      </c>
      <c r="JW2" s="123"/>
      <c r="JX2" s="123"/>
      <c r="JY2" s="123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4" t="s">
        <v>23</v>
      </c>
      <c r="KJ2" s="124"/>
      <c r="KK2" s="124"/>
      <c r="KL2" s="124"/>
      <c r="KM2" s="124" t="s">
        <v>26</v>
      </c>
      <c r="KN2" s="124"/>
      <c r="KO2" s="124"/>
      <c r="KP2" s="124"/>
      <c r="KQ2" s="124" t="s">
        <v>27</v>
      </c>
      <c r="KR2" s="124"/>
      <c r="KS2" s="124"/>
      <c r="KT2" s="124"/>
      <c r="KU2" s="132" t="s">
        <v>28</v>
      </c>
      <c r="KV2" s="132"/>
      <c r="KW2" s="132"/>
      <c r="KX2" s="132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3" t="s">
        <v>23</v>
      </c>
      <c r="LE2" s="123"/>
      <c r="LF2" s="123"/>
      <c r="LG2" s="123"/>
      <c r="LH2" s="123" t="s">
        <v>26</v>
      </c>
      <c r="LI2" s="123"/>
      <c r="LJ2" s="123"/>
      <c r="LK2" s="123"/>
      <c r="LL2" s="123" t="s">
        <v>27</v>
      </c>
      <c r="LM2" s="123"/>
      <c r="LN2" s="123"/>
      <c r="LO2" s="123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29"/>
      <c r="K3" s="129"/>
      <c r="L3" s="129"/>
      <c r="M3" s="129"/>
      <c r="N3" s="130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" t="s">
        <v>75</v>
      </c>
      <c r="C4" s="7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ht="17" x14ac:dyDescent="0.2">
      <c r="N5" s="18"/>
      <c r="O5" s="18"/>
      <c r="P5" s="1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</row>
    <row r="6" spans="1:358" ht="17" x14ac:dyDescent="0.2">
      <c r="N6" s="18"/>
      <c r="O6" s="18"/>
      <c r="P6" s="18"/>
    </row>
    <row r="7" spans="1:358" ht="17" x14ac:dyDescent="0.2">
      <c r="B7" s="62" t="s">
        <v>47</v>
      </c>
      <c r="N7" s="18"/>
      <c r="O7" s="18"/>
      <c r="P7" s="18"/>
      <c r="AH7" s="48"/>
      <c r="AL7" s="56">
        <v>7.2</v>
      </c>
      <c r="BD7" s="48"/>
      <c r="BH7" s="56">
        <v>7.2</v>
      </c>
      <c r="BZ7" s="48"/>
      <c r="CD7" s="56">
        <v>7.2</v>
      </c>
      <c r="CW7" s="48"/>
      <c r="DA7" s="56">
        <v>7.7</v>
      </c>
      <c r="DR7" s="48"/>
      <c r="DV7" s="56">
        <v>7.2</v>
      </c>
      <c r="EM7" s="48"/>
      <c r="EQ7" s="56">
        <v>7.2</v>
      </c>
      <c r="FH7" s="48"/>
      <c r="FL7" s="56">
        <v>7.2</v>
      </c>
      <c r="GC7" s="48"/>
      <c r="GG7" s="56">
        <v>7.2</v>
      </c>
      <c r="GX7" s="48"/>
      <c r="HB7" s="56">
        <v>7.2</v>
      </c>
      <c r="HS7" s="48"/>
      <c r="HW7" s="56">
        <v>7.2</v>
      </c>
      <c r="IN7" s="48"/>
      <c r="IR7" s="56">
        <v>7.2</v>
      </c>
      <c r="JI7" s="48"/>
      <c r="JM7" s="56">
        <v>7.2</v>
      </c>
      <c r="KD7" s="48"/>
      <c r="KH7" s="56">
        <v>7.2</v>
      </c>
      <c r="KY7" s="48"/>
      <c r="LC7" s="56">
        <v>7.2</v>
      </c>
      <c r="LT7" s="48"/>
      <c r="LX7" s="56">
        <v>7.2</v>
      </c>
    </row>
    <row r="8" spans="1:358" ht="17" hidden="1" x14ac:dyDescent="0.2">
      <c r="B8" s="83" t="s">
        <v>46</v>
      </c>
      <c r="N8" s="18"/>
      <c r="O8" s="18"/>
      <c r="P8" s="18"/>
      <c r="AH8" s="48"/>
      <c r="AL8" s="85">
        <v>7.2</v>
      </c>
      <c r="BD8" s="48"/>
      <c r="BH8" s="85">
        <v>7.2</v>
      </c>
      <c r="BZ8" s="48"/>
      <c r="CD8" s="85">
        <v>7.2</v>
      </c>
      <c r="CW8" s="48"/>
      <c r="DA8" s="85">
        <v>9.1</v>
      </c>
      <c r="DR8" s="48"/>
      <c r="DV8" s="85">
        <v>7.2</v>
      </c>
      <c r="EM8" s="48"/>
      <c r="EQ8" s="85">
        <v>7.2</v>
      </c>
      <c r="FH8" s="48"/>
      <c r="FL8" s="85">
        <v>7.2</v>
      </c>
      <c r="GC8" s="48"/>
      <c r="GG8" s="85">
        <v>7.2</v>
      </c>
      <c r="GX8" s="48"/>
      <c r="HB8" s="85">
        <v>7.2</v>
      </c>
      <c r="HS8" s="48"/>
      <c r="HW8" s="85">
        <v>7.2</v>
      </c>
      <c r="IN8" s="48"/>
      <c r="IR8" s="85">
        <v>7.2</v>
      </c>
      <c r="JI8" s="48"/>
      <c r="JM8" s="85">
        <v>7.2</v>
      </c>
      <c r="KD8" s="48"/>
      <c r="KH8" s="85">
        <v>7.2</v>
      </c>
      <c r="KY8" s="48"/>
      <c r="LC8" s="85">
        <v>7.2</v>
      </c>
      <c r="LT8" s="48"/>
      <c r="LX8" s="85">
        <v>7.2</v>
      </c>
    </row>
    <row r="9" spans="1:358" ht="17" x14ac:dyDescent="0.2">
      <c r="A9" s="48"/>
      <c r="B9" s="84" t="s">
        <v>60</v>
      </c>
      <c r="C9" s="47"/>
      <c r="N9" s="18"/>
      <c r="O9" s="18"/>
      <c r="P9" s="18"/>
      <c r="AH9" s="48"/>
      <c r="AL9" s="86">
        <v>7.2</v>
      </c>
      <c r="BD9" s="48"/>
      <c r="BH9" s="86">
        <v>7.2</v>
      </c>
      <c r="BZ9" s="48"/>
      <c r="CD9" s="86">
        <v>7.2</v>
      </c>
      <c r="CW9" s="48"/>
      <c r="DA9" s="86">
        <v>9.1</v>
      </c>
      <c r="DR9" s="48"/>
      <c r="DV9" s="86">
        <v>7.2</v>
      </c>
      <c r="EM9" s="48"/>
      <c r="EQ9" s="86">
        <v>7.2</v>
      </c>
      <c r="FH9" s="48"/>
      <c r="FL9" s="86">
        <v>7.2</v>
      </c>
      <c r="GC9" s="48"/>
      <c r="GG9" s="86">
        <v>7.2</v>
      </c>
      <c r="GX9" s="48"/>
      <c r="HB9" s="86">
        <v>7.2</v>
      </c>
      <c r="HS9" s="48"/>
      <c r="HW9" s="86">
        <v>7.2</v>
      </c>
      <c r="IN9" s="48"/>
      <c r="IR9" s="86">
        <v>7.2</v>
      </c>
      <c r="JI9" s="48"/>
      <c r="JM9" s="86">
        <v>7.2</v>
      </c>
      <c r="KD9" s="48"/>
      <c r="KH9" s="86">
        <v>7.2</v>
      </c>
      <c r="KY9" s="48"/>
      <c r="LC9" s="86">
        <v>7.2</v>
      </c>
      <c r="LT9" s="48"/>
      <c r="LX9" s="86">
        <v>7.2</v>
      </c>
    </row>
    <row r="10" spans="1:358" ht="17" hidden="1" x14ac:dyDescent="0.2">
      <c r="A10" s="48"/>
      <c r="B10" s="109" t="s">
        <v>65</v>
      </c>
      <c r="C10" s="47"/>
      <c r="N10" s="18"/>
      <c r="O10" s="18"/>
      <c r="P10" s="18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ht="17" x14ac:dyDescent="0.2">
      <c r="A11" s="48"/>
      <c r="B11" s="107" t="s">
        <v>44</v>
      </c>
      <c r="C11" s="47"/>
      <c r="N11" s="18"/>
      <c r="O11" s="18"/>
      <c r="P11" s="18"/>
      <c r="AH11" s="48"/>
      <c r="AL11" s="108">
        <v>59.4</v>
      </c>
      <c r="BD11" s="48"/>
      <c r="BH11" s="108">
        <v>59.4</v>
      </c>
      <c r="BZ11" s="48"/>
      <c r="CD11" s="108">
        <v>59.4</v>
      </c>
      <c r="CW11" s="48"/>
      <c r="DA11" s="108">
        <v>59.3</v>
      </c>
      <c r="DR11" s="48"/>
      <c r="DV11" s="108">
        <v>59.4</v>
      </c>
      <c r="EM11" s="48"/>
      <c r="EQ11" s="108">
        <v>59.4</v>
      </c>
      <c r="FH11" s="48"/>
      <c r="FL11" s="108">
        <v>59.4</v>
      </c>
      <c r="GC11" s="48"/>
      <c r="GG11" s="108">
        <v>59.4</v>
      </c>
      <c r="GX11" s="48"/>
      <c r="HB11" s="108">
        <v>59.4</v>
      </c>
      <c r="HS11" s="48"/>
      <c r="HW11" s="108">
        <v>59.4</v>
      </c>
      <c r="IN11" s="48"/>
      <c r="IR11" s="108">
        <v>59.4</v>
      </c>
      <c r="JI11" s="48"/>
      <c r="JM11" s="108">
        <v>59.4</v>
      </c>
      <c r="KD11" s="48"/>
      <c r="KH11" s="108">
        <v>59.4</v>
      </c>
      <c r="KY11" s="48"/>
      <c r="LC11" s="108">
        <v>59.4</v>
      </c>
      <c r="LT11" s="48"/>
      <c r="LX11" s="108">
        <v>59.4</v>
      </c>
    </row>
    <row r="12" spans="1:358" ht="17" hidden="1" x14ac:dyDescent="0.2">
      <c r="A12" s="48"/>
      <c r="B12" s="64" t="s">
        <v>45</v>
      </c>
      <c r="C12" s="47"/>
      <c r="N12" s="18"/>
      <c r="O12" s="18"/>
      <c r="P12" s="18"/>
      <c r="AH12" s="48"/>
      <c r="AL12" s="58">
        <v>61.5</v>
      </c>
      <c r="BD12" s="48"/>
      <c r="BH12" s="58">
        <v>61.5</v>
      </c>
      <c r="BZ12" s="48"/>
      <c r="CD12" s="58">
        <v>61.5</v>
      </c>
      <c r="CW12" s="48"/>
      <c r="DA12" s="58">
        <v>60</v>
      </c>
      <c r="DR12" s="48"/>
      <c r="DV12" s="58">
        <v>61.5</v>
      </c>
      <c r="EM12" s="48"/>
      <c r="EQ12" s="58">
        <v>61.5</v>
      </c>
      <c r="FH12" s="48"/>
      <c r="FL12" s="58">
        <v>61.5</v>
      </c>
      <c r="GC12" s="48"/>
      <c r="GG12" s="58">
        <v>61.5</v>
      </c>
      <c r="GX12" s="48"/>
      <c r="HB12" s="58">
        <v>61.5</v>
      </c>
      <c r="HS12" s="48"/>
      <c r="HW12" s="58">
        <v>61.5</v>
      </c>
      <c r="IN12" s="48"/>
      <c r="IR12" s="58">
        <v>61.5</v>
      </c>
      <c r="JI12" s="48"/>
      <c r="JM12" s="58">
        <v>61.5</v>
      </c>
      <c r="KD12" s="48"/>
      <c r="KH12" s="58">
        <v>61.5</v>
      </c>
      <c r="KY12" s="48"/>
      <c r="LC12" s="58">
        <v>61.5</v>
      </c>
      <c r="LT12" s="48"/>
      <c r="LX12" s="58">
        <v>61.5</v>
      </c>
    </row>
    <row r="13" spans="1:358" ht="17" x14ac:dyDescent="0.2">
      <c r="A13" s="48"/>
      <c r="B13" s="105" t="s">
        <v>58</v>
      </c>
      <c r="C13" s="47"/>
      <c r="N13" s="18"/>
      <c r="O13" s="18"/>
      <c r="P13" s="18"/>
      <c r="AH13" s="48"/>
      <c r="AL13" s="106">
        <v>61.5</v>
      </c>
      <c r="BD13" s="48"/>
      <c r="BH13" s="106">
        <v>61.5</v>
      </c>
      <c r="BZ13" s="48"/>
      <c r="CD13" s="106">
        <v>61.5</v>
      </c>
      <c r="CW13" s="48"/>
      <c r="DA13" s="106">
        <v>60</v>
      </c>
      <c r="DR13" s="48"/>
      <c r="DV13" s="106">
        <v>61.5</v>
      </c>
      <c r="EM13" s="48"/>
      <c r="EQ13" s="106">
        <v>61.5</v>
      </c>
      <c r="FH13" s="48"/>
      <c r="FL13" s="106">
        <v>61.5</v>
      </c>
      <c r="GC13" s="48"/>
      <c r="GG13" s="106">
        <v>61.5</v>
      </c>
      <c r="GX13" s="48"/>
      <c r="HB13" s="106">
        <v>61.5</v>
      </c>
      <c r="HS13" s="48"/>
      <c r="HW13" s="106">
        <v>61.5</v>
      </c>
      <c r="IN13" s="48"/>
      <c r="IR13" s="106">
        <v>61.5</v>
      </c>
      <c r="JI13" s="48"/>
      <c r="JM13" s="106">
        <v>61.5</v>
      </c>
      <c r="KD13" s="48"/>
      <c r="KH13" s="106">
        <v>61.5</v>
      </c>
      <c r="KY13" s="48"/>
      <c r="LC13" s="106">
        <v>61.5</v>
      </c>
      <c r="LT13" s="48"/>
      <c r="LX13" s="106">
        <v>61.5</v>
      </c>
    </row>
    <row r="14" spans="1:358" ht="17" hidden="1" x14ac:dyDescent="0.2">
      <c r="A14" s="48"/>
      <c r="B14" s="66" t="s">
        <v>31</v>
      </c>
      <c r="C14" s="47"/>
      <c r="N14" s="18"/>
      <c r="O14" s="18"/>
      <c r="P14" s="18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  <row r="19" spans="1:3" x14ac:dyDescent="0.2">
      <c r="A19" s="6"/>
      <c r="B19" s="6"/>
      <c r="C19" s="6"/>
    </row>
  </sheetData>
  <sheetProtection sheet="1" formatCells="0" formatColumns="0" formatRows="0"/>
  <autoFilter ref="A1:MT4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4">
    <cfRule type="expression" dxfId="59" priority="1" stopIfTrue="1">
      <formula>IF($AG4&lt;&gt;"",1,0)</formula>
    </cfRule>
  </conditionalFormatting>
  <conditionalFormatting sqref="AM4:BH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5993" operator="between">
      <formula>AL$10</formula>
      <formula>1000</formula>
    </cfRule>
    <cfRule type="cellIs" dxfId="46" priority="45994" operator="between">
      <formula>AL$9</formula>
      <formula>AL$10</formula>
    </cfRule>
    <cfRule type="cellIs" dxfId="45" priority="45995" operator="between">
      <formula>AL$8</formula>
      <formula>AL$9</formula>
    </cfRule>
    <cfRule type="cellIs" dxfId="44" priority="4599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6173" operator="between">
      <formula>AL$14</formula>
      <formula>1000</formula>
    </cfRule>
    <cfRule type="cellIs" dxfId="42" priority="46174" operator="between">
      <formula>AL$13</formula>
      <formula>AL$14</formula>
    </cfRule>
    <cfRule type="cellIs" dxfId="41" priority="46175" operator="between">
      <formula>AL$12</formula>
      <formula>AL$13</formula>
    </cfRule>
    <cfRule type="cellIs" dxfId="40" priority="46176" operator="between">
      <formula>AL$11</formula>
      <formula>AL$12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1640625" hidden="1" customWidth="1"/>
    <col min="11" max="11" width="27.5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76</v>
      </c>
      <c r="J1" s="135" t="s">
        <v>7</v>
      </c>
      <c r="K1" s="129" t="s">
        <v>29</v>
      </c>
      <c r="L1" s="135" t="s">
        <v>83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77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84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86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6"/>
      <c r="HY1" s="136"/>
      <c r="HZ1" s="136"/>
      <c r="IA1" s="136"/>
      <c r="IB1" s="136"/>
      <c r="IC1" s="136"/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6"/>
      <c r="IR1" s="136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6"/>
      <c r="JO1" s="136"/>
      <c r="JP1" s="136"/>
      <c r="JQ1" s="136"/>
      <c r="JR1" s="136"/>
      <c r="JS1" s="136"/>
      <c r="JT1" s="136"/>
      <c r="JU1" s="136"/>
      <c r="JV1" s="136"/>
      <c r="JW1" s="136"/>
      <c r="JX1" s="136"/>
      <c r="JY1" s="136"/>
      <c r="JZ1" s="136"/>
      <c r="KA1" s="136"/>
      <c r="KB1" s="136"/>
      <c r="KC1" s="136"/>
      <c r="KD1" s="136"/>
      <c r="KE1" s="136"/>
      <c r="KF1" s="136"/>
      <c r="KG1" s="136"/>
      <c r="KH1" s="136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6"/>
      <c r="LE1" s="136"/>
      <c r="LF1" s="136"/>
      <c r="LG1" s="136"/>
      <c r="LH1" s="136"/>
      <c r="LI1" s="136"/>
      <c r="LJ1" s="136"/>
      <c r="LK1" s="136"/>
      <c r="LL1" s="136"/>
      <c r="LM1" s="136"/>
      <c r="LN1" s="136"/>
      <c r="LO1" s="136"/>
      <c r="LP1" s="136"/>
      <c r="LQ1" s="136"/>
      <c r="LR1" s="136"/>
      <c r="LS1" s="136"/>
      <c r="LT1" s="136"/>
      <c r="LU1" s="136"/>
      <c r="LV1" s="136"/>
      <c r="LW1" s="136"/>
      <c r="LX1" s="136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35"/>
      <c r="K2" s="129"/>
      <c r="L2" s="135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0"/>
      <c r="AH2" s="79" t="s">
        <v>21</v>
      </c>
      <c r="AI2" s="9" t="s">
        <v>20</v>
      </c>
      <c r="AJ2" s="50" t="s">
        <v>62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7" t="s">
        <v>28</v>
      </c>
      <c r="AZ2" s="137"/>
      <c r="BA2" s="137"/>
      <c r="BB2" s="137"/>
      <c r="BC2" s="71"/>
      <c r="BD2" s="80" t="s">
        <v>21</v>
      </c>
      <c r="BE2" s="12" t="s">
        <v>20</v>
      </c>
      <c r="BF2" s="80" t="s">
        <v>62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79" t="s">
        <v>62</v>
      </c>
      <c r="CZ2" s="9" t="s">
        <v>19</v>
      </c>
      <c r="DA2" s="9" t="s">
        <v>14</v>
      </c>
      <c r="DB2" s="137" t="s">
        <v>23</v>
      </c>
      <c r="DC2" s="137"/>
      <c r="DD2" s="137"/>
      <c r="DE2" s="137"/>
      <c r="DF2" s="137" t="s">
        <v>26</v>
      </c>
      <c r="DG2" s="137"/>
      <c r="DH2" s="137"/>
      <c r="DI2" s="137"/>
      <c r="DJ2" s="137" t="s">
        <v>27</v>
      </c>
      <c r="DK2" s="137"/>
      <c r="DL2" s="137"/>
      <c r="DM2" s="137"/>
      <c r="DN2" s="137" t="s">
        <v>28</v>
      </c>
      <c r="DO2" s="137"/>
      <c r="DP2" s="137"/>
      <c r="DQ2" s="137"/>
      <c r="DR2" s="80" t="s">
        <v>21</v>
      </c>
      <c r="DS2" s="16" t="s">
        <v>20</v>
      </c>
      <c r="DT2" s="80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79" t="s">
        <v>62</v>
      </c>
      <c r="EP2" s="17" t="s">
        <v>19</v>
      </c>
      <c r="EQ2" s="17" t="s">
        <v>14</v>
      </c>
      <c r="ER2" s="137" t="s">
        <v>23</v>
      </c>
      <c r="ES2" s="137"/>
      <c r="ET2" s="137"/>
      <c r="EU2" s="137"/>
      <c r="EV2" s="137" t="s">
        <v>26</v>
      </c>
      <c r="EW2" s="137"/>
      <c r="EX2" s="137"/>
      <c r="EY2" s="137"/>
      <c r="EZ2" s="137" t="s">
        <v>27</v>
      </c>
      <c r="FA2" s="137"/>
      <c r="FB2" s="137"/>
      <c r="FC2" s="137"/>
      <c r="FD2" s="137" t="s">
        <v>28</v>
      </c>
      <c r="FE2" s="137"/>
      <c r="FF2" s="137"/>
      <c r="FG2" s="137"/>
      <c r="FH2" s="80" t="s">
        <v>21</v>
      </c>
      <c r="FI2" s="16" t="s">
        <v>20</v>
      </c>
      <c r="FJ2" s="80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79" t="s">
        <v>62</v>
      </c>
      <c r="GF2" s="17" t="s">
        <v>19</v>
      </c>
      <c r="GG2" s="17" t="s">
        <v>14</v>
      </c>
      <c r="GH2" s="137" t="s">
        <v>23</v>
      </c>
      <c r="GI2" s="137"/>
      <c r="GJ2" s="137"/>
      <c r="GK2" s="137"/>
      <c r="GL2" s="137" t="s">
        <v>26</v>
      </c>
      <c r="GM2" s="137"/>
      <c r="GN2" s="137"/>
      <c r="GO2" s="137"/>
      <c r="GP2" s="137" t="s">
        <v>27</v>
      </c>
      <c r="GQ2" s="137"/>
      <c r="GR2" s="137"/>
      <c r="GS2" s="137"/>
      <c r="GT2" s="137" t="s">
        <v>28</v>
      </c>
      <c r="GU2" s="137"/>
      <c r="GV2" s="137"/>
      <c r="GW2" s="137"/>
      <c r="GX2" s="81" t="s">
        <v>21</v>
      </c>
      <c r="GY2" s="16" t="s">
        <v>20</v>
      </c>
      <c r="GZ2" s="8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82" t="s">
        <v>21</v>
      </c>
      <c r="HT2" s="17" t="s">
        <v>20</v>
      </c>
      <c r="HU2" s="82" t="s">
        <v>62</v>
      </c>
      <c r="HV2" s="17" t="s">
        <v>19</v>
      </c>
      <c r="HW2" s="17" t="s">
        <v>14</v>
      </c>
      <c r="HX2" s="137" t="s">
        <v>23</v>
      </c>
      <c r="HY2" s="137"/>
      <c r="HZ2" s="137"/>
      <c r="IA2" s="137"/>
      <c r="IB2" s="137" t="s">
        <v>26</v>
      </c>
      <c r="IC2" s="137"/>
      <c r="ID2" s="137"/>
      <c r="IE2" s="137"/>
      <c r="IF2" s="137" t="s">
        <v>27</v>
      </c>
      <c r="IG2" s="137"/>
      <c r="IH2" s="137"/>
      <c r="II2" s="137"/>
      <c r="IJ2" s="137" t="s">
        <v>28</v>
      </c>
      <c r="IK2" s="137"/>
      <c r="IL2" s="137"/>
      <c r="IM2" s="137"/>
      <c r="IN2" s="81" t="s">
        <v>21</v>
      </c>
      <c r="IO2" s="16" t="s">
        <v>20</v>
      </c>
      <c r="IP2" s="8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82" t="s">
        <v>21</v>
      </c>
      <c r="JJ2" s="17" t="s">
        <v>20</v>
      </c>
      <c r="JK2" s="82" t="s">
        <v>62</v>
      </c>
      <c r="JL2" s="17" t="s">
        <v>19</v>
      </c>
      <c r="JM2" s="17" t="s">
        <v>14</v>
      </c>
      <c r="JN2" s="137" t="s">
        <v>23</v>
      </c>
      <c r="JO2" s="137"/>
      <c r="JP2" s="137"/>
      <c r="JQ2" s="137"/>
      <c r="JR2" s="137" t="s">
        <v>26</v>
      </c>
      <c r="JS2" s="137"/>
      <c r="JT2" s="137"/>
      <c r="JU2" s="137"/>
      <c r="JV2" s="137" t="s">
        <v>27</v>
      </c>
      <c r="JW2" s="137"/>
      <c r="JX2" s="137"/>
      <c r="JY2" s="137"/>
      <c r="JZ2" s="137" t="s">
        <v>28</v>
      </c>
      <c r="KA2" s="137"/>
      <c r="KB2" s="137"/>
      <c r="KC2" s="137"/>
      <c r="KD2" s="81" t="s">
        <v>21</v>
      </c>
      <c r="KE2" s="16" t="s">
        <v>20</v>
      </c>
      <c r="KF2" s="8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82" t="s">
        <v>21</v>
      </c>
      <c r="KZ2" s="17" t="s">
        <v>20</v>
      </c>
      <c r="LA2" s="82" t="s">
        <v>62</v>
      </c>
      <c r="LB2" s="17" t="s">
        <v>19</v>
      </c>
      <c r="LC2" s="17" t="s">
        <v>14</v>
      </c>
      <c r="LD2" s="137" t="s">
        <v>23</v>
      </c>
      <c r="LE2" s="137"/>
      <c r="LF2" s="137"/>
      <c r="LG2" s="137"/>
      <c r="LH2" s="137" t="s">
        <v>26</v>
      </c>
      <c r="LI2" s="137"/>
      <c r="LJ2" s="137"/>
      <c r="LK2" s="137"/>
      <c r="LL2" s="137" t="s">
        <v>27</v>
      </c>
      <c r="LM2" s="137"/>
      <c r="LN2" s="137"/>
      <c r="LO2" s="137"/>
      <c r="LP2" s="137" t="s">
        <v>28</v>
      </c>
      <c r="LQ2" s="137"/>
      <c r="LR2" s="137"/>
      <c r="LS2" s="137"/>
      <c r="LT2" s="81" t="s">
        <v>21</v>
      </c>
      <c r="LU2" s="16" t="s">
        <v>20</v>
      </c>
      <c r="LV2" s="81" t="s">
        <v>62</v>
      </c>
      <c r="LW2" s="16" t="s">
        <v>19</v>
      </c>
      <c r="LX2" s="16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35"/>
      <c r="K3" s="129"/>
      <c r="L3" s="135"/>
      <c r="M3" s="129"/>
      <c r="N3" s="130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10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4" t="s">
        <v>11</v>
      </c>
      <c r="AZ3" s="54" t="s">
        <v>4</v>
      </c>
      <c r="BA3" s="54" t="s">
        <v>24</v>
      </c>
      <c r="BB3" s="54" t="s">
        <v>25</v>
      </c>
      <c r="BC3" s="71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3" t="s">
        <v>11</v>
      </c>
      <c r="CT3" s="53" t="s">
        <v>4</v>
      </c>
      <c r="CU3" s="53" t="s">
        <v>24</v>
      </c>
      <c r="CV3" s="53" t="s">
        <v>25</v>
      </c>
      <c r="CW3" s="10"/>
      <c r="CX3" s="9"/>
      <c r="CY3" s="10"/>
      <c r="CZ3" s="10"/>
      <c r="DA3" s="10"/>
      <c r="DB3" s="54" t="s">
        <v>11</v>
      </c>
      <c r="DC3" s="54" t="s">
        <v>4</v>
      </c>
      <c r="DD3" s="54" t="s">
        <v>24</v>
      </c>
      <c r="DE3" s="54" t="s">
        <v>25</v>
      </c>
      <c r="DF3" s="54" t="s">
        <v>11</v>
      </c>
      <c r="DG3" s="54" t="s">
        <v>4</v>
      </c>
      <c r="DH3" s="54" t="s">
        <v>24</v>
      </c>
      <c r="DI3" s="54" t="s">
        <v>25</v>
      </c>
      <c r="DJ3" s="54" t="s">
        <v>11</v>
      </c>
      <c r="DK3" s="54" t="s">
        <v>4</v>
      </c>
      <c r="DL3" s="54" t="s">
        <v>24</v>
      </c>
      <c r="DM3" s="54" t="s">
        <v>25</v>
      </c>
      <c r="DN3" s="54" t="s">
        <v>11</v>
      </c>
      <c r="DO3" s="54" t="s">
        <v>4</v>
      </c>
      <c r="DP3" s="54" t="s">
        <v>24</v>
      </c>
      <c r="DQ3" s="54" t="s">
        <v>25</v>
      </c>
      <c r="DR3" s="13"/>
      <c r="DS3" s="16"/>
      <c r="DT3" s="13"/>
      <c r="DU3" s="16"/>
      <c r="DV3" s="16"/>
      <c r="DW3" s="53" t="s">
        <v>11</v>
      </c>
      <c r="DX3" s="53" t="s">
        <v>4</v>
      </c>
      <c r="DY3" s="53" t="s">
        <v>24</v>
      </c>
      <c r="DZ3" s="53" t="s">
        <v>25</v>
      </c>
      <c r="EA3" s="53" t="s">
        <v>11</v>
      </c>
      <c r="EB3" s="53" t="s">
        <v>4</v>
      </c>
      <c r="EC3" s="53" t="s">
        <v>24</v>
      </c>
      <c r="ED3" s="53" t="s">
        <v>25</v>
      </c>
      <c r="EE3" s="53" t="s">
        <v>11</v>
      </c>
      <c r="EF3" s="53" t="s">
        <v>4</v>
      </c>
      <c r="EG3" s="53" t="s">
        <v>24</v>
      </c>
      <c r="EH3" s="53" t="s">
        <v>25</v>
      </c>
      <c r="EI3" s="53" t="s">
        <v>11</v>
      </c>
      <c r="EJ3" s="53" t="s">
        <v>4</v>
      </c>
      <c r="EK3" s="53" t="s">
        <v>24</v>
      </c>
      <c r="EL3" s="53" t="s">
        <v>25</v>
      </c>
      <c r="EM3" s="10"/>
      <c r="EN3" s="17"/>
      <c r="EO3" s="10"/>
      <c r="EP3" s="17"/>
      <c r="EQ3" s="17"/>
      <c r="ER3" s="54" t="s">
        <v>11</v>
      </c>
      <c r="ES3" s="54" t="s">
        <v>4</v>
      </c>
      <c r="ET3" s="54" t="s">
        <v>24</v>
      </c>
      <c r="EU3" s="54" t="s">
        <v>25</v>
      </c>
      <c r="EV3" s="54" t="s">
        <v>11</v>
      </c>
      <c r="EW3" s="54" t="s">
        <v>4</v>
      </c>
      <c r="EX3" s="54" t="s">
        <v>24</v>
      </c>
      <c r="EY3" s="54" t="s">
        <v>25</v>
      </c>
      <c r="EZ3" s="54" t="s">
        <v>11</v>
      </c>
      <c r="FA3" s="54" t="s">
        <v>4</v>
      </c>
      <c r="FB3" s="54" t="s">
        <v>24</v>
      </c>
      <c r="FC3" s="54" t="s">
        <v>25</v>
      </c>
      <c r="FD3" s="54" t="s">
        <v>11</v>
      </c>
      <c r="FE3" s="54" t="s">
        <v>4</v>
      </c>
      <c r="FF3" s="54" t="s">
        <v>24</v>
      </c>
      <c r="FG3" s="54" t="s">
        <v>25</v>
      </c>
      <c r="FH3" s="13"/>
      <c r="FI3" s="16"/>
      <c r="FJ3" s="13"/>
      <c r="FK3" s="16"/>
      <c r="FL3" s="16"/>
      <c r="FM3" s="32" t="s">
        <v>11</v>
      </c>
      <c r="FN3" s="32" t="s">
        <v>4</v>
      </c>
      <c r="FO3" s="32" t="s">
        <v>24</v>
      </c>
      <c r="FP3" s="32" t="s">
        <v>25</v>
      </c>
      <c r="FQ3" s="32" t="s">
        <v>11</v>
      </c>
      <c r="FR3" s="32" t="s">
        <v>4</v>
      </c>
      <c r="FS3" s="32" t="s">
        <v>24</v>
      </c>
      <c r="FT3" s="32" t="s">
        <v>25</v>
      </c>
      <c r="FU3" s="32" t="s">
        <v>11</v>
      </c>
      <c r="FV3" s="32" t="s">
        <v>4</v>
      </c>
      <c r="FW3" s="32" t="s">
        <v>24</v>
      </c>
      <c r="FX3" s="32" t="s">
        <v>25</v>
      </c>
      <c r="FY3" s="32" t="s">
        <v>11</v>
      </c>
      <c r="FZ3" s="32" t="s">
        <v>4</v>
      </c>
      <c r="GA3" s="32" t="s">
        <v>24</v>
      </c>
      <c r="GB3" s="32" t="s">
        <v>25</v>
      </c>
      <c r="GC3" s="10"/>
      <c r="GD3" s="17"/>
      <c r="GE3" s="10"/>
      <c r="GF3" s="17"/>
      <c r="GG3" s="17"/>
      <c r="GH3" s="31" t="s">
        <v>11</v>
      </c>
      <c r="GI3" s="31" t="s">
        <v>4</v>
      </c>
      <c r="GJ3" s="31" t="s">
        <v>24</v>
      </c>
      <c r="GK3" s="31" t="s">
        <v>25</v>
      </c>
      <c r="GL3" s="31" t="s">
        <v>11</v>
      </c>
      <c r="GM3" s="31" t="s">
        <v>4</v>
      </c>
      <c r="GN3" s="31" t="s">
        <v>24</v>
      </c>
      <c r="GO3" s="31" t="s">
        <v>25</v>
      </c>
      <c r="GP3" s="31" t="s">
        <v>11</v>
      </c>
      <c r="GQ3" s="31" t="s">
        <v>4</v>
      </c>
      <c r="GR3" s="31" t="s">
        <v>24</v>
      </c>
      <c r="GS3" s="31" t="s">
        <v>25</v>
      </c>
      <c r="GT3" s="31" t="s">
        <v>11</v>
      </c>
      <c r="GU3" s="31" t="s">
        <v>4</v>
      </c>
      <c r="GV3" s="31" t="s">
        <v>24</v>
      </c>
      <c r="GW3" s="31" t="s">
        <v>25</v>
      </c>
      <c r="GX3" s="13"/>
      <c r="GY3" s="16"/>
      <c r="GZ3" s="13"/>
      <c r="HA3" s="16"/>
      <c r="HB3" s="16"/>
      <c r="HC3" s="32" t="s">
        <v>11</v>
      </c>
      <c r="HD3" s="32" t="s">
        <v>4</v>
      </c>
      <c r="HE3" s="32" t="s">
        <v>24</v>
      </c>
      <c r="HF3" s="32" t="s">
        <v>25</v>
      </c>
      <c r="HG3" s="32" t="s">
        <v>11</v>
      </c>
      <c r="HH3" s="32" t="s">
        <v>4</v>
      </c>
      <c r="HI3" s="32" t="s">
        <v>24</v>
      </c>
      <c r="HJ3" s="32" t="s">
        <v>25</v>
      </c>
      <c r="HK3" s="32" t="s">
        <v>11</v>
      </c>
      <c r="HL3" s="32" t="s">
        <v>4</v>
      </c>
      <c r="HM3" s="32" t="s">
        <v>24</v>
      </c>
      <c r="HN3" s="32" t="s">
        <v>25</v>
      </c>
      <c r="HO3" s="32" t="s">
        <v>11</v>
      </c>
      <c r="HP3" s="32" t="s">
        <v>4</v>
      </c>
      <c r="HQ3" s="32" t="s">
        <v>24</v>
      </c>
      <c r="HR3" s="32" t="s">
        <v>25</v>
      </c>
      <c r="HS3" s="10"/>
      <c r="HT3" s="17"/>
      <c r="HU3" s="10"/>
      <c r="HV3" s="17"/>
      <c r="HW3" s="17"/>
      <c r="HX3" s="31" t="s">
        <v>11</v>
      </c>
      <c r="HY3" s="31" t="s">
        <v>4</v>
      </c>
      <c r="HZ3" s="31" t="s">
        <v>24</v>
      </c>
      <c r="IA3" s="31" t="s">
        <v>25</v>
      </c>
      <c r="IB3" s="31" t="s">
        <v>11</v>
      </c>
      <c r="IC3" s="31" t="s">
        <v>4</v>
      </c>
      <c r="ID3" s="31" t="s">
        <v>24</v>
      </c>
      <c r="IE3" s="31" t="s">
        <v>25</v>
      </c>
      <c r="IF3" s="31" t="s">
        <v>11</v>
      </c>
      <c r="IG3" s="31" t="s">
        <v>4</v>
      </c>
      <c r="IH3" s="31" t="s">
        <v>24</v>
      </c>
      <c r="II3" s="31" t="s">
        <v>25</v>
      </c>
      <c r="IJ3" s="31" t="s">
        <v>11</v>
      </c>
      <c r="IK3" s="31" t="s">
        <v>4</v>
      </c>
      <c r="IL3" s="31" t="s">
        <v>24</v>
      </c>
      <c r="IM3" s="31" t="s">
        <v>25</v>
      </c>
      <c r="IN3" s="13"/>
      <c r="IO3" s="16"/>
      <c r="IP3" s="13"/>
      <c r="IQ3" s="16"/>
      <c r="IR3" s="16"/>
      <c r="IS3" s="32" t="s">
        <v>11</v>
      </c>
      <c r="IT3" s="32" t="s">
        <v>4</v>
      </c>
      <c r="IU3" s="32" t="s">
        <v>24</v>
      </c>
      <c r="IV3" s="32" t="s">
        <v>25</v>
      </c>
      <c r="IW3" s="32" t="s">
        <v>11</v>
      </c>
      <c r="IX3" s="32" t="s">
        <v>4</v>
      </c>
      <c r="IY3" s="32" t="s">
        <v>24</v>
      </c>
      <c r="IZ3" s="32" t="s">
        <v>25</v>
      </c>
      <c r="JA3" s="32" t="s">
        <v>11</v>
      </c>
      <c r="JB3" s="32" t="s">
        <v>4</v>
      </c>
      <c r="JC3" s="32" t="s">
        <v>24</v>
      </c>
      <c r="JD3" s="32" t="s">
        <v>25</v>
      </c>
      <c r="JE3" s="32" t="s">
        <v>11</v>
      </c>
      <c r="JF3" s="32" t="s">
        <v>4</v>
      </c>
      <c r="JG3" s="32" t="s">
        <v>24</v>
      </c>
      <c r="JH3" s="32" t="s">
        <v>25</v>
      </c>
      <c r="JI3" s="10"/>
      <c r="JJ3" s="17"/>
      <c r="JK3" s="10"/>
      <c r="JL3" s="17"/>
      <c r="JM3" s="17"/>
      <c r="JN3" s="31" t="s">
        <v>11</v>
      </c>
      <c r="JO3" s="31" t="s">
        <v>4</v>
      </c>
      <c r="JP3" s="31" t="s">
        <v>24</v>
      </c>
      <c r="JQ3" s="31" t="s">
        <v>25</v>
      </c>
      <c r="JR3" s="31" t="s">
        <v>11</v>
      </c>
      <c r="JS3" s="31" t="s">
        <v>4</v>
      </c>
      <c r="JT3" s="31" t="s">
        <v>24</v>
      </c>
      <c r="JU3" s="31" t="s">
        <v>25</v>
      </c>
      <c r="JV3" s="31" t="s">
        <v>11</v>
      </c>
      <c r="JW3" s="31" t="s">
        <v>4</v>
      </c>
      <c r="JX3" s="31" t="s">
        <v>24</v>
      </c>
      <c r="JY3" s="31" t="s">
        <v>25</v>
      </c>
      <c r="JZ3" s="31" t="s">
        <v>11</v>
      </c>
      <c r="KA3" s="31" t="s">
        <v>4</v>
      </c>
      <c r="KB3" s="31" t="s">
        <v>24</v>
      </c>
      <c r="KC3" s="31" t="s">
        <v>25</v>
      </c>
      <c r="KD3" s="13"/>
      <c r="KE3" s="16"/>
      <c r="KF3" s="13"/>
      <c r="KG3" s="16"/>
      <c r="KH3" s="16"/>
      <c r="KI3" s="32" t="s">
        <v>11</v>
      </c>
      <c r="KJ3" s="32" t="s">
        <v>4</v>
      </c>
      <c r="KK3" s="32" t="s">
        <v>24</v>
      </c>
      <c r="KL3" s="32" t="s">
        <v>25</v>
      </c>
      <c r="KM3" s="32" t="s">
        <v>11</v>
      </c>
      <c r="KN3" s="32" t="s">
        <v>4</v>
      </c>
      <c r="KO3" s="32" t="s">
        <v>24</v>
      </c>
      <c r="KP3" s="32" t="s">
        <v>25</v>
      </c>
      <c r="KQ3" s="32" t="s">
        <v>11</v>
      </c>
      <c r="KR3" s="32" t="s">
        <v>4</v>
      </c>
      <c r="KS3" s="32" t="s">
        <v>24</v>
      </c>
      <c r="KT3" s="32" t="s">
        <v>25</v>
      </c>
      <c r="KU3" s="32" t="s">
        <v>11</v>
      </c>
      <c r="KV3" s="32" t="s">
        <v>4</v>
      </c>
      <c r="KW3" s="32" t="s">
        <v>24</v>
      </c>
      <c r="KX3" s="32" t="s">
        <v>25</v>
      </c>
      <c r="KY3" s="10"/>
      <c r="KZ3" s="17"/>
      <c r="LA3" s="10"/>
      <c r="LB3" s="17"/>
      <c r="LC3" s="17"/>
      <c r="LD3" s="31" t="s">
        <v>11</v>
      </c>
      <c r="LE3" s="31" t="s">
        <v>4</v>
      </c>
      <c r="LF3" s="31" t="s">
        <v>24</v>
      </c>
      <c r="LG3" s="31" t="s">
        <v>25</v>
      </c>
      <c r="LH3" s="31" t="s">
        <v>11</v>
      </c>
      <c r="LI3" s="31" t="s">
        <v>4</v>
      </c>
      <c r="LJ3" s="31" t="s">
        <v>24</v>
      </c>
      <c r="LK3" s="31" t="s">
        <v>25</v>
      </c>
      <c r="LL3" s="31" t="s">
        <v>11</v>
      </c>
      <c r="LM3" s="31" t="s">
        <v>4</v>
      </c>
      <c r="LN3" s="31" t="s">
        <v>24</v>
      </c>
      <c r="LO3" s="31" t="s">
        <v>25</v>
      </c>
      <c r="LP3" s="31" t="s">
        <v>11</v>
      </c>
      <c r="LQ3" s="31" t="s">
        <v>4</v>
      </c>
      <c r="LR3" s="31" t="s">
        <v>24</v>
      </c>
      <c r="LS3" s="31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73</v>
      </c>
      <c r="C4" s="4" t="s">
        <v>3</v>
      </c>
      <c r="D4" s="5">
        <v>2005</v>
      </c>
      <c r="E4" s="15">
        <f t="shared" ref="E4" si="0">SUM(J4:N4)</f>
        <v>190.8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>Excellence</v>
      </c>
      <c r="I4" s="3" t="str">
        <f t="shared" ref="I4" si="1">IF(OR(H4="Worlds Team",H4="Excellence",H4="Merit"),"P","")</f>
        <v>P</v>
      </c>
      <c r="J4" s="14">
        <f>MAX(AI4,BE4,CA4)</f>
        <v>71.300000000000011</v>
      </c>
      <c r="K4" s="14" t="str">
        <f>IF(J4=0,"",IF(J4=CA4,$BI$1,IF(J4=BE4,$AM$1,IF(J4=AI4,$Q$1,""))))</f>
        <v>2021 2nd Virtual Technical Trial</v>
      </c>
      <c r="L4" s="14">
        <f>IF(J4=AI4,MAX(BH4,CD4),IF(J4=BE4,MAX(AL4,CD4),MAX(AL4,BH4)))</f>
        <v>119.5</v>
      </c>
      <c r="M4" s="14" t="str">
        <f>IF(L4=0,"",IF(AND(J4&lt;&gt;CA4,L4=CD4),$BI$1,IF(AND(J4&lt;&gt;BE4,L4=BH4),$AM$1,IF(L4=AL4,$Q$1,""))))</f>
        <v>2021 Elite Canada</v>
      </c>
      <c r="N4" s="14" t="str">
        <f t="shared" ref="N4" si="2"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29.1</v>
      </c>
      <c r="R4" s="61">
        <v>6.8</v>
      </c>
      <c r="S4" s="61">
        <v>0</v>
      </c>
      <c r="T4" s="61">
        <v>0</v>
      </c>
      <c r="U4" s="61">
        <v>29</v>
      </c>
      <c r="V4" s="61">
        <v>6.4</v>
      </c>
      <c r="W4" s="61">
        <v>0</v>
      </c>
      <c r="X4" s="61">
        <v>0</v>
      </c>
      <c r="Y4" s="61">
        <v>28.2</v>
      </c>
      <c r="Z4" s="61">
        <v>5.6</v>
      </c>
      <c r="AA4" s="61">
        <v>0</v>
      </c>
      <c r="AB4" s="61">
        <v>0</v>
      </c>
      <c r="AC4" s="61">
        <v>28.1</v>
      </c>
      <c r="AD4" s="61">
        <v>6</v>
      </c>
      <c r="AE4" s="61">
        <v>0</v>
      </c>
      <c r="AF4" s="61">
        <v>0</v>
      </c>
      <c r="AG4" s="72"/>
      <c r="AH4" s="11">
        <f t="shared" ref="AH4" si="3">IF(SUM(R4,V4)&gt;0,SUM(R4,V4),"")</f>
        <v>13.2</v>
      </c>
      <c r="AI4" s="11">
        <f t="shared" ref="AI4" si="4">IF(SUM(Q4:R4,T4:V4,X4)-SUM(S4,W4)&gt;0,SUM(Q4:R4,T4:V4,X4)-SUM(S4,W4),"")</f>
        <v>71.300000000000011</v>
      </c>
      <c r="AJ4" s="11">
        <f t="shared" ref="AJ4" si="5">IF(SUM(Z4,AD4)&gt;0,SUM(Z4,AD4),"")</f>
        <v>11.6</v>
      </c>
      <c r="AK4" s="11">
        <f t="shared" ref="AK4" si="6">IF(SUM(Y4:Z4,AB4:AD4,AF4)-SUM(AA4,AE4)&gt;0,SUM(Y4:Z4,AB4:AD4,AF4)-SUM(AA4,AE4),"")</f>
        <v>67.900000000000006</v>
      </c>
      <c r="AL4" s="11">
        <f t="shared" ref="AL4" si="7">IF(SUM(AI4,AK4)&gt;0,SUM(AI4,AK4),"")</f>
        <v>139.20000000000002</v>
      </c>
      <c r="AM4" s="36">
        <v>29</v>
      </c>
      <c r="AN4" s="36">
        <v>6.8</v>
      </c>
      <c r="AO4" s="36">
        <v>0.9</v>
      </c>
      <c r="AP4" s="36">
        <v>0</v>
      </c>
      <c r="AQ4" s="36">
        <v>27.2</v>
      </c>
      <c r="AR4" s="36">
        <v>3.7</v>
      </c>
      <c r="AS4" s="36">
        <v>1.1000000000000001</v>
      </c>
      <c r="AT4" s="36">
        <v>0</v>
      </c>
      <c r="AU4" s="36">
        <v>27.6</v>
      </c>
      <c r="AV4" s="36">
        <v>3.8</v>
      </c>
      <c r="AW4" s="36">
        <v>1.9</v>
      </c>
      <c r="AX4" s="36">
        <v>0</v>
      </c>
      <c r="AY4" s="36">
        <v>27.6</v>
      </c>
      <c r="AZ4" s="36">
        <v>3.2</v>
      </c>
      <c r="BA4" s="36">
        <v>5.5</v>
      </c>
      <c r="BB4" s="36">
        <v>0</v>
      </c>
      <c r="BC4" s="73"/>
      <c r="BD4" s="14">
        <f t="shared" ref="BD4" si="8">IF(SUM(AN4,AR4)&gt;0,SUM(AN4,AR4),"")</f>
        <v>10.5</v>
      </c>
      <c r="BE4" s="14">
        <f t="shared" ref="BE4" si="9">IF(SUM(AM4:AN4,AP4:AR4,AT4)-SUM(AO4,AS4)&gt;0,SUM(AM4:AN4,AP4:AR4,AT4)-SUM(AO4,AS4),"")</f>
        <v>64.7</v>
      </c>
      <c r="BF4" s="14">
        <f t="shared" ref="BF4" si="10">IF(SUM(AV4,AZ4)&gt;0,SUM(AV4,AZ4),"")</f>
        <v>7</v>
      </c>
      <c r="BG4" s="14">
        <f t="shared" ref="BG4" si="11">IF(SUM(AU4:AV4,AX4:AZ4,BB4)-SUM(AW4,BA4)&gt;0,SUM(AU4:AV4,AX4:AZ4,BB4)-SUM(AW4,BA4),"")</f>
        <v>54.800000000000004</v>
      </c>
      <c r="BH4" s="14">
        <f t="shared" ref="BH4" si="12">IF(SUM(BE4,BG4)&gt;0,SUM(BE4,BG4),"")</f>
        <v>119.5</v>
      </c>
      <c r="BI4" s="61">
        <v>20.399999999999999</v>
      </c>
      <c r="BJ4" s="61">
        <v>2.4</v>
      </c>
      <c r="BK4" s="61">
        <v>0</v>
      </c>
      <c r="BL4" s="61">
        <v>0</v>
      </c>
      <c r="BM4" s="61">
        <v>28.5</v>
      </c>
      <c r="BN4" s="61">
        <v>6.4</v>
      </c>
      <c r="BO4" s="61">
        <v>0.9</v>
      </c>
      <c r="BP4" s="61">
        <v>0</v>
      </c>
      <c r="BQ4" s="61"/>
      <c r="BR4" s="61"/>
      <c r="BS4" s="61"/>
      <c r="BT4" s="61"/>
      <c r="BU4" s="61"/>
      <c r="BV4" s="61"/>
      <c r="BW4" s="61"/>
      <c r="BX4" s="61"/>
      <c r="BY4" s="72"/>
      <c r="BZ4" s="11">
        <f t="shared" ref="BZ4" si="13">IF(SUM(BJ4,BN4)&gt;0,SUM(BJ4,BN4),"")</f>
        <v>8.8000000000000007</v>
      </c>
      <c r="CA4" s="11">
        <f t="shared" ref="CA4" si="14">IF(SUM(BI4:BJ4,BL4:BN4,BP4)-SUM(BK4,BO4)&gt;0,SUM(BI4:BJ4,BL4:BN4,BP4)-SUM(BK4,BO4),"")</f>
        <v>56.8</v>
      </c>
      <c r="CB4" s="11" t="str">
        <f t="shared" ref="CB4" si="15">IF(SUM(BR4,BV4)&gt;0,SUM(BR4,BV4),"")</f>
        <v/>
      </c>
      <c r="CC4" s="11" t="str">
        <f t="shared" ref="CC4" si="16">IF(SUM(BQ4:BR4,BT4:BV4,BX4)-SUM(BS4,BW4)&gt;0,SUM(BQ4:BR4,BT4:BV4,BX4)-SUM(BS4,BW4),"")</f>
        <v/>
      </c>
      <c r="CD4" s="11">
        <f t="shared" ref="CD4" si="17">IF(SUM(CA4,CC4)&gt;0,SUM(CA4,CC4),"")</f>
        <v>56.8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" si="18">IF(SUM(CH4,CL4)&gt;0,SUM(CH4,CL4),"")</f>
        <v/>
      </c>
      <c r="CX4" s="11" t="str">
        <f t="shared" ref="CX4" si="19">IF(SUM(CG4:CH4,CJ4:CL4,CN4)-SUM(CI4,CM4)&gt;0,SUM(CG4:CH4,CJ4:CL4,CN4)-SUM(CI4,CM4),"")</f>
        <v/>
      </c>
      <c r="CY4" s="11" t="str">
        <f t="shared" ref="CY4" si="20">IF(SUM(CP4,CT4)&gt;0,SUM(CP4,CT4),"")</f>
        <v/>
      </c>
      <c r="CZ4" s="11" t="str">
        <f t="shared" ref="CZ4" si="21">IF(SUM(CO4:CP4,CR4:CT4,CV4)-SUM(CQ4,CU4)&gt;0,SUM(CO4:CP4,CR4:CT4,CV4)-SUM(CQ4,CU4),"")</f>
        <v/>
      </c>
      <c r="DA4" s="11" t="str">
        <f t="shared" ref="DA4" si="22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" si="23">IF(SUM(DC4,DG4)&gt;0,SUM(DC4,DG4),"")</f>
        <v/>
      </c>
      <c r="DS4" s="14" t="str">
        <f t="shared" ref="DS4" si="24">IF(SUM(DB4:DC4,DE4:DG4,DI4)-SUM(DD4,DH4)&gt;0,SUM(DB4:DC4,DE4:DG4,DI4)-SUM(DD4,DH4),"")</f>
        <v/>
      </c>
      <c r="DT4" s="14" t="str">
        <f t="shared" ref="DT4" si="25">IF(SUM(DK4,DO4)&gt;0,SUM(DK4,DO4),"")</f>
        <v/>
      </c>
      <c r="DU4" s="14" t="str">
        <f t="shared" ref="DU4" si="26">IF(SUM(DJ4:DK4,DM4:DO4,DQ4)-SUM(DL4,DP4)&gt;0,SUM(DJ4:DK4,DM4:DO4,DQ4)-SUM(DL4,DP4),"")</f>
        <v/>
      </c>
      <c r="DV4" s="14" t="str">
        <f t="shared" ref="DV4" si="27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" si="28">IF(SUM(DX4,EB4)&gt;0,SUM(DX4,EB4),"")</f>
        <v/>
      </c>
      <c r="EN4" s="11" t="str">
        <f t="shared" ref="EN4" si="29">IF(SUM(DW4:DX4,DZ4:EB4,ED4)-SUM(DY4,EC4)&gt;0,SUM(DW4:DX4,DZ4:EB4,ED4)-SUM(DY4,EC4),"")</f>
        <v/>
      </c>
      <c r="EO4" s="11" t="str">
        <f t="shared" ref="EO4" si="30">IF(SUM(EF4,EJ4)&gt;0,SUM(EF4,EJ4),"")</f>
        <v/>
      </c>
      <c r="EP4" s="11" t="str">
        <f t="shared" ref="EP4" si="31">IF(SUM(EE4:EF4,EH4:EJ4,EL4)-SUM(EG4,EK4)&gt;0,SUM(EE4:EF4,EH4:EJ4,EL4)-SUM(EG4,EK4),"")</f>
        <v/>
      </c>
      <c r="EQ4" s="11" t="str">
        <f t="shared" ref="EQ4" si="32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" si="33">IF(SUM(ES4,EW4)&gt;0,SUM(ES4,EW4),"")</f>
        <v/>
      </c>
      <c r="FI4" s="14" t="str">
        <f t="shared" ref="FI4" si="34">IF(SUM(ER4:ES4,EU4:EW4,EY4)-SUM(ET4,EX4)&gt;0,SUM(ER4:ES4,EU4:EW4,EY4)-SUM(ET4,EX4),"")</f>
        <v/>
      </c>
      <c r="FJ4" s="14" t="str">
        <f t="shared" ref="FJ4" si="35">IF(SUM(FA4,FE4)&gt;0,SUM(FA4,FE4),"")</f>
        <v/>
      </c>
      <c r="FK4" s="14" t="str">
        <f t="shared" ref="FK4" si="36">IF(SUM(EZ4:FA4,FC4:FE4,FG4)-SUM(FB4,FF4)&gt;0,SUM(EZ4:FA4,FC4:FE4,FG4)-SUM(FB4,FF4),"")</f>
        <v/>
      </c>
      <c r="FL4" s="14" t="str">
        <f t="shared" ref="FL4" si="37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" si="38">IF(SUM(FN4,FR4)&gt;0,SUM(FN4,FR4),"")</f>
        <v/>
      </c>
      <c r="GD4" s="11" t="str">
        <f t="shared" ref="GD4" si="39">IF(SUM(FM4:FN4,FP4:FR4,FT4)-SUM(FO4,FS4)&gt;0,SUM(FM4:FN4,FP4:FR4,FT4)-SUM(FO4,FS4),"")</f>
        <v/>
      </c>
      <c r="GE4" s="11" t="str">
        <f t="shared" ref="GE4" si="40">IF(SUM(FV4,FZ4)&gt;0,SUM(FV4,FZ4),"")</f>
        <v/>
      </c>
      <c r="GF4" s="11" t="str">
        <f t="shared" ref="GF4" si="41">IF(SUM(FU4:FV4,FX4:FZ4,GB4)-SUM(FW4,GA4)&gt;0,SUM(FU4:FV4,FX4:FZ4,GB4)-SUM(FW4,GA4),"")</f>
        <v/>
      </c>
      <c r="GG4" s="11" t="str">
        <f t="shared" ref="GG4" si="42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" si="43">IF(SUM(GI4,GM4)&gt;0,SUM(GI4,GM4),"")</f>
        <v/>
      </c>
      <c r="GY4" s="14" t="str">
        <f t="shared" ref="GY4" si="44">IF(SUM(GH4:GI4,GK4:GM4,GO4)-SUM(GJ4,GN4)&gt;0,SUM(GH4:GI4,GK4:GM4,GO4)-SUM(GJ4,GN4),"")</f>
        <v/>
      </c>
      <c r="GZ4" s="14" t="str">
        <f t="shared" ref="GZ4" si="45">IF(SUM(GQ4,GU4)&gt;0,SUM(GQ4,GU4),"")</f>
        <v/>
      </c>
      <c r="HA4" s="14" t="str">
        <f t="shared" ref="HA4" si="46">IF(SUM(GP4:GQ4,GS4:GU4,GW4)-SUM(GR4,GV4)&gt;0,SUM(GP4:GQ4,GS4:GU4,GW4)-SUM(GR4,GV4),"")</f>
        <v/>
      </c>
      <c r="HB4" s="14" t="str">
        <f t="shared" ref="HB4" si="47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" si="48">IF(SUM(HD4,HH4)&gt;0,SUM(HD4,HH4),"")</f>
        <v/>
      </c>
      <c r="HT4" s="11" t="str">
        <f t="shared" ref="HT4" si="49">IF(SUM(HC4:HD4,HF4:HH4,HJ4)-SUM(HE4,HI4)&gt;0,SUM(HC4:HD4,HF4:HH4,HJ4)-SUM(HE4,HI4),"")</f>
        <v/>
      </c>
      <c r="HU4" s="11" t="str">
        <f t="shared" ref="HU4" si="50">IF(SUM(HL4,HP4)&gt;0,SUM(HL4,HP4),"")</f>
        <v/>
      </c>
      <c r="HV4" s="11" t="str">
        <f t="shared" ref="HV4" si="51">IF(SUM(HK4:HL4,HN4:HP4,HR4)-SUM(HM4,HQ4)&gt;0,SUM(HK4:HL4,HN4:HP4,HR4)-SUM(HM4,HQ4),"")</f>
        <v/>
      </c>
      <c r="HW4" s="11" t="str">
        <f t="shared" ref="HW4" si="52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" si="53">IF(SUM(HY4,IC4)&gt;0,SUM(HY4,IC4),"")</f>
        <v/>
      </c>
      <c r="IO4" s="14" t="str">
        <f t="shared" ref="IO4" si="54">IF(SUM(HX4:HY4,IA4:IC4,IE4)-SUM(HZ4,ID4)&gt;0,SUM(HX4:HY4,IA4:IC4,IE4)-SUM(HZ4,ID4),"")</f>
        <v/>
      </c>
      <c r="IP4" s="14" t="str">
        <f t="shared" ref="IP4" si="55">IF(SUM(IG4,IK4)&gt;0,SUM(IG4,IK4),"")</f>
        <v/>
      </c>
      <c r="IQ4" s="14" t="str">
        <f t="shared" ref="IQ4" si="56">IF(SUM(IF4:IG4,II4:IK4,IM4)-SUM(IH4,IL4)&gt;0,SUM(IF4:IG4,II4:IK4,IM4)-SUM(IH4,IL4),"")</f>
        <v/>
      </c>
      <c r="IR4" s="14" t="str">
        <f t="shared" ref="IR4" si="57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" si="58">IF(SUM(IT4,IX4)&gt;0,SUM(IT4,IX4),"")</f>
        <v/>
      </c>
      <c r="JJ4" s="11" t="str">
        <f t="shared" ref="JJ4" si="59">IF(SUM(IS4:IT4,IV4:IX4,IZ4)-SUM(IU4,IY4)&gt;0,SUM(IS4:IT4,IV4:IX4,IZ4)-SUM(IU4,IY4),"")</f>
        <v/>
      </c>
      <c r="JK4" s="11" t="str">
        <f t="shared" ref="JK4" si="60">IF(SUM(JB4,JF4)&gt;0,SUM(JB4,JF4),"")</f>
        <v/>
      </c>
      <c r="JL4" s="11" t="str">
        <f t="shared" ref="JL4" si="61">IF(SUM(JA4:JB4,JD4:JF4,JH4)-SUM(JC4,JG4)&gt;0,SUM(JA4:JB4,JD4:JF4,JH4)-SUM(JC4,JG4),"")</f>
        <v/>
      </c>
      <c r="JM4" s="11" t="str">
        <f t="shared" ref="JM4" si="62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" si="63">IF(SUM(JO4,JS4)&gt;0,SUM(JO4,JS4),"")</f>
        <v/>
      </c>
      <c r="KE4" s="14" t="str">
        <f t="shared" ref="KE4" si="64">IF(SUM(JN4:JO4,JQ4:JS4,JU4)-SUM(JP4,JT4)&gt;0,SUM(JN4:JO4,JQ4:JS4,JU4)-SUM(JP4,JT4),"")</f>
        <v/>
      </c>
      <c r="KF4" s="14" t="str">
        <f t="shared" ref="KF4" si="65">IF(SUM(JW4,KA4)&gt;0,SUM(JW4,KA4),"")</f>
        <v/>
      </c>
      <c r="KG4" s="14" t="str">
        <f t="shared" ref="KG4" si="66">IF(SUM(JV4:JW4,JY4:KA4,KC4)-SUM(JX4,KB4)&gt;0,SUM(JV4:JW4,JY4:KA4,KC4)-SUM(JX4,KB4),"")</f>
        <v/>
      </c>
      <c r="KH4" s="14" t="str">
        <f t="shared" ref="KH4" si="67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" si="68">IF(SUM(KJ4,KN4)&gt;0,SUM(KJ4,KN4),"")</f>
        <v/>
      </c>
      <c r="KZ4" s="11" t="str">
        <f t="shared" ref="KZ4" si="69">IF(SUM(KI4:KJ4,KL4:KN4,KP4)-SUM(KK4,KO4)&gt;0,SUM(KI4:KJ4,KL4:KN4,KP4)-SUM(KK4,KO4),"")</f>
        <v/>
      </c>
      <c r="LA4" s="11" t="str">
        <f t="shared" ref="LA4" si="70">IF(SUM(KR4,KV4)&gt;0,SUM(KR4,KV4),"")</f>
        <v/>
      </c>
      <c r="LB4" s="11" t="str">
        <f t="shared" ref="LB4" si="71">IF(SUM(KQ4:KR4,KT4:KV4,KX4)-SUM(KS4,KW4)&gt;0,SUM(KQ4:KR4,KT4:KV4,KX4)-SUM(KS4,KW4),"")</f>
        <v/>
      </c>
      <c r="LC4" s="11" t="str">
        <f t="shared" ref="LC4" si="72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" si="73">IF(SUM(LE4,LI4)&gt;0,SUM(LE4,LI4),"")</f>
        <v/>
      </c>
      <c r="LU4" s="14" t="str">
        <f t="shared" ref="LU4" si="74">IF(SUM(LD4:LE4,LG4:LI4,LK4)-SUM(LF4,LJ4)&gt;0,SUM(LD4:LE4,LG4:LI4,LK4)-SUM(LF4,LJ4),"")</f>
        <v/>
      </c>
      <c r="LV4" s="14" t="str">
        <f t="shared" ref="LV4" si="75">IF(SUM(LM4,LQ4)&gt;0,SUM(LM4,LQ4),"")</f>
        <v/>
      </c>
      <c r="LW4" s="14" t="str">
        <f t="shared" ref="LW4" si="76">IF(SUM(LL4:LM4,LO4:LQ4,LS4)-SUM(LN4,LR4)&gt;0,SUM(LL4:LM4,LO4:LQ4,LS4)-SUM(LN4,LR4),"")</f>
        <v/>
      </c>
      <c r="LX4" s="14" t="str">
        <f t="shared" ref="LX4" si="77">IF(SUM(LU4,LW4)&gt;0,SUM(LU4,LW4),"")</f>
        <v/>
      </c>
      <c r="LY4" s="61">
        <f t="shared" ref="LY4" si="78">IF($BY4="P",BI4,(BI4+AM4)/2)</f>
        <v>24.7</v>
      </c>
      <c r="LZ4" s="61">
        <f t="shared" ref="LZ4" si="79">IF($BY4="P",BJ4,(BJ4+AN4)/2)</f>
        <v>4.5999999999999996</v>
      </c>
      <c r="MA4" s="61">
        <f t="shared" ref="MA4" si="80">IF($BY4="P",BK4,(BK4+AO4)/2)</f>
        <v>0.45</v>
      </c>
      <c r="MB4" s="61">
        <f t="shared" ref="MB4" si="81">IF($BY4="P",BL4,(BL4+AP4)/2)</f>
        <v>0</v>
      </c>
      <c r="MC4" s="61">
        <f t="shared" ref="MC4" si="82">IF($BY4="P",BM4,(BM4+AQ4)/2)</f>
        <v>27.85</v>
      </c>
      <c r="MD4" s="61">
        <f t="shared" ref="MD4" si="83">IF($BY4="P",BN4,(BN4+AR4)/2)</f>
        <v>5.0500000000000007</v>
      </c>
      <c r="ME4" s="61">
        <f t="shared" ref="ME4" si="84">IF($BY4="P",BO4,(BO4+AS4)/2)</f>
        <v>1</v>
      </c>
      <c r="MF4" s="61">
        <f t="shared" ref="MF4" si="85">IF($BY4="P",BP4,(BP4+AT4)/2)</f>
        <v>0</v>
      </c>
      <c r="MG4" s="61">
        <f t="shared" ref="MG4" si="86">IF($BY4="P",BQ4,(BQ4+AU4)/2)</f>
        <v>13.8</v>
      </c>
      <c r="MH4" s="61">
        <f t="shared" ref="MH4" si="87">IF($BY4="P",BR4,(BR4+AV4)/2)</f>
        <v>1.9</v>
      </c>
      <c r="MI4" s="61">
        <f t="shared" ref="MI4" si="88">IF($BY4="P",BS4,(BS4+AW4)/2)</f>
        <v>0.95</v>
      </c>
      <c r="MJ4" s="61">
        <f t="shared" ref="MJ4" si="89">IF($BY4="P",BT4,(BT4+AX4)/2)</f>
        <v>0</v>
      </c>
      <c r="MK4" s="61">
        <f t="shared" ref="MK4" si="90">IF($BY4="P",BU4,(BU4+AY4)/2)</f>
        <v>13.8</v>
      </c>
      <c r="ML4" s="61">
        <f t="shared" ref="ML4" si="91">IF($BY4="P",BV4,(BV4+AZ4)/2)</f>
        <v>1.6</v>
      </c>
      <c r="MM4" s="61">
        <f t="shared" ref="MM4" si="92">IF($BY4="P",BW4,(BW4+BA4)/2)</f>
        <v>2.75</v>
      </c>
      <c r="MN4" s="61">
        <f t="shared" ref="MN4" si="93">IF($BY4="P",BX4,(BX4+BB4)/2)</f>
        <v>0</v>
      </c>
      <c r="MO4" s="72" t="s">
        <v>49</v>
      </c>
      <c r="MP4" s="11">
        <f t="shared" ref="MP4" si="94">IF(SUM(LZ4,MD4)&gt;0,SUM(LZ4,MD4),"")</f>
        <v>9.65</v>
      </c>
      <c r="MQ4" s="11">
        <f t="shared" ref="MQ4" si="95">IF(SUM(LY4:LZ4,MB4:MD4,MF4)-SUM(MA4,ME4)&gt;0,SUM(LY4:LZ4,MB4:MD4,MF4)-SUM(MA4,ME4),"")</f>
        <v>60.75</v>
      </c>
      <c r="MR4" s="11">
        <f t="shared" ref="MR4" si="96">IF(SUM(MH4,ML4)&gt;0,SUM(MH4,ML4),"")</f>
        <v>3.5</v>
      </c>
      <c r="MS4" s="11">
        <f t="shared" ref="MS4" si="97">IF(SUM(MG4:MH4,MJ4:ML4,MN4)-SUM(MI4,MM4)&gt;0,SUM(MG4:MH4,MJ4:ML4,MN4)-SUM(MI4,MM4),"")</f>
        <v>27.400000000000002</v>
      </c>
      <c r="MT4" s="11">
        <f t="shared" ref="MT4" si="98">IF(SUM(MQ4,MS4)&gt;0,SUM(MQ4,MS4),"")</f>
        <v>88.15</v>
      </c>
    </row>
    <row r="7" spans="1:358" x14ac:dyDescent="0.2">
      <c r="B7" s="62" t="s">
        <v>47</v>
      </c>
      <c r="AH7" s="48"/>
      <c r="AJ7" s="48"/>
      <c r="AL7" s="56">
        <v>12</v>
      </c>
      <c r="BD7" s="48"/>
      <c r="BF7" s="48"/>
      <c r="BH7" s="56">
        <v>12</v>
      </c>
      <c r="BZ7" s="48"/>
      <c r="CB7" s="48"/>
      <c r="CD7" s="56">
        <v>12</v>
      </c>
      <c r="CW7" s="48"/>
      <c r="CY7" s="48"/>
      <c r="DA7" s="56">
        <v>14</v>
      </c>
      <c r="DR7" s="48"/>
      <c r="DT7" s="48"/>
      <c r="DV7" s="56">
        <v>12</v>
      </c>
      <c r="EM7" s="48"/>
      <c r="EO7" s="48"/>
      <c r="EQ7" s="56">
        <v>12</v>
      </c>
      <c r="FH7" s="48"/>
      <c r="FJ7" s="48"/>
      <c r="FL7" s="56">
        <v>12</v>
      </c>
      <c r="GC7" s="48"/>
      <c r="GE7" s="48"/>
      <c r="GG7" s="56">
        <v>12</v>
      </c>
      <c r="GX7" s="48"/>
      <c r="GZ7" s="48"/>
      <c r="HB7" s="56">
        <v>12</v>
      </c>
      <c r="HS7" s="48"/>
      <c r="HU7" s="48"/>
      <c r="HW7" s="56">
        <v>12</v>
      </c>
      <c r="IN7" s="48"/>
      <c r="IP7" s="48"/>
      <c r="IR7" s="56">
        <v>12</v>
      </c>
      <c r="JI7" s="48"/>
      <c r="JK7" s="48"/>
      <c r="JM7" s="56">
        <v>12</v>
      </c>
      <c r="KD7" s="48"/>
      <c r="KF7" s="48"/>
      <c r="KH7" s="56">
        <v>12</v>
      </c>
      <c r="KY7" s="48"/>
      <c r="LA7" s="48"/>
      <c r="LC7" s="56">
        <v>12</v>
      </c>
      <c r="LT7" s="48"/>
      <c r="LV7" s="48"/>
      <c r="LX7" s="56">
        <v>12</v>
      </c>
    </row>
    <row r="8" spans="1:358" hidden="1" x14ac:dyDescent="0.2">
      <c r="B8" s="83" t="s">
        <v>46</v>
      </c>
      <c r="AH8" s="48"/>
      <c r="AJ8" s="48"/>
      <c r="AL8" s="96">
        <v>12</v>
      </c>
      <c r="BD8" s="48"/>
      <c r="BF8" s="48"/>
      <c r="BH8" s="96">
        <v>12</v>
      </c>
      <c r="BZ8" s="48"/>
      <c r="CB8" s="48"/>
      <c r="CD8" s="96">
        <v>12</v>
      </c>
      <c r="CW8" s="48"/>
      <c r="CY8" s="48"/>
      <c r="DA8" s="96">
        <v>14.8</v>
      </c>
      <c r="DR8" s="48"/>
      <c r="DT8" s="48"/>
      <c r="DV8" s="96">
        <v>12</v>
      </c>
      <c r="EM8" s="48"/>
      <c r="EO8" s="48"/>
      <c r="EQ8" s="96">
        <v>12</v>
      </c>
      <c r="FH8" s="48"/>
      <c r="FJ8" s="48"/>
      <c r="FL8" s="96">
        <v>12</v>
      </c>
      <c r="GC8" s="48"/>
      <c r="GE8" s="48"/>
      <c r="GG8" s="96">
        <v>12</v>
      </c>
      <c r="GX8" s="48"/>
      <c r="GZ8" s="48"/>
      <c r="HB8" s="96">
        <v>12</v>
      </c>
      <c r="HS8" s="48"/>
      <c r="HU8" s="48"/>
      <c r="HW8" s="96">
        <v>12</v>
      </c>
      <c r="IN8" s="48"/>
      <c r="IP8" s="48"/>
      <c r="IR8" s="96">
        <v>12</v>
      </c>
      <c r="JI8" s="48"/>
      <c r="JK8" s="48"/>
      <c r="JM8" s="96">
        <v>12</v>
      </c>
      <c r="KD8" s="48"/>
      <c r="KF8" s="48"/>
      <c r="KH8" s="96">
        <v>12</v>
      </c>
      <c r="KY8" s="48"/>
      <c r="LA8" s="48"/>
      <c r="LC8" s="96">
        <v>12</v>
      </c>
      <c r="LT8" s="48"/>
      <c r="LV8" s="48"/>
      <c r="LX8" s="96">
        <v>12</v>
      </c>
    </row>
    <row r="9" spans="1:358" x14ac:dyDescent="0.2">
      <c r="A9" s="48"/>
      <c r="B9" s="84" t="s">
        <v>60</v>
      </c>
      <c r="C9" s="47"/>
      <c r="AH9" s="48"/>
      <c r="AJ9" s="48"/>
      <c r="AK9" s="118"/>
      <c r="AL9" s="97">
        <v>12</v>
      </c>
      <c r="BD9" s="48"/>
      <c r="BF9" s="48"/>
      <c r="BG9" s="118"/>
      <c r="BH9" s="97">
        <v>12</v>
      </c>
      <c r="BZ9" s="48"/>
      <c r="CB9" s="48"/>
      <c r="CD9" s="97">
        <v>12</v>
      </c>
      <c r="CW9" s="48"/>
      <c r="CY9" s="48"/>
      <c r="CZ9" s="118"/>
      <c r="DA9" s="97">
        <v>14.8</v>
      </c>
      <c r="DR9" s="48"/>
      <c r="DT9" s="48"/>
      <c r="DV9" s="97">
        <v>12</v>
      </c>
      <c r="EM9" s="48"/>
      <c r="EO9" s="48"/>
      <c r="EQ9" s="97">
        <v>12</v>
      </c>
      <c r="FH9" s="48"/>
      <c r="FJ9" s="48"/>
      <c r="FL9" s="97">
        <v>12</v>
      </c>
      <c r="GC9" s="48"/>
      <c r="GE9" s="48"/>
      <c r="GG9" s="97">
        <v>12</v>
      </c>
      <c r="GX9" s="48"/>
      <c r="GZ9" s="48"/>
      <c r="HB9" s="97">
        <v>12</v>
      </c>
      <c r="HS9" s="48"/>
      <c r="HU9" s="48"/>
      <c r="HW9" s="97">
        <v>12</v>
      </c>
      <c r="IN9" s="48"/>
      <c r="IP9" s="48"/>
      <c r="IR9" s="97">
        <v>12</v>
      </c>
      <c r="JI9" s="48"/>
      <c r="JK9" s="48"/>
      <c r="JM9" s="97">
        <v>12</v>
      </c>
      <c r="KD9" s="48"/>
      <c r="KF9" s="48"/>
      <c r="KH9" s="97">
        <v>12</v>
      </c>
      <c r="KY9" s="48"/>
      <c r="LA9" s="48"/>
      <c r="LC9" s="97">
        <v>12</v>
      </c>
      <c r="LT9" s="48"/>
      <c r="LV9" s="48"/>
      <c r="LX9" s="97">
        <v>12</v>
      </c>
    </row>
    <row r="10" spans="1:358" hidden="1" x14ac:dyDescent="0.2">
      <c r="A10" s="48"/>
      <c r="B10" s="63" t="s">
        <v>65</v>
      </c>
      <c r="C10" s="47"/>
      <c r="AH10" s="48"/>
      <c r="AJ10" s="48"/>
      <c r="AL10" s="57">
        <v>1000</v>
      </c>
      <c r="BD10" s="48"/>
      <c r="BF10" s="48"/>
      <c r="BH10" s="57">
        <v>1000</v>
      </c>
      <c r="BZ10" s="48"/>
      <c r="CB10" s="48"/>
      <c r="CD10" s="57">
        <v>1000</v>
      </c>
      <c r="CW10" s="48"/>
      <c r="CY10" s="48"/>
      <c r="DA10" s="57">
        <v>1000</v>
      </c>
      <c r="DR10" s="48"/>
      <c r="DT10" s="48"/>
      <c r="DV10" s="57">
        <v>1000</v>
      </c>
      <c r="EM10" s="48"/>
      <c r="EO10" s="48"/>
      <c r="EP10" s="118"/>
      <c r="EQ10" s="57">
        <v>1000</v>
      </c>
      <c r="FH10" s="48"/>
      <c r="FJ10" s="48"/>
      <c r="FL10" s="57">
        <v>1000</v>
      </c>
      <c r="GC10" s="48"/>
      <c r="GE10" s="48"/>
      <c r="GG10" s="57">
        <v>1000</v>
      </c>
      <c r="GX10" s="48"/>
      <c r="GZ10" s="48"/>
      <c r="HB10" s="57">
        <v>1000</v>
      </c>
      <c r="HS10" s="48"/>
      <c r="HU10" s="48"/>
      <c r="HW10" s="57">
        <v>1000</v>
      </c>
      <c r="IN10" s="48"/>
      <c r="IP10" s="48"/>
      <c r="IR10" s="57">
        <v>1000</v>
      </c>
      <c r="JI10" s="48"/>
      <c r="JK10" s="48"/>
      <c r="JM10" s="57">
        <v>1000</v>
      </c>
      <c r="KD10" s="48"/>
      <c r="KF10" s="48"/>
      <c r="KH10" s="57">
        <v>1000</v>
      </c>
      <c r="KY10" s="48"/>
      <c r="LA10" s="48"/>
      <c r="LC10" s="57">
        <v>1000</v>
      </c>
      <c r="LT10" s="48"/>
      <c r="LV10" s="48"/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67.2</v>
      </c>
      <c r="BD11" s="48"/>
      <c r="BF11" s="48"/>
      <c r="BH11" s="59">
        <v>67.2</v>
      </c>
      <c r="BZ11" s="48"/>
      <c r="CB11" s="48"/>
      <c r="CD11" s="59">
        <v>67.2</v>
      </c>
      <c r="CW11" s="48"/>
      <c r="CY11" s="48"/>
      <c r="DA11" s="59">
        <v>68</v>
      </c>
      <c r="DR11" s="48"/>
      <c r="DT11" s="48"/>
      <c r="DV11" s="59">
        <v>67.2</v>
      </c>
      <c r="EM11" s="48"/>
      <c r="EO11" s="48"/>
      <c r="EQ11" s="59">
        <v>67.2</v>
      </c>
      <c r="FH11" s="48"/>
      <c r="FJ11" s="48"/>
      <c r="FL11" s="59">
        <v>67.2</v>
      </c>
      <c r="GC11" s="48"/>
      <c r="GE11" s="48"/>
      <c r="GG11" s="59">
        <v>67.2</v>
      </c>
      <c r="GX11" s="48"/>
      <c r="GZ11" s="48"/>
      <c r="HB11" s="59">
        <v>67.2</v>
      </c>
      <c r="HS11" s="48"/>
      <c r="HU11" s="48"/>
      <c r="HW11" s="59">
        <v>67.2</v>
      </c>
      <c r="IN11" s="48"/>
      <c r="IP11" s="48"/>
      <c r="IR11" s="59">
        <v>67.2</v>
      </c>
      <c r="JI11" s="48"/>
      <c r="JK11" s="48"/>
      <c r="JM11" s="59">
        <v>67.2</v>
      </c>
      <c r="KD11" s="48"/>
      <c r="KF11" s="48"/>
      <c r="KH11" s="59">
        <v>67.2</v>
      </c>
      <c r="KY11" s="48"/>
      <c r="LA11" s="48"/>
      <c r="LC11" s="59">
        <v>67.2</v>
      </c>
      <c r="LT11" s="48"/>
      <c r="LV11" s="48"/>
      <c r="LX11" s="59">
        <v>67.2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69.599999999999994</v>
      </c>
      <c r="BD12" s="48"/>
      <c r="BF12" s="48"/>
      <c r="BH12" s="58">
        <v>69.599999999999994</v>
      </c>
      <c r="BZ12" s="48"/>
      <c r="CB12" s="48"/>
      <c r="CD12" s="58">
        <v>69.599999999999994</v>
      </c>
      <c r="CW12" s="48"/>
      <c r="CY12" s="48"/>
      <c r="DA12" s="58">
        <v>70</v>
      </c>
      <c r="DR12" s="48"/>
      <c r="DT12" s="48"/>
      <c r="DV12" s="58">
        <v>69.599999999999994</v>
      </c>
      <c r="EM12" s="48"/>
      <c r="EO12" s="48"/>
      <c r="EQ12" s="58">
        <v>69.599999999999994</v>
      </c>
      <c r="FH12" s="48"/>
      <c r="FJ12" s="48"/>
      <c r="FL12" s="58">
        <v>69.599999999999994</v>
      </c>
      <c r="GC12" s="48"/>
      <c r="GE12" s="48"/>
      <c r="GG12" s="58">
        <v>69.599999999999994</v>
      </c>
      <c r="GX12" s="48"/>
      <c r="GZ12" s="48"/>
      <c r="HB12" s="58">
        <v>69.599999999999994</v>
      </c>
      <c r="HS12" s="48"/>
      <c r="HU12" s="48"/>
      <c r="HW12" s="58">
        <v>69.599999999999994</v>
      </c>
      <c r="IN12" s="48"/>
      <c r="IP12" s="48"/>
      <c r="IR12" s="58">
        <v>69.599999999999994</v>
      </c>
      <c r="JI12" s="48"/>
      <c r="JK12" s="48"/>
      <c r="JM12" s="58">
        <v>69.599999999999994</v>
      </c>
      <c r="KD12" s="48"/>
      <c r="KF12" s="48"/>
      <c r="KH12" s="58">
        <v>69.599999999999994</v>
      </c>
      <c r="KY12" s="48"/>
      <c r="LA12" s="48"/>
      <c r="LC12" s="58">
        <v>69.599999999999994</v>
      </c>
      <c r="LT12" s="48"/>
      <c r="LV12" s="48"/>
      <c r="LX12" s="58">
        <v>69.599999999999994</v>
      </c>
    </row>
    <row r="13" spans="1:358" x14ac:dyDescent="0.2">
      <c r="A13" s="48"/>
      <c r="B13" s="105" t="s">
        <v>58</v>
      </c>
      <c r="C13" s="47"/>
      <c r="AH13" s="48"/>
      <c r="AJ13" s="48"/>
      <c r="AK13" s="118"/>
      <c r="AL13" s="106">
        <v>69.599999999999994</v>
      </c>
      <c r="BD13" s="48"/>
      <c r="BF13" s="48"/>
      <c r="BG13" s="118"/>
      <c r="BH13" s="106">
        <v>69.599999999999994</v>
      </c>
      <c r="BZ13" s="48"/>
      <c r="CB13" s="48"/>
      <c r="CD13" s="106">
        <v>69.599999999999994</v>
      </c>
      <c r="CW13" s="48"/>
      <c r="CY13" s="48"/>
      <c r="CZ13" s="118"/>
      <c r="DA13" s="106">
        <v>70</v>
      </c>
      <c r="DR13" s="48"/>
      <c r="DT13" s="48"/>
      <c r="DV13" s="106">
        <v>69.599999999999994</v>
      </c>
      <c r="EM13" s="48"/>
      <c r="EO13" s="48"/>
      <c r="EQ13" s="106">
        <v>69.599999999999994</v>
      </c>
      <c r="FH13" s="48"/>
      <c r="FJ13" s="48"/>
      <c r="FK13" s="118"/>
      <c r="FL13" s="106">
        <v>69.599999999999994</v>
      </c>
      <c r="GC13" s="48"/>
      <c r="GE13" s="48"/>
      <c r="GG13" s="106">
        <v>69.599999999999994</v>
      </c>
      <c r="GX13" s="48"/>
      <c r="GZ13" s="48"/>
      <c r="HB13" s="106">
        <v>69.599999999999994</v>
      </c>
      <c r="HS13" s="48"/>
      <c r="HU13" s="48"/>
      <c r="HW13" s="106">
        <v>69.599999999999994</v>
      </c>
      <c r="IN13" s="48"/>
      <c r="IP13" s="48"/>
      <c r="IR13" s="106">
        <v>69.599999999999994</v>
      </c>
      <c r="JI13" s="48"/>
      <c r="JK13" s="48"/>
      <c r="JM13" s="106">
        <v>69.599999999999994</v>
      </c>
      <c r="KD13" s="48"/>
      <c r="KF13" s="48"/>
      <c r="KH13" s="106">
        <v>69.599999999999994</v>
      </c>
      <c r="KY13" s="48"/>
      <c r="LA13" s="48"/>
      <c r="LC13" s="106">
        <v>69.599999999999994</v>
      </c>
      <c r="LT13" s="48"/>
      <c r="LV13" s="48"/>
      <c r="LX13" s="106">
        <v>69.599999999999994</v>
      </c>
    </row>
    <row r="14" spans="1:358" hidden="1" x14ac:dyDescent="0.2">
      <c r="A14" s="48"/>
      <c r="B14" s="66" t="s">
        <v>31</v>
      </c>
      <c r="C14" s="47"/>
      <c r="AH14" s="48"/>
      <c r="AJ14" s="48"/>
      <c r="AL14" s="60">
        <v>1000</v>
      </c>
      <c r="BD14" s="48"/>
      <c r="BF14" s="4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P14" s="11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CX15" s="6"/>
      <c r="KE15" s="6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</sheetData>
  <sheetProtection sheet="1" formatCells="0" formatColumns="0" formatRows="0"/>
  <autoFilter ref="A1:MT4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4">
    <cfRule type="expression" dxfId="39" priority="3" stopIfTrue="1">
      <formula>IF($BC4&lt;&gt;"",1,0)</formula>
    </cfRule>
  </conditionalFormatting>
  <conditionalFormatting sqref="Q4:AL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6216" operator="between">
      <formula>AL$10</formula>
      <formula>1000</formula>
    </cfRule>
    <cfRule type="cellIs" dxfId="26" priority="46217" operator="between">
      <formula>AL$9</formula>
      <formula>AL$10</formula>
    </cfRule>
    <cfRule type="cellIs" dxfId="25" priority="46218" operator="between">
      <formula>AL$8</formula>
      <formula>AL$9</formula>
    </cfRule>
    <cfRule type="cellIs" dxfId="24" priority="46219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396" operator="between">
      <formula>AL$14</formula>
      <formula>1000</formula>
    </cfRule>
    <cfRule type="cellIs" dxfId="22" priority="46397" operator="between">
      <formula>AL$13</formula>
      <formula>AL$14</formula>
    </cfRule>
    <cfRule type="cellIs" dxfId="21" priority="46398" operator="between">
      <formula>AL$12</formula>
      <formula>AL$13</formula>
    </cfRule>
    <cfRule type="cellIs" dxfId="20" priority="46399" operator="between">
      <formula>AL$11</formula>
      <formula>AL$12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8" t="s">
        <v>1</v>
      </c>
      <c r="B1" s="128" t="s">
        <v>22</v>
      </c>
      <c r="C1" s="128" t="s">
        <v>0</v>
      </c>
      <c r="D1" s="128" t="s">
        <v>51</v>
      </c>
      <c r="E1" s="128" t="s">
        <v>2</v>
      </c>
      <c r="F1" s="134" t="s">
        <v>57</v>
      </c>
      <c r="G1" s="134" t="s">
        <v>5</v>
      </c>
      <c r="H1" s="128" t="s">
        <v>6</v>
      </c>
      <c r="I1" s="134" t="s">
        <v>76</v>
      </c>
      <c r="J1" s="135" t="s">
        <v>7</v>
      </c>
      <c r="K1" s="129" t="s">
        <v>29</v>
      </c>
      <c r="L1" s="135" t="s">
        <v>83</v>
      </c>
      <c r="M1" s="129" t="s">
        <v>29</v>
      </c>
      <c r="N1" s="130" t="s">
        <v>10</v>
      </c>
      <c r="O1" s="129" t="s">
        <v>30</v>
      </c>
      <c r="P1" s="129" t="s">
        <v>29</v>
      </c>
      <c r="Q1" s="125" t="s">
        <v>77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6" t="s">
        <v>84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5" t="s">
        <v>86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7" t="s">
        <v>56</v>
      </c>
      <c r="CF1" s="127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6"/>
      <c r="DC1" s="136"/>
      <c r="DD1" s="136"/>
      <c r="DE1" s="136"/>
      <c r="DF1" s="136"/>
      <c r="DG1" s="136"/>
      <c r="DH1" s="136"/>
      <c r="DI1" s="136"/>
      <c r="DJ1" s="136"/>
      <c r="DK1" s="136"/>
      <c r="DL1" s="136"/>
      <c r="DM1" s="136"/>
      <c r="DN1" s="136"/>
      <c r="DO1" s="136"/>
      <c r="DP1" s="136"/>
      <c r="DQ1" s="136"/>
      <c r="DR1" s="136"/>
      <c r="DS1" s="136"/>
      <c r="DT1" s="136"/>
      <c r="DU1" s="136"/>
      <c r="DV1" s="136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6"/>
      <c r="ES1" s="136"/>
      <c r="ET1" s="136"/>
      <c r="EU1" s="136"/>
      <c r="EV1" s="136"/>
      <c r="EW1" s="136"/>
      <c r="EX1" s="136"/>
      <c r="EY1" s="136"/>
      <c r="EZ1" s="136"/>
      <c r="FA1" s="136"/>
      <c r="FB1" s="136"/>
      <c r="FC1" s="136"/>
      <c r="FD1" s="136"/>
      <c r="FE1" s="136"/>
      <c r="FF1" s="136"/>
      <c r="FG1" s="136"/>
      <c r="FH1" s="136"/>
      <c r="FI1" s="136"/>
      <c r="FJ1" s="136"/>
      <c r="FK1" s="136"/>
      <c r="FL1" s="136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6"/>
      <c r="GI1" s="136"/>
      <c r="GJ1" s="136"/>
      <c r="GK1" s="136"/>
      <c r="GL1" s="136"/>
      <c r="GM1" s="136"/>
      <c r="GN1" s="136"/>
      <c r="GO1" s="136"/>
      <c r="GP1" s="136"/>
      <c r="GQ1" s="136"/>
      <c r="GR1" s="136"/>
      <c r="GS1" s="136"/>
      <c r="GT1" s="136"/>
      <c r="GU1" s="136"/>
      <c r="GV1" s="136"/>
      <c r="GW1" s="136"/>
      <c r="GX1" s="136"/>
      <c r="GY1" s="136"/>
      <c r="GZ1" s="136"/>
      <c r="HA1" s="136"/>
      <c r="HB1" s="136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6"/>
      <c r="HY1" s="136"/>
      <c r="HZ1" s="136"/>
      <c r="IA1" s="136"/>
      <c r="IB1" s="136"/>
      <c r="IC1" s="136"/>
      <c r="ID1" s="136"/>
      <c r="IE1" s="136"/>
      <c r="IF1" s="136"/>
      <c r="IG1" s="136"/>
      <c r="IH1" s="136"/>
      <c r="II1" s="136"/>
      <c r="IJ1" s="136"/>
      <c r="IK1" s="136"/>
      <c r="IL1" s="136"/>
      <c r="IM1" s="136"/>
      <c r="IN1" s="136"/>
      <c r="IO1" s="136"/>
      <c r="IP1" s="136"/>
      <c r="IQ1" s="136"/>
      <c r="IR1" s="136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6"/>
      <c r="JO1" s="136"/>
      <c r="JP1" s="136"/>
      <c r="JQ1" s="136"/>
      <c r="JR1" s="136"/>
      <c r="JS1" s="136"/>
      <c r="JT1" s="136"/>
      <c r="JU1" s="136"/>
      <c r="JV1" s="136"/>
      <c r="JW1" s="136"/>
      <c r="JX1" s="136"/>
      <c r="JY1" s="136"/>
      <c r="JZ1" s="136"/>
      <c r="KA1" s="136"/>
      <c r="KB1" s="136"/>
      <c r="KC1" s="136"/>
      <c r="KD1" s="136"/>
      <c r="KE1" s="136"/>
      <c r="KF1" s="136"/>
      <c r="KG1" s="136"/>
      <c r="KH1" s="136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6"/>
      <c r="LE1" s="136"/>
      <c r="LF1" s="136"/>
      <c r="LG1" s="136"/>
      <c r="LH1" s="136"/>
      <c r="LI1" s="136"/>
      <c r="LJ1" s="136"/>
      <c r="LK1" s="136"/>
      <c r="LL1" s="136"/>
      <c r="LM1" s="136"/>
      <c r="LN1" s="136"/>
      <c r="LO1" s="136"/>
      <c r="LP1" s="136"/>
      <c r="LQ1" s="136"/>
      <c r="LR1" s="136"/>
      <c r="LS1" s="136"/>
      <c r="LT1" s="136"/>
      <c r="LU1" s="136"/>
      <c r="LV1" s="136"/>
      <c r="LW1" s="136"/>
      <c r="LX1" s="136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8"/>
      <c r="B2" s="128"/>
      <c r="C2" s="128"/>
      <c r="D2" s="128"/>
      <c r="E2" s="128"/>
      <c r="F2" s="134"/>
      <c r="G2" s="134"/>
      <c r="H2" s="128"/>
      <c r="I2" s="134"/>
      <c r="J2" s="135"/>
      <c r="K2" s="129"/>
      <c r="L2" s="135"/>
      <c r="M2" s="129"/>
      <c r="N2" s="130"/>
      <c r="O2" s="129"/>
      <c r="P2" s="129"/>
      <c r="Q2" s="124" t="s">
        <v>23</v>
      </c>
      <c r="R2" s="124"/>
      <c r="S2" s="124"/>
      <c r="T2" s="124"/>
      <c r="U2" s="124" t="s">
        <v>26</v>
      </c>
      <c r="V2" s="124"/>
      <c r="W2" s="124"/>
      <c r="X2" s="124"/>
      <c r="Y2" s="124" t="s">
        <v>27</v>
      </c>
      <c r="Z2" s="124"/>
      <c r="AA2" s="124"/>
      <c r="AB2" s="124"/>
      <c r="AC2" s="131" t="s">
        <v>28</v>
      </c>
      <c r="AD2" s="131"/>
      <c r="AE2" s="131"/>
      <c r="AF2" s="131"/>
      <c r="AG2" s="76"/>
      <c r="AH2" s="79" t="s">
        <v>21</v>
      </c>
      <c r="AI2" s="9" t="s">
        <v>20</v>
      </c>
      <c r="AJ2" s="100" t="s">
        <v>62</v>
      </c>
      <c r="AK2" s="9" t="s">
        <v>19</v>
      </c>
      <c r="AL2" s="9" t="s">
        <v>14</v>
      </c>
      <c r="AM2" s="123" t="s">
        <v>23</v>
      </c>
      <c r="AN2" s="123"/>
      <c r="AO2" s="123"/>
      <c r="AP2" s="123"/>
      <c r="AQ2" s="123" t="s">
        <v>26</v>
      </c>
      <c r="AR2" s="123"/>
      <c r="AS2" s="123"/>
      <c r="AT2" s="123"/>
      <c r="AU2" s="123" t="s">
        <v>27</v>
      </c>
      <c r="AV2" s="123"/>
      <c r="AW2" s="123"/>
      <c r="AX2" s="123"/>
      <c r="AY2" s="137" t="s">
        <v>28</v>
      </c>
      <c r="AZ2" s="137"/>
      <c r="BA2" s="137"/>
      <c r="BB2" s="137"/>
      <c r="BC2" s="75"/>
      <c r="BD2" s="80" t="s">
        <v>21</v>
      </c>
      <c r="BE2" s="12" t="s">
        <v>20</v>
      </c>
      <c r="BF2" s="101" t="s">
        <v>62</v>
      </c>
      <c r="BG2" s="12" t="s">
        <v>19</v>
      </c>
      <c r="BH2" s="12" t="s">
        <v>14</v>
      </c>
      <c r="BI2" s="124" t="s">
        <v>23</v>
      </c>
      <c r="BJ2" s="124"/>
      <c r="BK2" s="124"/>
      <c r="BL2" s="124"/>
      <c r="BM2" s="124" t="s">
        <v>26</v>
      </c>
      <c r="BN2" s="124"/>
      <c r="BO2" s="124"/>
      <c r="BP2" s="124"/>
      <c r="BQ2" s="124" t="s">
        <v>27</v>
      </c>
      <c r="BR2" s="124"/>
      <c r="BS2" s="124"/>
      <c r="BT2" s="124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4" t="s">
        <v>23</v>
      </c>
      <c r="CH2" s="124"/>
      <c r="CI2" s="124"/>
      <c r="CJ2" s="124"/>
      <c r="CK2" s="124" t="s">
        <v>26</v>
      </c>
      <c r="CL2" s="124"/>
      <c r="CM2" s="124"/>
      <c r="CN2" s="124"/>
      <c r="CO2" s="124" t="s">
        <v>27</v>
      </c>
      <c r="CP2" s="124"/>
      <c r="CQ2" s="124"/>
      <c r="CR2" s="124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100" t="s">
        <v>62</v>
      </c>
      <c r="CZ2" s="9" t="s">
        <v>19</v>
      </c>
      <c r="DA2" s="9" t="s">
        <v>14</v>
      </c>
      <c r="DB2" s="137" t="s">
        <v>23</v>
      </c>
      <c r="DC2" s="137"/>
      <c r="DD2" s="137"/>
      <c r="DE2" s="137"/>
      <c r="DF2" s="137" t="s">
        <v>26</v>
      </c>
      <c r="DG2" s="137"/>
      <c r="DH2" s="137"/>
      <c r="DI2" s="137"/>
      <c r="DJ2" s="137" t="s">
        <v>27</v>
      </c>
      <c r="DK2" s="137"/>
      <c r="DL2" s="137"/>
      <c r="DM2" s="137"/>
      <c r="DN2" s="137" t="s">
        <v>28</v>
      </c>
      <c r="DO2" s="137"/>
      <c r="DP2" s="137"/>
      <c r="DQ2" s="137"/>
      <c r="DR2" s="80" t="s">
        <v>21</v>
      </c>
      <c r="DS2" s="16" t="s">
        <v>20</v>
      </c>
      <c r="DT2" s="101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100" t="s">
        <v>62</v>
      </c>
      <c r="EP2" s="17" t="s">
        <v>19</v>
      </c>
      <c r="EQ2" s="17" t="s">
        <v>14</v>
      </c>
      <c r="ER2" s="137" t="s">
        <v>23</v>
      </c>
      <c r="ES2" s="137"/>
      <c r="ET2" s="137"/>
      <c r="EU2" s="137"/>
      <c r="EV2" s="137" t="s">
        <v>26</v>
      </c>
      <c r="EW2" s="137"/>
      <c r="EX2" s="137"/>
      <c r="EY2" s="137"/>
      <c r="EZ2" s="137" t="s">
        <v>27</v>
      </c>
      <c r="FA2" s="137"/>
      <c r="FB2" s="137"/>
      <c r="FC2" s="137"/>
      <c r="FD2" s="137" t="s">
        <v>28</v>
      </c>
      <c r="FE2" s="137"/>
      <c r="FF2" s="137"/>
      <c r="FG2" s="137"/>
      <c r="FH2" s="80" t="s">
        <v>21</v>
      </c>
      <c r="FI2" s="16" t="s">
        <v>20</v>
      </c>
      <c r="FJ2" s="101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100" t="s">
        <v>62</v>
      </c>
      <c r="GF2" s="17" t="s">
        <v>19</v>
      </c>
      <c r="GG2" s="17" t="s">
        <v>14</v>
      </c>
      <c r="GH2" s="137" t="s">
        <v>23</v>
      </c>
      <c r="GI2" s="137"/>
      <c r="GJ2" s="137"/>
      <c r="GK2" s="137"/>
      <c r="GL2" s="137" t="s">
        <v>26</v>
      </c>
      <c r="GM2" s="137"/>
      <c r="GN2" s="137"/>
      <c r="GO2" s="137"/>
      <c r="GP2" s="137" t="s">
        <v>27</v>
      </c>
      <c r="GQ2" s="137"/>
      <c r="GR2" s="137"/>
      <c r="GS2" s="137"/>
      <c r="GT2" s="137" t="s">
        <v>28</v>
      </c>
      <c r="GU2" s="137"/>
      <c r="GV2" s="137"/>
      <c r="GW2" s="137"/>
      <c r="GX2" s="80" t="s">
        <v>21</v>
      </c>
      <c r="GY2" s="16" t="s">
        <v>20</v>
      </c>
      <c r="GZ2" s="10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79" t="s">
        <v>21</v>
      </c>
      <c r="HT2" s="17" t="s">
        <v>20</v>
      </c>
      <c r="HU2" s="100" t="s">
        <v>62</v>
      </c>
      <c r="HV2" s="17" t="s">
        <v>19</v>
      </c>
      <c r="HW2" s="17" t="s">
        <v>14</v>
      </c>
      <c r="HX2" s="137" t="s">
        <v>23</v>
      </c>
      <c r="HY2" s="137"/>
      <c r="HZ2" s="137"/>
      <c r="IA2" s="137"/>
      <c r="IB2" s="137" t="s">
        <v>26</v>
      </c>
      <c r="IC2" s="137"/>
      <c r="ID2" s="137"/>
      <c r="IE2" s="137"/>
      <c r="IF2" s="137" t="s">
        <v>27</v>
      </c>
      <c r="IG2" s="137"/>
      <c r="IH2" s="137"/>
      <c r="II2" s="137"/>
      <c r="IJ2" s="137" t="s">
        <v>28</v>
      </c>
      <c r="IK2" s="137"/>
      <c r="IL2" s="137"/>
      <c r="IM2" s="137"/>
      <c r="IN2" s="80" t="s">
        <v>21</v>
      </c>
      <c r="IO2" s="16" t="s">
        <v>20</v>
      </c>
      <c r="IP2" s="10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79" t="s">
        <v>21</v>
      </c>
      <c r="JJ2" s="17" t="s">
        <v>20</v>
      </c>
      <c r="JK2" s="100" t="s">
        <v>62</v>
      </c>
      <c r="JL2" s="17" t="s">
        <v>19</v>
      </c>
      <c r="JM2" s="17" t="s">
        <v>14</v>
      </c>
      <c r="JN2" s="137" t="s">
        <v>23</v>
      </c>
      <c r="JO2" s="137"/>
      <c r="JP2" s="137"/>
      <c r="JQ2" s="137"/>
      <c r="JR2" s="137" t="s">
        <v>26</v>
      </c>
      <c r="JS2" s="137"/>
      <c r="JT2" s="137"/>
      <c r="JU2" s="137"/>
      <c r="JV2" s="137" t="s">
        <v>27</v>
      </c>
      <c r="JW2" s="137"/>
      <c r="JX2" s="137"/>
      <c r="JY2" s="137"/>
      <c r="JZ2" s="137" t="s">
        <v>28</v>
      </c>
      <c r="KA2" s="137"/>
      <c r="KB2" s="137"/>
      <c r="KC2" s="137"/>
      <c r="KD2" s="80" t="s">
        <v>21</v>
      </c>
      <c r="KE2" s="16" t="s">
        <v>20</v>
      </c>
      <c r="KF2" s="10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79" t="s">
        <v>21</v>
      </c>
      <c r="KZ2" s="17" t="s">
        <v>20</v>
      </c>
      <c r="LA2" s="100" t="s">
        <v>62</v>
      </c>
      <c r="LB2" s="17" t="s">
        <v>19</v>
      </c>
      <c r="LC2" s="17" t="s">
        <v>14</v>
      </c>
      <c r="LD2" s="137" t="s">
        <v>23</v>
      </c>
      <c r="LE2" s="137"/>
      <c r="LF2" s="137"/>
      <c r="LG2" s="137"/>
      <c r="LH2" s="137" t="s">
        <v>26</v>
      </c>
      <c r="LI2" s="137"/>
      <c r="LJ2" s="137"/>
      <c r="LK2" s="137"/>
      <c r="LL2" s="137" t="s">
        <v>27</v>
      </c>
      <c r="LM2" s="137"/>
      <c r="LN2" s="137"/>
      <c r="LO2" s="137"/>
      <c r="LP2" s="137" t="s">
        <v>28</v>
      </c>
      <c r="LQ2" s="137"/>
      <c r="LR2" s="137"/>
      <c r="LS2" s="137"/>
      <c r="LT2" s="80" t="s">
        <v>21</v>
      </c>
      <c r="LU2" s="16" t="s">
        <v>20</v>
      </c>
      <c r="LV2" s="101" t="s">
        <v>62</v>
      </c>
      <c r="LW2" s="16" t="s">
        <v>19</v>
      </c>
      <c r="LX2" s="16" t="s">
        <v>14</v>
      </c>
      <c r="LY2" s="124" t="s">
        <v>23</v>
      </c>
      <c r="LZ2" s="124"/>
      <c r="MA2" s="124"/>
      <c r="MB2" s="124"/>
      <c r="MC2" s="124" t="s">
        <v>26</v>
      </c>
      <c r="MD2" s="124"/>
      <c r="ME2" s="124"/>
      <c r="MF2" s="124"/>
      <c r="MG2" s="124" t="s">
        <v>27</v>
      </c>
      <c r="MH2" s="124"/>
      <c r="MI2" s="124"/>
      <c r="MJ2" s="124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8"/>
      <c r="B3" s="128"/>
      <c r="C3" s="128"/>
      <c r="D3" s="128"/>
      <c r="E3" s="128"/>
      <c r="F3" s="134"/>
      <c r="G3" s="134"/>
      <c r="H3" s="128"/>
      <c r="I3" s="134"/>
      <c r="J3" s="135"/>
      <c r="K3" s="129"/>
      <c r="L3" s="135"/>
      <c r="M3" s="129"/>
      <c r="N3" s="130"/>
      <c r="O3" s="129"/>
      <c r="P3" s="129"/>
      <c r="Q3" s="76" t="s">
        <v>11</v>
      </c>
      <c r="R3" s="76" t="s">
        <v>4</v>
      </c>
      <c r="S3" s="76" t="s">
        <v>24</v>
      </c>
      <c r="T3" s="76" t="s">
        <v>25</v>
      </c>
      <c r="U3" s="76" t="s">
        <v>11</v>
      </c>
      <c r="V3" s="76" t="s">
        <v>4</v>
      </c>
      <c r="W3" s="76" t="s">
        <v>24</v>
      </c>
      <c r="X3" s="76" t="s">
        <v>25</v>
      </c>
      <c r="Y3" s="76" t="s">
        <v>11</v>
      </c>
      <c r="Z3" s="76" t="s">
        <v>4</v>
      </c>
      <c r="AA3" s="76" t="s">
        <v>24</v>
      </c>
      <c r="AB3" s="76" t="s">
        <v>25</v>
      </c>
      <c r="AC3" s="77" t="s">
        <v>11</v>
      </c>
      <c r="AD3" s="77" t="s">
        <v>4</v>
      </c>
      <c r="AE3" s="77" t="s">
        <v>24</v>
      </c>
      <c r="AF3" s="77" t="s">
        <v>25</v>
      </c>
      <c r="AG3" s="76" t="s">
        <v>48</v>
      </c>
      <c r="AH3" s="10"/>
      <c r="AI3" s="9"/>
      <c r="AJ3" s="10"/>
      <c r="AK3" s="10"/>
      <c r="AL3" s="10"/>
      <c r="AM3" s="75" t="s">
        <v>11</v>
      </c>
      <c r="AN3" s="75" t="s">
        <v>4</v>
      </c>
      <c r="AO3" s="75" t="s">
        <v>24</v>
      </c>
      <c r="AP3" s="75" t="s">
        <v>25</v>
      </c>
      <c r="AQ3" s="75" t="s">
        <v>11</v>
      </c>
      <c r="AR3" s="75" t="s">
        <v>4</v>
      </c>
      <c r="AS3" s="75" t="s">
        <v>24</v>
      </c>
      <c r="AT3" s="75" t="s">
        <v>25</v>
      </c>
      <c r="AU3" s="75" t="s">
        <v>11</v>
      </c>
      <c r="AV3" s="75" t="s">
        <v>4</v>
      </c>
      <c r="AW3" s="75" t="s">
        <v>24</v>
      </c>
      <c r="AX3" s="75" t="s">
        <v>25</v>
      </c>
      <c r="AY3" s="78" t="s">
        <v>11</v>
      </c>
      <c r="AZ3" s="78" t="s">
        <v>4</v>
      </c>
      <c r="BA3" s="78" t="s">
        <v>24</v>
      </c>
      <c r="BB3" s="78" t="s">
        <v>25</v>
      </c>
      <c r="BC3" s="75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76" t="s">
        <v>11</v>
      </c>
      <c r="CH3" s="76" t="s">
        <v>4</v>
      </c>
      <c r="CI3" s="76" t="s">
        <v>24</v>
      </c>
      <c r="CJ3" s="76" t="s">
        <v>25</v>
      </c>
      <c r="CK3" s="76" t="s">
        <v>11</v>
      </c>
      <c r="CL3" s="76" t="s">
        <v>4</v>
      </c>
      <c r="CM3" s="76" t="s">
        <v>24</v>
      </c>
      <c r="CN3" s="76" t="s">
        <v>25</v>
      </c>
      <c r="CO3" s="76" t="s">
        <v>11</v>
      </c>
      <c r="CP3" s="76" t="s">
        <v>4</v>
      </c>
      <c r="CQ3" s="76" t="s">
        <v>24</v>
      </c>
      <c r="CR3" s="76" t="s">
        <v>25</v>
      </c>
      <c r="CS3" s="77" t="s">
        <v>11</v>
      </c>
      <c r="CT3" s="77" t="s">
        <v>4</v>
      </c>
      <c r="CU3" s="77" t="s">
        <v>24</v>
      </c>
      <c r="CV3" s="77" t="s">
        <v>25</v>
      </c>
      <c r="CW3" s="10"/>
      <c r="CX3" s="9"/>
      <c r="CY3" s="10"/>
      <c r="CZ3" s="10"/>
      <c r="DA3" s="10"/>
      <c r="DB3" s="78" t="s">
        <v>11</v>
      </c>
      <c r="DC3" s="78" t="s">
        <v>4</v>
      </c>
      <c r="DD3" s="78" t="s">
        <v>24</v>
      </c>
      <c r="DE3" s="78" t="s">
        <v>25</v>
      </c>
      <c r="DF3" s="78" t="s">
        <v>11</v>
      </c>
      <c r="DG3" s="78" t="s">
        <v>4</v>
      </c>
      <c r="DH3" s="78" t="s">
        <v>24</v>
      </c>
      <c r="DI3" s="78" t="s">
        <v>25</v>
      </c>
      <c r="DJ3" s="78" t="s">
        <v>11</v>
      </c>
      <c r="DK3" s="78" t="s">
        <v>4</v>
      </c>
      <c r="DL3" s="78" t="s">
        <v>24</v>
      </c>
      <c r="DM3" s="78" t="s">
        <v>25</v>
      </c>
      <c r="DN3" s="78" t="s">
        <v>11</v>
      </c>
      <c r="DO3" s="78" t="s">
        <v>4</v>
      </c>
      <c r="DP3" s="78" t="s">
        <v>24</v>
      </c>
      <c r="DQ3" s="78" t="s">
        <v>25</v>
      </c>
      <c r="DR3" s="13"/>
      <c r="DS3" s="16"/>
      <c r="DT3" s="13"/>
      <c r="DU3" s="16"/>
      <c r="DV3" s="16"/>
      <c r="DW3" s="77" t="s">
        <v>11</v>
      </c>
      <c r="DX3" s="77" t="s">
        <v>4</v>
      </c>
      <c r="DY3" s="77" t="s">
        <v>24</v>
      </c>
      <c r="DZ3" s="77" t="s">
        <v>25</v>
      </c>
      <c r="EA3" s="77" t="s">
        <v>11</v>
      </c>
      <c r="EB3" s="77" t="s">
        <v>4</v>
      </c>
      <c r="EC3" s="77" t="s">
        <v>24</v>
      </c>
      <c r="ED3" s="77" t="s">
        <v>25</v>
      </c>
      <c r="EE3" s="77" t="s">
        <v>11</v>
      </c>
      <c r="EF3" s="77" t="s">
        <v>4</v>
      </c>
      <c r="EG3" s="77" t="s">
        <v>24</v>
      </c>
      <c r="EH3" s="77" t="s">
        <v>25</v>
      </c>
      <c r="EI3" s="77" t="s">
        <v>11</v>
      </c>
      <c r="EJ3" s="77" t="s">
        <v>4</v>
      </c>
      <c r="EK3" s="77" t="s">
        <v>24</v>
      </c>
      <c r="EL3" s="77" t="s">
        <v>25</v>
      </c>
      <c r="EM3" s="10"/>
      <c r="EN3" s="17"/>
      <c r="EO3" s="10"/>
      <c r="EP3" s="17"/>
      <c r="EQ3" s="17"/>
      <c r="ER3" s="78" t="s">
        <v>11</v>
      </c>
      <c r="ES3" s="78" t="s">
        <v>4</v>
      </c>
      <c r="ET3" s="78" t="s">
        <v>24</v>
      </c>
      <c r="EU3" s="78" t="s">
        <v>25</v>
      </c>
      <c r="EV3" s="78" t="s">
        <v>11</v>
      </c>
      <c r="EW3" s="78" t="s">
        <v>4</v>
      </c>
      <c r="EX3" s="78" t="s">
        <v>24</v>
      </c>
      <c r="EY3" s="78" t="s">
        <v>25</v>
      </c>
      <c r="EZ3" s="78" t="s">
        <v>11</v>
      </c>
      <c r="FA3" s="78" t="s">
        <v>4</v>
      </c>
      <c r="FB3" s="78" t="s">
        <v>24</v>
      </c>
      <c r="FC3" s="78" t="s">
        <v>25</v>
      </c>
      <c r="FD3" s="78" t="s">
        <v>11</v>
      </c>
      <c r="FE3" s="78" t="s">
        <v>4</v>
      </c>
      <c r="FF3" s="78" t="s">
        <v>24</v>
      </c>
      <c r="FG3" s="78" t="s">
        <v>25</v>
      </c>
      <c r="FH3" s="13"/>
      <c r="FI3" s="16"/>
      <c r="FJ3" s="13"/>
      <c r="FK3" s="16"/>
      <c r="FL3" s="16"/>
      <c r="FM3" s="77" t="s">
        <v>11</v>
      </c>
      <c r="FN3" s="77" t="s">
        <v>4</v>
      </c>
      <c r="FO3" s="77" t="s">
        <v>24</v>
      </c>
      <c r="FP3" s="77" t="s">
        <v>25</v>
      </c>
      <c r="FQ3" s="77" t="s">
        <v>11</v>
      </c>
      <c r="FR3" s="77" t="s">
        <v>4</v>
      </c>
      <c r="FS3" s="77" t="s">
        <v>24</v>
      </c>
      <c r="FT3" s="77" t="s">
        <v>25</v>
      </c>
      <c r="FU3" s="77" t="s">
        <v>11</v>
      </c>
      <c r="FV3" s="77" t="s">
        <v>4</v>
      </c>
      <c r="FW3" s="77" t="s">
        <v>24</v>
      </c>
      <c r="FX3" s="77" t="s">
        <v>25</v>
      </c>
      <c r="FY3" s="77" t="s">
        <v>11</v>
      </c>
      <c r="FZ3" s="77" t="s">
        <v>4</v>
      </c>
      <c r="GA3" s="77" t="s">
        <v>24</v>
      </c>
      <c r="GB3" s="77" t="s">
        <v>25</v>
      </c>
      <c r="GC3" s="10"/>
      <c r="GD3" s="17"/>
      <c r="GE3" s="10"/>
      <c r="GF3" s="17"/>
      <c r="GG3" s="17"/>
      <c r="GH3" s="78" t="s">
        <v>11</v>
      </c>
      <c r="GI3" s="78" t="s">
        <v>4</v>
      </c>
      <c r="GJ3" s="78" t="s">
        <v>24</v>
      </c>
      <c r="GK3" s="78" t="s">
        <v>25</v>
      </c>
      <c r="GL3" s="78" t="s">
        <v>11</v>
      </c>
      <c r="GM3" s="78" t="s">
        <v>4</v>
      </c>
      <c r="GN3" s="78" t="s">
        <v>24</v>
      </c>
      <c r="GO3" s="78" t="s">
        <v>25</v>
      </c>
      <c r="GP3" s="78" t="s">
        <v>11</v>
      </c>
      <c r="GQ3" s="78" t="s">
        <v>4</v>
      </c>
      <c r="GR3" s="78" t="s">
        <v>24</v>
      </c>
      <c r="GS3" s="78" t="s">
        <v>25</v>
      </c>
      <c r="GT3" s="78" t="s">
        <v>11</v>
      </c>
      <c r="GU3" s="78" t="s">
        <v>4</v>
      </c>
      <c r="GV3" s="78" t="s">
        <v>24</v>
      </c>
      <c r="GW3" s="78" t="s">
        <v>25</v>
      </c>
      <c r="GX3" s="13"/>
      <c r="GY3" s="16"/>
      <c r="GZ3" s="13"/>
      <c r="HA3" s="16"/>
      <c r="HB3" s="16"/>
      <c r="HC3" s="77" t="s">
        <v>11</v>
      </c>
      <c r="HD3" s="77" t="s">
        <v>4</v>
      </c>
      <c r="HE3" s="77" t="s">
        <v>24</v>
      </c>
      <c r="HF3" s="77" t="s">
        <v>25</v>
      </c>
      <c r="HG3" s="77" t="s">
        <v>11</v>
      </c>
      <c r="HH3" s="77" t="s">
        <v>4</v>
      </c>
      <c r="HI3" s="77" t="s">
        <v>24</v>
      </c>
      <c r="HJ3" s="77" t="s">
        <v>25</v>
      </c>
      <c r="HK3" s="77" t="s">
        <v>11</v>
      </c>
      <c r="HL3" s="77" t="s">
        <v>4</v>
      </c>
      <c r="HM3" s="77" t="s">
        <v>24</v>
      </c>
      <c r="HN3" s="77" t="s">
        <v>25</v>
      </c>
      <c r="HO3" s="77" t="s">
        <v>11</v>
      </c>
      <c r="HP3" s="77" t="s">
        <v>4</v>
      </c>
      <c r="HQ3" s="77" t="s">
        <v>24</v>
      </c>
      <c r="HR3" s="77" t="s">
        <v>25</v>
      </c>
      <c r="HS3" s="10"/>
      <c r="HT3" s="17"/>
      <c r="HU3" s="10"/>
      <c r="HV3" s="17"/>
      <c r="HW3" s="17"/>
      <c r="HX3" s="78" t="s">
        <v>11</v>
      </c>
      <c r="HY3" s="78" t="s">
        <v>4</v>
      </c>
      <c r="HZ3" s="78" t="s">
        <v>24</v>
      </c>
      <c r="IA3" s="78" t="s">
        <v>25</v>
      </c>
      <c r="IB3" s="78" t="s">
        <v>11</v>
      </c>
      <c r="IC3" s="78" t="s">
        <v>4</v>
      </c>
      <c r="ID3" s="78" t="s">
        <v>24</v>
      </c>
      <c r="IE3" s="78" t="s">
        <v>25</v>
      </c>
      <c r="IF3" s="78" t="s">
        <v>11</v>
      </c>
      <c r="IG3" s="78" t="s">
        <v>4</v>
      </c>
      <c r="IH3" s="78" t="s">
        <v>24</v>
      </c>
      <c r="II3" s="78" t="s">
        <v>25</v>
      </c>
      <c r="IJ3" s="78" t="s">
        <v>11</v>
      </c>
      <c r="IK3" s="78" t="s">
        <v>4</v>
      </c>
      <c r="IL3" s="78" t="s">
        <v>24</v>
      </c>
      <c r="IM3" s="78" t="s">
        <v>25</v>
      </c>
      <c r="IN3" s="13"/>
      <c r="IO3" s="16"/>
      <c r="IP3" s="13"/>
      <c r="IQ3" s="16"/>
      <c r="IR3" s="16"/>
      <c r="IS3" s="77" t="s">
        <v>11</v>
      </c>
      <c r="IT3" s="77" t="s">
        <v>4</v>
      </c>
      <c r="IU3" s="77" t="s">
        <v>24</v>
      </c>
      <c r="IV3" s="77" t="s">
        <v>25</v>
      </c>
      <c r="IW3" s="77" t="s">
        <v>11</v>
      </c>
      <c r="IX3" s="77" t="s">
        <v>4</v>
      </c>
      <c r="IY3" s="77" t="s">
        <v>24</v>
      </c>
      <c r="IZ3" s="77" t="s">
        <v>25</v>
      </c>
      <c r="JA3" s="77" t="s">
        <v>11</v>
      </c>
      <c r="JB3" s="77" t="s">
        <v>4</v>
      </c>
      <c r="JC3" s="77" t="s">
        <v>24</v>
      </c>
      <c r="JD3" s="77" t="s">
        <v>25</v>
      </c>
      <c r="JE3" s="77" t="s">
        <v>11</v>
      </c>
      <c r="JF3" s="77" t="s">
        <v>4</v>
      </c>
      <c r="JG3" s="77" t="s">
        <v>24</v>
      </c>
      <c r="JH3" s="77" t="s">
        <v>25</v>
      </c>
      <c r="JI3" s="10"/>
      <c r="JJ3" s="17"/>
      <c r="JK3" s="10"/>
      <c r="JL3" s="17"/>
      <c r="JM3" s="17"/>
      <c r="JN3" s="78" t="s">
        <v>11</v>
      </c>
      <c r="JO3" s="78" t="s">
        <v>4</v>
      </c>
      <c r="JP3" s="78" t="s">
        <v>24</v>
      </c>
      <c r="JQ3" s="78" t="s">
        <v>25</v>
      </c>
      <c r="JR3" s="78" t="s">
        <v>11</v>
      </c>
      <c r="JS3" s="78" t="s">
        <v>4</v>
      </c>
      <c r="JT3" s="78" t="s">
        <v>24</v>
      </c>
      <c r="JU3" s="78" t="s">
        <v>25</v>
      </c>
      <c r="JV3" s="78" t="s">
        <v>11</v>
      </c>
      <c r="JW3" s="78" t="s">
        <v>4</v>
      </c>
      <c r="JX3" s="78" t="s">
        <v>24</v>
      </c>
      <c r="JY3" s="78" t="s">
        <v>25</v>
      </c>
      <c r="JZ3" s="78" t="s">
        <v>11</v>
      </c>
      <c r="KA3" s="78" t="s">
        <v>4</v>
      </c>
      <c r="KB3" s="78" t="s">
        <v>24</v>
      </c>
      <c r="KC3" s="78" t="s">
        <v>25</v>
      </c>
      <c r="KD3" s="13"/>
      <c r="KE3" s="16"/>
      <c r="KF3" s="13"/>
      <c r="KG3" s="16"/>
      <c r="KH3" s="16"/>
      <c r="KI3" s="77" t="s">
        <v>11</v>
      </c>
      <c r="KJ3" s="77" t="s">
        <v>4</v>
      </c>
      <c r="KK3" s="77" t="s">
        <v>24</v>
      </c>
      <c r="KL3" s="77" t="s">
        <v>25</v>
      </c>
      <c r="KM3" s="77" t="s">
        <v>11</v>
      </c>
      <c r="KN3" s="77" t="s">
        <v>4</v>
      </c>
      <c r="KO3" s="77" t="s">
        <v>24</v>
      </c>
      <c r="KP3" s="77" t="s">
        <v>25</v>
      </c>
      <c r="KQ3" s="77" t="s">
        <v>11</v>
      </c>
      <c r="KR3" s="77" t="s">
        <v>4</v>
      </c>
      <c r="KS3" s="77" t="s">
        <v>24</v>
      </c>
      <c r="KT3" s="77" t="s">
        <v>25</v>
      </c>
      <c r="KU3" s="77" t="s">
        <v>11</v>
      </c>
      <c r="KV3" s="77" t="s">
        <v>4</v>
      </c>
      <c r="KW3" s="77" t="s">
        <v>24</v>
      </c>
      <c r="KX3" s="77" t="s">
        <v>25</v>
      </c>
      <c r="KY3" s="10"/>
      <c r="KZ3" s="17"/>
      <c r="LA3" s="10"/>
      <c r="LB3" s="17"/>
      <c r="LC3" s="17"/>
      <c r="LD3" s="78" t="s">
        <v>11</v>
      </c>
      <c r="LE3" s="78" t="s">
        <v>4</v>
      </c>
      <c r="LF3" s="78" t="s">
        <v>24</v>
      </c>
      <c r="LG3" s="78" t="s">
        <v>25</v>
      </c>
      <c r="LH3" s="78" t="s">
        <v>11</v>
      </c>
      <c r="LI3" s="78" t="s">
        <v>4</v>
      </c>
      <c r="LJ3" s="78" t="s">
        <v>24</v>
      </c>
      <c r="LK3" s="78" t="s">
        <v>25</v>
      </c>
      <c r="LL3" s="78" t="s">
        <v>11</v>
      </c>
      <c r="LM3" s="78" t="s">
        <v>4</v>
      </c>
      <c r="LN3" s="78" t="s">
        <v>24</v>
      </c>
      <c r="LO3" s="78" t="s">
        <v>25</v>
      </c>
      <c r="LP3" s="78" t="s">
        <v>11</v>
      </c>
      <c r="LQ3" s="78" t="s">
        <v>4</v>
      </c>
      <c r="LR3" s="78" t="s">
        <v>24</v>
      </c>
      <c r="LS3" s="78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75</v>
      </c>
      <c r="C4" s="4"/>
      <c r="D4" s="5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IF(J4=AI4,MAX(BH4,CD4),IF(J4=BE4,MAX(AL4,CD4),MAX(AL4,BH4)))</f>
        <v>0</v>
      </c>
      <c r="M4" s="14" t="str">
        <f>IF(L4=0,"",IF(AND(J4&lt;&gt;CA4,L4=CD4),$BI$1,IF(AND(J4&lt;&gt;BE4,L4=BH4),$AM$1,IF(L4=AL4,$Q$1,""))))</f>
        <v/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IF(SUM(Q4:R4,T4:V4,X4)-SUM(S4,W4)&gt;0,SUM(Q4:R4,T4:V4,X4)-SUM(S4,W4),"")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IF(SUM(AM4:AN4,AP4:AR4,AT4)-SUM(AO4,AS4)&gt;0,SUM(AM4:AN4,AP4:AR4,AT4)-SUM(AO4,AS4),"")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IF(SUM(LY4:LZ4,MB4:MD4,MF4)-SUM(MA4,ME4)&gt;0,SUM(LY4:LZ4,MB4:MD4,MF4)-SUM(MA4,ME4),"")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s="45" customFormat="1" x14ac:dyDescent="0.2">
      <c r="A5" s="7"/>
      <c r="B5" s="8"/>
      <c r="C5" s="4"/>
      <c r="D5" s="7"/>
      <c r="E5" s="87"/>
      <c r="F5" s="88"/>
      <c r="G5" s="88"/>
      <c r="H5" s="121"/>
      <c r="I5" s="88"/>
      <c r="J5" s="46"/>
      <c r="K5" s="46"/>
      <c r="L5" s="46"/>
      <c r="M5" s="46"/>
      <c r="N5" s="46"/>
      <c r="O5" s="89"/>
      <c r="P5" s="46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  <c r="AH5" s="46"/>
      <c r="AI5" s="46"/>
      <c r="AJ5" s="46"/>
      <c r="AK5" s="46"/>
      <c r="AL5" s="46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1"/>
      <c r="BD5" s="46"/>
      <c r="BE5" s="46"/>
      <c r="BF5" s="46"/>
      <c r="BG5" s="46"/>
      <c r="BH5" s="46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1"/>
      <c r="BZ5" s="46"/>
      <c r="CA5" s="46"/>
      <c r="CB5" s="46"/>
      <c r="CC5" s="46"/>
      <c r="CD5" s="46"/>
      <c r="CE5" s="46"/>
      <c r="CF5" s="46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46"/>
      <c r="CX5" s="46"/>
      <c r="CY5" s="46"/>
      <c r="CZ5" s="46"/>
      <c r="DA5" s="46"/>
      <c r="DB5" s="93"/>
      <c r="DC5" s="93"/>
      <c r="DD5" s="93"/>
      <c r="DE5" s="93"/>
      <c r="DF5" s="93"/>
      <c r="DG5" s="93"/>
      <c r="DH5" s="93"/>
      <c r="DI5" s="93"/>
      <c r="DJ5" s="93"/>
      <c r="DK5" s="93"/>
      <c r="DL5" s="93"/>
      <c r="DM5" s="93"/>
      <c r="DN5" s="93"/>
      <c r="DO5" s="93"/>
      <c r="DP5" s="93"/>
      <c r="DQ5" s="93"/>
      <c r="DR5" s="46"/>
      <c r="DS5" s="46"/>
      <c r="DT5" s="46"/>
      <c r="DU5" s="46"/>
      <c r="DV5" s="46"/>
      <c r="DW5" s="93"/>
      <c r="DX5" s="93"/>
      <c r="DY5" s="93"/>
      <c r="DZ5" s="93"/>
      <c r="EA5" s="93"/>
      <c r="EB5" s="93"/>
      <c r="EC5" s="93"/>
      <c r="ED5" s="93"/>
      <c r="EE5" s="93"/>
      <c r="EF5" s="93"/>
      <c r="EG5" s="93"/>
      <c r="EH5" s="93"/>
      <c r="EI5" s="93"/>
      <c r="EJ5" s="93"/>
      <c r="EK5" s="93"/>
      <c r="EL5" s="93"/>
      <c r="EM5" s="46"/>
      <c r="EN5" s="46"/>
      <c r="EO5" s="46"/>
      <c r="EP5" s="46"/>
      <c r="EQ5" s="46"/>
      <c r="ER5" s="93"/>
      <c r="ES5" s="93"/>
      <c r="ET5" s="93"/>
      <c r="EU5" s="93"/>
      <c r="EV5" s="93"/>
      <c r="EW5" s="93"/>
      <c r="EX5" s="93"/>
      <c r="EY5" s="93"/>
      <c r="EZ5" s="93"/>
      <c r="FA5" s="93"/>
      <c r="FB5" s="93"/>
      <c r="FC5" s="93"/>
      <c r="FD5" s="93"/>
      <c r="FE5" s="93"/>
      <c r="FF5" s="93"/>
      <c r="FG5" s="93"/>
      <c r="FH5" s="46"/>
      <c r="FI5" s="46"/>
      <c r="FJ5" s="46"/>
      <c r="FK5" s="46"/>
      <c r="FL5" s="46"/>
      <c r="FM5" s="93"/>
      <c r="FN5" s="93"/>
      <c r="FO5" s="93"/>
      <c r="FP5" s="93"/>
      <c r="FQ5" s="93"/>
      <c r="FR5" s="93"/>
      <c r="FS5" s="93"/>
      <c r="FT5" s="93"/>
      <c r="FU5" s="93"/>
      <c r="FV5" s="93"/>
      <c r="FW5" s="93"/>
      <c r="FX5" s="93"/>
      <c r="FY5" s="93"/>
      <c r="FZ5" s="93"/>
      <c r="GA5" s="93"/>
      <c r="GB5" s="93"/>
      <c r="GC5" s="46"/>
      <c r="GD5" s="46"/>
      <c r="GE5" s="46"/>
      <c r="GF5" s="46"/>
      <c r="GG5" s="46"/>
      <c r="GH5" s="93"/>
      <c r="GI5" s="93"/>
      <c r="GJ5" s="93"/>
      <c r="GK5" s="93"/>
      <c r="GL5" s="93"/>
      <c r="GM5" s="93"/>
      <c r="GN5" s="93"/>
      <c r="GO5" s="93"/>
      <c r="GP5" s="93"/>
      <c r="GQ5" s="93"/>
      <c r="GR5" s="93"/>
      <c r="GS5" s="93"/>
      <c r="GT5" s="93"/>
      <c r="GU5" s="93"/>
      <c r="GV5" s="93"/>
      <c r="GW5" s="93"/>
      <c r="GX5" s="46"/>
      <c r="GY5" s="46"/>
      <c r="GZ5" s="46"/>
      <c r="HA5" s="46"/>
      <c r="HB5" s="46"/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3"/>
      <c r="HP5" s="93"/>
      <c r="HQ5" s="93"/>
      <c r="HR5" s="93"/>
      <c r="HS5" s="46"/>
      <c r="HT5" s="46"/>
      <c r="HU5" s="46"/>
      <c r="HV5" s="46"/>
      <c r="HW5" s="46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46"/>
      <c r="IO5" s="46"/>
      <c r="IP5" s="46"/>
      <c r="IQ5" s="46"/>
      <c r="IR5" s="46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46"/>
      <c r="JJ5" s="46"/>
      <c r="JK5" s="46"/>
      <c r="JL5" s="46"/>
      <c r="JM5" s="46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46"/>
      <c r="KE5" s="46"/>
      <c r="KF5" s="46"/>
      <c r="KG5" s="46"/>
      <c r="KH5" s="46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46"/>
      <c r="KZ5" s="46"/>
      <c r="LA5" s="46"/>
      <c r="LB5" s="46"/>
      <c r="LC5" s="46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46"/>
      <c r="LU5" s="46"/>
      <c r="LV5" s="46"/>
      <c r="LW5" s="46"/>
      <c r="LX5" s="46"/>
    </row>
    <row r="6" spans="1:358" x14ac:dyDescent="0.2">
      <c r="AH6" s="46"/>
      <c r="AJ6" s="46"/>
      <c r="BD6" s="46"/>
      <c r="BF6" s="46"/>
      <c r="BZ6" s="46"/>
      <c r="CB6" s="46"/>
      <c r="CW6" s="46"/>
      <c r="CY6" s="46"/>
      <c r="DR6" s="46"/>
      <c r="DT6" s="46"/>
      <c r="EM6" s="46"/>
      <c r="EO6" s="46"/>
      <c r="FH6" s="46"/>
      <c r="FJ6" s="46"/>
      <c r="GC6" s="46"/>
      <c r="GE6" s="46"/>
      <c r="GX6" s="46"/>
      <c r="GZ6" s="46"/>
      <c r="HS6" s="46"/>
      <c r="HU6" s="46"/>
      <c r="IN6" s="46"/>
      <c r="IP6" s="46"/>
      <c r="JI6" s="46"/>
      <c r="JK6" s="46"/>
      <c r="KD6" s="46"/>
      <c r="KF6" s="46"/>
      <c r="KY6" s="46"/>
      <c r="LA6" s="46"/>
      <c r="LT6" s="46"/>
      <c r="LV6" s="46"/>
    </row>
    <row r="7" spans="1:358" x14ac:dyDescent="0.2">
      <c r="B7" s="62" t="s">
        <v>47</v>
      </c>
      <c r="AH7" s="46"/>
      <c r="AJ7" s="46"/>
      <c r="AL7" s="56">
        <v>10.4</v>
      </c>
      <c r="BD7" s="46"/>
      <c r="BF7" s="46"/>
      <c r="BH7" s="56">
        <v>10.4</v>
      </c>
      <c r="BZ7" s="46"/>
      <c r="CB7" s="46"/>
      <c r="CD7" s="56">
        <v>10.4</v>
      </c>
      <c r="CW7" s="46"/>
      <c r="CY7" s="46"/>
      <c r="DA7" s="56">
        <v>10.4</v>
      </c>
      <c r="DR7" s="46"/>
      <c r="DT7" s="46"/>
      <c r="DV7" s="56">
        <v>10.4</v>
      </c>
      <c r="EM7" s="46"/>
      <c r="EO7" s="46"/>
      <c r="EQ7" s="56">
        <v>10.4</v>
      </c>
      <c r="FH7" s="46"/>
      <c r="FJ7" s="46"/>
      <c r="FL7" s="56">
        <v>10.4</v>
      </c>
      <c r="GC7" s="46"/>
      <c r="GE7" s="46"/>
      <c r="GG7" s="56">
        <v>10.4</v>
      </c>
      <c r="GX7" s="46"/>
      <c r="GZ7" s="46"/>
      <c r="HB7" s="56">
        <v>10.4</v>
      </c>
      <c r="HS7" s="46"/>
      <c r="HU7" s="46"/>
      <c r="HW7" s="56">
        <v>10.4</v>
      </c>
      <c r="IN7" s="46"/>
      <c r="IP7" s="46"/>
      <c r="IR7" s="56">
        <v>10.4</v>
      </c>
      <c r="JI7" s="46"/>
      <c r="JK7" s="46"/>
      <c r="JM7" s="56">
        <v>10.4</v>
      </c>
      <c r="KD7" s="46"/>
      <c r="KF7" s="46"/>
      <c r="KH7" s="56">
        <v>10.4</v>
      </c>
      <c r="KY7" s="46"/>
      <c r="LA7" s="46"/>
      <c r="LC7" s="56">
        <v>10.4</v>
      </c>
      <c r="LT7" s="46"/>
      <c r="LV7" s="46"/>
      <c r="LX7" s="56">
        <v>10.4</v>
      </c>
    </row>
    <row r="8" spans="1:358" hidden="1" x14ac:dyDescent="0.2">
      <c r="B8" s="83" t="s">
        <v>46</v>
      </c>
      <c r="AH8" s="46"/>
      <c r="AJ8" s="46"/>
      <c r="AL8" s="85">
        <v>10.4</v>
      </c>
      <c r="BD8" s="46"/>
      <c r="BF8" s="46"/>
      <c r="BH8" s="85">
        <v>10.4</v>
      </c>
      <c r="BZ8" s="46"/>
      <c r="CB8" s="46"/>
      <c r="CD8" s="85">
        <v>10.4</v>
      </c>
      <c r="CW8" s="46"/>
      <c r="CY8" s="46"/>
      <c r="DA8" s="85">
        <v>19.600000000000001</v>
      </c>
      <c r="DR8" s="46"/>
      <c r="DT8" s="46"/>
      <c r="DV8" s="85">
        <v>10.4</v>
      </c>
      <c r="EM8" s="46"/>
      <c r="EO8" s="46"/>
      <c r="EQ8" s="85">
        <v>10.4</v>
      </c>
      <c r="FH8" s="46"/>
      <c r="FJ8" s="46"/>
      <c r="FL8" s="85">
        <v>10.4</v>
      </c>
      <c r="GC8" s="46"/>
      <c r="GE8" s="46"/>
      <c r="GG8" s="85">
        <v>10.4</v>
      </c>
      <c r="GX8" s="46"/>
      <c r="GZ8" s="46"/>
      <c r="HB8" s="85">
        <v>10.4</v>
      </c>
      <c r="HS8" s="46"/>
      <c r="HU8" s="46"/>
      <c r="HW8" s="85">
        <v>10.4</v>
      </c>
      <c r="IN8" s="46"/>
      <c r="IP8" s="46"/>
      <c r="IR8" s="85">
        <v>10.4</v>
      </c>
      <c r="JI8" s="46"/>
      <c r="JK8" s="46"/>
      <c r="JM8" s="85">
        <v>10.4</v>
      </c>
      <c r="KD8" s="46"/>
      <c r="KF8" s="46"/>
      <c r="KH8" s="85">
        <v>10.4</v>
      </c>
      <c r="KY8" s="46"/>
      <c r="LA8" s="46"/>
      <c r="LC8" s="85">
        <v>10.4</v>
      </c>
      <c r="LT8" s="46"/>
      <c r="LV8" s="46"/>
      <c r="LX8" s="85">
        <v>10.4</v>
      </c>
    </row>
    <row r="9" spans="1:358" x14ac:dyDescent="0.2">
      <c r="A9" s="48"/>
      <c r="B9" s="84" t="s">
        <v>60</v>
      </c>
      <c r="C9" s="47"/>
      <c r="AL9" s="86">
        <v>10.4</v>
      </c>
      <c r="BG9" s="118"/>
      <c r="BH9" s="86">
        <v>10.4</v>
      </c>
      <c r="CD9" s="86">
        <v>10.4</v>
      </c>
      <c r="DA9" s="86">
        <v>19.600000000000001</v>
      </c>
      <c r="DU9" s="118"/>
      <c r="DV9" s="86">
        <v>10.4</v>
      </c>
      <c r="EQ9" s="86">
        <v>10.4</v>
      </c>
      <c r="FL9" s="86">
        <v>10.4</v>
      </c>
      <c r="GG9" s="86">
        <v>10.4</v>
      </c>
      <c r="HB9" s="86">
        <v>10.4</v>
      </c>
      <c r="HW9" s="86">
        <v>10.4</v>
      </c>
      <c r="IR9" s="86">
        <v>10.4</v>
      </c>
      <c r="JM9" s="86">
        <v>10.4</v>
      </c>
      <c r="KH9" s="86">
        <v>10.4</v>
      </c>
      <c r="LC9" s="86">
        <v>10.4</v>
      </c>
      <c r="LX9" s="86">
        <v>10.4</v>
      </c>
    </row>
    <row r="10" spans="1:358" hidden="1" x14ac:dyDescent="0.2">
      <c r="A10" s="48"/>
      <c r="B10" s="63" t="s">
        <v>65</v>
      </c>
      <c r="C10" s="47"/>
      <c r="AK10" s="118"/>
      <c r="AL10" s="57">
        <v>1000</v>
      </c>
      <c r="BG10" s="118"/>
      <c r="BH10" s="57">
        <v>1000</v>
      </c>
      <c r="CD10" s="57">
        <v>1000</v>
      </c>
      <c r="DA10" s="57">
        <v>1000</v>
      </c>
      <c r="DV10" s="57">
        <v>1000</v>
      </c>
      <c r="EQ10" s="57">
        <v>1000</v>
      </c>
      <c r="FL10" s="57">
        <v>1000</v>
      </c>
      <c r="GG10" s="57">
        <v>1000</v>
      </c>
      <c r="HB10" s="57">
        <v>1000</v>
      </c>
      <c r="HW10" s="57">
        <v>1000</v>
      </c>
      <c r="IR10" s="57">
        <v>1000</v>
      </c>
      <c r="JM10" s="57">
        <v>1000</v>
      </c>
      <c r="KH10" s="57">
        <v>1000</v>
      </c>
      <c r="LC10" s="57">
        <v>1000</v>
      </c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65</v>
      </c>
      <c r="BD11" s="48"/>
      <c r="BF11" s="48"/>
      <c r="BH11" s="59">
        <v>65</v>
      </c>
      <c r="BZ11" s="48"/>
      <c r="CB11" s="48"/>
      <c r="CD11" s="59">
        <v>65</v>
      </c>
      <c r="CW11" s="48"/>
      <c r="CY11" s="48"/>
      <c r="DA11" s="59">
        <v>65</v>
      </c>
      <c r="DR11" s="48"/>
      <c r="DT11" s="48"/>
      <c r="DV11" s="59">
        <v>65</v>
      </c>
      <c r="EM11" s="48"/>
      <c r="EO11" s="48"/>
      <c r="EQ11" s="59">
        <v>65</v>
      </c>
      <c r="FH11" s="48"/>
      <c r="FJ11" s="48"/>
      <c r="FL11" s="59">
        <v>65</v>
      </c>
      <c r="GC11" s="48"/>
      <c r="GE11" s="48"/>
      <c r="GG11" s="59">
        <v>65</v>
      </c>
      <c r="GX11" s="48"/>
      <c r="GZ11" s="48"/>
      <c r="HB11" s="59">
        <v>65</v>
      </c>
      <c r="HS11" s="48"/>
      <c r="HU11" s="48"/>
      <c r="HW11" s="59">
        <v>65</v>
      </c>
      <c r="IN11" s="48"/>
      <c r="IP11" s="48"/>
      <c r="IR11" s="59">
        <v>65</v>
      </c>
      <c r="JI11" s="48"/>
      <c r="JK11" s="48"/>
      <c r="JM11" s="59">
        <v>65</v>
      </c>
      <c r="KD11" s="48"/>
      <c r="KF11" s="48"/>
      <c r="KH11" s="59">
        <v>65</v>
      </c>
      <c r="KY11" s="48"/>
      <c r="LA11" s="48"/>
      <c r="LC11" s="59">
        <v>65</v>
      </c>
      <c r="LT11" s="48"/>
      <c r="LV11" s="48"/>
      <c r="LX11" s="59">
        <v>65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66.8</v>
      </c>
      <c r="BD12" s="48"/>
      <c r="BF12" s="48"/>
      <c r="BH12" s="58">
        <v>66.8</v>
      </c>
      <c r="BZ12" s="48"/>
      <c r="CB12" s="48"/>
      <c r="CD12" s="58">
        <v>66.8</v>
      </c>
      <c r="CW12" s="48"/>
      <c r="CY12" s="48"/>
      <c r="DA12" s="58">
        <v>130</v>
      </c>
      <c r="DR12" s="48"/>
      <c r="DT12" s="48"/>
      <c r="DV12" s="58">
        <v>66.8</v>
      </c>
      <c r="EM12" s="48"/>
      <c r="EO12" s="48"/>
      <c r="EQ12" s="58">
        <v>66.8</v>
      </c>
      <c r="FH12" s="48"/>
      <c r="FJ12" s="48"/>
      <c r="FL12" s="58">
        <v>66.8</v>
      </c>
      <c r="GC12" s="48"/>
      <c r="GE12" s="48"/>
      <c r="GG12" s="58">
        <v>66.8</v>
      </c>
      <c r="GX12" s="48"/>
      <c r="GZ12" s="48"/>
      <c r="HB12" s="58">
        <v>66.8</v>
      </c>
      <c r="HS12" s="48"/>
      <c r="HU12" s="48"/>
      <c r="HW12" s="58">
        <v>66.8</v>
      </c>
      <c r="IN12" s="48"/>
      <c r="IP12" s="48"/>
      <c r="IR12" s="58">
        <v>66.8</v>
      </c>
      <c r="JI12" s="48"/>
      <c r="JK12" s="48"/>
      <c r="JM12" s="58">
        <v>66.8</v>
      </c>
      <c r="KD12" s="48"/>
      <c r="KF12" s="48"/>
      <c r="KH12" s="58">
        <v>66.8</v>
      </c>
      <c r="KY12" s="48"/>
      <c r="LA12" s="48"/>
      <c r="LC12" s="58">
        <v>66.8</v>
      </c>
      <c r="LT12" s="48"/>
      <c r="LV12" s="48"/>
      <c r="LX12" s="58">
        <v>66.8</v>
      </c>
    </row>
    <row r="13" spans="1:358" x14ac:dyDescent="0.2">
      <c r="A13" s="48"/>
      <c r="B13" s="105" t="s">
        <v>58</v>
      </c>
      <c r="C13" s="47"/>
      <c r="AH13" s="48"/>
      <c r="AJ13" s="48"/>
      <c r="AL13" s="106">
        <v>66.8</v>
      </c>
      <c r="BD13" s="48"/>
      <c r="BF13" s="48"/>
      <c r="BG13" s="118"/>
      <c r="BH13" s="106">
        <v>66.8</v>
      </c>
      <c r="BZ13" s="48"/>
      <c r="CB13" s="48"/>
      <c r="CD13" s="106">
        <v>66.8</v>
      </c>
      <c r="CW13" s="48"/>
      <c r="CY13" s="48"/>
      <c r="DA13" s="106">
        <v>130</v>
      </c>
      <c r="DR13" s="48"/>
      <c r="DT13" s="48"/>
      <c r="DU13" s="118"/>
      <c r="DV13" s="106">
        <v>66.8</v>
      </c>
      <c r="EM13" s="48"/>
      <c r="EO13" s="48"/>
      <c r="EQ13" s="106">
        <v>66.8</v>
      </c>
      <c r="FH13" s="48"/>
      <c r="FJ13" s="48"/>
      <c r="FL13" s="106">
        <v>66.8</v>
      </c>
      <c r="GC13" s="48"/>
      <c r="GE13" s="48"/>
      <c r="GG13" s="106">
        <v>66.8</v>
      </c>
      <c r="GX13" s="48"/>
      <c r="GZ13" s="48"/>
      <c r="HB13" s="106">
        <v>66.8</v>
      </c>
      <c r="HS13" s="48"/>
      <c r="HU13" s="48"/>
      <c r="HW13" s="106">
        <v>66.8</v>
      </c>
      <c r="IN13" s="48"/>
      <c r="IP13" s="48"/>
      <c r="IR13" s="106">
        <v>66.8</v>
      </c>
      <c r="JI13" s="48"/>
      <c r="JK13" s="48"/>
      <c r="JM13" s="106">
        <v>66.8</v>
      </c>
      <c r="KD13" s="48"/>
      <c r="KF13" s="48"/>
      <c r="KH13" s="106">
        <v>66.8</v>
      </c>
      <c r="KY13" s="48"/>
      <c r="LA13" s="48"/>
      <c r="LC13" s="106">
        <v>66.8</v>
      </c>
      <c r="LT13" s="48"/>
      <c r="LV13" s="48"/>
      <c r="LX13" s="106">
        <v>66.8</v>
      </c>
    </row>
    <row r="14" spans="1:358" hidden="1" x14ac:dyDescent="0.2">
      <c r="A14" s="48"/>
      <c r="B14" s="66" t="s">
        <v>31</v>
      </c>
      <c r="C14" s="47"/>
      <c r="AH14" s="48"/>
      <c r="AJ14" s="48"/>
      <c r="AK14" s="118"/>
      <c r="AL14" s="60">
        <v>1000</v>
      </c>
      <c r="BD14" s="48"/>
      <c r="BF14" s="48"/>
      <c r="BG14" s="11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AH15" s="48"/>
      <c r="AJ15" s="48"/>
      <c r="BD15" s="48"/>
      <c r="BF15" s="48"/>
      <c r="BZ15" s="48"/>
      <c r="CB15" s="48"/>
      <c r="CW15" s="48"/>
      <c r="CX15" s="6"/>
      <c r="CY15" s="48"/>
      <c r="DR15" s="48"/>
      <c r="DT15" s="48"/>
      <c r="EM15" s="48"/>
      <c r="EO15" s="48"/>
      <c r="FH15" s="48"/>
      <c r="FJ15" s="48"/>
      <c r="GC15" s="48"/>
      <c r="GE15" s="48"/>
      <c r="GX15" s="48"/>
      <c r="GZ15" s="48"/>
      <c r="HS15" s="48"/>
      <c r="HU15" s="48"/>
      <c r="IN15" s="48"/>
      <c r="IP15" s="48"/>
      <c r="JI15" s="48"/>
      <c r="JK15" s="48"/>
      <c r="KD15" s="48"/>
      <c r="KE15" s="6"/>
      <c r="KF15" s="48"/>
      <c r="KY15" s="48"/>
      <c r="LA15" s="48"/>
      <c r="LT15" s="48"/>
      <c r="LV15" s="48"/>
    </row>
    <row r="16" spans="1:358" x14ac:dyDescent="0.2">
      <c r="A16" s="48"/>
      <c r="B16" s="48"/>
      <c r="C16" s="47"/>
      <c r="AH16" s="48"/>
      <c r="AJ16" s="48"/>
      <c r="BD16" s="48"/>
      <c r="BF16" s="48"/>
      <c r="BZ16" s="48"/>
      <c r="CB16" s="48"/>
      <c r="CW16" s="48"/>
      <c r="CY16" s="48"/>
      <c r="DR16" s="48"/>
      <c r="DT16" s="48"/>
      <c r="EM16" s="48"/>
      <c r="EO16" s="48"/>
      <c r="FH16" s="48"/>
      <c r="FJ16" s="48"/>
      <c r="GC16" s="48"/>
      <c r="GE16" s="48"/>
      <c r="GX16" s="48"/>
      <c r="GZ16" s="48"/>
      <c r="HS16" s="48"/>
      <c r="HU16" s="48"/>
      <c r="IN16" s="48"/>
      <c r="IP16" s="48"/>
      <c r="JI16" s="48"/>
      <c r="JK16" s="48"/>
      <c r="KD16" s="48"/>
      <c r="KF16" s="48"/>
      <c r="KY16" s="48"/>
      <c r="LA16" s="48"/>
      <c r="LT16" s="48"/>
      <c r="LV16" s="48"/>
    </row>
    <row r="17" spans="1:334" x14ac:dyDescent="0.2">
      <c r="A17" s="48"/>
      <c r="B17" s="48"/>
      <c r="C17" s="47"/>
      <c r="AH17" s="48"/>
      <c r="AJ17" s="48"/>
      <c r="BD17" s="48"/>
      <c r="BF17" s="48"/>
      <c r="BZ17" s="48"/>
      <c r="CB17" s="48"/>
      <c r="CW17" s="48"/>
      <c r="CY17" s="48"/>
      <c r="DR17" s="48"/>
      <c r="DT17" s="48"/>
      <c r="EM17" s="48"/>
      <c r="EO17" s="48"/>
      <c r="FH17" s="48"/>
      <c r="FJ17" s="48"/>
      <c r="GC17" s="48"/>
      <c r="GE17" s="48"/>
      <c r="GX17" s="48"/>
      <c r="GZ17" s="48"/>
      <c r="HS17" s="48"/>
      <c r="HU17" s="48"/>
      <c r="IN17" s="48"/>
      <c r="IP17" s="48"/>
      <c r="JI17" s="48"/>
      <c r="JK17" s="48"/>
      <c r="KD17" s="48"/>
      <c r="KF17" s="48"/>
      <c r="KY17" s="48"/>
      <c r="LA17" s="48"/>
      <c r="LT17" s="48"/>
      <c r="LV17" s="48"/>
    </row>
    <row r="18" spans="1:334" x14ac:dyDescent="0.2">
      <c r="A18" s="48"/>
      <c r="B18" s="48"/>
      <c r="C18" s="47"/>
    </row>
  </sheetData>
  <sheetProtection sheet="1" formatCells="0" formatColumns="0" formatRows="0"/>
  <autoFilter ref="A1:MT4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4">
    <cfRule type="expression" dxfId="19" priority="2" stopIfTrue="1">
      <formula>IF($BC4&lt;&gt;"",1,0)</formula>
    </cfRule>
  </conditionalFormatting>
  <conditionalFormatting sqref="Q4:AL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4103" operator="between">
      <formula>AL$10</formula>
      <formula>1000</formula>
    </cfRule>
    <cfRule type="cellIs" dxfId="6" priority="44104" operator="between">
      <formula>AL$9</formula>
      <formula>AL$10</formula>
    </cfRule>
    <cfRule type="cellIs" dxfId="5" priority="44105" operator="between">
      <formula>AL$8</formula>
      <formula>AL$9</formula>
    </cfRule>
    <cfRule type="cellIs" dxfId="4" priority="4410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4283" operator="between">
      <formula>AL$14</formula>
      <formula>1000</formula>
    </cfRule>
    <cfRule type="cellIs" dxfId="2" priority="44284" operator="between">
      <formula>AL$13</formula>
      <formula>AL$14</formula>
    </cfRule>
    <cfRule type="cellIs" dxfId="1" priority="44285" operator="between">
      <formula>AL$12</formula>
      <formula>AL$13</formula>
    </cfRule>
    <cfRule type="cellIs" dxfId="0" priority="44286" operator="between">
      <formula>AL$11</formula>
      <formula>AL$12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2021-10-28T19:58:25Z</dcterms:modified>
</cp:coreProperties>
</file>