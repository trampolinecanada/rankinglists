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Old Versions/Junior/"/>
    </mc:Choice>
  </mc:AlternateContent>
  <xr:revisionPtr revIDLastSave="0" documentId="13_ncr:1_{5033134C-8593-E047-993F-0936F71FDEFA}" xr6:coauthVersionLast="43" xr6:coauthVersionMax="43" xr10:uidLastSave="{00000000-0000-0000-0000-000000000000}"/>
  <bookViews>
    <workbookView xWindow="0" yWindow="460" windowWidth="3358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Y15" i="2" l="1"/>
  <c r="KX15" i="2"/>
  <c r="KV15" i="2"/>
  <c r="KU15" i="2"/>
  <c r="KT15" i="2"/>
  <c r="KY14" i="2"/>
  <c r="KX14" i="2"/>
  <c r="KV14" i="2"/>
  <c r="KU14" i="2"/>
  <c r="KT14" i="2"/>
  <c r="KY12" i="2"/>
  <c r="KX12" i="2"/>
  <c r="KV12" i="2"/>
  <c r="KU12" i="2"/>
  <c r="KT12" i="2"/>
  <c r="KY11" i="2"/>
  <c r="KX11" i="2"/>
  <c r="KV11" i="2"/>
  <c r="KU11" i="2"/>
  <c r="KW11" i="2" s="1"/>
  <c r="KT11" i="2"/>
  <c r="KY10" i="2"/>
  <c r="KX10" i="2"/>
  <c r="KV10" i="2"/>
  <c r="KU10" i="2"/>
  <c r="KW10" i="2" s="1"/>
  <c r="KZ10" i="2" s="1"/>
  <c r="KT10" i="2"/>
  <c r="KY13" i="2"/>
  <c r="KX13" i="2"/>
  <c r="KV13" i="2"/>
  <c r="KW13" i="2" s="1"/>
  <c r="KZ13" i="2" s="1"/>
  <c r="KU13" i="2"/>
  <c r="KT13" i="2"/>
  <c r="KY9" i="2"/>
  <c r="KX9" i="2"/>
  <c r="KV9" i="2"/>
  <c r="KU9" i="2"/>
  <c r="KW9" i="2" s="1"/>
  <c r="KT9" i="2"/>
  <c r="KY8" i="2"/>
  <c r="KX8" i="2"/>
  <c r="KV8" i="2"/>
  <c r="KU8" i="2"/>
  <c r="KW8" i="2" s="1"/>
  <c r="KZ8" i="2" s="1"/>
  <c r="KT8" i="2"/>
  <c r="KY7" i="2"/>
  <c r="KX7" i="2"/>
  <c r="KV7" i="2"/>
  <c r="KU7" i="2"/>
  <c r="KW7" i="2" s="1"/>
  <c r="KZ7" i="2" s="1"/>
  <c r="KT7" i="2"/>
  <c r="KY6" i="2"/>
  <c r="KX6" i="2"/>
  <c r="KV6" i="2"/>
  <c r="KU6" i="2"/>
  <c r="KT6" i="2"/>
  <c r="KY5" i="2"/>
  <c r="KX5" i="2"/>
  <c r="KV5" i="2"/>
  <c r="KU5" i="2"/>
  <c r="KT5" i="2"/>
  <c r="KY4" i="2"/>
  <c r="KX4" i="2"/>
  <c r="KV4" i="2"/>
  <c r="KU4" i="2"/>
  <c r="KT4" i="2"/>
  <c r="KC15" i="2"/>
  <c r="KB15" i="2"/>
  <c r="JZ15" i="2"/>
  <c r="JY15" i="2"/>
  <c r="JX15" i="2"/>
  <c r="KC14" i="2"/>
  <c r="KB14" i="2"/>
  <c r="JZ14" i="2"/>
  <c r="JY14" i="2"/>
  <c r="JX14" i="2"/>
  <c r="KC12" i="2"/>
  <c r="KB12" i="2"/>
  <c r="JZ12" i="2"/>
  <c r="JY12" i="2"/>
  <c r="KA12" i="2" s="1"/>
  <c r="JX12" i="2"/>
  <c r="KC11" i="2"/>
  <c r="KB11" i="2"/>
  <c r="JZ11" i="2"/>
  <c r="JY11" i="2"/>
  <c r="KA11" i="2" s="1"/>
  <c r="KD11" i="2" s="1"/>
  <c r="JX11" i="2"/>
  <c r="KC10" i="2"/>
  <c r="KB10" i="2"/>
  <c r="JZ10" i="2"/>
  <c r="JY10" i="2"/>
  <c r="KA10" i="2" s="1"/>
  <c r="KD10" i="2" s="1"/>
  <c r="JX10" i="2"/>
  <c r="KC13" i="2"/>
  <c r="KB13" i="2"/>
  <c r="JZ13" i="2"/>
  <c r="JY13" i="2"/>
  <c r="JX13" i="2"/>
  <c r="KC9" i="2"/>
  <c r="KB9" i="2"/>
  <c r="JZ9" i="2"/>
  <c r="JY9" i="2"/>
  <c r="KA9" i="2" s="1"/>
  <c r="KD9" i="2" s="1"/>
  <c r="JX9" i="2"/>
  <c r="KC8" i="2"/>
  <c r="KB8" i="2"/>
  <c r="JZ8" i="2"/>
  <c r="JY8" i="2"/>
  <c r="JX8" i="2"/>
  <c r="KC7" i="2"/>
  <c r="KB7" i="2"/>
  <c r="JZ7" i="2"/>
  <c r="JY7" i="2"/>
  <c r="JX7" i="2"/>
  <c r="KC6" i="2"/>
  <c r="KB6" i="2"/>
  <c r="JZ6" i="2"/>
  <c r="JY6" i="2"/>
  <c r="JX6" i="2"/>
  <c r="KC5" i="2"/>
  <c r="KB5" i="2"/>
  <c r="JZ5" i="2"/>
  <c r="JY5" i="2"/>
  <c r="JX5" i="2"/>
  <c r="KC4" i="2"/>
  <c r="KB4" i="2"/>
  <c r="JZ4" i="2"/>
  <c r="JY4" i="2"/>
  <c r="JX4" i="2"/>
  <c r="JG15" i="2"/>
  <c r="JF15" i="2"/>
  <c r="JD15" i="2"/>
  <c r="JC15" i="2"/>
  <c r="JB15" i="2"/>
  <c r="JG14" i="2"/>
  <c r="JF14" i="2"/>
  <c r="JD14" i="2"/>
  <c r="JC14" i="2"/>
  <c r="JB14" i="2"/>
  <c r="JG12" i="2"/>
  <c r="JF12" i="2"/>
  <c r="JD12" i="2"/>
  <c r="JC12" i="2"/>
  <c r="JE12" i="2" s="1"/>
  <c r="JH12" i="2" s="1"/>
  <c r="JB12" i="2"/>
  <c r="JG11" i="2"/>
  <c r="JF11" i="2"/>
  <c r="JD11" i="2"/>
  <c r="JC11" i="2"/>
  <c r="JB11" i="2"/>
  <c r="JG10" i="2"/>
  <c r="JF10" i="2"/>
  <c r="JD10" i="2"/>
  <c r="JC10" i="2"/>
  <c r="JE10" i="2" s="1"/>
  <c r="JH10" i="2" s="1"/>
  <c r="JB10" i="2"/>
  <c r="JG13" i="2"/>
  <c r="JF13" i="2"/>
  <c r="JD13" i="2"/>
  <c r="JC13" i="2"/>
  <c r="JB13" i="2"/>
  <c r="JG9" i="2"/>
  <c r="JF9" i="2"/>
  <c r="JD9" i="2"/>
  <c r="JC9" i="2"/>
  <c r="JB9" i="2"/>
  <c r="JG8" i="2"/>
  <c r="JF8" i="2"/>
  <c r="JD8" i="2"/>
  <c r="JC8" i="2"/>
  <c r="JB8" i="2"/>
  <c r="JG7" i="2"/>
  <c r="JF7" i="2"/>
  <c r="JD7" i="2"/>
  <c r="JC7" i="2"/>
  <c r="JE7" i="2" s="1"/>
  <c r="JH7" i="2" s="1"/>
  <c r="JB7" i="2"/>
  <c r="JG6" i="2"/>
  <c r="JF6" i="2"/>
  <c r="JD6" i="2"/>
  <c r="JC6" i="2"/>
  <c r="JB6" i="2"/>
  <c r="JG5" i="2"/>
  <c r="JF5" i="2"/>
  <c r="JD5" i="2"/>
  <c r="JC5" i="2"/>
  <c r="JB5" i="2"/>
  <c r="JG4" i="2"/>
  <c r="JF4" i="2"/>
  <c r="JD4" i="2"/>
  <c r="JC4" i="2"/>
  <c r="JB4" i="2"/>
  <c r="IK15" i="2"/>
  <c r="IJ15" i="2"/>
  <c r="IH15" i="2"/>
  <c r="IG15" i="2"/>
  <c r="II15" i="2" s="1"/>
  <c r="IF15" i="2"/>
  <c r="IK14" i="2"/>
  <c r="IJ14" i="2"/>
  <c r="IH14" i="2"/>
  <c r="IG14" i="2"/>
  <c r="IF14" i="2"/>
  <c r="IK12" i="2"/>
  <c r="IJ12" i="2"/>
  <c r="IH12" i="2"/>
  <c r="IG12" i="2"/>
  <c r="IF12" i="2"/>
  <c r="IK11" i="2"/>
  <c r="IJ11" i="2"/>
  <c r="IH11" i="2"/>
  <c r="IG11" i="2"/>
  <c r="II11" i="2" s="1"/>
  <c r="IF11" i="2"/>
  <c r="IK10" i="2"/>
  <c r="IJ10" i="2"/>
  <c r="IH10" i="2"/>
  <c r="IG10" i="2"/>
  <c r="IF10" i="2"/>
  <c r="IK13" i="2"/>
  <c r="IJ13" i="2"/>
  <c r="IH13" i="2"/>
  <c r="II13" i="2" s="1"/>
  <c r="IL13" i="2" s="1"/>
  <c r="IG13" i="2"/>
  <c r="IF13" i="2"/>
  <c r="IK9" i="2"/>
  <c r="IJ9" i="2"/>
  <c r="IH9" i="2"/>
  <c r="IG9" i="2"/>
  <c r="II9" i="2" s="1"/>
  <c r="IF9" i="2"/>
  <c r="IK8" i="2"/>
  <c r="IJ8" i="2"/>
  <c r="IH8" i="2"/>
  <c r="IG8" i="2"/>
  <c r="II8" i="2" s="1"/>
  <c r="IF8" i="2"/>
  <c r="IK7" i="2"/>
  <c r="IJ7" i="2"/>
  <c r="IH7" i="2"/>
  <c r="IG7" i="2"/>
  <c r="II7" i="2" s="1"/>
  <c r="IL7" i="2" s="1"/>
  <c r="IF7" i="2"/>
  <c r="IK6" i="2"/>
  <c r="IJ6" i="2"/>
  <c r="IH6" i="2"/>
  <c r="IG6" i="2"/>
  <c r="IF6" i="2"/>
  <c r="IK5" i="2"/>
  <c r="IJ5" i="2"/>
  <c r="IH5" i="2"/>
  <c r="IG5" i="2"/>
  <c r="IF5" i="2"/>
  <c r="IK4" i="2"/>
  <c r="IJ4" i="2"/>
  <c r="IH4" i="2"/>
  <c r="IG4" i="2"/>
  <c r="IF4" i="2"/>
  <c r="HO15" i="2"/>
  <c r="HN15" i="2"/>
  <c r="HL15" i="2"/>
  <c r="HK15" i="2"/>
  <c r="HM15" i="2" s="1"/>
  <c r="HJ15" i="2"/>
  <c r="HO14" i="2"/>
  <c r="HN14" i="2"/>
  <c r="HL14" i="2"/>
  <c r="HK14" i="2"/>
  <c r="HJ14" i="2"/>
  <c r="HO12" i="2"/>
  <c r="HN12" i="2"/>
  <c r="HL12" i="2"/>
  <c r="HK12" i="2"/>
  <c r="HJ12" i="2"/>
  <c r="HO11" i="2"/>
  <c r="HN11" i="2"/>
  <c r="HL11" i="2"/>
  <c r="HK11" i="2"/>
  <c r="HJ11" i="2"/>
  <c r="HO10" i="2"/>
  <c r="HN10" i="2"/>
  <c r="HL10" i="2"/>
  <c r="HM10" i="2" s="1"/>
  <c r="HP10" i="2" s="1"/>
  <c r="HK10" i="2"/>
  <c r="HJ10" i="2"/>
  <c r="HO13" i="2"/>
  <c r="HN13" i="2"/>
  <c r="HL13" i="2"/>
  <c r="HK13" i="2"/>
  <c r="HJ13" i="2"/>
  <c r="HO9" i="2"/>
  <c r="HN9" i="2"/>
  <c r="HL9" i="2"/>
  <c r="HK9" i="2"/>
  <c r="HJ9" i="2"/>
  <c r="HO8" i="2"/>
  <c r="HN8" i="2"/>
  <c r="HL8" i="2"/>
  <c r="HK8" i="2"/>
  <c r="HJ8" i="2"/>
  <c r="HO7" i="2"/>
  <c r="HN7" i="2"/>
  <c r="HL7" i="2"/>
  <c r="HK7" i="2"/>
  <c r="HJ7" i="2"/>
  <c r="HO6" i="2"/>
  <c r="HN6" i="2"/>
  <c r="HL6" i="2"/>
  <c r="HK6" i="2"/>
  <c r="HJ6" i="2"/>
  <c r="HO5" i="2"/>
  <c r="HN5" i="2"/>
  <c r="HL5" i="2"/>
  <c r="HK5" i="2"/>
  <c r="HM5" i="2" s="1"/>
  <c r="HP5" i="2" s="1"/>
  <c r="HJ5" i="2"/>
  <c r="HO4" i="2"/>
  <c r="HN4" i="2"/>
  <c r="HL4" i="2"/>
  <c r="HK4" i="2"/>
  <c r="HM4" i="2" s="1"/>
  <c r="HJ4" i="2"/>
  <c r="GS15" i="2"/>
  <c r="GR15" i="2"/>
  <c r="GP15" i="2"/>
  <c r="GO15" i="2"/>
  <c r="GN15" i="2"/>
  <c r="GS14" i="2"/>
  <c r="GR14" i="2"/>
  <c r="GP14" i="2"/>
  <c r="GO14" i="2"/>
  <c r="GN14" i="2"/>
  <c r="GS12" i="2"/>
  <c r="GR12" i="2"/>
  <c r="GP12" i="2"/>
  <c r="GO12" i="2"/>
  <c r="GQ12" i="2" s="1"/>
  <c r="GN12" i="2"/>
  <c r="GS11" i="2"/>
  <c r="GR11" i="2"/>
  <c r="GP11" i="2"/>
  <c r="GO11" i="2"/>
  <c r="GN11" i="2"/>
  <c r="GS10" i="2"/>
  <c r="GR10" i="2"/>
  <c r="GP10" i="2"/>
  <c r="GO10" i="2"/>
  <c r="GN10" i="2"/>
  <c r="GS13" i="2"/>
  <c r="GR13" i="2"/>
  <c r="GP13" i="2"/>
  <c r="GO13" i="2"/>
  <c r="GN13" i="2"/>
  <c r="GS9" i="2"/>
  <c r="GR9" i="2"/>
  <c r="GP9" i="2"/>
  <c r="GO9" i="2"/>
  <c r="GQ9" i="2" s="1"/>
  <c r="GT9" i="2" s="1"/>
  <c r="GN9" i="2"/>
  <c r="GS8" i="2"/>
  <c r="GR8" i="2"/>
  <c r="GP8" i="2"/>
  <c r="GO8" i="2"/>
  <c r="GN8" i="2"/>
  <c r="GS7" i="2"/>
  <c r="GR7" i="2"/>
  <c r="GP7" i="2"/>
  <c r="GO7" i="2"/>
  <c r="GN7" i="2"/>
  <c r="GS6" i="2"/>
  <c r="GR6" i="2"/>
  <c r="GP6" i="2"/>
  <c r="GO6" i="2"/>
  <c r="GQ6" i="2" s="1"/>
  <c r="GT6" i="2" s="1"/>
  <c r="GN6" i="2"/>
  <c r="GS5" i="2"/>
  <c r="GR5" i="2"/>
  <c r="GP5" i="2"/>
  <c r="GO5" i="2"/>
  <c r="GQ5" i="2" s="1"/>
  <c r="GN5" i="2"/>
  <c r="GS4" i="2"/>
  <c r="GR4" i="2"/>
  <c r="GP4" i="2"/>
  <c r="GO4" i="2"/>
  <c r="GN4" i="2"/>
  <c r="FW15" i="2"/>
  <c r="FV15" i="2"/>
  <c r="FT15" i="2"/>
  <c r="FS15" i="2"/>
  <c r="FU15" i="2" s="1"/>
  <c r="FX15" i="2" s="1"/>
  <c r="FR15" i="2"/>
  <c r="FW14" i="2"/>
  <c r="FV14" i="2"/>
  <c r="FT14" i="2"/>
  <c r="FS14" i="2"/>
  <c r="FR14" i="2"/>
  <c r="FW12" i="2"/>
  <c r="FV12" i="2"/>
  <c r="FT12" i="2"/>
  <c r="FS12" i="2"/>
  <c r="FR12" i="2"/>
  <c r="FW11" i="2"/>
  <c r="FV11" i="2"/>
  <c r="FT11" i="2"/>
  <c r="FS11" i="2"/>
  <c r="FU11" i="2" s="1"/>
  <c r="FX11" i="2" s="1"/>
  <c r="FR11" i="2"/>
  <c r="FW10" i="2"/>
  <c r="FV10" i="2"/>
  <c r="FT10" i="2"/>
  <c r="FS10" i="2"/>
  <c r="FR10" i="2"/>
  <c r="FW13" i="2"/>
  <c r="FV13" i="2"/>
  <c r="FT13" i="2"/>
  <c r="FS13" i="2"/>
  <c r="FR13" i="2"/>
  <c r="FW9" i="2"/>
  <c r="FV9" i="2"/>
  <c r="FT9" i="2"/>
  <c r="FS9" i="2"/>
  <c r="FU9" i="2" s="1"/>
  <c r="FX9" i="2" s="1"/>
  <c r="FR9" i="2"/>
  <c r="FW8" i="2"/>
  <c r="FV8" i="2"/>
  <c r="FT8" i="2"/>
  <c r="FS8" i="2"/>
  <c r="FR8" i="2"/>
  <c r="FW7" i="2"/>
  <c r="FV7" i="2"/>
  <c r="FT7" i="2"/>
  <c r="FS7" i="2"/>
  <c r="FR7" i="2"/>
  <c r="FW6" i="2"/>
  <c r="FV6" i="2"/>
  <c r="FT6" i="2"/>
  <c r="FS6" i="2"/>
  <c r="FU6" i="2" s="1"/>
  <c r="FR6" i="2"/>
  <c r="FW5" i="2"/>
  <c r="FV5" i="2"/>
  <c r="FT5" i="2"/>
  <c r="FS5" i="2"/>
  <c r="FU5" i="2" s="1"/>
  <c r="FX5" i="2" s="1"/>
  <c r="FR5" i="2"/>
  <c r="FW4" i="2"/>
  <c r="FV4" i="2"/>
  <c r="FT4" i="2"/>
  <c r="FS4" i="2"/>
  <c r="FU4" i="2" s="1"/>
  <c r="FR4" i="2"/>
  <c r="FA15" i="2"/>
  <c r="EZ15" i="2"/>
  <c r="EX15" i="2"/>
  <c r="EW15" i="2"/>
  <c r="EV15" i="2"/>
  <c r="FA14" i="2"/>
  <c r="EZ14" i="2"/>
  <c r="EX14" i="2"/>
  <c r="EW14" i="2"/>
  <c r="EV14" i="2"/>
  <c r="FA12" i="2"/>
  <c r="EZ12" i="2"/>
  <c r="EX12" i="2"/>
  <c r="EW12" i="2"/>
  <c r="EV12" i="2"/>
  <c r="FA11" i="2"/>
  <c r="EZ11" i="2"/>
  <c r="EY11" i="2"/>
  <c r="EX11" i="2"/>
  <c r="EW11" i="2"/>
  <c r="EV11" i="2"/>
  <c r="FA10" i="2"/>
  <c r="EZ10" i="2"/>
  <c r="EX10" i="2"/>
  <c r="EW10" i="2"/>
  <c r="EY10" i="2" s="1"/>
  <c r="FB10" i="2" s="1"/>
  <c r="EV10" i="2"/>
  <c r="FA13" i="2"/>
  <c r="EZ13" i="2"/>
  <c r="EX13" i="2"/>
  <c r="EW13" i="2"/>
  <c r="EV13" i="2"/>
  <c r="FA9" i="2"/>
  <c r="EZ9" i="2"/>
  <c r="EX9" i="2"/>
  <c r="EW9" i="2"/>
  <c r="EV9" i="2"/>
  <c r="FA8" i="2"/>
  <c r="EZ8" i="2"/>
  <c r="EX8" i="2"/>
  <c r="EW8" i="2"/>
  <c r="EV8" i="2"/>
  <c r="FA7" i="2"/>
  <c r="EZ7" i="2"/>
  <c r="EX7" i="2"/>
  <c r="EW7" i="2"/>
  <c r="EV7" i="2"/>
  <c r="FA6" i="2"/>
  <c r="EZ6" i="2"/>
  <c r="EX6" i="2"/>
  <c r="EW6" i="2"/>
  <c r="EV6" i="2"/>
  <c r="FA5" i="2"/>
  <c r="EZ5" i="2"/>
  <c r="EX5" i="2"/>
  <c r="EW5" i="2"/>
  <c r="EY5" i="2" s="1"/>
  <c r="EV5" i="2"/>
  <c r="FA4" i="2"/>
  <c r="EZ4" i="2"/>
  <c r="EX4" i="2"/>
  <c r="EY4" i="2" s="1"/>
  <c r="EW4" i="2"/>
  <c r="EV4" i="2"/>
  <c r="EE15" i="2"/>
  <c r="ED15" i="2"/>
  <c r="EB15" i="2"/>
  <c r="EA15" i="2"/>
  <c r="DZ15" i="2"/>
  <c r="EE14" i="2"/>
  <c r="ED14" i="2"/>
  <c r="EB14" i="2"/>
  <c r="EA14" i="2"/>
  <c r="EC14" i="2" s="1"/>
  <c r="DZ14" i="2"/>
  <c r="EE12" i="2"/>
  <c r="ED12" i="2"/>
  <c r="EB12" i="2"/>
  <c r="EA12" i="2"/>
  <c r="DZ12" i="2"/>
  <c r="EE11" i="2"/>
  <c r="ED11" i="2"/>
  <c r="EB11" i="2"/>
  <c r="EA11" i="2"/>
  <c r="DZ11" i="2"/>
  <c r="EE10" i="2"/>
  <c r="ED10" i="2"/>
  <c r="EB10" i="2"/>
  <c r="EC10" i="2" s="1"/>
  <c r="EA10" i="2"/>
  <c r="DZ10" i="2"/>
  <c r="EE13" i="2"/>
  <c r="ED13" i="2"/>
  <c r="EB13" i="2"/>
  <c r="EA13" i="2"/>
  <c r="DZ13" i="2"/>
  <c r="EE9" i="2"/>
  <c r="ED9" i="2"/>
  <c r="EB9" i="2"/>
  <c r="EA9" i="2"/>
  <c r="DZ9" i="2"/>
  <c r="EE8" i="2"/>
  <c r="ED8" i="2"/>
  <c r="EB8" i="2"/>
  <c r="EA8" i="2"/>
  <c r="EC8" i="2" s="1"/>
  <c r="DZ8" i="2"/>
  <c r="EE7" i="2"/>
  <c r="ED7" i="2"/>
  <c r="EB7" i="2"/>
  <c r="EA7" i="2"/>
  <c r="EC7" i="2" s="1"/>
  <c r="EF7" i="2" s="1"/>
  <c r="DZ7" i="2"/>
  <c r="EE6" i="2"/>
  <c r="ED6" i="2"/>
  <c r="EB6" i="2"/>
  <c r="EA6" i="2"/>
  <c r="EC6" i="2" s="1"/>
  <c r="EF6" i="2" s="1"/>
  <c r="DZ6" i="2"/>
  <c r="EE5" i="2"/>
  <c r="ED5" i="2"/>
  <c r="EB5" i="2"/>
  <c r="EA5" i="2"/>
  <c r="DZ5" i="2"/>
  <c r="EE4" i="2"/>
  <c r="ED4" i="2"/>
  <c r="EB4" i="2"/>
  <c r="EA4" i="2"/>
  <c r="EC4" i="2" s="1"/>
  <c r="DZ4" i="2"/>
  <c r="DI15" i="2"/>
  <c r="DH15" i="2"/>
  <c r="DF15" i="2"/>
  <c r="DE15" i="2"/>
  <c r="DD15" i="2"/>
  <c r="DI14" i="2"/>
  <c r="DH14" i="2"/>
  <c r="DF14" i="2"/>
  <c r="DE14" i="2"/>
  <c r="DG14" i="2" s="1"/>
  <c r="DD14" i="2"/>
  <c r="DI12" i="2"/>
  <c r="DH12" i="2"/>
  <c r="DF12" i="2"/>
  <c r="DE12" i="2"/>
  <c r="DD12" i="2"/>
  <c r="DI11" i="2"/>
  <c r="DH11" i="2"/>
  <c r="DF11" i="2"/>
  <c r="DE11" i="2"/>
  <c r="DD11" i="2"/>
  <c r="DI10" i="2"/>
  <c r="DH10" i="2"/>
  <c r="DF10" i="2"/>
  <c r="DE10" i="2"/>
  <c r="DG10" i="2" s="1"/>
  <c r="DJ10" i="2" s="1"/>
  <c r="DD10" i="2"/>
  <c r="DI13" i="2"/>
  <c r="DH13" i="2"/>
  <c r="DF13" i="2"/>
  <c r="DE13" i="2"/>
  <c r="DD13" i="2"/>
  <c r="DI9" i="2"/>
  <c r="DH9" i="2"/>
  <c r="DF9" i="2"/>
  <c r="DE9" i="2"/>
  <c r="DD9" i="2"/>
  <c r="DI8" i="2"/>
  <c r="DH8" i="2"/>
  <c r="DF8" i="2"/>
  <c r="DE8" i="2"/>
  <c r="DD8" i="2"/>
  <c r="DI7" i="2"/>
  <c r="DH7" i="2"/>
  <c r="DF7" i="2"/>
  <c r="DE7" i="2"/>
  <c r="DD7" i="2"/>
  <c r="DI6" i="2"/>
  <c r="DH6" i="2"/>
  <c r="DF6" i="2"/>
  <c r="DE6" i="2"/>
  <c r="DD6" i="2"/>
  <c r="DI5" i="2"/>
  <c r="DH5" i="2"/>
  <c r="DF5" i="2"/>
  <c r="DE5" i="2"/>
  <c r="DG5" i="2" s="1"/>
  <c r="DJ5" i="2" s="1"/>
  <c r="DD5" i="2"/>
  <c r="DI4" i="2"/>
  <c r="DH4" i="2"/>
  <c r="DF4" i="2"/>
  <c r="DE4" i="2"/>
  <c r="DG4" i="2" s="1"/>
  <c r="DD4" i="2"/>
  <c r="CM15" i="2"/>
  <c r="CL15" i="2"/>
  <c r="CJ15" i="2"/>
  <c r="CI15" i="2"/>
  <c r="CK15" i="2" s="1"/>
  <c r="CH15" i="2"/>
  <c r="CM14" i="2"/>
  <c r="CL14" i="2"/>
  <c r="CJ14" i="2"/>
  <c r="CI14" i="2"/>
  <c r="CH14" i="2"/>
  <c r="CM12" i="2"/>
  <c r="CL12" i="2"/>
  <c r="CJ12" i="2"/>
  <c r="CI12" i="2"/>
  <c r="CH12" i="2"/>
  <c r="CM11" i="2"/>
  <c r="CL11" i="2"/>
  <c r="CJ11" i="2"/>
  <c r="CI11" i="2"/>
  <c r="CK11" i="2" s="1"/>
  <c r="CH11" i="2"/>
  <c r="CM10" i="2"/>
  <c r="CL10" i="2"/>
  <c r="CJ10" i="2"/>
  <c r="CI10" i="2"/>
  <c r="CK10" i="2" s="1"/>
  <c r="CN10" i="2" s="1"/>
  <c r="CH10" i="2"/>
  <c r="CM13" i="2"/>
  <c r="CL13" i="2"/>
  <c r="CJ13" i="2"/>
  <c r="CI13" i="2"/>
  <c r="CH13" i="2"/>
  <c r="CM9" i="2"/>
  <c r="CL9" i="2"/>
  <c r="CJ9" i="2"/>
  <c r="CI9" i="2"/>
  <c r="CK9" i="2" s="1"/>
  <c r="CH9" i="2"/>
  <c r="CM8" i="2"/>
  <c r="CL8" i="2"/>
  <c r="CJ8" i="2"/>
  <c r="CI8" i="2"/>
  <c r="CK8" i="2" s="1"/>
  <c r="CH8" i="2"/>
  <c r="CM7" i="2"/>
  <c r="CL7" i="2"/>
  <c r="CJ7" i="2"/>
  <c r="CI7" i="2"/>
  <c r="CH7" i="2"/>
  <c r="CM6" i="2"/>
  <c r="CL6" i="2"/>
  <c r="CJ6" i="2"/>
  <c r="CI6" i="2"/>
  <c r="CH6" i="2"/>
  <c r="CM5" i="2"/>
  <c r="CL5" i="2"/>
  <c r="CJ5" i="2"/>
  <c r="CI5" i="2"/>
  <c r="CH5" i="2"/>
  <c r="CM4" i="2"/>
  <c r="CL4" i="2"/>
  <c r="CJ4" i="2"/>
  <c r="CI4" i="2"/>
  <c r="CK4" i="2" s="1"/>
  <c r="CH4" i="2"/>
  <c r="KY23" i="4"/>
  <c r="KX23" i="4"/>
  <c r="KV23" i="4"/>
  <c r="KU23" i="4"/>
  <c r="KW23" i="4" s="1"/>
  <c r="KZ23" i="4" s="1"/>
  <c r="KT23" i="4"/>
  <c r="KY22" i="4"/>
  <c r="KX22" i="4"/>
  <c r="KV22" i="4"/>
  <c r="KU22" i="4"/>
  <c r="KT22" i="4"/>
  <c r="KY20" i="4"/>
  <c r="KX20" i="4"/>
  <c r="KV20" i="4"/>
  <c r="KU20" i="4"/>
  <c r="KT20" i="4"/>
  <c r="KY19" i="4"/>
  <c r="KX19" i="4"/>
  <c r="KV19" i="4"/>
  <c r="KU19" i="4"/>
  <c r="KW19" i="4" s="1"/>
  <c r="KZ19" i="4" s="1"/>
  <c r="KT19" i="4"/>
  <c r="KY21" i="4"/>
  <c r="KX21" i="4"/>
  <c r="KV21" i="4"/>
  <c r="KU21" i="4"/>
  <c r="KW21" i="4" s="1"/>
  <c r="KZ21" i="4" s="1"/>
  <c r="KT21" i="4"/>
  <c r="KY18" i="4"/>
  <c r="KX18" i="4"/>
  <c r="KV18" i="4"/>
  <c r="KW18" i="4" s="1"/>
  <c r="KZ18" i="4" s="1"/>
  <c r="KU18" i="4"/>
  <c r="KT18" i="4"/>
  <c r="KY17" i="4"/>
  <c r="KX17" i="4"/>
  <c r="KV17" i="4"/>
  <c r="KU17" i="4"/>
  <c r="KW17" i="4" s="1"/>
  <c r="KZ17" i="4" s="1"/>
  <c r="KT17" i="4"/>
  <c r="KY16" i="4"/>
  <c r="KX16" i="4"/>
  <c r="KV16" i="4"/>
  <c r="KU16" i="4"/>
  <c r="KT16" i="4"/>
  <c r="KY15" i="4"/>
  <c r="KX15" i="4"/>
  <c r="KV15" i="4"/>
  <c r="KU15" i="4"/>
  <c r="KW15" i="4" s="1"/>
  <c r="KZ15" i="4" s="1"/>
  <c r="KT15" i="4"/>
  <c r="KY14" i="4"/>
  <c r="KX14" i="4"/>
  <c r="KV14" i="4"/>
  <c r="KU14" i="4"/>
  <c r="KT14" i="4"/>
  <c r="KY13" i="4"/>
  <c r="KX13" i="4"/>
  <c r="KV13" i="4"/>
  <c r="KU13" i="4"/>
  <c r="KW13" i="4" s="1"/>
  <c r="KT13" i="4"/>
  <c r="KY11" i="4"/>
  <c r="KX11" i="4"/>
  <c r="KV11" i="4"/>
  <c r="KU11" i="4"/>
  <c r="KW11" i="4" s="1"/>
  <c r="KZ11" i="4" s="1"/>
  <c r="KT11" i="4"/>
  <c r="KY10" i="4"/>
  <c r="KX10" i="4"/>
  <c r="KV10" i="4"/>
  <c r="KU10" i="4"/>
  <c r="KW10" i="4" s="1"/>
  <c r="KZ10" i="4" s="1"/>
  <c r="KT10" i="4"/>
  <c r="KY12" i="4"/>
  <c r="KX12" i="4"/>
  <c r="KV12" i="4"/>
  <c r="KU12" i="4"/>
  <c r="KT12" i="4"/>
  <c r="KY9" i="4"/>
  <c r="KX9" i="4"/>
  <c r="KV9" i="4"/>
  <c r="KU9" i="4"/>
  <c r="KW9" i="4" s="1"/>
  <c r="KZ9" i="4" s="1"/>
  <c r="KT9" i="4"/>
  <c r="KY8" i="4"/>
  <c r="KX8" i="4"/>
  <c r="KV8" i="4"/>
  <c r="KU8" i="4"/>
  <c r="KT8" i="4"/>
  <c r="KY7" i="4"/>
  <c r="KX7" i="4"/>
  <c r="KV7" i="4"/>
  <c r="KU7" i="4"/>
  <c r="KT7" i="4"/>
  <c r="KY6" i="4"/>
  <c r="KX6" i="4"/>
  <c r="KV6" i="4"/>
  <c r="KU6" i="4"/>
  <c r="KW6" i="4" s="1"/>
  <c r="KZ6" i="4" s="1"/>
  <c r="KT6" i="4"/>
  <c r="KY5" i="4"/>
  <c r="KX5" i="4"/>
  <c r="KV5" i="4"/>
  <c r="KU5" i="4"/>
  <c r="KT5" i="4"/>
  <c r="KY4" i="4"/>
  <c r="KX4" i="4"/>
  <c r="KV4" i="4"/>
  <c r="KU4" i="4"/>
  <c r="KW4" i="4" s="1"/>
  <c r="KZ4" i="4" s="1"/>
  <c r="KT4" i="4"/>
  <c r="KC23" i="4"/>
  <c r="KB23" i="4"/>
  <c r="JZ23" i="4"/>
  <c r="JY23" i="4"/>
  <c r="JX23" i="4"/>
  <c r="KC22" i="4"/>
  <c r="KB22" i="4"/>
  <c r="JZ22" i="4"/>
  <c r="JY22" i="4"/>
  <c r="KA22" i="4" s="1"/>
  <c r="JX22" i="4"/>
  <c r="KC20" i="4"/>
  <c r="KB20" i="4"/>
  <c r="JZ20" i="4"/>
  <c r="JY20" i="4"/>
  <c r="JX20" i="4"/>
  <c r="KC19" i="4"/>
  <c r="KB19" i="4"/>
  <c r="JZ19" i="4"/>
  <c r="JY19" i="4"/>
  <c r="KA19" i="4" s="1"/>
  <c r="JX19" i="4"/>
  <c r="KC21" i="4"/>
  <c r="KB21" i="4"/>
  <c r="JZ21" i="4"/>
  <c r="JY21" i="4"/>
  <c r="KA21" i="4" s="1"/>
  <c r="JX21" i="4"/>
  <c r="KC18" i="4"/>
  <c r="KB18" i="4"/>
  <c r="JZ18" i="4"/>
  <c r="JY18" i="4"/>
  <c r="JX18" i="4"/>
  <c r="KC17" i="4"/>
  <c r="KB17" i="4"/>
  <c r="JZ17" i="4"/>
  <c r="JY17" i="4"/>
  <c r="KA17" i="4" s="1"/>
  <c r="KD17" i="4" s="1"/>
  <c r="JX17" i="4"/>
  <c r="KC16" i="4"/>
  <c r="KB16" i="4"/>
  <c r="JZ16" i="4"/>
  <c r="JY16" i="4"/>
  <c r="JX16" i="4"/>
  <c r="KC15" i="4"/>
  <c r="KB15" i="4"/>
  <c r="JZ15" i="4"/>
  <c r="JY15" i="4"/>
  <c r="KA15" i="4" s="1"/>
  <c r="KD15" i="4" s="1"/>
  <c r="JX15" i="4"/>
  <c r="KC14" i="4"/>
  <c r="KB14" i="4"/>
  <c r="JZ14" i="4"/>
  <c r="JY14" i="4"/>
  <c r="JX14" i="4"/>
  <c r="KC13" i="4"/>
  <c r="KB13" i="4"/>
  <c r="JZ13" i="4"/>
  <c r="JY13" i="4"/>
  <c r="JX13" i="4"/>
  <c r="KC11" i="4"/>
  <c r="KB11" i="4"/>
  <c r="JZ11" i="4"/>
  <c r="JY11" i="4"/>
  <c r="JX11" i="4"/>
  <c r="KC10" i="4"/>
  <c r="KB10" i="4"/>
  <c r="JZ10" i="4"/>
  <c r="KA10" i="4" s="1"/>
  <c r="KD10" i="4" s="1"/>
  <c r="JY10" i="4"/>
  <c r="JX10" i="4"/>
  <c r="KC12" i="4"/>
  <c r="KB12" i="4"/>
  <c r="JZ12" i="4"/>
  <c r="JY12" i="4"/>
  <c r="JX12" i="4"/>
  <c r="KC9" i="4"/>
  <c r="KB9" i="4"/>
  <c r="JZ9" i="4"/>
  <c r="JY9" i="4"/>
  <c r="JX9" i="4"/>
  <c r="KC8" i="4"/>
  <c r="KB8" i="4"/>
  <c r="JZ8" i="4"/>
  <c r="JY8" i="4"/>
  <c r="JX8" i="4"/>
  <c r="KC7" i="4"/>
  <c r="KB7" i="4"/>
  <c r="JZ7" i="4"/>
  <c r="JY7" i="4"/>
  <c r="JX7" i="4"/>
  <c r="KC6" i="4"/>
  <c r="KB6" i="4"/>
  <c r="JZ6" i="4"/>
  <c r="JY6" i="4"/>
  <c r="KA6" i="4" s="1"/>
  <c r="KD6" i="4" s="1"/>
  <c r="JX6" i="4"/>
  <c r="KC5" i="4"/>
  <c r="KB5" i="4"/>
  <c r="JZ5" i="4"/>
  <c r="JY5" i="4"/>
  <c r="JX5" i="4"/>
  <c r="KC4" i="4"/>
  <c r="KB4" i="4"/>
  <c r="JZ4" i="4"/>
  <c r="JY4" i="4"/>
  <c r="JX4" i="4"/>
  <c r="JG23" i="4"/>
  <c r="JF23" i="4"/>
  <c r="JD23" i="4"/>
  <c r="JC23" i="4"/>
  <c r="JB23" i="4"/>
  <c r="JG22" i="4"/>
  <c r="JF22" i="4"/>
  <c r="JD22" i="4"/>
  <c r="JC22" i="4"/>
  <c r="JE22" i="4" s="1"/>
  <c r="JB22" i="4"/>
  <c r="JG20" i="4"/>
  <c r="JF20" i="4"/>
  <c r="JD20" i="4"/>
  <c r="JC20" i="4"/>
  <c r="JB20" i="4"/>
  <c r="JG19" i="4"/>
  <c r="JF19" i="4"/>
  <c r="JD19" i="4"/>
  <c r="JC19" i="4"/>
  <c r="JE19" i="4" s="1"/>
  <c r="JB19" i="4"/>
  <c r="JG21" i="4"/>
  <c r="JF21" i="4"/>
  <c r="JD21" i="4"/>
  <c r="JC21" i="4"/>
  <c r="JE21" i="4" s="1"/>
  <c r="JH21" i="4" s="1"/>
  <c r="JB21" i="4"/>
  <c r="JG18" i="4"/>
  <c r="JF18" i="4"/>
  <c r="JD18" i="4"/>
  <c r="JC18" i="4"/>
  <c r="JB18" i="4"/>
  <c r="JG17" i="4"/>
  <c r="JF17" i="4"/>
  <c r="JD17" i="4"/>
  <c r="JC17" i="4"/>
  <c r="JB17" i="4"/>
  <c r="JG16" i="4"/>
  <c r="JF16" i="4"/>
  <c r="JD16" i="4"/>
  <c r="JC16" i="4"/>
  <c r="JE16" i="4" s="1"/>
  <c r="JB16" i="4"/>
  <c r="JG15" i="4"/>
  <c r="JF15" i="4"/>
  <c r="JD15" i="4"/>
  <c r="JC15" i="4"/>
  <c r="JB15" i="4"/>
  <c r="JG14" i="4"/>
  <c r="JF14" i="4"/>
  <c r="JD14" i="4"/>
  <c r="JC14" i="4"/>
  <c r="JB14" i="4"/>
  <c r="JG13" i="4"/>
  <c r="JF13" i="4"/>
  <c r="JD13" i="4"/>
  <c r="JC13" i="4"/>
  <c r="JB13" i="4"/>
  <c r="JG11" i="4"/>
  <c r="JF11" i="4"/>
  <c r="JD11" i="4"/>
  <c r="JC11" i="4"/>
  <c r="JE11" i="4" s="1"/>
  <c r="JB11" i="4"/>
  <c r="JG10" i="4"/>
  <c r="JF10" i="4"/>
  <c r="JD10" i="4"/>
  <c r="JC10" i="4"/>
  <c r="JE10" i="4" s="1"/>
  <c r="JH10" i="4" s="1"/>
  <c r="JB10" i="4"/>
  <c r="JG12" i="4"/>
  <c r="JF12" i="4"/>
  <c r="JD12" i="4"/>
  <c r="JC12" i="4"/>
  <c r="JB12" i="4"/>
  <c r="JG9" i="4"/>
  <c r="JF9" i="4"/>
  <c r="JD9" i="4"/>
  <c r="JC9" i="4"/>
  <c r="JE9" i="4" s="1"/>
  <c r="JB9" i="4"/>
  <c r="JG8" i="4"/>
  <c r="JF8" i="4"/>
  <c r="JD8" i="4"/>
  <c r="JC8" i="4"/>
  <c r="JB8" i="4"/>
  <c r="JG7" i="4"/>
  <c r="JF7" i="4"/>
  <c r="JD7" i="4"/>
  <c r="JC7" i="4"/>
  <c r="JB7" i="4"/>
  <c r="JG6" i="4"/>
  <c r="JF6" i="4"/>
  <c r="JD6" i="4"/>
  <c r="JC6" i="4"/>
  <c r="JB6" i="4"/>
  <c r="JG5" i="4"/>
  <c r="JF5" i="4"/>
  <c r="JD5" i="4"/>
  <c r="JC5" i="4"/>
  <c r="JE5" i="4" s="1"/>
  <c r="JB5" i="4"/>
  <c r="JG4" i="4"/>
  <c r="JF4" i="4"/>
  <c r="JD4" i="4"/>
  <c r="JE4" i="4" s="1"/>
  <c r="JC4" i="4"/>
  <c r="JB4" i="4"/>
  <c r="IK23" i="4"/>
  <c r="IJ23" i="4"/>
  <c r="IH23" i="4"/>
  <c r="IG23" i="4"/>
  <c r="II23" i="4" s="1"/>
  <c r="IL23" i="4" s="1"/>
  <c r="IF23" i="4"/>
  <c r="IK22" i="4"/>
  <c r="IJ22" i="4"/>
  <c r="IH22" i="4"/>
  <c r="IG22" i="4"/>
  <c r="IF22" i="4"/>
  <c r="IK20" i="4"/>
  <c r="IJ20" i="4"/>
  <c r="IH20" i="4"/>
  <c r="IG20" i="4"/>
  <c r="IF20" i="4"/>
  <c r="IK19" i="4"/>
  <c r="IJ19" i="4"/>
  <c r="IH19" i="4"/>
  <c r="IG19" i="4"/>
  <c r="IF19" i="4"/>
  <c r="IK21" i="4"/>
  <c r="IJ21" i="4"/>
  <c r="IH21" i="4"/>
  <c r="IG21" i="4"/>
  <c r="IF21" i="4"/>
  <c r="IK18" i="4"/>
  <c r="IJ18" i="4"/>
  <c r="IH18" i="4"/>
  <c r="II18" i="4" s="1"/>
  <c r="IL18" i="4" s="1"/>
  <c r="IG18" i="4"/>
  <c r="IF18" i="4"/>
  <c r="IK17" i="4"/>
  <c r="IJ17" i="4"/>
  <c r="IH17" i="4"/>
  <c r="IG17" i="4"/>
  <c r="II17" i="4" s="1"/>
  <c r="IL17" i="4" s="1"/>
  <c r="IF17" i="4"/>
  <c r="IK16" i="4"/>
  <c r="IJ16" i="4"/>
  <c r="IH16" i="4"/>
  <c r="IG16" i="4"/>
  <c r="IF16" i="4"/>
  <c r="IK15" i="4"/>
  <c r="IJ15" i="4"/>
  <c r="IH15" i="4"/>
  <c r="IG15" i="4"/>
  <c r="II15" i="4" s="1"/>
  <c r="IL15" i="4" s="1"/>
  <c r="IF15" i="4"/>
  <c r="IK14" i="4"/>
  <c r="IJ14" i="4"/>
  <c r="IH14" i="4"/>
  <c r="IG14" i="4"/>
  <c r="IF14" i="4"/>
  <c r="IK13" i="4"/>
  <c r="IJ13" i="4"/>
  <c r="IH13" i="4"/>
  <c r="IG13" i="4"/>
  <c r="II13" i="4" s="1"/>
  <c r="IF13" i="4"/>
  <c r="IK11" i="4"/>
  <c r="IJ11" i="4"/>
  <c r="IH11" i="4"/>
  <c r="IG11" i="4"/>
  <c r="II11" i="4" s="1"/>
  <c r="IL11" i="4" s="1"/>
  <c r="IF11" i="4"/>
  <c r="IK10" i="4"/>
  <c r="IJ10" i="4"/>
  <c r="IH10" i="4"/>
  <c r="IG10" i="4"/>
  <c r="II10" i="4" s="1"/>
  <c r="IL10" i="4" s="1"/>
  <c r="IF10" i="4"/>
  <c r="IK12" i="4"/>
  <c r="IJ12" i="4"/>
  <c r="IH12" i="4"/>
  <c r="IG12" i="4"/>
  <c r="IF12" i="4"/>
  <c r="IK9" i="4"/>
  <c r="IJ9" i="4"/>
  <c r="IH9" i="4"/>
  <c r="IG9" i="4"/>
  <c r="II9" i="4" s="1"/>
  <c r="IL9" i="4" s="1"/>
  <c r="IF9" i="4"/>
  <c r="IK8" i="4"/>
  <c r="IJ8" i="4"/>
  <c r="IH8" i="4"/>
  <c r="IG8" i="4"/>
  <c r="IF8" i="4"/>
  <c r="IK7" i="4"/>
  <c r="IJ7" i="4"/>
  <c r="IH7" i="4"/>
  <c r="IG7" i="4"/>
  <c r="II7" i="4" s="1"/>
  <c r="IF7" i="4"/>
  <c r="IK6" i="4"/>
  <c r="IJ6" i="4"/>
  <c r="IH6" i="4"/>
  <c r="IG6" i="4"/>
  <c r="IF6" i="4"/>
  <c r="IK5" i="4"/>
  <c r="IJ5" i="4"/>
  <c r="IH5" i="4"/>
  <c r="II5" i="4" s="1"/>
  <c r="IG5" i="4"/>
  <c r="IF5" i="4"/>
  <c r="IK4" i="4"/>
  <c r="IJ4" i="4"/>
  <c r="IH4" i="4"/>
  <c r="IG4" i="4"/>
  <c r="II4" i="4" s="1"/>
  <c r="IF4" i="4"/>
  <c r="HO23" i="4"/>
  <c r="HN23" i="4"/>
  <c r="HL23" i="4"/>
  <c r="HK23" i="4"/>
  <c r="HJ23" i="4"/>
  <c r="HO22" i="4"/>
  <c r="HN22" i="4"/>
  <c r="HL22" i="4"/>
  <c r="HK22" i="4"/>
  <c r="HJ22" i="4"/>
  <c r="HO20" i="4"/>
  <c r="HN20" i="4"/>
  <c r="HL20" i="4"/>
  <c r="HK20" i="4"/>
  <c r="HJ20" i="4"/>
  <c r="HO19" i="4"/>
  <c r="HN19" i="4"/>
  <c r="HL19" i="4"/>
  <c r="HK19" i="4"/>
  <c r="HM19" i="4" s="1"/>
  <c r="HJ19" i="4"/>
  <c r="HO21" i="4"/>
  <c r="HN21" i="4"/>
  <c r="HM21" i="4"/>
  <c r="HP21" i="4" s="1"/>
  <c r="HL21" i="4"/>
  <c r="HK21" i="4"/>
  <c r="HJ21" i="4"/>
  <c r="HO18" i="4"/>
  <c r="HN18" i="4"/>
  <c r="HL18" i="4"/>
  <c r="HK18" i="4"/>
  <c r="HJ18" i="4"/>
  <c r="HO17" i="4"/>
  <c r="HN17" i="4"/>
  <c r="HL17" i="4"/>
  <c r="HK17" i="4"/>
  <c r="HM17" i="4" s="1"/>
  <c r="HP17" i="4" s="1"/>
  <c r="HJ17" i="4"/>
  <c r="HO16" i="4"/>
  <c r="HN16" i="4"/>
  <c r="HL16" i="4"/>
  <c r="HK16" i="4"/>
  <c r="HJ16" i="4"/>
  <c r="HO15" i="4"/>
  <c r="HN15" i="4"/>
  <c r="HL15" i="4"/>
  <c r="HK15" i="4"/>
  <c r="HJ15" i="4"/>
  <c r="HO14" i="4"/>
  <c r="HN14" i="4"/>
  <c r="HL14" i="4"/>
  <c r="HK14" i="4"/>
  <c r="HJ14" i="4"/>
  <c r="HO13" i="4"/>
  <c r="HN13" i="4"/>
  <c r="HL13" i="4"/>
  <c r="HK13" i="4"/>
  <c r="HM13" i="4" s="1"/>
  <c r="HJ13" i="4"/>
  <c r="HO11" i="4"/>
  <c r="HN11" i="4"/>
  <c r="HL11" i="4"/>
  <c r="HM11" i="4" s="1"/>
  <c r="HP11" i="4" s="1"/>
  <c r="HK11" i="4"/>
  <c r="HJ11" i="4"/>
  <c r="HO10" i="4"/>
  <c r="HN10" i="4"/>
  <c r="HL10" i="4"/>
  <c r="HK10" i="4"/>
  <c r="HM10" i="4" s="1"/>
  <c r="HJ10" i="4"/>
  <c r="HO12" i="4"/>
  <c r="HN12" i="4"/>
  <c r="HL12" i="4"/>
  <c r="HK12" i="4"/>
  <c r="HJ12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M7" i="4" s="1"/>
  <c r="HJ7" i="4"/>
  <c r="HO6" i="4"/>
  <c r="HN6" i="4"/>
  <c r="HL6" i="4"/>
  <c r="HK6" i="4"/>
  <c r="HJ6" i="4"/>
  <c r="HO5" i="4"/>
  <c r="HN5" i="4"/>
  <c r="HL5" i="4"/>
  <c r="HK5" i="4"/>
  <c r="HM5" i="4" s="1"/>
  <c r="HP5" i="4" s="1"/>
  <c r="HJ5" i="4"/>
  <c r="HO4" i="4"/>
  <c r="HN4" i="4"/>
  <c r="HL4" i="4"/>
  <c r="HK4" i="4"/>
  <c r="HJ4" i="4"/>
  <c r="GS23" i="4"/>
  <c r="GR23" i="4"/>
  <c r="GP23" i="4"/>
  <c r="GO23" i="4"/>
  <c r="GQ23" i="4" s="1"/>
  <c r="GN23" i="4"/>
  <c r="GS22" i="4"/>
  <c r="GR22" i="4"/>
  <c r="GP22" i="4"/>
  <c r="GO22" i="4"/>
  <c r="GN22" i="4"/>
  <c r="GS20" i="4"/>
  <c r="GR20" i="4"/>
  <c r="GP20" i="4"/>
  <c r="GO20" i="4"/>
  <c r="GN20" i="4"/>
  <c r="GS19" i="4"/>
  <c r="GR19" i="4"/>
  <c r="GP19" i="4"/>
  <c r="GO19" i="4"/>
  <c r="GN19" i="4"/>
  <c r="GS21" i="4"/>
  <c r="GR21" i="4"/>
  <c r="GP21" i="4"/>
  <c r="GO21" i="4"/>
  <c r="GQ21" i="4" s="1"/>
  <c r="GT21" i="4" s="1"/>
  <c r="GN21" i="4"/>
  <c r="GS18" i="4"/>
  <c r="GR18" i="4"/>
  <c r="GP18" i="4"/>
  <c r="GO18" i="4"/>
  <c r="GN18" i="4"/>
  <c r="GS17" i="4"/>
  <c r="GR17" i="4"/>
  <c r="GP17" i="4"/>
  <c r="GO17" i="4"/>
  <c r="GN17" i="4"/>
  <c r="GS16" i="4"/>
  <c r="GR16" i="4"/>
  <c r="GP16" i="4"/>
  <c r="GO16" i="4"/>
  <c r="GN16" i="4"/>
  <c r="GS15" i="4"/>
  <c r="GR15" i="4"/>
  <c r="GP15" i="4"/>
  <c r="GO15" i="4"/>
  <c r="GN15" i="4"/>
  <c r="GS14" i="4"/>
  <c r="GR14" i="4"/>
  <c r="GP14" i="4"/>
  <c r="GO14" i="4"/>
  <c r="GQ14" i="4" s="1"/>
  <c r="GT14" i="4" s="1"/>
  <c r="GN14" i="4"/>
  <c r="GS13" i="4"/>
  <c r="GR13" i="4"/>
  <c r="GP13" i="4"/>
  <c r="GO13" i="4"/>
  <c r="GN13" i="4"/>
  <c r="GS11" i="4"/>
  <c r="GR11" i="4"/>
  <c r="GP11" i="4"/>
  <c r="GO11" i="4"/>
  <c r="GQ11" i="4" s="1"/>
  <c r="GN11" i="4"/>
  <c r="GS10" i="4"/>
  <c r="GR10" i="4"/>
  <c r="GP10" i="4"/>
  <c r="GO10" i="4"/>
  <c r="GQ10" i="4" s="1"/>
  <c r="GT10" i="4" s="1"/>
  <c r="GN10" i="4"/>
  <c r="GS12" i="4"/>
  <c r="GR12" i="4"/>
  <c r="GP12" i="4"/>
  <c r="GO12" i="4"/>
  <c r="GN12" i="4"/>
  <c r="GS9" i="4"/>
  <c r="GR9" i="4"/>
  <c r="GP9" i="4"/>
  <c r="GO9" i="4"/>
  <c r="GN9" i="4"/>
  <c r="GS8" i="4"/>
  <c r="GR8" i="4"/>
  <c r="GP8" i="4"/>
  <c r="GO8" i="4"/>
  <c r="GQ8" i="4" s="1"/>
  <c r="GT8" i="4" s="1"/>
  <c r="GN8" i="4"/>
  <c r="GS7" i="4"/>
  <c r="GR7" i="4"/>
  <c r="GP7" i="4"/>
  <c r="GO7" i="4"/>
  <c r="GN7" i="4"/>
  <c r="GS6" i="4"/>
  <c r="GR6" i="4"/>
  <c r="GP6" i="4"/>
  <c r="GO6" i="4"/>
  <c r="GQ6" i="4" s="1"/>
  <c r="GT6" i="4" s="1"/>
  <c r="GN6" i="4"/>
  <c r="GS5" i="4"/>
  <c r="GR5" i="4"/>
  <c r="GP5" i="4"/>
  <c r="GO5" i="4"/>
  <c r="GN5" i="4"/>
  <c r="GS4" i="4"/>
  <c r="GR4" i="4"/>
  <c r="GP4" i="4"/>
  <c r="GO4" i="4"/>
  <c r="GN4" i="4"/>
  <c r="FW23" i="4"/>
  <c r="FV23" i="4"/>
  <c r="FT23" i="4"/>
  <c r="FS23" i="4"/>
  <c r="FU23" i="4" s="1"/>
  <c r="FX23" i="4" s="1"/>
  <c r="FR23" i="4"/>
  <c r="FW22" i="4"/>
  <c r="FV22" i="4"/>
  <c r="FT22" i="4"/>
  <c r="FS22" i="4"/>
  <c r="FU22" i="4" s="1"/>
  <c r="FR22" i="4"/>
  <c r="FW20" i="4"/>
  <c r="FV20" i="4"/>
  <c r="FT20" i="4"/>
  <c r="FS20" i="4"/>
  <c r="FR20" i="4"/>
  <c r="FW19" i="4"/>
  <c r="FV19" i="4"/>
  <c r="FT19" i="4"/>
  <c r="FS19" i="4"/>
  <c r="FU19" i="4" s="1"/>
  <c r="FX19" i="4" s="1"/>
  <c r="FR19" i="4"/>
  <c r="FW21" i="4"/>
  <c r="FV21" i="4"/>
  <c r="FT21" i="4"/>
  <c r="FS21" i="4"/>
  <c r="FU21" i="4" s="1"/>
  <c r="FX21" i="4" s="1"/>
  <c r="FR21" i="4"/>
  <c r="FW18" i="4"/>
  <c r="FV18" i="4"/>
  <c r="FT18" i="4"/>
  <c r="FU18" i="4" s="1"/>
  <c r="FS18" i="4"/>
  <c r="FR18" i="4"/>
  <c r="FW17" i="4"/>
  <c r="FV17" i="4"/>
  <c r="FT17" i="4"/>
  <c r="FS17" i="4"/>
  <c r="FU17" i="4" s="1"/>
  <c r="FX17" i="4" s="1"/>
  <c r="FR17" i="4"/>
  <c r="FW16" i="4"/>
  <c r="FV16" i="4"/>
  <c r="FT16" i="4"/>
  <c r="FS16" i="4"/>
  <c r="FR16" i="4"/>
  <c r="FW15" i="4"/>
  <c r="FV15" i="4"/>
  <c r="FT15" i="4"/>
  <c r="FS15" i="4"/>
  <c r="FR15" i="4"/>
  <c r="FW14" i="4"/>
  <c r="FV14" i="4"/>
  <c r="FT14" i="4"/>
  <c r="FS14" i="4"/>
  <c r="FR14" i="4"/>
  <c r="FW13" i="4"/>
  <c r="FV13" i="4"/>
  <c r="FT13" i="4"/>
  <c r="FS13" i="4"/>
  <c r="FU13" i="4" s="1"/>
  <c r="FR13" i="4"/>
  <c r="FW11" i="4"/>
  <c r="FV11" i="4"/>
  <c r="FT11" i="4"/>
  <c r="FS11" i="4"/>
  <c r="FU11" i="4" s="1"/>
  <c r="FX11" i="4" s="1"/>
  <c r="FR11" i="4"/>
  <c r="FW10" i="4"/>
  <c r="FV10" i="4"/>
  <c r="FT10" i="4"/>
  <c r="FS10" i="4"/>
  <c r="FR10" i="4"/>
  <c r="FW12" i="4"/>
  <c r="FV12" i="4"/>
  <c r="FT12" i="4"/>
  <c r="FS12" i="4"/>
  <c r="FR12" i="4"/>
  <c r="FW9" i="4"/>
  <c r="FV9" i="4"/>
  <c r="FT9" i="4"/>
  <c r="FS9" i="4"/>
  <c r="FR9" i="4"/>
  <c r="FW8" i="4"/>
  <c r="FV8" i="4"/>
  <c r="FT8" i="4"/>
  <c r="FS8" i="4"/>
  <c r="FU8" i="4" s="1"/>
  <c r="FX8" i="4" s="1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4" i="4"/>
  <c r="FV4" i="4"/>
  <c r="FT4" i="4"/>
  <c r="FS4" i="4"/>
  <c r="FR4" i="4"/>
  <c r="FA23" i="4"/>
  <c r="EZ23" i="4"/>
  <c r="EX23" i="4"/>
  <c r="EW23" i="4"/>
  <c r="EV23" i="4"/>
  <c r="FA22" i="4"/>
  <c r="EZ22" i="4"/>
  <c r="EX22" i="4"/>
  <c r="EW22" i="4"/>
  <c r="EY22" i="4" s="1"/>
  <c r="EV22" i="4"/>
  <c r="FA20" i="4"/>
  <c r="EZ20" i="4"/>
  <c r="EX20" i="4"/>
  <c r="EW20" i="4"/>
  <c r="EY20" i="4" s="1"/>
  <c r="EV20" i="4"/>
  <c r="FA19" i="4"/>
  <c r="EZ19" i="4"/>
  <c r="EX19" i="4"/>
  <c r="EW19" i="4"/>
  <c r="EV19" i="4"/>
  <c r="FA21" i="4"/>
  <c r="EZ21" i="4"/>
  <c r="EX21" i="4"/>
  <c r="EW21" i="4"/>
  <c r="EV21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Y16" i="4" s="1"/>
  <c r="FB16" i="4" s="1"/>
  <c r="EV16" i="4"/>
  <c r="FA15" i="4"/>
  <c r="EZ15" i="4"/>
  <c r="EX15" i="4"/>
  <c r="EW15" i="4"/>
  <c r="EV15" i="4"/>
  <c r="FA14" i="4"/>
  <c r="EZ14" i="4"/>
  <c r="EX14" i="4"/>
  <c r="EW14" i="4"/>
  <c r="EY14" i="4" s="1"/>
  <c r="EV14" i="4"/>
  <c r="FA13" i="4"/>
  <c r="EZ13" i="4"/>
  <c r="EX13" i="4"/>
  <c r="EW13" i="4"/>
  <c r="EY13" i="4" s="1"/>
  <c r="FB13" i="4" s="1"/>
  <c r="EV13" i="4"/>
  <c r="FA11" i="4"/>
  <c r="EZ11" i="4"/>
  <c r="EX11" i="4"/>
  <c r="EW11" i="4"/>
  <c r="EY11" i="4" s="1"/>
  <c r="EV11" i="4"/>
  <c r="FA10" i="4"/>
  <c r="EZ10" i="4"/>
  <c r="EX10" i="4"/>
  <c r="EY10" i="4" s="1"/>
  <c r="FB10" i="4" s="1"/>
  <c r="EW10" i="4"/>
  <c r="EV10" i="4"/>
  <c r="FA12" i="4"/>
  <c r="EZ12" i="4"/>
  <c r="EX12" i="4"/>
  <c r="EW12" i="4"/>
  <c r="EV12" i="4"/>
  <c r="FA9" i="4"/>
  <c r="EZ9" i="4"/>
  <c r="EX9" i="4"/>
  <c r="EW9" i="4"/>
  <c r="EV9" i="4"/>
  <c r="FA8" i="4"/>
  <c r="EZ8" i="4"/>
  <c r="EX8" i="4"/>
  <c r="EW8" i="4"/>
  <c r="EY8" i="4" s="1"/>
  <c r="FB8" i="4" s="1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Y5" i="4" s="1"/>
  <c r="FB5" i="4" s="1"/>
  <c r="EV5" i="4"/>
  <c r="FA4" i="4"/>
  <c r="EZ4" i="4"/>
  <c r="EX4" i="4"/>
  <c r="EW4" i="4"/>
  <c r="EY4" i="4" s="1"/>
  <c r="EV4" i="4"/>
  <c r="EE23" i="4"/>
  <c r="ED23" i="4"/>
  <c r="EB23" i="4"/>
  <c r="EA23" i="4"/>
  <c r="DZ23" i="4"/>
  <c r="EE22" i="4"/>
  <c r="ED22" i="4"/>
  <c r="EB22" i="4"/>
  <c r="EA22" i="4"/>
  <c r="EC22" i="4" s="1"/>
  <c r="EF22" i="4" s="1"/>
  <c r="DZ22" i="4"/>
  <c r="EE20" i="4"/>
  <c r="ED20" i="4"/>
  <c r="EB20" i="4"/>
  <c r="EA20" i="4"/>
  <c r="DZ20" i="4"/>
  <c r="EE19" i="4"/>
  <c r="ED19" i="4"/>
  <c r="EC19" i="4"/>
  <c r="EB19" i="4"/>
  <c r="EA19" i="4"/>
  <c r="DZ19" i="4"/>
  <c r="EE21" i="4"/>
  <c r="ED21" i="4"/>
  <c r="EB21" i="4"/>
  <c r="EA21" i="4"/>
  <c r="EC21" i="4" s="1"/>
  <c r="EF21" i="4" s="1"/>
  <c r="DZ21" i="4"/>
  <c r="EE18" i="4"/>
  <c r="ED18" i="4"/>
  <c r="EB18" i="4"/>
  <c r="EA18" i="4"/>
  <c r="DZ18" i="4"/>
  <c r="EE17" i="4"/>
  <c r="ED17" i="4"/>
  <c r="EB17" i="4"/>
  <c r="EA17" i="4"/>
  <c r="DZ17" i="4"/>
  <c r="EE16" i="4"/>
  <c r="ED16" i="4"/>
  <c r="EB16" i="4"/>
  <c r="EA16" i="4"/>
  <c r="EC16" i="4" s="1"/>
  <c r="EF16" i="4" s="1"/>
  <c r="DZ16" i="4"/>
  <c r="EE15" i="4"/>
  <c r="ED15" i="4"/>
  <c r="EB15" i="4"/>
  <c r="EA15" i="4"/>
  <c r="DZ15" i="4"/>
  <c r="EE14" i="4"/>
  <c r="ED14" i="4"/>
  <c r="EB14" i="4"/>
  <c r="EA14" i="4"/>
  <c r="DZ14" i="4"/>
  <c r="EE13" i="4"/>
  <c r="ED13" i="4"/>
  <c r="EB13" i="4"/>
  <c r="EA13" i="4"/>
  <c r="DZ13" i="4"/>
  <c r="EE11" i="4"/>
  <c r="ED11" i="4"/>
  <c r="EB11" i="4"/>
  <c r="EA11" i="4"/>
  <c r="EC11" i="4" s="1"/>
  <c r="DZ11" i="4"/>
  <c r="EE10" i="4"/>
  <c r="ED10" i="4"/>
  <c r="EB10" i="4"/>
  <c r="EA10" i="4"/>
  <c r="DZ10" i="4"/>
  <c r="EE12" i="4"/>
  <c r="ED12" i="4"/>
  <c r="EB12" i="4"/>
  <c r="EA12" i="4"/>
  <c r="DZ12" i="4"/>
  <c r="EE9" i="4"/>
  <c r="ED9" i="4"/>
  <c r="EB9" i="4"/>
  <c r="EA9" i="4"/>
  <c r="DZ9" i="4"/>
  <c r="EE8" i="4"/>
  <c r="ED8" i="4"/>
  <c r="EB8" i="4"/>
  <c r="EA8" i="4"/>
  <c r="EC8" i="4" s="1"/>
  <c r="EF8" i="4" s="1"/>
  <c r="DZ8" i="4"/>
  <c r="EE7" i="4"/>
  <c r="ED7" i="4"/>
  <c r="EB7" i="4"/>
  <c r="EA7" i="4"/>
  <c r="DZ7" i="4"/>
  <c r="EE6" i="4"/>
  <c r="ED6" i="4"/>
  <c r="EB6" i="4"/>
  <c r="EA6" i="4"/>
  <c r="DZ6" i="4"/>
  <c r="EE5" i="4"/>
  <c r="ED5" i="4"/>
  <c r="EB5" i="4"/>
  <c r="EA5" i="4"/>
  <c r="DZ5" i="4"/>
  <c r="EE4" i="4"/>
  <c r="ED4" i="4"/>
  <c r="EB4" i="4"/>
  <c r="EA4" i="4"/>
  <c r="DZ4" i="4"/>
  <c r="DI23" i="4"/>
  <c r="DH23" i="4"/>
  <c r="DF23" i="4"/>
  <c r="DE23" i="4"/>
  <c r="DD23" i="4"/>
  <c r="DI22" i="4"/>
  <c r="DH22" i="4"/>
  <c r="DF22" i="4"/>
  <c r="DE22" i="4"/>
  <c r="DG22" i="4" s="1"/>
  <c r="DJ22" i="4" s="1"/>
  <c r="DD22" i="4"/>
  <c r="DI20" i="4"/>
  <c r="DH20" i="4"/>
  <c r="DF20" i="4"/>
  <c r="DG20" i="4" s="1"/>
  <c r="DE20" i="4"/>
  <c r="DD20" i="4"/>
  <c r="DI19" i="4"/>
  <c r="DH19" i="4"/>
  <c r="DF19" i="4"/>
  <c r="DE19" i="4"/>
  <c r="DD19" i="4"/>
  <c r="DI21" i="4"/>
  <c r="DH21" i="4"/>
  <c r="DF21" i="4"/>
  <c r="DE21" i="4"/>
  <c r="DD21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G16" i="4" s="1"/>
  <c r="DD16" i="4"/>
  <c r="DI15" i="4"/>
  <c r="DH15" i="4"/>
  <c r="DF15" i="4"/>
  <c r="DE15" i="4"/>
  <c r="DG15" i="4" s="1"/>
  <c r="DD15" i="4"/>
  <c r="DI14" i="4"/>
  <c r="DH14" i="4"/>
  <c r="DF14" i="4"/>
  <c r="DE14" i="4"/>
  <c r="DG14" i="4" s="1"/>
  <c r="DJ14" i="4" s="1"/>
  <c r="DD14" i="4"/>
  <c r="DI13" i="4"/>
  <c r="DH13" i="4"/>
  <c r="DF13" i="4"/>
  <c r="DE13" i="4"/>
  <c r="DD13" i="4"/>
  <c r="DI11" i="4"/>
  <c r="DH11" i="4"/>
  <c r="DF11" i="4"/>
  <c r="DE11" i="4"/>
  <c r="DG11" i="4" s="1"/>
  <c r="DD11" i="4"/>
  <c r="DI10" i="4"/>
  <c r="DH10" i="4"/>
  <c r="DF10" i="4"/>
  <c r="DG10" i="4" s="1"/>
  <c r="DE10" i="4"/>
  <c r="DD10" i="4"/>
  <c r="DI12" i="4"/>
  <c r="DH12" i="4"/>
  <c r="DF12" i="4"/>
  <c r="DE12" i="4"/>
  <c r="DD12" i="4"/>
  <c r="DI9" i="4"/>
  <c r="DH9" i="4"/>
  <c r="DF9" i="4"/>
  <c r="DE9" i="4"/>
  <c r="DD9" i="4"/>
  <c r="DI8" i="4"/>
  <c r="DH8" i="4"/>
  <c r="DF8" i="4"/>
  <c r="DE8" i="4"/>
  <c r="DG8" i="4" s="1"/>
  <c r="DD8" i="4"/>
  <c r="DI7" i="4"/>
  <c r="DH7" i="4"/>
  <c r="DF7" i="4"/>
  <c r="DE7" i="4"/>
  <c r="DG7" i="4" s="1"/>
  <c r="DJ7" i="4" s="1"/>
  <c r="DD7" i="4"/>
  <c r="DI6" i="4"/>
  <c r="DH6" i="4"/>
  <c r="DF6" i="4"/>
  <c r="DE6" i="4"/>
  <c r="DD6" i="4"/>
  <c r="DI5" i="4"/>
  <c r="DH5" i="4"/>
  <c r="DF5" i="4"/>
  <c r="DE5" i="4"/>
  <c r="DD5" i="4"/>
  <c r="DI4" i="4"/>
  <c r="DH4" i="4"/>
  <c r="DF4" i="4"/>
  <c r="DE4" i="4"/>
  <c r="DG4" i="4" s="1"/>
  <c r="DJ4" i="4" s="1"/>
  <c r="DD4" i="4"/>
  <c r="CM23" i="4"/>
  <c r="CL23" i="4"/>
  <c r="CJ23" i="4"/>
  <c r="CI23" i="4"/>
  <c r="CH23" i="4"/>
  <c r="CM22" i="4"/>
  <c r="CL22" i="4"/>
  <c r="CJ22" i="4"/>
  <c r="CI22" i="4"/>
  <c r="CK22" i="4" s="1"/>
  <c r="CN22" i="4" s="1"/>
  <c r="CH22" i="4"/>
  <c r="CM20" i="4"/>
  <c r="CL20" i="4"/>
  <c r="CJ20" i="4"/>
  <c r="CI20" i="4"/>
  <c r="CH20" i="4"/>
  <c r="CM19" i="4"/>
  <c r="CL19" i="4"/>
  <c r="CJ19" i="4"/>
  <c r="CI19" i="4"/>
  <c r="CH19" i="4"/>
  <c r="CM21" i="4"/>
  <c r="CL21" i="4"/>
  <c r="CJ21" i="4"/>
  <c r="CI21" i="4"/>
  <c r="CK21" i="4" s="1"/>
  <c r="CN21" i="4" s="1"/>
  <c r="CH21" i="4"/>
  <c r="CM18" i="4"/>
  <c r="CL18" i="4"/>
  <c r="CJ18" i="4"/>
  <c r="CI18" i="4"/>
  <c r="CH18" i="4"/>
  <c r="CM17" i="4"/>
  <c r="CL17" i="4"/>
  <c r="CJ17" i="4"/>
  <c r="CI17" i="4"/>
  <c r="CH17" i="4"/>
  <c r="CM16" i="4"/>
  <c r="CL16" i="4"/>
  <c r="CJ16" i="4"/>
  <c r="CI16" i="4"/>
  <c r="CK16" i="4" s="1"/>
  <c r="CN16" i="4" s="1"/>
  <c r="CH16" i="4"/>
  <c r="CM15" i="4"/>
  <c r="CL15" i="4"/>
  <c r="CJ15" i="4"/>
  <c r="CI15" i="4"/>
  <c r="CH15" i="4"/>
  <c r="CM14" i="4"/>
  <c r="CL14" i="4"/>
  <c r="CJ14" i="4"/>
  <c r="CI14" i="4"/>
  <c r="CK14" i="4" s="1"/>
  <c r="CN14" i="4" s="1"/>
  <c r="CH14" i="4"/>
  <c r="CM13" i="4"/>
  <c r="CL13" i="4"/>
  <c r="CJ13" i="4"/>
  <c r="CI13" i="4"/>
  <c r="CH13" i="4"/>
  <c r="CM11" i="4"/>
  <c r="CL11" i="4"/>
  <c r="CJ11" i="4"/>
  <c r="CI11" i="4"/>
  <c r="CH11" i="4"/>
  <c r="CM10" i="4"/>
  <c r="CL10" i="4"/>
  <c r="CJ10" i="4"/>
  <c r="CI10" i="4"/>
  <c r="CK10" i="4" s="1"/>
  <c r="CN10" i="4" s="1"/>
  <c r="CH10" i="4"/>
  <c r="CM12" i="4"/>
  <c r="CL12" i="4"/>
  <c r="CJ12" i="4"/>
  <c r="CI12" i="4"/>
  <c r="CH12" i="4"/>
  <c r="CM9" i="4"/>
  <c r="CL9" i="4"/>
  <c r="CJ9" i="4"/>
  <c r="CI9" i="4"/>
  <c r="CH9" i="4"/>
  <c r="CM8" i="4"/>
  <c r="CL8" i="4"/>
  <c r="CJ8" i="4"/>
  <c r="CI8" i="4"/>
  <c r="CK8" i="4" s="1"/>
  <c r="CN8" i="4" s="1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4" i="4"/>
  <c r="CL4" i="4"/>
  <c r="CJ4" i="4"/>
  <c r="CI4" i="4"/>
  <c r="CK4" i="4" s="1"/>
  <c r="CH4" i="4"/>
  <c r="EC13" i="2" l="1"/>
  <c r="EF13" i="2" s="1"/>
  <c r="II4" i="2"/>
  <c r="IL4" i="2" s="1"/>
  <c r="CK14" i="2"/>
  <c r="CN14" i="2" s="1"/>
  <c r="DG12" i="2"/>
  <c r="DJ12" i="2" s="1"/>
  <c r="EC11" i="2"/>
  <c r="EF11" i="2" s="1"/>
  <c r="GQ8" i="2"/>
  <c r="GT8" i="2" s="1"/>
  <c r="GQ10" i="2"/>
  <c r="GT10" i="2" s="1"/>
  <c r="HM7" i="2"/>
  <c r="HP7" i="2" s="1"/>
  <c r="HM13" i="2"/>
  <c r="HP13" i="2" s="1"/>
  <c r="II6" i="2"/>
  <c r="II14" i="2"/>
  <c r="IL14" i="2" s="1"/>
  <c r="KA6" i="2"/>
  <c r="KD6" i="2" s="1"/>
  <c r="CN8" i="2"/>
  <c r="DJ4" i="2"/>
  <c r="DG15" i="2"/>
  <c r="DJ15" i="2" s="1"/>
  <c r="FX6" i="2"/>
  <c r="FU14" i="2"/>
  <c r="FX14" i="2" s="1"/>
  <c r="IL8" i="2"/>
  <c r="II10" i="2"/>
  <c r="IL10" i="2" s="1"/>
  <c r="KA8" i="2"/>
  <c r="KD8" i="2" s="1"/>
  <c r="CK12" i="2"/>
  <c r="EF10" i="2"/>
  <c r="EY15" i="2"/>
  <c r="FB15" i="2" s="1"/>
  <c r="FU10" i="2"/>
  <c r="FX10" i="2" s="1"/>
  <c r="GQ7" i="2"/>
  <c r="HM6" i="2"/>
  <c r="HP6" i="2" s="1"/>
  <c r="II5" i="2"/>
  <c r="II12" i="2"/>
  <c r="JE9" i="2"/>
  <c r="JH9" i="2" s="1"/>
  <c r="DG6" i="2"/>
  <c r="DJ6" i="2" s="1"/>
  <c r="EC5" i="2"/>
  <c r="EF5" i="2" s="1"/>
  <c r="EC12" i="2"/>
  <c r="EF12" i="2" s="1"/>
  <c r="EY9" i="2"/>
  <c r="FB9" i="2" s="1"/>
  <c r="GQ4" i="2"/>
  <c r="GQ11" i="2"/>
  <c r="GQ15" i="2"/>
  <c r="GT15" i="2" s="1"/>
  <c r="HM14" i="2"/>
  <c r="HP14" i="2" s="1"/>
  <c r="JE14" i="2"/>
  <c r="JH14" i="2" s="1"/>
  <c r="GT4" i="2"/>
  <c r="JE13" i="2"/>
  <c r="JH13" i="2" s="1"/>
  <c r="KW5" i="2"/>
  <c r="KZ5" i="2" s="1"/>
  <c r="CK5" i="2"/>
  <c r="CN5" i="2" s="1"/>
  <c r="DG7" i="2"/>
  <c r="DJ7" i="2" s="1"/>
  <c r="DG13" i="2"/>
  <c r="DJ13" i="2" s="1"/>
  <c r="EC9" i="2"/>
  <c r="EF9" i="2" s="1"/>
  <c r="EC15" i="2"/>
  <c r="EF15" i="2" s="1"/>
  <c r="EY6" i="2"/>
  <c r="FB6" i="2" s="1"/>
  <c r="GT12" i="2"/>
  <c r="HM8" i="2"/>
  <c r="HP8" i="2" s="1"/>
  <c r="JE4" i="2"/>
  <c r="JH4" i="2" s="1"/>
  <c r="JE15" i="2"/>
  <c r="JH15" i="2" s="1"/>
  <c r="KA14" i="2"/>
  <c r="KD14" i="2" s="1"/>
  <c r="KW12" i="2"/>
  <c r="KZ12" i="2" s="1"/>
  <c r="FB4" i="2"/>
  <c r="CK7" i="2"/>
  <c r="CN7" i="2" s="1"/>
  <c r="CK13" i="2"/>
  <c r="CN13" i="2" s="1"/>
  <c r="DG9" i="2"/>
  <c r="DJ9" i="2" s="1"/>
  <c r="DG11" i="2"/>
  <c r="DJ11" i="2" s="1"/>
  <c r="EF4" i="2"/>
  <c r="EY8" i="2"/>
  <c r="FB8" i="2" s="1"/>
  <c r="EY14" i="2"/>
  <c r="FB14" i="2" s="1"/>
  <c r="FU8" i="2"/>
  <c r="FX8" i="2" s="1"/>
  <c r="GT11" i="2"/>
  <c r="GQ14" i="2"/>
  <c r="GT14" i="2" s="1"/>
  <c r="HM12" i="2"/>
  <c r="HP12" i="2" s="1"/>
  <c r="IL5" i="2"/>
  <c r="JE6" i="2"/>
  <c r="JH6" i="2" s="1"/>
  <c r="JE11" i="2"/>
  <c r="JH11" i="2" s="1"/>
  <c r="KA5" i="2"/>
  <c r="KD5" i="2" s="1"/>
  <c r="KW4" i="2"/>
  <c r="KZ4" i="2" s="1"/>
  <c r="KW15" i="2"/>
  <c r="KZ15" i="2" s="1"/>
  <c r="CN4" i="2"/>
  <c r="EF8" i="2"/>
  <c r="EF14" i="2"/>
  <c r="FB5" i="2"/>
  <c r="FB11" i="2"/>
  <c r="IL9" i="2"/>
  <c r="IL11" i="2"/>
  <c r="IL15" i="2"/>
  <c r="KD12" i="2"/>
  <c r="KZ9" i="2"/>
  <c r="KZ11" i="2"/>
  <c r="CN9" i="2"/>
  <c r="CN11" i="2"/>
  <c r="CN15" i="2"/>
  <c r="DJ14" i="2"/>
  <c r="FX4" i="2"/>
  <c r="GT7" i="2"/>
  <c r="GQ13" i="2"/>
  <c r="GT13" i="2" s="1"/>
  <c r="HP4" i="2"/>
  <c r="HP15" i="2"/>
  <c r="IL6" i="2"/>
  <c r="IL12" i="2"/>
  <c r="JE8" i="2"/>
  <c r="JH8" i="2" s="1"/>
  <c r="KA7" i="2"/>
  <c r="KD7" i="2" s="1"/>
  <c r="KA13" i="2"/>
  <c r="KD13" i="2" s="1"/>
  <c r="KW6" i="2"/>
  <c r="KZ6" i="2" s="1"/>
  <c r="CK6" i="2"/>
  <c r="CN6" i="2" s="1"/>
  <c r="CN12" i="2"/>
  <c r="DG8" i="2"/>
  <c r="DJ8" i="2" s="1"/>
  <c r="EY7" i="2"/>
  <c r="FB7" i="2" s="1"/>
  <c r="EY13" i="2"/>
  <c r="FB13" i="2" s="1"/>
  <c r="EY12" i="2"/>
  <c r="FB12" i="2" s="1"/>
  <c r="FU7" i="2"/>
  <c r="FX7" i="2" s="1"/>
  <c r="FU13" i="2"/>
  <c r="FX13" i="2" s="1"/>
  <c r="FU12" i="2"/>
  <c r="FX12" i="2" s="1"/>
  <c r="GT5" i="2"/>
  <c r="HM9" i="2"/>
  <c r="HP9" i="2" s="1"/>
  <c r="HM11" i="2"/>
  <c r="HP11" i="2" s="1"/>
  <c r="JE5" i="2"/>
  <c r="JH5" i="2" s="1"/>
  <c r="KA4" i="2"/>
  <c r="KD4" i="2" s="1"/>
  <c r="KA15" i="2"/>
  <c r="KD15" i="2" s="1"/>
  <c r="KW14" i="2"/>
  <c r="KZ14" i="2" s="1"/>
  <c r="FU4" i="4"/>
  <c r="EC10" i="4"/>
  <c r="EF10" i="4" s="1"/>
  <c r="HM20" i="4"/>
  <c r="HP20" i="4" s="1"/>
  <c r="CK5" i="4"/>
  <c r="CN5" i="4" s="1"/>
  <c r="CK13" i="4"/>
  <c r="CN13" i="4" s="1"/>
  <c r="DG9" i="4"/>
  <c r="DJ9" i="4" s="1"/>
  <c r="EC5" i="4"/>
  <c r="EF5" i="4" s="1"/>
  <c r="EC13" i="4"/>
  <c r="EF13" i="4" s="1"/>
  <c r="EY7" i="4"/>
  <c r="FB7" i="4" s="1"/>
  <c r="EY15" i="4"/>
  <c r="EY18" i="4"/>
  <c r="FB18" i="4" s="1"/>
  <c r="FU10" i="4"/>
  <c r="FX10" i="4" s="1"/>
  <c r="FU14" i="4"/>
  <c r="FX14" i="4" s="1"/>
  <c r="GQ13" i="4"/>
  <c r="HM4" i="4"/>
  <c r="HP4" i="4" s="1"/>
  <c r="HM23" i="4"/>
  <c r="HP23" i="4" s="1"/>
  <c r="II6" i="4"/>
  <c r="IL6" i="4" s="1"/>
  <c r="II14" i="4"/>
  <c r="IL14" i="4" s="1"/>
  <c r="II22" i="4"/>
  <c r="JE20" i="4"/>
  <c r="JH20" i="4" s="1"/>
  <c r="KA4" i="4"/>
  <c r="KD4" i="4" s="1"/>
  <c r="KA9" i="4"/>
  <c r="KD9" i="4" s="1"/>
  <c r="KA11" i="4"/>
  <c r="KA23" i="4"/>
  <c r="KD23" i="4" s="1"/>
  <c r="CK15" i="4"/>
  <c r="CK18" i="4"/>
  <c r="DG21" i="4"/>
  <c r="DJ21" i="4" s="1"/>
  <c r="EC7" i="4"/>
  <c r="EF7" i="4" s="1"/>
  <c r="EY9" i="4"/>
  <c r="FB9" i="4" s="1"/>
  <c r="EY19" i="4"/>
  <c r="FU5" i="4"/>
  <c r="FX5" i="4" s="1"/>
  <c r="GQ18" i="4"/>
  <c r="GT18" i="4" s="1"/>
  <c r="HM6" i="4"/>
  <c r="HP6" i="4" s="1"/>
  <c r="HM14" i="4"/>
  <c r="HP14" i="4" s="1"/>
  <c r="II8" i="4"/>
  <c r="IL8" i="4" s="1"/>
  <c r="II16" i="4"/>
  <c r="II21" i="4"/>
  <c r="IL21" i="4" s="1"/>
  <c r="JE15" i="4"/>
  <c r="JH15" i="4" s="1"/>
  <c r="JE23" i="4"/>
  <c r="JH23" i="4" s="1"/>
  <c r="KW5" i="4"/>
  <c r="KZ5" i="4" s="1"/>
  <c r="KW16" i="4"/>
  <c r="DG18" i="4"/>
  <c r="DJ8" i="4"/>
  <c r="DJ10" i="4"/>
  <c r="DJ16" i="4"/>
  <c r="FB14" i="4"/>
  <c r="FB22" i="4"/>
  <c r="GT11" i="4"/>
  <c r="GT23" i="4"/>
  <c r="HP10" i="4"/>
  <c r="JH4" i="4"/>
  <c r="JH9" i="4"/>
  <c r="JH11" i="4"/>
  <c r="JH19" i="4"/>
  <c r="KD21" i="4"/>
  <c r="CK19" i="4"/>
  <c r="CN19" i="4" s="1"/>
  <c r="DG5" i="4"/>
  <c r="DG13" i="4"/>
  <c r="EC9" i="4"/>
  <c r="EY21" i="4"/>
  <c r="FB21" i="4" s="1"/>
  <c r="GQ9" i="4"/>
  <c r="GT9" i="4" s="1"/>
  <c r="GQ17" i="4"/>
  <c r="GT17" i="4" s="1"/>
  <c r="GQ19" i="4"/>
  <c r="GT19" i="4" s="1"/>
  <c r="HM8" i="4"/>
  <c r="HP8" i="4" s="1"/>
  <c r="II20" i="4"/>
  <c r="JE6" i="4"/>
  <c r="JH6" i="4" s="1"/>
  <c r="JE17" i="4"/>
  <c r="JH17" i="4" s="1"/>
  <c r="KA5" i="4"/>
  <c r="KA16" i="4"/>
  <c r="JE18" i="4"/>
  <c r="JH18" i="4" s="1"/>
  <c r="KA18" i="4"/>
  <c r="KD18" i="4" s="1"/>
  <c r="FB11" i="4"/>
  <c r="EF19" i="4"/>
  <c r="KA20" i="4"/>
  <c r="KD20" i="4" s="1"/>
  <c r="FU20" i="4"/>
  <c r="FX20" i="4" s="1"/>
  <c r="DG12" i="4"/>
  <c r="DJ12" i="4" s="1"/>
  <c r="EC12" i="4"/>
  <c r="EF12" i="4" s="1"/>
  <c r="EY12" i="4"/>
  <c r="FB12" i="4" s="1"/>
  <c r="FB19" i="4"/>
  <c r="II19" i="4"/>
  <c r="IL19" i="4" s="1"/>
  <c r="IL20" i="4"/>
  <c r="KW14" i="4"/>
  <c r="KZ14" i="4" s="1"/>
  <c r="CK7" i="4"/>
  <c r="CN7" i="4" s="1"/>
  <c r="CK12" i="4"/>
  <c r="CN12" i="4" s="1"/>
  <c r="CK20" i="4"/>
  <c r="CN20" i="4" s="1"/>
  <c r="DJ5" i="4"/>
  <c r="EC4" i="4"/>
  <c r="EF4" i="4" s="1"/>
  <c r="EC15" i="4"/>
  <c r="EF15" i="4" s="1"/>
  <c r="EC18" i="4"/>
  <c r="EF18" i="4" s="1"/>
  <c r="EC20" i="4"/>
  <c r="EF20" i="4" s="1"/>
  <c r="FU7" i="4"/>
  <c r="FX7" i="4" s="1"/>
  <c r="FU12" i="4"/>
  <c r="FX12" i="4" s="1"/>
  <c r="FU16" i="4"/>
  <c r="FX16" i="4" s="1"/>
  <c r="GQ5" i="4"/>
  <c r="GT5" i="4" s="1"/>
  <c r="GQ16" i="4"/>
  <c r="GT16" i="4" s="1"/>
  <c r="GQ22" i="4"/>
  <c r="GT22" i="4" s="1"/>
  <c r="HM12" i="4"/>
  <c r="HP12" i="4" s="1"/>
  <c r="HM16" i="4"/>
  <c r="HP16" i="4" s="1"/>
  <c r="HM22" i="4"/>
  <c r="HP22" i="4" s="1"/>
  <c r="JE8" i="4"/>
  <c r="JH8" i="4" s="1"/>
  <c r="JE14" i="4"/>
  <c r="JH14" i="4" s="1"/>
  <c r="KA8" i="4"/>
  <c r="KD8" i="4" s="1"/>
  <c r="KA14" i="4"/>
  <c r="KD14" i="4" s="1"/>
  <c r="KW8" i="4"/>
  <c r="KZ8" i="4" s="1"/>
  <c r="KW22" i="4"/>
  <c r="KZ22" i="4" s="1"/>
  <c r="CN15" i="4"/>
  <c r="DJ11" i="4"/>
  <c r="DJ15" i="4"/>
  <c r="DJ18" i="4"/>
  <c r="EF9" i="4"/>
  <c r="EF11" i="4"/>
  <c r="FB15" i="4"/>
  <c r="FB20" i="4"/>
  <c r="FX13" i="4"/>
  <c r="FX22" i="4"/>
  <c r="GT13" i="4"/>
  <c r="HP7" i="4"/>
  <c r="HP13" i="4"/>
  <c r="HP19" i="4"/>
  <c r="IL16" i="4"/>
  <c r="IL22" i="4"/>
  <c r="JH5" i="4"/>
  <c r="JH22" i="4"/>
  <c r="KD5" i="4"/>
  <c r="KD11" i="4"/>
  <c r="KZ16" i="4"/>
  <c r="IL13" i="4"/>
  <c r="CN4" i="4"/>
  <c r="CN18" i="4"/>
  <c r="CK9" i="4"/>
  <c r="CN9" i="4" s="1"/>
  <c r="CK11" i="4"/>
  <c r="CN11" i="4" s="1"/>
  <c r="CK23" i="4"/>
  <c r="CN23" i="4" s="1"/>
  <c r="DG6" i="4"/>
  <c r="DJ6" i="4" s="1"/>
  <c r="DJ13" i="4"/>
  <c r="EC6" i="4"/>
  <c r="EF6" i="4" s="1"/>
  <c r="EC17" i="4"/>
  <c r="EF17" i="4" s="1"/>
  <c r="EC23" i="4"/>
  <c r="EF23" i="4" s="1"/>
  <c r="EY6" i="4"/>
  <c r="FB6" i="4" s="1"/>
  <c r="FU9" i="4"/>
  <c r="FX9" i="4" s="1"/>
  <c r="GQ7" i="4"/>
  <c r="GT7" i="4" s="1"/>
  <c r="GQ12" i="4"/>
  <c r="GT12" i="4" s="1"/>
  <c r="GQ20" i="4"/>
  <c r="GT20" i="4" s="1"/>
  <c r="IL4" i="4"/>
  <c r="IL7" i="4"/>
  <c r="II12" i="4"/>
  <c r="IL12" i="4" s="1"/>
  <c r="JH16" i="4"/>
  <c r="KD16" i="4"/>
  <c r="KD22" i="4"/>
  <c r="KZ13" i="4"/>
  <c r="DJ20" i="4"/>
  <c r="CK6" i="4"/>
  <c r="CN6" i="4" s="1"/>
  <c r="CK17" i="4"/>
  <c r="CN17" i="4" s="1"/>
  <c r="DG17" i="4"/>
  <c r="DJ17" i="4" s="1"/>
  <c r="DG19" i="4"/>
  <c r="DJ19" i="4" s="1"/>
  <c r="DG23" i="4"/>
  <c r="DJ23" i="4" s="1"/>
  <c r="EC14" i="4"/>
  <c r="EF14" i="4" s="1"/>
  <c r="FB4" i="4"/>
  <c r="EY17" i="4"/>
  <c r="FB17" i="4" s="1"/>
  <c r="EY23" i="4"/>
  <c r="FB23" i="4" s="1"/>
  <c r="FU6" i="4"/>
  <c r="FX6" i="4" s="1"/>
  <c r="FU15" i="4"/>
  <c r="FX15" i="4" s="1"/>
  <c r="FX18" i="4"/>
  <c r="GQ4" i="4"/>
  <c r="GT4" i="4" s="1"/>
  <c r="GQ15" i="4"/>
  <c r="GT15" i="4" s="1"/>
  <c r="HM9" i="4"/>
  <c r="HP9" i="4" s="1"/>
  <c r="HM15" i="4"/>
  <c r="HP15" i="4" s="1"/>
  <c r="HM18" i="4"/>
  <c r="HP18" i="4" s="1"/>
  <c r="IL5" i="4"/>
  <c r="JE7" i="4"/>
  <c r="JH7" i="4" s="1"/>
  <c r="JE12" i="4"/>
  <c r="JH12" i="4" s="1"/>
  <c r="JE13" i="4"/>
  <c r="JH13" i="4" s="1"/>
  <c r="KA7" i="4"/>
  <c r="KD7" i="4" s="1"/>
  <c r="KA12" i="4"/>
  <c r="KD12" i="4" s="1"/>
  <c r="KA13" i="4"/>
  <c r="KD13" i="4" s="1"/>
  <c r="KD19" i="4"/>
  <c r="KW7" i="4"/>
  <c r="KZ7" i="4" s="1"/>
  <c r="KW12" i="4"/>
  <c r="KZ12" i="4" s="1"/>
  <c r="KW20" i="4"/>
  <c r="KZ20" i="4" s="1"/>
  <c r="FX4" i="4"/>
  <c r="LT15" i="2"/>
  <c r="LT14" i="2"/>
  <c r="LT12" i="2"/>
  <c r="LT11" i="2"/>
  <c r="LT10" i="2"/>
  <c r="LT13" i="2"/>
  <c r="LT9" i="2"/>
  <c r="LT8" i="2"/>
  <c r="LT7" i="2"/>
  <c r="LT6" i="2"/>
  <c r="LT5" i="2"/>
  <c r="LT4" i="2"/>
  <c r="BL15" i="2"/>
  <c r="BL14" i="2"/>
  <c r="BL12" i="2"/>
  <c r="BL11" i="2"/>
  <c r="BL10" i="2"/>
  <c r="BL13" i="2"/>
  <c r="BL9" i="2"/>
  <c r="BL8" i="2"/>
  <c r="BL7" i="2"/>
  <c r="BL6" i="2"/>
  <c r="BL5" i="2"/>
  <c r="BL4" i="2"/>
  <c r="AO5" i="2"/>
  <c r="AO6" i="2"/>
  <c r="AO7" i="2"/>
  <c r="AO8" i="2"/>
  <c r="AO9" i="2"/>
  <c r="AO13" i="2"/>
  <c r="AO10" i="2"/>
  <c r="AO11" i="2"/>
  <c r="AO12" i="2"/>
  <c r="AO14" i="2"/>
  <c r="AO15" i="2"/>
  <c r="AO4" i="2"/>
  <c r="LT23" i="4"/>
  <c r="LT22" i="4"/>
  <c r="LT10" i="4"/>
  <c r="LT20" i="4"/>
  <c r="LT19" i="4"/>
  <c r="LT21" i="4"/>
  <c r="LT18" i="4"/>
  <c r="LT17" i="4"/>
  <c r="LT16" i="4"/>
  <c r="LT15" i="4"/>
  <c r="LT14" i="4"/>
  <c r="LT13" i="4"/>
  <c r="LT11" i="4"/>
  <c r="LT12" i="4"/>
  <c r="LT9" i="4"/>
  <c r="LT8" i="4"/>
  <c r="LT7" i="4"/>
  <c r="LT6" i="4"/>
  <c r="LT5" i="4"/>
  <c r="LT4" i="4"/>
  <c r="BL23" i="4"/>
  <c r="BL22" i="4"/>
  <c r="BL10" i="4"/>
  <c r="BL20" i="4"/>
  <c r="BL19" i="4"/>
  <c r="BL21" i="4"/>
  <c r="BL18" i="4"/>
  <c r="BL17" i="4"/>
  <c r="BL16" i="4"/>
  <c r="BL15" i="4"/>
  <c r="BL14" i="4"/>
  <c r="BL13" i="4"/>
  <c r="BL11" i="4"/>
  <c r="BL12" i="4"/>
  <c r="BL9" i="4"/>
  <c r="BL8" i="4"/>
  <c r="BL7" i="4"/>
  <c r="BL6" i="4"/>
  <c r="BL5" i="4"/>
  <c r="BL4" i="4"/>
  <c r="AO5" i="4"/>
  <c r="AO6" i="4"/>
  <c r="AO7" i="4"/>
  <c r="AO8" i="4"/>
  <c r="AO9" i="4"/>
  <c r="AO12" i="4"/>
  <c r="AO11" i="4"/>
  <c r="AO13" i="4"/>
  <c r="AO14" i="4"/>
  <c r="AO15" i="4"/>
  <c r="AO16" i="4"/>
  <c r="AO17" i="4"/>
  <c r="AO18" i="4"/>
  <c r="AO21" i="4"/>
  <c r="AO19" i="4"/>
  <c r="AO20" i="4"/>
  <c r="AO10" i="4"/>
  <c r="AO22" i="4"/>
  <c r="AO23" i="4"/>
  <c r="AO4" i="4"/>
  <c r="AH8" i="8" l="1"/>
  <c r="AI8" i="8"/>
  <c r="AJ8" i="8"/>
  <c r="BC8" i="8"/>
  <c r="BD8" i="8"/>
  <c r="BE8" i="8"/>
  <c r="BY8" i="8"/>
  <c r="BZ8" i="8"/>
  <c r="CA8" i="8"/>
  <c r="CS8" i="8"/>
  <c r="CT8" i="8"/>
  <c r="CU8" i="8"/>
  <c r="DM8" i="8"/>
  <c r="DN8" i="8"/>
  <c r="DO8" i="8"/>
  <c r="EG8" i="8"/>
  <c r="EH8" i="8"/>
  <c r="EI8" i="8"/>
  <c r="FA8" i="8"/>
  <c r="FB8" i="8"/>
  <c r="FC8" i="8"/>
  <c r="FU8" i="8"/>
  <c r="FV8" i="8"/>
  <c r="FW8" i="8"/>
  <c r="GO8" i="8"/>
  <c r="GP8" i="8"/>
  <c r="GQ8" i="8"/>
  <c r="HI8" i="8"/>
  <c r="HJ8" i="8"/>
  <c r="HK8" i="8"/>
  <c r="IC8" i="8"/>
  <c r="ID8" i="8"/>
  <c r="IE8" i="8"/>
  <c r="IW8" i="8"/>
  <c r="IX8" i="8"/>
  <c r="IY8" i="8"/>
  <c r="JQ8" i="8"/>
  <c r="JR8" i="8"/>
  <c r="JS8" i="8"/>
  <c r="KK8" i="8"/>
  <c r="KL8" i="8"/>
  <c r="KM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BF8" i="8" l="1"/>
  <c r="IF8" i="8"/>
  <c r="CB8" i="8"/>
  <c r="EJ8" i="8"/>
  <c r="FX8" i="8"/>
  <c r="JT8" i="8"/>
  <c r="CV8" i="8"/>
  <c r="AK8" i="8"/>
  <c r="DP8" i="8"/>
  <c r="FD8" i="8"/>
  <c r="KN8" i="8"/>
  <c r="GR8" i="8"/>
  <c r="IZ8" i="8"/>
  <c r="HL8" i="8"/>
  <c r="LF8" i="8"/>
  <c r="L8" i="8"/>
  <c r="M8" i="8" s="1"/>
  <c r="G8" i="8"/>
  <c r="LH8" i="8"/>
  <c r="LG8" i="8"/>
  <c r="H8" i="8"/>
  <c r="F8" i="8"/>
  <c r="J8" i="8"/>
  <c r="BH8" i="8" l="1"/>
  <c r="LI8" i="8"/>
  <c r="I8" i="8"/>
  <c r="A8" i="8"/>
  <c r="BG8" i="8"/>
  <c r="N8" i="8" s="1"/>
  <c r="K8" i="8"/>
  <c r="E8" i="8" l="1"/>
  <c r="O8" i="8"/>
  <c r="P8" i="8"/>
  <c r="LX4" i="2" l="1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KO5" i="7"/>
  <c r="KO6" i="7"/>
  <c r="KO7" i="7"/>
  <c r="KO8" i="7"/>
  <c r="KO9" i="7"/>
  <c r="KO4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W22" i="4"/>
  <c r="LX22" i="4"/>
  <c r="LY22" i="4"/>
  <c r="LZ22" i="4"/>
  <c r="MA22" i="4"/>
  <c r="MB22" i="4"/>
  <c r="MC22" i="4"/>
  <c r="MD22" i="4"/>
  <c r="ME22" i="4"/>
  <c r="MF22" i="4"/>
  <c r="MG22" i="4"/>
  <c r="MH22" i="4"/>
  <c r="MI22" i="4"/>
  <c r="MQ22" i="4" s="1"/>
  <c r="MJ22" i="4"/>
  <c r="MK22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Q23" i="4" s="1"/>
  <c r="MJ23" i="4"/>
  <c r="MK23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AH13" i="6" l="1"/>
  <c r="AI13" i="6"/>
  <c r="AJ13" i="6"/>
  <c r="AK13" i="6"/>
  <c r="BD13" i="6"/>
  <c r="BE13" i="6"/>
  <c r="BF13" i="6"/>
  <c r="BG13" i="6"/>
  <c r="CA13" i="6"/>
  <c r="CB13" i="6"/>
  <c r="CV13" i="6"/>
  <c r="KX13" i="6"/>
  <c r="KY13" i="6"/>
  <c r="KZ13" i="6"/>
  <c r="LA13" i="6"/>
  <c r="LV13" i="6"/>
  <c r="LU13" i="6"/>
  <c r="N5" i="12"/>
  <c r="O5" i="12" s="1"/>
  <c r="AH5" i="12"/>
  <c r="AI5" i="12"/>
  <c r="AJ5" i="12"/>
  <c r="AK5" i="12"/>
  <c r="BD5" i="12"/>
  <c r="BE5" i="12"/>
  <c r="BF5" i="12"/>
  <c r="BG5" i="12"/>
  <c r="CA5" i="12"/>
  <c r="CB5" i="12"/>
  <c r="CV5" i="12"/>
  <c r="KX5" i="12"/>
  <c r="KY5" i="12"/>
  <c r="KZ5" i="12"/>
  <c r="LA5" i="12"/>
  <c r="N7" i="12"/>
  <c r="O7" i="12" s="1"/>
  <c r="AH7" i="12"/>
  <c r="AI7" i="12"/>
  <c r="AJ7" i="12"/>
  <c r="AK7" i="12"/>
  <c r="BD7" i="12"/>
  <c r="BE7" i="12"/>
  <c r="BF7" i="12"/>
  <c r="BG7" i="12"/>
  <c r="CA7" i="12"/>
  <c r="CB7" i="12"/>
  <c r="CV7" i="12"/>
  <c r="KX7" i="12"/>
  <c r="KY7" i="12"/>
  <c r="KZ7" i="12"/>
  <c r="LA7" i="12"/>
  <c r="N8" i="12"/>
  <c r="O8" i="12" s="1"/>
  <c r="AH8" i="12"/>
  <c r="AI8" i="12"/>
  <c r="AJ8" i="12"/>
  <c r="AK8" i="12"/>
  <c r="BD8" i="12"/>
  <c r="BE8" i="12"/>
  <c r="BF8" i="12"/>
  <c r="BG8" i="12"/>
  <c r="CA8" i="12"/>
  <c r="CB8" i="12"/>
  <c r="CV8" i="12"/>
  <c r="KX8" i="12"/>
  <c r="KY8" i="12"/>
  <c r="KZ8" i="12"/>
  <c r="LA8" i="12"/>
  <c r="AH6" i="12"/>
  <c r="AI6" i="12"/>
  <c r="AJ6" i="12"/>
  <c r="AK6" i="12"/>
  <c r="BD6" i="12"/>
  <c r="BE6" i="12"/>
  <c r="BF6" i="12"/>
  <c r="BG6" i="12"/>
  <c r="CA6" i="12"/>
  <c r="CB6" i="12"/>
  <c r="CV6" i="12"/>
  <c r="KX6" i="12"/>
  <c r="KY6" i="12"/>
  <c r="KZ6" i="12"/>
  <c r="LA6" i="12"/>
  <c r="AK7" i="2"/>
  <c r="AL7" i="2"/>
  <c r="AM7" i="2"/>
  <c r="AP7" i="2"/>
  <c r="BH7" i="2"/>
  <c r="BI7" i="2"/>
  <c r="BJ7" i="2"/>
  <c r="BM7" i="2"/>
  <c r="LP7" i="2"/>
  <c r="LQ7" i="2"/>
  <c r="LR7" i="2"/>
  <c r="LU7" i="2"/>
  <c r="MM15" i="2"/>
  <c r="AK11" i="2"/>
  <c r="AL11" i="2"/>
  <c r="AM11" i="2"/>
  <c r="AP11" i="2"/>
  <c r="BH11" i="2"/>
  <c r="BI11" i="2"/>
  <c r="BJ11" i="2"/>
  <c r="BM11" i="2"/>
  <c r="LP11" i="2"/>
  <c r="LQ11" i="2"/>
  <c r="LR11" i="2"/>
  <c r="LU11" i="2"/>
  <c r="MM14" i="2"/>
  <c r="AK15" i="4"/>
  <c r="AL15" i="4"/>
  <c r="AM15" i="4"/>
  <c r="AP15" i="4"/>
  <c r="BH15" i="4"/>
  <c r="BI15" i="4"/>
  <c r="BJ15" i="4"/>
  <c r="BM15" i="4"/>
  <c r="LP15" i="4"/>
  <c r="LQ15" i="4"/>
  <c r="LR15" i="4"/>
  <c r="LU15" i="4"/>
  <c r="MM23" i="4"/>
  <c r="AK8" i="4"/>
  <c r="AL8" i="4"/>
  <c r="AM8" i="4"/>
  <c r="AP8" i="4"/>
  <c r="BH8" i="4"/>
  <c r="BI8" i="4"/>
  <c r="BJ8" i="4"/>
  <c r="BM8" i="4"/>
  <c r="LP8" i="4"/>
  <c r="LQ8" i="4"/>
  <c r="LR8" i="4"/>
  <c r="LU8" i="4"/>
  <c r="MM22" i="4"/>
  <c r="AK4" i="12"/>
  <c r="AJ4" i="12"/>
  <c r="AI4" i="12"/>
  <c r="AH4" i="12"/>
  <c r="AK10" i="6"/>
  <c r="AJ10" i="6"/>
  <c r="AI10" i="6"/>
  <c r="AH10" i="6"/>
  <c r="AK9" i="6"/>
  <c r="AJ9" i="6"/>
  <c r="AI9" i="6"/>
  <c r="AH9" i="6"/>
  <c r="AK8" i="6"/>
  <c r="AJ8" i="6"/>
  <c r="AI8" i="6"/>
  <c r="AH8" i="6"/>
  <c r="AK11" i="6"/>
  <c r="AJ11" i="6"/>
  <c r="AL11" i="6" s="1"/>
  <c r="AI11" i="6"/>
  <c r="AH11" i="6"/>
  <c r="AK12" i="6"/>
  <c r="AJ12" i="6"/>
  <c r="AI12" i="6"/>
  <c r="AH12" i="6"/>
  <c r="AK7" i="6"/>
  <c r="AJ7" i="6"/>
  <c r="AL7" i="6" s="1"/>
  <c r="AI7" i="6"/>
  <c r="AH7" i="6"/>
  <c r="AK6" i="6"/>
  <c r="AJ6" i="6"/>
  <c r="AI6" i="6"/>
  <c r="AH6" i="6"/>
  <c r="AK5" i="6"/>
  <c r="AJ5" i="6"/>
  <c r="AI5" i="6"/>
  <c r="AH5" i="6"/>
  <c r="AK4" i="6"/>
  <c r="AJ4" i="6"/>
  <c r="AI4" i="6"/>
  <c r="AH4" i="6"/>
  <c r="AJ7" i="8"/>
  <c r="AI7" i="8"/>
  <c r="AH7" i="8"/>
  <c r="AJ6" i="8"/>
  <c r="AI6" i="8"/>
  <c r="AH6" i="8"/>
  <c r="AJ5" i="8"/>
  <c r="AI5" i="8"/>
  <c r="AH5" i="8"/>
  <c r="AJ4" i="8"/>
  <c r="AI4" i="8"/>
  <c r="AH4" i="8"/>
  <c r="AJ9" i="7"/>
  <c r="AI9" i="7"/>
  <c r="AH9" i="7"/>
  <c r="AJ8" i="7"/>
  <c r="AI8" i="7"/>
  <c r="AH8" i="7"/>
  <c r="AJ7" i="7"/>
  <c r="AI7" i="7"/>
  <c r="AH7" i="7"/>
  <c r="AJ6" i="7"/>
  <c r="AI6" i="7"/>
  <c r="AH6" i="7"/>
  <c r="AJ4" i="7"/>
  <c r="AI4" i="7"/>
  <c r="AH4" i="7"/>
  <c r="AJ5" i="7"/>
  <c r="AI5" i="7"/>
  <c r="AH5" i="7"/>
  <c r="AP15" i="2"/>
  <c r="AM15" i="2"/>
  <c r="AL15" i="2"/>
  <c r="AK15" i="2"/>
  <c r="AP8" i="2"/>
  <c r="AM8" i="2"/>
  <c r="AL8" i="2"/>
  <c r="AK8" i="2"/>
  <c r="AP10" i="2"/>
  <c r="AM10" i="2"/>
  <c r="AL10" i="2"/>
  <c r="AK10" i="2"/>
  <c r="AP14" i="2"/>
  <c r="AM14" i="2"/>
  <c r="AL14" i="2"/>
  <c r="AK14" i="2"/>
  <c r="AP6" i="2"/>
  <c r="AM6" i="2"/>
  <c r="AL6" i="2"/>
  <c r="AK6" i="2"/>
  <c r="AP12" i="2"/>
  <c r="AM12" i="2"/>
  <c r="AL12" i="2"/>
  <c r="AK12" i="2"/>
  <c r="AP13" i="2"/>
  <c r="AM13" i="2"/>
  <c r="AL13" i="2"/>
  <c r="AK13" i="2"/>
  <c r="AP5" i="2"/>
  <c r="AM5" i="2"/>
  <c r="AL5" i="2"/>
  <c r="AK5" i="2"/>
  <c r="AP9" i="2"/>
  <c r="AM9" i="2"/>
  <c r="AL9" i="2"/>
  <c r="AK9" i="2"/>
  <c r="AP4" i="2"/>
  <c r="AM4" i="2"/>
  <c r="AL4" i="2"/>
  <c r="AK4" i="2"/>
  <c r="AP18" i="4"/>
  <c r="AM18" i="4"/>
  <c r="AL18" i="4"/>
  <c r="AK18" i="4"/>
  <c r="AP22" i="4"/>
  <c r="AM22" i="4"/>
  <c r="AL22" i="4"/>
  <c r="AK22" i="4"/>
  <c r="AP19" i="4"/>
  <c r="AM19" i="4"/>
  <c r="AL19" i="4"/>
  <c r="AK19" i="4"/>
  <c r="AP14" i="4"/>
  <c r="AM14" i="4"/>
  <c r="AL14" i="4"/>
  <c r="AK14" i="4"/>
  <c r="AP20" i="4"/>
  <c r="AM20" i="4"/>
  <c r="AL20" i="4"/>
  <c r="AK20" i="4"/>
  <c r="AP17" i="4"/>
  <c r="AM17" i="4"/>
  <c r="AL17" i="4"/>
  <c r="AK17" i="4"/>
  <c r="AP23" i="4"/>
  <c r="AM23" i="4"/>
  <c r="AL23" i="4"/>
  <c r="AK23" i="4"/>
  <c r="AP10" i="4"/>
  <c r="AM10" i="4"/>
  <c r="AL10" i="4"/>
  <c r="AK10" i="4"/>
  <c r="AP16" i="4"/>
  <c r="AM16" i="4"/>
  <c r="AL16" i="4"/>
  <c r="AK16" i="4"/>
  <c r="AP7" i="4"/>
  <c r="AM7" i="4"/>
  <c r="AL7" i="4"/>
  <c r="AK7" i="4"/>
  <c r="AP9" i="4"/>
  <c r="AM9" i="4"/>
  <c r="AL9" i="4"/>
  <c r="AK9" i="4"/>
  <c r="AP21" i="4"/>
  <c r="AM21" i="4"/>
  <c r="AL21" i="4"/>
  <c r="AK21" i="4"/>
  <c r="AP6" i="4"/>
  <c r="AM6" i="4"/>
  <c r="AL6" i="4"/>
  <c r="AK6" i="4"/>
  <c r="AP13" i="4"/>
  <c r="AM13" i="4"/>
  <c r="AL13" i="4"/>
  <c r="AK13" i="4"/>
  <c r="AP11" i="4"/>
  <c r="AM11" i="4"/>
  <c r="AL11" i="4"/>
  <c r="AK11" i="4"/>
  <c r="AP5" i="4"/>
  <c r="AM5" i="4"/>
  <c r="AL5" i="4"/>
  <c r="AK5" i="4"/>
  <c r="AP12" i="4"/>
  <c r="AM12" i="4"/>
  <c r="AL12" i="4"/>
  <c r="AK12" i="4"/>
  <c r="AP4" i="4"/>
  <c r="AM4" i="4"/>
  <c r="AL4" i="4"/>
  <c r="AK4" i="4"/>
  <c r="F11" i="2" l="1"/>
  <c r="G11" i="2"/>
  <c r="F7" i="2"/>
  <c r="G7" i="2"/>
  <c r="F8" i="4"/>
  <c r="G8" i="4"/>
  <c r="F15" i="4"/>
  <c r="G15" i="4"/>
  <c r="AK9" i="7"/>
  <c r="AN11" i="2"/>
  <c r="AL6" i="6"/>
  <c r="AL9" i="6"/>
  <c r="AL8" i="6"/>
  <c r="AN12" i="4"/>
  <c r="AN6" i="4"/>
  <c r="AN20" i="4"/>
  <c r="AN18" i="4"/>
  <c r="BH8" i="12"/>
  <c r="J8" i="12" s="1"/>
  <c r="L8" i="12" s="1"/>
  <c r="M8" i="12" s="1"/>
  <c r="AL4" i="12"/>
  <c r="BH7" i="12"/>
  <c r="J7" i="12" s="1"/>
  <c r="L7" i="12" s="1"/>
  <c r="M7" i="12" s="1"/>
  <c r="AK7" i="8"/>
  <c r="AK4" i="7"/>
  <c r="AN9" i="2"/>
  <c r="AN12" i="2"/>
  <c r="AN8" i="2"/>
  <c r="BH5" i="12"/>
  <c r="J5" i="12" s="1"/>
  <c r="L5" i="12" s="1"/>
  <c r="M5" i="12" s="1"/>
  <c r="AK4" i="8"/>
  <c r="LS7" i="2"/>
  <c r="LV7" i="2" s="1"/>
  <c r="LS11" i="2"/>
  <c r="LV11" i="2" s="1"/>
  <c r="AN6" i="2"/>
  <c r="AN4" i="4"/>
  <c r="AN5" i="4"/>
  <c r="AN13" i="4"/>
  <c r="AN21" i="4"/>
  <c r="AN7" i="4"/>
  <c r="AN10" i="4"/>
  <c r="AQ10" i="4" s="1"/>
  <c r="AN17" i="4"/>
  <c r="AN14" i="4"/>
  <c r="LB8" i="12"/>
  <c r="LB6" i="12"/>
  <c r="BH6" i="12"/>
  <c r="J6" i="12" s="1"/>
  <c r="LB7" i="12"/>
  <c r="LB5" i="12"/>
  <c r="P7" i="12"/>
  <c r="LB13" i="6"/>
  <c r="AL4" i="6"/>
  <c r="AL5" i="6"/>
  <c r="AL12" i="6"/>
  <c r="BH13" i="6"/>
  <c r="J13" i="6" s="1"/>
  <c r="AL10" i="6"/>
  <c r="AK5" i="8"/>
  <c r="AK6" i="8"/>
  <c r="AK8" i="7"/>
  <c r="AK6" i="7"/>
  <c r="AK5" i="7"/>
  <c r="AK7" i="7"/>
  <c r="AN15" i="2"/>
  <c r="AN4" i="2"/>
  <c r="AN14" i="2"/>
  <c r="AN13" i="2"/>
  <c r="AN5" i="2"/>
  <c r="AN10" i="2"/>
  <c r="MR15" i="2"/>
  <c r="P11" i="2"/>
  <c r="Q11" i="2" s="1"/>
  <c r="AN23" i="4"/>
  <c r="LS8" i="4"/>
  <c r="LV8" i="4" s="1"/>
  <c r="LS15" i="4"/>
  <c r="LV15" i="4" s="1"/>
  <c r="AN22" i="4"/>
  <c r="AN15" i="4"/>
  <c r="AN11" i="4"/>
  <c r="AN9" i="4"/>
  <c r="AN16" i="4"/>
  <c r="AN19" i="4"/>
  <c r="LT8" i="12"/>
  <c r="LT13" i="6"/>
  <c r="LW13" i="6"/>
  <c r="LX13" i="6" s="1"/>
  <c r="F13" i="6"/>
  <c r="H13" i="6"/>
  <c r="G13" i="6"/>
  <c r="H5" i="12"/>
  <c r="LV8" i="12"/>
  <c r="LW8" i="12"/>
  <c r="F5" i="12"/>
  <c r="LU8" i="12"/>
  <c r="P5" i="12"/>
  <c r="G5" i="12"/>
  <c r="H7" i="12"/>
  <c r="LT7" i="12"/>
  <c r="F7" i="12"/>
  <c r="LU7" i="12"/>
  <c r="LW7" i="12"/>
  <c r="LV7" i="12"/>
  <c r="G7" i="12"/>
  <c r="H8" i="12"/>
  <c r="LT6" i="12"/>
  <c r="F8" i="12"/>
  <c r="LU6" i="12"/>
  <c r="LW6" i="12"/>
  <c r="LV6" i="12"/>
  <c r="P8" i="12"/>
  <c r="G8" i="12"/>
  <c r="LU5" i="12"/>
  <c r="LV5" i="12"/>
  <c r="F6" i="12"/>
  <c r="LT5" i="12"/>
  <c r="LW5" i="12"/>
  <c r="H6" i="12"/>
  <c r="G6" i="12"/>
  <c r="BK11" i="2"/>
  <c r="BN11" i="2" s="1"/>
  <c r="BK7" i="2"/>
  <c r="BN7" i="2" s="1"/>
  <c r="MN15" i="2"/>
  <c r="P7" i="2"/>
  <c r="BR7" i="2" s="1"/>
  <c r="AN7" i="2"/>
  <c r="MO15" i="2"/>
  <c r="MR14" i="2"/>
  <c r="MN14" i="2"/>
  <c r="MO14" i="2"/>
  <c r="BK15" i="4"/>
  <c r="MN23" i="4"/>
  <c r="P15" i="4"/>
  <c r="BR15" i="4" s="1"/>
  <c r="MR23" i="4"/>
  <c r="MO23" i="4"/>
  <c r="MN22" i="4"/>
  <c r="P8" i="4"/>
  <c r="BR8" i="4" s="1"/>
  <c r="BK8" i="4"/>
  <c r="BN8" i="4" s="1"/>
  <c r="AN8" i="4"/>
  <c r="MR22" i="4"/>
  <c r="MO22" i="4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20" i="4"/>
  <c r="MM21" i="4"/>
  <c r="MM4" i="4"/>
  <c r="AQ5" i="2" l="1"/>
  <c r="AQ6" i="2"/>
  <c r="H11" i="2"/>
  <c r="I11" i="2" s="1"/>
  <c r="AQ14" i="2"/>
  <c r="AQ4" i="2"/>
  <c r="AQ9" i="2"/>
  <c r="AQ13" i="2"/>
  <c r="AQ11" i="2"/>
  <c r="AQ7" i="2"/>
  <c r="H7" i="2"/>
  <c r="AQ15" i="2"/>
  <c r="AQ8" i="2"/>
  <c r="AQ10" i="2"/>
  <c r="AQ12" i="2"/>
  <c r="AQ15" i="4"/>
  <c r="H15" i="4"/>
  <c r="I15" i="4" s="1"/>
  <c r="AQ13" i="4"/>
  <c r="AQ4" i="4"/>
  <c r="AQ12" i="4"/>
  <c r="AQ6" i="4"/>
  <c r="AQ22" i="4"/>
  <c r="AQ23" i="4"/>
  <c r="AQ20" i="4"/>
  <c r="AQ5" i="4"/>
  <c r="AQ17" i="4"/>
  <c r="AQ16" i="4"/>
  <c r="AQ19" i="4"/>
  <c r="AQ14" i="4"/>
  <c r="AQ9" i="4"/>
  <c r="AQ7" i="4"/>
  <c r="AQ8" i="4"/>
  <c r="H8" i="4"/>
  <c r="AQ11" i="4"/>
  <c r="AQ21" i="4"/>
  <c r="AQ18" i="4"/>
  <c r="K8" i="12"/>
  <c r="K5" i="12"/>
  <c r="K7" i="12"/>
  <c r="J11" i="2"/>
  <c r="L11" i="2" s="1"/>
  <c r="BR11" i="2"/>
  <c r="MP22" i="4"/>
  <c r="MP15" i="2"/>
  <c r="MS15" i="2" s="1"/>
  <c r="MS22" i="4"/>
  <c r="J15" i="4"/>
  <c r="BQ15" i="4" s="1"/>
  <c r="BN15" i="4"/>
  <c r="K6" i="12"/>
  <c r="L6" i="12"/>
  <c r="M6" i="12" s="1"/>
  <c r="LX7" i="12"/>
  <c r="I5" i="12"/>
  <c r="I8" i="12"/>
  <c r="I7" i="12"/>
  <c r="LW4" i="12"/>
  <c r="LX6" i="12"/>
  <c r="L13" i="6"/>
  <c r="M13" i="6" s="1"/>
  <c r="K13" i="6"/>
  <c r="LH6" i="7"/>
  <c r="LF8" i="7"/>
  <c r="LF6" i="7"/>
  <c r="LH8" i="7"/>
  <c r="MN8" i="2"/>
  <c r="MR7" i="2"/>
  <c r="MO6" i="2"/>
  <c r="Q7" i="2"/>
  <c r="MR4" i="4"/>
  <c r="MN5" i="4"/>
  <c r="MR11" i="4"/>
  <c r="Q8" i="4"/>
  <c r="MN21" i="4"/>
  <c r="Q15" i="4"/>
  <c r="E5" i="12"/>
  <c r="LX5" i="12"/>
  <c r="LV4" i="12"/>
  <c r="LU4" i="12"/>
  <c r="LU10" i="6"/>
  <c r="LU6" i="6"/>
  <c r="LV4" i="6"/>
  <c r="I13" i="6"/>
  <c r="A13" i="6"/>
  <c r="N13" i="6"/>
  <c r="LX8" i="12"/>
  <c r="E7" i="12"/>
  <c r="E8" i="12"/>
  <c r="I6" i="12"/>
  <c r="N6" i="12"/>
  <c r="MP14" i="2"/>
  <c r="MS14" i="2" s="1"/>
  <c r="J7" i="2"/>
  <c r="L7" i="2" s="1"/>
  <c r="N7" i="2"/>
  <c r="N11" i="2"/>
  <c r="MN7" i="2"/>
  <c r="MP23" i="4"/>
  <c r="MS23" i="4" s="1"/>
  <c r="MN8" i="4"/>
  <c r="J8" i="4"/>
  <c r="L8" i="4" s="1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6" i="7"/>
  <c r="LG7" i="7"/>
  <c r="LH4" i="7"/>
  <c r="LG5" i="7"/>
  <c r="LG8" i="7"/>
  <c r="LF9" i="7"/>
  <c r="LF7" i="7"/>
  <c r="LF5" i="7"/>
  <c r="LG9" i="7"/>
  <c r="LF4" i="7"/>
  <c r="LH9" i="7"/>
  <c r="LH7" i="7"/>
  <c r="LH5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21" i="4"/>
  <c r="MR10" i="4"/>
  <c r="MN16" i="4"/>
  <c r="MR13" i="4"/>
  <c r="MN10" i="4"/>
  <c r="MO19" i="4"/>
  <c r="MR14" i="4"/>
  <c r="MO12" i="4"/>
  <c r="MO20" i="4"/>
  <c r="MN12" i="4"/>
  <c r="MO13" i="4"/>
  <c r="MR5" i="4"/>
  <c r="MO21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20" i="4"/>
  <c r="MR17" i="4"/>
  <c r="MN20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LG4" i="7"/>
  <c r="KK5" i="8"/>
  <c r="KL5" i="8"/>
  <c r="MP10" i="2" l="1"/>
  <c r="K7" i="2"/>
  <c r="K11" i="2"/>
  <c r="BQ11" i="2"/>
  <c r="N15" i="4"/>
  <c r="L15" i="4"/>
  <c r="K15" i="4"/>
  <c r="O15" i="4" s="1"/>
  <c r="BQ7" i="2"/>
  <c r="MP6" i="2"/>
  <c r="MS6" i="2" s="1"/>
  <c r="LI4" i="7"/>
  <c r="LI8" i="7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6" i="7"/>
  <c r="LI7" i="7"/>
  <c r="LI9" i="7"/>
  <c r="LX5" i="6"/>
  <c r="LX12" i="6"/>
  <c r="LX7" i="6"/>
  <c r="LX9" i="6"/>
  <c r="LI6" i="8"/>
  <c r="LI5" i="7"/>
  <c r="MS10" i="2"/>
  <c r="MP5" i="2"/>
  <c r="MS5" i="2" s="1"/>
  <c r="MP14" i="4"/>
  <c r="MS14" i="4" s="1"/>
  <c r="MP21" i="4"/>
  <c r="MS21" i="4" s="1"/>
  <c r="MP10" i="4"/>
  <c r="MS10" i="4" s="1"/>
  <c r="MP17" i="4"/>
  <c r="MS17" i="4" s="1"/>
  <c r="MP20" i="4"/>
  <c r="MS20" i="4" s="1"/>
  <c r="MP7" i="4"/>
  <c r="MS7" i="4" s="1"/>
  <c r="LX4" i="6"/>
  <c r="O13" i="6"/>
  <c r="P13" i="6"/>
  <c r="E13" i="6"/>
  <c r="O6" i="12"/>
  <c r="P6" i="12"/>
  <c r="E6" i="12"/>
  <c r="MP12" i="2"/>
  <c r="MS12" i="2" s="1"/>
  <c r="I7" i="2"/>
  <c r="BP7" i="2"/>
  <c r="O7" i="2"/>
  <c r="M7" i="2"/>
  <c r="BO7" i="2"/>
  <c r="O11" i="2"/>
  <c r="BP11" i="2"/>
  <c r="M11" i="2"/>
  <c r="BO11" i="2"/>
  <c r="MP4" i="2"/>
  <c r="MS4" i="2" s="1"/>
  <c r="MP7" i="2"/>
  <c r="MS7" i="2" s="1"/>
  <c r="BP15" i="4"/>
  <c r="BO15" i="4"/>
  <c r="MP12" i="4"/>
  <c r="MS12" i="4" s="1"/>
  <c r="MP16" i="4"/>
  <c r="MS16" i="4" s="1"/>
  <c r="MP8" i="4"/>
  <c r="MS8" i="4" s="1"/>
  <c r="MP18" i="4"/>
  <c r="MS18" i="4" s="1"/>
  <c r="BQ8" i="4"/>
  <c r="K8" i="4"/>
  <c r="M8" i="4" s="1"/>
  <c r="N8" i="4"/>
  <c r="I8" i="4"/>
  <c r="BO8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CA5" i="6"/>
  <c r="CB5" i="6"/>
  <c r="CC5" i="6"/>
  <c r="CD5" i="6"/>
  <c r="CA6" i="6"/>
  <c r="CB6" i="6"/>
  <c r="CC6" i="6"/>
  <c r="CD6" i="6"/>
  <c r="CA8" i="6"/>
  <c r="CB8" i="6"/>
  <c r="CC8" i="6"/>
  <c r="CD8" i="6"/>
  <c r="CA11" i="6"/>
  <c r="CB11" i="6"/>
  <c r="CC11" i="6"/>
  <c r="CD11" i="6"/>
  <c r="CA12" i="6"/>
  <c r="CB12" i="6"/>
  <c r="CC12" i="6"/>
  <c r="CD12" i="6"/>
  <c r="CA9" i="6"/>
  <c r="CB9" i="6"/>
  <c r="CC9" i="6"/>
  <c r="CD9" i="6"/>
  <c r="CA7" i="6"/>
  <c r="CB7" i="6"/>
  <c r="CC7" i="6"/>
  <c r="CD7" i="6"/>
  <c r="CA10" i="6"/>
  <c r="CB10" i="6"/>
  <c r="CC10" i="6"/>
  <c r="CD10" i="6"/>
  <c r="CD4" i="6"/>
  <c r="CC4" i="6"/>
  <c r="CB4" i="6"/>
  <c r="CA4" i="6"/>
  <c r="M15" i="4" l="1"/>
  <c r="O8" i="4"/>
  <c r="CE4" i="6"/>
  <c r="CE7" i="6"/>
  <c r="CE9" i="6"/>
  <c r="CE10" i="6"/>
  <c r="R7" i="2"/>
  <c r="E7" i="2" s="1"/>
  <c r="R11" i="2"/>
  <c r="E11" i="2" s="1"/>
  <c r="R15" i="4"/>
  <c r="BP8" i="4"/>
  <c r="R8" i="4" s="1"/>
  <c r="CE6" i="6"/>
  <c r="CE12" i="6"/>
  <c r="CE8" i="6"/>
  <c r="CE5" i="6"/>
  <c r="CE11" i="6"/>
  <c r="E8" i="4" l="1"/>
  <c r="S11" i="2"/>
  <c r="T11" i="2"/>
  <c r="T7" i="2"/>
  <c r="S7" i="2"/>
  <c r="T15" i="4"/>
  <c r="S15" i="4"/>
  <c r="E15" i="4"/>
  <c r="A15" i="4" s="1"/>
  <c r="T8" i="4"/>
  <c r="S8" i="4"/>
  <c r="BC7" i="8"/>
  <c r="BD7" i="8"/>
  <c r="BE7" i="8"/>
  <c r="BY7" i="8"/>
  <c r="BZ7" i="8"/>
  <c r="CA7" i="8"/>
  <c r="CS7" i="8"/>
  <c r="CT7" i="8"/>
  <c r="CU7" i="8"/>
  <c r="DM7" i="8"/>
  <c r="DN7" i="8"/>
  <c r="DO7" i="8"/>
  <c r="EG7" i="8"/>
  <c r="EH7" i="8"/>
  <c r="EI7" i="8"/>
  <c r="FA7" i="8"/>
  <c r="FB7" i="8"/>
  <c r="FC7" i="8"/>
  <c r="FU7" i="8"/>
  <c r="FV7" i="8"/>
  <c r="FW7" i="8"/>
  <c r="GO7" i="8"/>
  <c r="GP7" i="8"/>
  <c r="GQ7" i="8"/>
  <c r="HI7" i="8"/>
  <c r="HJ7" i="8"/>
  <c r="HK7" i="8"/>
  <c r="IC7" i="8"/>
  <c r="ID7" i="8"/>
  <c r="IE7" i="8"/>
  <c r="IW7" i="8"/>
  <c r="IX7" i="8"/>
  <c r="IY7" i="8"/>
  <c r="JQ7" i="8"/>
  <c r="JR7" i="8"/>
  <c r="JS7" i="8"/>
  <c r="KK7" i="8"/>
  <c r="KL7" i="8"/>
  <c r="KM7" i="8"/>
  <c r="BH12" i="2"/>
  <c r="BI12" i="2"/>
  <c r="BJ12" i="2"/>
  <c r="BM12" i="2"/>
  <c r="LP12" i="2"/>
  <c r="LQ12" i="2"/>
  <c r="LR12" i="2"/>
  <c r="LU12" i="2"/>
  <c r="BH14" i="2"/>
  <c r="BI14" i="2"/>
  <c r="BJ14" i="2"/>
  <c r="BM14" i="2"/>
  <c r="LP14" i="2"/>
  <c r="LQ14" i="2"/>
  <c r="LR14" i="2"/>
  <c r="LU14" i="2"/>
  <c r="BH6" i="2"/>
  <c r="BI6" i="2"/>
  <c r="BJ6" i="2"/>
  <c r="BM6" i="2"/>
  <c r="LP6" i="2"/>
  <c r="LQ6" i="2"/>
  <c r="LR6" i="2"/>
  <c r="LU6" i="2"/>
  <c r="G14" i="2" l="1"/>
  <c r="F14" i="2"/>
  <c r="G6" i="2"/>
  <c r="F6" i="2"/>
  <c r="G12" i="2"/>
  <c r="F12" i="2"/>
  <c r="LS14" i="2"/>
  <c r="LV14" i="2" s="1"/>
  <c r="IZ7" i="8"/>
  <c r="CV7" i="8"/>
  <c r="FX7" i="8"/>
  <c r="DP7" i="8"/>
  <c r="KN7" i="8"/>
  <c r="EJ7" i="8"/>
  <c r="JT7" i="8"/>
  <c r="HL7" i="8"/>
  <c r="CB7" i="8"/>
  <c r="FD7" i="8"/>
  <c r="GR7" i="8"/>
  <c r="IF7" i="8"/>
  <c r="LS12" i="2"/>
  <c r="LV12" i="2" s="1"/>
  <c r="BK12" i="2"/>
  <c r="P12" i="2"/>
  <c r="BR12" i="2" s="1"/>
  <c r="LS6" i="2"/>
  <c r="LV6" i="2" s="1"/>
  <c r="P14" i="2"/>
  <c r="BR14" i="2" s="1"/>
  <c r="L7" i="8"/>
  <c r="M7" i="8" s="1"/>
  <c r="BF7" i="8"/>
  <c r="F7" i="8"/>
  <c r="H7" i="8"/>
  <c r="G7" i="8"/>
  <c r="J7" i="8"/>
  <c r="BK6" i="2"/>
  <c r="BK14" i="2"/>
  <c r="H14" i="2" s="1"/>
  <c r="P6" i="2"/>
  <c r="BR6" i="2" s="1"/>
  <c r="BN6" i="2" l="1"/>
  <c r="H6" i="2"/>
  <c r="I6" i="2" s="1"/>
  <c r="BN12" i="2"/>
  <c r="H12" i="2"/>
  <c r="A12" i="2" s="1"/>
  <c r="A14" i="2"/>
  <c r="J12" i="2"/>
  <c r="K12" i="2" s="1"/>
  <c r="BH7" i="8"/>
  <c r="Q12" i="2"/>
  <c r="Q14" i="2"/>
  <c r="J14" i="2"/>
  <c r="K14" i="2" s="1"/>
  <c r="BN14" i="2"/>
  <c r="I7" i="8"/>
  <c r="BG7" i="8"/>
  <c r="K7" i="8"/>
  <c r="Q6" i="2"/>
  <c r="J6" i="2"/>
  <c r="BQ12" i="2" l="1"/>
  <c r="I14" i="2"/>
  <c r="N7" i="8"/>
  <c r="E7" i="8" s="1"/>
  <c r="L12" i="2"/>
  <c r="BO12" i="2" s="1"/>
  <c r="N12" i="2"/>
  <c r="BP12" i="2" s="1"/>
  <c r="L14" i="2"/>
  <c r="M14" i="2" s="1"/>
  <c r="BQ14" i="2"/>
  <c r="I12" i="2"/>
  <c r="N14" i="2"/>
  <c r="O14" i="2" s="1"/>
  <c r="K6" i="2"/>
  <c r="BQ6" i="2"/>
  <c r="L6" i="2"/>
  <c r="N6" i="2"/>
  <c r="M12" i="2" l="1"/>
  <c r="R12" i="2"/>
  <c r="T12" i="2" s="1"/>
  <c r="BO14" i="2"/>
  <c r="P7" i="8"/>
  <c r="O7" i="8"/>
  <c r="O12" i="2"/>
  <c r="BP14" i="2"/>
  <c r="O6" i="2"/>
  <c r="BP6" i="2"/>
  <c r="BO6" i="2"/>
  <c r="M6" i="2"/>
  <c r="E12" i="2" l="1"/>
  <c r="R14" i="2"/>
  <c r="E14" i="2" s="1"/>
  <c r="S12" i="2"/>
  <c r="R6" i="2"/>
  <c r="T6" i="2" s="1"/>
  <c r="S14" i="2" l="1"/>
  <c r="T14" i="2"/>
  <c r="S6" i="2"/>
  <c r="E6" i="2"/>
  <c r="FH6" i="6"/>
  <c r="KD10" i="6" l="1"/>
  <c r="KC10" i="6"/>
  <c r="KD7" i="6"/>
  <c r="KC7" i="6"/>
  <c r="KD9" i="6"/>
  <c r="KC9" i="6"/>
  <c r="KD12" i="6"/>
  <c r="KC12" i="6"/>
  <c r="KD11" i="6"/>
  <c r="KC11" i="6"/>
  <c r="KD8" i="6"/>
  <c r="KC8" i="6"/>
  <c r="KD6" i="6"/>
  <c r="KC6" i="6"/>
  <c r="KD5" i="6"/>
  <c r="KC5" i="6"/>
  <c r="KD4" i="6"/>
  <c r="KC4" i="6"/>
  <c r="IN10" i="6"/>
  <c r="IM10" i="6"/>
  <c r="IN7" i="6"/>
  <c r="IM7" i="6"/>
  <c r="IN9" i="6"/>
  <c r="IM9" i="6"/>
  <c r="IN12" i="6"/>
  <c r="IM12" i="6"/>
  <c r="IN11" i="6"/>
  <c r="IM11" i="6"/>
  <c r="IN8" i="6"/>
  <c r="IM8" i="6"/>
  <c r="IN6" i="6"/>
  <c r="IM6" i="6"/>
  <c r="IN5" i="6"/>
  <c r="IM5" i="6"/>
  <c r="IN4" i="6"/>
  <c r="IM4" i="6"/>
  <c r="GX10" i="6"/>
  <c r="GW10" i="6"/>
  <c r="GX7" i="6"/>
  <c r="GW7" i="6"/>
  <c r="GX9" i="6"/>
  <c r="GW9" i="6"/>
  <c r="GX12" i="6"/>
  <c r="GW12" i="6"/>
  <c r="GX11" i="6"/>
  <c r="GW11" i="6"/>
  <c r="GX8" i="6"/>
  <c r="GW8" i="6"/>
  <c r="GX6" i="6"/>
  <c r="GW6" i="6"/>
  <c r="GX5" i="6"/>
  <c r="GW5" i="6"/>
  <c r="GX4" i="6"/>
  <c r="GW4" i="6"/>
  <c r="KY10" i="6"/>
  <c r="KX10" i="6"/>
  <c r="KY7" i="6"/>
  <c r="KX7" i="6"/>
  <c r="KY9" i="6"/>
  <c r="KX9" i="6"/>
  <c r="KY12" i="6"/>
  <c r="KX12" i="6"/>
  <c r="KY11" i="6"/>
  <c r="KX11" i="6"/>
  <c r="KY8" i="6"/>
  <c r="KX8" i="6"/>
  <c r="KY6" i="6"/>
  <c r="KX6" i="6"/>
  <c r="KY5" i="6"/>
  <c r="KX5" i="6"/>
  <c r="KY4" i="6"/>
  <c r="KX4" i="6"/>
  <c r="JI10" i="6"/>
  <c r="JH10" i="6"/>
  <c r="JI7" i="6"/>
  <c r="JH7" i="6"/>
  <c r="JI9" i="6"/>
  <c r="JH9" i="6"/>
  <c r="JI12" i="6"/>
  <c r="JH12" i="6"/>
  <c r="JI11" i="6"/>
  <c r="JH11" i="6"/>
  <c r="JI8" i="6"/>
  <c r="JH8" i="6"/>
  <c r="JI6" i="6"/>
  <c r="JH6" i="6"/>
  <c r="JI5" i="6"/>
  <c r="JH5" i="6"/>
  <c r="JI4" i="6"/>
  <c r="JH4" i="6"/>
  <c r="HS10" i="6"/>
  <c r="HR10" i="6"/>
  <c r="HS7" i="6"/>
  <c r="HR7" i="6"/>
  <c r="HS9" i="6"/>
  <c r="HR9" i="6"/>
  <c r="HS12" i="6"/>
  <c r="HR12" i="6"/>
  <c r="HS11" i="6"/>
  <c r="HR11" i="6"/>
  <c r="HS8" i="6"/>
  <c r="HR8" i="6"/>
  <c r="HS6" i="6"/>
  <c r="HR6" i="6"/>
  <c r="HS5" i="6"/>
  <c r="HR5" i="6"/>
  <c r="HS4" i="6"/>
  <c r="HR4" i="6"/>
  <c r="GC10" i="6"/>
  <c r="GB10" i="6"/>
  <c r="GC7" i="6"/>
  <c r="GB7" i="6"/>
  <c r="GC9" i="6"/>
  <c r="GB9" i="6"/>
  <c r="GC12" i="6"/>
  <c r="GB12" i="6"/>
  <c r="GC11" i="6"/>
  <c r="GB11" i="6"/>
  <c r="GC8" i="6"/>
  <c r="GB8" i="6"/>
  <c r="GC6" i="6"/>
  <c r="GB6" i="6"/>
  <c r="GC5" i="6"/>
  <c r="GB5" i="6"/>
  <c r="GC4" i="6"/>
  <c r="GB4" i="6"/>
  <c r="KY4" i="12" l="1"/>
  <c r="KX4" i="12"/>
  <c r="JI4" i="12"/>
  <c r="JH4" i="12"/>
  <c r="HS4" i="12"/>
  <c r="HR4" i="12"/>
  <c r="GC4" i="12"/>
  <c r="GB4" i="12"/>
  <c r="EM4" i="12"/>
  <c r="EL4" i="12"/>
  <c r="KD4" i="12"/>
  <c r="KC4" i="12"/>
  <c r="IN4" i="12"/>
  <c r="IM4" i="12"/>
  <c r="GX4" i="12"/>
  <c r="GW4" i="12"/>
  <c r="FH4" i="12"/>
  <c r="FG4" i="12"/>
  <c r="DR4" i="12"/>
  <c r="DQ4" i="12"/>
  <c r="CW4" i="12"/>
  <c r="CV4" i="12"/>
  <c r="CA4" i="12"/>
  <c r="CB4" i="12"/>
  <c r="BE4" i="12"/>
  <c r="BD4" i="12"/>
  <c r="EM10" i="6"/>
  <c r="EL10" i="6"/>
  <c r="EM7" i="6"/>
  <c r="EL7" i="6"/>
  <c r="EM9" i="6"/>
  <c r="EL9" i="6"/>
  <c r="EM12" i="6"/>
  <c r="EL12" i="6"/>
  <c r="EM11" i="6"/>
  <c r="EL11" i="6"/>
  <c r="EM8" i="6"/>
  <c r="EL8" i="6"/>
  <c r="EM6" i="6"/>
  <c r="EL6" i="6"/>
  <c r="EM5" i="6"/>
  <c r="EL5" i="6"/>
  <c r="EM4" i="6"/>
  <c r="EL4" i="6"/>
  <c r="FH10" i="6"/>
  <c r="FG10" i="6"/>
  <c r="FH7" i="6"/>
  <c r="FG7" i="6"/>
  <c r="FH9" i="6"/>
  <c r="FG9" i="6"/>
  <c r="FH12" i="6"/>
  <c r="FG12" i="6"/>
  <c r="FH11" i="6"/>
  <c r="FG11" i="6"/>
  <c r="FH8" i="6"/>
  <c r="FG8" i="6"/>
  <c r="FG6" i="6"/>
  <c r="FH5" i="6"/>
  <c r="FG5" i="6"/>
  <c r="FH4" i="6"/>
  <c r="FG4" i="6"/>
  <c r="DR10" i="6"/>
  <c r="DQ10" i="6"/>
  <c r="DR7" i="6"/>
  <c r="DQ7" i="6"/>
  <c r="DR9" i="6"/>
  <c r="DQ9" i="6"/>
  <c r="DR12" i="6"/>
  <c r="DQ12" i="6"/>
  <c r="DR11" i="6"/>
  <c r="DQ11" i="6"/>
  <c r="DR8" i="6"/>
  <c r="DQ8" i="6"/>
  <c r="DR6" i="6"/>
  <c r="DQ6" i="6"/>
  <c r="DR5" i="6"/>
  <c r="DQ5" i="6"/>
  <c r="DR4" i="6"/>
  <c r="DQ4" i="6"/>
  <c r="CW10" i="6"/>
  <c r="CV10" i="6"/>
  <c r="CW7" i="6"/>
  <c r="CV7" i="6"/>
  <c r="CW9" i="6"/>
  <c r="CV9" i="6"/>
  <c r="CW12" i="6"/>
  <c r="CV12" i="6"/>
  <c r="CW11" i="6"/>
  <c r="CV11" i="6"/>
  <c r="CW8" i="6"/>
  <c r="CV8" i="6"/>
  <c r="CW6" i="6"/>
  <c r="CV6" i="6"/>
  <c r="CW5" i="6"/>
  <c r="CV5" i="6"/>
  <c r="CW4" i="6"/>
  <c r="CV4" i="6"/>
  <c r="BE10" i="6"/>
  <c r="BD10" i="6"/>
  <c r="BE7" i="6"/>
  <c r="BD7" i="6"/>
  <c r="BE9" i="6"/>
  <c r="BD9" i="6"/>
  <c r="BE12" i="6"/>
  <c r="BD12" i="6"/>
  <c r="BE11" i="6"/>
  <c r="BD11" i="6"/>
  <c r="BE8" i="6"/>
  <c r="BD8" i="6"/>
  <c r="BE6" i="6"/>
  <c r="BD6" i="6"/>
  <c r="BE5" i="6"/>
  <c r="BD5" i="6"/>
  <c r="BE4" i="6"/>
  <c r="BD4" i="6"/>
  <c r="KM6" i="8" l="1"/>
  <c r="KL6" i="8"/>
  <c r="KL4" i="8"/>
  <c r="JR6" i="8"/>
  <c r="JR5" i="8"/>
  <c r="JR4" i="8"/>
  <c r="IX6" i="8"/>
  <c r="IX5" i="8"/>
  <c r="IX4" i="8"/>
  <c r="ID6" i="8"/>
  <c r="ID5" i="8"/>
  <c r="ID4" i="8"/>
  <c r="HJ4" i="8"/>
  <c r="HJ6" i="8"/>
  <c r="HJ5" i="8"/>
  <c r="GP6" i="8"/>
  <c r="GP5" i="8"/>
  <c r="GP4" i="8"/>
  <c r="FV6" i="8"/>
  <c r="FV5" i="8"/>
  <c r="FV4" i="8"/>
  <c r="FB6" i="8"/>
  <c r="FB5" i="8"/>
  <c r="FB4" i="8"/>
  <c r="EH6" i="8"/>
  <c r="EH5" i="8"/>
  <c r="EH4" i="8"/>
  <c r="DN6" i="8"/>
  <c r="DN5" i="8"/>
  <c r="DN4" i="8"/>
  <c r="CT6" i="8"/>
  <c r="CT5" i="8"/>
  <c r="CT4" i="8"/>
  <c r="BZ5" i="8"/>
  <c r="BZ6" i="8"/>
  <c r="BZ4" i="8"/>
  <c r="BD6" i="8"/>
  <c r="BD5" i="8"/>
  <c r="BD4" i="8"/>
  <c r="KL8" i="7"/>
  <c r="KL9" i="7"/>
  <c r="KL7" i="7"/>
  <c r="KL6" i="7"/>
  <c r="KL5" i="7"/>
  <c r="KL4" i="7"/>
  <c r="JR8" i="7"/>
  <c r="JR9" i="7"/>
  <c r="JR7" i="7"/>
  <c r="JR6" i="7"/>
  <c r="JR5" i="7"/>
  <c r="JR4" i="7"/>
  <c r="IX8" i="7"/>
  <c r="IX9" i="7"/>
  <c r="IX7" i="7"/>
  <c r="IX6" i="7"/>
  <c r="IX5" i="7"/>
  <c r="IX4" i="7"/>
  <c r="ID8" i="7"/>
  <c r="ID9" i="7"/>
  <c r="ID7" i="7"/>
  <c r="ID6" i="7"/>
  <c r="ID5" i="7"/>
  <c r="ID4" i="7"/>
  <c r="HJ8" i="7"/>
  <c r="HJ9" i="7"/>
  <c r="HJ7" i="7"/>
  <c r="HJ6" i="7"/>
  <c r="HJ5" i="7"/>
  <c r="HJ4" i="7"/>
  <c r="GP8" i="7"/>
  <c r="GP9" i="7"/>
  <c r="GP7" i="7"/>
  <c r="GP6" i="7"/>
  <c r="GP5" i="7"/>
  <c r="GP4" i="7"/>
  <c r="FV8" i="7"/>
  <c r="FV9" i="7"/>
  <c r="FV7" i="7"/>
  <c r="FV6" i="7"/>
  <c r="FV5" i="7"/>
  <c r="FV4" i="7"/>
  <c r="FB8" i="7"/>
  <c r="FB9" i="7"/>
  <c r="FB7" i="7"/>
  <c r="FB6" i="7"/>
  <c r="FB5" i="7"/>
  <c r="FB4" i="7"/>
  <c r="EH8" i="7"/>
  <c r="EH9" i="7"/>
  <c r="EH7" i="7"/>
  <c r="EH6" i="7"/>
  <c r="EH5" i="7"/>
  <c r="EH4" i="7"/>
  <c r="DN8" i="7"/>
  <c r="DN9" i="7"/>
  <c r="DN7" i="7"/>
  <c r="DN6" i="7"/>
  <c r="DN5" i="7"/>
  <c r="DN4" i="7"/>
  <c r="CT8" i="7"/>
  <c r="CT9" i="7"/>
  <c r="CT7" i="7"/>
  <c r="CT6" i="7"/>
  <c r="CT5" i="7"/>
  <c r="CT4" i="7"/>
  <c r="BZ5" i="7"/>
  <c r="BZ6" i="7"/>
  <c r="BZ7" i="7"/>
  <c r="BZ9" i="7"/>
  <c r="BZ8" i="7"/>
  <c r="BZ4" i="7"/>
  <c r="BD5" i="7"/>
  <c r="BD6" i="7"/>
  <c r="BD7" i="7"/>
  <c r="BD9" i="7"/>
  <c r="BD8" i="7"/>
  <c r="BD4" i="7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H7" i="7" l="1"/>
  <c r="H6" i="7"/>
  <c r="H4" i="8"/>
  <c r="H4" i="7"/>
  <c r="H8" i="7"/>
  <c r="H5" i="7"/>
  <c r="H9" i="7"/>
  <c r="H4" i="12"/>
  <c r="G4" i="12"/>
  <c r="F4" i="12"/>
  <c r="H6" i="8"/>
  <c r="H5" i="8"/>
  <c r="IQ4" i="12"/>
  <c r="EP4" i="12"/>
  <c r="LB4" i="12"/>
  <c r="FK4" i="12"/>
  <c r="GF4" i="12"/>
  <c r="CE4" i="12"/>
  <c r="HA4" i="12"/>
  <c r="CZ4" i="12"/>
  <c r="JL4" i="12"/>
  <c r="BH4" i="12"/>
  <c r="HV4" i="12"/>
  <c r="DU4" i="12"/>
  <c r="KG4" i="12"/>
  <c r="J4" i="12" l="1"/>
  <c r="I4" i="12"/>
  <c r="BI4" i="12" l="1"/>
  <c r="K4" i="12"/>
  <c r="L4" i="12"/>
  <c r="M4" i="12" s="1"/>
  <c r="BJ4" i="12" l="1"/>
  <c r="N4" i="12" s="1"/>
  <c r="P4" i="12" l="1"/>
  <c r="E4" i="12"/>
  <c r="A5" i="12" s="1"/>
  <c r="O4" i="12"/>
  <c r="A4" i="12" l="1"/>
  <c r="A8" i="12"/>
  <c r="A7" i="12"/>
  <c r="A6" i="12"/>
  <c r="BF5" i="6"/>
  <c r="BG5" i="6"/>
  <c r="BF4" i="6"/>
  <c r="BG4" i="6"/>
  <c r="BF11" i="6"/>
  <c r="BG11" i="6"/>
  <c r="BF9" i="6"/>
  <c r="BG9" i="6"/>
  <c r="BF12" i="6"/>
  <c r="BG12" i="6"/>
  <c r="BF8" i="6"/>
  <c r="BG8" i="6"/>
  <c r="BF7" i="6"/>
  <c r="BG7" i="6"/>
  <c r="BF10" i="6"/>
  <c r="BG10" i="6"/>
  <c r="BG6" i="6"/>
  <c r="BF6" i="6"/>
  <c r="LA10" i="6"/>
  <c r="KZ10" i="6"/>
  <c r="LA7" i="6"/>
  <c r="KZ7" i="6"/>
  <c r="LA8" i="6"/>
  <c r="KZ8" i="6"/>
  <c r="LA12" i="6"/>
  <c r="KZ12" i="6"/>
  <c r="LA9" i="6"/>
  <c r="KZ9" i="6"/>
  <c r="LA11" i="6"/>
  <c r="KZ11" i="6"/>
  <c r="LA4" i="6"/>
  <c r="KZ4" i="6"/>
  <c r="LA5" i="6"/>
  <c r="KZ5" i="6"/>
  <c r="LA6" i="6"/>
  <c r="KZ6" i="6"/>
  <c r="KF10" i="6"/>
  <c r="KE10" i="6"/>
  <c r="KF7" i="6"/>
  <c r="KE7" i="6"/>
  <c r="KF8" i="6"/>
  <c r="KE8" i="6"/>
  <c r="KF12" i="6"/>
  <c r="KE12" i="6"/>
  <c r="KF9" i="6"/>
  <c r="KE9" i="6"/>
  <c r="KF11" i="6"/>
  <c r="KE11" i="6"/>
  <c r="KF4" i="6"/>
  <c r="KE4" i="6"/>
  <c r="KF5" i="6"/>
  <c r="KE5" i="6"/>
  <c r="KF6" i="6"/>
  <c r="KE6" i="6"/>
  <c r="JJ4" i="6"/>
  <c r="JK10" i="6"/>
  <c r="JJ10" i="6"/>
  <c r="JK7" i="6"/>
  <c r="JJ7" i="6"/>
  <c r="JK8" i="6"/>
  <c r="JJ8" i="6"/>
  <c r="JK12" i="6"/>
  <c r="JJ12" i="6"/>
  <c r="JK9" i="6"/>
  <c r="JJ9" i="6"/>
  <c r="JK11" i="6"/>
  <c r="JJ11" i="6"/>
  <c r="JK4" i="6"/>
  <c r="JK5" i="6"/>
  <c r="JJ5" i="6"/>
  <c r="JK6" i="6"/>
  <c r="JJ6" i="6"/>
  <c r="IO5" i="6"/>
  <c r="IP5" i="6"/>
  <c r="IO4" i="6"/>
  <c r="IP4" i="6"/>
  <c r="IO11" i="6"/>
  <c r="IP11" i="6"/>
  <c r="IO9" i="6"/>
  <c r="IP9" i="6"/>
  <c r="IO12" i="6"/>
  <c r="IP12" i="6"/>
  <c r="IO8" i="6"/>
  <c r="IP8" i="6"/>
  <c r="IO7" i="6"/>
  <c r="IP7" i="6"/>
  <c r="IO10" i="6"/>
  <c r="IP10" i="6"/>
  <c r="IP6" i="6"/>
  <c r="IO6" i="6"/>
  <c r="HT5" i="6"/>
  <c r="HU5" i="6"/>
  <c r="HT4" i="6"/>
  <c r="HU4" i="6"/>
  <c r="HT11" i="6"/>
  <c r="HU11" i="6"/>
  <c r="HT9" i="6"/>
  <c r="HU9" i="6"/>
  <c r="HT12" i="6"/>
  <c r="HU12" i="6"/>
  <c r="HT8" i="6"/>
  <c r="HU8" i="6"/>
  <c r="HT7" i="6"/>
  <c r="HU7" i="6"/>
  <c r="HT10" i="6"/>
  <c r="HU10" i="6"/>
  <c r="HU6" i="6"/>
  <c r="HT6" i="6"/>
  <c r="GY5" i="6"/>
  <c r="GZ5" i="6"/>
  <c r="GY4" i="6"/>
  <c r="GZ4" i="6"/>
  <c r="GY11" i="6"/>
  <c r="GZ11" i="6"/>
  <c r="GY9" i="6"/>
  <c r="GZ9" i="6"/>
  <c r="GY12" i="6"/>
  <c r="GZ12" i="6"/>
  <c r="GY8" i="6"/>
  <c r="GZ8" i="6"/>
  <c r="GY7" i="6"/>
  <c r="GZ7" i="6"/>
  <c r="GY10" i="6"/>
  <c r="GZ10" i="6"/>
  <c r="GZ6" i="6"/>
  <c r="GY6" i="6"/>
  <c r="GD5" i="6"/>
  <c r="GE5" i="6"/>
  <c r="GD4" i="6"/>
  <c r="GE4" i="6"/>
  <c r="GD11" i="6"/>
  <c r="GE11" i="6"/>
  <c r="GD9" i="6"/>
  <c r="GE9" i="6"/>
  <c r="GD12" i="6"/>
  <c r="GE12" i="6"/>
  <c r="GD8" i="6"/>
  <c r="GE8" i="6"/>
  <c r="GD7" i="6"/>
  <c r="GE7" i="6"/>
  <c r="GD10" i="6"/>
  <c r="GE10" i="6"/>
  <c r="GE6" i="6"/>
  <c r="GD6" i="6"/>
  <c r="FI5" i="6"/>
  <c r="FJ5" i="6"/>
  <c r="FI4" i="6"/>
  <c r="FJ4" i="6"/>
  <c r="FI11" i="6"/>
  <c r="FJ11" i="6"/>
  <c r="FI9" i="6"/>
  <c r="FJ9" i="6"/>
  <c r="FI12" i="6"/>
  <c r="FJ12" i="6"/>
  <c r="FI8" i="6"/>
  <c r="FJ8" i="6"/>
  <c r="FI7" i="6"/>
  <c r="FJ7" i="6"/>
  <c r="FI10" i="6"/>
  <c r="FJ10" i="6"/>
  <c r="FJ6" i="6"/>
  <c r="FI6" i="6"/>
  <c r="EN5" i="6"/>
  <c r="EO5" i="6"/>
  <c r="EN4" i="6"/>
  <c r="EO4" i="6"/>
  <c r="EN11" i="6"/>
  <c r="EO11" i="6"/>
  <c r="EN9" i="6"/>
  <c r="EO9" i="6"/>
  <c r="EN12" i="6"/>
  <c r="EO12" i="6"/>
  <c r="EN8" i="6"/>
  <c r="EO8" i="6"/>
  <c r="EN7" i="6"/>
  <c r="EO7" i="6"/>
  <c r="EN10" i="6"/>
  <c r="EO10" i="6"/>
  <c r="EO6" i="6"/>
  <c r="EN6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LB11" i="6"/>
  <c r="BH4" i="6"/>
  <c r="JL10" i="6"/>
  <c r="JL6" i="6"/>
  <c r="KG4" i="6"/>
  <c r="LB6" i="6"/>
  <c r="EP9" i="6"/>
  <c r="LB8" i="6"/>
  <c r="GF9" i="6"/>
  <c r="HV6" i="6"/>
  <c r="JL8" i="6"/>
  <c r="KG12" i="6"/>
  <c r="LB5" i="6"/>
  <c r="BH6" i="6"/>
  <c r="HV4" i="6"/>
  <c r="IQ9" i="6"/>
  <c r="BH7" i="6"/>
  <c r="FK4" i="6"/>
  <c r="GF8" i="6"/>
  <c r="HA4" i="6"/>
  <c r="HV8" i="6"/>
  <c r="IQ6" i="6"/>
  <c r="IQ4" i="6"/>
  <c r="FK9" i="6"/>
  <c r="FK5" i="6"/>
  <c r="HV7" i="6"/>
  <c r="BH8" i="6"/>
  <c r="HV9" i="6"/>
  <c r="IQ8" i="6"/>
  <c r="EP7" i="6"/>
  <c r="BH9" i="6"/>
  <c r="JL5" i="6"/>
  <c r="LB10" i="6"/>
  <c r="JL4" i="6"/>
  <c r="KG7" i="6"/>
  <c r="LB9" i="6"/>
  <c r="IQ7" i="6"/>
  <c r="BH11" i="6"/>
  <c r="HV11" i="6"/>
  <c r="HV12" i="6"/>
  <c r="BH12" i="6"/>
  <c r="HV10" i="6"/>
  <c r="JL12" i="6"/>
  <c r="BH10" i="6"/>
  <c r="HV5" i="6"/>
  <c r="BH5" i="6"/>
  <c r="JL7" i="6"/>
  <c r="FK8" i="6"/>
  <c r="FK7" i="6"/>
  <c r="EP4" i="6"/>
  <c r="EP8" i="6"/>
  <c r="HA8" i="6"/>
  <c r="HA9" i="6"/>
  <c r="HA6" i="6"/>
  <c r="HA5" i="6"/>
  <c r="GF6" i="6"/>
  <c r="GF4" i="6"/>
  <c r="GF11" i="6"/>
  <c r="HA7" i="6"/>
  <c r="EP12" i="6"/>
  <c r="FK10" i="6"/>
  <c r="KG11" i="6"/>
  <c r="GF7" i="6"/>
  <c r="IQ5" i="6"/>
  <c r="JL11" i="6"/>
  <c r="HA12" i="6"/>
  <c r="IQ10" i="6"/>
  <c r="EP10" i="6"/>
  <c r="GF10" i="6"/>
  <c r="HA10" i="6"/>
  <c r="EP5" i="6"/>
  <c r="KG6" i="6"/>
  <c r="KG8" i="6"/>
  <c r="LB4" i="6"/>
  <c r="HA11" i="6"/>
  <c r="EP6" i="6"/>
  <c r="EP11" i="6"/>
  <c r="FK11" i="6"/>
  <c r="GF5" i="6"/>
  <c r="KG5" i="6"/>
  <c r="KG10" i="6"/>
  <c r="LB12" i="6"/>
  <c r="GF12" i="6"/>
  <c r="IQ11" i="6"/>
  <c r="IQ12" i="6"/>
  <c r="FK6" i="6"/>
  <c r="FK12" i="6"/>
  <c r="JL9" i="6"/>
  <c r="KG9" i="6"/>
  <c r="LB7" i="6"/>
  <c r="DS5" i="6"/>
  <c r="DT5" i="6"/>
  <c r="DS4" i="6"/>
  <c r="DT4" i="6"/>
  <c r="DS11" i="6"/>
  <c r="DT11" i="6"/>
  <c r="DS9" i="6"/>
  <c r="DT9" i="6"/>
  <c r="DS12" i="6"/>
  <c r="DT12" i="6"/>
  <c r="DS8" i="6"/>
  <c r="DT8" i="6"/>
  <c r="DS7" i="6"/>
  <c r="DT7" i="6"/>
  <c r="DS10" i="6"/>
  <c r="DT10" i="6"/>
  <c r="DT6" i="6"/>
  <c r="DS6" i="6"/>
  <c r="CX5" i="6"/>
  <c r="CY5" i="6"/>
  <c r="CX4" i="6"/>
  <c r="CY4" i="6"/>
  <c r="CX11" i="6"/>
  <c r="CY11" i="6"/>
  <c r="CX9" i="6"/>
  <c r="CY9" i="6"/>
  <c r="CX12" i="6"/>
  <c r="CY12" i="6"/>
  <c r="CX8" i="6"/>
  <c r="CY8" i="6"/>
  <c r="CX7" i="6"/>
  <c r="CY7" i="6"/>
  <c r="CX10" i="6"/>
  <c r="F10" i="6" s="1"/>
  <c r="CY10" i="6"/>
  <c r="CY6" i="6"/>
  <c r="CX6" i="6"/>
  <c r="F4" i="6"/>
  <c r="G7" i="6" l="1"/>
  <c r="G9" i="6"/>
  <c r="H5" i="6"/>
  <c r="F9" i="6"/>
  <c r="H9" i="6"/>
  <c r="H11" i="6"/>
  <c r="J10" i="6"/>
  <c r="K10" i="6" s="1"/>
  <c r="H6" i="6"/>
  <c r="G5" i="6"/>
  <c r="H12" i="6"/>
  <c r="H10" i="6"/>
  <c r="A10" i="6" s="1"/>
  <c r="H8" i="6"/>
  <c r="F11" i="6"/>
  <c r="F5" i="6"/>
  <c r="J4" i="6"/>
  <c r="K4" i="6" s="1"/>
  <c r="F7" i="6"/>
  <c r="G12" i="6"/>
  <c r="G4" i="6"/>
  <c r="H7" i="6"/>
  <c r="F12" i="6"/>
  <c r="H4" i="6"/>
  <c r="G6" i="6"/>
  <c r="G8" i="6"/>
  <c r="G11" i="6"/>
  <c r="F6" i="6"/>
  <c r="G10" i="6"/>
  <c r="F8" i="6"/>
  <c r="J7" i="6"/>
  <c r="K7" i="6" s="1"/>
  <c r="J6" i="6"/>
  <c r="L6" i="6" s="1"/>
  <c r="M6" i="6" s="1"/>
  <c r="J9" i="6"/>
  <c r="L9" i="6" s="1"/>
  <c r="M9" i="6" s="1"/>
  <c r="J5" i="6"/>
  <c r="K5" i="6" s="1"/>
  <c r="J8" i="6"/>
  <c r="J11" i="6"/>
  <c r="K11" i="6" s="1"/>
  <c r="DU8" i="6"/>
  <c r="J12" i="6"/>
  <c r="K12" i="6" s="1"/>
  <c r="DU9" i="6"/>
  <c r="DU4" i="6"/>
  <c r="DU7" i="6"/>
  <c r="CZ7" i="6"/>
  <c r="CZ11" i="6"/>
  <c r="CZ6" i="6"/>
  <c r="CZ12" i="6"/>
  <c r="CZ4" i="6"/>
  <c r="CZ9" i="6"/>
  <c r="CZ10" i="6"/>
  <c r="CZ8" i="6"/>
  <c r="CZ5" i="6"/>
  <c r="DU12" i="6"/>
  <c r="DU5" i="6"/>
  <c r="DU6" i="6"/>
  <c r="DU11" i="6"/>
  <c r="DU10" i="6"/>
  <c r="L10" i="6" l="1"/>
  <c r="M10" i="6" s="1"/>
  <c r="A12" i="6"/>
  <c r="A9" i="6"/>
  <c r="A8" i="6"/>
  <c r="A11" i="6"/>
  <c r="L4" i="6"/>
  <c r="M4" i="6" s="1"/>
  <c r="K6" i="6"/>
  <c r="L11" i="6"/>
  <c r="M11" i="6" s="1"/>
  <c r="L7" i="6"/>
  <c r="M7" i="6" s="1"/>
  <c r="L5" i="6"/>
  <c r="M5" i="6" s="1"/>
  <c r="K9" i="6"/>
  <c r="K8" i="6"/>
  <c r="L8" i="6"/>
  <c r="M8" i="6" s="1"/>
  <c r="L12" i="6"/>
  <c r="M12" i="6" s="1"/>
  <c r="LP4" i="2"/>
  <c r="LP9" i="2"/>
  <c r="LP5" i="2"/>
  <c r="LP13" i="2"/>
  <c r="LP10" i="2"/>
  <c r="LP8" i="2"/>
  <c r="LP15" i="2"/>
  <c r="BH4" i="2"/>
  <c r="BH9" i="2"/>
  <c r="BH5" i="2"/>
  <c r="BH13" i="2"/>
  <c r="BH10" i="2"/>
  <c r="BH8" i="2"/>
  <c r="BH15" i="2"/>
  <c r="LP5" i="4"/>
  <c r="LP11" i="4"/>
  <c r="LP12" i="4"/>
  <c r="LP13" i="4"/>
  <c r="LP6" i="4"/>
  <c r="LP23" i="4"/>
  <c r="LP21" i="4"/>
  <c r="LP9" i="4"/>
  <c r="LP10" i="4"/>
  <c r="LP7" i="4"/>
  <c r="LP16" i="4"/>
  <c r="LP17" i="4"/>
  <c r="LP20" i="4"/>
  <c r="LP14" i="4"/>
  <c r="LP19" i="4"/>
  <c r="LP22" i="4"/>
  <c r="LP18" i="4"/>
  <c r="LP4" i="4"/>
  <c r="BH5" i="4"/>
  <c r="BH11" i="4"/>
  <c r="BH12" i="4"/>
  <c r="BH13" i="4"/>
  <c r="BH6" i="4"/>
  <c r="BH23" i="4"/>
  <c r="BH21" i="4"/>
  <c r="BH9" i="4"/>
  <c r="BH10" i="4"/>
  <c r="BH7" i="4"/>
  <c r="BH16" i="4"/>
  <c r="BH17" i="4"/>
  <c r="BH20" i="4"/>
  <c r="BH14" i="4"/>
  <c r="BH19" i="4"/>
  <c r="BH22" i="4"/>
  <c r="BH18" i="4"/>
  <c r="BH4" i="4"/>
  <c r="F13" i="2" l="1"/>
  <c r="G13" i="2"/>
  <c r="F10" i="2"/>
  <c r="G10" i="2"/>
  <c r="F5" i="2"/>
  <c r="G5" i="2"/>
  <c r="G9" i="2"/>
  <c r="F9" i="2"/>
  <c r="G4" i="2"/>
  <c r="F4" i="2"/>
  <c r="F8" i="2"/>
  <c r="G8" i="2"/>
  <c r="F15" i="2"/>
  <c r="G15" i="2"/>
  <c r="G5" i="4"/>
  <c r="F5" i="4"/>
  <c r="F21" i="4"/>
  <c r="G21" i="4"/>
  <c r="G20" i="4"/>
  <c r="F20" i="4"/>
  <c r="G6" i="4"/>
  <c r="F6" i="4"/>
  <c r="F17" i="4"/>
  <c r="G17" i="4"/>
  <c r="F13" i="4"/>
  <c r="G13" i="4"/>
  <c r="F19" i="4"/>
  <c r="G19" i="4"/>
  <c r="F14" i="4"/>
  <c r="G14" i="4"/>
  <c r="G16" i="4"/>
  <c r="F16" i="4"/>
  <c r="F12" i="4"/>
  <c r="G12" i="4"/>
  <c r="G18" i="4"/>
  <c r="F18" i="4"/>
  <c r="G23" i="4"/>
  <c r="F23" i="4"/>
  <c r="F4" i="4"/>
  <c r="G4" i="4"/>
  <c r="G7" i="4"/>
  <c r="F7" i="4"/>
  <c r="G11" i="4"/>
  <c r="F11" i="4"/>
  <c r="F22" i="4"/>
  <c r="G22" i="4"/>
  <c r="F9" i="4"/>
  <c r="G9" i="4"/>
  <c r="G10" i="4"/>
  <c r="F10" i="4"/>
  <c r="BE6" i="8"/>
  <c r="BC6" i="8"/>
  <c r="BE5" i="8"/>
  <c r="BC5" i="8"/>
  <c r="BE4" i="8"/>
  <c r="BC4" i="8"/>
  <c r="BE9" i="7"/>
  <c r="BC9" i="7"/>
  <c r="BE7" i="7"/>
  <c r="BC7" i="7"/>
  <c r="BE8" i="7"/>
  <c r="BC8" i="7"/>
  <c r="BE5" i="7"/>
  <c r="BC5" i="7"/>
  <c r="BE6" i="7"/>
  <c r="BC6" i="7"/>
  <c r="BE4" i="7"/>
  <c r="BC4" i="7"/>
  <c r="BM15" i="2"/>
  <c r="BJ15" i="2"/>
  <c r="BI15" i="2"/>
  <c r="BM8" i="2"/>
  <c r="BJ8" i="2"/>
  <c r="BI8" i="2"/>
  <c r="BM13" i="2"/>
  <c r="P13" i="2" s="1"/>
  <c r="BJ13" i="2"/>
  <c r="BI13" i="2"/>
  <c r="BM10" i="2"/>
  <c r="BJ10" i="2"/>
  <c r="BI10" i="2"/>
  <c r="BM9" i="2"/>
  <c r="BJ9" i="2"/>
  <c r="BI9" i="2"/>
  <c r="BM4" i="2"/>
  <c r="BJ4" i="2"/>
  <c r="BI4" i="2"/>
  <c r="BM5" i="2"/>
  <c r="BJ5" i="2"/>
  <c r="BI5" i="2"/>
  <c r="BM14" i="4"/>
  <c r="P14" i="4" s="1"/>
  <c r="BJ14" i="4"/>
  <c r="BI14" i="4"/>
  <c r="BM17" i="4"/>
  <c r="BJ17" i="4"/>
  <c r="BI17" i="4"/>
  <c r="BM22" i="4"/>
  <c r="BJ22" i="4"/>
  <c r="BI22" i="4"/>
  <c r="BM19" i="4"/>
  <c r="BJ19" i="4"/>
  <c r="BI19" i="4"/>
  <c r="BM18" i="4"/>
  <c r="BJ18" i="4"/>
  <c r="BI18" i="4"/>
  <c r="BM20" i="4"/>
  <c r="P20" i="4" s="1"/>
  <c r="BJ20" i="4"/>
  <c r="BI20" i="4"/>
  <c r="BM7" i="4"/>
  <c r="BJ7" i="4"/>
  <c r="BI7" i="4"/>
  <c r="BM16" i="4"/>
  <c r="BJ16" i="4"/>
  <c r="BI16" i="4"/>
  <c r="BM9" i="4"/>
  <c r="P9" i="4" s="1"/>
  <c r="BJ9" i="4"/>
  <c r="BI9" i="4"/>
  <c r="BM10" i="4"/>
  <c r="BJ10" i="4"/>
  <c r="BI10" i="4"/>
  <c r="BM23" i="4"/>
  <c r="BJ23" i="4"/>
  <c r="BI23" i="4"/>
  <c r="BM6" i="4"/>
  <c r="BJ6" i="4"/>
  <c r="BI6" i="4"/>
  <c r="BM13" i="4"/>
  <c r="BJ13" i="4"/>
  <c r="BI13" i="4"/>
  <c r="BM21" i="4"/>
  <c r="P21" i="4" s="1"/>
  <c r="BJ21" i="4"/>
  <c r="BI21" i="4"/>
  <c r="BM12" i="4"/>
  <c r="BJ12" i="4"/>
  <c r="BI12" i="4"/>
  <c r="BM11" i="4"/>
  <c r="BJ11" i="4"/>
  <c r="BI11" i="4"/>
  <c r="BJ5" i="4"/>
  <c r="BI5" i="4"/>
  <c r="BM5" i="4"/>
  <c r="P5" i="4" s="1"/>
  <c r="BM4" i="4"/>
  <c r="BJ4" i="4"/>
  <c r="BI4" i="4"/>
  <c r="BK10" i="4" l="1"/>
  <c r="BN10" i="4" s="1"/>
  <c r="BK4" i="4"/>
  <c r="BK17" i="4"/>
  <c r="P15" i="2"/>
  <c r="Q15" i="2" s="1"/>
  <c r="BK10" i="2"/>
  <c r="BK6" i="4"/>
  <c r="BK4" i="2"/>
  <c r="P12" i="4"/>
  <c r="Q12" i="4" s="1"/>
  <c r="P7" i="4"/>
  <c r="Q7" i="4" s="1"/>
  <c r="P6" i="4"/>
  <c r="Q6" i="4" s="1"/>
  <c r="P19" i="4"/>
  <c r="Q19" i="4" s="1"/>
  <c r="P4" i="2"/>
  <c r="Q4" i="2" s="1"/>
  <c r="BK21" i="4"/>
  <c r="BK15" i="2"/>
  <c r="P10" i="2"/>
  <c r="Q10" i="2" s="1"/>
  <c r="P9" i="2"/>
  <c r="Q9" i="2" s="1"/>
  <c r="P8" i="2"/>
  <c r="Q8" i="2" s="1"/>
  <c r="P5" i="2"/>
  <c r="Q5" i="2" s="1"/>
  <c r="BK20" i="4"/>
  <c r="BK19" i="4"/>
  <c r="L6" i="8"/>
  <c r="M6" i="8" s="1"/>
  <c r="L5" i="8"/>
  <c r="M5" i="8" s="1"/>
  <c r="L6" i="7"/>
  <c r="M6" i="7" s="1"/>
  <c r="L7" i="7"/>
  <c r="M7" i="7" s="1"/>
  <c r="L4" i="7"/>
  <c r="M4" i="7" s="1"/>
  <c r="BF7" i="7"/>
  <c r="P11" i="4"/>
  <c r="Q11" i="4" s="1"/>
  <c r="P13" i="4"/>
  <c r="Q13" i="4" s="1"/>
  <c r="P18" i="4"/>
  <c r="Q18" i="4" s="1"/>
  <c r="P23" i="4"/>
  <c r="Q23" i="4" s="1"/>
  <c r="P17" i="4"/>
  <c r="Q17" i="4" s="1"/>
  <c r="P22" i="4"/>
  <c r="Q22" i="4" s="1"/>
  <c r="P16" i="4"/>
  <c r="Q16" i="4" s="1"/>
  <c r="P4" i="4"/>
  <c r="Q4" i="4" s="1"/>
  <c r="BK11" i="4"/>
  <c r="BK16" i="4"/>
  <c r="BK5" i="4"/>
  <c r="L9" i="7"/>
  <c r="M9" i="7" s="1"/>
  <c r="L5" i="7"/>
  <c r="M5" i="7" s="1"/>
  <c r="J7" i="7"/>
  <c r="BF9" i="7"/>
  <c r="BK13" i="4"/>
  <c r="BK9" i="4"/>
  <c r="BK18" i="4"/>
  <c r="BK14" i="4"/>
  <c r="L4" i="8"/>
  <c r="M4" i="8" s="1"/>
  <c r="BF5" i="8"/>
  <c r="BF6" i="8"/>
  <c r="L8" i="7"/>
  <c r="M8" i="7" s="1"/>
  <c r="BF4" i="7"/>
  <c r="BK9" i="2"/>
  <c r="BK8" i="2"/>
  <c r="Q13" i="2"/>
  <c r="P10" i="4"/>
  <c r="Q10" i="4" s="1"/>
  <c r="Q20" i="4"/>
  <c r="Q21" i="4"/>
  <c r="Q5" i="4"/>
  <c r="Q9" i="4"/>
  <c r="Q14" i="4"/>
  <c r="J10" i="4"/>
  <c r="L10" i="4" s="1"/>
  <c r="BF4" i="8"/>
  <c r="BF6" i="7"/>
  <c r="BF8" i="7"/>
  <c r="BK5" i="2"/>
  <c r="BK13" i="2"/>
  <c r="BK12" i="4"/>
  <c r="BK23" i="4"/>
  <c r="BK7" i="4"/>
  <c r="BK22" i="4"/>
  <c r="BN15" i="2" l="1"/>
  <c r="BN10" i="2"/>
  <c r="BN5" i="2"/>
  <c r="BN9" i="2"/>
  <c r="BN8" i="2"/>
  <c r="BN4" i="2"/>
  <c r="BN13" i="2"/>
  <c r="BN6" i="4"/>
  <c r="BN22" i="4"/>
  <c r="BN14" i="4"/>
  <c r="BN5" i="4"/>
  <c r="BN21" i="4"/>
  <c r="BN19" i="4"/>
  <c r="BN11" i="4"/>
  <c r="BN20" i="4"/>
  <c r="BN17" i="4"/>
  <c r="BN18" i="4"/>
  <c r="BN16" i="4"/>
  <c r="BN12" i="4"/>
  <c r="BN4" i="4"/>
  <c r="BN7" i="4"/>
  <c r="BN23" i="4"/>
  <c r="BN9" i="4"/>
  <c r="BN13" i="4"/>
  <c r="J4" i="2"/>
  <c r="K4" i="2" s="1"/>
  <c r="J17" i="4"/>
  <c r="N17" i="4" s="1"/>
  <c r="J10" i="2"/>
  <c r="N10" i="2" s="1"/>
  <c r="J4" i="4"/>
  <c r="N4" i="4" s="1"/>
  <c r="J6" i="4"/>
  <c r="K6" i="4" s="1"/>
  <c r="J15" i="2"/>
  <c r="K15" i="2" s="1"/>
  <c r="J21" i="4"/>
  <c r="N21" i="4" s="1"/>
  <c r="J19" i="4"/>
  <c r="L19" i="4" s="1"/>
  <c r="J20" i="4"/>
  <c r="L20" i="4" s="1"/>
  <c r="N10" i="4"/>
  <c r="J11" i="4"/>
  <c r="K11" i="4" s="1"/>
  <c r="J5" i="4"/>
  <c r="K5" i="4" s="1"/>
  <c r="J14" i="4"/>
  <c r="L14" i="4" s="1"/>
  <c r="K7" i="7"/>
  <c r="BJ4" i="6"/>
  <c r="BJ5" i="6"/>
  <c r="BJ9" i="6"/>
  <c r="BJ8" i="6"/>
  <c r="BJ7" i="6"/>
  <c r="BJ12" i="6"/>
  <c r="BJ11" i="6"/>
  <c r="BJ10" i="6"/>
  <c r="BJ6" i="6"/>
  <c r="J6" i="8"/>
  <c r="K6" i="8" s="1"/>
  <c r="J5" i="7"/>
  <c r="BF5" i="7"/>
  <c r="J16" i="4"/>
  <c r="K16" i="4" s="1"/>
  <c r="J9" i="7"/>
  <c r="J8" i="2"/>
  <c r="L8" i="2" s="1"/>
  <c r="M8" i="2" s="1"/>
  <c r="J9" i="4"/>
  <c r="N9" i="4" s="1"/>
  <c r="J13" i="4"/>
  <c r="N13" i="4" s="1"/>
  <c r="J18" i="4"/>
  <c r="N18" i="4" s="1"/>
  <c r="K10" i="4"/>
  <c r="J4" i="8"/>
  <c r="J5" i="8"/>
  <c r="J8" i="7"/>
  <c r="J4" i="7"/>
  <c r="J6" i="7"/>
  <c r="J9" i="2"/>
  <c r="J5" i="2"/>
  <c r="J13" i="2"/>
  <c r="J7" i="4"/>
  <c r="J22" i="4"/>
  <c r="J23" i="4"/>
  <c r="J12" i="4"/>
  <c r="N4" i="2" l="1"/>
  <c r="K10" i="2"/>
  <c r="O10" i="2" s="1"/>
  <c r="L10" i="2"/>
  <c r="M10" i="2" s="1"/>
  <c r="L4" i="2"/>
  <c r="M4" i="2" s="1"/>
  <c r="L17" i="4"/>
  <c r="K17" i="4"/>
  <c r="O17" i="4" s="1"/>
  <c r="L4" i="4"/>
  <c r="K4" i="4"/>
  <c r="O4" i="4" s="1"/>
  <c r="K14" i="4"/>
  <c r="M14" i="4" s="1"/>
  <c r="L15" i="2"/>
  <c r="N15" i="2"/>
  <c r="O15" i="2" s="1"/>
  <c r="N6" i="4"/>
  <c r="O6" i="4" s="1"/>
  <c r="L6" i="4"/>
  <c r="M6" i="4" s="1"/>
  <c r="N16" i="4"/>
  <c r="O16" i="4" s="1"/>
  <c r="L16" i="4"/>
  <c r="M16" i="4" s="1"/>
  <c r="N14" i="4"/>
  <c r="K21" i="4"/>
  <c r="L9" i="4"/>
  <c r="K9" i="4"/>
  <c r="O9" i="4" s="1"/>
  <c r="K19" i="4"/>
  <c r="M19" i="4" s="1"/>
  <c r="L21" i="4"/>
  <c r="N19" i="4"/>
  <c r="N11" i="4"/>
  <c r="O11" i="4" s="1"/>
  <c r="K20" i="4"/>
  <c r="M20" i="4" s="1"/>
  <c r="N5" i="4"/>
  <c r="O5" i="4" s="1"/>
  <c r="L11" i="4"/>
  <c r="M11" i="4" s="1"/>
  <c r="N20" i="4"/>
  <c r="K13" i="4"/>
  <c r="O13" i="4" s="1"/>
  <c r="L5" i="4"/>
  <c r="M5" i="4" s="1"/>
  <c r="O10" i="4"/>
  <c r="K9" i="7"/>
  <c r="K5" i="7"/>
  <c r="M10" i="4"/>
  <c r="L18" i="4"/>
  <c r="K18" i="4"/>
  <c r="O18" i="4" s="1"/>
  <c r="L13" i="4"/>
  <c r="O4" i="2"/>
  <c r="K8" i="2"/>
  <c r="N8" i="2"/>
  <c r="K5" i="8"/>
  <c r="K4" i="8"/>
  <c r="K4" i="7"/>
  <c r="K8" i="7"/>
  <c r="K6" i="7"/>
  <c r="K9" i="2"/>
  <c r="N9" i="2"/>
  <c r="L9" i="2"/>
  <c r="M9" i="2" s="1"/>
  <c r="K13" i="2"/>
  <c r="L13" i="2"/>
  <c r="N13" i="2"/>
  <c r="L5" i="2"/>
  <c r="K5" i="2"/>
  <c r="N5" i="2"/>
  <c r="M15" i="2"/>
  <c r="O21" i="4"/>
  <c r="L22" i="4"/>
  <c r="K22" i="4"/>
  <c r="N22" i="4"/>
  <c r="K7" i="4"/>
  <c r="L7" i="4"/>
  <c r="N7" i="4"/>
  <c r="L12" i="4"/>
  <c r="N12" i="4"/>
  <c r="K12" i="4"/>
  <c r="L23" i="4"/>
  <c r="K23" i="4"/>
  <c r="N23" i="4"/>
  <c r="M17" i="4" l="1"/>
  <c r="M13" i="4"/>
  <c r="O14" i="4"/>
  <c r="M4" i="4"/>
  <c r="M18" i="4"/>
  <c r="O19" i="4"/>
  <c r="M21" i="4"/>
  <c r="M9" i="4"/>
  <c r="O20" i="4"/>
  <c r="O8" i="2"/>
  <c r="O9" i="2"/>
  <c r="M23" i="4"/>
  <c r="O5" i="2"/>
  <c r="O13" i="2"/>
  <c r="M13" i="2"/>
  <c r="M5" i="2"/>
  <c r="M12" i="4"/>
  <c r="M7" i="4"/>
  <c r="O23" i="4"/>
  <c r="M22" i="4"/>
  <c r="O12" i="4"/>
  <c r="O7" i="4"/>
  <c r="O22" i="4"/>
  <c r="I8" i="6" l="1"/>
  <c r="BI8" i="6" l="1"/>
  <c r="N8" i="6" l="1"/>
  <c r="P8" i="6" s="1"/>
  <c r="O8" i="6" l="1"/>
  <c r="E8" i="6"/>
  <c r="LQ5" i="4"/>
  <c r="LR5" i="4"/>
  <c r="LU5" i="4"/>
  <c r="BO5" i="4" l="1"/>
  <c r="BR5" i="4"/>
  <c r="BP5" i="4"/>
  <c r="LS5" i="4"/>
  <c r="LV5" i="4" s="1"/>
  <c r="H5" i="4" l="1"/>
  <c r="I5" i="4" s="1"/>
  <c r="BQ5" i="4"/>
  <c r="R5" i="4" l="1"/>
  <c r="T5" i="4" s="1"/>
  <c r="BY8" i="7"/>
  <c r="CA8" i="7"/>
  <c r="CS8" i="7"/>
  <c r="CU8" i="7"/>
  <c r="DM8" i="7"/>
  <c r="DO8" i="7"/>
  <c r="EG8" i="7"/>
  <c r="EI8" i="7"/>
  <c r="FA8" i="7"/>
  <c r="FC8" i="7"/>
  <c r="FU8" i="7"/>
  <c r="FW8" i="7"/>
  <c r="GO8" i="7"/>
  <c r="GQ8" i="7"/>
  <c r="HI8" i="7"/>
  <c r="HK8" i="7"/>
  <c r="IC8" i="7"/>
  <c r="IE8" i="7"/>
  <c r="IW8" i="7"/>
  <c r="IY8" i="7"/>
  <c r="JQ8" i="7"/>
  <c r="JS8" i="7"/>
  <c r="KK8" i="7"/>
  <c r="KM8" i="7"/>
  <c r="F8" i="7" l="1"/>
  <c r="G8" i="7"/>
  <c r="BG8" i="7"/>
  <c r="BH8" i="7"/>
  <c r="S5" i="4"/>
  <c r="E5" i="4"/>
  <c r="GR8" i="7"/>
  <c r="KN8" i="7"/>
  <c r="EJ8" i="7"/>
  <c r="IZ8" i="7"/>
  <c r="JT8" i="7"/>
  <c r="IF8" i="7"/>
  <c r="HL8" i="7"/>
  <c r="FX8" i="7"/>
  <c r="FD8" i="7"/>
  <c r="I8" i="7" l="1"/>
  <c r="A8" i="7"/>
  <c r="N8" i="7"/>
  <c r="CB8" i="7"/>
  <c r="CV8" i="7" s="1"/>
  <c r="DP8" i="7" s="1"/>
  <c r="P8" i="7" l="1"/>
  <c r="O8" i="7"/>
  <c r="E8" i="7"/>
  <c r="KM5" i="7" l="1"/>
  <c r="KK5" i="7"/>
  <c r="JS5" i="7"/>
  <c r="JQ5" i="7"/>
  <c r="IY5" i="7"/>
  <c r="IW5" i="7"/>
  <c r="IE5" i="7"/>
  <c r="IC5" i="7"/>
  <c r="HK5" i="7"/>
  <c r="HI5" i="7"/>
  <c r="GQ5" i="7"/>
  <c r="GO5" i="7"/>
  <c r="FW5" i="7"/>
  <c r="FU5" i="7"/>
  <c r="FC5" i="7"/>
  <c r="FA5" i="7"/>
  <c r="EI5" i="7"/>
  <c r="EG5" i="7"/>
  <c r="DO5" i="7"/>
  <c r="DM5" i="7"/>
  <c r="CU5" i="7"/>
  <c r="CS5" i="7"/>
  <c r="CA5" i="7"/>
  <c r="BY5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G7" i="7"/>
  <c r="G5" i="7"/>
  <c r="F5" i="7"/>
  <c r="F4" i="8"/>
  <c r="BG7" i="7"/>
  <c r="BG5" i="7"/>
  <c r="BG4" i="8"/>
  <c r="BH4" i="8"/>
  <c r="BH7" i="7"/>
  <c r="BH5" i="7"/>
  <c r="EJ7" i="7"/>
  <c r="IZ5" i="7"/>
  <c r="JT4" i="8"/>
  <c r="GR4" i="8"/>
  <c r="IF5" i="7"/>
  <c r="KN7" i="7"/>
  <c r="FD5" i="7"/>
  <c r="CV4" i="8"/>
  <c r="IZ4" i="8"/>
  <c r="IF7" i="7"/>
  <c r="JT7" i="7"/>
  <c r="EJ5" i="7"/>
  <c r="KN5" i="7"/>
  <c r="FD4" i="8"/>
  <c r="FX7" i="7"/>
  <c r="FX4" i="8"/>
  <c r="DP4" i="8"/>
  <c r="GR5" i="7"/>
  <c r="JT5" i="7"/>
  <c r="IF4" i="8"/>
  <c r="EJ4" i="8"/>
  <c r="HL4" i="8"/>
  <c r="KN4" i="8"/>
  <c r="FD7" i="7"/>
  <c r="HL7" i="7"/>
  <c r="HL5" i="7"/>
  <c r="GR7" i="7"/>
  <c r="IZ7" i="7"/>
  <c r="FX5" i="7"/>
  <c r="LU23" i="4"/>
  <c r="LR23" i="4"/>
  <c r="LQ23" i="4"/>
  <c r="LU7" i="4"/>
  <c r="LR7" i="4"/>
  <c r="LQ7" i="4"/>
  <c r="LU19" i="4"/>
  <c r="LR19" i="4"/>
  <c r="LQ19" i="4"/>
  <c r="LU18" i="4"/>
  <c r="LR18" i="4"/>
  <c r="LQ18" i="4"/>
  <c r="LU22" i="4"/>
  <c r="LR22" i="4"/>
  <c r="LQ22" i="4"/>
  <c r="I4" i="8" l="1"/>
  <c r="I5" i="7"/>
  <c r="I7" i="7"/>
  <c r="A7" i="7"/>
  <c r="N7" i="7"/>
  <c r="P7" i="7" s="1"/>
  <c r="BO18" i="4"/>
  <c r="BO7" i="4"/>
  <c r="CB7" i="7"/>
  <c r="CV7" i="7" s="1"/>
  <c r="DP7" i="7" s="1"/>
  <c r="CB5" i="7"/>
  <c r="CV5" i="7" s="1"/>
  <c r="DP5" i="7" s="1"/>
  <c r="CB4" i="8"/>
  <c r="BP7" i="4"/>
  <c r="BO19" i="4"/>
  <c r="BP22" i="4"/>
  <c r="BP19" i="4"/>
  <c r="BP23" i="4"/>
  <c r="BP18" i="4"/>
  <c r="BR18" i="4"/>
  <c r="BR19" i="4"/>
  <c r="BR7" i="4"/>
  <c r="BO22" i="4"/>
  <c r="BR22" i="4"/>
  <c r="N5" i="7"/>
  <c r="BO23" i="4"/>
  <c r="BR23" i="4"/>
  <c r="LS22" i="4"/>
  <c r="LV22" i="4" s="1"/>
  <c r="LS23" i="4"/>
  <c r="LV23" i="4" s="1"/>
  <c r="LS19" i="4"/>
  <c r="LV19" i="4" s="1"/>
  <c r="I9" i="6"/>
  <c r="LS18" i="4"/>
  <c r="LV18" i="4" s="1"/>
  <c r="LS7" i="4"/>
  <c r="LV7" i="4" s="1"/>
  <c r="H18" i="4" l="1"/>
  <c r="A18" i="4" s="1"/>
  <c r="H7" i="4"/>
  <c r="A7" i="4" s="1"/>
  <c r="H22" i="4"/>
  <c r="I22" i="4" s="1"/>
  <c r="H23" i="4"/>
  <c r="I23" i="4" s="1"/>
  <c r="H19" i="4"/>
  <c r="I19" i="4" s="1"/>
  <c r="E7" i="7"/>
  <c r="O7" i="7"/>
  <c r="BI9" i="6"/>
  <c r="P5" i="7"/>
  <c r="O5" i="7"/>
  <c r="E5" i="7"/>
  <c r="BQ23" i="4"/>
  <c r="BQ22" i="4"/>
  <c r="BQ18" i="4"/>
  <c r="BQ19" i="4"/>
  <c r="BQ7" i="4"/>
  <c r="A19" i="4" l="1"/>
  <c r="A23" i="4"/>
  <c r="A22" i="4"/>
  <c r="I18" i="4"/>
  <c r="I7" i="4"/>
  <c r="R18" i="4"/>
  <c r="T18" i="4" s="1"/>
  <c r="R19" i="4"/>
  <c r="T19" i="4" s="1"/>
  <c r="R22" i="4"/>
  <c r="T22" i="4" s="1"/>
  <c r="N9" i="6"/>
  <c r="P9" i="6" s="1"/>
  <c r="IW6" i="7"/>
  <c r="O9" i="6" l="1"/>
  <c r="S22" i="4"/>
  <c r="E22" i="4"/>
  <c r="S18" i="4"/>
  <c r="E18" i="4"/>
  <c r="S19" i="4"/>
  <c r="E19" i="4"/>
  <c r="N4" i="8"/>
  <c r="R7" i="4"/>
  <c r="T7" i="4" s="1"/>
  <c r="E9" i="6"/>
  <c r="LQ21" i="4"/>
  <c r="LR21" i="4"/>
  <c r="LU21" i="4"/>
  <c r="LQ11" i="4"/>
  <c r="LR11" i="4"/>
  <c r="LU11" i="4"/>
  <c r="LQ9" i="4"/>
  <c r="LR9" i="4"/>
  <c r="LU9" i="4"/>
  <c r="LQ6" i="4"/>
  <c r="LR6" i="4"/>
  <c r="LU6" i="4"/>
  <c r="LQ12" i="4"/>
  <c r="LR12" i="4"/>
  <c r="LU12" i="4"/>
  <c r="LQ13" i="4"/>
  <c r="LR13" i="4"/>
  <c r="LU13" i="4"/>
  <c r="LQ10" i="4"/>
  <c r="LR10" i="4"/>
  <c r="LU10" i="4"/>
  <c r="LQ20" i="4"/>
  <c r="LR20" i="4"/>
  <c r="LU20" i="4"/>
  <c r="LQ17" i="4"/>
  <c r="LR17" i="4"/>
  <c r="LU17" i="4"/>
  <c r="LQ4" i="4"/>
  <c r="LR4" i="4"/>
  <c r="LU4" i="4"/>
  <c r="LQ14" i="4"/>
  <c r="LR14" i="4"/>
  <c r="LU14" i="4"/>
  <c r="LQ16" i="4"/>
  <c r="LR16" i="4"/>
  <c r="LU16" i="4"/>
  <c r="LQ5" i="2"/>
  <c r="LR5" i="2"/>
  <c r="LU5" i="2"/>
  <c r="LQ9" i="2"/>
  <c r="LR9" i="2"/>
  <c r="LU9" i="2"/>
  <c r="LQ13" i="2"/>
  <c r="LR13" i="2"/>
  <c r="LU13" i="2"/>
  <c r="LQ10" i="2"/>
  <c r="LR10" i="2"/>
  <c r="LU10" i="2"/>
  <c r="LQ8" i="2"/>
  <c r="LR8" i="2"/>
  <c r="LU8" i="2"/>
  <c r="LQ15" i="2"/>
  <c r="LR15" i="2"/>
  <c r="LU15" i="2"/>
  <c r="LU4" i="2"/>
  <c r="LR4" i="2"/>
  <c r="LQ4" i="2"/>
  <c r="CA6" i="7"/>
  <c r="CU6" i="7"/>
  <c r="DO6" i="7"/>
  <c r="EI6" i="7"/>
  <c r="FC6" i="7"/>
  <c r="FW6" i="7"/>
  <c r="GQ6" i="7"/>
  <c r="HK6" i="7"/>
  <c r="IE6" i="7"/>
  <c r="IY6" i="7"/>
  <c r="JS6" i="7"/>
  <c r="KM6" i="7"/>
  <c r="CA9" i="7"/>
  <c r="CU9" i="7"/>
  <c r="DO9" i="7"/>
  <c r="EI9" i="7"/>
  <c r="FC9" i="7"/>
  <c r="FW9" i="7"/>
  <c r="GQ9" i="7"/>
  <c r="HK9" i="7"/>
  <c r="IE9" i="7"/>
  <c r="IY9" i="7"/>
  <c r="JS9" i="7"/>
  <c r="KM9" i="7"/>
  <c r="CU4" i="7"/>
  <c r="DO4" i="7"/>
  <c r="EI4" i="7"/>
  <c r="FC4" i="7"/>
  <c r="FW4" i="7"/>
  <c r="GQ4" i="7"/>
  <c r="HK4" i="7"/>
  <c r="IE4" i="7"/>
  <c r="IY4" i="7"/>
  <c r="JS4" i="7"/>
  <c r="KM4" i="7"/>
  <c r="CA5" i="8"/>
  <c r="CU5" i="8"/>
  <c r="DO5" i="8"/>
  <c r="EI5" i="8"/>
  <c r="FC5" i="8"/>
  <c r="FW5" i="8"/>
  <c r="GQ5" i="8"/>
  <c r="HK5" i="8"/>
  <c r="IE5" i="8"/>
  <c r="IY5" i="8"/>
  <c r="JS5" i="8"/>
  <c r="KM5" i="8"/>
  <c r="CA6" i="8"/>
  <c r="CU6" i="8"/>
  <c r="DO6" i="8"/>
  <c r="EI6" i="8"/>
  <c r="FC6" i="8"/>
  <c r="FW6" i="8"/>
  <c r="GQ6" i="8"/>
  <c r="HK6" i="8"/>
  <c r="IE6" i="8"/>
  <c r="IY6" i="8"/>
  <c r="JS6" i="8"/>
  <c r="JQ5" i="8"/>
  <c r="KK6" i="8"/>
  <c r="JQ6" i="8"/>
  <c r="IW5" i="8"/>
  <c r="IC5" i="8"/>
  <c r="IW6" i="8"/>
  <c r="IC6" i="8"/>
  <c r="HI5" i="8"/>
  <c r="GO5" i="8"/>
  <c r="HI6" i="8"/>
  <c r="GO6" i="8"/>
  <c r="FU5" i="8"/>
  <c r="FA5" i="8"/>
  <c r="FU6" i="8"/>
  <c r="FA6" i="8"/>
  <c r="DM6" i="7"/>
  <c r="EG6" i="7"/>
  <c r="FA6" i="7"/>
  <c r="FU6" i="7"/>
  <c r="GO6" i="7"/>
  <c r="HI6" i="7"/>
  <c r="IC6" i="7"/>
  <c r="JQ6" i="7"/>
  <c r="KK6" i="7"/>
  <c r="DM9" i="7"/>
  <c r="EG9" i="7"/>
  <c r="FA9" i="7"/>
  <c r="FU9" i="7"/>
  <c r="GO9" i="7"/>
  <c r="HI9" i="7"/>
  <c r="IC9" i="7"/>
  <c r="IW9" i="7"/>
  <c r="JQ9" i="7"/>
  <c r="KK9" i="7"/>
  <c r="KK4" i="7"/>
  <c r="JQ4" i="7"/>
  <c r="IW4" i="7"/>
  <c r="IC4" i="7"/>
  <c r="HI4" i="7"/>
  <c r="GO4" i="7"/>
  <c r="FU4" i="7"/>
  <c r="FA4" i="7"/>
  <c r="CA4" i="7"/>
  <c r="DM5" i="8"/>
  <c r="EG5" i="8"/>
  <c r="EG6" i="8"/>
  <c r="DM6" i="8"/>
  <c r="EG4" i="7"/>
  <c r="DM4" i="7"/>
  <c r="BY6" i="8"/>
  <c r="CS5" i="8"/>
  <c r="CS6" i="8"/>
  <c r="CS9" i="7"/>
  <c r="CS6" i="7"/>
  <c r="CS4" i="7"/>
  <c r="BY5" i="8"/>
  <c r="BY9" i="7"/>
  <c r="BY6" i="7"/>
  <c r="BY4" i="7"/>
  <c r="G4" i="7" l="1"/>
  <c r="F4" i="7"/>
  <c r="I4" i="7" s="1"/>
  <c r="F6" i="7"/>
  <c r="G6" i="7"/>
  <c r="F9" i="7"/>
  <c r="G9" i="7"/>
  <c r="G6" i="8"/>
  <c r="F6" i="8"/>
  <c r="G5" i="8"/>
  <c r="F5" i="8"/>
  <c r="P4" i="8"/>
  <c r="O4" i="8"/>
  <c r="BG4" i="7"/>
  <c r="BG6" i="7"/>
  <c r="BG9" i="7"/>
  <c r="BG6" i="8"/>
  <c r="BG5" i="8"/>
  <c r="BH4" i="7"/>
  <c r="BP4" i="4"/>
  <c r="BR17" i="4"/>
  <c r="BP20" i="4"/>
  <c r="BR10" i="4"/>
  <c r="BP13" i="4"/>
  <c r="BR12" i="4"/>
  <c r="BO12" i="4"/>
  <c r="BP6" i="4"/>
  <c r="BH6" i="8"/>
  <c r="BH5" i="8"/>
  <c r="BH6" i="7"/>
  <c r="BH9" i="7"/>
  <c r="BO10" i="2"/>
  <c r="BP13" i="2"/>
  <c r="BR9" i="2"/>
  <c r="BR10" i="2"/>
  <c r="BO5" i="2"/>
  <c r="BP4" i="2"/>
  <c r="BR15" i="2"/>
  <c r="BO15" i="2"/>
  <c r="BP8" i="2"/>
  <c r="BP9" i="2"/>
  <c r="BR5" i="2"/>
  <c r="BP10" i="2"/>
  <c r="BR13" i="2"/>
  <c r="BO13" i="2"/>
  <c r="BO4" i="2"/>
  <c r="BR4" i="2"/>
  <c r="BP15" i="2"/>
  <c r="BR8" i="2"/>
  <c r="BO8" i="2"/>
  <c r="BP5" i="2"/>
  <c r="BO9" i="2"/>
  <c r="BO10" i="4"/>
  <c r="BO17" i="4"/>
  <c r="BR11" i="4"/>
  <c r="BO11" i="4"/>
  <c r="BO6" i="4"/>
  <c r="BP9" i="4"/>
  <c r="BO21" i="4"/>
  <c r="BP16" i="4"/>
  <c r="BR14" i="4"/>
  <c r="BO14" i="4"/>
  <c r="BO4" i="4"/>
  <c r="BP17" i="4"/>
  <c r="BR20" i="4"/>
  <c r="BO20" i="4"/>
  <c r="BP10" i="4"/>
  <c r="BR13" i="4"/>
  <c r="BO13" i="4"/>
  <c r="BP12" i="4"/>
  <c r="BR6" i="4"/>
  <c r="BO9" i="4"/>
  <c r="BP11" i="4"/>
  <c r="BR21" i="4"/>
  <c r="BR4" i="4"/>
  <c r="BR9" i="4"/>
  <c r="BR16" i="4"/>
  <c r="BO16" i="4"/>
  <c r="BP14" i="4"/>
  <c r="BP21" i="4"/>
  <c r="R23" i="4"/>
  <c r="T23" i="4" s="1"/>
  <c r="S7" i="4"/>
  <c r="E7" i="4"/>
  <c r="E4" i="8"/>
  <c r="I11" i="6"/>
  <c r="LS13" i="4"/>
  <c r="LV13" i="4" s="1"/>
  <c r="LS5" i="2"/>
  <c r="LV5" i="2" s="1"/>
  <c r="I7" i="6"/>
  <c r="I12" i="6"/>
  <c r="I4" i="6"/>
  <c r="JT9" i="7"/>
  <c r="I6" i="6"/>
  <c r="HL9" i="7"/>
  <c r="JT6" i="7"/>
  <c r="KN6" i="7"/>
  <c r="FD6" i="8"/>
  <c r="I10" i="6"/>
  <c r="I5" i="6"/>
  <c r="FX9" i="7"/>
  <c r="IF6" i="7"/>
  <c r="FD6" i="7"/>
  <c r="IF5" i="8"/>
  <c r="FX4" i="7"/>
  <c r="IF4" i="7"/>
  <c r="EJ4" i="7"/>
  <c r="LS9" i="2"/>
  <c r="LV9" i="2" s="1"/>
  <c r="LS8" i="2"/>
  <c r="LV8" i="2" s="1"/>
  <c r="IZ6" i="8"/>
  <c r="CV6" i="8"/>
  <c r="GR5" i="8"/>
  <c r="JT5" i="8"/>
  <c r="DP5" i="8"/>
  <c r="IF6" i="8"/>
  <c r="CV5" i="8"/>
  <c r="HL6" i="8"/>
  <c r="KN6" i="8"/>
  <c r="EJ6" i="8"/>
  <c r="FD5" i="8"/>
  <c r="GR6" i="8"/>
  <c r="DP6" i="8"/>
  <c r="GR4" i="7"/>
  <c r="IZ9" i="7"/>
  <c r="JT4" i="7"/>
  <c r="FD9" i="7"/>
  <c r="IF9" i="7"/>
  <c r="IZ4" i="7"/>
  <c r="EJ9" i="7"/>
  <c r="GR6" i="7"/>
  <c r="LS15" i="2"/>
  <c r="LV15" i="2" s="1"/>
  <c r="LS10" i="2"/>
  <c r="LV10" i="2" s="1"/>
  <c r="LS13" i="2"/>
  <c r="LV13" i="2" s="1"/>
  <c r="LS4" i="4"/>
  <c r="LV4" i="4" s="1"/>
  <c r="LS21" i="4"/>
  <c r="LV21" i="4" s="1"/>
  <c r="LS16" i="4"/>
  <c r="LV16" i="4" s="1"/>
  <c r="LS14" i="4"/>
  <c r="LV14" i="4" s="1"/>
  <c r="LS12" i="4"/>
  <c r="LV12" i="4" s="1"/>
  <c r="FX6" i="8"/>
  <c r="IZ5" i="8"/>
  <c r="FX5" i="8"/>
  <c r="JT6" i="8"/>
  <c r="HL5" i="8"/>
  <c r="KN5" i="8"/>
  <c r="EJ5" i="8"/>
  <c r="HL6" i="7"/>
  <c r="EJ6" i="7"/>
  <c r="KN9" i="7"/>
  <c r="FD4" i="7"/>
  <c r="HL4" i="7"/>
  <c r="GR9" i="7"/>
  <c r="FX6" i="7"/>
  <c r="IZ6" i="7"/>
  <c r="KN4" i="7"/>
  <c r="LS4" i="2"/>
  <c r="LV4" i="2" s="1"/>
  <c r="LS10" i="4"/>
  <c r="LV10" i="4" s="1"/>
  <c r="LS9" i="4"/>
  <c r="LV9" i="4" s="1"/>
  <c r="LS20" i="4"/>
  <c r="LV20" i="4" s="1"/>
  <c r="LS6" i="4"/>
  <c r="LV6" i="4" s="1"/>
  <c r="LS11" i="4"/>
  <c r="LV11" i="4" s="1"/>
  <c r="LS17" i="4"/>
  <c r="LV17" i="4" s="1"/>
  <c r="H9" i="2" l="1"/>
  <c r="H10" i="2"/>
  <c r="H4" i="2"/>
  <c r="H5" i="2"/>
  <c r="H8" i="2"/>
  <c r="I8" i="2" s="1"/>
  <c r="H13" i="2"/>
  <c r="I13" i="2" s="1"/>
  <c r="H15" i="2"/>
  <c r="I15" i="2" s="1"/>
  <c r="H11" i="4"/>
  <c r="I11" i="4" s="1"/>
  <c r="H16" i="4"/>
  <c r="H4" i="4"/>
  <c r="I4" i="4" s="1"/>
  <c r="H14" i="4"/>
  <c r="H6" i="4"/>
  <c r="H13" i="4"/>
  <c r="H12" i="4"/>
  <c r="I12" i="4" s="1"/>
  <c r="H20" i="4"/>
  <c r="A20" i="4" s="1"/>
  <c r="H9" i="4"/>
  <c r="I9" i="4" s="1"/>
  <c r="H17" i="4"/>
  <c r="A17" i="4" s="1"/>
  <c r="H21" i="4"/>
  <c r="A21" i="4" s="1"/>
  <c r="H10" i="4"/>
  <c r="A10" i="4" s="1"/>
  <c r="I6" i="8"/>
  <c r="I5" i="8"/>
  <c r="N4" i="7"/>
  <c r="O4" i="7" s="1"/>
  <c r="I9" i="7"/>
  <c r="A9" i="7"/>
  <c r="I6" i="7"/>
  <c r="A6" i="7"/>
  <c r="BI11" i="6"/>
  <c r="BI7" i="6"/>
  <c r="BI12" i="6"/>
  <c r="BI10" i="6"/>
  <c r="BI4" i="6"/>
  <c r="BI5" i="6"/>
  <c r="BI6" i="6"/>
  <c r="CB9" i="7"/>
  <c r="CV9" i="7" s="1"/>
  <c r="DP9" i="7" s="1"/>
  <c r="CB6" i="7"/>
  <c r="CV6" i="7" s="1"/>
  <c r="DP6" i="7" s="1"/>
  <c r="CB4" i="7"/>
  <c r="CV4" i="7" s="1"/>
  <c r="DP4" i="7" s="1"/>
  <c r="CB6" i="8"/>
  <c r="CB5" i="8"/>
  <c r="N9" i="7"/>
  <c r="N6" i="7"/>
  <c r="BQ15" i="2"/>
  <c r="BQ4" i="2"/>
  <c r="BQ9" i="2"/>
  <c r="I9" i="2"/>
  <c r="BQ5" i="2"/>
  <c r="BQ13" i="2"/>
  <c r="I10" i="2"/>
  <c r="BQ10" i="2"/>
  <c r="BQ8" i="2"/>
  <c r="BQ12" i="4"/>
  <c r="BQ6" i="4"/>
  <c r="BQ17" i="4"/>
  <c r="BQ21" i="4"/>
  <c r="BQ13" i="4"/>
  <c r="BQ14" i="4"/>
  <c r="BQ9" i="4"/>
  <c r="BQ4" i="4"/>
  <c r="BQ11" i="4"/>
  <c r="BQ16" i="4"/>
  <c r="BQ10" i="4"/>
  <c r="BQ20" i="4"/>
  <c r="S23" i="4"/>
  <c r="E23" i="4"/>
  <c r="P4" i="7" l="1"/>
  <c r="I4" i="2"/>
  <c r="I5" i="2"/>
  <c r="A14" i="4"/>
  <c r="A6" i="4"/>
  <c r="A10" i="2"/>
  <c r="A13" i="2"/>
  <c r="A8" i="2"/>
  <c r="A9" i="2"/>
  <c r="A15" i="2"/>
  <c r="A11" i="4"/>
  <c r="A9" i="4"/>
  <c r="P9" i="7"/>
  <c r="O9" i="7"/>
  <c r="P6" i="7"/>
  <c r="O6" i="7"/>
  <c r="I13" i="4"/>
  <c r="I6" i="4"/>
  <c r="I16" i="4"/>
  <c r="I21" i="4"/>
  <c r="I10" i="4"/>
  <c r="I20" i="4"/>
  <c r="I14" i="4"/>
  <c r="I17" i="4"/>
  <c r="E9" i="7"/>
  <c r="E6" i="7"/>
  <c r="N6" i="6"/>
  <c r="N4" i="6"/>
  <c r="P4" i="6" s="1"/>
  <c r="N12" i="6"/>
  <c r="P12" i="6" s="1"/>
  <c r="N5" i="6"/>
  <c r="P5" i="6" s="1"/>
  <c r="P6" i="6" l="1"/>
  <c r="E6" i="6"/>
  <c r="O5" i="6"/>
  <c r="O12" i="6"/>
  <c r="O4" i="6"/>
  <c r="O6" i="6"/>
  <c r="R10" i="2"/>
  <c r="T10" i="2" s="1"/>
  <c r="R5" i="2"/>
  <c r="T5" i="2" s="1"/>
  <c r="R13" i="2"/>
  <c r="T13" i="2" s="1"/>
  <c r="E5" i="6"/>
  <c r="N7" i="6"/>
  <c r="P7" i="6" s="1"/>
  <c r="N10" i="6"/>
  <c r="P10" i="6" s="1"/>
  <c r="N6" i="8"/>
  <c r="R9" i="4"/>
  <c r="T9" i="4" s="1"/>
  <c r="R12" i="4"/>
  <c r="T12" i="4" s="1"/>
  <c r="E4" i="6"/>
  <c r="R16" i="4"/>
  <c r="T16" i="4" s="1"/>
  <c r="N11" i="6"/>
  <c r="P11" i="6" s="1"/>
  <c r="R9" i="2"/>
  <c r="T9" i="2" s="1"/>
  <c r="E12" i="6"/>
  <c r="R8" i="2"/>
  <c r="T8" i="2" s="1"/>
  <c r="R14" i="4"/>
  <c r="T14" i="4" s="1"/>
  <c r="R17" i="4"/>
  <c r="T17" i="4" s="1"/>
  <c r="R20" i="4"/>
  <c r="T20" i="4" s="1"/>
  <c r="P6" i="8" l="1"/>
  <c r="O6" i="8"/>
  <c r="O10" i="6"/>
  <c r="O7" i="6"/>
  <c r="O11" i="6"/>
  <c r="E11" i="6"/>
  <c r="A5" i="6" s="1"/>
  <c r="S9" i="2"/>
  <c r="E9" i="2"/>
  <c r="S13" i="2"/>
  <c r="E13" i="2"/>
  <c r="S5" i="2"/>
  <c r="E5" i="2"/>
  <c r="S8" i="2"/>
  <c r="E8" i="2"/>
  <c r="S10" i="2"/>
  <c r="E10" i="2"/>
  <c r="R15" i="2"/>
  <c r="T15" i="2" s="1"/>
  <c r="R4" i="2"/>
  <c r="T4" i="2" s="1"/>
  <c r="S12" i="4"/>
  <c r="E12" i="4"/>
  <c r="R11" i="4"/>
  <c r="T11" i="4" s="1"/>
  <c r="R21" i="4"/>
  <c r="T21" i="4" s="1"/>
  <c r="S9" i="4"/>
  <c r="E9" i="4"/>
  <c r="S20" i="4"/>
  <c r="E20" i="4"/>
  <c r="R13" i="4"/>
  <c r="T13" i="4" s="1"/>
  <c r="S16" i="4"/>
  <c r="E16" i="4"/>
  <c r="S14" i="4"/>
  <c r="E14" i="4"/>
  <c r="S17" i="4"/>
  <c r="E17" i="4"/>
  <c r="R10" i="4"/>
  <c r="T10" i="4" s="1"/>
  <c r="R6" i="4"/>
  <c r="T6" i="4" s="1"/>
  <c r="R4" i="4"/>
  <c r="E10" i="6"/>
  <c r="A4" i="6" s="1"/>
  <c r="E7" i="6"/>
  <c r="N5" i="8"/>
  <c r="E6" i="8"/>
  <c r="A7" i="6" l="1"/>
  <c r="A6" i="6"/>
  <c r="P5" i="8"/>
  <c r="O5" i="8"/>
  <c r="E4" i="7"/>
  <c r="S4" i="4"/>
  <c r="T4" i="4"/>
  <c r="S15" i="2"/>
  <c r="E15" i="2"/>
  <c r="S4" i="2"/>
  <c r="E4" i="2"/>
  <c r="S21" i="4"/>
  <c r="E21" i="4"/>
  <c r="S6" i="4"/>
  <c r="E6" i="4"/>
  <c r="S11" i="4"/>
  <c r="E11" i="4"/>
  <c r="S10" i="4"/>
  <c r="E10" i="4"/>
  <c r="S13" i="4"/>
  <c r="E13" i="4"/>
  <c r="E4" i="4"/>
  <c r="A8" i="4" s="1"/>
  <c r="E5" i="8"/>
  <c r="D30" i="11" l="1"/>
  <c r="C26" i="11"/>
  <c r="D28" i="11"/>
  <c r="C28" i="11"/>
  <c r="D29" i="11"/>
  <c r="C30" i="11"/>
  <c r="D27" i="11"/>
  <c r="C27" i="11"/>
  <c r="D31" i="11"/>
  <c r="D26" i="11"/>
  <c r="C31" i="11"/>
  <c r="C29" i="11"/>
  <c r="A5" i="7"/>
  <c r="A4" i="7"/>
  <c r="A11" i="2"/>
  <c r="A7" i="2"/>
  <c r="A6" i="2"/>
  <c r="A4" i="2"/>
  <c r="A5" i="2"/>
  <c r="A4" i="4"/>
  <c r="A12" i="4"/>
  <c r="A5" i="4"/>
  <c r="A13" i="4"/>
  <c r="A5" i="8"/>
  <c r="A4" i="8"/>
  <c r="A6" i="8"/>
  <c r="A7" i="8"/>
  <c r="A16" i="4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6" i="11"/>
  <c r="C16" i="11"/>
  <c r="C17" i="11"/>
  <c r="C15" i="11"/>
  <c r="D17" i="11"/>
  <c r="D18" i="11"/>
  <c r="C18" i="11"/>
  <c r="C19" i="11"/>
  <c r="D14" i="11"/>
  <c r="C14" i="11"/>
  <c r="D19" i="11"/>
  <c r="D15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</calcChain>
</file>

<file path=xl/sharedStrings.xml><?xml version="1.0" encoding="utf-8"?>
<sst xmlns="http://schemas.openxmlformats.org/spreadsheetml/2006/main" count="2637" uniqueCount="132">
  <si>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</si>
  <si>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</si>
  <si>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</si>
  <si>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</si>
  <si>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</si>
  <si>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</si>
  <si>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</si>
  <si>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</si>
  <si>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</si>
  <si>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</si>
  <si>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</si>
  <si>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</si>
  <si>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</si>
  <si>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</si>
  <si>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</si>
  <si>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</si>
  <si>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</si>
  <si>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</si>
  <si>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</si>
  <si>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</si>
  <si>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</si>
  <si>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</si>
  <si>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</si>
  <si>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</si>
  <si>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</si>
  <si>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</si>
  <si>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</si>
  <si>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</si>
  <si>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</si>
  <si>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</si>
  <si>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</si>
  <si>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</si>
  <si>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</si>
  <si>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</si>
  <si>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</si>
  <si>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</si>
  <si>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</si>
  <si>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</si>
  <si>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</si>
  <si>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</si>
  <si>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</si>
  <si>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</si>
  <si>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</si>
  <si>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</si>
  <si>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</si>
  <si>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</si>
  <si>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</si>
  <si>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</si>
  <si>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</si>
  <si>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</si>
  <si>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</si>
  <si>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</si>
  <si>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</si>
  <si>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2018 Nationals</t>
  </si>
  <si>
    <t>Injury</t>
  </si>
  <si>
    <t>Injury Score</t>
  </si>
  <si>
    <t>Year of Birth</t>
  </si>
  <si>
    <t>Select</t>
  </si>
  <si>
    <t>Delete oldest domestic trial</t>
  </si>
  <si>
    <t>Add a new athlete to:</t>
  </si>
  <si>
    <t>Delete oldest international competition from:</t>
  </si>
  <si>
    <t>MOULD, Blake</t>
  </si>
  <si>
    <t>2018 World Age Groups (Nov 18)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</si>
  <si>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</si>
  <si>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</si>
  <si>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</si>
  <si>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</si>
  <si>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</si>
  <si>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</si>
  <si>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</si>
  <si>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</si>
  <si>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</si>
  <si>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</si>
  <si>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</si>
  <si>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</si>
  <si>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DODD, Gavin</t>
  </si>
  <si>
    <t>DWYER, Kai</t>
  </si>
  <si>
    <t>NS</t>
  </si>
  <si>
    <t>JOHNSTON, David</t>
  </si>
  <si>
    <t>McLEAN, Declan</t>
  </si>
  <si>
    <t>CARLSON, Roman</t>
  </si>
  <si>
    <t>ARMSTRONG, Owen</t>
  </si>
  <si>
    <t>MORGANTE, Emmett</t>
  </si>
  <si>
    <t>PEDERSEN, Mitchel</t>
  </si>
  <si>
    <t>AUBIN, Rémi</t>
  </si>
  <si>
    <t>ARRUDA, Erik</t>
  </si>
  <si>
    <t>LAVALLÉE, Zachary</t>
  </si>
  <si>
    <t>RIENDEAU, Gabriel</t>
  </si>
  <si>
    <t>SEROUART, Guillaume</t>
  </si>
  <si>
    <t>HENFREY, Ashton</t>
  </si>
  <si>
    <t>TROYAN, Artur</t>
  </si>
  <si>
    <t>BRENNER, Adin</t>
  </si>
  <si>
    <t>RICHARD, Dexter</t>
  </si>
  <si>
    <t>NB</t>
  </si>
  <si>
    <t>BOUCHER, Alex</t>
  </si>
  <si>
    <t>YENDLEY, Jordyn</t>
  </si>
  <si>
    <t>BONHAM, Maja</t>
  </si>
  <si>
    <t>BERTHIAUME, Anouk</t>
  </si>
  <si>
    <t>CELENTANO, Jensen</t>
  </si>
  <si>
    <t>CIRONE, Cristina</t>
  </si>
  <si>
    <t>YAZHEMSKY, Vanessa</t>
  </si>
  <si>
    <t>FLYNN, Gabby</t>
  </si>
  <si>
    <t>MAJOR, Lilyclaire</t>
  </si>
  <si>
    <t>FERNANDES, Antonio</t>
  </si>
  <si>
    <t>RYBKA, Ben</t>
  </si>
  <si>
    <t>CAMIRAND, Jean-Philippe</t>
  </si>
  <si>
    <t>LAFRENIÈRE, Philippe</t>
  </si>
  <si>
    <t>CLARKE, Elias</t>
  </si>
  <si>
    <t>HARRISON, Emily</t>
  </si>
  <si>
    <t>CHAU, Emma</t>
  </si>
  <si>
    <t>KORBUT, Kendra</t>
  </si>
  <si>
    <t>LUPISH, Kieran</t>
  </si>
  <si>
    <t>STANNARD, Adam</t>
  </si>
  <si>
    <t>MANCINI, Michael</t>
  </si>
  <si>
    <t>ZUREK, Nolan</t>
  </si>
  <si>
    <t>UVAKOV, Chris</t>
  </si>
  <si>
    <t>P</t>
  </si>
  <si>
    <t>Potential Injury Score</t>
  </si>
  <si>
    <t>***Artur, Chris, and Adin's Prelims and Finals swapped for spreadsheet compatibility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</si>
  <si>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</si>
  <si>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</si>
  <si>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</si>
  <si>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</si>
  <si>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</si>
  <si>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</si>
  <si>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</si>
  <si>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</si>
  <si>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</si>
  <si>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</si>
  <si>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***Team DD contrived for 2019 rules</t>
  </si>
  <si>
    <t>2019 Scalabis Cup</t>
  </si>
  <si>
    <t>2019 Scalabis Cup (July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</si>
</sst>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2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LOVE, Ethan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McLEAN, Declan</v>
      </c>
      <c r="D5" s="11" t="str">
        <f>IF(B5&gt;MAX('TRA-M'!A:A),"",INDEX('TRA-M'!I:I,MATCH(B5,'TRA-M'!A:A,0)))</f>
        <v>National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CARLSON, Roman</v>
      </c>
      <c r="D6" s="11" t="str">
        <f>IF(B6&gt;MAX('TRA-M'!A:A),"",INDEX('TRA-M'!I:I,MATCH(B6,'TRA-M'!A:A,0)))</f>
        <v>No DD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LAVALLÉE, Zachary</v>
      </c>
      <c r="D7" s="11" t="str">
        <f>IF(B7&gt;MAX('TRA-M'!A:A),"",INDEX('TRA-M'!I:I,MATCH(B7,'TRA-M'!A:A,0)))</f>
        <v>No DD</v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BOUCHER, Alex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BONHAM, Maja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FLYNN, Gabby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NAGANO, Mariko</v>
      </c>
      <c r="D11" s="14" t="str">
        <f>IF(B5&gt;MAX('TRA-W'!A:A),"",INDEX('TRA-W'!I:I,MATCH(B5,'TRA-W'!A:A,0)))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FERNANDES, Antonio</v>
      </c>
      <c r="D14" s="11" t="str">
        <f>IF(B2&gt;MAX('TUM-M'!A:A),"",INDEX('TUM-M'!I:I,MATCH(B2,'TUM-M'!A:A,0)))</f>
        <v>National Team</v>
      </c>
    </row>
    <row r="15" spans="1:12" x14ac:dyDescent="0.2">
      <c r="A15" s="11"/>
      <c r="B15" s="11">
        <v>2</v>
      </c>
      <c r="C15" s="11" t="str">
        <f>IF(B3&gt;MAX('TUM-M'!A:A),"",INDEX('TUM-M'!B:B,MATCH(B3,'TUM-M'!A:A,0)))</f>
        <v>CAMIRAND, Jean-Philippe</v>
      </c>
      <c r="D15" s="11" t="str">
        <f>IF(B3&gt;MAX('TUM-M'!A:A),"",INDEX('TUM-M'!I:I,MATCH(B3,'TUM-M'!A:A,0)))</f>
        <v>No DD</v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HARRISON, Emily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CHAU, Emma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FOREST, Alexandra</v>
      </c>
      <c r="D22" s="14" t="str">
        <f>IF(B4&gt;MAX('TUM-W'!A:A),"",INDEX('TUM-W'!I:I,MATCH(B4,'TUM-W'!A:A,0)))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IF(B5&gt;MAX('TUM-W'!A:A),"",INDEX('TUM-W'!B:B,MATCH(B5,'TUM-W'!A:A,0)))</f>
        <v>KORBUT, Kendra</v>
      </c>
      <c r="D23" s="14" t="str">
        <f>IF(B5&gt;MAX('TUM-W'!A:A),"",INDEX('TUM-W'!I:I,MATCH(B5,'TUM-W'!A:A,0)))</f>
        <v>National Team</v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DODD, Gavin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LUPISH, Kieran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ARMSTRONG, Owen</v>
      </c>
      <c r="D28" s="11" t="str">
        <f>IF(B4&gt;MAX('DMT-M'!A:A),"",INDEX('DMT-M'!I:I,MATCH(B4,'DMT-M'!A:A,0)))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UVAKOV, Chris</v>
      </c>
      <c r="D29" s="11" t="str">
        <f>IF(B5&gt;MAX('DMT-M'!A:A),"",INDEX('DMT-M'!I:I,MATCH(B5,'DMT-M'!A:A,0)))</f>
        <v>No DD</v>
      </c>
    </row>
    <row r="30" spans="1:4" hidden="1" x14ac:dyDescent="0.2">
      <c r="A30" s="11"/>
      <c r="B30" s="11">
        <v>5</v>
      </c>
      <c r="C30" s="11" t="str">
        <f>IF(B6&gt;MAX('DMT-M'!A:A),"",INDEX('DMT-M'!B:B,MATCH(B6,'DMT-M'!A:A,0)))</f>
        <v/>
      </c>
      <c r="D30" s="11" t="str">
        <f>IF(B6&gt;MAX('DMT-M'!A:A),"",INDEX('DMT-M'!I:I,MATCH(B6,'DMT-M'!A:A,0)))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IF(B7&gt;MAX('DMT-M'!A:A),"",INDEX('DMT-M'!B:B,MATCH(B7,'DMT-M'!A:A,0)))</f>
        <v/>
      </c>
      <c r="D31" s="11" t="str">
        <f>IF(B7&gt;MAX('DMT-M'!A:A),"",INDEX('DMT-M'!I:I,MATCH(B7,'DMT-M'!A:A,0)))</f>
        <v/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YENDLEY, Jordyn</v>
      </c>
      <c r="D32" s="14" t="str">
        <f>IF(B2&gt;MAX('DMT-W'!A:A),"",INDEX('DMT-W'!I:I,MATCH(B2,'DMT-W'!A:A,0)))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DODD, Kristina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MCCAIG, Abby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PHANEUF, Zoe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BOUCHER, Alex</v>
      </c>
      <c r="D36" s="14" t="str">
        <f>IF(B6&gt;MAX('DMT-W'!A:A),"",INDEX('DMT-W'!I:I,MATCH(B6,'DMT-W'!A:A,0)))</f>
        <v>National Team</v>
      </c>
    </row>
    <row r="37" spans="1:5" hidden="1" x14ac:dyDescent="0.2">
      <c r="A37" s="14"/>
      <c r="B37" s="14">
        <v>6</v>
      </c>
      <c r="C37" s="14" t="str">
        <f>IF(B7&gt;MAX('DMT-W'!A:A),"",INDEX('DMT-W'!B:B,MATCH(B7,'DMT-W'!A:A,0)))</f>
        <v/>
      </c>
      <c r="D37" s="14" t="str">
        <f>IF(B7&gt;MAX('DMT-W'!A:A),"",INDEX('DMT-W'!I:I,MATCH(B7,'DMT-W'!A:A,0)))</f>
        <v/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59</v>
      </c>
      <c r="D42" s="46" t="s">
        <v>57</v>
      </c>
    </row>
    <row r="43" spans="1:5" x14ac:dyDescent="0.2">
      <c r="B43" s="26" t="s">
        <v>127</v>
      </c>
      <c r="D43" s="46" t="s">
        <v>57</v>
      </c>
      <c r="E43" t="s">
        <v>57</v>
      </c>
    </row>
    <row r="44" spans="1:5" x14ac:dyDescent="0.2">
      <c r="B44" s="46" t="s">
        <v>58</v>
      </c>
      <c r="D44" s="46"/>
    </row>
    <row r="45" spans="1:5" x14ac:dyDescent="0.2">
      <c r="B45" s="46" t="s">
        <v>60</v>
      </c>
      <c r="D45" s="46" t="s">
        <v>57</v>
      </c>
    </row>
    <row r="46" spans="1:5" x14ac:dyDescent="0.2">
      <c r="A46" t="s">
        <v>42</v>
      </c>
      <c r="B46" s="109">
        <v>43670</v>
      </c>
      <c r="C46" s="109"/>
    </row>
    <row r="47" spans="1:5" x14ac:dyDescent="0.2">
      <c r="B47" t="s">
        <v>130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61" priority="1" operator="containsText" text="No DD">
      <formula>NOT(ISERROR(SEARCH("No DD",D2)))</formula>
    </cfRule>
    <cfRule type="containsText" dxfId="160" priority="4" operator="containsText" text="Merit">
      <formula>NOT(ISERROR(SEARCH("Merit",D2)))</formula>
    </cfRule>
    <cfRule type="containsText" dxfId="159" priority="5" operator="containsText" text="Excellence">
      <formula>NOT(ISERROR(SEARCH("Excellence",D2)))</formula>
    </cfRule>
    <cfRule type="containsText" dxfId="158" priority="6" operator="containsText" text="Worlds Team">
      <formula>NOT(ISERROR(SEARCH("Worlds Team",D2)))</formula>
    </cfRule>
    <cfRule type="containsText" dxfId="15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5 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53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119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62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 t="s">
        <v>131</v>
      </c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117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1"/>
      <c r="AK2" s="34" t="s">
        <v>63</v>
      </c>
      <c r="AL2" s="10" t="s">
        <v>21</v>
      </c>
      <c r="AM2" s="10" t="s">
        <v>22</v>
      </c>
      <c r="AN2" s="10" t="s">
        <v>24</v>
      </c>
      <c r="AO2" s="10" t="s">
        <v>128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0"/>
      <c r="BH2" s="35" t="s">
        <v>63</v>
      </c>
      <c r="BI2" s="13" t="s">
        <v>21</v>
      </c>
      <c r="BJ2" s="13" t="s">
        <v>22</v>
      </c>
      <c r="BK2" s="13" t="s">
        <v>24</v>
      </c>
      <c r="BL2" s="13" t="s">
        <v>128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34" t="s">
        <v>63</v>
      </c>
      <c r="CI2" s="10" t="s">
        <v>21</v>
      </c>
      <c r="CJ2" s="10" t="s">
        <v>22</v>
      </c>
      <c r="CK2" s="10" t="s">
        <v>24</v>
      </c>
      <c r="CL2" s="10" t="s">
        <v>128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35" t="s">
        <v>63</v>
      </c>
      <c r="DE2" s="13" t="s">
        <v>21</v>
      </c>
      <c r="DF2" s="13" t="s">
        <v>22</v>
      </c>
      <c r="DG2" s="13" t="s">
        <v>24</v>
      </c>
      <c r="DH2" s="13" t="s">
        <v>128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34" t="s">
        <v>63</v>
      </c>
      <c r="EA2" s="10" t="s">
        <v>21</v>
      </c>
      <c r="EB2" s="10" t="s">
        <v>22</v>
      </c>
      <c r="EC2" s="10" t="s">
        <v>24</v>
      </c>
      <c r="ED2" s="10" t="s">
        <v>128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35" t="s">
        <v>63</v>
      </c>
      <c r="EW2" s="13" t="s">
        <v>21</v>
      </c>
      <c r="EX2" s="13" t="s">
        <v>22</v>
      </c>
      <c r="EY2" s="13" t="s">
        <v>24</v>
      </c>
      <c r="EZ2" s="13" t="s">
        <v>128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34" t="s">
        <v>63</v>
      </c>
      <c r="FS2" s="10" t="s">
        <v>21</v>
      </c>
      <c r="FT2" s="10" t="s">
        <v>22</v>
      </c>
      <c r="FU2" s="10" t="s">
        <v>24</v>
      </c>
      <c r="FV2" s="10" t="s">
        <v>128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35" t="s">
        <v>63</v>
      </c>
      <c r="GO2" s="13" t="s">
        <v>21</v>
      </c>
      <c r="GP2" s="13" t="s">
        <v>22</v>
      </c>
      <c r="GQ2" s="13" t="s">
        <v>24</v>
      </c>
      <c r="GR2" s="13" t="s">
        <v>128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34" t="s">
        <v>63</v>
      </c>
      <c r="HK2" s="10" t="s">
        <v>21</v>
      </c>
      <c r="HL2" s="10" t="s">
        <v>22</v>
      </c>
      <c r="HM2" s="10" t="s">
        <v>24</v>
      </c>
      <c r="HN2" s="10" t="s">
        <v>128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35" t="s">
        <v>63</v>
      </c>
      <c r="IG2" s="13" t="s">
        <v>21</v>
      </c>
      <c r="IH2" s="13" t="s">
        <v>22</v>
      </c>
      <c r="II2" s="13" t="s">
        <v>24</v>
      </c>
      <c r="IJ2" s="13" t="s">
        <v>128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34" t="s">
        <v>63</v>
      </c>
      <c r="JC2" s="10" t="s">
        <v>21</v>
      </c>
      <c r="JD2" s="10" t="s">
        <v>22</v>
      </c>
      <c r="JE2" s="10" t="s">
        <v>24</v>
      </c>
      <c r="JF2" s="10" t="s">
        <v>128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35" t="s">
        <v>63</v>
      </c>
      <c r="JY2" s="13" t="s">
        <v>21</v>
      </c>
      <c r="JZ2" s="13" t="s">
        <v>22</v>
      </c>
      <c r="KA2" s="13" t="s">
        <v>24</v>
      </c>
      <c r="KB2" s="13" t="s">
        <v>128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34" t="s">
        <v>63</v>
      </c>
      <c r="KU2" s="10" t="s">
        <v>21</v>
      </c>
      <c r="KV2" s="10" t="s">
        <v>22</v>
      </c>
      <c r="KW2" s="10" t="s">
        <v>24</v>
      </c>
      <c r="KX2" s="10" t="s">
        <v>128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35" t="s">
        <v>63</v>
      </c>
      <c r="LQ2" s="13" t="s">
        <v>21</v>
      </c>
      <c r="LR2" s="13" t="s">
        <v>22</v>
      </c>
      <c r="LS2" s="13" t="s">
        <v>24</v>
      </c>
      <c r="LT2" s="13" t="s">
        <v>128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63</v>
      </c>
      <c r="MN2" s="10" t="s">
        <v>21</v>
      </c>
      <c r="MO2" s="10" t="s">
        <v>22</v>
      </c>
      <c r="MP2" s="10" t="s">
        <v>24</v>
      </c>
      <c r="MQ2" s="10" t="s">
        <v>128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54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IF(AND(F4="P",H4="P"),SUMPRODUCT((F$4:F$24="P")*(H$4:H$24="P")*(E$4:E$24&gt;E4))+1,IF(H4="P",SUMPRODUCT((F$4:F$24="")*(H$4:H$24="P")*(E$4:E$24&gt;E4))+1+SUMPRODUCT((F$4:F$24="P")*(H$4:H$24="P")),""))</f>
        <v>1</v>
      </c>
      <c r="B4" s="9" t="s">
        <v>76</v>
      </c>
      <c r="C4" s="5" t="s">
        <v>77</v>
      </c>
      <c r="D4" s="6">
        <v>2001</v>
      </c>
      <c r="E4" s="16">
        <f>SUM(J4:R4)</f>
        <v>256.19</v>
      </c>
      <c r="F4" s="4" t="str">
        <f>IF(OR(AND($AK4&gt;=$AL$26,NOT($AK4=""),$AJ4=""),AND($BH4&gt;=$BI$26,NOT($BH4=""),$BG4=""),AND($CH4&gt;=$CI$26,NOT($CH4="")),AND($DD4&gt;=$DE$26,NOT($DD4="")),AND($DZ4&gt;=$EA$26,NOT($DZ4="")),AND($EV4&gt;=$EW$26,NOT($EV4="")),AND($FR4&gt;=$FS$26,NOT($FR4="")),AND($GN4&gt;=$GO$26,NOT($GN4="")),AND($HJ4&gt;=$HK$26,NOT($HJ4="")),AND($IF4&gt;=$IG$26,NOT($IF4="")),AND($JB4&gt;=$JC$26,NOT($JB4="")),AND($JX4&gt;=$JY$26,NOT($JX4="")),AND($KT4&gt;=$KU$26,NOT($KT4="")),AND($LP4&gt;=$LQ$26,NOT($LP4="")),AND($AO4&gt;=$AL$26,NOT($AO4=""),$AJ4=""),AND($BL4&gt;=$BI$26,NOT($BL4=""),$BG4=""),AND($CL4&gt;=$CI$26,NOT($CL4="")),AND($DH4&gt;=$DE$26,NOT($DH4="")),AND($ED4&gt;=$EA$26,NOT($ED4="")),AND($EZ4&gt;=$EW$26,NOT($EZ4="")),AND($FV4&gt;=$FS$26,NOT($FV4="")),AND($GR4&gt;=$GO$26,NOT($GR4="")),AND($HN4&gt;=$HK$26,NOT($HN4="")),AND($IJ4&gt;=$IG$26,NOT($IJ4="")),AND($JF4&gt;=$JC$26,NOT($JF4="")),AND($KB4&gt;=$JY$26,NOT($KB4="")),AND($KX4&gt;=$KU$26,NOT($KX4="")),AND($LT4&gt;=$LQ$26,NOT($LT4=""))),"P","")</f>
        <v>P</v>
      </c>
      <c r="G4" s="4" t="str">
        <f>IF(OR(AND($AK4&gt;=$AL$27,NOT($AK4=""),$AJ4=""),AND($BH4&gt;=$BI$27,NOT($BH4=""),$BG4=""),AND($CH4&gt;=$CI$27,NOT($CH4="")),AND($DD4&gt;=$DE$27,NOT($DD4="")),AND($DZ4&gt;=$EA$27,NOT($DZ4="")),AND($EV4&gt;=$EW$27,NOT($EV4="")),AND($FR4&gt;=$FS$27,NOT($FR4="")),AND($GN4&gt;=$GO$27,NOT($GN4="")),AND($HJ4&gt;=$HK$27,NOT($HJ4="")),AND($IF4&gt;=$IG$27,NOT($IF4="")),AND($JB4&gt;=$JC$27,NOT($JB4="")),AND($JX4&gt;=$JY$27,NOT($JX4="")),AND($KT4&gt;=$KU$27,NOT($KT4="")),AND($LP4&gt;=$LQ$27,NOT($LP4="")),AND($AO4&gt;=$AL$27,NOT($AO4=""),$AJ4=""),AND($BL4&gt;=$BI$27,NOT($BL4=""),$BG4=""),AND($CL4&gt;=$CI$27,NOT($CL4="")),AND($DH4&gt;=$DE$27,NOT($DH4="")),AND($ED4&gt;=$EA$27,NOT($ED4="")),AND($EZ4&gt;=$EW$27,NOT($EZ4="")),AND($FV4&gt;=$FS$27,NOT($FV4="")),AND($GR4&gt;=$GO$27,NOT($GR4="")),AND($HN4&gt;=$HK$27,NOT($HN4="")),AND($IJ4&gt;=$IG$27,NOT($IJ4="")),AND($JF4&gt;=$JC$27,NOT($JF4="")),AND($KB4&gt;=$JY$27,NOT($KB4="")),AND($KX4&gt;=$KU$27,NOT($KX4="")),AND($LT4&gt;=$LQ$27,NOT($LT4=""))),"P","")</f>
        <v>P</v>
      </c>
      <c r="H4" s="4" t="str">
        <f>IF(OR(AND($AN4&gt;=$AL$28,NOT($AN4=""),$AJ4=""),AND($BK4&gt;=$BI$28,NOT($BK4=""),$BG4=""),AND($CK4&gt;=$CI$28,NOT($CK4="")),AND($DG4&gt;=$DE$28,NOT($DG4="")),AND($EC4&gt;=$EA$28,NOT($EC4="")),AND($EY4&gt;=$EW$28,NOT($EY4="")),AND($FU4&gt;=$FS$28,NOT($FU4="")),AND($GQ4&gt;=$GO$28,NOT($GQ4="")),AND($HM4&gt;=$HK$28,NOT($HM4="")),AND($II4&gt;=$IG$28,NOT($II4="")),AND($JE4&gt;=$JC$28,NOT($JE4="")),AND($KA4&gt;=$JY$28,NOT($KA4="")),AND($KW4&gt;=$KU$28,NOT($KW4="")),AND($LS4&gt;=$LQ$28,NOT($LS4=""))),"P","")</f>
        <v>P</v>
      </c>
      <c r="I4" t="str">
        <f>IF(AND(H4="P",F4=""),"No DD",IF(AND(G4="P",OR(AND($AM4&gt;$AL$31,NOT($AM4=""),$AJ4=""),AND($AP4&gt;$AL$31,NOT($AP4=""),$AJ4=""),AND($BJ4&gt;$BI$31,NOT($BJ4=""),$BG4=""),AND($BM4&gt;$BI$31,NOT($BM4=""),$BG4=""),AND($CJ4&gt;$CI$31,NOT($CJ4="")),AND($CM4&gt;$CI$31,NOT($CM4="")),AND($DF4&gt;$DE$31,NOT($DF4="")),AND($DI4&gt;$DE$31,NOT($DI4="")),AND($EB4&gt;$EA$31,NOT($EB4="")),AND($EE4&gt;$EA$31,NOT($EE4="")),AND($EX4&gt;$EW$31,NOT($EX4="")),AND($FA4&gt;$EW$31,NOT($FA4="")),AND($FT4&gt;$FS$31,NOT($FT4="")),AND($FW4&gt;$FS$31,NOT($FW4="")),AND($GP4&gt;$GO$31,NOT($GP4="")),AND($GS4&gt;$GO$31,NOT($GS4="")),AND($HL4&gt;$HK$31,NOT($HL4="")),AND($HO4&gt;$HK$31,NOT($HO4="")),AND($IH4&gt;$IG$31,NOT($IH4="")),AND($IK4&gt;$IG$31,NOT($IK4="")),AND($JD4&gt;$JC$31,NOT($JD4="")),AND($JG4&gt;$JC$31,NOT($JG4="")),AND($JZ4&gt;$JY$31,NOT($JZ4="")),AND($KC4&gt;$JY$31,NOT($KC4="")),AND($KV4&gt;$KU$31,NOT($KV4="")),AND($KY4&gt;$KU$31,NOT($KY4="")),AND($LR4&gt;$LQ$31,NOT($LR4="")),AND($LU4&gt;$LQ$31,NOT($LU4="")))),"Merit",IF(AND(G4="P",OR(AND($AN4&gt;$AL$30,NOT($AN4=""),$AJ4=""),AND($BK4&gt;$BI$30,NOT($BK4=""),$BG4=""),AND($CK4&gt;$CI$30,NOT($CK4="")),AND($DG4&gt;$DE$30,NOT($DG4="")),AND($EC4&gt;$EA$30,NOT($EC4="")),AND($EY4&gt;$EW$30,NOT($EY4="")),AND($FU4&gt;$FS$30,NOT($FU4="")),AND($GQ4&gt;$GO$30,NOT($GQ4="")),AND($HM4&gt;$HK$30,NOT($HM4="")),AND($II4&gt;$IG$30,NOT($II4="")),AND($JE4&gt;$JC$30,NOT($JE4="")),AND($KA4&gt;$JY$30,NOT($KA4="")),AND($KW4&gt;$KU$30,NOT($KW4="")),AND($LS4&gt;$LQ$30,NOT($LS4="")))),"Excellence",IF(AND(G4="P",OR(AND($AN4&gt;$AL$29,NOT($AN4=""),$AJ4=""),AND($BK4&gt;$BI$29,NOT($BK4=""),$BG4=""),AND($CK4&gt;$CI$29,NOT($CK4="")),AND($DG4&gt;$DE$29,NOT($DG4="")),AND($EC4&gt;$EA$29,NOT($EC4="")),AND($EY4&gt;$EW$29,NOT($EY4="")),AND($FU4&gt;$FS$29,NOT($FU4="")),AND($GQ4&gt;$GO$29,NOT($GQ4="")),AND($HM4&gt;$HK$29,NOT($HM4="")),AND($II4&gt;$IG$29,NOT($II4="")),AND($JE4&gt;$JC$29,NOT($JE4="")),AND($KA4&gt;$JY$29,NOT($KA4="")),AND($KW4&gt;$KU$29,NOT($KW4="")),AND($LS4&gt;$LQ$29,NOT($LS4="")))),"Worlds Team",IF(AND(F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National Team","")))))</f>
        <v>Excellence</v>
      </c>
      <c r="J4" s="15">
        <f>IF(MAX(AN4,BK4)&gt;0,MAX(AN4,BK4),"")</f>
        <v>102.75500000000001</v>
      </c>
      <c r="K4" s="15" t="str">
        <f>IF(J4="","",IF(J4=BK4,$AR$1,IF(J4=AN4,$U$1,"")))</f>
        <v>2019 Elite Canada</v>
      </c>
      <c r="L4" s="15">
        <f>IF($J4=$AN4,BI4,IF($J4=$BK4,AL4,MAX(AL4,BI4)))</f>
        <v>47.05</v>
      </c>
      <c r="M4" s="15" t="str">
        <f>IF(L4="","",IF(AND(L4=BI4,$K4&lt;&gt;$AR$1),$AR$1,IF(AND(L4=AL4,$K4&lt;&gt;$U$1),$U$1,"")))</f>
        <v>2018 Nationals</v>
      </c>
      <c r="N4" s="15">
        <f>IF($J4=$AN4,BJ4,IF($J4=$BK4,AM4,MAX(AM4,BJ4)))</f>
        <v>52.604999999999997</v>
      </c>
      <c r="O4" s="15" t="str">
        <f>IF(N4="","",IF(AND(N4=BJ4,$K4&lt;&gt;$AR$1),$AR$1,IF(AND(N4=AM4,$K4&lt;&gt;$U$1),$U$1,"")))</f>
        <v>2018 Nationals</v>
      </c>
      <c r="P4" s="15">
        <f>IF(MAX(AP4,BM4)&gt;0,MAX(AP4,BM4),"")</f>
        <v>53.78</v>
      </c>
      <c r="Q4" s="15" t="str">
        <f>IF(P4="","",IF(P4=BM4,$AR$1,IF(P4=AP4,$U$1,"")))</f>
        <v>2019 Elite Canada</v>
      </c>
      <c r="R4" s="15" t="str">
        <f>IF(MAX(BO4,BP4,BQ4,BR4)&gt;0,MAX(BO4,BP4,BQ4,BR4),"")</f>
        <v/>
      </c>
      <c r="S4" s="25" t="str">
        <f>IF(R4="","",IF(R4=BO4,"(Vol 1)",IF(R4=BP4,"(Vol 2)",IF(R4=BQ4,"(Prelim)",IF(R4=BR4,"(Final)")))))</f>
        <v/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16.899999999999999</v>
      </c>
      <c r="V4" s="63">
        <v>9.25</v>
      </c>
      <c r="W4" s="63">
        <v>4.0999999999999996</v>
      </c>
      <c r="X4" s="63">
        <v>16.8</v>
      </c>
      <c r="Y4" s="63">
        <v>0</v>
      </c>
      <c r="Z4" s="63">
        <v>13.9</v>
      </c>
      <c r="AA4" s="63">
        <v>9.1999999999999993</v>
      </c>
      <c r="AB4" s="63">
        <v>13.7</v>
      </c>
      <c r="AC4" s="63">
        <v>15.805</v>
      </c>
      <c r="AD4" s="63">
        <v>0</v>
      </c>
      <c r="AE4" s="63">
        <v>13.9</v>
      </c>
      <c r="AF4" s="63">
        <v>9</v>
      </c>
      <c r="AG4" s="63">
        <v>13.7</v>
      </c>
      <c r="AH4" s="63">
        <v>16.329999999999998</v>
      </c>
      <c r="AI4" s="63">
        <v>0</v>
      </c>
      <c r="AJ4" s="74"/>
      <c r="AK4" s="12">
        <f>IF(AB4&gt;0,AB4,"")</f>
        <v>13.7</v>
      </c>
      <c r="AL4" s="12">
        <f>IF(SUM(U4:X4)-Y4&gt;0,SUM(U4:X4)-Y4,"")</f>
        <v>47.05</v>
      </c>
      <c r="AM4" s="12">
        <f>IF(SUM(Z4:AC4)-AD4&gt;0,SUM(Z4:AC4)-AD4,"")</f>
        <v>52.604999999999997</v>
      </c>
      <c r="AN4" s="12">
        <f>IF(SUM(AL4:AM4)&gt;0,SUM(AL4:AM4),"")</f>
        <v>99.655000000000001</v>
      </c>
      <c r="AO4" s="12">
        <f>IF(AG4&gt;0,AG4,"")</f>
        <v>13.7</v>
      </c>
      <c r="AP4" s="12">
        <f>IF(SUM(AE4:AH4)-AI4&gt;0,SUM(AE4:AH4)-AI4,"")</f>
        <v>52.929999999999993</v>
      </c>
      <c r="AQ4" s="12">
        <f>IF(SUM(AN4,AP4)&gt;0,SUM(AN4,AP4),"")</f>
        <v>152.58499999999998</v>
      </c>
      <c r="AR4" s="57">
        <v>17.100000000000001</v>
      </c>
      <c r="AS4" s="57">
        <v>9.3000000000000007</v>
      </c>
      <c r="AT4" s="57">
        <v>3.9</v>
      </c>
      <c r="AU4" s="57">
        <v>17.555</v>
      </c>
      <c r="AV4" s="57">
        <v>0</v>
      </c>
      <c r="AW4" s="57">
        <v>14.5</v>
      </c>
      <c r="AX4" s="57">
        <v>9.35</v>
      </c>
      <c r="AY4" s="57">
        <v>14.3</v>
      </c>
      <c r="AZ4" s="57">
        <v>16.75</v>
      </c>
      <c r="BA4" s="57">
        <v>0</v>
      </c>
      <c r="BB4" s="57">
        <v>14.2</v>
      </c>
      <c r="BC4" s="57">
        <v>8.75</v>
      </c>
      <c r="BD4" s="57">
        <v>14.3</v>
      </c>
      <c r="BE4" s="57">
        <v>16.53</v>
      </c>
      <c r="BF4" s="57">
        <v>0</v>
      </c>
      <c r="BG4" s="75"/>
      <c r="BH4" s="15">
        <f>IF(AY4&gt;0,AY4,"")</f>
        <v>14.3</v>
      </c>
      <c r="BI4" s="15">
        <f>IF(SUM(AR4:AU4)-AV4&gt;0,SUM(AR4:AU4)-AV4,"")</f>
        <v>47.855000000000004</v>
      </c>
      <c r="BJ4" s="15">
        <f>IF(SUM(AW4:AZ4)-BA4&gt;0,SUM(AW4:AZ4)-BA4,"")</f>
        <v>54.900000000000006</v>
      </c>
      <c r="BK4" s="15">
        <f>IF(SUM(BI4:BJ4)&gt;0,SUM(BI4:BJ4),"")</f>
        <v>102.75500000000001</v>
      </c>
      <c r="BL4" s="15">
        <f>IF(BD4&gt;0,BD4,"")</f>
        <v>14.3</v>
      </c>
      <c r="BM4" s="15">
        <f>IF(SUM(BB4:BE4)-BF4&gt;0,SUM(BB4:BE4)-BF4,"")</f>
        <v>53.78</v>
      </c>
      <c r="BN4" s="15">
        <f>IF(SUM(BK4,BM4)&gt;0,SUM(BK4,BM4),"")</f>
        <v>156.53500000000003</v>
      </c>
      <c r="BO4" s="24" t="str">
        <f>IF(MAX(CI4,DE4,EA4,EW4,FS4,GO4,HK4,IG4,JC4,JY4,KU4,LQ4)-IF(L4="",0,L4)&gt;0.001,MAX(CI4,DE4,EA4,EW4,FS4,GO4,HK4,IG4,JC4,JY4,KU4,LQ4)-IF(L4="",0,L4),"")</f>
        <v/>
      </c>
      <c r="BP4" s="24" t="str">
        <f>IF(MAX(CJ4,DF4,EB4,EX4,FT4,GP4,HL4,IH4,JD4,JZ4,KV4,LR4)-IF(N4="",0,N4)&gt;0.001,MAX(CJ4,DF4,EB4,EX4,FT4,GP4,HL4,IH4,JD4,JZ4,KV4,LR4)-IF(N4="",0,N4),"")</f>
        <v/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>
        <v>16</v>
      </c>
      <c r="BT4" s="36">
        <v>9.4</v>
      </c>
      <c r="BU4" s="36">
        <v>0</v>
      </c>
      <c r="BV4" s="36">
        <v>17.11</v>
      </c>
      <c r="BW4" s="36">
        <v>0</v>
      </c>
      <c r="BX4" s="36">
        <v>1.2</v>
      </c>
      <c r="BY4" s="36">
        <v>0.9</v>
      </c>
      <c r="BZ4" s="36">
        <v>1.7</v>
      </c>
      <c r="CA4" s="36">
        <v>1.79</v>
      </c>
      <c r="CB4" s="36">
        <v>0</v>
      </c>
      <c r="CC4" s="36"/>
      <c r="CD4" s="36"/>
      <c r="CE4" s="36"/>
      <c r="CF4" s="36"/>
      <c r="CG4" s="36"/>
      <c r="CH4" s="12">
        <f>IF(BZ4&gt;0,BZ4,"")</f>
        <v>1.7</v>
      </c>
      <c r="CI4" s="12">
        <f>IF(SUM(BS4:BV4)-BW4&gt;0,SUM(BS4:BV4)-BW4,"")</f>
        <v>42.51</v>
      </c>
      <c r="CJ4" s="12">
        <f>IF(SUM(BX4:CA4)-CB4&gt;0,SUM(BX4:CA4)-CB4,"")</f>
        <v>5.59</v>
      </c>
      <c r="CK4" s="12">
        <f>IF(SUM(CI4:CJ4)&gt;0,SUM(CI4:CJ4),"")</f>
        <v>48.099999999999994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48.099999999999994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17</v>
      </c>
      <c r="LX4" s="63">
        <f t="shared" si="0"/>
        <v>9.2750000000000004</v>
      </c>
      <c r="LY4" s="63">
        <f t="shared" si="0"/>
        <v>4</v>
      </c>
      <c r="LZ4" s="63">
        <f t="shared" si="0"/>
        <v>17.177500000000002</v>
      </c>
      <c r="MA4" s="63">
        <f t="shared" si="0"/>
        <v>0</v>
      </c>
      <c r="MB4" s="63">
        <f t="shared" si="0"/>
        <v>14.2</v>
      </c>
      <c r="MC4" s="63">
        <f t="shared" si="0"/>
        <v>9.2749999999999986</v>
      </c>
      <c r="MD4" s="63">
        <f t="shared" si="0"/>
        <v>14</v>
      </c>
      <c r="ME4" s="63">
        <f t="shared" si="0"/>
        <v>16.2775</v>
      </c>
      <c r="MF4" s="63">
        <f t="shared" si="0"/>
        <v>0</v>
      </c>
      <c r="MG4" s="63">
        <f t="shared" si="0"/>
        <v>14.05</v>
      </c>
      <c r="MH4" s="63">
        <f t="shared" si="0"/>
        <v>8.875</v>
      </c>
      <c r="MI4" s="63">
        <f t="shared" si="0"/>
        <v>14</v>
      </c>
      <c r="MJ4" s="63">
        <f t="shared" si="0"/>
        <v>16.43</v>
      </c>
      <c r="MK4" s="63">
        <f t="shared" si="0"/>
        <v>0</v>
      </c>
      <c r="ML4" s="74" t="s">
        <v>116</v>
      </c>
      <c r="MM4" s="12">
        <f t="shared" ref="MM4" si="1">IF(MD4&gt;0,MD4,"")</f>
        <v>14</v>
      </c>
      <c r="MN4" s="12">
        <f t="shared" ref="MN4" si="2">IF(SUM(LW4:LZ4)-MA4&gt;0,SUM(LW4:LZ4)-MA4,"")</f>
        <v>47.452500000000001</v>
      </c>
      <c r="MO4" s="12">
        <f t="shared" ref="MO4" si="3">IF(SUM(MB4:ME4)-MF4&gt;0,SUM(MB4:ME4)-MF4,"")</f>
        <v>53.752499999999998</v>
      </c>
      <c r="MP4" s="12">
        <f t="shared" ref="MP4" si="4">IF(SUM(MN4:MO4)&gt;0,SUM(MN4:MO4),"")</f>
        <v>101.205</v>
      </c>
      <c r="MQ4" s="12">
        <f>IF(MI4&gt;0,MI4,"")</f>
        <v>14</v>
      </c>
      <c r="MR4" s="12">
        <f t="shared" ref="MR4" si="5">IF(SUM(MG4:MJ4)-MK4&gt;0,SUM(MG4:MJ4)-MK4,"")</f>
        <v>53.354999999999997</v>
      </c>
      <c r="MS4" s="12">
        <f t="shared" ref="MS4" si="6">IF(SUM(MP4,MR4)&gt;0,SUM(MP4,MR4),"")</f>
        <v>154.56</v>
      </c>
    </row>
    <row r="5" spans="1:357" x14ac:dyDescent="0.2">
      <c r="A5" s="6">
        <f>IF(AND(F5="P",H5="P"),SUMPRODUCT((F$4:F$24="P")*(H$4:H$24="P")*(E$4:E$24&gt;E5))+1,IF(H5="P",SUMPRODUCT((F$4:F$24="")*(H$4:H$24="P")*(E$4:E$24&gt;E5))+1+SUMPRODUCT((F$4:F$24="P")*(H$4:H$24="P")),""))</f>
        <v>2</v>
      </c>
      <c r="B5" s="7" t="s">
        <v>75</v>
      </c>
      <c r="C5" s="8" t="s">
        <v>5</v>
      </c>
      <c r="D5" s="8">
        <v>2003</v>
      </c>
      <c r="E5" s="16">
        <f>SUM(J5:R5)</f>
        <v>250.02500000000003</v>
      </c>
      <c r="F5" s="4" t="str">
        <f>IF(OR(AND($AK5&gt;=$AL$26,NOT($AK5=""),$AJ5=""),AND($BH5&gt;=$BI$26,NOT($BH5=""),$BG5=""),AND($CH5&gt;=$CI$26,NOT($CH5="")),AND($DD5&gt;=$DE$26,NOT($DD5="")),AND($DZ5&gt;=$EA$26,NOT($DZ5="")),AND($EV5&gt;=$EW$26,NOT($EV5="")),AND($FR5&gt;=$FS$26,NOT($FR5="")),AND($GN5&gt;=$GO$26,NOT($GN5="")),AND($HJ5&gt;=$HK$26,NOT($HJ5="")),AND($IF5&gt;=$IG$26,NOT($IF5="")),AND($JB5&gt;=$JC$26,NOT($JB5="")),AND($JX5&gt;=$JY$26,NOT($JX5="")),AND($KT5&gt;=$KU$26,NOT($KT5="")),AND($LP5&gt;=$LQ$26,NOT($LP5="")),AND($AO5&gt;=$AL$26,NOT($AO5=""),$AJ5=""),AND($BL5&gt;=$BI$26,NOT($BL5=""),$BG5=""),AND($CL5&gt;=$CI$26,NOT($CL5="")),AND($DH5&gt;=$DE$26,NOT($DH5="")),AND($ED5&gt;=$EA$26,NOT($ED5="")),AND($EZ5&gt;=$EW$26,NOT($EZ5="")),AND($FV5&gt;=$FS$26,NOT($FV5="")),AND($GR5&gt;=$GO$26,NOT($GR5="")),AND($HN5&gt;=$HK$26,NOT($HN5="")),AND($IJ5&gt;=$IG$26,NOT($IJ5="")),AND($JF5&gt;=$JC$26,NOT($JF5="")),AND($KB5&gt;=$JY$26,NOT($KB5="")),AND($KX5&gt;=$KU$26,NOT($KX5="")),AND($LT5&gt;=$LQ$26,NOT($LT5=""))),"P","")</f>
        <v>P</v>
      </c>
      <c r="G5" s="4" t="str">
        <f>IF(OR(AND($AK5&gt;=$AL$27,NOT($AK5=""),$AJ5=""),AND($BH5&gt;=$BI$27,NOT($BH5=""),$BG5=""),AND($CH5&gt;=$CI$27,NOT($CH5="")),AND($DD5&gt;=$DE$27,NOT($DD5="")),AND($DZ5&gt;=$EA$27,NOT($DZ5="")),AND($EV5&gt;=$EW$27,NOT($EV5="")),AND($FR5&gt;=$FS$27,NOT($FR5="")),AND($GN5&gt;=$GO$27,NOT($GN5="")),AND($HJ5&gt;=$HK$27,NOT($HJ5="")),AND($IF5&gt;=$IG$27,NOT($IF5="")),AND($JB5&gt;=$JC$27,NOT($JB5="")),AND($JX5&gt;=$JY$27,NOT($JX5="")),AND($KT5&gt;=$KU$27,NOT($KT5="")),AND($LP5&gt;=$LQ$27,NOT($LP5="")),AND($AO5&gt;=$AL$27,NOT($AO5=""),$AJ5=""),AND($BL5&gt;=$BI$27,NOT($BL5=""),$BG5=""),AND($CL5&gt;=$CI$27,NOT($CL5="")),AND($DH5&gt;=$DE$27,NOT($DH5="")),AND($ED5&gt;=$EA$27,NOT($ED5="")),AND($EZ5&gt;=$EW$27,NOT($EZ5="")),AND($FV5&gt;=$FS$27,NOT($FV5="")),AND($GR5&gt;=$GO$27,NOT($GR5="")),AND($HN5&gt;=$HK$27,NOT($HN5="")),AND($IJ5&gt;=$IG$27,NOT($IJ5="")),AND($JF5&gt;=$JC$27,NOT($JF5="")),AND($KB5&gt;=$JY$27,NOT($KB5="")),AND($KX5&gt;=$KU$27,NOT($KX5="")),AND($LT5&gt;=$LQ$27,NOT($LT5=""))),"P","")</f>
        <v>P</v>
      </c>
      <c r="H5" s="4" t="str">
        <f>IF(OR(AND($AN5&gt;=$AL$28,NOT($AN5=""),$AJ5=""),AND($BK5&gt;=$BI$28,NOT($BK5=""),$BG5=""),AND($CK5&gt;=$CI$28,NOT($CK5="")),AND($DG5&gt;=$DE$28,NOT($DG5="")),AND($EC5&gt;=$EA$28,NOT($EC5="")),AND($EY5&gt;=$EW$28,NOT($EY5="")),AND($FU5&gt;=$FS$28,NOT($FU5="")),AND($GQ5&gt;=$GO$28,NOT($GQ5="")),AND($HM5&gt;=$HK$28,NOT($HM5="")),AND($II5&gt;=$IG$28,NOT($II5="")),AND($JE5&gt;=$JC$28,NOT($JE5="")),AND($KA5&gt;=$JY$28,NOT($KA5="")),AND($KW5&gt;=$KU$28,NOT($KW5="")),AND($LS5&gt;=$LQ$28,NOT($LS5=""))),"P","")</f>
        <v>P</v>
      </c>
      <c r="I5" t="str">
        <f>IF(AND(H5="P",F5=""),"No DD",IF(AND(G5="P",OR(AND($AM5&gt;$AL$31,NOT($AM5=""),$AJ5=""),AND($AP5&gt;$AL$31,NOT($AP5=""),$AJ5=""),AND($BJ5&gt;$BI$31,NOT($BJ5=""),$BG5=""),AND($BM5&gt;$BI$31,NOT($BM5=""),$BG5=""),AND($CJ5&gt;$CI$31,NOT($CJ5="")),AND($CM5&gt;$CI$31,NOT($CM5="")),AND($DF5&gt;$DE$31,NOT($DF5="")),AND($DI5&gt;$DE$31,NOT($DI5="")),AND($EB5&gt;$EA$31,NOT($EB5="")),AND($EE5&gt;$EA$31,NOT($EE5="")),AND($EX5&gt;$EW$31,NOT($EX5="")),AND($FA5&gt;$EW$31,NOT($FA5="")),AND($FT5&gt;$FS$31,NOT($FT5="")),AND($FW5&gt;$FS$31,NOT($FW5="")),AND($GP5&gt;$GO$31,NOT($GP5="")),AND($GS5&gt;$GO$31,NOT($GS5="")),AND($HL5&gt;$HK$31,NOT($HL5="")),AND($HO5&gt;$HK$31,NOT($HO5="")),AND($IH5&gt;$IG$31,NOT($IH5="")),AND($IK5&gt;$IG$31,NOT($IK5="")),AND($JD5&gt;$JC$31,NOT($JD5="")),AND($JG5&gt;$JC$31,NOT($JG5="")),AND($JZ5&gt;$JY$31,NOT($JZ5="")),AND($KC5&gt;$JY$31,NOT($KC5="")),AND($KV5&gt;$KU$31,NOT($KV5="")),AND($KY5&gt;$KU$31,NOT($KY5="")),AND($LR5&gt;$LQ$31,NOT($LR5="")),AND($LU5&gt;$LQ$31,NOT($LU5="")))),"Merit",IF(AND(G5="P",OR(AND($AN5&gt;$AL$30,NOT($AN5=""),$AJ5=""),AND($BK5&gt;$BI$30,NOT($BK5=""),$BG5=""),AND($CK5&gt;$CI$30,NOT($CK5="")),AND($DG5&gt;$DE$30,NOT($DG5="")),AND($EC5&gt;$EA$30,NOT($EC5="")),AND($EY5&gt;$EW$30,NOT($EY5="")),AND($FU5&gt;$FS$30,NOT($FU5="")),AND($GQ5&gt;$GO$30,NOT($GQ5="")),AND($HM5&gt;$HK$30,NOT($HM5="")),AND($II5&gt;$IG$30,NOT($II5="")),AND($JE5&gt;$JC$30,NOT($JE5="")),AND($KA5&gt;$JY$30,NOT($KA5="")),AND($KW5&gt;$KU$30,NOT($KW5="")),AND($LS5&gt;$LQ$30,NOT($LS5="")))),"Excellence",IF(AND(G5="P",OR(AND($AN5&gt;$AL$29,NOT($AN5=""),$AJ5=""),AND($BK5&gt;$BI$29,NOT($BK5=""),$BG5=""),AND($CK5&gt;$CI$29,NOT($CK5="")),AND($DG5&gt;$DE$29,NOT($DG5="")),AND($EC5&gt;$EA$29,NOT($EC5="")),AND($EY5&gt;$EW$29,NOT($EY5="")),AND($FU5&gt;$FS$29,NOT($FU5="")),AND($GQ5&gt;$GO$29,NOT($GQ5="")),AND($HM5&gt;$HK$29,NOT($HM5="")),AND($II5&gt;$IG$29,NOT($II5="")),AND($JE5&gt;$JC$29,NOT($JE5="")),AND($KA5&gt;$JY$29,NOT($KA5="")),AND($KW5&gt;$KU$29,NOT($KW5="")),AND($LS5&gt;$LQ$29,NOT($LS5="")))),"Worlds Team",IF(AND(F5="P",OR(AND($AN5&gt;$AL$28,NOT($AN5=""),$AJ5=""),AND($BK5&gt;$BI$28,NOT($BK5=""),$BG5=""),AND($CK5&gt;$CI$28,NOT($CK5="")),AND($DG5&gt;$DE$28,NOT($DG5="")),AND($EC5&gt;$EA$28,NOT($EC5="")),AND($EY5&gt;$EW$28,NOT($EY5="")),AND($FU5&gt;$FS$28,NOT($FU5="")),AND($GQ5&gt;$GO$28,NOT($GQ5="")),AND($HM5&gt;$HK$28,NOT($HM5="")),AND($II5&gt;$IG$28,NOT($II5="")),AND($JE5&gt;$JC$28,NOT($JE5="")),AND($KA5&gt;$JY$28,NOT($KA5="")),AND($KW5&gt;$KU$28,NOT($KW5="")),AND($LS5&gt;$LQ$28,NOT($LS5="")))),"National Team","")))))</f>
        <v>National Team</v>
      </c>
      <c r="J5" s="15">
        <f>IF(MAX(AN5,BK5)&gt;0,MAX(AN5,BK5),"")</f>
        <v>99.2</v>
      </c>
      <c r="K5" s="15" t="str">
        <f>IF(J5="","",IF(J5=BK5,$AR$1,IF(J5=AN5,$U$1,"")))</f>
        <v>2019 Elite Canada</v>
      </c>
      <c r="L5" s="15">
        <f>IF($J5=$AN5,BI5,IF($J5=$BK5,AL5,MAX(AL5,BI5)))</f>
        <v>45.96</v>
      </c>
      <c r="M5" s="15" t="str">
        <f>IF(L5="","",IF(AND(L5=BI5,$K5&lt;&gt;$AR$1),$AR$1,IF(AND(L5=AL5,$K5&lt;&gt;$U$1),$U$1,"")))</f>
        <v>2018 Nationals</v>
      </c>
      <c r="N5" s="15">
        <f>IF($J5=$AN5,BJ5,IF($J5=$BK5,AM5,MAX(AM5,BJ5)))</f>
        <v>51.95</v>
      </c>
      <c r="O5" s="15" t="str">
        <f>IF(N5="","",IF(AND(N5=BJ5,$K5&lt;&gt;$AR$1),$AR$1,IF(AND(N5=AM5,$K5&lt;&gt;$U$1),$U$1,"")))</f>
        <v>2018 Nationals</v>
      </c>
      <c r="P5" s="15">
        <f>IF(MAX(AP5,BM5)&gt;0,MAX(AP5,BM5),"")</f>
        <v>52.915000000000006</v>
      </c>
      <c r="Q5" s="15" t="str">
        <f>IF(P5="","",IF(P5=BM5,$AR$1,IF(P5=AP5,$U$1,"")))</f>
        <v>2019 Elite Canada</v>
      </c>
      <c r="R5" s="15" t="str">
        <f>IF(MAX(BO5,BP5,BQ5,BR5)&gt;0,MAX(BO5,BP5,BQ5,BR5),"")</f>
        <v/>
      </c>
      <c r="S5" s="25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63">
        <v>16.8</v>
      </c>
      <c r="V5" s="63">
        <v>9.6</v>
      </c>
      <c r="W5" s="63">
        <v>4.5</v>
      </c>
      <c r="X5" s="63">
        <v>15.06</v>
      </c>
      <c r="Y5" s="63">
        <v>0</v>
      </c>
      <c r="Z5" s="63">
        <v>14.5</v>
      </c>
      <c r="AA5" s="63">
        <v>9.0500000000000007</v>
      </c>
      <c r="AB5" s="63">
        <v>13.7</v>
      </c>
      <c r="AC5" s="63">
        <v>14.7</v>
      </c>
      <c r="AD5" s="63">
        <v>0</v>
      </c>
      <c r="AE5" s="63">
        <v>15.1</v>
      </c>
      <c r="AF5" s="63">
        <v>9.1999999999999993</v>
      </c>
      <c r="AG5" s="63">
        <v>13.7</v>
      </c>
      <c r="AH5" s="63">
        <v>14.475</v>
      </c>
      <c r="AI5" s="63">
        <v>0</v>
      </c>
      <c r="AJ5" s="74"/>
      <c r="AK5" s="12">
        <f>IF(AB5&gt;0,AB5,"")</f>
        <v>13.7</v>
      </c>
      <c r="AL5" s="12">
        <f>IF(SUM(U5:X5)-Y5&gt;0,SUM(U5:X5)-Y5,"")</f>
        <v>45.96</v>
      </c>
      <c r="AM5" s="12">
        <f>IF(SUM(Z5:AC5)-AD5&gt;0,SUM(Z5:AC5)-AD5,"")</f>
        <v>51.95</v>
      </c>
      <c r="AN5" s="12">
        <f>IF(SUM(AL5:AM5)&gt;0,SUM(AL5:AM5),"")</f>
        <v>97.91</v>
      </c>
      <c r="AO5" s="12">
        <f>IF(AG5&gt;0,AG5,"")</f>
        <v>13.7</v>
      </c>
      <c r="AP5" s="12">
        <f>IF(SUM(AE5:AH5)-AI5&gt;0,SUM(AE5:AH5)-AI5,"")</f>
        <v>52.475000000000001</v>
      </c>
      <c r="AQ5" s="12">
        <f>IF(SUM(AN5,AP5)&gt;0,SUM(AN5,AP5),"")</f>
        <v>150.38499999999999</v>
      </c>
      <c r="AR5" s="69">
        <v>16.600000000000001</v>
      </c>
      <c r="AS5" s="69">
        <v>9.3000000000000007</v>
      </c>
      <c r="AT5" s="69">
        <v>4.5999999999999996</v>
      </c>
      <c r="AU5" s="69">
        <v>15.82</v>
      </c>
      <c r="AV5" s="69">
        <v>0</v>
      </c>
      <c r="AW5" s="69">
        <v>14</v>
      </c>
      <c r="AX5" s="69">
        <v>9.1999999999999993</v>
      </c>
      <c r="AY5" s="69">
        <v>14.3</v>
      </c>
      <c r="AZ5" s="69">
        <v>15.38</v>
      </c>
      <c r="BA5" s="69">
        <v>0</v>
      </c>
      <c r="BB5" s="69">
        <v>15.1</v>
      </c>
      <c r="BC5" s="69">
        <v>9.1</v>
      </c>
      <c r="BD5" s="69">
        <v>13.5</v>
      </c>
      <c r="BE5" s="69">
        <v>15.215</v>
      </c>
      <c r="BF5" s="69">
        <v>0</v>
      </c>
      <c r="BG5" s="75"/>
      <c r="BH5" s="15">
        <f>IF(AY5&gt;0,AY5,"")</f>
        <v>14.3</v>
      </c>
      <c r="BI5" s="15">
        <f>IF(SUM(AR5:AU5)-AV5&gt;0,SUM(AR5:AU5)-AV5,"")</f>
        <v>46.32</v>
      </c>
      <c r="BJ5" s="15">
        <f>IF(SUM(AW5:AZ5)-BA5&gt;0,SUM(AW5:AZ5)-BA5,"")</f>
        <v>52.88</v>
      </c>
      <c r="BK5" s="15">
        <f>IF(SUM(BI5:BJ5)&gt;0,SUM(BI5:BJ5),"")</f>
        <v>99.2</v>
      </c>
      <c r="BL5" s="15">
        <f>IF(BD5&gt;0,BD5,"")</f>
        <v>13.5</v>
      </c>
      <c r="BM5" s="15">
        <f>IF(SUM(BB5:BE5)-BF5&gt;0,SUM(BB5:BE5)-BF5,"")</f>
        <v>52.915000000000006</v>
      </c>
      <c r="BN5" s="15">
        <f>IF(SUM(BK5,BM5)&gt;0,SUM(BK5,BM5),"")</f>
        <v>152.11500000000001</v>
      </c>
      <c r="BO5" s="24" t="str">
        <f>IF(MAX(CI5,DE5,EA5,EW5,FS5,GO5,HK5,IG5,JC5,JY5,KU5,LQ5)-IF(L5="",0,L5)&gt;0.001,MAX(CI5,DE5,EA5,EW5,FS5,GO5,HK5,IG5,JC5,JY5,KU5,LQ5)-IF(L5="",0,L5),"")</f>
        <v/>
      </c>
      <c r="BP5" s="24" t="str">
        <f>IF(MAX(CJ5,DF5,EB5,EX5,FT5,GP5,HL5,IH5,JD5,JZ5,KV5,LR5)-IF(N5="",0,N5)&gt;0.001,MAX(CJ5,DF5,EB5,EX5,FT5,GP5,HL5,IH5,JD5,JZ5,KV5,LR5)-IF(N5="",0,N5),"")</f>
        <v/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>
        <v>17.2</v>
      </c>
      <c r="BT5" s="36">
        <v>9.3000000000000007</v>
      </c>
      <c r="BU5" s="36">
        <v>0</v>
      </c>
      <c r="BV5" s="36">
        <v>15.125</v>
      </c>
      <c r="BW5" s="36">
        <v>0</v>
      </c>
      <c r="BX5" s="36">
        <v>13.7</v>
      </c>
      <c r="BY5" s="36">
        <v>8.9</v>
      </c>
      <c r="BZ5" s="36">
        <v>13.1</v>
      </c>
      <c r="CA5" s="36">
        <v>14.51</v>
      </c>
      <c r="CB5" s="36">
        <v>0</v>
      </c>
      <c r="CC5" s="36"/>
      <c r="CD5" s="36"/>
      <c r="CE5" s="36"/>
      <c r="CF5" s="36"/>
      <c r="CG5" s="36"/>
      <c r="CH5" s="12">
        <f>IF(BZ5&gt;0,BZ5,"")</f>
        <v>13.1</v>
      </c>
      <c r="CI5" s="12">
        <f>IF(SUM(BS5:BV5)-BW5&gt;0,SUM(BS5:BV5)-BW5,"")</f>
        <v>41.625</v>
      </c>
      <c r="CJ5" s="12">
        <f>IF(SUM(BX5:CA5)-CB5&gt;0,SUM(BX5:CA5)-CB5,"")</f>
        <v>50.21</v>
      </c>
      <c r="CK5" s="12">
        <f>IF(SUM(CI5:CJ5)&gt;0,SUM(CI5:CJ5),"")</f>
        <v>91.835000000000008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91.835000000000008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23" si="7">IF($BG5="P",AR5,(U5+AR5)/2)</f>
        <v>16.700000000000003</v>
      </c>
      <c r="LX5" s="63">
        <f t="shared" ref="LX5:LX23" si="8">IF($BG5="P",AS5,(V5+AS5)/2)</f>
        <v>9.4499999999999993</v>
      </c>
      <c r="LY5" s="63">
        <f t="shared" ref="LY5:LY23" si="9">IF($BG5="P",AT5,(W5+AT5)/2)</f>
        <v>4.55</v>
      </c>
      <c r="LZ5" s="63">
        <f t="shared" ref="LZ5:LZ23" si="10">IF($BG5="P",AU5,(X5+AU5)/2)</f>
        <v>15.440000000000001</v>
      </c>
      <c r="MA5" s="63">
        <f t="shared" ref="MA5:MA23" si="11">IF($BG5="P",AV5,(Y5+AV5)/2)</f>
        <v>0</v>
      </c>
      <c r="MB5" s="63">
        <f t="shared" ref="MB5:MB23" si="12">IF($BG5="P",AW5,(Z5+AW5)/2)</f>
        <v>14.25</v>
      </c>
      <c r="MC5" s="63">
        <f t="shared" ref="MC5:MC23" si="13">IF($BG5="P",AX5,(AA5+AX5)/2)</f>
        <v>9.125</v>
      </c>
      <c r="MD5" s="63">
        <f t="shared" ref="MD5:MD23" si="14">IF($BG5="P",AY5,(AB5+AY5)/2)</f>
        <v>14</v>
      </c>
      <c r="ME5" s="63">
        <f t="shared" ref="ME5:ME23" si="15">IF($BG5="P",AZ5,(AC5+AZ5)/2)</f>
        <v>15.04</v>
      </c>
      <c r="MF5" s="63">
        <f t="shared" ref="MF5:MF23" si="16">IF($BG5="P",BA5,(AD5+BA5)/2)</f>
        <v>0</v>
      </c>
      <c r="MG5" s="63">
        <f t="shared" ref="MG5:MG23" si="17">IF($BG5="P",BB5,(AE5+BB5)/2)</f>
        <v>15.1</v>
      </c>
      <c r="MH5" s="63">
        <f t="shared" ref="MH5:MH23" si="18">IF($BG5="P",BC5,(AF5+BC5)/2)</f>
        <v>9.1499999999999986</v>
      </c>
      <c r="MI5" s="63">
        <f t="shared" ref="MI5:MI23" si="19">IF($BG5="P",BD5,(AG5+BD5)/2)</f>
        <v>13.6</v>
      </c>
      <c r="MJ5" s="63">
        <f t="shared" ref="MJ5:MJ23" si="20">IF($BG5="P",BE5,(AH5+BE5)/2)</f>
        <v>14.844999999999999</v>
      </c>
      <c r="MK5" s="63">
        <f t="shared" ref="MK5:MK23" si="21">IF($BG5="P",BF5,(AI5+BF5)/2)</f>
        <v>0</v>
      </c>
      <c r="ML5" s="74" t="s">
        <v>116</v>
      </c>
      <c r="MM5" s="12">
        <f t="shared" ref="MM5:MM21" si="22">IF(MD5&gt;0,MD5,"")</f>
        <v>14</v>
      </c>
      <c r="MN5" s="12">
        <f t="shared" ref="MN5:MN21" si="23">IF(SUM(LW5:LZ5)-MA5&gt;0,SUM(LW5:LZ5)-MA5,"")</f>
        <v>46.14</v>
      </c>
      <c r="MO5" s="12">
        <f t="shared" ref="MO5:MO21" si="24">IF(SUM(MB5:ME5)-MF5&gt;0,SUM(MB5:ME5)-MF5,"")</f>
        <v>52.414999999999999</v>
      </c>
      <c r="MP5" s="12">
        <f t="shared" ref="MP5:MP21" si="25">IF(SUM(MN5:MO5)&gt;0,SUM(MN5:MO5),"")</f>
        <v>98.555000000000007</v>
      </c>
      <c r="MQ5" s="12">
        <f t="shared" ref="MQ5:MQ23" si="26">IF(MI5&gt;0,MI5,"")</f>
        <v>13.6</v>
      </c>
      <c r="MR5" s="12">
        <f t="shared" ref="MR5:MR21" si="27">IF(SUM(MG5:MJ5)-MK5&gt;0,SUM(MG5:MJ5)-MK5,"")</f>
        <v>52.695</v>
      </c>
      <c r="MS5" s="12">
        <f t="shared" ref="MS5:MS21" si="28">IF(SUM(MP5,MR5)&gt;0,SUM(MP5,MR5),"")</f>
        <v>151.25</v>
      </c>
    </row>
    <row r="6" spans="1:357" x14ac:dyDescent="0.2">
      <c r="A6" s="6" t="str">
        <f>IF(AND(F6="P",H6="P"),SUMPRODUCT((F$4:F$24="P")*(H$4:H$24="P")*(E$4:E$24&gt;E6))+1,IF(H6="P",SUMPRODUCT((F$4:F$24="")*(H$4:H$24="P")*(E$4:E$24&gt;E6))+1+SUMPRODUCT((F$4:F$24="P")*(H$4:H$24="P")),""))</f>
        <v/>
      </c>
      <c r="B6" s="9" t="s">
        <v>81</v>
      </c>
      <c r="C6" s="5" t="s">
        <v>5</v>
      </c>
      <c r="D6" s="27">
        <v>2001</v>
      </c>
      <c r="E6" s="16">
        <f>SUM(J6:R6)</f>
        <v>243.24</v>
      </c>
      <c r="F6" s="4" t="str">
        <f>IF(OR(AND($AK6&gt;=$AL$26,NOT($AK6=""),$AJ6=""),AND($BH6&gt;=$BI$26,NOT($BH6=""),$BG6=""),AND($CH6&gt;=$CI$26,NOT($CH6="")),AND($DD6&gt;=$DE$26,NOT($DD6="")),AND($DZ6&gt;=$EA$26,NOT($DZ6="")),AND($EV6&gt;=$EW$26,NOT($EV6="")),AND($FR6&gt;=$FS$26,NOT($FR6="")),AND($GN6&gt;=$GO$26,NOT($GN6="")),AND($HJ6&gt;=$HK$26,NOT($HJ6="")),AND($IF6&gt;=$IG$26,NOT($IF6="")),AND($JB6&gt;=$JC$26,NOT($JB6="")),AND($JX6&gt;=$JY$26,NOT($JX6="")),AND($KT6&gt;=$KU$26,NOT($KT6="")),AND($LP6&gt;=$LQ$26,NOT($LP6="")),AND($AO6&gt;=$AL$26,NOT($AO6=""),$AJ6=""),AND($BL6&gt;=$BI$26,NOT($BL6=""),$BG6=""),AND($CL6&gt;=$CI$26,NOT($CL6="")),AND($DH6&gt;=$DE$26,NOT($DH6="")),AND($ED6&gt;=$EA$26,NOT($ED6="")),AND($EZ6&gt;=$EW$26,NOT($EZ6="")),AND($FV6&gt;=$FS$26,NOT($FV6="")),AND($GR6&gt;=$GO$26,NOT($GR6="")),AND($HN6&gt;=$HK$26,NOT($HN6="")),AND($IJ6&gt;=$IG$26,NOT($IJ6="")),AND($JF6&gt;=$JC$26,NOT($JF6="")),AND($KB6&gt;=$JY$26,NOT($KB6="")),AND($KX6&gt;=$KU$26,NOT($KX6="")),AND($LT6&gt;=$LQ$26,NOT($LT6=""))),"P","")</f>
        <v>P</v>
      </c>
      <c r="G6" s="4" t="str">
        <f>IF(OR(AND($AK6&gt;=$AL$27,NOT($AK6=""),$AJ6=""),AND($BH6&gt;=$BI$27,NOT($BH6=""),$BG6=""),AND($CH6&gt;=$CI$27,NOT($CH6="")),AND($DD6&gt;=$DE$27,NOT($DD6="")),AND($DZ6&gt;=$EA$27,NOT($DZ6="")),AND($EV6&gt;=$EW$27,NOT($EV6="")),AND($FR6&gt;=$FS$27,NOT($FR6="")),AND($GN6&gt;=$GO$27,NOT($GN6="")),AND($HJ6&gt;=$HK$27,NOT($HJ6="")),AND($IF6&gt;=$IG$27,NOT($IF6="")),AND($JB6&gt;=$JC$27,NOT($JB6="")),AND($JX6&gt;=$JY$27,NOT($JX6="")),AND($KT6&gt;=$KU$27,NOT($KT6="")),AND($LP6&gt;=$LQ$27,NOT($LP6="")),AND($AO6&gt;=$AL$27,NOT($AO6=""),$AJ6=""),AND($BL6&gt;=$BI$27,NOT($BL6=""),$BG6=""),AND($CL6&gt;=$CI$27,NOT($CL6="")),AND($DH6&gt;=$DE$27,NOT($DH6="")),AND($ED6&gt;=$EA$27,NOT($ED6="")),AND($EZ6&gt;=$EW$27,NOT($EZ6="")),AND($FV6&gt;=$FS$27,NOT($FV6="")),AND($GR6&gt;=$GO$27,NOT($GR6="")),AND($HN6&gt;=$HK$27,NOT($HN6="")),AND($IJ6&gt;=$IG$27,NOT($IJ6="")),AND($JF6&gt;=$JC$27,NOT($JF6="")),AND($KB6&gt;=$JY$27,NOT($KB6="")),AND($KX6&gt;=$KU$27,NOT($KX6="")),AND($LT6&gt;=$LQ$27,NOT($LT6=""))),"P","")</f>
        <v>P</v>
      </c>
      <c r="H6" s="4" t="str">
        <f>IF(OR(AND($AN6&gt;=$AL$28,NOT($AN6=""),$AJ6=""),AND($BK6&gt;=$BI$28,NOT($BK6=""),$BG6=""),AND($CK6&gt;=$CI$28,NOT($CK6="")),AND($DG6&gt;=$DE$28,NOT($DG6="")),AND($EC6&gt;=$EA$28,NOT($EC6="")),AND($EY6&gt;=$EW$28,NOT($EY6="")),AND($FU6&gt;=$FS$28,NOT($FU6="")),AND($GQ6&gt;=$GO$28,NOT($GQ6="")),AND($HM6&gt;=$HK$28,NOT($HM6="")),AND($II6&gt;=$IG$28,NOT($II6="")),AND($JE6&gt;=$JC$28,NOT($JE6="")),AND($KA6&gt;=$JY$28,NOT($KA6="")),AND($KW6&gt;=$KU$28,NOT($KW6="")),AND($LS6&gt;=$LQ$28,NOT($LS6=""))),"P","")</f>
        <v/>
      </c>
      <c r="I6" t="str">
        <f>IF(AND(H6="P",F6=""),"No DD",IF(AND(G6="P",OR(AND($AM6&gt;$AL$31,NOT($AM6=""),$AJ6=""),AND($AP6&gt;$AL$31,NOT($AP6=""),$AJ6=""),AND($BJ6&gt;$BI$31,NOT($BJ6=""),$BG6=""),AND($BM6&gt;$BI$31,NOT($BM6=""),$BG6=""),AND($CJ6&gt;$CI$31,NOT($CJ6="")),AND($CM6&gt;$CI$31,NOT($CM6="")),AND($DF6&gt;$DE$31,NOT($DF6="")),AND($DI6&gt;$DE$31,NOT($DI6="")),AND($EB6&gt;$EA$31,NOT($EB6="")),AND($EE6&gt;$EA$31,NOT($EE6="")),AND($EX6&gt;$EW$31,NOT($EX6="")),AND($FA6&gt;$EW$31,NOT($FA6="")),AND($FT6&gt;$FS$31,NOT($FT6="")),AND($FW6&gt;$FS$31,NOT($FW6="")),AND($GP6&gt;$GO$31,NOT($GP6="")),AND($GS6&gt;$GO$31,NOT($GS6="")),AND($HL6&gt;$HK$31,NOT($HL6="")),AND($HO6&gt;$HK$31,NOT($HO6="")),AND($IH6&gt;$IG$31,NOT($IH6="")),AND($IK6&gt;$IG$31,NOT($IK6="")),AND($JD6&gt;$JC$31,NOT($JD6="")),AND($JG6&gt;$JC$31,NOT($JG6="")),AND($JZ6&gt;$JY$31,NOT($JZ6="")),AND($KC6&gt;$JY$31,NOT($KC6="")),AND($KV6&gt;$KU$31,NOT($KV6="")),AND($KY6&gt;$KU$31,NOT($KY6="")),AND($LR6&gt;$LQ$31,NOT($LR6="")),AND($LU6&gt;$LQ$31,NOT($LU6="")))),"Merit",IF(AND(G6="P",OR(AND($AN6&gt;$AL$30,NOT($AN6=""),$AJ6=""),AND($BK6&gt;$BI$30,NOT($BK6=""),$BG6=""),AND($CK6&gt;$CI$30,NOT($CK6="")),AND($DG6&gt;$DE$30,NOT($DG6="")),AND($EC6&gt;$EA$30,NOT($EC6="")),AND($EY6&gt;$EW$30,NOT($EY6="")),AND($FU6&gt;$FS$30,NOT($FU6="")),AND($GQ6&gt;$GO$30,NOT($GQ6="")),AND($HM6&gt;$HK$30,NOT($HM6="")),AND($II6&gt;$IG$30,NOT($II6="")),AND($JE6&gt;$JC$30,NOT($JE6="")),AND($KA6&gt;$JY$30,NOT($KA6="")),AND($KW6&gt;$KU$30,NOT($KW6="")),AND($LS6&gt;$LQ$30,NOT($LS6="")))),"Excellence",IF(AND(G6="P",OR(AND($AN6&gt;$AL$29,NOT($AN6=""),$AJ6=""),AND($BK6&gt;$BI$29,NOT($BK6=""),$BG6=""),AND($CK6&gt;$CI$29,NOT($CK6="")),AND($DG6&gt;$DE$29,NOT($DG6="")),AND($EC6&gt;$EA$29,NOT($EC6="")),AND($EY6&gt;$EW$29,NOT($EY6="")),AND($FU6&gt;$FS$29,NOT($FU6="")),AND($GQ6&gt;$GO$29,NOT($GQ6="")),AND($HM6&gt;$HK$29,NOT($HM6="")),AND($II6&gt;$IG$29,NOT($II6="")),AND($JE6&gt;$JC$29,NOT($JE6="")),AND($KA6&gt;$JY$29,NOT($KA6="")),AND($KW6&gt;$KU$29,NOT($KW6="")),AND($LS6&gt;$LQ$29,NOT($LS6="")))),"Worlds Team",IF(AND(F6="P",OR(AND($AN6&gt;$AL$28,NOT($AN6=""),$AJ6=""),AND($BK6&gt;$BI$28,NOT($BK6=""),$BG6=""),AND($CK6&gt;$CI$28,NOT($CK6="")),AND($DG6&gt;$DE$28,NOT($DG6="")),AND($EC6&gt;$EA$28,NOT($EC6="")),AND($EY6&gt;$EW$28,NOT($EY6="")),AND($FU6&gt;$FS$28,NOT($FU6="")),AND($GQ6&gt;$GO$28,NOT($GQ6="")),AND($HM6&gt;$HK$28,NOT($HM6="")),AND($II6&gt;$IG$28,NOT($II6="")),AND($JE6&gt;$JC$28,NOT($JE6="")),AND($KA6&gt;$JY$28,NOT($KA6="")),AND($KW6&gt;$KU$28,NOT($KW6="")),AND($LS6&gt;$LQ$28,NOT($LS6="")))),"National Team","")))))</f>
        <v/>
      </c>
      <c r="J6" s="15">
        <f>IF(MAX(AN6,BK6)&gt;0,MAX(AN6,BK6),"")</f>
        <v>97.53</v>
      </c>
      <c r="K6" s="15" t="str">
        <f>IF(J6="","",IF(J6=BK6,$AR$1,IF(J6=AN6,$U$1,"")))</f>
        <v>2019 Elite Canada</v>
      </c>
      <c r="L6" s="15">
        <f>IF($J6=$AN6,BI6,IF($J6=$BK6,AL6,MAX(AL6,BI6)))</f>
        <v>45.015000000000001</v>
      </c>
      <c r="M6" s="15" t="str">
        <f>IF(L6="","",IF(AND(L6=BI6,$K6&lt;&gt;$AR$1),$AR$1,IF(AND(L6=AL6,$K6&lt;&gt;$U$1),$U$1,"")))</f>
        <v>2018 Nationals</v>
      </c>
      <c r="N6" s="15">
        <f>IF($J6=$AN6,BJ6,IF($J6=$BK6,AM6,MAX(AM6,BJ6)))</f>
        <v>50.305</v>
      </c>
      <c r="O6" s="15" t="str">
        <f>IF(N6="","",IF(AND(N6=BJ6,$K6&lt;&gt;$AR$1),$AR$1,IF(AND(N6=AM6,$K6&lt;&gt;$U$1),$U$1,"")))</f>
        <v>2018 Nationals</v>
      </c>
      <c r="P6" s="15">
        <f>IF(MAX(AP6,BM6)&gt;0,MAX(AP6,BM6),"")</f>
        <v>50.39</v>
      </c>
      <c r="Q6" s="15" t="str">
        <f>IF(P6="","",IF(P6=BM6,$AR$1,IF(P6=AP6,$U$1,"")))</f>
        <v>2018 Nationals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63">
        <v>16.7</v>
      </c>
      <c r="V6" s="63">
        <v>9.85</v>
      </c>
      <c r="W6" s="63">
        <v>2.7</v>
      </c>
      <c r="X6" s="63">
        <v>15.765000000000001</v>
      </c>
      <c r="Y6" s="63">
        <v>0</v>
      </c>
      <c r="Z6" s="63">
        <v>13.5</v>
      </c>
      <c r="AA6" s="63">
        <v>9</v>
      </c>
      <c r="AB6" s="63">
        <v>13.1</v>
      </c>
      <c r="AC6" s="63">
        <v>14.705</v>
      </c>
      <c r="AD6" s="63">
        <v>0</v>
      </c>
      <c r="AE6" s="63">
        <v>13.4</v>
      </c>
      <c r="AF6" s="63">
        <v>9.15</v>
      </c>
      <c r="AG6" s="63">
        <v>13.1</v>
      </c>
      <c r="AH6" s="63">
        <v>14.74</v>
      </c>
      <c r="AI6" s="63">
        <v>0</v>
      </c>
      <c r="AJ6" s="74"/>
      <c r="AK6" s="12">
        <f>IF(AB6&gt;0,AB6,"")</f>
        <v>13.1</v>
      </c>
      <c r="AL6" s="12">
        <f>IF(SUM(U6:X6)-Y6&gt;0,SUM(U6:X6)-Y6,"")</f>
        <v>45.015000000000001</v>
      </c>
      <c r="AM6" s="12">
        <f>IF(SUM(Z6:AC6)-AD6&gt;0,SUM(Z6:AC6)-AD6,"")</f>
        <v>50.305</v>
      </c>
      <c r="AN6" s="12">
        <f>IF(SUM(AL6:AM6)&gt;0,SUM(AL6:AM6),"")</f>
        <v>95.32</v>
      </c>
      <c r="AO6" s="12">
        <f>IF(AG6&gt;0,AG6,"")</f>
        <v>13.1</v>
      </c>
      <c r="AP6" s="12">
        <f>IF(SUM(AE6:AH6)-AI6&gt;0,SUM(AE6:AH6)-AI6,"")</f>
        <v>50.39</v>
      </c>
      <c r="AQ6" s="12">
        <f>IF(SUM(AN6,AP6)&gt;0,SUM(AN6,AP6),"")</f>
        <v>145.70999999999998</v>
      </c>
      <c r="AR6" s="69">
        <v>15.4</v>
      </c>
      <c r="AS6" s="69">
        <v>9.4499999999999993</v>
      </c>
      <c r="AT6" s="69">
        <v>5</v>
      </c>
      <c r="AU6" s="69">
        <v>15.52</v>
      </c>
      <c r="AV6" s="69">
        <v>0</v>
      </c>
      <c r="AW6" s="69">
        <v>14</v>
      </c>
      <c r="AX6" s="69">
        <v>9.65</v>
      </c>
      <c r="AY6" s="69">
        <v>13.5</v>
      </c>
      <c r="AZ6" s="69">
        <v>15.01</v>
      </c>
      <c r="BA6" s="69">
        <v>0</v>
      </c>
      <c r="BB6" s="69">
        <v>13</v>
      </c>
      <c r="BC6" s="69">
        <v>8.9499999999999993</v>
      </c>
      <c r="BD6" s="69">
        <v>11.9</v>
      </c>
      <c r="BE6" s="69">
        <v>14.755000000000001</v>
      </c>
      <c r="BF6" s="69">
        <v>0</v>
      </c>
      <c r="BG6" s="75"/>
      <c r="BH6" s="15">
        <f>IF(AY6&gt;0,AY6,"")</f>
        <v>13.5</v>
      </c>
      <c r="BI6" s="15">
        <f>IF(SUM(AR6:AU6)-AV6&gt;0,SUM(AR6:AU6)-AV6,"")</f>
        <v>45.370000000000005</v>
      </c>
      <c r="BJ6" s="15">
        <f>IF(SUM(AW6:AZ6)-BA6&gt;0,SUM(AW6:AZ6)-BA6,"")</f>
        <v>52.16</v>
      </c>
      <c r="BK6" s="15">
        <f>IF(SUM(BI6:BJ6)&gt;0,SUM(BI6:BJ6),"")</f>
        <v>97.53</v>
      </c>
      <c r="BL6" s="15">
        <f>IF(BD6&gt;0,BD6,"")</f>
        <v>11.9</v>
      </c>
      <c r="BM6" s="15">
        <f>IF(SUM(BB6:BE6)-BF6&gt;0,SUM(BB6:BE6)-BF6,"")</f>
        <v>48.605000000000004</v>
      </c>
      <c r="BN6" s="15">
        <f>IF(SUM(BK6,BM6)&gt;0,SUM(BK6,BM6),"")</f>
        <v>146.13499999999999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16.05</v>
      </c>
      <c r="LX6" s="63">
        <f t="shared" si="8"/>
        <v>9.6499999999999986</v>
      </c>
      <c r="LY6" s="63">
        <f t="shared" si="9"/>
        <v>3.85</v>
      </c>
      <c r="LZ6" s="63">
        <f t="shared" si="10"/>
        <v>15.6425</v>
      </c>
      <c r="MA6" s="63">
        <f t="shared" si="11"/>
        <v>0</v>
      </c>
      <c r="MB6" s="63">
        <f t="shared" si="12"/>
        <v>13.75</v>
      </c>
      <c r="MC6" s="63">
        <f t="shared" si="13"/>
        <v>9.3249999999999993</v>
      </c>
      <c r="MD6" s="63">
        <f t="shared" si="14"/>
        <v>13.3</v>
      </c>
      <c r="ME6" s="63">
        <f t="shared" si="15"/>
        <v>14.8575</v>
      </c>
      <c r="MF6" s="63">
        <f t="shared" si="16"/>
        <v>0</v>
      </c>
      <c r="MG6" s="63">
        <f t="shared" si="17"/>
        <v>13.2</v>
      </c>
      <c r="MH6" s="63">
        <f t="shared" si="18"/>
        <v>9.0500000000000007</v>
      </c>
      <c r="MI6" s="63">
        <f t="shared" si="19"/>
        <v>12.5</v>
      </c>
      <c r="MJ6" s="63">
        <f t="shared" si="20"/>
        <v>14.7475</v>
      </c>
      <c r="MK6" s="63">
        <f t="shared" si="21"/>
        <v>0</v>
      </c>
      <c r="ML6" s="74" t="s">
        <v>116</v>
      </c>
      <c r="MM6" s="12">
        <f t="shared" si="22"/>
        <v>13.3</v>
      </c>
      <c r="MN6" s="12">
        <f t="shared" si="23"/>
        <v>45.192500000000003</v>
      </c>
      <c r="MO6" s="12">
        <f t="shared" si="24"/>
        <v>51.232500000000002</v>
      </c>
      <c r="MP6" s="12">
        <f t="shared" si="25"/>
        <v>96.425000000000011</v>
      </c>
      <c r="MQ6" s="12">
        <f t="shared" si="26"/>
        <v>12.5</v>
      </c>
      <c r="MR6" s="12">
        <f t="shared" si="27"/>
        <v>49.497500000000002</v>
      </c>
      <c r="MS6" s="12">
        <f t="shared" si="28"/>
        <v>145.92250000000001</v>
      </c>
    </row>
    <row r="7" spans="1:357" x14ac:dyDescent="0.2">
      <c r="A7" s="6" t="str">
        <f>IF(AND(F7="P",H7="P"),SUMPRODUCT((F$4:F$24="P")*(H$4:H$24="P")*(E$4:E$24&gt;E7))+1,IF(H7="P",SUMPRODUCT((F$4:F$24="")*(H$4:H$24="P")*(E$4:E$24&gt;E7))+1+SUMPRODUCT((F$4:F$24="P")*(H$4:H$24="P")),""))</f>
        <v/>
      </c>
      <c r="B7" s="7" t="s">
        <v>85</v>
      </c>
      <c r="C7" s="8" t="s">
        <v>3</v>
      </c>
      <c r="D7" s="27">
        <v>2002</v>
      </c>
      <c r="E7" s="16">
        <f>SUM(J7:R7)</f>
        <v>237.565</v>
      </c>
      <c r="F7" s="4" t="str">
        <f>IF(OR(AND($AK7&gt;=$AL$26,NOT($AK7=""),$AJ7=""),AND($BH7&gt;=$BI$26,NOT($BH7=""),$BG7=""),AND($CH7&gt;=$CI$26,NOT($CH7="")),AND($DD7&gt;=$DE$26,NOT($DD7="")),AND($DZ7&gt;=$EA$26,NOT($DZ7="")),AND($EV7&gt;=$EW$26,NOT($EV7="")),AND($FR7&gt;=$FS$26,NOT($FR7="")),AND($GN7&gt;=$GO$26,NOT($GN7="")),AND($HJ7&gt;=$HK$26,NOT($HJ7="")),AND($IF7&gt;=$IG$26,NOT($IF7="")),AND($JB7&gt;=$JC$26,NOT($JB7="")),AND($JX7&gt;=$JY$26,NOT($JX7="")),AND($KT7&gt;=$KU$26,NOT($KT7="")),AND($LP7&gt;=$LQ$26,NOT($LP7="")),AND($AO7&gt;=$AL$26,NOT($AO7=""),$AJ7=""),AND($BL7&gt;=$BI$26,NOT($BL7=""),$BG7=""),AND($CL7&gt;=$CI$26,NOT($CL7="")),AND($DH7&gt;=$DE$26,NOT($DH7="")),AND($ED7&gt;=$EA$26,NOT($ED7="")),AND($EZ7&gt;=$EW$26,NOT($EZ7="")),AND($FV7&gt;=$FS$26,NOT($FV7="")),AND($GR7&gt;=$GO$26,NOT($GR7="")),AND($HN7&gt;=$HK$26,NOT($HN7="")),AND($IJ7&gt;=$IG$26,NOT($IJ7="")),AND($JF7&gt;=$JC$26,NOT($JF7="")),AND($KB7&gt;=$JY$26,NOT($KB7="")),AND($KX7&gt;=$KU$26,NOT($KX7="")),AND($LT7&gt;=$LQ$26,NOT($LT7=""))),"P","")</f>
        <v>P</v>
      </c>
      <c r="G7" s="4" t="str">
        <f>IF(OR(AND($AK7&gt;=$AL$27,NOT($AK7=""),$AJ7=""),AND($BH7&gt;=$BI$27,NOT($BH7=""),$BG7=""),AND($CH7&gt;=$CI$27,NOT($CH7="")),AND($DD7&gt;=$DE$27,NOT($DD7="")),AND($DZ7&gt;=$EA$27,NOT($DZ7="")),AND($EV7&gt;=$EW$27,NOT($EV7="")),AND($FR7&gt;=$FS$27,NOT($FR7="")),AND($GN7&gt;=$GO$27,NOT($GN7="")),AND($HJ7&gt;=$HK$27,NOT($HJ7="")),AND($IF7&gt;=$IG$27,NOT($IF7="")),AND($JB7&gt;=$JC$27,NOT($JB7="")),AND($JX7&gt;=$JY$27,NOT($JX7="")),AND($KT7&gt;=$KU$27,NOT($KT7="")),AND($LP7&gt;=$LQ$27,NOT($LP7="")),AND($AO7&gt;=$AL$27,NOT($AO7=""),$AJ7=""),AND($BL7&gt;=$BI$27,NOT($BL7=""),$BG7=""),AND($CL7&gt;=$CI$27,NOT($CL7="")),AND($DH7&gt;=$DE$27,NOT($DH7="")),AND($ED7&gt;=$EA$27,NOT($ED7="")),AND($EZ7&gt;=$EW$27,NOT($EZ7="")),AND($FV7&gt;=$FS$27,NOT($FV7="")),AND($GR7&gt;=$GO$27,NOT($GR7="")),AND($HN7&gt;=$HK$27,NOT($HN7="")),AND($IJ7&gt;=$IG$27,NOT($IJ7="")),AND($JF7&gt;=$JC$27,NOT($JF7="")),AND($KB7&gt;=$JY$27,NOT($KB7="")),AND($KX7&gt;=$KU$27,NOT($KX7="")),AND($LT7&gt;=$LQ$27,NOT($LT7=""))),"P","")</f>
        <v>P</v>
      </c>
      <c r="H7" s="4" t="str">
        <f>IF(OR(AND($AN7&gt;=$AL$28,NOT($AN7=""),$AJ7=""),AND($BK7&gt;=$BI$28,NOT($BK7=""),$BG7=""),AND($CK7&gt;=$CI$28,NOT($CK7="")),AND($DG7&gt;=$DE$28,NOT($DG7="")),AND($EC7&gt;=$EA$28,NOT($EC7="")),AND($EY7&gt;=$EW$28,NOT($EY7="")),AND($FU7&gt;=$FS$28,NOT($FU7="")),AND($GQ7&gt;=$GO$28,NOT($GQ7="")),AND($HM7&gt;=$HK$28,NOT($HM7="")),AND($II7&gt;=$IG$28,NOT($II7="")),AND($JE7&gt;=$JC$28,NOT($JE7="")),AND($KA7&gt;=$JY$28,NOT($KA7="")),AND($KW7&gt;=$KU$28,NOT($KW7="")),AND($LS7&gt;=$LQ$28,NOT($LS7=""))),"P","")</f>
        <v/>
      </c>
      <c r="I7" t="str">
        <f>IF(AND(H7="P",F7=""),"No DD",IF(AND(G7="P",OR(AND($AM7&gt;$AL$31,NOT($AM7=""),$AJ7=""),AND($AP7&gt;$AL$31,NOT($AP7=""),$AJ7=""),AND($BJ7&gt;$BI$31,NOT($BJ7=""),$BG7=""),AND($BM7&gt;$BI$31,NOT($BM7=""),$BG7=""),AND($CJ7&gt;$CI$31,NOT($CJ7="")),AND($CM7&gt;$CI$31,NOT($CM7="")),AND($DF7&gt;$DE$31,NOT($DF7="")),AND($DI7&gt;$DE$31,NOT($DI7="")),AND($EB7&gt;$EA$31,NOT($EB7="")),AND($EE7&gt;$EA$31,NOT($EE7="")),AND($EX7&gt;$EW$31,NOT($EX7="")),AND($FA7&gt;$EW$31,NOT($FA7="")),AND($FT7&gt;$FS$31,NOT($FT7="")),AND($FW7&gt;$FS$31,NOT($FW7="")),AND($GP7&gt;$GO$31,NOT($GP7="")),AND($GS7&gt;$GO$31,NOT($GS7="")),AND($HL7&gt;$HK$31,NOT($HL7="")),AND($HO7&gt;$HK$31,NOT($HO7="")),AND($IH7&gt;$IG$31,NOT($IH7="")),AND($IK7&gt;$IG$31,NOT($IK7="")),AND($JD7&gt;$JC$31,NOT($JD7="")),AND($JG7&gt;$JC$31,NOT($JG7="")),AND($JZ7&gt;$JY$31,NOT($JZ7="")),AND($KC7&gt;$JY$31,NOT($KC7="")),AND($KV7&gt;$KU$31,NOT($KV7="")),AND($KY7&gt;$KU$31,NOT($KY7="")),AND($LR7&gt;$LQ$31,NOT($LR7="")),AND($LU7&gt;$LQ$31,NOT($LU7="")))),"Merit",IF(AND(G7="P",OR(AND($AN7&gt;$AL$30,NOT($AN7=""),$AJ7=""),AND($BK7&gt;$BI$30,NOT($BK7=""),$BG7=""),AND($CK7&gt;$CI$30,NOT($CK7="")),AND($DG7&gt;$DE$30,NOT($DG7="")),AND($EC7&gt;$EA$30,NOT($EC7="")),AND($EY7&gt;$EW$30,NOT($EY7="")),AND($FU7&gt;$FS$30,NOT($FU7="")),AND($GQ7&gt;$GO$30,NOT($GQ7="")),AND($HM7&gt;$HK$30,NOT($HM7="")),AND($II7&gt;$IG$30,NOT($II7="")),AND($JE7&gt;$JC$30,NOT($JE7="")),AND($KA7&gt;$JY$30,NOT($KA7="")),AND($KW7&gt;$KU$30,NOT($KW7="")),AND($LS7&gt;$LQ$30,NOT($LS7="")))),"Excellence",IF(AND(G7="P",OR(AND($AN7&gt;$AL$29,NOT($AN7=""),$AJ7=""),AND($BK7&gt;$BI$29,NOT($BK7=""),$BG7=""),AND($CK7&gt;$CI$29,NOT($CK7="")),AND($DG7&gt;$DE$29,NOT($DG7="")),AND($EC7&gt;$EA$29,NOT($EC7="")),AND($EY7&gt;$EW$29,NOT($EY7="")),AND($FU7&gt;$FS$29,NOT($FU7="")),AND($GQ7&gt;$GO$29,NOT($GQ7="")),AND($HM7&gt;$HK$29,NOT($HM7="")),AND($II7&gt;$IG$29,NOT($II7="")),AND($JE7&gt;$JC$29,NOT($JE7="")),AND($KA7&gt;$JY$29,NOT($KA7="")),AND($KW7&gt;$KU$29,NOT($KW7="")),AND($LS7&gt;$LQ$29,NOT($LS7="")))),"Worlds Team",IF(AND(F7="P",OR(AND($AN7&gt;$AL$28,NOT($AN7=""),$AJ7=""),AND($BK7&gt;$BI$28,NOT($BK7=""),$BG7=""),AND($CK7&gt;$CI$28,NOT($CK7="")),AND($DG7&gt;$DE$28,NOT($DG7="")),AND($EC7&gt;$EA$28,NOT($EC7="")),AND($EY7&gt;$EW$28,NOT($EY7="")),AND($FU7&gt;$FS$28,NOT($FU7="")),AND($GQ7&gt;$GO$28,NOT($GQ7="")),AND($HM7&gt;$HK$28,NOT($HM7="")),AND($II7&gt;$IG$28,NOT($II7="")),AND($JE7&gt;$JC$28,NOT($JE7="")),AND($KA7&gt;$JY$28,NOT($KA7="")),AND($KW7&gt;$KU$28,NOT($KW7="")),AND($LS7&gt;$LQ$28,NOT($LS7="")))),"National Team","")))))</f>
        <v/>
      </c>
      <c r="J7" s="15">
        <f>IF(MAX(AN7,BK7)&gt;0,MAX(AN7,BK7),"")</f>
        <v>94.224999999999994</v>
      </c>
      <c r="K7" s="15" t="str">
        <f>IF(J7="","",IF(J7=BK7,$AR$1,IF(J7=AN7,$U$1,"")))</f>
        <v>2018 Nationals</v>
      </c>
      <c r="L7" s="15">
        <f>IF($J7=$AN7,BI7,IF($J7=$BK7,AL7,MAX(AL7,BI7)))</f>
        <v>35.47</v>
      </c>
      <c r="M7" s="15" t="str">
        <f>IF(L7="","",IF(AND(L7=BI7,$K7&lt;&gt;$AR$1),$AR$1,IF(AND(L7=AL7,$K7&lt;&gt;$U$1),$U$1,"")))</f>
        <v>2019 Elite Canada</v>
      </c>
      <c r="N7" s="15">
        <f>IF($J7=$AN7,BJ7,IF($J7=$BK7,AM7,MAX(AM7,BJ7)))</f>
        <v>51.364999999999995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50.814999999999998</v>
      </c>
      <c r="Q7" s="15" t="str">
        <f>IF(P7="","",IF(P7=BM7,$AR$1,IF(P7=AP7,$U$1,"")))</f>
        <v>2018 Nationals</v>
      </c>
      <c r="R7" s="15">
        <f>IF(MAX(BO7,BP7,BQ7,BR7)&gt;0,MAX(BO7,BP7,BQ7,BR7),"")</f>
        <v>5.6899999999999977</v>
      </c>
      <c r="S7" s="25" t="str">
        <f>IF(R7="","",IF(R7=BO7,"(Vol 1)",IF(R7=BP7,"(Vol 2)",IF(R7=BQ7,"(Prelim)",IF(R7=BR7,"(Final)")))))</f>
        <v>(Vol 1)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2018 World Age Groups (Nov 18)</v>
      </c>
      <c r="U7" s="63">
        <v>15.5</v>
      </c>
      <c r="V7" s="63">
        <v>8.85</v>
      </c>
      <c r="W7" s="63">
        <v>3.2</v>
      </c>
      <c r="X7" s="63">
        <v>15.925000000000001</v>
      </c>
      <c r="Y7" s="63">
        <v>0</v>
      </c>
      <c r="Z7" s="63">
        <v>14.3</v>
      </c>
      <c r="AA7" s="63">
        <v>9.35</v>
      </c>
      <c r="AB7" s="63">
        <v>12</v>
      </c>
      <c r="AC7" s="63">
        <v>15.1</v>
      </c>
      <c r="AD7" s="63">
        <v>0</v>
      </c>
      <c r="AE7" s="63">
        <v>14.2</v>
      </c>
      <c r="AF7" s="63">
        <v>9.1</v>
      </c>
      <c r="AG7" s="63">
        <v>12</v>
      </c>
      <c r="AH7" s="63">
        <v>15.515000000000001</v>
      </c>
      <c r="AI7" s="63">
        <v>0</v>
      </c>
      <c r="AJ7" s="74"/>
      <c r="AK7" s="12">
        <f>IF(AB7&gt;0,AB7,"")</f>
        <v>12</v>
      </c>
      <c r="AL7" s="12">
        <f>IF(SUM(U7:X7)-Y7&gt;0,SUM(U7:X7)-Y7,"")</f>
        <v>43.475000000000001</v>
      </c>
      <c r="AM7" s="12">
        <f>IF(SUM(Z7:AC7)-AD7&gt;0,SUM(Z7:AC7)-AD7,"")</f>
        <v>50.75</v>
      </c>
      <c r="AN7" s="12">
        <f>IF(SUM(AL7:AM7)&gt;0,SUM(AL7:AM7),"")</f>
        <v>94.224999999999994</v>
      </c>
      <c r="AO7" s="12">
        <f>IF(AG7&gt;0,AG7,"")</f>
        <v>12</v>
      </c>
      <c r="AP7" s="12">
        <f>IF(SUM(AE7:AH7)-AI7&gt;0,SUM(AE7:AH7)-AI7,"")</f>
        <v>50.814999999999998</v>
      </c>
      <c r="AQ7" s="12">
        <f>IF(SUM(AN7,AP7)&gt;0,SUM(AN7,AP7),"")</f>
        <v>145.04</v>
      </c>
      <c r="AR7" s="69">
        <v>12.9</v>
      </c>
      <c r="AS7" s="69">
        <v>7.3</v>
      </c>
      <c r="AT7" s="69">
        <v>1.9</v>
      </c>
      <c r="AU7" s="69">
        <v>13.37</v>
      </c>
      <c r="AV7" s="69">
        <v>0</v>
      </c>
      <c r="AW7" s="69">
        <v>13.1</v>
      </c>
      <c r="AX7" s="69">
        <v>8.9499999999999993</v>
      </c>
      <c r="AY7" s="69">
        <v>13.5</v>
      </c>
      <c r="AZ7" s="69">
        <v>15.815</v>
      </c>
      <c r="BA7" s="69">
        <v>0</v>
      </c>
      <c r="BB7" s="69">
        <v>13.7</v>
      </c>
      <c r="BC7" s="69">
        <v>8.15</v>
      </c>
      <c r="BD7" s="69">
        <v>11.9</v>
      </c>
      <c r="BE7" s="69">
        <v>14.154999999999999</v>
      </c>
      <c r="BF7" s="69">
        <v>0</v>
      </c>
      <c r="BG7" s="75"/>
      <c r="BH7" s="15">
        <f>IF(AY7&gt;0,AY7,"")</f>
        <v>13.5</v>
      </c>
      <c r="BI7" s="15">
        <f>IF(SUM(AR7:AU7)-AV7&gt;0,SUM(AR7:AU7)-AV7,"")</f>
        <v>35.47</v>
      </c>
      <c r="BJ7" s="15">
        <f>IF(SUM(AW7:AZ7)-BA7&gt;0,SUM(AW7:AZ7)-BA7,"")</f>
        <v>51.364999999999995</v>
      </c>
      <c r="BK7" s="15">
        <f>IF(SUM(BI7:BJ7)&gt;0,SUM(BI7:BJ7),"")</f>
        <v>86.834999999999994</v>
      </c>
      <c r="BL7" s="15">
        <f>IF(BD7&gt;0,BD7,"")</f>
        <v>11.9</v>
      </c>
      <c r="BM7" s="15">
        <f>IF(SUM(BB7:BE7)-BF7&gt;0,SUM(BB7:BE7)-BF7,"")</f>
        <v>47.905000000000001</v>
      </c>
      <c r="BN7" s="15">
        <f>IF(SUM(BK7,BM7)&gt;0,SUM(BK7,BM7),"")</f>
        <v>134.74</v>
      </c>
      <c r="BO7" s="24">
        <f>IF(MAX(CI7,DE7,EA7,EW7,FS7,GO7,HK7,IG7,JC7,JY7,KU7,LQ7)-IF(L7="",0,L7)&gt;0.001,MAX(CI7,DE7,EA7,EW7,FS7,GO7,HK7,IG7,JC7,JY7,KU7,LQ7)-IF(L7="",0,L7),"")</f>
        <v>5.6899999999999977</v>
      </c>
      <c r="BP7" s="24">
        <f>IF(MAX(CJ7,DF7,EB7,EX7,FT7,GP7,HL7,IH7,JD7,JZ7,KV7,LR7)-IF(N7="",0,N7)&gt;0.001,MAX(CJ7,DF7,EB7,EX7,FT7,GP7,HL7,IH7,JD7,JZ7,KV7,LR7)-IF(N7="",0,N7),"")</f>
        <v>0.67000000000000881</v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>
        <v>15.8</v>
      </c>
      <c r="BT7" s="36">
        <v>9.5</v>
      </c>
      <c r="BU7" s="36">
        <v>0</v>
      </c>
      <c r="BV7" s="36">
        <v>15.86</v>
      </c>
      <c r="BW7" s="36">
        <v>0</v>
      </c>
      <c r="BX7" s="36">
        <v>14.1</v>
      </c>
      <c r="BY7" s="36">
        <v>9.4</v>
      </c>
      <c r="BZ7" s="36">
        <v>13.1</v>
      </c>
      <c r="CA7" s="36">
        <v>15.435</v>
      </c>
      <c r="CB7" s="36">
        <v>0</v>
      </c>
      <c r="CC7" s="36"/>
      <c r="CD7" s="36"/>
      <c r="CE7" s="36"/>
      <c r="CF7" s="36"/>
      <c r="CG7" s="36"/>
      <c r="CH7" s="12">
        <f>IF(BZ7&gt;0,BZ7,"")</f>
        <v>13.1</v>
      </c>
      <c r="CI7" s="12">
        <f>IF(SUM(BS7:BV7)-BW7&gt;0,SUM(BS7:BV7)-BW7,"")</f>
        <v>41.16</v>
      </c>
      <c r="CJ7" s="12">
        <f>IF(SUM(BX7:CA7)-CB7&gt;0,SUM(BX7:CA7)-CB7,"")</f>
        <v>52.035000000000004</v>
      </c>
      <c r="CK7" s="12">
        <f>IF(SUM(CI7:CJ7)&gt;0,SUM(CI7:CJ7),"")</f>
        <v>93.194999999999993</v>
      </c>
      <c r="CL7" s="12" t="str">
        <f>IF(CE7&gt;0,CE7,"")</f>
        <v/>
      </c>
      <c r="CM7" s="12" t="str">
        <f>IF(SUM(CC7:CF7)-CG7&gt;0,SUM(CC7:CF7)-CG7,"")</f>
        <v/>
      </c>
      <c r="CN7" s="12">
        <f>IF(SUM(CK7,CM7)&gt;0,SUM(CK7,CM7),"")</f>
        <v>93.194999999999993</v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14.2</v>
      </c>
      <c r="LX7" s="63">
        <f t="shared" si="8"/>
        <v>8.0749999999999993</v>
      </c>
      <c r="LY7" s="63">
        <f t="shared" si="9"/>
        <v>2.5499999999999998</v>
      </c>
      <c r="LZ7" s="63">
        <f t="shared" si="10"/>
        <v>14.647500000000001</v>
      </c>
      <c r="MA7" s="63">
        <f t="shared" si="11"/>
        <v>0</v>
      </c>
      <c r="MB7" s="63">
        <f t="shared" si="12"/>
        <v>13.7</v>
      </c>
      <c r="MC7" s="63">
        <f t="shared" si="13"/>
        <v>9.1499999999999986</v>
      </c>
      <c r="MD7" s="63">
        <f t="shared" si="14"/>
        <v>12.75</v>
      </c>
      <c r="ME7" s="63">
        <f t="shared" si="15"/>
        <v>15.4575</v>
      </c>
      <c r="MF7" s="63">
        <f t="shared" si="16"/>
        <v>0</v>
      </c>
      <c r="MG7" s="63">
        <f t="shared" si="17"/>
        <v>13.95</v>
      </c>
      <c r="MH7" s="63">
        <f t="shared" si="18"/>
        <v>8.625</v>
      </c>
      <c r="MI7" s="63">
        <f t="shared" si="19"/>
        <v>11.95</v>
      </c>
      <c r="MJ7" s="63">
        <f t="shared" si="20"/>
        <v>14.835000000000001</v>
      </c>
      <c r="MK7" s="63">
        <f t="shared" si="21"/>
        <v>0</v>
      </c>
      <c r="ML7" s="74" t="s">
        <v>116</v>
      </c>
      <c r="MM7" s="12">
        <f t="shared" si="22"/>
        <v>12.75</v>
      </c>
      <c r="MN7" s="12">
        <f t="shared" si="23"/>
        <v>39.472499999999997</v>
      </c>
      <c r="MO7" s="12">
        <f t="shared" si="24"/>
        <v>51.05749999999999</v>
      </c>
      <c r="MP7" s="12">
        <f t="shared" si="25"/>
        <v>90.529999999999987</v>
      </c>
      <c r="MQ7" s="12">
        <f t="shared" si="26"/>
        <v>11.95</v>
      </c>
      <c r="MR7" s="12">
        <f t="shared" si="27"/>
        <v>49.36</v>
      </c>
      <c r="MS7" s="12">
        <f t="shared" si="28"/>
        <v>139.88999999999999</v>
      </c>
    </row>
    <row r="8" spans="1:357" x14ac:dyDescent="0.2">
      <c r="A8" s="6">
        <f>IF(AND(F8="P",H8="P"),SUMPRODUCT((F$4:F$24="P")*(H$4:H$24="P")*(E$4:E$24&gt;E8))+1,IF(H8="P",SUMPRODUCT((F$4:F$24="")*(H$4:H$24="P")*(E$4:E$24&gt;E8))+1+SUMPRODUCT((F$4:F$24="P")*(H$4:H$24="P")),""))</f>
        <v>3</v>
      </c>
      <c r="B8" s="7" t="s">
        <v>120</v>
      </c>
      <c r="C8" s="8" t="s">
        <v>3</v>
      </c>
      <c r="D8" s="27">
        <v>2003</v>
      </c>
      <c r="E8" s="16">
        <f>SUM(J8:R8)</f>
        <v>217.54999999999998</v>
      </c>
      <c r="F8" s="4" t="str">
        <f>IF(OR(AND($AK8&gt;=$AL$26,NOT($AK8=""),$AJ8=""),AND($BH8&gt;=$BI$26,NOT($BH8=""),$BG8=""),AND($CH8&gt;=$CI$26,NOT($CH8="")),AND($DD8&gt;=$DE$26,NOT($DD8="")),AND($DZ8&gt;=$EA$26,NOT($DZ8="")),AND($EV8&gt;=$EW$26,NOT($EV8="")),AND($FR8&gt;=$FS$26,NOT($FR8="")),AND($GN8&gt;=$GO$26,NOT($GN8="")),AND($HJ8&gt;=$HK$26,NOT($HJ8="")),AND($IF8&gt;=$IG$26,NOT($IF8="")),AND($JB8&gt;=$JC$26,NOT($JB8="")),AND($JX8&gt;=$JY$26,NOT($JX8="")),AND($KT8&gt;=$KU$26,NOT($KT8="")),AND($LP8&gt;=$LQ$26,NOT($LP8="")),AND($AO8&gt;=$AL$26,NOT($AO8=""),$AJ8=""),AND($BL8&gt;=$BI$26,NOT($BL8=""),$BG8=""),AND($CL8&gt;=$CI$26,NOT($CL8="")),AND($DH8&gt;=$DE$26,NOT($DH8="")),AND($ED8&gt;=$EA$26,NOT($ED8="")),AND($EZ8&gt;=$EW$26,NOT($EZ8="")),AND($FV8&gt;=$FS$26,NOT($FV8="")),AND($GR8&gt;=$GO$26,NOT($GR8="")),AND($HN8&gt;=$HK$26,NOT($HN8="")),AND($IJ8&gt;=$IG$26,NOT($IJ8="")),AND($JF8&gt;=$JC$26,NOT($JF8="")),AND($KB8&gt;=$JY$26,NOT($KB8="")),AND($KX8&gt;=$KU$26,NOT($KX8="")),AND($LT8&gt;=$LQ$26,NOT($LT8=""))),"P","")</f>
        <v>P</v>
      </c>
      <c r="G8" s="4" t="str">
        <f>IF(OR(AND($AK8&gt;=$AL$27,NOT($AK8=""),$AJ8=""),AND($BH8&gt;=$BI$27,NOT($BH8=""),$BG8=""),AND($CH8&gt;=$CI$27,NOT($CH8="")),AND($DD8&gt;=$DE$27,NOT($DD8="")),AND($DZ8&gt;=$EA$27,NOT($DZ8="")),AND($EV8&gt;=$EW$27,NOT($EV8="")),AND($FR8&gt;=$FS$27,NOT($FR8="")),AND($GN8&gt;=$GO$27,NOT($GN8="")),AND($HJ8&gt;=$HK$27,NOT($HJ8="")),AND($IF8&gt;=$IG$27,NOT($IF8="")),AND($JB8&gt;=$JC$27,NOT($JB8="")),AND($JX8&gt;=$JY$27,NOT($JX8="")),AND($KT8&gt;=$KU$27,NOT($KT8="")),AND($LP8&gt;=$LQ$27,NOT($LP8="")),AND($AO8&gt;=$AL$27,NOT($AO8=""),$AJ8=""),AND($BL8&gt;=$BI$27,NOT($BL8=""),$BG8=""),AND($CL8&gt;=$CI$27,NOT($CL8="")),AND($DH8&gt;=$DE$27,NOT($DH8="")),AND($ED8&gt;=$EA$27,NOT($ED8="")),AND($EZ8&gt;=$EW$27,NOT($EZ8="")),AND($FV8&gt;=$FS$27,NOT($FV8="")),AND($GR8&gt;=$GO$27,NOT($GR8="")),AND($HN8&gt;=$HK$27,NOT($HN8="")),AND($IJ8&gt;=$IG$27,NOT($IJ8="")),AND($JF8&gt;=$JC$27,NOT($JF8="")),AND($KB8&gt;=$JY$27,NOT($KB8="")),AND($KX8&gt;=$KU$27,NOT($KX8="")),AND($LT8&gt;=$LQ$27,NOT($LT8=""))),"P","")</f>
        <v>P</v>
      </c>
      <c r="H8" s="4" t="str">
        <f>IF(OR(AND($AN8&gt;=$AL$28,NOT($AN8=""),$AJ8=""),AND($BK8&gt;=$BI$28,NOT($BK8=""),$BG8=""),AND($CK8&gt;=$CI$28,NOT($CK8="")),AND($DG8&gt;=$DE$28,NOT($DG8="")),AND($EC8&gt;=$EA$28,NOT($EC8="")),AND($EY8&gt;=$EW$28,NOT($EY8="")),AND($FU8&gt;=$FS$28,NOT($FU8="")),AND($GQ8&gt;=$GO$28,NOT($GQ8="")),AND($HM8&gt;=$HK$28,NOT($HM8="")),AND($II8&gt;=$IG$28,NOT($II8="")),AND($JE8&gt;=$JC$28,NOT($JE8="")),AND($KA8&gt;=$JY$28,NOT($KA8="")),AND($KW8&gt;=$KU$28,NOT($KW8="")),AND($LS8&gt;=$LQ$28,NOT($LS8=""))),"P","")</f>
        <v>P</v>
      </c>
      <c r="I8" t="str">
        <f>IF(AND(H8="P",F8=""),"No DD",IF(AND(G8="P",OR(AND($AM8&gt;$AL$31,NOT($AM8=""),$AJ8=""),AND($AP8&gt;$AL$31,NOT($AP8=""),$AJ8=""),AND($BJ8&gt;$BI$31,NOT($BJ8=""),$BG8=""),AND($BM8&gt;$BI$31,NOT($BM8=""),$BG8=""),AND($CJ8&gt;$CI$31,NOT($CJ8="")),AND($CM8&gt;$CI$31,NOT($CM8="")),AND($DF8&gt;$DE$31,NOT($DF8="")),AND($DI8&gt;$DE$31,NOT($DI8="")),AND($EB8&gt;$EA$31,NOT($EB8="")),AND($EE8&gt;$EA$31,NOT($EE8="")),AND($EX8&gt;$EW$31,NOT($EX8="")),AND($FA8&gt;$EW$31,NOT($FA8="")),AND($FT8&gt;$FS$31,NOT($FT8="")),AND($FW8&gt;$FS$31,NOT($FW8="")),AND($GP8&gt;$GO$31,NOT($GP8="")),AND($GS8&gt;$GO$31,NOT($GS8="")),AND($HL8&gt;$HK$31,NOT($HL8="")),AND($HO8&gt;$HK$31,NOT($HO8="")),AND($IH8&gt;$IG$31,NOT($IH8="")),AND($IK8&gt;$IG$31,NOT($IK8="")),AND($JD8&gt;$JC$31,NOT($JD8="")),AND($JG8&gt;$JC$31,NOT($JG8="")),AND($JZ8&gt;$JY$31,NOT($JZ8="")),AND($KC8&gt;$JY$31,NOT($KC8="")),AND($KV8&gt;$KU$31,NOT($KV8="")),AND($KY8&gt;$KU$31,NOT($KY8="")),AND($LR8&gt;$LQ$31,NOT($LR8="")),AND($LU8&gt;$LQ$31,NOT($LU8="")))),"Merit",IF(AND(G8="P",OR(AND($AN8&gt;$AL$30,NOT($AN8=""),$AJ8=""),AND($BK8&gt;$BI$30,NOT($BK8=""),$BG8=""),AND($CK8&gt;$CI$30,NOT($CK8="")),AND($DG8&gt;$DE$30,NOT($DG8="")),AND($EC8&gt;$EA$30,NOT($EC8="")),AND($EY8&gt;$EW$30,NOT($EY8="")),AND($FU8&gt;$FS$30,NOT($FU8="")),AND($GQ8&gt;$GO$30,NOT($GQ8="")),AND($HM8&gt;$HK$30,NOT($HM8="")),AND($II8&gt;$IG$30,NOT($II8="")),AND($JE8&gt;$JC$30,NOT($JE8="")),AND($KA8&gt;$JY$30,NOT($KA8="")),AND($KW8&gt;$KU$30,NOT($KW8="")),AND($LS8&gt;$LQ$30,NOT($LS8="")))),"Excellence",IF(AND(G8="P",OR(AND($AN8&gt;$AL$29,NOT($AN8=""),$AJ8=""),AND($BK8&gt;$BI$29,NOT($BK8=""),$BG8=""),AND($CK8&gt;$CI$29,NOT($CK8="")),AND($DG8&gt;$DE$29,NOT($DG8="")),AND($EC8&gt;$EA$29,NOT($EC8="")),AND($EY8&gt;$EW$29,NOT($EY8="")),AND($FU8&gt;$FS$29,NOT($FU8="")),AND($GQ8&gt;$GO$29,NOT($GQ8="")),AND($HM8&gt;$HK$29,NOT($HM8="")),AND($II8&gt;$IG$29,NOT($II8="")),AND($JE8&gt;$JC$29,NOT($JE8="")),AND($KA8&gt;$JY$29,NOT($KA8="")),AND($KW8&gt;$KU$29,NOT($KW8="")),AND($LS8&gt;$LQ$29,NOT($LS8="")))),"Worlds Team",IF(AND(F8="P",OR(AND($AN8&gt;$AL$28,NOT($AN8=""),$AJ8=""),AND($BK8&gt;$BI$28,NOT($BK8=""),$BG8=""),AND($CK8&gt;$CI$28,NOT($CK8="")),AND($DG8&gt;$DE$28,NOT($DG8="")),AND($EC8&gt;$EA$28,NOT($EC8="")),AND($EY8&gt;$EW$28,NOT($EY8="")),AND($FU8&gt;$FS$28,NOT($FU8="")),AND($GQ8&gt;$GO$28,NOT($GQ8="")),AND($HM8&gt;$HK$28,NOT($HM8="")),AND($II8&gt;$IG$28,NOT($II8="")),AND($JE8&gt;$JC$28,NOT($JE8="")),AND($KA8&gt;$JY$28,NOT($KA8="")),AND($KW8&gt;$KU$28,NOT($KW8="")),AND($LS8&gt;$LQ$28,NOT($LS8="")))),"National Team","")))))</f>
        <v>National Team</v>
      </c>
      <c r="J8" s="15">
        <f>IF(MAX(AN8,BK8)&gt;0,MAX(AN8,BK8),"")</f>
        <v>98.37</v>
      </c>
      <c r="K8" s="15" t="str">
        <f>IF(J8="","",IF(J8=BK8,$AR$1,IF(J8=AN8,$U$1,"")))</f>
        <v>2019 Elite Canada</v>
      </c>
      <c r="L8" s="15">
        <f>IF($J8=$AN8,BI8,IF($J8=$BK8,AL8,MAX(AL8,BI8)))</f>
        <v>43.164999999999999</v>
      </c>
      <c r="M8" s="15" t="str">
        <f>IF(L8="","",IF(AND(L8=BI8,$K8&lt;&gt;$AR$1),$AR$1,IF(AND(L8=AL8,$K8&lt;&gt;$U$1),$U$1,"")))</f>
        <v>2018 Nationals</v>
      </c>
      <c r="N8" s="15">
        <f>IF($J8=$AN8,BJ8,IF($J8=$BK8,AM8,MAX(AM8,BJ8)))</f>
        <v>24.509999999999998</v>
      </c>
      <c r="O8" s="15" t="str">
        <f>IF(N8="","",IF(AND(N8=BJ8,$K8&lt;&gt;$AR$1),$AR$1,IF(AND(N8=AM8,$K8&lt;&gt;$U$1),$U$1,"")))</f>
        <v>2018 Nationals</v>
      </c>
      <c r="P8" s="15">
        <f>IF(MAX(AP8,BM8)&gt;0,MAX(AP8,BM8),"")</f>
        <v>51.505000000000003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63">
        <v>15</v>
      </c>
      <c r="V8" s="63">
        <v>8.6999999999999993</v>
      </c>
      <c r="W8" s="63">
        <v>4.0999999999999996</v>
      </c>
      <c r="X8" s="63">
        <v>15.365</v>
      </c>
      <c r="Y8" s="63">
        <v>0</v>
      </c>
      <c r="Z8" s="63">
        <v>6.1</v>
      </c>
      <c r="AA8" s="63">
        <v>4.0999999999999996</v>
      </c>
      <c r="AB8" s="63">
        <v>6.7</v>
      </c>
      <c r="AC8" s="63">
        <v>7.61</v>
      </c>
      <c r="AD8" s="63">
        <v>0</v>
      </c>
      <c r="AE8" s="63"/>
      <c r="AF8" s="63"/>
      <c r="AG8" s="63"/>
      <c r="AH8" s="63"/>
      <c r="AI8" s="63"/>
      <c r="AJ8" s="74"/>
      <c r="AK8" s="12">
        <f>IF(AB8&gt;0,AB8,"")</f>
        <v>6.7</v>
      </c>
      <c r="AL8" s="12">
        <f>IF(SUM(U8:X8)-Y8&gt;0,SUM(U8:X8)-Y8,"")</f>
        <v>43.164999999999999</v>
      </c>
      <c r="AM8" s="12">
        <f>IF(SUM(Z8:AC8)-AD8&gt;0,SUM(Z8:AC8)-AD8,"")</f>
        <v>24.509999999999998</v>
      </c>
      <c r="AN8" s="12">
        <f>IF(SUM(AL8:AM8)&gt;0,SUM(AL8:AM8),"")</f>
        <v>67.674999999999997</v>
      </c>
      <c r="AO8" s="12" t="str">
        <f>IF(AG8&gt;0,AG8,"")</f>
        <v/>
      </c>
      <c r="AP8" s="12" t="str">
        <f>IF(SUM(AE8:AH8)-AI8&gt;0,SUM(AE8:AH8)-AI8,"")</f>
        <v/>
      </c>
      <c r="AQ8" s="12">
        <f>IF(SUM(AN8,AP8)&gt;0,SUM(AN8,AP8),"")</f>
        <v>67.674999999999997</v>
      </c>
      <c r="AR8" s="69">
        <v>17.100000000000001</v>
      </c>
      <c r="AS8" s="69">
        <v>9.35</v>
      </c>
      <c r="AT8" s="69">
        <v>3.9</v>
      </c>
      <c r="AU8" s="69">
        <v>16.145</v>
      </c>
      <c r="AV8" s="69">
        <v>0</v>
      </c>
      <c r="AW8" s="69">
        <v>13.3</v>
      </c>
      <c r="AX8" s="69">
        <v>9.6</v>
      </c>
      <c r="AY8" s="69">
        <v>13.8</v>
      </c>
      <c r="AZ8" s="69">
        <v>15.175000000000001</v>
      </c>
      <c r="BA8" s="69">
        <v>0</v>
      </c>
      <c r="BB8" s="69">
        <v>13.8</v>
      </c>
      <c r="BC8" s="69">
        <v>9</v>
      </c>
      <c r="BD8" s="69">
        <v>13.8</v>
      </c>
      <c r="BE8" s="69">
        <v>14.904999999999999</v>
      </c>
      <c r="BF8" s="69">
        <v>0</v>
      </c>
      <c r="BG8" s="75"/>
      <c r="BH8" s="15">
        <f>IF(AY8&gt;0,AY8,"")</f>
        <v>13.8</v>
      </c>
      <c r="BI8" s="15">
        <f>IF(SUM(AR8:AU8)-AV8&gt;0,SUM(AR8:AU8)-AV8,"")</f>
        <v>46.495000000000005</v>
      </c>
      <c r="BJ8" s="15">
        <f>IF(SUM(AW8:AZ8)-BA8&gt;0,SUM(AW8:AZ8)-BA8,"")</f>
        <v>51.875</v>
      </c>
      <c r="BK8" s="15">
        <f>IF(SUM(BI8:BJ8)&gt;0,SUM(BI8:BJ8),"")</f>
        <v>98.37</v>
      </c>
      <c r="BL8" s="15">
        <f>IF(BD8&gt;0,BD8,"")</f>
        <v>13.8</v>
      </c>
      <c r="BM8" s="15">
        <f>IF(SUM(BB8:BE8)-BF8&gt;0,SUM(BB8:BE8)-BF8,"")</f>
        <v>51.505000000000003</v>
      </c>
      <c r="BN8" s="15">
        <f>IF(SUM(BK8,BM8)&gt;0,SUM(BK8,BM8),"")</f>
        <v>149.875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16.05</v>
      </c>
      <c r="LX8" s="63">
        <f t="shared" si="8"/>
        <v>9.0249999999999986</v>
      </c>
      <c r="LY8" s="63">
        <f t="shared" si="9"/>
        <v>4</v>
      </c>
      <c r="LZ8" s="63">
        <f t="shared" si="10"/>
        <v>15.754999999999999</v>
      </c>
      <c r="MA8" s="63">
        <f t="shared" si="11"/>
        <v>0</v>
      </c>
      <c r="MB8" s="63">
        <f t="shared" si="12"/>
        <v>9.6999999999999993</v>
      </c>
      <c r="MC8" s="63">
        <f t="shared" si="13"/>
        <v>6.85</v>
      </c>
      <c r="MD8" s="63">
        <f t="shared" si="14"/>
        <v>10.25</v>
      </c>
      <c r="ME8" s="63">
        <f t="shared" si="15"/>
        <v>11.3925</v>
      </c>
      <c r="MF8" s="63">
        <f t="shared" si="16"/>
        <v>0</v>
      </c>
      <c r="MG8" s="63">
        <f t="shared" si="17"/>
        <v>6.9</v>
      </c>
      <c r="MH8" s="63">
        <f t="shared" si="18"/>
        <v>4.5</v>
      </c>
      <c r="MI8" s="63">
        <f t="shared" si="19"/>
        <v>6.9</v>
      </c>
      <c r="MJ8" s="63">
        <f t="shared" si="20"/>
        <v>7.4524999999999997</v>
      </c>
      <c r="MK8" s="63">
        <f t="shared" si="21"/>
        <v>0</v>
      </c>
      <c r="ML8" s="74" t="s">
        <v>116</v>
      </c>
      <c r="MM8" s="12">
        <f t="shared" si="22"/>
        <v>10.25</v>
      </c>
      <c r="MN8" s="12">
        <f t="shared" si="23"/>
        <v>44.83</v>
      </c>
      <c r="MO8" s="12">
        <f t="shared" si="24"/>
        <v>38.192499999999995</v>
      </c>
      <c r="MP8" s="12">
        <f t="shared" si="25"/>
        <v>83.022499999999994</v>
      </c>
      <c r="MQ8" s="12">
        <f t="shared" si="26"/>
        <v>6.9</v>
      </c>
      <c r="MR8" s="12">
        <f t="shared" si="27"/>
        <v>25.752500000000001</v>
      </c>
      <c r="MS8" s="12">
        <f t="shared" si="28"/>
        <v>108.77499999999999</v>
      </c>
    </row>
    <row r="9" spans="1:357" x14ac:dyDescent="0.2">
      <c r="A9" s="6" t="str">
        <f>IF(AND(F9="P",H9="P"),SUMPRODUCT((F$4:F$24="P")*(H$4:H$24="P")*(E$4:E$24&gt;E9))+1,IF(H9="P",SUMPRODUCT((F$4:F$24="")*(H$4:H$24="P")*(E$4:E$24&gt;E9))+1+SUMPRODUCT((F$4:F$24="P")*(H$4:H$24="P")),""))</f>
        <v/>
      </c>
      <c r="B9" s="9" t="s">
        <v>61</v>
      </c>
      <c r="C9" s="5" t="s">
        <v>5</v>
      </c>
      <c r="D9" s="27">
        <v>2001</v>
      </c>
      <c r="E9" s="16">
        <f>SUM(J9:R9)</f>
        <v>211.05500000000004</v>
      </c>
      <c r="F9" s="4" t="str">
        <f>IF(OR(AND($AK9&gt;=$AL$26,NOT($AK9=""),$AJ9=""),AND($BH9&gt;=$BI$26,NOT($BH9=""),$BG9=""),AND($CH9&gt;=$CI$26,NOT($CH9="")),AND($DD9&gt;=$DE$26,NOT($DD9="")),AND($DZ9&gt;=$EA$26,NOT($DZ9="")),AND($EV9&gt;=$EW$26,NOT($EV9="")),AND($FR9&gt;=$FS$26,NOT($FR9="")),AND($GN9&gt;=$GO$26,NOT($GN9="")),AND($HJ9&gt;=$HK$26,NOT($HJ9="")),AND($IF9&gt;=$IG$26,NOT($IF9="")),AND($JB9&gt;=$JC$26,NOT($JB9="")),AND($JX9&gt;=$JY$26,NOT($JX9="")),AND($KT9&gt;=$KU$26,NOT($KT9="")),AND($LP9&gt;=$LQ$26,NOT($LP9="")),AND($AO9&gt;=$AL$26,NOT($AO9=""),$AJ9=""),AND($BL9&gt;=$BI$26,NOT($BL9=""),$BG9=""),AND($CL9&gt;=$CI$26,NOT($CL9="")),AND($DH9&gt;=$DE$26,NOT($DH9="")),AND($ED9&gt;=$EA$26,NOT($ED9="")),AND($EZ9&gt;=$EW$26,NOT($EZ9="")),AND($FV9&gt;=$FS$26,NOT($FV9="")),AND($GR9&gt;=$GO$26,NOT($GR9="")),AND($HN9&gt;=$HK$26,NOT($HN9="")),AND($IJ9&gt;=$IG$26,NOT($IJ9="")),AND($JF9&gt;=$JC$26,NOT($JF9="")),AND($KB9&gt;=$JY$26,NOT($KB9="")),AND($KX9&gt;=$KU$26,NOT($KX9="")),AND($LT9&gt;=$LQ$26,NOT($LT9=""))),"P","")</f>
        <v>P</v>
      </c>
      <c r="G9" s="4" t="str">
        <f>IF(OR(AND($AK9&gt;=$AL$27,NOT($AK9=""),$AJ9=""),AND($BH9&gt;=$BI$27,NOT($BH9=""),$BG9=""),AND($CH9&gt;=$CI$27,NOT($CH9="")),AND($DD9&gt;=$DE$27,NOT($DD9="")),AND($DZ9&gt;=$EA$27,NOT($DZ9="")),AND($EV9&gt;=$EW$27,NOT($EV9="")),AND($FR9&gt;=$FS$27,NOT($FR9="")),AND($GN9&gt;=$GO$27,NOT($GN9="")),AND($HJ9&gt;=$HK$27,NOT($HJ9="")),AND($IF9&gt;=$IG$27,NOT($IF9="")),AND($JB9&gt;=$JC$27,NOT($JB9="")),AND($JX9&gt;=$JY$27,NOT($JX9="")),AND($KT9&gt;=$KU$27,NOT($KT9="")),AND($LP9&gt;=$LQ$27,NOT($LP9="")),AND($AO9&gt;=$AL$27,NOT($AO9=""),$AJ9=""),AND($BL9&gt;=$BI$27,NOT($BL9=""),$BG9=""),AND($CL9&gt;=$CI$27,NOT($CL9="")),AND($DH9&gt;=$DE$27,NOT($DH9="")),AND($ED9&gt;=$EA$27,NOT($ED9="")),AND($EZ9&gt;=$EW$27,NOT($EZ9="")),AND($FV9&gt;=$FS$27,NOT($FV9="")),AND($GR9&gt;=$GO$27,NOT($GR9="")),AND($HN9&gt;=$HK$27,NOT($HN9="")),AND($IJ9&gt;=$IG$27,NOT($IJ9="")),AND($JF9&gt;=$JC$27,NOT($JF9="")),AND($KB9&gt;=$JY$27,NOT($KB9="")),AND($KX9&gt;=$KU$27,NOT($KX9="")),AND($LT9&gt;=$LQ$27,NOT($LT9=""))),"P","")</f>
        <v>P</v>
      </c>
      <c r="H9" s="4" t="str">
        <f>IF(OR(AND($AN9&gt;=$AL$28,NOT($AN9=""),$AJ9=""),AND($BK9&gt;=$BI$28,NOT($BK9=""),$BG9=""),AND($CK9&gt;=$CI$28,NOT($CK9="")),AND($DG9&gt;=$DE$28,NOT($DG9="")),AND($EC9&gt;=$EA$28,NOT($EC9="")),AND($EY9&gt;=$EW$28,NOT($EY9="")),AND($FU9&gt;=$FS$28,NOT($FU9="")),AND($GQ9&gt;=$GO$28,NOT($GQ9="")),AND($HM9&gt;=$HK$28,NOT($HM9="")),AND($II9&gt;=$IG$28,NOT($II9="")),AND($JE9&gt;=$JC$28,NOT($JE9="")),AND($KA9&gt;=$JY$28,NOT($KA9="")),AND($KW9&gt;=$KU$28,NOT($KW9="")),AND($LS9&gt;=$LQ$28,NOT($LS9=""))),"P","")</f>
        <v/>
      </c>
      <c r="I9" t="str">
        <f>IF(AND(H9="P",F9=""),"No DD",IF(AND(G9="P",OR(AND($AM9&gt;$AL$31,NOT($AM9=""),$AJ9=""),AND($AP9&gt;$AL$31,NOT($AP9=""),$AJ9=""),AND($BJ9&gt;$BI$31,NOT($BJ9=""),$BG9=""),AND($BM9&gt;$BI$31,NOT($BM9=""),$BG9=""),AND($CJ9&gt;$CI$31,NOT($CJ9="")),AND($CM9&gt;$CI$31,NOT($CM9="")),AND($DF9&gt;$DE$31,NOT($DF9="")),AND($DI9&gt;$DE$31,NOT($DI9="")),AND($EB9&gt;$EA$31,NOT($EB9="")),AND($EE9&gt;$EA$31,NOT($EE9="")),AND($EX9&gt;$EW$31,NOT($EX9="")),AND($FA9&gt;$EW$31,NOT($FA9="")),AND($FT9&gt;$FS$31,NOT($FT9="")),AND($FW9&gt;$FS$31,NOT($FW9="")),AND($GP9&gt;$GO$31,NOT($GP9="")),AND($GS9&gt;$GO$31,NOT($GS9="")),AND($HL9&gt;$HK$31,NOT($HL9="")),AND($HO9&gt;$HK$31,NOT($HO9="")),AND($IH9&gt;$IG$31,NOT($IH9="")),AND($IK9&gt;$IG$31,NOT($IK9="")),AND($JD9&gt;$JC$31,NOT($JD9="")),AND($JG9&gt;$JC$31,NOT($JG9="")),AND($JZ9&gt;$JY$31,NOT($JZ9="")),AND($KC9&gt;$JY$31,NOT($KC9="")),AND($KV9&gt;$KU$31,NOT($KV9="")),AND($KY9&gt;$KU$31,NOT($KY9="")),AND($LR9&gt;$LQ$31,NOT($LR9="")),AND($LU9&gt;$LQ$31,NOT($LU9="")))),"Merit",IF(AND(G9="P",OR(AND($AN9&gt;$AL$30,NOT($AN9=""),$AJ9=""),AND($BK9&gt;$BI$30,NOT($BK9=""),$BG9=""),AND($CK9&gt;$CI$30,NOT($CK9="")),AND($DG9&gt;$DE$30,NOT($DG9="")),AND($EC9&gt;$EA$30,NOT($EC9="")),AND($EY9&gt;$EW$30,NOT($EY9="")),AND($FU9&gt;$FS$30,NOT($FU9="")),AND($GQ9&gt;$GO$30,NOT($GQ9="")),AND($HM9&gt;$HK$30,NOT($HM9="")),AND($II9&gt;$IG$30,NOT($II9="")),AND($JE9&gt;$JC$30,NOT($JE9="")),AND($KA9&gt;$JY$30,NOT($KA9="")),AND($KW9&gt;$KU$30,NOT($KW9="")),AND($LS9&gt;$LQ$30,NOT($LS9="")))),"Excellence",IF(AND(G9="P",OR(AND($AN9&gt;$AL$29,NOT($AN9=""),$AJ9=""),AND($BK9&gt;$BI$29,NOT($BK9=""),$BG9=""),AND($CK9&gt;$CI$29,NOT($CK9="")),AND($DG9&gt;$DE$29,NOT($DG9="")),AND($EC9&gt;$EA$29,NOT($EC9="")),AND($EY9&gt;$EW$29,NOT($EY9="")),AND($FU9&gt;$FS$29,NOT($FU9="")),AND($GQ9&gt;$GO$29,NOT($GQ9="")),AND($HM9&gt;$HK$29,NOT($HM9="")),AND($II9&gt;$IG$29,NOT($II9="")),AND($JE9&gt;$JC$29,NOT($JE9="")),AND($KA9&gt;$JY$29,NOT($KA9="")),AND($KW9&gt;$KU$29,NOT($KW9="")),AND($LS9&gt;$LQ$29,NOT($LS9="")))),"Worlds Team",IF(AND(F9="P",OR(AND($AN9&gt;$AL$28,NOT($AN9=""),$AJ9=""),AND($BK9&gt;$BI$28,NOT($BK9=""),$BG9=""),AND($CK9&gt;$CI$28,NOT($CK9="")),AND($DG9&gt;$DE$28,NOT($DG9="")),AND($EC9&gt;$EA$28,NOT($EC9="")),AND($EY9&gt;$EW$28,NOT($EY9="")),AND($FU9&gt;$FS$28,NOT($FU9="")),AND($GQ9&gt;$GO$28,NOT($GQ9="")),AND($HM9&gt;$HK$28,NOT($HM9="")),AND($II9&gt;$IG$28,NOT($II9="")),AND($JE9&gt;$JC$28,NOT($JE9="")),AND($KA9&gt;$JY$28,NOT($KA9="")),AND($KW9&gt;$KU$28,NOT($KW9="")),AND($LS9&gt;$LQ$28,NOT($LS9="")))),"National Team","")))))</f>
        <v/>
      </c>
      <c r="J9" s="15">
        <f>IF(MAX(AN9,BK9)&gt;0,MAX(AN9,BK9),"")</f>
        <v>97.14500000000001</v>
      </c>
      <c r="K9" s="15" t="str">
        <f>IF(J9="","",IF(J9=BK9,$AR$1,IF(J9=AN9,$U$1,"")))</f>
        <v>2019 Elite Canada</v>
      </c>
      <c r="L9" s="15">
        <f>IF($J9=$AN9,BI9,IF($J9=$BK9,AL9,MAX(AL9,BI9)))</f>
        <v>32.519999999999996</v>
      </c>
      <c r="M9" s="15" t="str">
        <f>IF(L9="","",IF(AND(L9=BI9,$K9&lt;&gt;$AR$1),$AR$1,IF(AND(L9=AL9,$K9&lt;&gt;$U$1),$U$1,"")))</f>
        <v>2018 Nationals</v>
      </c>
      <c r="N9" s="15">
        <f>IF($J9=$AN9,BJ9,IF($J9=$BK9,AM9,MAX(AM9,BJ9)))</f>
        <v>29.715</v>
      </c>
      <c r="O9" s="15" t="str">
        <f>IF(N9="","",IF(AND(N9=BJ9,$K9&lt;&gt;$AR$1),$AR$1,IF(AND(N9=AM9,$K9&lt;&gt;$U$1),$U$1,"")))</f>
        <v>2018 Nationals</v>
      </c>
      <c r="P9" s="15">
        <f>IF(MAX(AP9,BM9)&gt;0,MAX(AP9,BM9),"")</f>
        <v>51.675000000000004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63">
        <v>11.7</v>
      </c>
      <c r="V9" s="63">
        <v>7.2</v>
      </c>
      <c r="W9" s="63">
        <v>1.2</v>
      </c>
      <c r="X9" s="63">
        <v>12.42</v>
      </c>
      <c r="Y9" s="63">
        <v>0</v>
      </c>
      <c r="Z9" s="63">
        <v>7.9</v>
      </c>
      <c r="AA9" s="63">
        <v>5.25</v>
      </c>
      <c r="AB9" s="63">
        <v>7.8</v>
      </c>
      <c r="AC9" s="63">
        <v>8.7650000000000006</v>
      </c>
      <c r="AD9" s="63">
        <v>0</v>
      </c>
      <c r="AE9" s="63"/>
      <c r="AF9" s="63"/>
      <c r="AG9" s="63"/>
      <c r="AH9" s="63"/>
      <c r="AI9" s="63"/>
      <c r="AJ9" s="74"/>
      <c r="AK9" s="12">
        <f>IF(AB9&gt;0,AB9,"")</f>
        <v>7.8</v>
      </c>
      <c r="AL9" s="12">
        <f>IF(SUM(U9:X9)-Y9&gt;0,SUM(U9:X9)-Y9,"")</f>
        <v>32.519999999999996</v>
      </c>
      <c r="AM9" s="12">
        <f>IF(SUM(Z9:AC9)-AD9&gt;0,SUM(Z9:AC9)-AD9,"")</f>
        <v>29.715</v>
      </c>
      <c r="AN9" s="12">
        <f>IF(SUM(AL9:AM9)&gt;0,SUM(AL9:AM9),"")</f>
        <v>62.234999999999999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62.234999999999999</v>
      </c>
      <c r="AR9" s="69">
        <v>17.100000000000001</v>
      </c>
      <c r="AS9" s="69">
        <v>9.4499999999999993</v>
      </c>
      <c r="AT9" s="69">
        <v>4.3</v>
      </c>
      <c r="AU9" s="69">
        <v>15.805</v>
      </c>
      <c r="AV9" s="69">
        <v>0</v>
      </c>
      <c r="AW9" s="69">
        <v>13</v>
      </c>
      <c r="AX9" s="69">
        <v>9.15</v>
      </c>
      <c r="AY9" s="69">
        <v>13.6</v>
      </c>
      <c r="AZ9" s="69">
        <v>14.74</v>
      </c>
      <c r="BA9" s="69">
        <v>0</v>
      </c>
      <c r="BB9" s="69">
        <v>15.4</v>
      </c>
      <c r="BC9" s="69">
        <v>9.1</v>
      </c>
      <c r="BD9" s="69">
        <v>11.7</v>
      </c>
      <c r="BE9" s="69">
        <v>15.475</v>
      </c>
      <c r="BF9" s="69">
        <v>0</v>
      </c>
      <c r="BG9" s="75"/>
      <c r="BH9" s="15">
        <f>IF(AY9&gt;0,AY9,"")</f>
        <v>13.6</v>
      </c>
      <c r="BI9" s="15">
        <f>IF(SUM(AR9:AU9)-AV9&gt;0,SUM(AR9:AU9)-AV9,"")</f>
        <v>46.655000000000001</v>
      </c>
      <c r="BJ9" s="15">
        <f>IF(SUM(AW9:AZ9)-BA9&gt;0,SUM(AW9:AZ9)-BA9,"")</f>
        <v>50.49</v>
      </c>
      <c r="BK9" s="15">
        <f>IF(SUM(BI9:BJ9)&gt;0,SUM(BI9:BJ9),"")</f>
        <v>97.14500000000001</v>
      </c>
      <c r="BL9" s="15">
        <f>IF(BD9&gt;0,BD9,"")</f>
        <v>11.7</v>
      </c>
      <c r="BM9" s="15">
        <f>IF(SUM(BB9:BE9)-BF9&gt;0,SUM(BB9:BE9)-BF9,"")</f>
        <v>51.675000000000004</v>
      </c>
      <c r="BN9" s="15">
        <f>IF(SUM(BK9,BM9)&gt;0,SUM(BK9,BM9),"")</f>
        <v>148.82000000000002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14.4</v>
      </c>
      <c r="LX9" s="63">
        <f t="shared" si="8"/>
        <v>8.3249999999999993</v>
      </c>
      <c r="LY9" s="63">
        <f t="shared" si="9"/>
        <v>2.75</v>
      </c>
      <c r="LZ9" s="63">
        <f t="shared" si="10"/>
        <v>14.112500000000001</v>
      </c>
      <c r="MA9" s="63">
        <f t="shared" si="11"/>
        <v>0</v>
      </c>
      <c r="MB9" s="63">
        <f t="shared" si="12"/>
        <v>10.45</v>
      </c>
      <c r="MC9" s="63">
        <f t="shared" si="13"/>
        <v>7.2</v>
      </c>
      <c r="MD9" s="63">
        <f t="shared" si="14"/>
        <v>10.7</v>
      </c>
      <c r="ME9" s="63">
        <f t="shared" si="15"/>
        <v>11.752500000000001</v>
      </c>
      <c r="MF9" s="63">
        <f t="shared" si="16"/>
        <v>0</v>
      </c>
      <c r="MG9" s="63">
        <f t="shared" si="17"/>
        <v>7.7</v>
      </c>
      <c r="MH9" s="63">
        <f t="shared" si="18"/>
        <v>4.55</v>
      </c>
      <c r="MI9" s="63">
        <f t="shared" si="19"/>
        <v>5.85</v>
      </c>
      <c r="MJ9" s="63">
        <f t="shared" si="20"/>
        <v>7.7374999999999998</v>
      </c>
      <c r="MK9" s="63">
        <f t="shared" si="21"/>
        <v>0</v>
      </c>
      <c r="ML9" s="74" t="s">
        <v>116</v>
      </c>
      <c r="MM9" s="12">
        <f t="shared" si="22"/>
        <v>10.7</v>
      </c>
      <c r="MN9" s="12">
        <f t="shared" si="23"/>
        <v>39.587500000000006</v>
      </c>
      <c r="MO9" s="12">
        <f t="shared" si="24"/>
        <v>40.102499999999999</v>
      </c>
      <c r="MP9" s="12">
        <f t="shared" si="25"/>
        <v>79.69</v>
      </c>
      <c r="MQ9" s="12">
        <f t="shared" si="26"/>
        <v>5.85</v>
      </c>
      <c r="MR9" s="12">
        <f t="shared" si="27"/>
        <v>25.837500000000002</v>
      </c>
      <c r="MS9" s="12">
        <f t="shared" si="28"/>
        <v>105.5275</v>
      </c>
    </row>
    <row r="10" spans="1:357" x14ac:dyDescent="0.2">
      <c r="A10" s="6" t="str">
        <f>IF(AND(F10="P",H10="P"),SUMPRODUCT((F$4:F$24="P")*(H$4:H$24="P")*(E$4:E$24&gt;E10))+1,IF(H10="P",SUMPRODUCT((F$4:F$24="")*(H$4:H$24="P")*(E$4:E$24&gt;E10))+1+SUMPRODUCT((F$4:F$24="P")*(H$4:H$24="P")),""))</f>
        <v/>
      </c>
      <c r="B10" s="9" t="s">
        <v>84</v>
      </c>
      <c r="C10" s="5" t="s">
        <v>6</v>
      </c>
      <c r="D10" s="27">
        <v>2001</v>
      </c>
      <c r="E10" s="16">
        <f>SUM(J10:R10)</f>
        <v>193.4</v>
      </c>
      <c r="F10" s="4" t="str">
        <f>IF(OR(AND($AK10&gt;=$AL$26,NOT($AK10=""),$AJ10=""),AND($BH10&gt;=$BI$26,NOT($BH10=""),$BG10=""),AND($CH10&gt;=$CI$26,NOT($CH10="")),AND($DD10&gt;=$DE$26,NOT($DD10="")),AND($DZ10&gt;=$EA$26,NOT($DZ10="")),AND($EV10&gt;=$EW$26,NOT($EV10="")),AND($FR10&gt;=$FS$26,NOT($FR10="")),AND($GN10&gt;=$GO$26,NOT($GN10="")),AND($HJ10&gt;=$HK$26,NOT($HJ10="")),AND($IF10&gt;=$IG$26,NOT($IF10="")),AND($JB10&gt;=$JC$26,NOT($JB10="")),AND($JX10&gt;=$JY$26,NOT($JX10="")),AND($KT10&gt;=$KU$26,NOT($KT10="")),AND($LP10&gt;=$LQ$26,NOT($LP10="")),AND($AO10&gt;=$AL$26,NOT($AO10=""),$AJ10=""),AND($BL10&gt;=$BI$26,NOT($BL10=""),$BG10=""),AND($CL10&gt;=$CI$26,NOT($CL10="")),AND($DH10&gt;=$DE$26,NOT($DH10="")),AND($ED10&gt;=$EA$26,NOT($ED10="")),AND($EZ10&gt;=$EW$26,NOT($EZ10="")),AND($FV10&gt;=$FS$26,NOT($FV10="")),AND($GR10&gt;=$GO$26,NOT($GR10="")),AND($HN10&gt;=$HK$26,NOT($HN10="")),AND($IJ10&gt;=$IG$26,NOT($IJ10="")),AND($JF10&gt;=$JC$26,NOT($JF10="")),AND($KB10&gt;=$JY$26,NOT($KB10="")),AND($KX10&gt;=$KU$26,NOT($KX10="")),AND($LT10&gt;=$LQ$26,NOT($LT10=""))),"P","")</f>
        <v>P</v>
      </c>
      <c r="G10" s="4" t="str">
        <f>IF(OR(AND($AK10&gt;=$AL$27,NOT($AK10=""),$AJ10=""),AND($BH10&gt;=$BI$27,NOT($BH10=""),$BG10=""),AND($CH10&gt;=$CI$27,NOT($CH10="")),AND($DD10&gt;=$DE$27,NOT($DD10="")),AND($DZ10&gt;=$EA$27,NOT($DZ10="")),AND($EV10&gt;=$EW$27,NOT($EV10="")),AND($FR10&gt;=$FS$27,NOT($FR10="")),AND($GN10&gt;=$GO$27,NOT($GN10="")),AND($HJ10&gt;=$HK$27,NOT($HJ10="")),AND($IF10&gt;=$IG$27,NOT($IF10="")),AND($JB10&gt;=$JC$27,NOT($JB10="")),AND($JX10&gt;=$JY$27,NOT($JX10="")),AND($KT10&gt;=$KU$27,NOT($KT10="")),AND($LP10&gt;=$LQ$27,NOT($LP10="")),AND($AO10&gt;=$AL$27,NOT($AO10=""),$AJ10=""),AND($BL10&gt;=$BI$27,NOT($BL10=""),$BG10=""),AND($CL10&gt;=$CI$27,NOT($CL10="")),AND($DH10&gt;=$DE$27,NOT($DH10="")),AND($ED10&gt;=$EA$27,NOT($ED10="")),AND($EZ10&gt;=$EW$27,NOT($EZ10="")),AND($FV10&gt;=$FS$27,NOT($FV10="")),AND($GR10&gt;=$GO$27,NOT($GR10="")),AND($HN10&gt;=$HK$27,NOT($HN10="")),AND($IJ10&gt;=$IG$27,NOT($IJ10="")),AND($JF10&gt;=$JC$27,NOT($JF10="")),AND($KB10&gt;=$JY$27,NOT($KB10="")),AND($KX10&gt;=$KU$27,NOT($KX10="")),AND($LT10&gt;=$LQ$27,NOT($LT10=""))),"P","")</f>
        <v>P</v>
      </c>
      <c r="H10" s="4" t="str">
        <f>IF(OR(AND($AN10&gt;=$AL$28,NOT($AN10=""),$AJ10=""),AND($BK10&gt;=$BI$28,NOT($BK10=""),$BG10=""),AND($CK10&gt;=$CI$28,NOT($CK10="")),AND($DG10&gt;=$DE$28,NOT($DG10="")),AND($EC10&gt;=$EA$28,NOT($EC10="")),AND($EY10&gt;=$EW$28,NOT($EY10="")),AND($FU10&gt;=$FS$28,NOT($FU10="")),AND($GQ10&gt;=$GO$28,NOT($GQ10="")),AND($HM10&gt;=$HK$28,NOT($HM10="")),AND($II10&gt;=$IG$28,NOT($II10="")),AND($JE10&gt;=$JC$28,NOT($JE10="")),AND($KA10&gt;=$JY$28,NOT($KA10="")),AND($KW10&gt;=$KU$28,NOT($KW10="")),AND($LS10&gt;=$LQ$28,NOT($LS10=""))),"P","")</f>
        <v/>
      </c>
      <c r="I10" t="str">
        <f>IF(AND(H10="P",F10=""),"No DD",IF(AND(G10="P",OR(AND($AM10&gt;$AL$31,NOT($AM10=""),$AJ10=""),AND($AP10&gt;$AL$31,NOT($AP10=""),$AJ10=""),AND($BJ10&gt;$BI$31,NOT($BJ10=""),$BG10=""),AND($BM10&gt;$BI$31,NOT($BM10=""),$BG10=""),AND($CJ10&gt;$CI$31,NOT($CJ10="")),AND($CM10&gt;$CI$31,NOT($CM10="")),AND($DF10&gt;$DE$31,NOT($DF10="")),AND($DI10&gt;$DE$31,NOT($DI10="")),AND($EB10&gt;$EA$31,NOT($EB10="")),AND($EE10&gt;$EA$31,NOT($EE10="")),AND($EX10&gt;$EW$31,NOT($EX10="")),AND($FA10&gt;$EW$31,NOT($FA10="")),AND($FT10&gt;$FS$31,NOT($FT10="")),AND($FW10&gt;$FS$31,NOT($FW10="")),AND($GP10&gt;$GO$31,NOT($GP10="")),AND($GS10&gt;$GO$31,NOT($GS10="")),AND($HL10&gt;$HK$31,NOT($HL10="")),AND($HO10&gt;$HK$31,NOT($HO10="")),AND($IH10&gt;$IG$31,NOT($IH10="")),AND($IK10&gt;$IG$31,NOT($IK10="")),AND($JD10&gt;$JC$31,NOT($JD10="")),AND($JG10&gt;$JC$31,NOT($JG10="")),AND($JZ10&gt;$JY$31,NOT($JZ10="")),AND($KC10&gt;$JY$31,NOT($KC10="")),AND($KV10&gt;$KU$31,NOT($KV10="")),AND($KY10&gt;$KU$31,NOT($KY10="")),AND($LR10&gt;$LQ$31,NOT($LR10="")),AND($LU10&gt;$LQ$31,NOT($LU10="")))),"Merit",IF(AND(G10="P",OR(AND($AN10&gt;$AL$30,NOT($AN10=""),$AJ10=""),AND($BK10&gt;$BI$30,NOT($BK10=""),$BG10=""),AND($CK10&gt;$CI$30,NOT($CK10="")),AND($DG10&gt;$DE$30,NOT($DG10="")),AND($EC10&gt;$EA$30,NOT($EC10="")),AND($EY10&gt;$EW$30,NOT($EY10="")),AND($FU10&gt;$FS$30,NOT($FU10="")),AND($GQ10&gt;$GO$30,NOT($GQ10="")),AND($HM10&gt;$HK$30,NOT($HM10="")),AND($II10&gt;$IG$30,NOT($II10="")),AND($JE10&gt;$JC$30,NOT($JE10="")),AND($KA10&gt;$JY$30,NOT($KA10="")),AND($KW10&gt;$KU$30,NOT($KW10="")),AND($LS10&gt;$LQ$30,NOT($LS10="")))),"Excellence",IF(AND(G10="P",OR(AND($AN10&gt;$AL$29,NOT($AN10=""),$AJ10=""),AND($BK10&gt;$BI$29,NOT($BK10=""),$BG10=""),AND($CK10&gt;$CI$29,NOT($CK10="")),AND($DG10&gt;$DE$29,NOT($DG10="")),AND($EC10&gt;$EA$29,NOT($EC10="")),AND($EY10&gt;$EW$29,NOT($EY10="")),AND($FU10&gt;$FS$29,NOT($FU10="")),AND($GQ10&gt;$GO$29,NOT($GQ10="")),AND($HM10&gt;$HK$29,NOT($HM10="")),AND($II10&gt;$IG$29,NOT($II10="")),AND($JE10&gt;$JC$29,NOT($JE10="")),AND($KA10&gt;$JY$29,NOT($KA10="")),AND($KW10&gt;$KU$29,NOT($KW10="")),AND($LS10&gt;$LQ$29,NOT($LS10="")))),"Worlds Team",IF(AND(F10="P",OR(AND($AN10&gt;$AL$28,NOT($AN10=""),$AJ10=""),AND($BK10&gt;$BI$28,NOT($BK10=""),$BG10=""),AND($CK10&gt;$CI$28,NOT($CK10="")),AND($DG10&gt;$DE$28,NOT($DG10="")),AND($EC10&gt;$EA$28,NOT($EC10="")),AND($EY10&gt;$EW$28,NOT($EY10="")),AND($FU10&gt;$FS$28,NOT($FU10="")),AND($GQ10&gt;$GO$28,NOT($GQ10="")),AND($HM10&gt;$HK$28,NOT($HM10="")),AND($II10&gt;$IG$28,NOT($II10="")),AND($JE10&gt;$JC$28,NOT($JE10="")),AND($KA10&gt;$JY$28,NOT($KA10="")),AND($KW10&gt;$KU$28,NOT($KW10="")),AND($LS10&gt;$LQ$28,NOT($LS10="")))),"National Team","")))))</f>
        <v/>
      </c>
      <c r="J10" s="15">
        <f>IF(MAX(AN10,BK10)&gt;0,MAX(AN10,BK10),"")</f>
        <v>71.02</v>
      </c>
      <c r="K10" s="15" t="str">
        <f>IF(J10="","",IF(J10=BK10,$AR$1,IF(J10=AN10,$U$1,"")))</f>
        <v>2018 Nationals</v>
      </c>
      <c r="L10" s="15">
        <f>IF($J10=$AN10,BI10,IF($J10=$BK10,AL10,MAX(AL10,BI10)))</f>
        <v>28.895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37.72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26.057500000000001</v>
      </c>
      <c r="Q10" s="15" t="str">
        <f>IF(P10="","",IF(P10=BM10,$AR$1,IF(P10=AP10,$U$1,"")))</f>
        <v>2019 Elite Canada</v>
      </c>
      <c r="R10" s="15">
        <f>IF(MAX(BO10,BP10,BQ10,BR10)&gt;0,MAX(BO10,BP10,BQ10,BR10),"")</f>
        <v>29.7075</v>
      </c>
      <c r="S10" s="25" t="str">
        <f>IF(R10="","",IF(R10=BO10,"(Vol 1)",IF(R10=BP10,"(Vol 2)",IF(R10=BQ10,"(Prelim)",IF(R10=BR10,"(Final)")))))</f>
        <v>(Final)</v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>2019 Scalabis Cup (July 6)</v>
      </c>
      <c r="U10" s="63">
        <v>17</v>
      </c>
      <c r="V10" s="63">
        <v>9.0500000000000007</v>
      </c>
      <c r="W10" s="63">
        <v>5</v>
      </c>
      <c r="X10" s="63">
        <v>17.239999999999998</v>
      </c>
      <c r="Y10" s="63">
        <v>0</v>
      </c>
      <c r="Z10" s="63">
        <v>6</v>
      </c>
      <c r="AA10" s="63">
        <v>3.75</v>
      </c>
      <c r="AB10" s="63">
        <v>6.3</v>
      </c>
      <c r="AC10" s="63">
        <v>6.68</v>
      </c>
      <c r="AD10" s="63">
        <v>0</v>
      </c>
      <c r="AE10" s="63"/>
      <c r="AF10" s="63"/>
      <c r="AG10" s="63"/>
      <c r="AH10" s="63"/>
      <c r="AI10" s="63"/>
      <c r="AJ10" s="74"/>
      <c r="AK10" s="12">
        <f>IF(AB10&gt;0,AB10,"")</f>
        <v>6.3</v>
      </c>
      <c r="AL10" s="12">
        <f>IF(SUM(U10:X10)-Y10&gt;0,SUM(U10:X10)-Y10,"")</f>
        <v>48.29</v>
      </c>
      <c r="AM10" s="12">
        <f>IF(SUM(Z10:AC10)-AD10&gt;0,SUM(Z10:AC10)-AD10,"")</f>
        <v>22.73</v>
      </c>
      <c r="AN10" s="12">
        <f>IF(SUM(AL10:AM10)&gt;0,SUM(AL10:AM10),"")</f>
        <v>71.02</v>
      </c>
      <c r="AO10" s="12" t="str">
        <f>IF(AG10&gt;0,AG10,"")</f>
        <v/>
      </c>
      <c r="AP10" s="12" t="str">
        <f>IF(SUM(AE10:AH10)-AI10&gt;0,SUM(AE10:AH10)-AI10,"")</f>
        <v/>
      </c>
      <c r="AQ10" s="12">
        <f>IF(SUM(AN10,AP10)&gt;0,SUM(AN10,AP10),"")</f>
        <v>71.02</v>
      </c>
      <c r="AR10" s="69">
        <v>10.15</v>
      </c>
      <c r="AS10" s="69">
        <v>5.5</v>
      </c>
      <c r="AT10" s="69">
        <v>2.85</v>
      </c>
      <c r="AU10" s="69">
        <v>10.395</v>
      </c>
      <c r="AV10" s="69">
        <v>0</v>
      </c>
      <c r="AW10" s="69">
        <v>10.15</v>
      </c>
      <c r="AX10" s="69">
        <v>6.35</v>
      </c>
      <c r="AY10" s="69">
        <v>9.6999999999999993</v>
      </c>
      <c r="AZ10" s="69">
        <v>11.52</v>
      </c>
      <c r="BA10" s="69">
        <v>0</v>
      </c>
      <c r="BB10" s="69">
        <v>7.15</v>
      </c>
      <c r="BC10" s="69">
        <v>4.3499999999999996</v>
      </c>
      <c r="BD10" s="69">
        <v>6.6</v>
      </c>
      <c r="BE10" s="69">
        <v>7.9574999999999996</v>
      </c>
      <c r="BF10" s="69">
        <v>0</v>
      </c>
      <c r="BG10" s="75" t="s">
        <v>116</v>
      </c>
      <c r="BH10" s="15">
        <f>IF(AY10&gt;0,AY10,"")</f>
        <v>9.6999999999999993</v>
      </c>
      <c r="BI10" s="15">
        <f>IF(SUM(AR10:AU10)-AV10&gt;0,SUM(AR10:AU10)-AV10,"")</f>
        <v>28.895</v>
      </c>
      <c r="BJ10" s="15">
        <f>IF(SUM(AW10:AZ10)-BA10&gt;0,SUM(AW10:AZ10)-BA10,"")</f>
        <v>37.72</v>
      </c>
      <c r="BK10" s="15">
        <f>IF(SUM(BI10:BJ10)&gt;0,SUM(BI10:BJ10),"")</f>
        <v>66.614999999999995</v>
      </c>
      <c r="BL10" s="15">
        <f>IF(BD10&gt;0,BD10,"")</f>
        <v>6.6</v>
      </c>
      <c r="BM10" s="15">
        <f>IF(SUM(BB10:BE10)-BF10&gt;0,SUM(BB10:BE10)-BF10,"")</f>
        <v>26.057500000000001</v>
      </c>
      <c r="BN10" s="15">
        <f>IF(SUM(BK10,BM10)&gt;0,SUM(BK10,BM10),"")</f>
        <v>92.672499999999999</v>
      </c>
      <c r="BO10" s="24">
        <f>IF(MAX(CI10,DE10,EA10,EW10,FS10,GO10,HK10,IG10,JC10,JY10,KU10,LQ10)-IF(L10="",0,L10)&gt;0.001,MAX(CI10,DE10,EA10,EW10,FS10,GO10,HK10,IG10,JC10,JY10,KU10,LQ10)-IF(L10="",0,L10),"")</f>
        <v>14.585000000000004</v>
      </c>
      <c r="BP10" s="24">
        <f>IF(MAX(CJ10,DF10,EB10,EX10,FT10,GP10,HL10,IH10,JD10,JZ10,KV10,LR10)-IF(N10="",0,N10)&gt;0.001,MAX(CJ10,DF10,EB10,EX10,FT10,GP10,HL10,IH10,JD10,JZ10,KV10,LR10)-IF(N10="",0,N10),"")</f>
        <v>13.189999999999998</v>
      </c>
      <c r="BQ10" s="24">
        <f>IF(MAX(CK10,DG10,EC10,EY10,FU10,GQ10,HM10,II10,JE10,KA10,KW10,LS10)-IF(J10="",0,J10)&gt;0.001,MAX(CK10,DG10,EC10,EY10,FU10,GQ10,HM10,II10,JE10,KA10,KW10,LS10)-IF(J10="",0,J10),"")</f>
        <v>23.370000000000005</v>
      </c>
      <c r="BR10" s="24">
        <f>IF(MAX(CM10,DI10,EE10,FA10,FW10,GS10,HO10,IK10,JG10,KC10,KY10,LU10)-IF(P10="",0,P10)&gt;0.001,MAX(CM10,DI10,EE10,FA10,FW10,GS10,HO10,IK10,JG10,KC10,KY10,LU10)-IF(P10="",0,P10),"")</f>
        <v>29.7075</v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>
        <v>17.100000000000001</v>
      </c>
      <c r="CP10" s="37">
        <v>9.5</v>
      </c>
      <c r="CQ10" s="37">
        <v>0</v>
      </c>
      <c r="CR10" s="37">
        <v>16.88</v>
      </c>
      <c r="CS10" s="37">
        <v>0</v>
      </c>
      <c r="CT10" s="37">
        <v>14.1</v>
      </c>
      <c r="CU10" s="37">
        <v>8.6999999999999993</v>
      </c>
      <c r="CV10" s="37">
        <v>12.7</v>
      </c>
      <c r="CW10" s="37">
        <v>15.41</v>
      </c>
      <c r="CX10" s="37">
        <v>0</v>
      </c>
      <c r="CY10" s="37">
        <v>15.1</v>
      </c>
      <c r="CZ10" s="37">
        <v>9.6</v>
      </c>
      <c r="DA10" s="37">
        <v>14.8</v>
      </c>
      <c r="DB10" s="37">
        <v>16.265000000000001</v>
      </c>
      <c r="DC10" s="37">
        <v>0</v>
      </c>
      <c r="DD10" s="15">
        <f>IF(CV10&gt;0,CV10,"")</f>
        <v>12.7</v>
      </c>
      <c r="DE10" s="15">
        <f>IF(SUM(CO10:CR10)-CS10&gt;0,SUM(CO10:CR10)-CS10,"")</f>
        <v>43.480000000000004</v>
      </c>
      <c r="DF10" s="15">
        <f>IF(SUM(CT10:CW10)-CX10&gt;0,SUM(CT10:CW10)-CX10,"")</f>
        <v>50.91</v>
      </c>
      <c r="DG10" s="15">
        <f>IF(SUM(DE10:DF10)&gt;0,SUM(DE10:DF10),"")</f>
        <v>94.39</v>
      </c>
      <c r="DH10" s="15">
        <f>IF(DA10&gt;0,DA10,"")</f>
        <v>14.8</v>
      </c>
      <c r="DI10" s="15">
        <f>IF(SUM(CY10:DB10)-DC10&gt;0,SUM(CY10:DB10)-DC10,"")</f>
        <v>55.765000000000001</v>
      </c>
      <c r="DJ10" s="15">
        <f>IF(SUM(DG10,DI10)&gt;0,SUM(DG10,DI10),"")</f>
        <v>150.155</v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10.15</v>
      </c>
      <c r="LX10" s="63">
        <f t="shared" si="8"/>
        <v>5.5</v>
      </c>
      <c r="LY10" s="63">
        <f t="shared" si="9"/>
        <v>2.85</v>
      </c>
      <c r="LZ10" s="63">
        <f t="shared" si="10"/>
        <v>10.395</v>
      </c>
      <c r="MA10" s="63">
        <f t="shared" si="11"/>
        <v>0</v>
      </c>
      <c r="MB10" s="63">
        <f t="shared" si="12"/>
        <v>10.15</v>
      </c>
      <c r="MC10" s="63">
        <f t="shared" si="13"/>
        <v>6.35</v>
      </c>
      <c r="MD10" s="63">
        <f t="shared" si="14"/>
        <v>9.6999999999999993</v>
      </c>
      <c r="ME10" s="63">
        <f t="shared" si="15"/>
        <v>11.52</v>
      </c>
      <c r="MF10" s="63">
        <f t="shared" si="16"/>
        <v>0</v>
      </c>
      <c r="MG10" s="63">
        <f t="shared" si="17"/>
        <v>7.15</v>
      </c>
      <c r="MH10" s="63">
        <f t="shared" si="18"/>
        <v>4.3499999999999996</v>
      </c>
      <c r="MI10" s="63">
        <f t="shared" si="19"/>
        <v>6.6</v>
      </c>
      <c r="MJ10" s="63">
        <f t="shared" si="20"/>
        <v>7.9574999999999996</v>
      </c>
      <c r="MK10" s="63">
        <f t="shared" si="21"/>
        <v>0</v>
      </c>
      <c r="ML10" s="74" t="s">
        <v>116</v>
      </c>
      <c r="MM10" s="12">
        <f t="shared" si="22"/>
        <v>9.6999999999999993</v>
      </c>
      <c r="MN10" s="12">
        <f t="shared" si="23"/>
        <v>28.895</v>
      </c>
      <c r="MO10" s="12">
        <f t="shared" si="24"/>
        <v>37.72</v>
      </c>
      <c r="MP10" s="12">
        <f t="shared" si="25"/>
        <v>66.614999999999995</v>
      </c>
      <c r="MQ10" s="12">
        <f t="shared" si="26"/>
        <v>6.6</v>
      </c>
      <c r="MR10" s="12">
        <f t="shared" si="27"/>
        <v>26.057500000000001</v>
      </c>
      <c r="MS10" s="12">
        <f t="shared" si="28"/>
        <v>92.672499999999999</v>
      </c>
    </row>
    <row r="11" spans="1:357" x14ac:dyDescent="0.2">
      <c r="A11" s="6" t="str">
        <f>IF(AND(F11="P",H11="P"),SUMPRODUCT((F$4:F$24="P")*(H$4:H$24="P")*(E$4:E$24&gt;E11))+1,IF(H11="P",SUMPRODUCT((F$4:F$24="")*(H$4:H$24="P")*(E$4:E$24&gt;E11))+1+SUMPRODUCT((F$4:F$24="P")*(H$4:H$24="P")),""))</f>
        <v/>
      </c>
      <c r="B11" s="9" t="s">
        <v>78</v>
      </c>
      <c r="C11" s="5" t="s">
        <v>3</v>
      </c>
      <c r="D11" s="6">
        <v>2000</v>
      </c>
      <c r="E11" s="16">
        <f>SUM(J11:R11)</f>
        <v>186.83500000000004</v>
      </c>
      <c r="F11" s="4" t="str">
        <f>IF(OR(AND($AK11&gt;=$AL$26,NOT($AK11=""),$AJ11=""),AND($BH11&gt;=$BI$26,NOT($BH11=""),$BG11=""),AND($CH11&gt;=$CI$26,NOT($CH11="")),AND($DD11&gt;=$DE$26,NOT($DD11="")),AND($DZ11&gt;=$EA$26,NOT($DZ11="")),AND($EV11&gt;=$EW$26,NOT($EV11="")),AND($FR11&gt;=$FS$26,NOT($FR11="")),AND($GN11&gt;=$GO$26,NOT($GN11="")),AND($HJ11&gt;=$HK$26,NOT($HJ11="")),AND($IF11&gt;=$IG$26,NOT($IF11="")),AND($JB11&gt;=$JC$26,NOT($JB11="")),AND($JX11&gt;=$JY$26,NOT($JX11="")),AND($KT11&gt;=$KU$26,NOT($KT11="")),AND($LP11&gt;=$LQ$26,NOT($LP11="")),AND($AO11&gt;=$AL$26,NOT($AO11=""),$AJ11=""),AND($BL11&gt;=$BI$26,NOT($BL11=""),$BG11=""),AND($CL11&gt;=$CI$26,NOT($CL11="")),AND($DH11&gt;=$DE$26,NOT($DH11="")),AND($ED11&gt;=$EA$26,NOT($ED11="")),AND($EZ11&gt;=$EW$26,NOT($EZ11="")),AND($FV11&gt;=$FS$26,NOT($FV11="")),AND($GR11&gt;=$GO$26,NOT($GR11="")),AND($HN11&gt;=$HK$26,NOT($HN11="")),AND($IJ11&gt;=$IG$26,NOT($IJ11="")),AND($JF11&gt;=$JC$26,NOT($JF11="")),AND($KB11&gt;=$JY$26,NOT($KB11="")),AND($KX11&gt;=$KU$26,NOT($KX11="")),AND($LT11&gt;=$LQ$26,NOT($LT11=""))),"P","")</f>
        <v>P</v>
      </c>
      <c r="G11" s="4" t="str">
        <f>IF(OR(AND($AK11&gt;=$AL$27,NOT($AK11=""),$AJ11=""),AND($BH11&gt;=$BI$27,NOT($BH11=""),$BG11=""),AND($CH11&gt;=$CI$27,NOT($CH11="")),AND($DD11&gt;=$DE$27,NOT($DD11="")),AND($DZ11&gt;=$EA$27,NOT($DZ11="")),AND($EV11&gt;=$EW$27,NOT($EV11="")),AND($FR11&gt;=$FS$27,NOT($FR11="")),AND($GN11&gt;=$GO$27,NOT($GN11="")),AND($HJ11&gt;=$HK$27,NOT($HJ11="")),AND($IF11&gt;=$IG$27,NOT($IF11="")),AND($JB11&gt;=$JC$27,NOT($JB11="")),AND($JX11&gt;=$JY$27,NOT($JX11="")),AND($KT11&gt;=$KU$27,NOT($KT11="")),AND($LP11&gt;=$LQ$27,NOT($LP11="")),AND($AO11&gt;=$AL$27,NOT($AO11=""),$AJ11=""),AND($BL11&gt;=$BI$27,NOT($BL11=""),$BG11=""),AND($CL11&gt;=$CI$27,NOT($CL11="")),AND($DH11&gt;=$DE$27,NOT($DH11="")),AND($ED11&gt;=$EA$27,NOT($ED11="")),AND($EZ11&gt;=$EW$27,NOT($EZ11="")),AND($FV11&gt;=$FS$27,NOT($FV11="")),AND($GR11&gt;=$GO$27,NOT($GR11="")),AND($HN11&gt;=$HK$27,NOT($HN11="")),AND($IJ11&gt;=$IG$27,NOT($IJ11="")),AND($JF11&gt;=$JC$27,NOT($JF11="")),AND($KB11&gt;=$JY$27,NOT($KB11="")),AND($KX11&gt;=$KU$27,NOT($KX11="")),AND($LT11&gt;=$LQ$27,NOT($LT11=""))),"P","")</f>
        <v>P</v>
      </c>
      <c r="H11" s="4" t="str">
        <f>IF(OR(AND($AN11&gt;=$AL$28,NOT($AN11=""),$AJ11=""),AND($BK11&gt;=$BI$28,NOT($BK11=""),$BG11=""),AND($CK11&gt;=$CI$28,NOT($CK11="")),AND($DG11&gt;=$DE$28,NOT($DG11="")),AND($EC11&gt;=$EA$28,NOT($EC11="")),AND($EY11&gt;=$EW$28,NOT($EY11="")),AND($FU11&gt;=$FS$28,NOT($FU11="")),AND($GQ11&gt;=$GO$28,NOT($GQ11="")),AND($HM11&gt;=$HK$28,NOT($HM11="")),AND($II11&gt;=$IG$28,NOT($II11="")),AND($JE11&gt;=$JC$28,NOT($JE11="")),AND($KA11&gt;=$JY$28,NOT($KA11="")),AND($KW11&gt;=$KU$28,NOT($KW11="")),AND($LS11&gt;=$LQ$28,NOT($LS11=""))),"P","")</f>
        <v/>
      </c>
      <c r="I11" t="str">
        <f>IF(AND(H11="P",F11=""),"No DD",IF(AND(G11="P",OR(AND($AM11&gt;$AL$31,NOT($AM11=""),$AJ11=""),AND($AP11&gt;$AL$31,NOT($AP11=""),$AJ11=""),AND($BJ11&gt;$BI$31,NOT($BJ11=""),$BG11=""),AND($BM11&gt;$BI$31,NOT($BM11=""),$BG11=""),AND($CJ11&gt;$CI$31,NOT($CJ11="")),AND($CM11&gt;$CI$31,NOT($CM11="")),AND($DF11&gt;$DE$31,NOT($DF11="")),AND($DI11&gt;$DE$31,NOT($DI11="")),AND($EB11&gt;$EA$31,NOT($EB11="")),AND($EE11&gt;$EA$31,NOT($EE11="")),AND($EX11&gt;$EW$31,NOT($EX11="")),AND($FA11&gt;$EW$31,NOT($FA11="")),AND($FT11&gt;$FS$31,NOT($FT11="")),AND($FW11&gt;$FS$31,NOT($FW11="")),AND($GP11&gt;$GO$31,NOT($GP11="")),AND($GS11&gt;$GO$31,NOT($GS11="")),AND($HL11&gt;$HK$31,NOT($HL11="")),AND($HO11&gt;$HK$31,NOT($HO11="")),AND($IH11&gt;$IG$31,NOT($IH11="")),AND($IK11&gt;$IG$31,NOT($IK11="")),AND($JD11&gt;$JC$31,NOT($JD11="")),AND($JG11&gt;$JC$31,NOT($JG11="")),AND($JZ11&gt;$JY$31,NOT($JZ11="")),AND($KC11&gt;$JY$31,NOT($KC11="")),AND($KV11&gt;$KU$31,NOT($KV11="")),AND($KY11&gt;$KU$31,NOT($KY11="")),AND($LR11&gt;$LQ$31,NOT($LR11="")),AND($LU11&gt;$LQ$31,NOT($LU11="")))),"Merit",IF(AND(G11="P",OR(AND($AN11&gt;$AL$30,NOT($AN11=""),$AJ11=""),AND($BK11&gt;$BI$30,NOT($BK11=""),$BG11=""),AND($CK11&gt;$CI$30,NOT($CK11="")),AND($DG11&gt;$DE$30,NOT($DG11="")),AND($EC11&gt;$EA$30,NOT($EC11="")),AND($EY11&gt;$EW$30,NOT($EY11="")),AND($FU11&gt;$FS$30,NOT($FU11="")),AND($GQ11&gt;$GO$30,NOT($GQ11="")),AND($HM11&gt;$HK$30,NOT($HM11="")),AND($II11&gt;$IG$30,NOT($II11="")),AND($JE11&gt;$JC$30,NOT($JE11="")),AND($KA11&gt;$JY$30,NOT($KA11="")),AND($KW11&gt;$KU$30,NOT($KW11="")),AND($LS11&gt;$LQ$30,NOT($LS11="")))),"Excellence",IF(AND(G11="P",OR(AND($AN11&gt;$AL$29,NOT($AN11=""),$AJ11=""),AND($BK11&gt;$BI$29,NOT($BK11=""),$BG11=""),AND($CK11&gt;$CI$29,NOT($CK11="")),AND($DG11&gt;$DE$29,NOT($DG11="")),AND($EC11&gt;$EA$29,NOT($EC11="")),AND($EY11&gt;$EW$29,NOT($EY11="")),AND($FU11&gt;$FS$29,NOT($FU11="")),AND($GQ11&gt;$GO$29,NOT($GQ11="")),AND($HM11&gt;$HK$29,NOT($HM11="")),AND($II11&gt;$IG$29,NOT($II11="")),AND($JE11&gt;$JC$29,NOT($JE11="")),AND($KA11&gt;$JY$29,NOT($KA11="")),AND($KW11&gt;$KU$29,NOT($KW11="")),AND($LS11&gt;$LQ$29,NOT($LS11="")))),"Worlds Team",IF(AND(F11="P",OR(AND($AN11&gt;$AL$28,NOT($AN11=""),$AJ11=""),AND($BK11&gt;$BI$28,NOT($BK11=""),$BG11=""),AND($CK11&gt;$CI$28,NOT($CK11="")),AND($DG11&gt;$DE$28,NOT($DG11="")),AND($EC11&gt;$EA$28,NOT($EC11="")),AND($EY11&gt;$EW$28,NOT($EY11="")),AND($FU11&gt;$FS$28,NOT($FU11="")),AND($GQ11&gt;$GO$28,NOT($GQ11="")),AND($HM11&gt;$HK$28,NOT($HM11="")),AND($II11&gt;$IG$28,NOT($II11="")),AND($JE11&gt;$JC$28,NOT($JE11="")),AND($KA11&gt;$JY$28,NOT($KA11="")),AND($KW11&gt;$KU$28,NOT($KW11="")),AND($LS11&gt;$LQ$28,NOT($LS11="")))),"National Team","")))))</f>
        <v/>
      </c>
      <c r="J11" s="15">
        <f>IF(MAX(AN11,BK11)&gt;0,MAX(AN11,BK11),"")</f>
        <v>93.88000000000001</v>
      </c>
      <c r="K11" s="15" t="str">
        <f>IF(J11="","",IF(J11=BK11,$AR$1,IF(J11=AN11,$U$1,"")))</f>
        <v>2018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51.099999999999994</v>
      </c>
      <c r="Q11" s="15" t="str">
        <f>IF(P11="","",IF(P11=BM11,$AR$1,IF(P11=AP11,$U$1,"")))</f>
        <v>2018 Nationals</v>
      </c>
      <c r="R11" s="15">
        <f>IF(MAX(BO11,BP11,BQ11,BR11)&gt;0,MAX(BO11,BP11,BQ11,BR11),"")</f>
        <v>41.855000000000004</v>
      </c>
      <c r="S11" s="25" t="str">
        <f>IF(R11="","",IF(R11=BO11,"(Vol 1)",IF(R11=BP11,"(Vol 2)",IF(R11=BQ11,"(Prelim)",IF(R11=BR11,"(Final)")))))</f>
        <v>(Vol 1)</v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>2018 World Age Groups (Nov 18)</v>
      </c>
      <c r="U11" s="63">
        <v>15.7</v>
      </c>
      <c r="V11" s="63">
        <v>9.35</v>
      </c>
      <c r="W11" s="63">
        <v>4.0999999999999996</v>
      </c>
      <c r="X11" s="63">
        <v>16.675000000000001</v>
      </c>
      <c r="Y11" s="63">
        <v>0</v>
      </c>
      <c r="Z11" s="63">
        <v>10.199999999999999</v>
      </c>
      <c r="AA11" s="63">
        <v>8.4499999999999993</v>
      </c>
      <c r="AB11" s="63">
        <v>13.8</v>
      </c>
      <c r="AC11" s="63">
        <v>15.605</v>
      </c>
      <c r="AD11" s="63">
        <v>0</v>
      </c>
      <c r="AE11" s="63">
        <v>14.1</v>
      </c>
      <c r="AF11" s="63">
        <v>8.5</v>
      </c>
      <c r="AG11" s="63">
        <v>12.7</v>
      </c>
      <c r="AH11" s="63">
        <v>15.8</v>
      </c>
      <c r="AI11" s="63">
        <v>0</v>
      </c>
      <c r="AJ11" s="74"/>
      <c r="AK11" s="12">
        <f>IF(AB11&gt;0,AB11,"")</f>
        <v>13.8</v>
      </c>
      <c r="AL11" s="12">
        <f>IF(SUM(U11:X11)-Y11&gt;0,SUM(U11:X11)-Y11,"")</f>
        <v>45.825000000000003</v>
      </c>
      <c r="AM11" s="12">
        <f>IF(SUM(Z11:AC11)-AD11&gt;0,SUM(Z11:AC11)-AD11,"")</f>
        <v>48.055000000000007</v>
      </c>
      <c r="AN11" s="12">
        <f>IF(SUM(AL11:AM11)&gt;0,SUM(AL11:AM11),"")</f>
        <v>93.88000000000001</v>
      </c>
      <c r="AO11" s="12">
        <f>IF(AG11&gt;0,AG11,"")</f>
        <v>12.7</v>
      </c>
      <c r="AP11" s="12">
        <f>IF(SUM(AE11:AH11)-AI11&gt;0,SUM(AE11:AH11)-AI11,"")</f>
        <v>51.099999999999994</v>
      </c>
      <c r="AQ11" s="12">
        <f>IF(SUM(AN11,AP11)&gt;0,SUM(AN11,AP11),"")</f>
        <v>144.98000000000002</v>
      </c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75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4">
        <f>IF(MAX(CI11,DE11,EA11,EW11,FS11,GO11,HK11,IG11,JC11,JY11,KU11,LQ11)-IF(L11="",0,L11)&gt;0.001,MAX(CI11,DE11,EA11,EW11,FS11,GO11,HK11,IG11,JC11,JY11,KU11,LQ11)-IF(L11="",0,L11),"")</f>
        <v>41.855000000000004</v>
      </c>
      <c r="BP11" s="24">
        <f>IF(MAX(CJ11,DF11,EB11,EX11,FT11,GP11,HL11,IH11,JD11,JZ11,KV11,LR11)-IF(N11="",0,N11)&gt;0.001,MAX(CJ11,DF11,EB11,EX11,FT11,GP11,HL11,IH11,JD11,JZ11,KV11,LR11)-IF(N11="",0,N11),"")</f>
        <v>11.164999999999999</v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>
        <v>15.9</v>
      </c>
      <c r="BT11" s="36">
        <v>9.1999999999999993</v>
      </c>
      <c r="BU11" s="36">
        <v>0</v>
      </c>
      <c r="BV11" s="36">
        <v>16.754999999999999</v>
      </c>
      <c r="BW11" s="36">
        <v>0</v>
      </c>
      <c r="BX11" s="36">
        <v>3</v>
      </c>
      <c r="BY11" s="36">
        <v>1.8</v>
      </c>
      <c r="BZ11" s="36">
        <v>3</v>
      </c>
      <c r="CA11" s="36">
        <v>3.3650000000000002</v>
      </c>
      <c r="CB11" s="36">
        <v>0</v>
      </c>
      <c r="CC11" s="36"/>
      <c r="CD11" s="36"/>
      <c r="CE11" s="36"/>
      <c r="CF11" s="36"/>
      <c r="CG11" s="36"/>
      <c r="CH11" s="12">
        <f>IF(BZ11&gt;0,BZ11,"")</f>
        <v>3</v>
      </c>
      <c r="CI11" s="12">
        <f>IF(SUM(BS11:BV11)-BW11&gt;0,SUM(BS11:BV11)-BW11,"")</f>
        <v>41.855000000000004</v>
      </c>
      <c r="CJ11" s="12">
        <f>IF(SUM(BX11:CA11)-CB11&gt;0,SUM(BX11:CA11)-CB11,"")</f>
        <v>11.164999999999999</v>
      </c>
      <c r="CK11" s="12">
        <f>IF(SUM(CI11:CJ11)&gt;0,SUM(CI11:CJ11),"")</f>
        <v>53.02</v>
      </c>
      <c r="CL11" s="12" t="str">
        <f>IF(CE11&gt;0,CE11,"")</f>
        <v/>
      </c>
      <c r="CM11" s="12" t="str">
        <f>IF(SUM(CC11:CF11)-CG11&gt;0,SUM(CC11:CF11)-CG11,"")</f>
        <v/>
      </c>
      <c r="CN11" s="12">
        <f>IF(SUM(CK11,CM11)&gt;0,SUM(CK11,CM11),"")</f>
        <v>53.02</v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7.85</v>
      </c>
      <c r="LX11" s="63">
        <f t="shared" si="8"/>
        <v>4.6749999999999998</v>
      </c>
      <c r="LY11" s="63">
        <f t="shared" si="9"/>
        <v>2.0499999999999998</v>
      </c>
      <c r="LZ11" s="63">
        <f t="shared" si="10"/>
        <v>8.3375000000000004</v>
      </c>
      <c r="MA11" s="63">
        <f t="shared" si="11"/>
        <v>0</v>
      </c>
      <c r="MB11" s="63">
        <f t="shared" si="12"/>
        <v>5.0999999999999996</v>
      </c>
      <c r="MC11" s="63">
        <f t="shared" si="13"/>
        <v>4.2249999999999996</v>
      </c>
      <c r="MD11" s="63">
        <f t="shared" si="14"/>
        <v>6.9</v>
      </c>
      <c r="ME11" s="63">
        <f t="shared" si="15"/>
        <v>7.8025000000000002</v>
      </c>
      <c r="MF11" s="63">
        <f t="shared" si="16"/>
        <v>0</v>
      </c>
      <c r="MG11" s="63">
        <f t="shared" si="17"/>
        <v>7.05</v>
      </c>
      <c r="MH11" s="63">
        <f t="shared" si="18"/>
        <v>4.25</v>
      </c>
      <c r="MI11" s="63">
        <f t="shared" si="19"/>
        <v>6.35</v>
      </c>
      <c r="MJ11" s="63">
        <f t="shared" si="20"/>
        <v>7.9</v>
      </c>
      <c r="MK11" s="63">
        <f t="shared" si="21"/>
        <v>0</v>
      </c>
      <c r="ML11" s="74" t="s">
        <v>116</v>
      </c>
      <c r="MM11" s="12">
        <f t="shared" si="22"/>
        <v>6.9</v>
      </c>
      <c r="MN11" s="12">
        <f t="shared" si="23"/>
        <v>22.912500000000001</v>
      </c>
      <c r="MO11" s="12">
        <f t="shared" si="24"/>
        <v>24.027500000000003</v>
      </c>
      <c r="MP11" s="12">
        <f t="shared" si="25"/>
        <v>46.940000000000005</v>
      </c>
      <c r="MQ11" s="12">
        <f t="shared" si="26"/>
        <v>6.35</v>
      </c>
      <c r="MR11" s="12">
        <f t="shared" si="27"/>
        <v>25.549999999999997</v>
      </c>
      <c r="MS11" s="12">
        <f t="shared" si="28"/>
        <v>72.490000000000009</v>
      </c>
    </row>
    <row r="12" spans="1:357" x14ac:dyDescent="0.2">
      <c r="A12" s="6">
        <f>IF(AND(F12="P",H12="P"),SUMPRODUCT((F$4:F$24="P")*(H$4:H$24="P")*(E$4:E$24&gt;E12))+1,IF(H12="P",SUMPRODUCT((F$4:F$24="")*(H$4:H$24="P")*(E$4:E$24&gt;E12))+1+SUMPRODUCT((F$4:F$24="P")*(H$4:H$24="P")),""))</f>
        <v>4</v>
      </c>
      <c r="B12" s="7" t="s">
        <v>79</v>
      </c>
      <c r="C12" s="8" t="s">
        <v>5</v>
      </c>
      <c r="D12" s="6">
        <v>2001</v>
      </c>
      <c r="E12" s="16">
        <f>SUM(J12:R12)</f>
        <v>152.24</v>
      </c>
      <c r="F12" s="4" t="str">
        <f>IF(OR(AND($AK12&gt;=$AL$26,NOT($AK12=""),$AJ12=""),AND($BH12&gt;=$BI$26,NOT($BH12=""),$BG12=""),AND($CH12&gt;=$CI$26,NOT($CH12="")),AND($DD12&gt;=$DE$26,NOT($DD12="")),AND($DZ12&gt;=$EA$26,NOT($DZ12="")),AND($EV12&gt;=$EW$26,NOT($EV12="")),AND($FR12&gt;=$FS$26,NOT($FR12="")),AND($GN12&gt;=$GO$26,NOT($GN12="")),AND($HJ12&gt;=$HK$26,NOT($HJ12="")),AND($IF12&gt;=$IG$26,NOT($IF12="")),AND($JB12&gt;=$JC$26,NOT($JB12="")),AND($JX12&gt;=$JY$26,NOT($JX12="")),AND($KT12&gt;=$KU$26,NOT($KT12="")),AND($LP12&gt;=$LQ$26,NOT($LP12="")),AND($AO12&gt;=$AL$26,NOT($AO12=""),$AJ12=""),AND($BL12&gt;=$BI$26,NOT($BL12=""),$BG12=""),AND($CL12&gt;=$CI$26,NOT($CL12="")),AND($DH12&gt;=$DE$26,NOT($DH12="")),AND($ED12&gt;=$EA$26,NOT($ED12="")),AND($EZ12&gt;=$EW$26,NOT($EZ12="")),AND($FV12&gt;=$FS$26,NOT($FV12="")),AND($GR12&gt;=$GO$26,NOT($GR12="")),AND($HN12&gt;=$HK$26,NOT($HN12="")),AND($IJ12&gt;=$IG$26,NOT($IJ12="")),AND($JF12&gt;=$JC$26,NOT($JF12="")),AND($KB12&gt;=$JY$26,NOT($KB12="")),AND($KX12&gt;=$KU$26,NOT($KX12="")),AND($LT12&gt;=$LQ$26,NOT($LT12=""))),"P","")</f>
        <v>P</v>
      </c>
      <c r="G12" s="4" t="str">
        <f>IF(OR(AND($AK12&gt;=$AL$27,NOT($AK12=""),$AJ12=""),AND($BH12&gt;=$BI$27,NOT($BH12=""),$BG12=""),AND($CH12&gt;=$CI$27,NOT($CH12="")),AND($DD12&gt;=$DE$27,NOT($DD12="")),AND($DZ12&gt;=$EA$27,NOT($DZ12="")),AND($EV12&gt;=$EW$27,NOT($EV12="")),AND($FR12&gt;=$FS$27,NOT($FR12="")),AND($GN12&gt;=$GO$27,NOT($GN12="")),AND($HJ12&gt;=$HK$27,NOT($HJ12="")),AND($IF12&gt;=$IG$27,NOT($IF12="")),AND($JB12&gt;=$JC$27,NOT($JB12="")),AND($JX12&gt;=$JY$27,NOT($JX12="")),AND($KT12&gt;=$KU$27,NOT($KT12="")),AND($LP12&gt;=$LQ$27,NOT($LP12="")),AND($AO12&gt;=$AL$27,NOT($AO12=""),$AJ12=""),AND($BL12&gt;=$BI$27,NOT($BL12=""),$BG12=""),AND($CL12&gt;=$CI$27,NOT($CL12="")),AND($DH12&gt;=$DE$27,NOT($DH12="")),AND($ED12&gt;=$EA$27,NOT($ED12="")),AND($EZ12&gt;=$EW$27,NOT($EZ12="")),AND($FV12&gt;=$FS$27,NOT($FV12="")),AND($GR12&gt;=$GO$27,NOT($GR12="")),AND($HN12&gt;=$HK$27,NOT($HN12="")),AND($IJ12&gt;=$IG$27,NOT($IJ12="")),AND($JF12&gt;=$JC$27,NOT($JF12="")),AND($KB12&gt;=$JY$27,NOT($KB12="")),AND($KX12&gt;=$KU$27,NOT($KX12="")),AND($LT12&gt;=$LQ$27,NOT($LT12=""))),"P","")</f>
        <v>P</v>
      </c>
      <c r="H12" s="4" t="str">
        <f>IF(OR(AND($AN12&gt;=$AL$28,NOT($AN12=""),$AJ12=""),AND($BK12&gt;=$BI$28,NOT($BK12=""),$BG12=""),AND($CK12&gt;=$CI$28,NOT($CK12="")),AND($DG12&gt;=$DE$28,NOT($DG12="")),AND($EC12&gt;=$EA$28,NOT($EC12="")),AND($EY12&gt;=$EW$28,NOT($EY12="")),AND($FU12&gt;=$FS$28,NOT($FU12="")),AND($GQ12&gt;=$GO$28,NOT($GQ12="")),AND($HM12&gt;=$HK$28,NOT($HM12="")),AND($II12&gt;=$IG$28,NOT($II12="")),AND($JE12&gt;=$JC$28,NOT($JE12="")),AND($KA12&gt;=$JY$28,NOT($KA12="")),AND($KW12&gt;=$KU$28,NOT($KW12="")),AND($LS12&gt;=$LQ$28,NOT($LS12=""))),"P","")</f>
        <v>P</v>
      </c>
      <c r="I12" t="str">
        <f>IF(AND(H12="P",F12=""),"No DD",IF(AND(G12="P",OR(AND($AM12&gt;$AL$31,NOT($AM12=""),$AJ12=""),AND($AP12&gt;$AL$31,NOT($AP12=""),$AJ12=""),AND($BJ12&gt;$BI$31,NOT($BJ12=""),$BG12=""),AND($BM12&gt;$BI$31,NOT($BM12=""),$BG12=""),AND($CJ12&gt;$CI$31,NOT($CJ12="")),AND($CM12&gt;$CI$31,NOT($CM12="")),AND($DF12&gt;$DE$31,NOT($DF12="")),AND($DI12&gt;$DE$31,NOT($DI12="")),AND($EB12&gt;$EA$31,NOT($EB12="")),AND($EE12&gt;$EA$31,NOT($EE12="")),AND($EX12&gt;$EW$31,NOT($EX12="")),AND($FA12&gt;$EW$31,NOT($FA12="")),AND($FT12&gt;$FS$31,NOT($FT12="")),AND($FW12&gt;$FS$31,NOT($FW12="")),AND($GP12&gt;$GO$31,NOT($GP12="")),AND($GS12&gt;$GO$31,NOT($GS12="")),AND($HL12&gt;$HK$31,NOT($HL12="")),AND($HO12&gt;$HK$31,NOT($HO12="")),AND($IH12&gt;$IG$31,NOT($IH12="")),AND($IK12&gt;$IG$31,NOT($IK12="")),AND($JD12&gt;$JC$31,NOT($JD12="")),AND($JG12&gt;$JC$31,NOT($JG12="")),AND($JZ12&gt;$JY$31,NOT($JZ12="")),AND($KC12&gt;$JY$31,NOT($KC12="")),AND($KV12&gt;$KU$31,NOT($KV12="")),AND($KY12&gt;$KU$31,NOT($KY12="")),AND($LR12&gt;$LQ$31,NOT($LR12="")),AND($LU12&gt;$LQ$31,NOT($LU12="")))),"Merit",IF(AND(G12="P",OR(AND($AN12&gt;$AL$30,NOT($AN12=""),$AJ12=""),AND($BK12&gt;$BI$30,NOT($BK12=""),$BG12=""),AND($CK12&gt;$CI$30,NOT($CK12="")),AND($DG12&gt;$DE$30,NOT($DG12="")),AND($EC12&gt;$EA$30,NOT($EC12="")),AND($EY12&gt;$EW$30,NOT($EY12="")),AND($FU12&gt;$FS$30,NOT($FU12="")),AND($GQ12&gt;$GO$30,NOT($GQ12="")),AND($HM12&gt;$HK$30,NOT($HM12="")),AND($II12&gt;$IG$30,NOT($II12="")),AND($JE12&gt;$JC$30,NOT($JE12="")),AND($KA12&gt;$JY$30,NOT($KA12="")),AND($KW12&gt;$KU$30,NOT($KW12="")),AND($LS12&gt;$LQ$30,NOT($LS12="")))),"Excellence",IF(AND(G12="P",OR(AND($AN12&gt;$AL$29,NOT($AN12=""),$AJ12=""),AND($BK12&gt;$BI$29,NOT($BK12=""),$BG12=""),AND($CK12&gt;$CI$29,NOT($CK12="")),AND($DG12&gt;$DE$29,NOT($DG12="")),AND($EC12&gt;$EA$29,NOT($EC12="")),AND($EY12&gt;$EW$29,NOT($EY12="")),AND($FU12&gt;$FS$29,NOT($FU12="")),AND($GQ12&gt;$GO$29,NOT($GQ12="")),AND($HM12&gt;$HK$29,NOT($HM12="")),AND($II12&gt;$IG$29,NOT($II12="")),AND($JE12&gt;$JC$29,NOT($JE12="")),AND($KA12&gt;$JY$29,NOT($KA12="")),AND($KW12&gt;$KU$29,NOT($KW12="")),AND($LS12&gt;$LQ$29,NOT($LS12="")))),"Worlds Team",IF(AND(F12="P",OR(AND($AN12&gt;$AL$28,NOT($AN12=""),$AJ12=""),AND($BK12&gt;$BI$28,NOT($BK12=""),$BG12=""),AND($CK12&gt;$CI$28,NOT($CK12="")),AND($DG12&gt;$DE$28,NOT($DG12="")),AND($EC12&gt;$EA$28,NOT($EC12="")),AND($EY12&gt;$EW$28,NOT($EY12="")),AND($FU12&gt;$FS$28,NOT($FU12="")),AND($GQ12&gt;$GO$28,NOT($GQ12="")),AND($HM12&gt;$HK$28,NOT($HM12="")),AND($II12&gt;$IG$28,NOT($II12="")),AND($JE12&gt;$JC$28,NOT($JE12="")),AND($KA12&gt;$JY$28,NOT($KA12="")),AND($KW12&gt;$KU$28,NOT($KW12="")),AND($LS12&gt;$LQ$28,NOT($LS12="")))),"National Team","")))))</f>
        <v>National Team</v>
      </c>
      <c r="J12" s="15">
        <f>IF(MAX(AN12,BK12)&gt;0,MAX(AN12,BK12),"")</f>
        <v>98.8</v>
      </c>
      <c r="K12" s="15" t="str">
        <f>IF(J12="","",IF(J12=BK12,$AR$1,IF(J12=AN12,$U$1,"")))</f>
        <v>2018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53.44</v>
      </c>
      <c r="Q12" s="15" t="str">
        <f>IF(P12="","",IF(P12=BM12,$AR$1,IF(P12=AP12,$U$1,"")))</f>
        <v>2018 Nationals</v>
      </c>
      <c r="R12" s="15" t="str">
        <f>IF(MAX(BO12,BP12,BQ12,BR12)&gt;0,MAX(BO12,BP12,BQ12,BR12),"")</f>
        <v/>
      </c>
      <c r="S12" s="25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63">
        <v>17.100000000000001</v>
      </c>
      <c r="V12" s="63">
        <v>9.4</v>
      </c>
      <c r="W12" s="63">
        <v>3.7</v>
      </c>
      <c r="X12" s="63">
        <v>16.82</v>
      </c>
      <c r="Y12" s="63">
        <v>0</v>
      </c>
      <c r="Z12" s="63">
        <v>13.7</v>
      </c>
      <c r="AA12" s="63">
        <v>8.9</v>
      </c>
      <c r="AB12" s="63">
        <v>13.5</v>
      </c>
      <c r="AC12" s="63">
        <v>15.68</v>
      </c>
      <c r="AD12" s="63">
        <v>0</v>
      </c>
      <c r="AE12" s="63">
        <v>15.3</v>
      </c>
      <c r="AF12" s="63">
        <v>8.8000000000000007</v>
      </c>
      <c r="AG12" s="63">
        <v>13.1</v>
      </c>
      <c r="AH12" s="63">
        <v>16.239999999999998</v>
      </c>
      <c r="AI12" s="63">
        <v>0</v>
      </c>
      <c r="AJ12" s="74"/>
      <c r="AK12" s="12">
        <f>IF(AB12&gt;0,AB12,"")</f>
        <v>13.5</v>
      </c>
      <c r="AL12" s="12">
        <f>IF(SUM(U12:X12)-Y12&gt;0,SUM(U12:X12)-Y12,"")</f>
        <v>47.019999999999996</v>
      </c>
      <c r="AM12" s="12">
        <f>IF(SUM(Z12:AC12)-AD12&gt;0,SUM(Z12:AC12)-AD12,"")</f>
        <v>51.78</v>
      </c>
      <c r="AN12" s="12">
        <f>IF(SUM(AL12:AM12)&gt;0,SUM(AL12:AM12),"")</f>
        <v>98.8</v>
      </c>
      <c r="AO12" s="12">
        <f>IF(AG12&gt;0,AG12,"")</f>
        <v>13.1</v>
      </c>
      <c r="AP12" s="12">
        <f>IF(SUM(AE12:AH12)-AI12&gt;0,SUM(AE12:AH12)-AI12,"")</f>
        <v>53.44</v>
      </c>
      <c r="AQ12" s="12">
        <f>IF(SUM(AN12,AP12)&gt;0,SUM(AN12,AP12),"")</f>
        <v>152.24</v>
      </c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75"/>
      <c r="BH12" s="15" t="str">
        <f>IF(AY12&gt;0,AY12,"")</f>
        <v/>
      </c>
      <c r="BI12" s="15" t="str">
        <f>IF(SUM(AR12:AU12)-AV12&gt;0,SUM(AR12:AU12)-AV12,"")</f>
        <v/>
      </c>
      <c r="BJ12" s="15" t="str">
        <f>IF(SUM(AW12:AZ12)-BA12&gt;0,SUM(AW12:AZ12)-BA12,"")</f>
        <v/>
      </c>
      <c r="BK12" s="15" t="str">
        <f>IF(SUM(BI12:BJ12)&gt;0,SUM(BI12:BJ12),"")</f>
        <v/>
      </c>
      <c r="BL12" s="15" t="str">
        <f>IF(BD12&gt;0,BD12,"")</f>
        <v/>
      </c>
      <c r="BM12" s="15" t="str">
        <f>IF(SUM(BB12:BE12)-BF12&gt;0,SUM(BB12:BE12)-BF12,"")</f>
        <v/>
      </c>
      <c r="BN12" s="15" t="str">
        <f>IF(SUM(BK12,BM12)&gt;0,SUM(BK12,BM12),"")</f>
        <v/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 t="str">
        <f>IF(MAX(CJ12,DF12,EB12,EX12,FT12,GP12,HL12,IH12,JD12,JZ12,KV12,LR12)-IF(N12="",0,N12)&gt;0.001,MAX(CJ12,DF12,EB12,EX12,FT12,GP12,HL12,IH12,JD12,JZ12,KV12,LR12)-IF(N12="",0,N12),"")</f>
        <v/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8.5500000000000007</v>
      </c>
      <c r="LX12" s="63">
        <f t="shared" si="8"/>
        <v>4.7</v>
      </c>
      <c r="LY12" s="63">
        <f t="shared" si="9"/>
        <v>1.85</v>
      </c>
      <c r="LZ12" s="63">
        <f t="shared" si="10"/>
        <v>8.41</v>
      </c>
      <c r="MA12" s="63">
        <f t="shared" si="11"/>
        <v>0</v>
      </c>
      <c r="MB12" s="63">
        <f t="shared" si="12"/>
        <v>6.85</v>
      </c>
      <c r="MC12" s="63">
        <f t="shared" si="13"/>
        <v>4.45</v>
      </c>
      <c r="MD12" s="63">
        <f t="shared" si="14"/>
        <v>6.75</v>
      </c>
      <c r="ME12" s="63">
        <f t="shared" si="15"/>
        <v>7.84</v>
      </c>
      <c r="MF12" s="63">
        <f t="shared" si="16"/>
        <v>0</v>
      </c>
      <c r="MG12" s="63">
        <f t="shared" si="17"/>
        <v>7.65</v>
      </c>
      <c r="MH12" s="63">
        <f t="shared" si="18"/>
        <v>4.4000000000000004</v>
      </c>
      <c r="MI12" s="63">
        <f t="shared" si="19"/>
        <v>6.55</v>
      </c>
      <c r="MJ12" s="63">
        <f t="shared" si="20"/>
        <v>8.1199999999999992</v>
      </c>
      <c r="MK12" s="63">
        <f t="shared" si="21"/>
        <v>0</v>
      </c>
      <c r="ML12" s="74" t="s">
        <v>116</v>
      </c>
      <c r="MM12" s="12">
        <f t="shared" si="22"/>
        <v>6.75</v>
      </c>
      <c r="MN12" s="12">
        <f t="shared" si="23"/>
        <v>23.509999999999998</v>
      </c>
      <c r="MO12" s="12">
        <f t="shared" si="24"/>
        <v>25.89</v>
      </c>
      <c r="MP12" s="12">
        <f t="shared" si="25"/>
        <v>49.4</v>
      </c>
      <c r="MQ12" s="12">
        <f t="shared" si="26"/>
        <v>6.55</v>
      </c>
      <c r="MR12" s="12">
        <f t="shared" si="27"/>
        <v>26.72</v>
      </c>
      <c r="MS12" s="12">
        <f t="shared" si="28"/>
        <v>76.12</v>
      </c>
    </row>
    <row r="13" spans="1:357" x14ac:dyDescent="0.2">
      <c r="A13" s="6">
        <f>IF(AND(F13="P",H13="P"),SUMPRODUCT((F$4:F$24="P")*(H$4:H$24="P")*(E$4:E$24&gt;E13))+1,IF(H13="P",SUMPRODUCT((F$4:F$24="")*(H$4:H$24="P")*(E$4:E$24&gt;E13))+1+SUMPRODUCT((F$4:F$24="P")*(H$4:H$24="P")),""))</f>
        <v>5</v>
      </c>
      <c r="B13" s="7" t="s">
        <v>80</v>
      </c>
      <c r="C13" s="8" t="s">
        <v>4</v>
      </c>
      <c r="D13" s="6">
        <v>2002</v>
      </c>
      <c r="E13" s="16">
        <f>SUM(J13:R13)</f>
        <v>251.98499999999999</v>
      </c>
      <c r="F13" s="4" t="str">
        <f>IF(OR(AND($AK13&gt;=$AL$26,NOT($AK13=""),$AJ13=""),AND($BH13&gt;=$BI$26,NOT($BH13=""),$BG13=""),AND($CH13&gt;=$CI$26,NOT($CH13="")),AND($DD13&gt;=$DE$26,NOT($DD13="")),AND($DZ13&gt;=$EA$26,NOT($DZ13="")),AND($EV13&gt;=$EW$26,NOT($EV13="")),AND($FR13&gt;=$FS$26,NOT($FR13="")),AND($GN13&gt;=$GO$26,NOT($GN13="")),AND($HJ13&gt;=$HK$26,NOT($HJ13="")),AND($IF13&gt;=$IG$26,NOT($IF13="")),AND($JB13&gt;=$JC$26,NOT($JB13="")),AND($JX13&gt;=$JY$26,NOT($JX13="")),AND($KT13&gt;=$KU$26,NOT($KT13="")),AND($LP13&gt;=$LQ$26,NOT($LP13="")),AND($AO13&gt;=$AL$26,NOT($AO13=""),$AJ13=""),AND($BL13&gt;=$BI$26,NOT($BL13=""),$BG13=""),AND($CL13&gt;=$CI$26,NOT($CL13="")),AND($DH13&gt;=$DE$26,NOT($DH13="")),AND($ED13&gt;=$EA$26,NOT($ED13="")),AND($EZ13&gt;=$EW$26,NOT($EZ13="")),AND($FV13&gt;=$FS$26,NOT($FV13="")),AND($GR13&gt;=$GO$26,NOT($GR13="")),AND($HN13&gt;=$HK$26,NOT($HN13="")),AND($IJ13&gt;=$IG$26,NOT($IJ13="")),AND($JF13&gt;=$JC$26,NOT($JF13="")),AND($KB13&gt;=$JY$26,NOT($KB13="")),AND($KX13&gt;=$KU$26,NOT($KX13="")),AND($LT13&gt;=$LQ$26,NOT($LT13=""))),"P","")</f>
        <v/>
      </c>
      <c r="G13" s="4" t="str">
        <f>IF(OR(AND($AK13&gt;=$AL$27,NOT($AK13=""),$AJ13=""),AND($BH13&gt;=$BI$27,NOT($BH13=""),$BG13=""),AND($CH13&gt;=$CI$27,NOT($CH13="")),AND($DD13&gt;=$DE$27,NOT($DD13="")),AND($DZ13&gt;=$EA$27,NOT($DZ13="")),AND($EV13&gt;=$EW$27,NOT($EV13="")),AND($FR13&gt;=$FS$27,NOT($FR13="")),AND($GN13&gt;=$GO$27,NOT($GN13="")),AND($HJ13&gt;=$HK$27,NOT($HJ13="")),AND($IF13&gt;=$IG$27,NOT($IF13="")),AND($JB13&gt;=$JC$27,NOT($JB13="")),AND($JX13&gt;=$JY$27,NOT($JX13="")),AND($KT13&gt;=$KU$27,NOT($KT13="")),AND($LP13&gt;=$LQ$27,NOT($LP13="")),AND($AO13&gt;=$AL$27,NOT($AO13=""),$AJ13=""),AND($BL13&gt;=$BI$27,NOT($BL13=""),$BG13=""),AND($CL13&gt;=$CI$27,NOT($CL13="")),AND($DH13&gt;=$DE$27,NOT($DH13="")),AND($ED13&gt;=$EA$27,NOT($ED13="")),AND($EZ13&gt;=$EW$27,NOT($EZ13="")),AND($FV13&gt;=$FS$27,NOT($FV13="")),AND($GR13&gt;=$GO$27,NOT($GR13="")),AND($HN13&gt;=$HK$27,NOT($HN13="")),AND($IJ13&gt;=$IG$27,NOT($IJ13="")),AND($JF13&gt;=$JC$27,NOT($JF13="")),AND($KB13&gt;=$JY$27,NOT($KB13="")),AND($KX13&gt;=$KU$27,NOT($KX13="")),AND($LT13&gt;=$LQ$27,NOT($LT13=""))),"P","")</f>
        <v/>
      </c>
      <c r="H13" s="4" t="str">
        <f>IF(OR(AND($AN13&gt;=$AL$28,NOT($AN13=""),$AJ13=""),AND($BK13&gt;=$BI$28,NOT($BK13=""),$BG13=""),AND($CK13&gt;=$CI$28,NOT($CK13="")),AND($DG13&gt;=$DE$28,NOT($DG13="")),AND($EC13&gt;=$EA$28,NOT($EC13="")),AND($EY13&gt;=$EW$28,NOT($EY13="")),AND($FU13&gt;=$FS$28,NOT($FU13="")),AND($GQ13&gt;=$GO$28,NOT($GQ13="")),AND($HM13&gt;=$HK$28,NOT($HM13="")),AND($II13&gt;=$IG$28,NOT($II13="")),AND($JE13&gt;=$JC$28,NOT($JE13="")),AND($KA13&gt;=$JY$28,NOT($KA13="")),AND($KW13&gt;=$KU$28,NOT($KW13="")),AND($LS13&gt;=$LQ$28,NOT($LS13=""))),"P","")</f>
        <v>P</v>
      </c>
      <c r="I13" t="str">
        <f>IF(AND(H13="P",F13=""),"No DD",IF(AND(G13="P",OR(AND($AM13&gt;$AL$31,NOT($AM13=""),$AJ13=""),AND($AP13&gt;$AL$31,NOT($AP13=""),$AJ13=""),AND($BJ13&gt;$BI$31,NOT($BJ13=""),$BG13=""),AND($BM13&gt;$BI$31,NOT($BM13=""),$BG13=""),AND($CJ13&gt;$CI$31,NOT($CJ13="")),AND($CM13&gt;$CI$31,NOT($CM13="")),AND($DF13&gt;$DE$31,NOT($DF13="")),AND($DI13&gt;$DE$31,NOT($DI13="")),AND($EB13&gt;$EA$31,NOT($EB13="")),AND($EE13&gt;$EA$31,NOT($EE13="")),AND($EX13&gt;$EW$31,NOT($EX13="")),AND($FA13&gt;$EW$31,NOT($FA13="")),AND($FT13&gt;$FS$31,NOT($FT13="")),AND($FW13&gt;$FS$31,NOT($FW13="")),AND($GP13&gt;$GO$31,NOT($GP13="")),AND($GS13&gt;$GO$31,NOT($GS13="")),AND($HL13&gt;$HK$31,NOT($HL13="")),AND($HO13&gt;$HK$31,NOT($HO13="")),AND($IH13&gt;$IG$31,NOT($IH13="")),AND($IK13&gt;$IG$31,NOT($IK13="")),AND($JD13&gt;$JC$31,NOT($JD13="")),AND($JG13&gt;$JC$31,NOT($JG13="")),AND($JZ13&gt;$JY$31,NOT($JZ13="")),AND($KC13&gt;$JY$31,NOT($KC13="")),AND($KV13&gt;$KU$31,NOT($KV13="")),AND($KY13&gt;$KU$31,NOT($KY13="")),AND($LR13&gt;$LQ$31,NOT($LR13="")),AND($LU13&gt;$LQ$31,NOT($LU13="")))),"Merit",IF(AND(G13="P",OR(AND($AN13&gt;$AL$30,NOT($AN13=""),$AJ13=""),AND($BK13&gt;$BI$30,NOT($BK13=""),$BG13=""),AND($CK13&gt;$CI$30,NOT($CK13="")),AND($DG13&gt;$DE$30,NOT($DG13="")),AND($EC13&gt;$EA$30,NOT($EC13="")),AND($EY13&gt;$EW$30,NOT($EY13="")),AND($FU13&gt;$FS$30,NOT($FU13="")),AND($GQ13&gt;$GO$30,NOT($GQ13="")),AND($HM13&gt;$HK$30,NOT($HM13="")),AND($II13&gt;$IG$30,NOT($II13="")),AND($JE13&gt;$JC$30,NOT($JE13="")),AND($KA13&gt;$JY$30,NOT($KA13="")),AND($KW13&gt;$KU$30,NOT($KW13="")),AND($LS13&gt;$LQ$30,NOT($LS13="")))),"Excellence",IF(AND(G13="P",OR(AND($AN13&gt;$AL$29,NOT($AN13=""),$AJ13=""),AND($BK13&gt;$BI$29,NOT($BK13=""),$BG13=""),AND($CK13&gt;$CI$29,NOT($CK13="")),AND($DG13&gt;$DE$29,NOT($DG13="")),AND($EC13&gt;$EA$29,NOT($EC13="")),AND($EY13&gt;$EW$29,NOT($EY13="")),AND($FU13&gt;$FS$29,NOT($FU13="")),AND($GQ13&gt;$GO$29,NOT($GQ13="")),AND($HM13&gt;$HK$29,NOT($HM13="")),AND($II13&gt;$IG$29,NOT($II13="")),AND($JE13&gt;$JC$29,NOT($JE13="")),AND($KA13&gt;$JY$29,NOT($KA13="")),AND($KW13&gt;$KU$29,NOT($KW13="")),AND($LS13&gt;$LQ$29,NOT($LS13="")))),"Worlds Team",IF(AND(F13="P",OR(AND($AN13&gt;$AL$28,NOT($AN13=""),$AJ13=""),AND($BK13&gt;$BI$28,NOT($BK13=""),$BG13=""),AND($CK13&gt;$CI$28,NOT($CK13="")),AND($DG13&gt;$DE$28,NOT($DG13="")),AND($EC13&gt;$EA$28,NOT($EC13="")),AND($EY13&gt;$EW$28,NOT($EY13="")),AND($FU13&gt;$FS$28,NOT($FU13="")),AND($GQ13&gt;$GO$28,NOT($GQ13="")),AND($HM13&gt;$HK$28,NOT($HM13="")),AND($II13&gt;$IG$28,NOT($II13="")),AND($JE13&gt;$JC$28,NOT($JE13="")),AND($KA13&gt;$JY$28,NOT($KA13="")),AND($KW13&gt;$KU$28,NOT($KW13="")),AND($LS13&gt;$LQ$28,NOT($LS13="")))),"National Team","")))))</f>
        <v>No DD</v>
      </c>
      <c r="J13" s="15">
        <f>IF(MAX(AN13,BK13)&gt;0,MAX(AN13,BK13),"")</f>
        <v>98.86</v>
      </c>
      <c r="K13" s="15" t="str">
        <f>IF(J13="","",IF(J13=BK13,$AR$1,IF(J13=AN13,$U$1,"")))</f>
        <v>2018 Nationals</v>
      </c>
      <c r="L13" s="15">
        <f>IF($J13=$AN13,BI13,IF($J13=$BK13,AL13,MAX(AL13,BI13)))</f>
        <v>46.325000000000003</v>
      </c>
      <c r="M13" s="15" t="str">
        <f>IF(L13="","",IF(AND(L13=BI13,$K13&lt;&gt;$AR$1),$AR$1,IF(AND(L13=AL13,$K13&lt;&gt;$U$1),$U$1,"")))</f>
        <v>2019 Elite Canada</v>
      </c>
      <c r="N13" s="15">
        <f>IF($J13=$AN13,BJ13,IF($J13=$BK13,AM13,MAX(AM13,BJ13)))</f>
        <v>16.64</v>
      </c>
      <c r="O13" s="15" t="str">
        <f>IF(N13="","",IF(AND(N13=BJ13,$K13&lt;&gt;$AR$1),$AR$1,IF(AND(N13=AM13,$K13&lt;&gt;$U$1),$U$1,"")))</f>
        <v>2019 Elite Canada</v>
      </c>
      <c r="P13" s="15">
        <f>IF(MAX(AP13,BM13)&gt;0,MAX(AP13,BM13),"")</f>
        <v>54.599999999999994</v>
      </c>
      <c r="Q13" s="15" t="str">
        <f>IF(P13="","",IF(P13=BM13,$AR$1,IF(P13=AP13,$U$1,"")))</f>
        <v>2018 Nationals</v>
      </c>
      <c r="R13" s="15">
        <f>IF(MAX(BO13,BP13,BQ13,BR13)&gt;0,MAX(BO13,BP13,BQ13,BR13),"")</f>
        <v>35.56</v>
      </c>
      <c r="S13" s="25" t="str">
        <f>IF(R13="","",IF(R13=BO13,"(Vol 1)",IF(R13=BP13,"(Vol 2)",IF(R13=BQ13,"(Prelim)",IF(R13=BR13,"(Final)")))))</f>
        <v>(Vol 2)</v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>2018 World Age Groups (Nov 18)</v>
      </c>
      <c r="U13" s="63">
        <v>17.3</v>
      </c>
      <c r="V13" s="63">
        <v>9.25</v>
      </c>
      <c r="W13" s="63">
        <v>3.1</v>
      </c>
      <c r="X13" s="63">
        <v>16.245000000000001</v>
      </c>
      <c r="Y13" s="63">
        <v>0</v>
      </c>
      <c r="Z13" s="63">
        <v>15.8</v>
      </c>
      <c r="AA13" s="63">
        <v>9.35</v>
      </c>
      <c r="AB13" s="63">
        <v>12</v>
      </c>
      <c r="AC13" s="63">
        <v>15.815</v>
      </c>
      <c r="AD13" s="63">
        <v>0</v>
      </c>
      <c r="AE13" s="63">
        <v>16.899999999999999</v>
      </c>
      <c r="AF13" s="63">
        <v>9.4499999999999993</v>
      </c>
      <c r="AG13" s="63">
        <v>12.2</v>
      </c>
      <c r="AH13" s="63">
        <v>16.05</v>
      </c>
      <c r="AI13" s="63">
        <v>0</v>
      </c>
      <c r="AJ13" s="74"/>
      <c r="AK13" s="12">
        <f>IF(AB13&gt;0,AB13,"")</f>
        <v>12</v>
      </c>
      <c r="AL13" s="12">
        <f>IF(SUM(U13:X13)-Y13&gt;0,SUM(U13:X13)-Y13,"")</f>
        <v>45.895000000000003</v>
      </c>
      <c r="AM13" s="12">
        <f>IF(SUM(Z13:AC13)-AD13&gt;0,SUM(Z13:AC13)-AD13,"")</f>
        <v>52.964999999999996</v>
      </c>
      <c r="AN13" s="12">
        <f>IF(SUM(AL13:AM13)&gt;0,SUM(AL13:AM13),"")</f>
        <v>98.86</v>
      </c>
      <c r="AO13" s="12">
        <f>IF(AG13&gt;0,AG13,"")</f>
        <v>12.2</v>
      </c>
      <c r="AP13" s="12">
        <f>IF(SUM(AE13:AH13)-AI13&gt;0,SUM(AE13:AH13)-AI13,"")</f>
        <v>54.599999999999994</v>
      </c>
      <c r="AQ13" s="12">
        <f>IF(SUM(AN13,AP13)&gt;0,SUM(AN13,AP13),"")</f>
        <v>153.45999999999998</v>
      </c>
      <c r="AR13" s="69">
        <v>17.100000000000001</v>
      </c>
      <c r="AS13" s="69">
        <v>8.9499999999999993</v>
      </c>
      <c r="AT13" s="69">
        <v>4</v>
      </c>
      <c r="AU13" s="69">
        <v>16.274999999999999</v>
      </c>
      <c r="AV13" s="69">
        <v>0</v>
      </c>
      <c r="AW13" s="69">
        <v>4.5</v>
      </c>
      <c r="AX13" s="69">
        <v>2.5</v>
      </c>
      <c r="AY13" s="69">
        <v>4.5999999999999996</v>
      </c>
      <c r="AZ13" s="69">
        <v>5.04</v>
      </c>
      <c r="BA13" s="69">
        <v>0</v>
      </c>
      <c r="BB13" s="69"/>
      <c r="BC13" s="69"/>
      <c r="BD13" s="69"/>
      <c r="BE13" s="69"/>
      <c r="BF13" s="69"/>
      <c r="BG13" s="75"/>
      <c r="BH13" s="15">
        <f>IF(AY13&gt;0,AY13,"")</f>
        <v>4.5999999999999996</v>
      </c>
      <c r="BI13" s="15">
        <f>IF(SUM(AR13:AU13)-AV13&gt;0,SUM(AR13:AU13)-AV13,"")</f>
        <v>46.325000000000003</v>
      </c>
      <c r="BJ13" s="15">
        <f>IF(SUM(AW13:AZ13)-BA13&gt;0,SUM(AW13:AZ13)-BA13,"")</f>
        <v>16.64</v>
      </c>
      <c r="BK13" s="15">
        <f>IF(SUM(BI13:BJ13)&gt;0,SUM(BI13:BJ13),"")</f>
        <v>62.965000000000003</v>
      </c>
      <c r="BL13" s="15" t="str">
        <f>IF(BD13&gt;0,BD13,"")</f>
        <v/>
      </c>
      <c r="BM13" s="15" t="str">
        <f>IF(SUM(BB13:BE13)-BF13&gt;0,SUM(BB13:BE13)-BF13,"")</f>
        <v/>
      </c>
      <c r="BN13" s="15">
        <f>IF(SUM(BK13,BM13)&gt;0,SUM(BK13,BM13),"")</f>
        <v>62.965000000000003</v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>
        <f>IF(MAX(CJ13,DF13,EB13,EX13,FT13,GP13,HL13,IH13,JD13,JZ13,KV13,LR13)-IF(N13="",0,N13)&gt;0.001,MAX(CJ13,DF13,EB13,EX13,FT13,GP13,HL13,IH13,JD13,JZ13,KV13,LR13)-IF(N13="",0,N13),"")</f>
        <v>35.56</v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>
        <v>16.2</v>
      </c>
      <c r="BT13" s="36">
        <v>8.8000000000000007</v>
      </c>
      <c r="BU13" s="36">
        <v>0</v>
      </c>
      <c r="BV13" s="36">
        <v>16.425000000000001</v>
      </c>
      <c r="BW13" s="36">
        <v>0</v>
      </c>
      <c r="BX13" s="36">
        <v>15</v>
      </c>
      <c r="BY13" s="36">
        <v>9.3000000000000007</v>
      </c>
      <c r="BZ13" s="36">
        <v>12.3</v>
      </c>
      <c r="CA13" s="36">
        <v>15.6</v>
      </c>
      <c r="CB13" s="36">
        <v>0</v>
      </c>
      <c r="CC13" s="36"/>
      <c r="CD13" s="36"/>
      <c r="CE13" s="36"/>
      <c r="CF13" s="36"/>
      <c r="CG13" s="36"/>
      <c r="CH13" s="12">
        <f>IF(BZ13&gt;0,BZ13,"")</f>
        <v>12.3</v>
      </c>
      <c r="CI13" s="12">
        <f>IF(SUM(BS13:BV13)-BW13&gt;0,SUM(BS13:BV13)-BW13,"")</f>
        <v>41.424999999999997</v>
      </c>
      <c r="CJ13" s="12">
        <f>IF(SUM(BX13:CA13)-CB13&gt;0,SUM(BX13:CA13)-CB13,"")</f>
        <v>52.2</v>
      </c>
      <c r="CK13" s="12">
        <f>IF(SUM(CI13:CJ13)&gt;0,SUM(CI13:CJ13),"")</f>
        <v>93.625</v>
      </c>
      <c r="CL13" s="12" t="str">
        <f>IF(CE13&gt;0,CE13,"")</f>
        <v/>
      </c>
      <c r="CM13" s="12" t="str">
        <f>IF(SUM(CC13:CF13)-CG13&gt;0,SUM(CC13:CF13)-CG13,"")</f>
        <v/>
      </c>
      <c r="CN13" s="12">
        <f>IF(SUM(CK13,CM13)&gt;0,SUM(CK13,CM13),"")</f>
        <v>93.625</v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17.200000000000003</v>
      </c>
      <c r="LX13" s="63">
        <f t="shared" si="8"/>
        <v>9.1</v>
      </c>
      <c r="LY13" s="63">
        <f t="shared" si="9"/>
        <v>3.55</v>
      </c>
      <c r="LZ13" s="63">
        <f t="shared" si="10"/>
        <v>16.259999999999998</v>
      </c>
      <c r="MA13" s="63">
        <f t="shared" si="11"/>
        <v>0</v>
      </c>
      <c r="MB13" s="63">
        <f t="shared" si="12"/>
        <v>10.15</v>
      </c>
      <c r="MC13" s="63">
        <f t="shared" si="13"/>
        <v>5.9249999999999998</v>
      </c>
      <c r="MD13" s="63">
        <f t="shared" si="14"/>
        <v>8.3000000000000007</v>
      </c>
      <c r="ME13" s="63">
        <f t="shared" si="15"/>
        <v>10.4275</v>
      </c>
      <c r="MF13" s="63">
        <f t="shared" si="16"/>
        <v>0</v>
      </c>
      <c r="MG13" s="63">
        <f t="shared" si="17"/>
        <v>8.4499999999999993</v>
      </c>
      <c r="MH13" s="63">
        <f t="shared" si="18"/>
        <v>4.7249999999999996</v>
      </c>
      <c r="MI13" s="63">
        <f t="shared" si="19"/>
        <v>6.1</v>
      </c>
      <c r="MJ13" s="63">
        <f t="shared" si="20"/>
        <v>8.0250000000000004</v>
      </c>
      <c r="MK13" s="63">
        <f t="shared" si="21"/>
        <v>0</v>
      </c>
      <c r="ML13" s="74" t="s">
        <v>116</v>
      </c>
      <c r="MM13" s="12">
        <f t="shared" si="22"/>
        <v>8.3000000000000007</v>
      </c>
      <c r="MN13" s="12">
        <f t="shared" si="23"/>
        <v>46.11</v>
      </c>
      <c r="MO13" s="12">
        <f t="shared" si="24"/>
        <v>34.802500000000002</v>
      </c>
      <c r="MP13" s="12">
        <f t="shared" si="25"/>
        <v>80.912499999999994</v>
      </c>
      <c r="MQ13" s="12">
        <f t="shared" si="26"/>
        <v>6.1</v>
      </c>
      <c r="MR13" s="12">
        <f t="shared" si="27"/>
        <v>27.299999999999997</v>
      </c>
      <c r="MS13" s="12">
        <f t="shared" si="28"/>
        <v>108.21249999999999</v>
      </c>
    </row>
    <row r="14" spans="1:357" x14ac:dyDescent="0.2">
      <c r="A14" s="6" t="str">
        <f>IF(AND(F14="P",H14="P"),SUMPRODUCT((F$4:F$24="P")*(H$4:H$24="P")*(E$4:E$24&gt;E14))+1,IF(H14="P",SUMPRODUCT((F$4:F$24="")*(H$4:H$24="P")*(E$4:E$24&gt;E14))+1+SUMPRODUCT((F$4:F$24="P")*(H$4:H$24="P")),""))</f>
        <v/>
      </c>
      <c r="B14" s="7" t="s">
        <v>89</v>
      </c>
      <c r="C14" s="8" t="s">
        <v>4</v>
      </c>
      <c r="D14" s="6">
        <v>2001</v>
      </c>
      <c r="E14" s="16">
        <f>SUM(J14:R14)</f>
        <v>241.10499999999999</v>
      </c>
      <c r="F14" s="4" t="str">
        <f>IF(OR(AND($AK14&gt;=$AL$26,NOT($AK14=""),$AJ14=""),AND($BH14&gt;=$BI$26,NOT($BH14=""),$BG14=""),AND($CH14&gt;=$CI$26,NOT($CH14="")),AND($DD14&gt;=$DE$26,NOT($DD14="")),AND($DZ14&gt;=$EA$26,NOT($DZ14="")),AND($EV14&gt;=$EW$26,NOT($EV14="")),AND($FR14&gt;=$FS$26,NOT($FR14="")),AND($GN14&gt;=$GO$26,NOT($GN14="")),AND($HJ14&gt;=$HK$26,NOT($HJ14="")),AND($IF14&gt;=$IG$26,NOT($IF14="")),AND($JB14&gt;=$JC$26,NOT($JB14="")),AND($JX14&gt;=$JY$26,NOT($JX14="")),AND($KT14&gt;=$KU$26,NOT($KT14="")),AND($LP14&gt;=$LQ$26,NOT($LP14="")),AND($AO14&gt;=$AL$26,NOT($AO14=""),$AJ14=""),AND($BL14&gt;=$BI$26,NOT($BL14=""),$BG14=""),AND($CL14&gt;=$CI$26,NOT($CL14="")),AND($DH14&gt;=$DE$26,NOT($DH14="")),AND($ED14&gt;=$EA$26,NOT($ED14="")),AND($EZ14&gt;=$EW$26,NOT($EZ14="")),AND($FV14&gt;=$FS$26,NOT($FV14="")),AND($GR14&gt;=$GO$26,NOT($GR14="")),AND($HN14&gt;=$HK$26,NOT($HN14="")),AND($IJ14&gt;=$IG$26,NOT($IJ14="")),AND($JF14&gt;=$JC$26,NOT($JF14="")),AND($KB14&gt;=$JY$26,NOT($KB14="")),AND($KX14&gt;=$KU$26,NOT($KX14="")),AND($LT14&gt;=$LQ$26,NOT($LT14=""))),"P","")</f>
        <v/>
      </c>
      <c r="G14" s="4" t="str">
        <f>IF(OR(AND($AK14&gt;=$AL$27,NOT($AK14=""),$AJ14=""),AND($BH14&gt;=$BI$27,NOT($BH14=""),$BG14=""),AND($CH14&gt;=$CI$27,NOT($CH14="")),AND($DD14&gt;=$DE$27,NOT($DD14="")),AND($DZ14&gt;=$EA$27,NOT($DZ14="")),AND($EV14&gt;=$EW$27,NOT($EV14="")),AND($FR14&gt;=$FS$27,NOT($FR14="")),AND($GN14&gt;=$GO$27,NOT($GN14="")),AND($HJ14&gt;=$HK$27,NOT($HJ14="")),AND($IF14&gt;=$IG$27,NOT($IF14="")),AND($JB14&gt;=$JC$27,NOT($JB14="")),AND($JX14&gt;=$JY$27,NOT($JX14="")),AND($KT14&gt;=$KU$27,NOT($KT14="")),AND($LP14&gt;=$LQ$27,NOT($LP14="")),AND($AO14&gt;=$AL$27,NOT($AO14=""),$AJ14=""),AND($BL14&gt;=$BI$27,NOT($BL14=""),$BG14=""),AND($CL14&gt;=$CI$27,NOT($CL14="")),AND($DH14&gt;=$DE$27,NOT($DH14="")),AND($ED14&gt;=$EA$27,NOT($ED14="")),AND($EZ14&gt;=$EW$27,NOT($EZ14="")),AND($FV14&gt;=$FS$27,NOT($FV14="")),AND($GR14&gt;=$GO$27,NOT($GR14="")),AND($HN14&gt;=$HK$27,NOT($HN14="")),AND($IJ14&gt;=$IG$27,NOT($IJ14="")),AND($JF14&gt;=$JC$27,NOT($JF14="")),AND($KB14&gt;=$JY$27,NOT($KB14="")),AND($KX14&gt;=$KU$27,NOT($KX14="")),AND($LT14&gt;=$LQ$27,NOT($LT14=""))),"P","")</f>
        <v/>
      </c>
      <c r="H14" s="4" t="str">
        <f>IF(OR(AND($AN14&gt;=$AL$28,NOT($AN14=""),$AJ14=""),AND($BK14&gt;=$BI$28,NOT($BK14=""),$BG14=""),AND($CK14&gt;=$CI$28,NOT($CK14="")),AND($DG14&gt;=$DE$28,NOT($DG14="")),AND($EC14&gt;=$EA$28,NOT($EC14="")),AND($EY14&gt;=$EW$28,NOT($EY14="")),AND($FU14&gt;=$FS$28,NOT($FU14="")),AND($GQ14&gt;=$GO$28,NOT($GQ14="")),AND($HM14&gt;=$HK$28,NOT($HM14="")),AND($II14&gt;=$IG$28,NOT($II14="")),AND($JE14&gt;=$JC$28,NOT($JE14="")),AND($KA14&gt;=$JY$28,NOT($KA14="")),AND($KW14&gt;=$KU$28,NOT($KW14="")),AND($LS14&gt;=$LQ$28,NOT($LS14=""))),"P","")</f>
        <v/>
      </c>
      <c r="I14" t="str">
        <f>IF(AND(H14="P",F14=""),"No DD",IF(AND(G14="P",OR(AND($AM14&gt;$AL$31,NOT($AM14=""),$AJ14=""),AND($AP14&gt;$AL$31,NOT($AP14=""),$AJ14=""),AND($BJ14&gt;$BI$31,NOT($BJ14=""),$BG14=""),AND($BM14&gt;$BI$31,NOT($BM14=""),$BG14=""),AND($CJ14&gt;$CI$31,NOT($CJ14="")),AND($CM14&gt;$CI$31,NOT($CM14="")),AND($DF14&gt;$DE$31,NOT($DF14="")),AND($DI14&gt;$DE$31,NOT($DI14="")),AND($EB14&gt;$EA$31,NOT($EB14="")),AND($EE14&gt;$EA$31,NOT($EE14="")),AND($EX14&gt;$EW$31,NOT($EX14="")),AND($FA14&gt;$EW$31,NOT($FA14="")),AND($FT14&gt;$FS$31,NOT($FT14="")),AND($FW14&gt;$FS$31,NOT($FW14="")),AND($GP14&gt;$GO$31,NOT($GP14="")),AND($GS14&gt;$GO$31,NOT($GS14="")),AND($HL14&gt;$HK$31,NOT($HL14="")),AND($HO14&gt;$HK$31,NOT($HO14="")),AND($IH14&gt;$IG$31,NOT($IH14="")),AND($IK14&gt;$IG$31,NOT($IK14="")),AND($JD14&gt;$JC$31,NOT($JD14="")),AND($JG14&gt;$JC$31,NOT($JG14="")),AND($JZ14&gt;$JY$31,NOT($JZ14="")),AND($KC14&gt;$JY$31,NOT($KC14="")),AND($KV14&gt;$KU$31,NOT($KV14="")),AND($KY14&gt;$KU$31,NOT($KY14="")),AND($LR14&gt;$LQ$31,NOT($LR14="")),AND($LU14&gt;$LQ$31,NOT($LU14="")))),"Merit",IF(AND(G14="P",OR(AND($AN14&gt;$AL$30,NOT($AN14=""),$AJ14=""),AND($BK14&gt;$BI$30,NOT($BK14=""),$BG14=""),AND($CK14&gt;$CI$30,NOT($CK14="")),AND($DG14&gt;$DE$30,NOT($DG14="")),AND($EC14&gt;$EA$30,NOT($EC14="")),AND($EY14&gt;$EW$30,NOT($EY14="")),AND($FU14&gt;$FS$30,NOT($FU14="")),AND($GQ14&gt;$GO$30,NOT($GQ14="")),AND($HM14&gt;$HK$30,NOT($HM14="")),AND($II14&gt;$IG$30,NOT($II14="")),AND($JE14&gt;$JC$30,NOT($JE14="")),AND($KA14&gt;$JY$30,NOT($KA14="")),AND($KW14&gt;$KU$30,NOT($KW14="")),AND($LS14&gt;$LQ$30,NOT($LS14="")))),"Excellence",IF(AND(G14="P",OR(AND($AN14&gt;$AL$29,NOT($AN14=""),$AJ14=""),AND($BK14&gt;$BI$29,NOT($BK14=""),$BG14=""),AND($CK14&gt;$CI$29,NOT($CK14="")),AND($DG14&gt;$DE$29,NOT($DG14="")),AND($EC14&gt;$EA$29,NOT($EC14="")),AND($EY14&gt;$EW$29,NOT($EY14="")),AND($FU14&gt;$FS$29,NOT($FU14="")),AND($GQ14&gt;$GO$29,NOT($GQ14="")),AND($HM14&gt;$HK$29,NOT($HM14="")),AND($II14&gt;$IG$29,NOT($II14="")),AND($JE14&gt;$JC$29,NOT($JE14="")),AND($KA14&gt;$JY$29,NOT($KA14="")),AND($KW14&gt;$KU$29,NOT($KW14="")),AND($LS14&gt;$LQ$29,NOT($LS14="")))),"Worlds Team",IF(AND(F14="P",OR(AND($AN14&gt;$AL$28,NOT($AN14=""),$AJ14=""),AND($BK14&gt;$BI$28,NOT($BK14=""),$BG14=""),AND($CK14&gt;$CI$28,NOT($CK14="")),AND($DG14&gt;$DE$28,NOT($DG14="")),AND($EC14&gt;$EA$28,NOT($EC14="")),AND($EY14&gt;$EW$28,NOT($EY14="")),AND($FU14&gt;$FS$28,NOT($FU14="")),AND($GQ14&gt;$GO$28,NOT($GQ14="")),AND($HM14&gt;$HK$28,NOT($HM14="")),AND($II14&gt;$IG$28,NOT($II14="")),AND($JE14&gt;$JC$28,NOT($JE14="")),AND($KA14&gt;$JY$28,NOT($KA14="")),AND($KW14&gt;$KU$28,NOT($KW14="")),AND($LS14&gt;$LQ$28,NOT($LS14="")))),"National Team","")))))</f>
        <v/>
      </c>
      <c r="J14" s="15">
        <f>IF(MAX(AN14,BK14)&gt;0,MAX(AN14,BK14),"")</f>
        <v>95.46</v>
      </c>
      <c r="K14" s="15" t="str">
        <f>IF(J14="","",IF(J14=BK14,$AR$1,IF(J14=AN14,$U$1,"")))</f>
        <v>2019 Elite Canada</v>
      </c>
      <c r="L14" s="15">
        <f>IF($J14=$AN14,BI14,IF($J14=$BK14,AL14,MAX(AL14,BI14)))</f>
        <v>43.75</v>
      </c>
      <c r="M14" s="15" t="str">
        <f>IF(L14="","",IF(AND(L14=BI14,$K14&lt;&gt;$AR$1),$AR$1,IF(AND(L14=AL14,$K14&lt;&gt;$U$1),$U$1,"")))</f>
        <v>2018 Nationals</v>
      </c>
      <c r="N14" s="15">
        <f>IF($J14=$AN14,BJ14,IF($J14=$BK14,AM14,MAX(AM14,BJ14)))</f>
        <v>49.735000000000007</v>
      </c>
      <c r="O14" s="15" t="str">
        <f>IF(N14="","",IF(AND(N14=BJ14,$K14&lt;&gt;$AR$1),$AR$1,IF(AND(N14=AM14,$K14&lt;&gt;$U$1),$U$1,"")))</f>
        <v>2018 Nationals</v>
      </c>
      <c r="P14" s="15">
        <f>IF(MAX(AP14,BM14)&gt;0,MAX(AP14,BM14),"")</f>
        <v>52.16</v>
      </c>
      <c r="Q14" s="15" t="str">
        <f>IF(P14="","",IF(P14=BM14,$AR$1,IF(P14=AP14,$U$1,"")))</f>
        <v>2019 Elite Canada</v>
      </c>
      <c r="R14" s="15" t="str">
        <f>IF(MAX(BO14,BP14,BQ14,BR14)&gt;0,MAX(BO14,BP14,BQ14,BR14),"")</f>
        <v/>
      </c>
      <c r="S14" s="25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63">
        <v>14.7</v>
      </c>
      <c r="V14" s="63">
        <v>9.4499999999999993</v>
      </c>
      <c r="W14" s="63">
        <v>4</v>
      </c>
      <c r="X14" s="63">
        <v>15.6</v>
      </c>
      <c r="Y14" s="63">
        <v>0</v>
      </c>
      <c r="Z14" s="63">
        <v>12.8</v>
      </c>
      <c r="AA14" s="63">
        <v>8.9</v>
      </c>
      <c r="AB14" s="63">
        <v>12.7</v>
      </c>
      <c r="AC14" s="63">
        <v>15.335000000000001</v>
      </c>
      <c r="AD14" s="63">
        <v>0</v>
      </c>
      <c r="AE14" s="63"/>
      <c r="AF14" s="63"/>
      <c r="AG14" s="63"/>
      <c r="AH14" s="63"/>
      <c r="AI14" s="63"/>
      <c r="AJ14" s="74"/>
      <c r="AK14" s="12">
        <f>IF(AB14&gt;0,AB14,"")</f>
        <v>12.7</v>
      </c>
      <c r="AL14" s="12">
        <f>IF(SUM(U14:X14)-Y14&gt;0,SUM(U14:X14)-Y14,"")</f>
        <v>43.75</v>
      </c>
      <c r="AM14" s="12">
        <f>IF(SUM(Z14:AC14)-AD14&gt;0,SUM(Z14:AC14)-AD14,"")</f>
        <v>49.735000000000007</v>
      </c>
      <c r="AN14" s="12">
        <f>IF(SUM(AL14:AM14)&gt;0,SUM(AL14:AM14),"")</f>
        <v>93.485000000000014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93.485000000000014</v>
      </c>
      <c r="AR14" s="69">
        <v>15.3</v>
      </c>
      <c r="AS14" s="69">
        <v>9</v>
      </c>
      <c r="AT14" s="69">
        <v>3.5</v>
      </c>
      <c r="AU14" s="69">
        <v>15.86</v>
      </c>
      <c r="AV14" s="69">
        <v>0</v>
      </c>
      <c r="AW14" s="69">
        <v>15.2</v>
      </c>
      <c r="AX14" s="69">
        <v>9.0500000000000007</v>
      </c>
      <c r="AY14" s="69">
        <v>12</v>
      </c>
      <c r="AZ14" s="69">
        <v>15.55</v>
      </c>
      <c r="BA14" s="69">
        <v>0</v>
      </c>
      <c r="BB14" s="69">
        <v>15</v>
      </c>
      <c r="BC14" s="69">
        <v>9.25</v>
      </c>
      <c r="BD14" s="69">
        <v>12</v>
      </c>
      <c r="BE14" s="69">
        <v>15.91</v>
      </c>
      <c r="BF14" s="69">
        <v>0</v>
      </c>
      <c r="BG14" s="75"/>
      <c r="BH14" s="15">
        <f>IF(AY14&gt;0,AY14,"")</f>
        <v>12</v>
      </c>
      <c r="BI14" s="15">
        <f>IF(SUM(AR14:AU14)-AV14&gt;0,SUM(AR14:AU14)-AV14,"")</f>
        <v>43.66</v>
      </c>
      <c r="BJ14" s="15">
        <f>IF(SUM(AW14:AZ14)-BA14&gt;0,SUM(AW14:AZ14)-BA14,"")</f>
        <v>51.8</v>
      </c>
      <c r="BK14" s="15">
        <f>IF(SUM(BI14:BJ14)&gt;0,SUM(BI14:BJ14),"")</f>
        <v>95.46</v>
      </c>
      <c r="BL14" s="15">
        <f>IF(BD14&gt;0,BD14,"")</f>
        <v>12</v>
      </c>
      <c r="BM14" s="15">
        <f>IF(SUM(BB14:BE14)-BF14&gt;0,SUM(BB14:BE14)-BF14,"")</f>
        <v>52.16</v>
      </c>
      <c r="BN14" s="15">
        <f>IF(SUM(BK14,BM14)&gt;0,SUM(BK14,BM14),"")</f>
        <v>147.62</v>
      </c>
      <c r="BO14" s="24" t="str">
        <f>IF(MAX(CI14,DE14,EA14,EW14,FS14,GO14,HK14,IG14,JC14,JY14,KU14,LQ14)-IF(L14="",0,L14)&gt;0.001,MAX(CI14,DE14,EA14,EW14,FS14,GO14,HK14,IG14,JC14,JY14,KU14,LQ14)-IF(L14="",0,L14),"")</f>
        <v/>
      </c>
      <c r="BP14" s="24" t="str">
        <f>IF(MAX(CJ14,DF14,EB14,EX14,FT14,GP14,HL14,IH14,JD14,JZ14,KV14,LR14)-IF(N14="",0,N14)&gt;0.001,MAX(CJ14,DF14,EB14,EX14,FT14,GP14,HL14,IH14,JD14,JZ14,KV14,LR14)-IF(N14="",0,N14),"")</f>
        <v/>
      </c>
      <c r="BQ14" s="24" t="str">
        <f>IF(MAX(CK14,DG14,EC14,EY14,FU14,GQ14,HM14,II14,JE14,KA14,KW14,LS14)-IF(J14="",0,J14)&gt;0.001,MAX(CK14,DG14,EC14,EY14,FU14,GQ14,HM14,II14,JE14,KA14,KW14,LS14)-IF(J14="",0,J14),"")</f>
        <v/>
      </c>
      <c r="BR14" s="24" t="str">
        <f>IF(MAX(CM14,DI14,EE14,FA14,FW14,GS14,HO14,IK14,JG14,KC14,KY14,LU14)-IF(P14="",0,P14)&gt;0.001,MAX(CM14,DI14,EE14,FA14,FW14,GS14,HO14,IK14,JG14,KC14,KY14,LU14)-IF(P14="",0,P14),"")</f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63">
        <f t="shared" si="7"/>
        <v>15</v>
      </c>
      <c r="LX14" s="63">
        <f t="shared" si="8"/>
        <v>9.2249999999999996</v>
      </c>
      <c r="LY14" s="63">
        <f t="shared" si="9"/>
        <v>3.75</v>
      </c>
      <c r="LZ14" s="63">
        <f t="shared" si="10"/>
        <v>15.73</v>
      </c>
      <c r="MA14" s="63">
        <f t="shared" si="11"/>
        <v>0</v>
      </c>
      <c r="MB14" s="63">
        <f t="shared" si="12"/>
        <v>14</v>
      </c>
      <c r="MC14" s="63">
        <f t="shared" si="13"/>
        <v>8.9750000000000014</v>
      </c>
      <c r="MD14" s="63">
        <f t="shared" si="14"/>
        <v>12.35</v>
      </c>
      <c r="ME14" s="63">
        <f t="shared" si="15"/>
        <v>15.442500000000001</v>
      </c>
      <c r="MF14" s="63">
        <f t="shared" si="16"/>
        <v>0</v>
      </c>
      <c r="MG14" s="63">
        <f t="shared" si="17"/>
        <v>7.5</v>
      </c>
      <c r="MH14" s="63">
        <f t="shared" si="18"/>
        <v>4.625</v>
      </c>
      <c r="MI14" s="63">
        <f t="shared" si="19"/>
        <v>6</v>
      </c>
      <c r="MJ14" s="63">
        <f t="shared" si="20"/>
        <v>7.9550000000000001</v>
      </c>
      <c r="MK14" s="63">
        <f t="shared" si="21"/>
        <v>0</v>
      </c>
      <c r="ML14" s="74" t="s">
        <v>116</v>
      </c>
      <c r="MM14" s="12">
        <f t="shared" si="22"/>
        <v>12.35</v>
      </c>
      <c r="MN14" s="12">
        <f t="shared" si="23"/>
        <v>43.704999999999998</v>
      </c>
      <c r="MO14" s="12">
        <f t="shared" si="24"/>
        <v>50.767500000000005</v>
      </c>
      <c r="MP14" s="12">
        <f t="shared" si="25"/>
        <v>94.472499999999997</v>
      </c>
      <c r="MQ14" s="12">
        <f t="shared" si="26"/>
        <v>6</v>
      </c>
      <c r="MR14" s="12">
        <f t="shared" si="27"/>
        <v>26.08</v>
      </c>
      <c r="MS14" s="12">
        <f t="shared" si="28"/>
        <v>120.55249999999999</v>
      </c>
    </row>
    <row r="15" spans="1:357" x14ac:dyDescent="0.2">
      <c r="A15" s="6" t="str">
        <f>IF(AND(F15="P",H15="P"),SUMPRODUCT((F$4:F$24="P")*(H$4:H$24="P")*(E$4:E$24&gt;E15))+1,IF(H15="P",SUMPRODUCT((F$4:F$24="")*(H$4:H$24="P")*(E$4:E$24&gt;E15))+1+SUMPRODUCT((F$4:F$24="P")*(H$4:H$24="P")),""))</f>
        <v/>
      </c>
      <c r="B15" s="7" t="s">
        <v>111</v>
      </c>
      <c r="C15" s="8" t="s">
        <v>3</v>
      </c>
      <c r="D15" s="27">
        <v>2003</v>
      </c>
      <c r="E15" s="16">
        <f>SUM(J15:R15)</f>
        <v>232.87499999999997</v>
      </c>
      <c r="F15" s="4" t="str">
        <f>IF(OR(AND($AK15&gt;=$AL$26,NOT($AK15=""),$AJ15=""),AND($BH15&gt;=$BI$26,NOT($BH15=""),$BG15=""),AND($CH15&gt;=$CI$26,NOT($CH15="")),AND($DD15&gt;=$DE$26,NOT($DD15="")),AND($DZ15&gt;=$EA$26,NOT($DZ15="")),AND($EV15&gt;=$EW$26,NOT($EV15="")),AND($FR15&gt;=$FS$26,NOT($FR15="")),AND($GN15&gt;=$GO$26,NOT($GN15="")),AND($HJ15&gt;=$HK$26,NOT($HJ15="")),AND($IF15&gt;=$IG$26,NOT($IF15="")),AND($JB15&gt;=$JC$26,NOT($JB15="")),AND($JX15&gt;=$JY$26,NOT($JX15="")),AND($KT15&gt;=$KU$26,NOT($KT15="")),AND($LP15&gt;=$LQ$26,NOT($LP15="")),AND($AO15&gt;=$AL$26,NOT($AO15=""),$AJ15=""),AND($BL15&gt;=$BI$26,NOT($BL15=""),$BG15=""),AND($CL15&gt;=$CI$26,NOT($CL15="")),AND($DH15&gt;=$DE$26,NOT($DH15="")),AND($ED15&gt;=$EA$26,NOT($ED15="")),AND($EZ15&gt;=$EW$26,NOT($EZ15="")),AND($FV15&gt;=$FS$26,NOT($FV15="")),AND($GR15&gt;=$GO$26,NOT($GR15="")),AND($HN15&gt;=$HK$26,NOT($HN15="")),AND($IJ15&gt;=$IG$26,NOT($IJ15="")),AND($JF15&gt;=$JC$26,NOT($JF15="")),AND($KB15&gt;=$JY$26,NOT($KB15="")),AND($KX15&gt;=$KU$26,NOT($KX15="")),AND($LT15&gt;=$LQ$26,NOT($LT15=""))),"P","")</f>
        <v/>
      </c>
      <c r="G15" s="4" t="str">
        <f>IF(OR(AND($AK15&gt;=$AL$27,NOT($AK15=""),$AJ15=""),AND($BH15&gt;=$BI$27,NOT($BH15=""),$BG15=""),AND($CH15&gt;=$CI$27,NOT($CH15="")),AND($DD15&gt;=$DE$27,NOT($DD15="")),AND($DZ15&gt;=$EA$27,NOT($DZ15="")),AND($EV15&gt;=$EW$27,NOT($EV15="")),AND($FR15&gt;=$FS$27,NOT($FR15="")),AND($GN15&gt;=$GO$27,NOT($GN15="")),AND($HJ15&gt;=$HK$27,NOT($HJ15="")),AND($IF15&gt;=$IG$27,NOT($IF15="")),AND($JB15&gt;=$JC$27,NOT($JB15="")),AND($JX15&gt;=$JY$27,NOT($JX15="")),AND($KT15&gt;=$KU$27,NOT($KT15="")),AND($LP15&gt;=$LQ$27,NOT($LP15="")),AND($AO15&gt;=$AL$27,NOT($AO15=""),$AJ15=""),AND($BL15&gt;=$BI$27,NOT($BL15=""),$BG15=""),AND($CL15&gt;=$CI$27,NOT($CL15="")),AND($DH15&gt;=$DE$27,NOT($DH15="")),AND($ED15&gt;=$EA$27,NOT($ED15="")),AND($EZ15&gt;=$EW$27,NOT($EZ15="")),AND($FV15&gt;=$FS$27,NOT($FV15="")),AND($GR15&gt;=$GO$27,NOT($GR15="")),AND($HN15&gt;=$HK$27,NOT($HN15="")),AND($IJ15&gt;=$IG$27,NOT($IJ15="")),AND($JF15&gt;=$JC$27,NOT($JF15="")),AND($KB15&gt;=$JY$27,NOT($KB15="")),AND($KX15&gt;=$KU$27,NOT($KX15="")),AND($LT15&gt;=$LQ$27,NOT($LT15=""))),"P","")</f>
        <v/>
      </c>
      <c r="H15" s="4" t="str">
        <f>IF(OR(AND($AN15&gt;=$AL$28,NOT($AN15=""),$AJ15=""),AND($BK15&gt;=$BI$28,NOT($BK15=""),$BG15=""),AND($CK15&gt;=$CI$28,NOT($CK15="")),AND($DG15&gt;=$DE$28,NOT($DG15="")),AND($EC15&gt;=$EA$28,NOT($EC15="")),AND($EY15&gt;=$EW$28,NOT($EY15="")),AND($FU15&gt;=$FS$28,NOT($FU15="")),AND($GQ15&gt;=$GO$28,NOT($GQ15="")),AND($HM15&gt;=$HK$28,NOT($HM15="")),AND($II15&gt;=$IG$28,NOT($II15="")),AND($JE15&gt;=$JC$28,NOT($JE15="")),AND($KA15&gt;=$JY$28,NOT($KA15="")),AND($KW15&gt;=$KU$28,NOT($KW15="")),AND($LS15&gt;=$LQ$28,NOT($LS15=""))),"P","")</f>
        <v/>
      </c>
      <c r="I15" t="str">
        <f>IF(AND(H15="P",F15=""),"No DD",IF(AND(G15="P",OR(AND($AM15&gt;$AL$31,NOT($AM15=""),$AJ15=""),AND($AP15&gt;$AL$31,NOT($AP15=""),$AJ15=""),AND($BJ15&gt;$BI$31,NOT($BJ15=""),$BG15=""),AND($BM15&gt;$BI$31,NOT($BM15=""),$BG15=""),AND($CJ15&gt;$CI$31,NOT($CJ15="")),AND($CM15&gt;$CI$31,NOT($CM15="")),AND($DF15&gt;$DE$31,NOT($DF15="")),AND($DI15&gt;$DE$31,NOT($DI15="")),AND($EB15&gt;$EA$31,NOT($EB15="")),AND($EE15&gt;$EA$31,NOT($EE15="")),AND($EX15&gt;$EW$31,NOT($EX15="")),AND($FA15&gt;$EW$31,NOT($FA15="")),AND($FT15&gt;$FS$31,NOT($FT15="")),AND($FW15&gt;$FS$31,NOT($FW15="")),AND($GP15&gt;$GO$31,NOT($GP15="")),AND($GS15&gt;$GO$31,NOT($GS15="")),AND($HL15&gt;$HK$31,NOT($HL15="")),AND($HO15&gt;$HK$31,NOT($HO15="")),AND($IH15&gt;$IG$31,NOT($IH15="")),AND($IK15&gt;$IG$31,NOT($IK15="")),AND($JD15&gt;$JC$31,NOT($JD15="")),AND($JG15&gt;$JC$31,NOT($JG15="")),AND($JZ15&gt;$JY$31,NOT($JZ15="")),AND($KC15&gt;$JY$31,NOT($KC15="")),AND($KV15&gt;$KU$31,NOT($KV15="")),AND($KY15&gt;$KU$31,NOT($KY15="")),AND($LR15&gt;$LQ$31,NOT($LR15="")),AND($LU15&gt;$LQ$31,NOT($LU15="")))),"Merit",IF(AND(G15="P",OR(AND($AN15&gt;$AL$30,NOT($AN15=""),$AJ15=""),AND($BK15&gt;$BI$30,NOT($BK15=""),$BG15=""),AND($CK15&gt;$CI$30,NOT($CK15="")),AND($DG15&gt;$DE$30,NOT($DG15="")),AND($EC15&gt;$EA$30,NOT($EC15="")),AND($EY15&gt;$EW$30,NOT($EY15="")),AND($FU15&gt;$FS$30,NOT($FU15="")),AND($GQ15&gt;$GO$30,NOT($GQ15="")),AND($HM15&gt;$HK$30,NOT($HM15="")),AND($II15&gt;$IG$30,NOT($II15="")),AND($JE15&gt;$JC$30,NOT($JE15="")),AND($KA15&gt;$JY$30,NOT($KA15="")),AND($KW15&gt;$KU$30,NOT($KW15="")),AND($LS15&gt;$LQ$30,NOT($LS15="")))),"Excellence",IF(AND(G15="P",OR(AND($AN15&gt;$AL$29,NOT($AN15=""),$AJ15=""),AND($BK15&gt;$BI$29,NOT($BK15=""),$BG15=""),AND($CK15&gt;$CI$29,NOT($CK15="")),AND($DG15&gt;$DE$29,NOT($DG15="")),AND($EC15&gt;$EA$29,NOT($EC15="")),AND($EY15&gt;$EW$29,NOT($EY15="")),AND($FU15&gt;$FS$29,NOT($FU15="")),AND($GQ15&gt;$GO$29,NOT($GQ15="")),AND($HM15&gt;$HK$29,NOT($HM15="")),AND($II15&gt;$IG$29,NOT($II15="")),AND($JE15&gt;$JC$29,NOT($JE15="")),AND($KA15&gt;$JY$29,NOT($KA15="")),AND($KW15&gt;$KU$29,NOT($KW15="")),AND($LS15&gt;$LQ$29,NOT($LS15="")))),"Worlds Team",IF(AND(F15="P",OR(AND($AN15&gt;$AL$28,NOT($AN15=""),$AJ15=""),AND($BK15&gt;$BI$28,NOT($BK15=""),$BG15=""),AND($CK15&gt;$CI$28,NOT($CK15="")),AND($DG15&gt;$DE$28,NOT($DG15="")),AND($EC15&gt;$EA$28,NOT($EC15="")),AND($EY15&gt;$EW$28,NOT($EY15="")),AND($FU15&gt;$FS$28,NOT($FU15="")),AND($GQ15&gt;$GO$28,NOT($GQ15="")),AND($HM15&gt;$HK$28,NOT($HM15="")),AND($II15&gt;$IG$28,NOT($II15="")),AND($JE15&gt;$JC$28,NOT($JE15="")),AND($KA15&gt;$JY$28,NOT($KA15="")),AND($KW15&gt;$KU$28,NOT($KW15="")),AND($LS15&gt;$LQ$28,NOT($LS15="")))),"National Team","")))))</f>
        <v/>
      </c>
      <c r="J15" s="15">
        <f>IF(MAX(AN15,BK15)&gt;0,MAX(AN15,BK15),"")</f>
        <v>92.52</v>
      </c>
      <c r="K15" s="15" t="str">
        <f>IF(J15="","",IF(J15=BK15,$AR$1,IF(J15=AN15,$U$1,"")))</f>
        <v>2018 Nationals</v>
      </c>
      <c r="L15" s="15">
        <f>IF($J15=$AN15,BI15,IF($J15=$BK15,AL15,MAX(AL15,BI15)))</f>
        <v>44.4</v>
      </c>
      <c r="M15" s="15" t="str">
        <f>IF(L15="","",IF(AND(L15=BI15,$K15&lt;&gt;$AR$1),$AR$1,IF(AND(L15=AL15,$K15&lt;&gt;$U$1),$U$1,"")))</f>
        <v>2019 Elite Canada</v>
      </c>
      <c r="N15" s="15">
        <f>IF($J15=$AN15,BJ15,IF($J15=$BK15,AM15,MAX(AM15,BJ15)))</f>
        <v>45.569999999999993</v>
      </c>
      <c r="O15" s="15" t="str">
        <f>IF(N15="","",IF(AND(N15=BJ15,$K15&lt;&gt;$AR$1),$AR$1,IF(AND(N15=AM15,$K15&lt;&gt;$U$1),$U$1,"")))</f>
        <v>2019 Elite Canada</v>
      </c>
      <c r="P15" s="15">
        <f>IF(MAX(AP15,BM15)&gt;0,MAX(AP15,BM15),"")</f>
        <v>50.384999999999998</v>
      </c>
      <c r="Q15" s="15" t="str">
        <f>IF(P15="","",IF(P15=BM15,$AR$1,IF(P15=AP15,$U$1,"")))</f>
        <v>2018 Nationals</v>
      </c>
      <c r="R15" s="15" t="str">
        <f>IF(MAX(BO15,BP15,BQ15,BR15)&gt;0,MAX(BO15,BP15,BQ15,BR15),"")</f>
        <v/>
      </c>
      <c r="S15" s="25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63">
        <v>15.4</v>
      </c>
      <c r="V15" s="63">
        <v>9.25</v>
      </c>
      <c r="W15" s="63">
        <v>4.5</v>
      </c>
      <c r="X15" s="63">
        <v>14.734999999999999</v>
      </c>
      <c r="Y15" s="63">
        <v>0</v>
      </c>
      <c r="Z15" s="63">
        <v>12.7</v>
      </c>
      <c r="AA15" s="63">
        <v>8.9499999999999993</v>
      </c>
      <c r="AB15" s="63">
        <v>13.1</v>
      </c>
      <c r="AC15" s="63">
        <v>13.885</v>
      </c>
      <c r="AD15" s="63">
        <v>0</v>
      </c>
      <c r="AE15" s="63">
        <v>13.7</v>
      </c>
      <c r="AF15" s="63">
        <v>9.75</v>
      </c>
      <c r="AG15" s="63">
        <v>13.1</v>
      </c>
      <c r="AH15" s="63">
        <v>14.135</v>
      </c>
      <c r="AI15" s="63">
        <v>0.3</v>
      </c>
      <c r="AJ15" s="74"/>
      <c r="AK15" s="12">
        <f>IF(AB15&gt;0,AB15,"")</f>
        <v>13.1</v>
      </c>
      <c r="AL15" s="12">
        <f>IF(SUM(U15:X15)-Y15&gt;0,SUM(U15:X15)-Y15,"")</f>
        <v>43.884999999999998</v>
      </c>
      <c r="AM15" s="12">
        <f>IF(SUM(Z15:AC15)-AD15&gt;0,SUM(Z15:AC15)-AD15,"")</f>
        <v>48.634999999999998</v>
      </c>
      <c r="AN15" s="12">
        <f>IF(SUM(AL15:AM15)&gt;0,SUM(AL15:AM15),"")</f>
        <v>92.52</v>
      </c>
      <c r="AO15" s="12">
        <f>IF(AG15&gt;0,AG15,"")</f>
        <v>13.1</v>
      </c>
      <c r="AP15" s="12">
        <f>IF(SUM(AE15:AH15)-AI15&gt;0,SUM(AE15:AH15)-AI15,"")</f>
        <v>50.384999999999998</v>
      </c>
      <c r="AQ15" s="12">
        <f>IF(SUM(AN15,AP15)&gt;0,SUM(AN15,AP15),"")</f>
        <v>142.905</v>
      </c>
      <c r="AR15" s="69">
        <v>15.1</v>
      </c>
      <c r="AS15" s="69">
        <v>9.1</v>
      </c>
      <c r="AT15" s="69">
        <v>4.8</v>
      </c>
      <c r="AU15" s="69">
        <v>15.4</v>
      </c>
      <c r="AV15" s="69">
        <v>0</v>
      </c>
      <c r="AW15" s="69">
        <v>9.6</v>
      </c>
      <c r="AX15" s="69">
        <v>8.6999999999999993</v>
      </c>
      <c r="AY15" s="69">
        <v>12.7</v>
      </c>
      <c r="AZ15" s="69">
        <v>14.57</v>
      </c>
      <c r="BA15" s="69">
        <v>0</v>
      </c>
      <c r="BB15" s="69">
        <v>1.4</v>
      </c>
      <c r="BC15" s="69">
        <v>0.9</v>
      </c>
      <c r="BD15" s="69">
        <v>1.7</v>
      </c>
      <c r="BE15" s="69">
        <v>1.63</v>
      </c>
      <c r="BF15" s="69">
        <v>0</v>
      </c>
      <c r="BG15" s="75"/>
      <c r="BH15" s="15">
        <f>IF(AY15&gt;0,AY15,"")</f>
        <v>12.7</v>
      </c>
      <c r="BI15" s="15">
        <f>IF(SUM(AR15:AU15)-AV15&gt;0,SUM(AR15:AU15)-AV15,"")</f>
        <v>44.4</v>
      </c>
      <c r="BJ15" s="15">
        <f>IF(SUM(AW15:AZ15)-BA15&gt;0,SUM(AW15:AZ15)-BA15,"")</f>
        <v>45.569999999999993</v>
      </c>
      <c r="BK15" s="15">
        <f>IF(SUM(BI15:BJ15)&gt;0,SUM(BI15:BJ15),"")</f>
        <v>89.97</v>
      </c>
      <c r="BL15" s="15">
        <f>IF(BD15&gt;0,BD15,"")</f>
        <v>1.7</v>
      </c>
      <c r="BM15" s="15">
        <f>IF(SUM(BB15:BE15)-BF15&gt;0,SUM(BB15:BE15)-BF15,"")</f>
        <v>5.63</v>
      </c>
      <c r="BN15" s="15">
        <f>IF(SUM(BK15,BM15)&gt;0,SUM(BK15,BM15),"")</f>
        <v>95.6</v>
      </c>
      <c r="BO15" s="24" t="str">
        <f>IF(MAX(CI15,DE15,EA15,EW15,FS15,GO15,HK15,IG15,JC15,JY15,KU15,LQ15)-IF(L15="",0,L15)&gt;0.001,MAX(CI15,DE15,EA15,EW15,FS15,GO15,HK15,IG15,JC15,JY15,KU15,LQ15)-IF(L15="",0,L15),"")</f>
        <v/>
      </c>
      <c r="BP15" s="24" t="str">
        <f>IF(MAX(CJ15,DF15,EB15,EX15,FT15,GP15,HL15,IH15,JD15,JZ15,KV15,LR15)-IF(N15="",0,N15)&gt;0.001,MAX(CJ15,DF15,EB15,EX15,FT15,GP15,HL15,IH15,JD15,JZ15,KV15,LR15)-IF(N15="",0,N15),"")</f>
        <v/>
      </c>
      <c r="BQ15" s="24" t="str">
        <f>IF(MAX(CK15,DG15,EC15,EY15,FU15,GQ15,HM15,II15,JE15,KA15,KW15,LS15)-IF(J15="",0,J15)&gt;0.001,MAX(CK15,DG15,EC15,EY15,FU15,GQ15,HM15,II15,JE15,KA15,KW15,LS15)-IF(J15="",0,J15),"")</f>
        <v/>
      </c>
      <c r="BR15" s="24" t="str">
        <f>IF(MAX(CM15,DI15,EE15,FA15,FW15,GS15,HO15,IK15,JG15,KC15,KY15,LU15)-IF(P15="",0,P15)&gt;0.001,MAX(CM15,DI15,EE15,FA15,FW15,GS15,HO15,IK15,JG15,KC15,KY15,LU15)-IF(P15="",0,P15),"")</f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63">
        <f t="shared" si="7"/>
        <v>15.25</v>
      </c>
      <c r="LX15" s="63">
        <f t="shared" si="8"/>
        <v>9.1750000000000007</v>
      </c>
      <c r="LY15" s="63">
        <f t="shared" si="9"/>
        <v>4.6500000000000004</v>
      </c>
      <c r="LZ15" s="63">
        <f t="shared" si="10"/>
        <v>15.067499999999999</v>
      </c>
      <c r="MA15" s="63">
        <f t="shared" si="11"/>
        <v>0</v>
      </c>
      <c r="MB15" s="63">
        <f t="shared" si="12"/>
        <v>11.149999999999999</v>
      </c>
      <c r="MC15" s="63">
        <f t="shared" si="13"/>
        <v>8.8249999999999993</v>
      </c>
      <c r="MD15" s="63">
        <f t="shared" si="14"/>
        <v>12.899999999999999</v>
      </c>
      <c r="ME15" s="63">
        <f t="shared" si="15"/>
        <v>14.227499999999999</v>
      </c>
      <c r="MF15" s="63">
        <f t="shared" si="16"/>
        <v>0</v>
      </c>
      <c r="MG15" s="63">
        <f t="shared" si="17"/>
        <v>7.55</v>
      </c>
      <c r="MH15" s="63">
        <f t="shared" si="18"/>
        <v>5.3250000000000002</v>
      </c>
      <c r="MI15" s="63">
        <f t="shared" si="19"/>
        <v>7.3999999999999995</v>
      </c>
      <c r="MJ15" s="63">
        <f t="shared" si="20"/>
        <v>7.8825000000000003</v>
      </c>
      <c r="MK15" s="63">
        <f t="shared" si="21"/>
        <v>0.15</v>
      </c>
      <c r="ML15" s="74" t="s">
        <v>116</v>
      </c>
      <c r="MM15" s="12">
        <f t="shared" si="22"/>
        <v>12.899999999999999</v>
      </c>
      <c r="MN15" s="12">
        <f t="shared" si="23"/>
        <v>44.142499999999998</v>
      </c>
      <c r="MO15" s="12">
        <f t="shared" si="24"/>
        <v>47.102499999999999</v>
      </c>
      <c r="MP15" s="12">
        <f t="shared" si="25"/>
        <v>91.245000000000005</v>
      </c>
      <c r="MQ15" s="12">
        <f t="shared" si="26"/>
        <v>7.3999999999999995</v>
      </c>
      <c r="MR15" s="12">
        <f t="shared" si="27"/>
        <v>28.0075</v>
      </c>
      <c r="MS15" s="12">
        <f t="shared" si="28"/>
        <v>119.2525</v>
      </c>
    </row>
    <row r="16" spans="1:357" x14ac:dyDescent="0.2">
      <c r="A16" s="6">
        <f>IF(AND(F16="P",H16="P"),SUMPRODUCT((F$4:F$24="P")*(H$4:H$24="P")*(E$4:E$24&gt;E16))+1,IF(H16="P",SUMPRODUCT((F$4:F$24="")*(H$4:H$24="P")*(E$4:E$24&gt;E16))+1+SUMPRODUCT((F$4:F$24="P")*(H$4:H$24="P")),""))</f>
        <v>6</v>
      </c>
      <c r="B16" s="9" t="s">
        <v>86</v>
      </c>
      <c r="C16" s="5" t="s">
        <v>6</v>
      </c>
      <c r="D16" s="8">
        <v>2000</v>
      </c>
      <c r="E16" s="16">
        <f>SUM(J16:R16)</f>
        <v>194.08500000000001</v>
      </c>
      <c r="F16" s="4" t="str">
        <f>IF(OR(AND($AK16&gt;=$AL$26,NOT($AK16=""),$AJ16=""),AND($BH16&gt;=$BI$26,NOT($BH16=""),$BG16=""),AND($CH16&gt;=$CI$26,NOT($CH16="")),AND($DD16&gt;=$DE$26,NOT($DD16="")),AND($DZ16&gt;=$EA$26,NOT($DZ16="")),AND($EV16&gt;=$EW$26,NOT($EV16="")),AND($FR16&gt;=$FS$26,NOT($FR16="")),AND($GN16&gt;=$GO$26,NOT($GN16="")),AND($HJ16&gt;=$HK$26,NOT($HJ16="")),AND($IF16&gt;=$IG$26,NOT($IF16="")),AND($JB16&gt;=$JC$26,NOT($JB16="")),AND($JX16&gt;=$JY$26,NOT($JX16="")),AND($KT16&gt;=$KU$26,NOT($KT16="")),AND($LP16&gt;=$LQ$26,NOT($LP16="")),AND($AO16&gt;=$AL$26,NOT($AO16=""),$AJ16=""),AND($BL16&gt;=$BI$26,NOT($BL16=""),$BG16=""),AND($CL16&gt;=$CI$26,NOT($CL16="")),AND($DH16&gt;=$DE$26,NOT($DH16="")),AND($ED16&gt;=$EA$26,NOT($ED16="")),AND($EZ16&gt;=$EW$26,NOT($EZ16="")),AND($FV16&gt;=$FS$26,NOT($FV16="")),AND($GR16&gt;=$GO$26,NOT($GR16="")),AND($HN16&gt;=$HK$26,NOT($HN16="")),AND($IJ16&gt;=$IG$26,NOT($IJ16="")),AND($JF16&gt;=$JC$26,NOT($JF16="")),AND($KB16&gt;=$JY$26,NOT($KB16="")),AND($KX16&gt;=$KU$26,NOT($KX16="")),AND($LT16&gt;=$LQ$26,NOT($LT16=""))),"P","")</f>
        <v/>
      </c>
      <c r="G16" s="4" t="str">
        <f>IF(OR(AND($AK16&gt;=$AL$27,NOT($AK16=""),$AJ16=""),AND($BH16&gt;=$BI$27,NOT($BH16=""),$BG16=""),AND($CH16&gt;=$CI$27,NOT($CH16="")),AND($DD16&gt;=$DE$27,NOT($DD16="")),AND($DZ16&gt;=$EA$27,NOT($DZ16="")),AND($EV16&gt;=$EW$27,NOT($EV16="")),AND($FR16&gt;=$FS$27,NOT($FR16="")),AND($GN16&gt;=$GO$27,NOT($GN16="")),AND($HJ16&gt;=$HK$27,NOT($HJ16="")),AND($IF16&gt;=$IG$27,NOT($IF16="")),AND($JB16&gt;=$JC$27,NOT($JB16="")),AND($JX16&gt;=$JY$27,NOT($JX16="")),AND($KT16&gt;=$KU$27,NOT($KT16="")),AND($LP16&gt;=$LQ$27,NOT($LP16="")),AND($AO16&gt;=$AL$27,NOT($AO16=""),$AJ16=""),AND($BL16&gt;=$BI$27,NOT($BL16=""),$BG16=""),AND($CL16&gt;=$CI$27,NOT($CL16="")),AND($DH16&gt;=$DE$27,NOT($DH16="")),AND($ED16&gt;=$EA$27,NOT($ED16="")),AND($EZ16&gt;=$EW$27,NOT($EZ16="")),AND($FV16&gt;=$FS$27,NOT($FV16="")),AND($GR16&gt;=$GO$27,NOT($GR16="")),AND($HN16&gt;=$HK$27,NOT($HN16="")),AND($IJ16&gt;=$IG$27,NOT($IJ16="")),AND($JF16&gt;=$JC$27,NOT($JF16="")),AND($KB16&gt;=$JY$27,NOT($KB16="")),AND($KX16&gt;=$KU$27,NOT($KX16="")),AND($LT16&gt;=$LQ$27,NOT($LT16=""))),"P","")</f>
        <v/>
      </c>
      <c r="H16" s="4" t="str">
        <f>IF(OR(AND($AN16&gt;=$AL$28,NOT($AN16=""),$AJ16=""),AND($BK16&gt;=$BI$28,NOT($BK16=""),$BG16=""),AND($CK16&gt;=$CI$28,NOT($CK16="")),AND($DG16&gt;=$DE$28,NOT($DG16="")),AND($EC16&gt;=$EA$28,NOT($EC16="")),AND($EY16&gt;=$EW$28,NOT($EY16="")),AND($FU16&gt;=$FS$28,NOT($FU16="")),AND($GQ16&gt;=$GO$28,NOT($GQ16="")),AND($HM16&gt;=$HK$28,NOT($HM16="")),AND($II16&gt;=$IG$28,NOT($II16="")),AND($JE16&gt;=$JC$28,NOT($JE16="")),AND($KA16&gt;=$JY$28,NOT($KA16="")),AND($KW16&gt;=$KU$28,NOT($KW16="")),AND($LS16&gt;=$LQ$28,NOT($LS16=""))),"P","")</f>
        <v>P</v>
      </c>
      <c r="I16" t="str">
        <f>IF(AND(H16="P",F16=""),"No DD",IF(AND(G16="P",OR(AND($AM16&gt;$AL$31,NOT($AM16=""),$AJ16=""),AND($AP16&gt;$AL$31,NOT($AP16=""),$AJ16=""),AND($BJ16&gt;$BI$31,NOT($BJ16=""),$BG16=""),AND($BM16&gt;$BI$31,NOT($BM16=""),$BG16=""),AND($CJ16&gt;$CI$31,NOT($CJ16="")),AND($CM16&gt;$CI$31,NOT($CM16="")),AND($DF16&gt;$DE$31,NOT($DF16="")),AND($DI16&gt;$DE$31,NOT($DI16="")),AND($EB16&gt;$EA$31,NOT($EB16="")),AND($EE16&gt;$EA$31,NOT($EE16="")),AND($EX16&gt;$EW$31,NOT($EX16="")),AND($FA16&gt;$EW$31,NOT($FA16="")),AND($FT16&gt;$FS$31,NOT($FT16="")),AND($FW16&gt;$FS$31,NOT($FW16="")),AND($GP16&gt;$GO$31,NOT($GP16="")),AND($GS16&gt;$GO$31,NOT($GS16="")),AND($HL16&gt;$HK$31,NOT($HL16="")),AND($HO16&gt;$HK$31,NOT($HO16="")),AND($IH16&gt;$IG$31,NOT($IH16="")),AND($IK16&gt;$IG$31,NOT($IK16="")),AND($JD16&gt;$JC$31,NOT($JD16="")),AND($JG16&gt;$JC$31,NOT($JG16="")),AND($JZ16&gt;$JY$31,NOT($JZ16="")),AND($KC16&gt;$JY$31,NOT($KC16="")),AND($KV16&gt;$KU$31,NOT($KV16="")),AND($KY16&gt;$KU$31,NOT($KY16="")),AND($LR16&gt;$LQ$31,NOT($LR16="")),AND($LU16&gt;$LQ$31,NOT($LU16="")))),"Merit",IF(AND(G16="P",OR(AND($AN16&gt;$AL$30,NOT($AN16=""),$AJ16=""),AND($BK16&gt;$BI$30,NOT($BK16=""),$BG16=""),AND($CK16&gt;$CI$30,NOT($CK16="")),AND($DG16&gt;$DE$30,NOT($DG16="")),AND($EC16&gt;$EA$30,NOT($EC16="")),AND($EY16&gt;$EW$30,NOT($EY16="")),AND($FU16&gt;$FS$30,NOT($FU16="")),AND($GQ16&gt;$GO$30,NOT($GQ16="")),AND($HM16&gt;$HK$30,NOT($HM16="")),AND($II16&gt;$IG$30,NOT($II16="")),AND($JE16&gt;$JC$30,NOT($JE16="")),AND($KA16&gt;$JY$30,NOT($KA16="")),AND($KW16&gt;$KU$30,NOT($KW16="")),AND($LS16&gt;$LQ$30,NOT($LS16="")))),"Excellence",IF(AND(G16="P",OR(AND($AN16&gt;$AL$29,NOT($AN16=""),$AJ16=""),AND($BK16&gt;$BI$29,NOT($BK16=""),$BG16=""),AND($CK16&gt;$CI$29,NOT($CK16="")),AND($DG16&gt;$DE$29,NOT($DG16="")),AND($EC16&gt;$EA$29,NOT($EC16="")),AND($EY16&gt;$EW$29,NOT($EY16="")),AND($FU16&gt;$FS$29,NOT($FU16="")),AND($GQ16&gt;$GO$29,NOT($GQ16="")),AND($HM16&gt;$HK$29,NOT($HM16="")),AND($II16&gt;$IG$29,NOT($II16="")),AND($JE16&gt;$JC$29,NOT($JE16="")),AND($KA16&gt;$JY$29,NOT($KA16="")),AND($KW16&gt;$KU$29,NOT($KW16="")),AND($LS16&gt;$LQ$29,NOT($LS16="")))),"Worlds Team",IF(AND(F16="P",OR(AND($AN16&gt;$AL$28,NOT($AN16=""),$AJ16=""),AND($BK16&gt;$BI$28,NOT($BK16=""),$BG16=""),AND($CK16&gt;$CI$28,NOT($CK16="")),AND($DG16&gt;$DE$28,NOT($DG16="")),AND($EC16&gt;$EA$28,NOT($EC16="")),AND($EY16&gt;$EW$28,NOT($EY16="")),AND($FU16&gt;$FS$28,NOT($FU16="")),AND($GQ16&gt;$GO$28,NOT($GQ16="")),AND($HM16&gt;$HK$28,NOT($HM16="")),AND($II16&gt;$IG$28,NOT($II16="")),AND($JE16&gt;$JC$28,NOT($JE16="")),AND($KA16&gt;$JY$28,NOT($KA16="")),AND($KW16&gt;$KU$28,NOT($KW16="")),AND($LS16&gt;$LQ$28,NOT($LS16="")))),"National Team","")))))</f>
        <v>No DD</v>
      </c>
      <c r="J16" s="15">
        <f>IF(MAX(AN16,BK16)&gt;0,MAX(AN16,BK16),"")</f>
        <v>98.34</v>
      </c>
      <c r="K16" s="15" t="str">
        <f>IF(J16="","",IF(J16=BK16,$AR$1,IF(J16=AN16,$U$1,"")))</f>
        <v>2018 Nationals</v>
      </c>
      <c r="L16" s="15" t="str">
        <f>IF($J16=$AN16,BI16,IF($J16=$BK16,AL16,MAX(AL16,BI16)))</f>
        <v/>
      </c>
      <c r="M16" s="15" t="str">
        <f>IF(L16="","",IF(AND(L16=BI16,$K16&lt;&gt;$AR$1),$AR$1,IF(AND(L16=AL16,$K16&lt;&gt;$U$1),$U$1,"")))</f>
        <v/>
      </c>
      <c r="N16" s="15" t="str">
        <f>IF($J16=$AN16,BJ16,IF($J16=$BK16,AM16,MAX(AM16,BJ16)))</f>
        <v/>
      </c>
      <c r="O16" s="15" t="str">
        <f>IF(N16="","",IF(AND(N16=BJ16,$K16&lt;&gt;$AR$1),$AR$1,IF(AND(N16=AM16,$K16&lt;&gt;$U$1),$U$1,"")))</f>
        <v/>
      </c>
      <c r="P16" s="15">
        <f>IF(MAX(AP16,BM16)&gt;0,MAX(AP16,BM16),"")</f>
        <v>53.019999999999996</v>
      </c>
      <c r="Q16" s="15" t="str">
        <f>IF(P16="","",IF(P16=BM16,$AR$1,IF(P16=AP16,$U$1,"")))</f>
        <v>2018 Nationals</v>
      </c>
      <c r="R16" s="15">
        <f>IF(MAX(BO16,BP16,BQ16,BR16)&gt;0,MAX(BO16,BP16,BQ16,BR16),"")</f>
        <v>42.724999999999994</v>
      </c>
      <c r="S16" s="25" t="str">
        <f>IF(R16="","",IF(R16=BO16,"(Vol 1)",IF(R16=BP16,"(Vol 2)",IF(R16=BQ16,"(Prelim)",IF(R16=BR16,"(Final)")))))</f>
        <v>(Vol 1)</v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>2018 World Age Groups (Nov 18)</v>
      </c>
      <c r="U16" s="63">
        <v>16.600000000000001</v>
      </c>
      <c r="V16" s="63">
        <v>9.5500000000000007</v>
      </c>
      <c r="W16" s="63">
        <v>3.9</v>
      </c>
      <c r="X16" s="63">
        <v>16.164999999999999</v>
      </c>
      <c r="Y16" s="63">
        <v>0</v>
      </c>
      <c r="Z16" s="63">
        <v>15.8</v>
      </c>
      <c r="AA16" s="63">
        <v>9.0500000000000007</v>
      </c>
      <c r="AB16" s="63">
        <v>11.5</v>
      </c>
      <c r="AC16" s="63">
        <v>15.775</v>
      </c>
      <c r="AD16" s="63">
        <v>0</v>
      </c>
      <c r="AE16" s="63">
        <v>16.5</v>
      </c>
      <c r="AF16" s="63">
        <v>8.9</v>
      </c>
      <c r="AG16" s="63">
        <v>11.7</v>
      </c>
      <c r="AH16" s="63">
        <v>15.92</v>
      </c>
      <c r="AI16" s="63">
        <v>0</v>
      </c>
      <c r="AJ16" s="74"/>
      <c r="AK16" s="12">
        <f>IF(AB16&gt;0,AB16,"")</f>
        <v>11.5</v>
      </c>
      <c r="AL16" s="12">
        <f>IF(SUM(U16:X16)-Y16&gt;0,SUM(U16:X16)-Y16,"")</f>
        <v>46.215000000000003</v>
      </c>
      <c r="AM16" s="12">
        <f>IF(SUM(Z16:AC16)-AD16&gt;0,SUM(Z16:AC16)-AD16,"")</f>
        <v>52.125</v>
      </c>
      <c r="AN16" s="12">
        <f>IF(SUM(AL16:AM16)&gt;0,SUM(AL16:AM16),"")</f>
        <v>98.34</v>
      </c>
      <c r="AO16" s="12">
        <f>IF(AG16&gt;0,AG16,"")</f>
        <v>11.7</v>
      </c>
      <c r="AP16" s="12">
        <f>IF(SUM(AE16:AH16)-AI16&gt;0,SUM(AE16:AH16)-AI16,"")</f>
        <v>53.019999999999996</v>
      </c>
      <c r="AQ16" s="12">
        <f>IF(SUM(AN16,AP16)&gt;0,SUM(AN16,AP16),"")</f>
        <v>151.36000000000001</v>
      </c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75"/>
      <c r="BH16" s="15" t="str">
        <f>IF(AY16&gt;0,AY16,"")</f>
        <v/>
      </c>
      <c r="BI16" s="15" t="str">
        <f>IF(SUM(AR16:AU16)-AV16&gt;0,SUM(AR16:AU16)-AV16,"")</f>
        <v/>
      </c>
      <c r="BJ16" s="15" t="str">
        <f>IF(SUM(AW16:AZ16)-BA16&gt;0,SUM(AW16:AZ16)-BA16,"")</f>
        <v/>
      </c>
      <c r="BK16" s="15" t="str">
        <f>IF(SUM(BI16:BJ16)&gt;0,SUM(BI16:BJ16),"")</f>
        <v/>
      </c>
      <c r="BL16" s="15" t="str">
        <f>IF(BD16&gt;0,BD16,"")</f>
        <v/>
      </c>
      <c r="BM16" s="15" t="str">
        <f>IF(SUM(BB16:BE16)-BF16&gt;0,SUM(BB16:BE16)-BF16,"")</f>
        <v/>
      </c>
      <c r="BN16" s="15" t="str">
        <f>IF(SUM(BK16,BM16)&gt;0,SUM(BK16,BM16),"")</f>
        <v/>
      </c>
      <c r="BO16" s="24">
        <f>IF(MAX(CI16,DE16,EA16,EW16,FS16,GO16,HK16,IG16,JC16,JY16,KU16,LQ16)-IF(L16="",0,L16)&gt;0.001,MAX(CI16,DE16,EA16,EW16,FS16,GO16,HK16,IG16,JC16,JY16,KU16,LQ16)-IF(L16="",0,L16),"")</f>
        <v>42.724999999999994</v>
      </c>
      <c r="BP16" s="24">
        <f>IF(MAX(CJ16,DF16,EB16,EX16,FT16,GP16,HL16,IH16,JD16,JZ16,KV16,LR16)-IF(N16="",0,N16)&gt;0.001,MAX(CJ16,DF16,EB16,EX16,FT16,GP16,HL16,IH16,JD16,JZ16,KV16,LR16)-IF(N16="",0,N16),"")</f>
        <v>35.49</v>
      </c>
      <c r="BQ16" s="24" t="str">
        <f>IF(MAX(CK16,DG16,EC16,EY16,FU16,GQ16,HM16,II16,JE16,KA16,KW16,LS16)-IF(J16="",0,J16)&gt;0.001,MAX(CK16,DG16,EC16,EY16,FU16,GQ16,HM16,II16,JE16,KA16,KW16,LS16)-IF(J16="",0,J16),"")</f>
        <v/>
      </c>
      <c r="BR16" s="24" t="str">
        <f>IF(MAX(CM16,DI16,EE16,FA16,FW16,GS16,HO16,IK16,JG16,KC16,KY16,LU16)-IF(P16="",0,P16)&gt;0.001,MAX(CM16,DI16,EE16,FA16,FW16,GS16,HO16,IK16,JG16,KC16,KY16,LU16)-IF(P16="",0,P16),"")</f>
        <v/>
      </c>
      <c r="BS16" s="36">
        <v>16.399999999999999</v>
      </c>
      <c r="BT16" s="36">
        <v>9.6999999999999993</v>
      </c>
      <c r="BU16" s="36">
        <v>0</v>
      </c>
      <c r="BV16" s="36">
        <v>16.625</v>
      </c>
      <c r="BW16" s="36">
        <v>0</v>
      </c>
      <c r="BX16" s="36">
        <v>9.4</v>
      </c>
      <c r="BY16" s="36">
        <v>5.8</v>
      </c>
      <c r="BZ16" s="36">
        <v>9.3000000000000007</v>
      </c>
      <c r="CA16" s="36">
        <v>10.99</v>
      </c>
      <c r="CB16" s="36">
        <v>0</v>
      </c>
      <c r="CC16" s="36"/>
      <c r="CD16" s="36"/>
      <c r="CE16" s="36"/>
      <c r="CF16" s="36"/>
      <c r="CG16" s="36"/>
      <c r="CH16" s="12">
        <f>IF(BZ16&gt;0,BZ16,"")</f>
        <v>9.3000000000000007</v>
      </c>
      <c r="CI16" s="12">
        <f>IF(SUM(BS16:BV16)-BW16&gt;0,SUM(BS16:BV16)-BW16,"")</f>
        <v>42.724999999999994</v>
      </c>
      <c r="CJ16" s="12">
        <f>IF(SUM(BX16:CA16)-CB16&gt;0,SUM(BX16:CA16)-CB16,"")</f>
        <v>35.49</v>
      </c>
      <c r="CK16" s="12">
        <f>IF(SUM(CI16:CJ16)&gt;0,SUM(CI16:CJ16),"")</f>
        <v>78.215000000000003</v>
      </c>
      <c r="CL16" s="12" t="str">
        <f>IF(CE16&gt;0,CE16,"")</f>
        <v/>
      </c>
      <c r="CM16" s="12" t="str">
        <f>IF(SUM(CC16:CF16)-CG16&gt;0,SUM(CC16:CF16)-CG16,"")</f>
        <v/>
      </c>
      <c r="CN16" s="12">
        <f>IF(SUM(CK16,CM16)&gt;0,SUM(CK16,CM16),"")</f>
        <v>78.215000000000003</v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63">
        <f t="shared" si="7"/>
        <v>8.3000000000000007</v>
      </c>
      <c r="LX16" s="63">
        <f t="shared" si="8"/>
        <v>4.7750000000000004</v>
      </c>
      <c r="LY16" s="63">
        <f t="shared" si="9"/>
        <v>1.95</v>
      </c>
      <c r="LZ16" s="63">
        <f t="shared" si="10"/>
        <v>8.0824999999999996</v>
      </c>
      <c r="MA16" s="63">
        <f t="shared" si="11"/>
        <v>0</v>
      </c>
      <c r="MB16" s="63">
        <f t="shared" si="12"/>
        <v>7.9</v>
      </c>
      <c r="MC16" s="63">
        <f t="shared" si="13"/>
        <v>4.5250000000000004</v>
      </c>
      <c r="MD16" s="63">
        <f t="shared" si="14"/>
        <v>5.75</v>
      </c>
      <c r="ME16" s="63">
        <f t="shared" si="15"/>
        <v>7.8875000000000002</v>
      </c>
      <c r="MF16" s="63">
        <f t="shared" si="16"/>
        <v>0</v>
      </c>
      <c r="MG16" s="63">
        <f t="shared" si="17"/>
        <v>8.25</v>
      </c>
      <c r="MH16" s="63">
        <f t="shared" si="18"/>
        <v>4.45</v>
      </c>
      <c r="MI16" s="63">
        <f t="shared" si="19"/>
        <v>5.85</v>
      </c>
      <c r="MJ16" s="63">
        <f t="shared" si="20"/>
        <v>7.96</v>
      </c>
      <c r="MK16" s="63">
        <f t="shared" si="21"/>
        <v>0</v>
      </c>
      <c r="ML16" s="74" t="s">
        <v>116</v>
      </c>
      <c r="MM16" s="12">
        <f t="shared" si="22"/>
        <v>5.75</v>
      </c>
      <c r="MN16" s="12">
        <f t="shared" si="23"/>
        <v>23.107500000000002</v>
      </c>
      <c r="MO16" s="12">
        <f t="shared" si="24"/>
        <v>26.0625</v>
      </c>
      <c r="MP16" s="12">
        <f t="shared" si="25"/>
        <v>49.17</v>
      </c>
      <c r="MQ16" s="12">
        <f t="shared" si="26"/>
        <v>5.85</v>
      </c>
      <c r="MR16" s="12">
        <f t="shared" si="27"/>
        <v>26.509999999999998</v>
      </c>
      <c r="MS16" s="12">
        <f t="shared" si="28"/>
        <v>75.680000000000007</v>
      </c>
    </row>
    <row r="17" spans="1:357" x14ac:dyDescent="0.2">
      <c r="A17" s="6" t="str">
        <f>IF(AND(F17="P",H17="P"),SUMPRODUCT((F$4:F$24="P")*(H$4:H$24="P")*(E$4:E$24&gt;E17))+1,IF(H17="P",SUMPRODUCT((F$4:F$24="")*(H$4:H$24="P")*(E$4:E$24&gt;E17))+1+SUMPRODUCT((F$4:F$24="P")*(H$4:H$24="P")),""))</f>
        <v/>
      </c>
      <c r="B17" s="7" t="s">
        <v>87</v>
      </c>
      <c r="C17" s="8" t="s">
        <v>3</v>
      </c>
      <c r="D17" s="27">
        <v>2001</v>
      </c>
      <c r="E17" s="16">
        <f>SUM(J17:R17)</f>
        <v>186.66</v>
      </c>
      <c r="F17" s="4" t="str">
        <f>IF(OR(AND($AK17&gt;=$AL$26,NOT($AK17=""),$AJ17=""),AND($BH17&gt;=$BI$26,NOT($BH17=""),$BG17=""),AND($CH17&gt;=$CI$26,NOT($CH17="")),AND($DD17&gt;=$DE$26,NOT($DD17="")),AND($DZ17&gt;=$EA$26,NOT($DZ17="")),AND($EV17&gt;=$EW$26,NOT($EV17="")),AND($FR17&gt;=$FS$26,NOT($FR17="")),AND($GN17&gt;=$GO$26,NOT($GN17="")),AND($HJ17&gt;=$HK$26,NOT($HJ17="")),AND($IF17&gt;=$IG$26,NOT($IF17="")),AND($JB17&gt;=$JC$26,NOT($JB17="")),AND($JX17&gt;=$JY$26,NOT($JX17="")),AND($KT17&gt;=$KU$26,NOT($KT17="")),AND($LP17&gt;=$LQ$26,NOT($LP17="")),AND($AO17&gt;=$AL$26,NOT($AO17=""),$AJ17=""),AND($BL17&gt;=$BI$26,NOT($BL17=""),$BG17=""),AND($CL17&gt;=$CI$26,NOT($CL17="")),AND($DH17&gt;=$DE$26,NOT($DH17="")),AND($ED17&gt;=$EA$26,NOT($ED17="")),AND($EZ17&gt;=$EW$26,NOT($EZ17="")),AND($FV17&gt;=$FS$26,NOT($FV17="")),AND($GR17&gt;=$GO$26,NOT($GR17="")),AND($HN17&gt;=$HK$26,NOT($HN17="")),AND($IJ17&gt;=$IG$26,NOT($IJ17="")),AND($JF17&gt;=$JC$26,NOT($JF17="")),AND($KB17&gt;=$JY$26,NOT($KB17="")),AND($KX17&gt;=$KU$26,NOT($KX17="")),AND($LT17&gt;=$LQ$26,NOT($LT17=""))),"P","")</f>
        <v/>
      </c>
      <c r="G17" s="4" t="str">
        <f>IF(OR(AND($AK17&gt;=$AL$27,NOT($AK17=""),$AJ17=""),AND($BH17&gt;=$BI$27,NOT($BH17=""),$BG17=""),AND($CH17&gt;=$CI$27,NOT($CH17="")),AND($DD17&gt;=$DE$27,NOT($DD17="")),AND($DZ17&gt;=$EA$27,NOT($DZ17="")),AND($EV17&gt;=$EW$27,NOT($EV17="")),AND($FR17&gt;=$FS$27,NOT($FR17="")),AND($GN17&gt;=$GO$27,NOT($GN17="")),AND($HJ17&gt;=$HK$27,NOT($HJ17="")),AND($IF17&gt;=$IG$27,NOT($IF17="")),AND($JB17&gt;=$JC$27,NOT($JB17="")),AND($JX17&gt;=$JY$27,NOT($JX17="")),AND($KT17&gt;=$KU$27,NOT($KT17="")),AND($LP17&gt;=$LQ$27,NOT($LP17="")),AND($AO17&gt;=$AL$27,NOT($AO17=""),$AJ17=""),AND($BL17&gt;=$BI$27,NOT($BL17=""),$BG17=""),AND($CL17&gt;=$CI$27,NOT($CL17="")),AND($DH17&gt;=$DE$27,NOT($DH17="")),AND($ED17&gt;=$EA$27,NOT($ED17="")),AND($EZ17&gt;=$EW$27,NOT($EZ17="")),AND($FV17&gt;=$FS$27,NOT($FV17="")),AND($GR17&gt;=$GO$27,NOT($GR17="")),AND($HN17&gt;=$HK$27,NOT($HN17="")),AND($IJ17&gt;=$IG$27,NOT($IJ17="")),AND($JF17&gt;=$JC$27,NOT($JF17="")),AND($KB17&gt;=$JY$27,NOT($KB17="")),AND($KX17&gt;=$KU$27,NOT($KX17="")),AND($LT17&gt;=$LQ$27,NOT($LT17=""))),"P","")</f>
        <v/>
      </c>
      <c r="H17" s="4" t="str">
        <f>IF(OR(AND($AN17&gt;=$AL$28,NOT($AN17=""),$AJ17=""),AND($BK17&gt;=$BI$28,NOT($BK17=""),$BG17=""),AND($CK17&gt;=$CI$28,NOT($CK17="")),AND($DG17&gt;=$DE$28,NOT($DG17="")),AND($EC17&gt;=$EA$28,NOT($EC17="")),AND($EY17&gt;=$EW$28,NOT($EY17="")),AND($FU17&gt;=$FS$28,NOT($FU17="")),AND($GQ17&gt;=$GO$28,NOT($GQ17="")),AND($HM17&gt;=$HK$28,NOT($HM17="")),AND($II17&gt;=$IG$28,NOT($II17="")),AND($JE17&gt;=$JC$28,NOT($JE17="")),AND($KA17&gt;=$JY$28,NOT($KA17="")),AND($KW17&gt;=$KU$28,NOT($KW17="")),AND($LS17&gt;=$LQ$28,NOT($LS17=""))),"P","")</f>
        <v/>
      </c>
      <c r="I17" t="str">
        <f>IF(AND(H17="P",F17=""),"No DD",IF(AND(G17="P",OR(AND($AM17&gt;$AL$31,NOT($AM17=""),$AJ17=""),AND($AP17&gt;$AL$31,NOT($AP17=""),$AJ17=""),AND($BJ17&gt;$BI$31,NOT($BJ17=""),$BG17=""),AND($BM17&gt;$BI$31,NOT($BM17=""),$BG17=""),AND($CJ17&gt;$CI$31,NOT($CJ17="")),AND($CM17&gt;$CI$31,NOT($CM17="")),AND($DF17&gt;$DE$31,NOT($DF17="")),AND($DI17&gt;$DE$31,NOT($DI17="")),AND($EB17&gt;$EA$31,NOT($EB17="")),AND($EE17&gt;$EA$31,NOT($EE17="")),AND($EX17&gt;$EW$31,NOT($EX17="")),AND($FA17&gt;$EW$31,NOT($FA17="")),AND($FT17&gt;$FS$31,NOT($FT17="")),AND($FW17&gt;$FS$31,NOT($FW17="")),AND($GP17&gt;$GO$31,NOT($GP17="")),AND($GS17&gt;$GO$31,NOT($GS17="")),AND($HL17&gt;$HK$31,NOT($HL17="")),AND($HO17&gt;$HK$31,NOT($HO17="")),AND($IH17&gt;$IG$31,NOT($IH17="")),AND($IK17&gt;$IG$31,NOT($IK17="")),AND($JD17&gt;$JC$31,NOT($JD17="")),AND($JG17&gt;$JC$31,NOT($JG17="")),AND($JZ17&gt;$JY$31,NOT($JZ17="")),AND($KC17&gt;$JY$31,NOT($KC17="")),AND($KV17&gt;$KU$31,NOT($KV17="")),AND($KY17&gt;$KU$31,NOT($KY17="")),AND($LR17&gt;$LQ$31,NOT($LR17="")),AND($LU17&gt;$LQ$31,NOT($LU17="")))),"Merit",IF(AND(G17="P",OR(AND($AN17&gt;$AL$30,NOT($AN17=""),$AJ17=""),AND($BK17&gt;$BI$30,NOT($BK17=""),$BG17=""),AND($CK17&gt;$CI$30,NOT($CK17="")),AND($DG17&gt;$DE$30,NOT($DG17="")),AND($EC17&gt;$EA$30,NOT($EC17="")),AND($EY17&gt;$EW$30,NOT($EY17="")),AND($FU17&gt;$FS$30,NOT($FU17="")),AND($GQ17&gt;$GO$30,NOT($GQ17="")),AND($HM17&gt;$HK$30,NOT($HM17="")),AND($II17&gt;$IG$30,NOT($II17="")),AND($JE17&gt;$JC$30,NOT($JE17="")),AND($KA17&gt;$JY$30,NOT($KA17="")),AND($KW17&gt;$KU$30,NOT($KW17="")),AND($LS17&gt;$LQ$30,NOT($LS17="")))),"Excellence",IF(AND(G17="P",OR(AND($AN17&gt;$AL$29,NOT($AN17=""),$AJ17=""),AND($BK17&gt;$BI$29,NOT($BK17=""),$BG17=""),AND($CK17&gt;$CI$29,NOT($CK17="")),AND($DG17&gt;$DE$29,NOT($DG17="")),AND($EC17&gt;$EA$29,NOT($EC17="")),AND($EY17&gt;$EW$29,NOT($EY17="")),AND($FU17&gt;$FS$29,NOT($FU17="")),AND($GQ17&gt;$GO$29,NOT($GQ17="")),AND($HM17&gt;$HK$29,NOT($HM17="")),AND($II17&gt;$IG$29,NOT($II17="")),AND($JE17&gt;$JC$29,NOT($JE17="")),AND($KA17&gt;$JY$29,NOT($KA17="")),AND($KW17&gt;$KU$29,NOT($KW17="")),AND($LS17&gt;$LQ$29,NOT($LS17="")))),"Worlds Team",IF(AND(F17="P",OR(AND($AN17&gt;$AL$28,NOT($AN17=""),$AJ17=""),AND($BK17&gt;$BI$28,NOT($BK17=""),$BG17=""),AND($CK17&gt;$CI$28,NOT($CK17="")),AND($DG17&gt;$DE$28,NOT($DG17="")),AND($EC17&gt;$EA$28,NOT($EC17="")),AND($EY17&gt;$EW$28,NOT($EY17="")),AND($FU17&gt;$FS$28,NOT($FU17="")),AND($GQ17&gt;$GO$28,NOT($GQ17="")),AND($HM17&gt;$HK$28,NOT($HM17="")),AND($II17&gt;$IG$28,NOT($II17="")),AND($JE17&gt;$JC$28,NOT($JE17="")),AND($KA17&gt;$JY$28,NOT($KA17="")),AND($KW17&gt;$KU$28,NOT($KW17="")),AND($LS17&gt;$LQ$28,NOT($LS17="")))),"National Team","")))))</f>
        <v/>
      </c>
      <c r="J17" s="15">
        <f>IF(MAX(AN17,BK17)&gt;0,MAX(AN17,BK17),"")</f>
        <v>97.635000000000005</v>
      </c>
      <c r="K17" s="15" t="str">
        <f>IF(J17="","",IF(J17=BK17,$AR$1,IF(J17=AN17,$U$1,"")))</f>
        <v>2018 Nationals</v>
      </c>
      <c r="L17" s="15">
        <f>IF($J17=$AN17,BI17,IF($J17=$BK17,AL17,MAX(AL17,BI17)))</f>
        <v>45.744999999999997</v>
      </c>
      <c r="M17" s="15" t="str">
        <f>IF(L17="","",IF(AND(L17=BI17,$K17&lt;&gt;$AR$1),$AR$1,IF(AND(L17=AL17,$K17&lt;&gt;$U$1),$U$1,"")))</f>
        <v>2019 Elite Canada</v>
      </c>
      <c r="N17" s="15">
        <f>IF($J17=$AN17,BJ17,IF($J17=$BK17,AM17,MAX(AM17,BJ17)))</f>
        <v>31.97</v>
      </c>
      <c r="O17" s="15" t="str">
        <f>IF(N17="","",IF(AND(N17=BJ17,$K17&lt;&gt;$AR$1),$AR$1,IF(AND(N17=AM17,$K17&lt;&gt;$U$1),$U$1,"")))</f>
        <v>2019 Elite Canada</v>
      </c>
      <c r="P17" s="15">
        <f>IF(MAX(AP17,BM17)&gt;0,MAX(AP17,BM17),"")</f>
        <v>11.31</v>
      </c>
      <c r="Q17" s="15" t="str">
        <f>IF(P17="","",IF(P17=BM17,$AR$1,IF(P17=AP17,$U$1,"")))</f>
        <v>2019 Elite Canada</v>
      </c>
      <c r="R17" s="15" t="str">
        <f>IF(MAX(BO17,BP17,BQ17,BR17)&gt;0,MAX(BO17,BP17,BQ17,BR17),"")</f>
        <v/>
      </c>
      <c r="S17" s="25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63">
        <v>17.600000000000001</v>
      </c>
      <c r="V17" s="63">
        <v>9.1999999999999993</v>
      </c>
      <c r="W17" s="63">
        <v>3.5</v>
      </c>
      <c r="X17" s="63">
        <v>16.245000000000001</v>
      </c>
      <c r="Y17" s="63">
        <v>0</v>
      </c>
      <c r="Z17" s="63">
        <v>13.4</v>
      </c>
      <c r="AA17" s="63">
        <v>9.1999999999999993</v>
      </c>
      <c r="AB17" s="63">
        <v>13.4</v>
      </c>
      <c r="AC17" s="63">
        <v>15.09</v>
      </c>
      <c r="AD17" s="63">
        <v>0</v>
      </c>
      <c r="AE17" s="63">
        <v>3.2</v>
      </c>
      <c r="AF17" s="63">
        <v>2</v>
      </c>
      <c r="AG17" s="63">
        <v>2.5</v>
      </c>
      <c r="AH17" s="63">
        <v>3.33</v>
      </c>
      <c r="AI17" s="63">
        <v>0</v>
      </c>
      <c r="AJ17" s="74"/>
      <c r="AK17" s="12">
        <f>IF(AB17&gt;0,AB17,"")</f>
        <v>13.4</v>
      </c>
      <c r="AL17" s="12">
        <f>IF(SUM(U17:X17)-Y17&gt;0,SUM(U17:X17)-Y17,"")</f>
        <v>46.545000000000002</v>
      </c>
      <c r="AM17" s="12">
        <f>IF(SUM(Z17:AC17)-AD17&gt;0,SUM(Z17:AC17)-AD17,"")</f>
        <v>51.09</v>
      </c>
      <c r="AN17" s="12">
        <f>IF(SUM(AL17:AM17)&gt;0,SUM(AL17:AM17),"")</f>
        <v>97.635000000000005</v>
      </c>
      <c r="AO17" s="12">
        <f>IF(AG17&gt;0,AG17,"")</f>
        <v>2.5</v>
      </c>
      <c r="AP17" s="12">
        <f>IF(SUM(AE17:AH17)-AI17&gt;0,SUM(AE17:AH17)-AI17,"")</f>
        <v>11.030000000000001</v>
      </c>
      <c r="AQ17" s="12">
        <f>IF(SUM(AN17,AP17)&gt;0,SUM(AN17,AP17),"")</f>
        <v>108.66500000000001</v>
      </c>
      <c r="AR17" s="69">
        <v>15.3</v>
      </c>
      <c r="AS17" s="69">
        <v>9.25</v>
      </c>
      <c r="AT17" s="69">
        <v>4.0999999999999996</v>
      </c>
      <c r="AU17" s="69">
        <v>17.094999999999999</v>
      </c>
      <c r="AV17" s="69">
        <v>0</v>
      </c>
      <c r="AW17" s="69">
        <v>8.6</v>
      </c>
      <c r="AX17" s="69">
        <v>5.55</v>
      </c>
      <c r="AY17" s="69">
        <v>8.1999999999999993</v>
      </c>
      <c r="AZ17" s="69">
        <v>9.6199999999999992</v>
      </c>
      <c r="BA17" s="69">
        <v>0</v>
      </c>
      <c r="BB17" s="69">
        <v>2.8</v>
      </c>
      <c r="BC17" s="69">
        <v>1.7</v>
      </c>
      <c r="BD17" s="69">
        <v>3.8</v>
      </c>
      <c r="BE17" s="69">
        <v>3.41</v>
      </c>
      <c r="BF17" s="69">
        <v>0.4</v>
      </c>
      <c r="BG17" s="75"/>
      <c r="BH17" s="15">
        <f>IF(AY17&gt;0,AY17,"")</f>
        <v>8.1999999999999993</v>
      </c>
      <c r="BI17" s="15">
        <f>IF(SUM(AR17:AU17)-AV17&gt;0,SUM(AR17:AU17)-AV17,"")</f>
        <v>45.744999999999997</v>
      </c>
      <c r="BJ17" s="15">
        <f>IF(SUM(AW17:AZ17)-BA17&gt;0,SUM(AW17:AZ17)-BA17,"")</f>
        <v>31.97</v>
      </c>
      <c r="BK17" s="15">
        <f>IF(SUM(BI17:BJ17)&gt;0,SUM(BI17:BJ17),"")</f>
        <v>77.715000000000003</v>
      </c>
      <c r="BL17" s="15">
        <f>IF(BD17&gt;0,BD17,"")</f>
        <v>3.8</v>
      </c>
      <c r="BM17" s="15">
        <f>IF(SUM(BB17:BE17)-BF17&gt;0,SUM(BB17:BE17)-BF17,"")</f>
        <v>11.31</v>
      </c>
      <c r="BN17" s="15">
        <f>IF(SUM(BK17,BM17)&gt;0,SUM(BK17,BM17),"")</f>
        <v>89.025000000000006</v>
      </c>
      <c r="BO17" s="24" t="str">
        <f>IF(MAX(CI17,DE17,EA17,EW17,FS17,GO17,HK17,IG17,JC17,JY17,KU17,LQ17)-IF(L17="",0,L17)&gt;0.001,MAX(CI17,DE17,EA17,EW17,FS17,GO17,HK17,IG17,JC17,JY17,KU17,LQ17)-IF(L17="",0,L17),"")</f>
        <v/>
      </c>
      <c r="BP17" s="24" t="str">
        <f>IF(MAX(CJ17,DF17,EB17,EX17,FT17,GP17,HL17,IH17,JD17,JZ17,KV17,LR17)-IF(N17="",0,N17)&gt;0.001,MAX(CJ17,DF17,EB17,EX17,FT17,GP17,HL17,IH17,JD17,JZ17,KV17,LR17)-IF(N17="",0,N17),"")</f>
        <v/>
      </c>
      <c r="BQ17" s="24" t="str">
        <f>IF(MAX(CK17,DG17,EC17,EY17,FU17,GQ17,HM17,II17,JE17,KA17,KW17,LS17)-IF(J17="",0,J17)&gt;0.001,MAX(CK17,DG17,EC17,EY17,FU17,GQ17,HM17,II17,JE17,KA17,KW17,LS17)-IF(J17="",0,J17),"")</f>
        <v/>
      </c>
      <c r="BR17" s="24" t="str">
        <f>IF(MAX(CM17,DI17,EE17,FA17,FW17,GS17,HO17,IK17,JG17,KC17,KY17,LU17)-IF(P17="",0,P17)&gt;0.001,MAX(CM17,DI17,EE17,FA17,FW17,GS17,HO17,IK17,JG17,KC17,KY17,LU17)-IF(P17="",0,P17),"")</f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63">
        <f t="shared" si="7"/>
        <v>16.450000000000003</v>
      </c>
      <c r="LX17" s="63">
        <f t="shared" si="8"/>
        <v>9.2249999999999996</v>
      </c>
      <c r="LY17" s="63">
        <f t="shared" si="9"/>
        <v>3.8</v>
      </c>
      <c r="LZ17" s="63">
        <f t="shared" si="10"/>
        <v>16.670000000000002</v>
      </c>
      <c r="MA17" s="63">
        <f t="shared" si="11"/>
        <v>0</v>
      </c>
      <c r="MB17" s="63">
        <f t="shared" si="12"/>
        <v>11</v>
      </c>
      <c r="MC17" s="63">
        <f t="shared" si="13"/>
        <v>7.375</v>
      </c>
      <c r="MD17" s="63">
        <f t="shared" si="14"/>
        <v>10.8</v>
      </c>
      <c r="ME17" s="63">
        <f t="shared" si="15"/>
        <v>12.355</v>
      </c>
      <c r="MF17" s="63">
        <f t="shared" si="16"/>
        <v>0</v>
      </c>
      <c r="MG17" s="63">
        <f t="shared" si="17"/>
        <v>3</v>
      </c>
      <c r="MH17" s="63">
        <f t="shared" si="18"/>
        <v>1.85</v>
      </c>
      <c r="MI17" s="63">
        <f t="shared" si="19"/>
        <v>3.15</v>
      </c>
      <c r="MJ17" s="63">
        <f t="shared" si="20"/>
        <v>3.37</v>
      </c>
      <c r="MK17" s="63">
        <f t="shared" si="21"/>
        <v>0.2</v>
      </c>
      <c r="ML17" s="74" t="s">
        <v>116</v>
      </c>
      <c r="MM17" s="12">
        <f t="shared" si="22"/>
        <v>10.8</v>
      </c>
      <c r="MN17" s="12">
        <f t="shared" si="23"/>
        <v>46.14500000000001</v>
      </c>
      <c r="MO17" s="12">
        <f t="shared" si="24"/>
        <v>41.53</v>
      </c>
      <c r="MP17" s="12">
        <f t="shared" si="25"/>
        <v>87.675000000000011</v>
      </c>
      <c r="MQ17" s="12">
        <f t="shared" si="26"/>
        <v>3.15</v>
      </c>
      <c r="MR17" s="12">
        <f t="shared" si="27"/>
        <v>11.170000000000002</v>
      </c>
      <c r="MS17" s="12">
        <f t="shared" si="28"/>
        <v>98.845000000000013</v>
      </c>
    </row>
    <row r="18" spans="1:357" x14ac:dyDescent="0.2">
      <c r="A18" s="6" t="str">
        <f>IF(AND(F18="P",H18="P"),SUMPRODUCT((F$4:F$24="P")*(H$4:H$24="P")*(E$4:E$24&gt;E18))+1,IF(H18="P",SUMPRODUCT((F$4:F$24="")*(H$4:H$24="P")*(E$4:E$24&gt;E18))+1+SUMPRODUCT((F$4:F$24="P")*(H$4:H$24="P")),""))</f>
        <v/>
      </c>
      <c r="B18" s="7" t="s">
        <v>92</v>
      </c>
      <c r="C18" s="8" t="s">
        <v>93</v>
      </c>
      <c r="D18" s="27">
        <v>2001</v>
      </c>
      <c r="E18" s="16">
        <f>SUM(J18:R18)</f>
        <v>158.13499999999999</v>
      </c>
      <c r="F18" s="4" t="str">
        <f>IF(OR(AND($AK18&gt;=$AL$26,NOT($AK18=""),$AJ18=""),AND($BH18&gt;=$BI$26,NOT($BH18=""),$BG18=""),AND($CH18&gt;=$CI$26,NOT($CH18="")),AND($DD18&gt;=$DE$26,NOT($DD18="")),AND($DZ18&gt;=$EA$26,NOT($DZ18="")),AND($EV18&gt;=$EW$26,NOT($EV18="")),AND($FR18&gt;=$FS$26,NOT($FR18="")),AND($GN18&gt;=$GO$26,NOT($GN18="")),AND($HJ18&gt;=$HK$26,NOT($HJ18="")),AND($IF18&gt;=$IG$26,NOT($IF18="")),AND($JB18&gt;=$JC$26,NOT($JB18="")),AND($JX18&gt;=$JY$26,NOT($JX18="")),AND($KT18&gt;=$KU$26,NOT($KT18="")),AND($LP18&gt;=$LQ$26,NOT($LP18="")),AND($AO18&gt;=$AL$26,NOT($AO18=""),$AJ18=""),AND($BL18&gt;=$BI$26,NOT($BL18=""),$BG18=""),AND($CL18&gt;=$CI$26,NOT($CL18="")),AND($DH18&gt;=$DE$26,NOT($DH18="")),AND($ED18&gt;=$EA$26,NOT($ED18="")),AND($EZ18&gt;=$EW$26,NOT($EZ18="")),AND($FV18&gt;=$FS$26,NOT($FV18="")),AND($GR18&gt;=$GO$26,NOT($GR18="")),AND($HN18&gt;=$HK$26,NOT($HN18="")),AND($IJ18&gt;=$IG$26,NOT($IJ18="")),AND($JF18&gt;=$JC$26,NOT($JF18="")),AND($KB18&gt;=$JY$26,NOT($KB18="")),AND($KX18&gt;=$KU$26,NOT($KX18="")),AND($LT18&gt;=$LQ$26,NOT($LT18=""))),"P","")</f>
        <v/>
      </c>
      <c r="G18" s="4" t="str">
        <f>IF(OR(AND($AK18&gt;=$AL$27,NOT($AK18=""),$AJ18=""),AND($BH18&gt;=$BI$27,NOT($BH18=""),$BG18=""),AND($CH18&gt;=$CI$27,NOT($CH18="")),AND($DD18&gt;=$DE$27,NOT($DD18="")),AND($DZ18&gt;=$EA$27,NOT($DZ18="")),AND($EV18&gt;=$EW$27,NOT($EV18="")),AND($FR18&gt;=$FS$27,NOT($FR18="")),AND($GN18&gt;=$GO$27,NOT($GN18="")),AND($HJ18&gt;=$HK$27,NOT($HJ18="")),AND($IF18&gt;=$IG$27,NOT($IF18="")),AND($JB18&gt;=$JC$27,NOT($JB18="")),AND($JX18&gt;=$JY$27,NOT($JX18="")),AND($KT18&gt;=$KU$27,NOT($KT18="")),AND($LP18&gt;=$LQ$27,NOT($LP18="")),AND($AO18&gt;=$AL$27,NOT($AO18=""),$AJ18=""),AND($BL18&gt;=$BI$27,NOT($BL18=""),$BG18=""),AND($CL18&gt;=$CI$27,NOT($CL18="")),AND($DH18&gt;=$DE$27,NOT($DH18="")),AND($ED18&gt;=$EA$27,NOT($ED18="")),AND($EZ18&gt;=$EW$27,NOT($EZ18="")),AND($FV18&gt;=$FS$27,NOT($FV18="")),AND($GR18&gt;=$GO$27,NOT($GR18="")),AND($HN18&gt;=$HK$27,NOT($HN18="")),AND($IJ18&gt;=$IG$27,NOT($IJ18="")),AND($JF18&gt;=$JC$27,NOT($JF18="")),AND($KB18&gt;=$JY$27,NOT($KB18="")),AND($KX18&gt;=$KU$27,NOT($KX18="")),AND($LT18&gt;=$LQ$27,NOT($LT18=""))),"P","")</f>
        <v/>
      </c>
      <c r="H18" s="4" t="str">
        <f>IF(OR(AND($AN18&gt;=$AL$28,NOT($AN18=""),$AJ18=""),AND($BK18&gt;=$BI$28,NOT($BK18=""),$BG18=""),AND($CK18&gt;=$CI$28,NOT($CK18="")),AND($DG18&gt;=$DE$28,NOT($DG18="")),AND($EC18&gt;=$EA$28,NOT($EC18="")),AND($EY18&gt;=$EW$28,NOT($EY18="")),AND($FU18&gt;=$FS$28,NOT($FU18="")),AND($GQ18&gt;=$GO$28,NOT($GQ18="")),AND($HM18&gt;=$HK$28,NOT($HM18="")),AND($II18&gt;=$IG$28,NOT($II18="")),AND($JE18&gt;=$JC$28,NOT($JE18="")),AND($KA18&gt;=$JY$28,NOT($KA18="")),AND($KW18&gt;=$KU$28,NOT($KW18="")),AND($LS18&gt;=$LQ$28,NOT($LS18=""))),"P","")</f>
        <v/>
      </c>
      <c r="I18" t="str">
        <f>IF(AND(H18="P",F18=""),"No DD",IF(AND(G18="P",OR(AND($AM18&gt;$AL$31,NOT($AM18=""),$AJ18=""),AND($AP18&gt;$AL$31,NOT($AP18=""),$AJ18=""),AND($BJ18&gt;$BI$31,NOT($BJ18=""),$BG18=""),AND($BM18&gt;$BI$31,NOT($BM18=""),$BG18=""),AND($CJ18&gt;$CI$31,NOT($CJ18="")),AND($CM18&gt;$CI$31,NOT($CM18="")),AND($DF18&gt;$DE$31,NOT($DF18="")),AND($DI18&gt;$DE$31,NOT($DI18="")),AND($EB18&gt;$EA$31,NOT($EB18="")),AND($EE18&gt;$EA$31,NOT($EE18="")),AND($EX18&gt;$EW$31,NOT($EX18="")),AND($FA18&gt;$EW$31,NOT($FA18="")),AND($FT18&gt;$FS$31,NOT($FT18="")),AND($FW18&gt;$FS$31,NOT($FW18="")),AND($GP18&gt;$GO$31,NOT($GP18="")),AND($GS18&gt;$GO$31,NOT($GS18="")),AND($HL18&gt;$HK$31,NOT($HL18="")),AND($HO18&gt;$HK$31,NOT($HO18="")),AND($IH18&gt;$IG$31,NOT($IH18="")),AND($IK18&gt;$IG$31,NOT($IK18="")),AND($JD18&gt;$JC$31,NOT($JD18="")),AND($JG18&gt;$JC$31,NOT($JG18="")),AND($JZ18&gt;$JY$31,NOT($JZ18="")),AND($KC18&gt;$JY$31,NOT($KC18="")),AND($KV18&gt;$KU$31,NOT($KV18="")),AND($KY18&gt;$KU$31,NOT($KY18="")),AND($LR18&gt;$LQ$31,NOT($LR18="")),AND($LU18&gt;$LQ$31,NOT($LU18="")))),"Merit",IF(AND(G18="P",OR(AND($AN18&gt;$AL$30,NOT($AN18=""),$AJ18=""),AND($BK18&gt;$BI$30,NOT($BK18=""),$BG18=""),AND($CK18&gt;$CI$30,NOT($CK18="")),AND($DG18&gt;$DE$30,NOT($DG18="")),AND($EC18&gt;$EA$30,NOT($EC18="")),AND($EY18&gt;$EW$30,NOT($EY18="")),AND($FU18&gt;$FS$30,NOT($FU18="")),AND($GQ18&gt;$GO$30,NOT($GQ18="")),AND($HM18&gt;$HK$30,NOT($HM18="")),AND($II18&gt;$IG$30,NOT($II18="")),AND($JE18&gt;$JC$30,NOT($JE18="")),AND($KA18&gt;$JY$30,NOT($KA18="")),AND($KW18&gt;$KU$30,NOT($KW18="")),AND($LS18&gt;$LQ$30,NOT($LS18="")))),"Excellence",IF(AND(G18="P",OR(AND($AN18&gt;$AL$29,NOT($AN18=""),$AJ18=""),AND($BK18&gt;$BI$29,NOT($BK18=""),$BG18=""),AND($CK18&gt;$CI$29,NOT($CK18="")),AND($DG18&gt;$DE$29,NOT($DG18="")),AND($EC18&gt;$EA$29,NOT($EC18="")),AND($EY18&gt;$EW$29,NOT($EY18="")),AND($FU18&gt;$FS$29,NOT($FU18="")),AND($GQ18&gt;$GO$29,NOT($GQ18="")),AND($HM18&gt;$HK$29,NOT($HM18="")),AND($II18&gt;$IG$29,NOT($II18="")),AND($JE18&gt;$JC$29,NOT($JE18="")),AND($KA18&gt;$JY$29,NOT($KA18="")),AND($KW18&gt;$KU$29,NOT($KW18="")),AND($LS18&gt;$LQ$29,NOT($LS18="")))),"Worlds Team",IF(AND(F18="P",OR(AND($AN18&gt;$AL$28,NOT($AN18=""),$AJ18=""),AND($BK18&gt;$BI$28,NOT($BK18=""),$BG18=""),AND($CK18&gt;$CI$28,NOT($CK18="")),AND($DG18&gt;$DE$28,NOT($DG18="")),AND($EC18&gt;$EA$28,NOT($EC18="")),AND($EY18&gt;$EW$28,NOT($EY18="")),AND($FU18&gt;$FS$28,NOT($FU18="")),AND($GQ18&gt;$GO$28,NOT($GQ18="")),AND($HM18&gt;$HK$28,NOT($HM18="")),AND($II18&gt;$IG$28,NOT($II18="")),AND($JE18&gt;$JC$28,NOT($JE18="")),AND($KA18&gt;$JY$28,NOT($KA18="")),AND($KW18&gt;$KU$28,NOT($KW18="")),AND($LS18&gt;$LQ$28,NOT($LS18="")))),"National Team","")))))</f>
        <v/>
      </c>
      <c r="J18" s="15">
        <f>IF(MAX(AN18,BK18)&gt;0,MAX(AN18,BK18),"")</f>
        <v>82.625</v>
      </c>
      <c r="K18" s="15" t="str">
        <f>IF(J18="","",IF(J18=BK18,$AR$1,IF(J18=AN18,$U$1,"")))</f>
        <v>2019 Elite Canada</v>
      </c>
      <c r="L18" s="15">
        <f>IF($J18=$AN18,BI18,IF($J18=$BK18,AL18,MAX(AL18,BI18)))</f>
        <v>5.26</v>
      </c>
      <c r="M18" s="15" t="str">
        <f>IF(L18="","",IF(AND(L18=BI18,$K18&lt;&gt;$AR$1),$AR$1,IF(AND(L18=AL18,$K18&lt;&gt;$U$1),$U$1,"")))</f>
        <v>2018 Nationals</v>
      </c>
      <c r="N18" s="15">
        <f>IF($J18=$AN18,BJ18,IF($J18=$BK18,AM18,MAX(AM18,BJ18)))</f>
        <v>33.204999999999998</v>
      </c>
      <c r="O18" s="15" t="str">
        <f>IF(N18="","",IF(AND(N18=BJ18,$K18&lt;&gt;$AR$1),$AR$1,IF(AND(N18=AM18,$K18&lt;&gt;$U$1),$U$1,"")))</f>
        <v>2018 Nationals</v>
      </c>
      <c r="P18" s="15">
        <f>IF(MAX(AP18,BM18)&gt;0,MAX(AP18,BM18),"")</f>
        <v>37.045000000000002</v>
      </c>
      <c r="Q18" s="15" t="str">
        <f>IF(P18="","",IF(P18=BM18,$AR$1,IF(P18=AP18,$U$1,"")))</f>
        <v>2019 Elite Canada</v>
      </c>
      <c r="R18" s="15" t="str">
        <f>IF(MAX(BO18,BP18,BQ18,BR18)&gt;0,MAX(BO18,BP18,BQ18,BR18),"")</f>
        <v/>
      </c>
      <c r="S18" s="25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63">
        <v>1.2</v>
      </c>
      <c r="V18" s="63">
        <v>0.8</v>
      </c>
      <c r="W18" s="63">
        <v>1.7</v>
      </c>
      <c r="X18" s="63">
        <v>1.56</v>
      </c>
      <c r="Y18" s="63">
        <v>0</v>
      </c>
      <c r="Z18" s="63">
        <v>8.9</v>
      </c>
      <c r="AA18" s="63">
        <v>6.1</v>
      </c>
      <c r="AB18" s="63">
        <v>8.3000000000000007</v>
      </c>
      <c r="AC18" s="63">
        <v>9.9049999999999994</v>
      </c>
      <c r="AD18" s="63">
        <v>0</v>
      </c>
      <c r="AE18" s="63"/>
      <c r="AF18" s="63"/>
      <c r="AG18" s="63"/>
      <c r="AH18" s="63"/>
      <c r="AI18" s="63"/>
      <c r="AJ18" s="74"/>
      <c r="AK18" s="12">
        <f>IF(AB18&gt;0,AB18,"")</f>
        <v>8.3000000000000007</v>
      </c>
      <c r="AL18" s="12">
        <f>IF(SUM(U18:X18)-Y18&gt;0,SUM(U18:X18)-Y18,"")</f>
        <v>5.26</v>
      </c>
      <c r="AM18" s="12">
        <f>IF(SUM(Z18:AC18)-AD18&gt;0,SUM(Z18:AC18)-AD18,"")</f>
        <v>33.204999999999998</v>
      </c>
      <c r="AN18" s="12">
        <f>IF(SUM(AL18:AM18)&gt;0,SUM(AL18:AM18),"")</f>
        <v>38.464999999999996</v>
      </c>
      <c r="AO18" s="12" t="str">
        <f>IF(AG18&gt;0,AG18,"")</f>
        <v/>
      </c>
      <c r="AP18" s="12" t="str">
        <f>IF(SUM(AE18:AH18)-AI18&gt;0,SUM(AE18:AH18)-AI18,"")</f>
        <v/>
      </c>
      <c r="AQ18" s="12">
        <f>IF(SUM(AN18,AP18)&gt;0,SUM(AN18,AP18),"")</f>
        <v>38.464999999999996</v>
      </c>
      <c r="AR18" s="69">
        <v>14.5</v>
      </c>
      <c r="AS18" s="69">
        <v>9.25</v>
      </c>
      <c r="AT18" s="69">
        <v>4.3</v>
      </c>
      <c r="AU18" s="69">
        <v>15.685</v>
      </c>
      <c r="AV18" s="69">
        <v>2</v>
      </c>
      <c r="AW18" s="69">
        <v>10.4</v>
      </c>
      <c r="AX18" s="69">
        <v>6.8</v>
      </c>
      <c r="AY18" s="69">
        <v>11.2</v>
      </c>
      <c r="AZ18" s="69">
        <v>12.49</v>
      </c>
      <c r="BA18" s="69">
        <v>0</v>
      </c>
      <c r="BB18" s="69">
        <v>9.3000000000000007</v>
      </c>
      <c r="BC18" s="69">
        <v>6.65</v>
      </c>
      <c r="BD18" s="69">
        <v>10</v>
      </c>
      <c r="BE18" s="69">
        <v>11.095000000000001</v>
      </c>
      <c r="BF18" s="69">
        <v>0</v>
      </c>
      <c r="BG18" s="75"/>
      <c r="BH18" s="15">
        <f>IF(AY18&gt;0,AY18,"")</f>
        <v>11.2</v>
      </c>
      <c r="BI18" s="15">
        <f>IF(SUM(AR18:AU18)-AV18&gt;0,SUM(AR18:AU18)-AV18,"")</f>
        <v>41.734999999999999</v>
      </c>
      <c r="BJ18" s="15">
        <f>IF(SUM(AW18:AZ18)-BA18&gt;0,SUM(AW18:AZ18)-BA18,"")</f>
        <v>40.89</v>
      </c>
      <c r="BK18" s="15">
        <f>IF(SUM(BI18:BJ18)&gt;0,SUM(BI18:BJ18),"")</f>
        <v>82.625</v>
      </c>
      <c r="BL18" s="15">
        <f>IF(BD18&gt;0,BD18,"")</f>
        <v>10</v>
      </c>
      <c r="BM18" s="15">
        <f>IF(SUM(BB18:BE18)-BF18&gt;0,SUM(BB18:BE18)-BF18,"")</f>
        <v>37.045000000000002</v>
      </c>
      <c r="BN18" s="15">
        <f>IF(SUM(BK18,BM18)&gt;0,SUM(BK18,BM18),"")</f>
        <v>119.67</v>
      </c>
      <c r="BO18" s="24" t="str">
        <f>IF(MAX(CI18,DE18,EA18,EW18,FS18,GO18,HK18,IG18,JC18,JY18,KU18,LQ18)-IF(L18="",0,L18)&gt;0.001,MAX(CI18,DE18,EA18,EW18,FS18,GO18,HK18,IG18,JC18,JY18,KU18,LQ18)-IF(L18="",0,L18),"")</f>
        <v/>
      </c>
      <c r="BP18" s="24" t="str">
        <f>IF(MAX(CJ18,DF18,EB18,EX18,FT18,GP18,HL18,IH18,JD18,JZ18,KV18,LR18)-IF(N18="",0,N18)&gt;0.001,MAX(CJ18,DF18,EB18,EX18,FT18,GP18,HL18,IH18,JD18,JZ18,KV18,LR18)-IF(N18="",0,N18),"")</f>
        <v/>
      </c>
      <c r="BQ18" s="24" t="str">
        <f>IF(MAX(CK18,DG18,EC18,EY18,FU18,GQ18,HM18,II18,JE18,KA18,KW18,LS18)-IF(J18="",0,J18)&gt;0.001,MAX(CK18,DG18,EC18,EY18,FU18,GQ18,HM18,II18,JE18,KA18,KW18,LS18)-IF(J18="",0,J18),"")</f>
        <v/>
      </c>
      <c r="BR18" s="24" t="str">
        <f>IF(MAX(CM18,DI18,EE18,FA18,FW18,GS18,HO18,IK18,JG18,KC18,KY18,LU18)-IF(P18="",0,P18)&gt;0.001,MAX(CM18,DI18,EE18,FA18,FW18,GS18,HO18,IK18,JG18,KC18,KY18,LU18)-IF(P18="",0,P18),"")</f>
        <v/>
      </c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63">
        <f t="shared" si="7"/>
        <v>7.85</v>
      </c>
      <c r="LX18" s="63">
        <f t="shared" si="8"/>
        <v>5.0250000000000004</v>
      </c>
      <c r="LY18" s="63">
        <f t="shared" si="9"/>
        <v>3</v>
      </c>
      <c r="LZ18" s="63">
        <f t="shared" si="10"/>
        <v>8.6225000000000005</v>
      </c>
      <c r="MA18" s="63">
        <f t="shared" si="11"/>
        <v>1</v>
      </c>
      <c r="MB18" s="63">
        <f t="shared" si="12"/>
        <v>9.65</v>
      </c>
      <c r="MC18" s="63">
        <f t="shared" si="13"/>
        <v>6.4499999999999993</v>
      </c>
      <c r="MD18" s="63">
        <f t="shared" si="14"/>
        <v>9.75</v>
      </c>
      <c r="ME18" s="63">
        <f t="shared" si="15"/>
        <v>11.1975</v>
      </c>
      <c r="MF18" s="63">
        <f t="shared" si="16"/>
        <v>0</v>
      </c>
      <c r="MG18" s="63">
        <f t="shared" si="17"/>
        <v>4.6500000000000004</v>
      </c>
      <c r="MH18" s="63">
        <f t="shared" si="18"/>
        <v>3.3250000000000002</v>
      </c>
      <c r="MI18" s="63">
        <f t="shared" si="19"/>
        <v>5</v>
      </c>
      <c r="MJ18" s="63">
        <f t="shared" si="20"/>
        <v>5.5475000000000003</v>
      </c>
      <c r="MK18" s="63">
        <f t="shared" si="21"/>
        <v>0</v>
      </c>
      <c r="ML18" s="74" t="s">
        <v>116</v>
      </c>
      <c r="MM18" s="12">
        <f t="shared" si="22"/>
        <v>9.75</v>
      </c>
      <c r="MN18" s="12">
        <f t="shared" si="23"/>
        <v>23.497500000000002</v>
      </c>
      <c r="MO18" s="12">
        <f t="shared" si="24"/>
        <v>37.047499999999999</v>
      </c>
      <c r="MP18" s="12">
        <f t="shared" si="25"/>
        <v>60.545000000000002</v>
      </c>
      <c r="MQ18" s="12">
        <f t="shared" si="26"/>
        <v>5</v>
      </c>
      <c r="MR18" s="12">
        <f t="shared" si="27"/>
        <v>18.522500000000001</v>
      </c>
      <c r="MS18" s="12">
        <f t="shared" si="28"/>
        <v>79.067499999999995</v>
      </c>
    </row>
    <row r="19" spans="1:357" x14ac:dyDescent="0.2">
      <c r="A19" s="6" t="str">
        <f>IF(AND(F19="P",H19="P"),SUMPRODUCT((F$4:F$24="P")*(H$4:H$24="P")*(E$4:E$24&gt;E19))+1,IF(H19="P",SUMPRODUCT((F$4:F$24="")*(H$4:H$24="P")*(E$4:E$24&gt;E19))+1+SUMPRODUCT((F$4:F$24="P")*(H$4:H$24="P")),""))</f>
        <v/>
      </c>
      <c r="B19" s="7" t="s">
        <v>90</v>
      </c>
      <c r="C19" s="8" t="s">
        <v>4</v>
      </c>
      <c r="D19" s="27">
        <v>2003</v>
      </c>
      <c r="E19" s="16">
        <f>SUM(J19:R19)</f>
        <v>93.079999999999984</v>
      </c>
      <c r="F19" s="4" t="str">
        <f>IF(OR(AND($AK19&gt;=$AL$26,NOT($AK19=""),$AJ19=""),AND($BH19&gt;=$BI$26,NOT($BH19=""),$BG19=""),AND($CH19&gt;=$CI$26,NOT($CH19="")),AND($DD19&gt;=$DE$26,NOT($DD19="")),AND($DZ19&gt;=$EA$26,NOT($DZ19="")),AND($EV19&gt;=$EW$26,NOT($EV19="")),AND($FR19&gt;=$FS$26,NOT($FR19="")),AND($GN19&gt;=$GO$26,NOT($GN19="")),AND($HJ19&gt;=$HK$26,NOT($HJ19="")),AND($IF19&gt;=$IG$26,NOT($IF19="")),AND($JB19&gt;=$JC$26,NOT($JB19="")),AND($JX19&gt;=$JY$26,NOT($JX19="")),AND($KT19&gt;=$KU$26,NOT($KT19="")),AND($LP19&gt;=$LQ$26,NOT($LP19="")),AND($AO19&gt;=$AL$26,NOT($AO19=""),$AJ19=""),AND($BL19&gt;=$BI$26,NOT($BL19=""),$BG19=""),AND($CL19&gt;=$CI$26,NOT($CL19="")),AND($DH19&gt;=$DE$26,NOT($DH19="")),AND($ED19&gt;=$EA$26,NOT($ED19="")),AND($EZ19&gt;=$EW$26,NOT($EZ19="")),AND($FV19&gt;=$FS$26,NOT($FV19="")),AND($GR19&gt;=$GO$26,NOT($GR19="")),AND($HN19&gt;=$HK$26,NOT($HN19="")),AND($IJ19&gt;=$IG$26,NOT($IJ19="")),AND($JF19&gt;=$JC$26,NOT($JF19="")),AND($KB19&gt;=$JY$26,NOT($KB19="")),AND($KX19&gt;=$KU$26,NOT($KX19="")),AND($LT19&gt;=$LQ$26,NOT($LT19=""))),"P","")</f>
        <v/>
      </c>
      <c r="G19" s="4" t="str">
        <f>IF(OR(AND($AK19&gt;=$AL$27,NOT($AK19=""),$AJ19=""),AND($BH19&gt;=$BI$27,NOT($BH19=""),$BG19=""),AND($CH19&gt;=$CI$27,NOT($CH19="")),AND($DD19&gt;=$DE$27,NOT($DD19="")),AND($DZ19&gt;=$EA$27,NOT($DZ19="")),AND($EV19&gt;=$EW$27,NOT($EV19="")),AND($FR19&gt;=$FS$27,NOT($FR19="")),AND($GN19&gt;=$GO$27,NOT($GN19="")),AND($HJ19&gt;=$HK$27,NOT($HJ19="")),AND($IF19&gt;=$IG$27,NOT($IF19="")),AND($JB19&gt;=$JC$27,NOT($JB19="")),AND($JX19&gt;=$JY$27,NOT($JX19="")),AND($KT19&gt;=$KU$27,NOT($KT19="")),AND($LP19&gt;=$LQ$27,NOT($LP19="")),AND($AO19&gt;=$AL$27,NOT($AO19=""),$AJ19=""),AND($BL19&gt;=$BI$27,NOT($BL19=""),$BG19=""),AND($CL19&gt;=$CI$27,NOT($CL19="")),AND($DH19&gt;=$DE$27,NOT($DH19="")),AND($ED19&gt;=$EA$27,NOT($ED19="")),AND($EZ19&gt;=$EW$27,NOT($EZ19="")),AND($FV19&gt;=$FS$27,NOT($FV19="")),AND($GR19&gt;=$GO$27,NOT($GR19="")),AND($HN19&gt;=$HK$27,NOT($HN19="")),AND($IJ19&gt;=$IG$27,NOT($IJ19="")),AND($JF19&gt;=$JC$27,NOT($JF19="")),AND($KB19&gt;=$JY$27,NOT($KB19="")),AND($KX19&gt;=$KU$27,NOT($KX19="")),AND($LT19&gt;=$LQ$27,NOT($LT19=""))),"P","")</f>
        <v/>
      </c>
      <c r="H19" s="4" t="str">
        <f>IF(OR(AND($AN19&gt;=$AL$28,NOT($AN19=""),$AJ19=""),AND($BK19&gt;=$BI$28,NOT($BK19=""),$BG19=""),AND($CK19&gt;=$CI$28,NOT($CK19="")),AND($DG19&gt;=$DE$28,NOT($DG19="")),AND($EC19&gt;=$EA$28,NOT($EC19="")),AND($EY19&gt;=$EW$28,NOT($EY19="")),AND($FU19&gt;=$FS$28,NOT($FU19="")),AND($GQ19&gt;=$GO$28,NOT($GQ19="")),AND($HM19&gt;=$HK$28,NOT($HM19="")),AND($II19&gt;=$IG$28,NOT($II19="")),AND($JE19&gt;=$JC$28,NOT($JE19="")),AND($KA19&gt;=$JY$28,NOT($KA19="")),AND($KW19&gt;=$KU$28,NOT($KW19="")),AND($LS19&gt;=$LQ$28,NOT($LS19=""))),"P","")</f>
        <v/>
      </c>
      <c r="I19" t="str">
        <f>IF(AND(H19="P",F19=""),"No DD",IF(AND(G19="P",OR(AND($AM19&gt;$AL$31,NOT($AM19=""),$AJ19=""),AND($AP19&gt;$AL$31,NOT($AP19=""),$AJ19=""),AND($BJ19&gt;$BI$31,NOT($BJ19=""),$BG19=""),AND($BM19&gt;$BI$31,NOT($BM19=""),$BG19=""),AND($CJ19&gt;$CI$31,NOT($CJ19="")),AND($CM19&gt;$CI$31,NOT($CM19="")),AND($DF19&gt;$DE$31,NOT($DF19="")),AND($DI19&gt;$DE$31,NOT($DI19="")),AND($EB19&gt;$EA$31,NOT($EB19="")),AND($EE19&gt;$EA$31,NOT($EE19="")),AND($EX19&gt;$EW$31,NOT($EX19="")),AND($FA19&gt;$EW$31,NOT($FA19="")),AND($FT19&gt;$FS$31,NOT($FT19="")),AND($FW19&gt;$FS$31,NOT($FW19="")),AND($GP19&gt;$GO$31,NOT($GP19="")),AND($GS19&gt;$GO$31,NOT($GS19="")),AND($HL19&gt;$HK$31,NOT($HL19="")),AND($HO19&gt;$HK$31,NOT($HO19="")),AND($IH19&gt;$IG$31,NOT($IH19="")),AND($IK19&gt;$IG$31,NOT($IK19="")),AND($JD19&gt;$JC$31,NOT($JD19="")),AND($JG19&gt;$JC$31,NOT($JG19="")),AND($JZ19&gt;$JY$31,NOT($JZ19="")),AND($KC19&gt;$JY$31,NOT($KC19="")),AND($KV19&gt;$KU$31,NOT($KV19="")),AND($KY19&gt;$KU$31,NOT($KY19="")),AND($LR19&gt;$LQ$31,NOT($LR19="")),AND($LU19&gt;$LQ$31,NOT($LU19="")))),"Merit",IF(AND(G19="P",OR(AND($AN19&gt;$AL$30,NOT($AN19=""),$AJ19=""),AND($BK19&gt;$BI$30,NOT($BK19=""),$BG19=""),AND($CK19&gt;$CI$30,NOT($CK19="")),AND($DG19&gt;$DE$30,NOT($DG19="")),AND($EC19&gt;$EA$30,NOT($EC19="")),AND($EY19&gt;$EW$30,NOT($EY19="")),AND($FU19&gt;$FS$30,NOT($FU19="")),AND($GQ19&gt;$GO$30,NOT($GQ19="")),AND($HM19&gt;$HK$30,NOT($HM19="")),AND($II19&gt;$IG$30,NOT($II19="")),AND($JE19&gt;$JC$30,NOT($JE19="")),AND($KA19&gt;$JY$30,NOT($KA19="")),AND($KW19&gt;$KU$30,NOT($KW19="")),AND($LS19&gt;$LQ$30,NOT($LS19="")))),"Excellence",IF(AND(G19="P",OR(AND($AN19&gt;$AL$29,NOT($AN19=""),$AJ19=""),AND($BK19&gt;$BI$29,NOT($BK19=""),$BG19=""),AND($CK19&gt;$CI$29,NOT($CK19="")),AND($DG19&gt;$DE$29,NOT($DG19="")),AND($EC19&gt;$EA$29,NOT($EC19="")),AND($EY19&gt;$EW$29,NOT($EY19="")),AND($FU19&gt;$FS$29,NOT($FU19="")),AND($GQ19&gt;$GO$29,NOT($GQ19="")),AND($HM19&gt;$HK$29,NOT($HM19="")),AND($II19&gt;$IG$29,NOT($II19="")),AND($JE19&gt;$JC$29,NOT($JE19="")),AND($KA19&gt;$JY$29,NOT($KA19="")),AND($KW19&gt;$KU$29,NOT($KW19="")),AND($LS19&gt;$LQ$29,NOT($LS19="")))),"Worlds Team",IF(AND(F19="P",OR(AND($AN19&gt;$AL$28,NOT($AN19=""),$AJ19=""),AND($BK19&gt;$BI$28,NOT($BK19=""),$BG19=""),AND($CK19&gt;$CI$28,NOT($CK19="")),AND($DG19&gt;$DE$28,NOT($DG19="")),AND($EC19&gt;$EA$28,NOT($EC19="")),AND($EY19&gt;$EW$28,NOT($EY19="")),AND($FU19&gt;$FS$28,NOT($FU19="")),AND($GQ19&gt;$GO$28,NOT($GQ19="")),AND($HM19&gt;$HK$28,NOT($HM19="")),AND($II19&gt;$IG$28,NOT($II19="")),AND($JE19&gt;$JC$28,NOT($JE19="")),AND($KA19&gt;$JY$28,NOT($KA19="")),AND($KW19&gt;$KU$28,NOT($KW19="")),AND($LS19&gt;$LQ$28,NOT($LS19="")))),"National Team","")))))</f>
        <v/>
      </c>
      <c r="J19" s="15">
        <f>IF(MAX(AN19,BK19)&gt;0,MAX(AN19,BK19),"")</f>
        <v>93.079999999999984</v>
      </c>
      <c r="K19" s="15" t="str">
        <f>IF(J19="","",IF(J19=BK19,$AR$1,IF(J19=AN19,$U$1,"")))</f>
        <v>2018 Nationals</v>
      </c>
      <c r="L19" s="15" t="str">
        <f>IF($J19=$AN19,BI19,IF($J19=$BK19,AL19,MAX(AL19,BI19)))</f>
        <v/>
      </c>
      <c r="M19" s="15" t="str">
        <f>IF(L19="","",IF(AND(L19=BI19,$K19&lt;&gt;$AR$1),$AR$1,IF(AND(L19=AL19,$K19&lt;&gt;$U$1),$U$1,"")))</f>
        <v/>
      </c>
      <c r="N19" s="15" t="str">
        <f>IF($J19=$AN19,BJ19,IF($J19=$BK19,AM19,MAX(AM19,BJ19)))</f>
        <v/>
      </c>
      <c r="O19" s="15" t="str">
        <f>IF(N19="","",IF(AND(N19=BJ19,$K19&lt;&gt;$AR$1),$AR$1,IF(AND(N19=AM19,$K19&lt;&gt;$U$1),$U$1,"")))</f>
        <v/>
      </c>
      <c r="P19" s="15" t="str">
        <f>IF(MAX(AP19,BM19)&gt;0,MAX(AP19,BM19),"")</f>
        <v/>
      </c>
      <c r="Q19" s="15" t="str">
        <f>IF(P19="","",IF(P19=BM19,$AR$1,IF(P19=AP19,$U$1,"")))</f>
        <v/>
      </c>
      <c r="R19" s="15" t="str">
        <f>IF(MAX(BO19,BP19,BQ19,BR19)&gt;0,MAX(BO19,BP19,BQ19,BR19),"")</f>
        <v/>
      </c>
      <c r="S19" s="25" t="str">
        <f>IF(R19="","",IF(R19=BO19,"(Vol 1)",IF(R19=BP19,"(Vol 2)",IF(R19=BQ19,"(Prelim)",IF(R19=BR19,"(Final)")))))</f>
        <v/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/>
      </c>
      <c r="U19" s="63">
        <v>13.5</v>
      </c>
      <c r="V19" s="63">
        <v>9.25</v>
      </c>
      <c r="W19" s="63">
        <v>5.4</v>
      </c>
      <c r="X19" s="63">
        <v>15.955</v>
      </c>
      <c r="Y19" s="63">
        <v>0</v>
      </c>
      <c r="Z19" s="63">
        <v>13.3</v>
      </c>
      <c r="AA19" s="63">
        <v>8.8000000000000007</v>
      </c>
      <c r="AB19" s="63">
        <v>11.2</v>
      </c>
      <c r="AC19" s="63">
        <v>15.675000000000001</v>
      </c>
      <c r="AD19" s="63">
        <v>0</v>
      </c>
      <c r="AE19" s="63"/>
      <c r="AF19" s="63"/>
      <c r="AG19" s="63"/>
      <c r="AH19" s="63"/>
      <c r="AI19" s="63"/>
      <c r="AJ19" s="74"/>
      <c r="AK19" s="12">
        <f>IF(AB19&gt;0,AB19,"")</f>
        <v>11.2</v>
      </c>
      <c r="AL19" s="12">
        <f>IF(SUM(U19:X19)-Y19&gt;0,SUM(U19:X19)-Y19,"")</f>
        <v>44.104999999999997</v>
      </c>
      <c r="AM19" s="12">
        <f>IF(SUM(Z19:AC19)-AD19&gt;0,SUM(Z19:AC19)-AD19,"")</f>
        <v>48.974999999999994</v>
      </c>
      <c r="AN19" s="12">
        <f>IF(SUM(AL19:AM19)&gt;0,SUM(AL19:AM19),"")</f>
        <v>93.079999999999984</v>
      </c>
      <c r="AO19" s="12" t="str">
        <f>IF(AG19&gt;0,AG19,"")</f>
        <v/>
      </c>
      <c r="AP19" s="12" t="str">
        <f>IF(SUM(AE19:AH19)-AI19&gt;0,SUM(AE19:AH19)-AI19,"")</f>
        <v/>
      </c>
      <c r="AQ19" s="12">
        <f>IF(SUM(AN19,AP19)&gt;0,SUM(AN19,AP19),"")</f>
        <v>93.079999999999984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75"/>
      <c r="BH19" s="15" t="str">
        <f>IF(AY19&gt;0,AY19,"")</f>
        <v/>
      </c>
      <c r="BI19" s="15" t="str">
        <f>IF(SUM(AR19:AU19)-AV19&gt;0,SUM(AR19:AU19)-AV19,"")</f>
        <v/>
      </c>
      <c r="BJ19" s="15" t="str">
        <f>IF(SUM(AW19:AZ19)-BA19&gt;0,SUM(AW19:AZ19)-BA19,"")</f>
        <v/>
      </c>
      <c r="BK19" s="15" t="str">
        <f>IF(SUM(BI19:BJ19)&gt;0,SUM(BI19:BJ19),"")</f>
        <v/>
      </c>
      <c r="BL19" s="15" t="str">
        <f>IF(BD19&gt;0,BD19,"")</f>
        <v/>
      </c>
      <c r="BM19" s="15" t="str">
        <f>IF(SUM(BB19:BE19)-BF19&gt;0,SUM(BB19:BE19)-BF19,"")</f>
        <v/>
      </c>
      <c r="BN19" s="15" t="str">
        <f>IF(SUM(BK19,BM19)&gt;0,SUM(BK19,BM19),"")</f>
        <v/>
      </c>
      <c r="BO19" s="24" t="str">
        <f>IF(MAX(CI19,DE19,EA19,EW19,FS19,GO19,HK19,IG19,JC19,JY19,KU19,LQ19)-IF(L19="",0,L19)&gt;0.001,MAX(CI19,DE19,EA19,EW19,FS19,GO19,HK19,IG19,JC19,JY19,KU19,LQ19)-IF(L19="",0,L19),"")</f>
        <v/>
      </c>
      <c r="BP19" s="24" t="str">
        <f>IF(MAX(CJ19,DF19,EB19,EX19,FT19,GP19,HL19,IH19,JD19,JZ19,KV19,LR19)-IF(N19="",0,N19)&gt;0.001,MAX(CJ19,DF19,EB19,EX19,FT19,GP19,HL19,IH19,JD19,JZ19,KV19,LR19)-IF(N19="",0,N19),"")</f>
        <v/>
      </c>
      <c r="BQ19" s="24" t="str">
        <f>IF(MAX(CK19,DG19,EC19,EY19,FU19,GQ19,HM19,II19,JE19,KA19,KW19,LS19)-IF(J19="",0,J19)&gt;0.001,MAX(CK19,DG19,EC19,EY19,FU19,GQ19,HM19,II19,JE19,KA19,KW19,LS19)-IF(J19="",0,J19),"")</f>
        <v/>
      </c>
      <c r="BR19" s="24" t="str">
        <f>IF(MAX(CM19,DI19,EE19,FA19,FW19,GS19,HO19,IK19,JG19,KC19,KY19,LU19)-IF(P19="",0,P19)&gt;0.001,MAX(CM19,DI19,EE19,FA19,FW19,GS19,HO19,IK19,JG19,KC19,KY19,LU19)-IF(P19="",0,P19),"")</f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63">
        <f t="shared" si="7"/>
        <v>6.75</v>
      </c>
      <c r="LX19" s="63">
        <f t="shared" si="8"/>
        <v>4.625</v>
      </c>
      <c r="LY19" s="63">
        <f t="shared" si="9"/>
        <v>2.7</v>
      </c>
      <c r="LZ19" s="63">
        <f t="shared" si="10"/>
        <v>7.9775</v>
      </c>
      <c r="MA19" s="63">
        <f t="shared" si="11"/>
        <v>0</v>
      </c>
      <c r="MB19" s="63">
        <f t="shared" si="12"/>
        <v>6.65</v>
      </c>
      <c r="MC19" s="63">
        <f t="shared" si="13"/>
        <v>4.4000000000000004</v>
      </c>
      <c r="MD19" s="63">
        <f t="shared" si="14"/>
        <v>5.6</v>
      </c>
      <c r="ME19" s="63">
        <f t="shared" si="15"/>
        <v>7.8375000000000004</v>
      </c>
      <c r="MF19" s="63">
        <f t="shared" si="16"/>
        <v>0</v>
      </c>
      <c r="MG19" s="63">
        <f t="shared" si="17"/>
        <v>0</v>
      </c>
      <c r="MH19" s="63">
        <f t="shared" si="18"/>
        <v>0</v>
      </c>
      <c r="MI19" s="63">
        <f t="shared" si="19"/>
        <v>0</v>
      </c>
      <c r="MJ19" s="63">
        <f t="shared" si="20"/>
        <v>0</v>
      </c>
      <c r="MK19" s="63">
        <f t="shared" si="21"/>
        <v>0</v>
      </c>
      <c r="ML19" s="74" t="s">
        <v>116</v>
      </c>
      <c r="MM19" s="12">
        <f t="shared" si="22"/>
        <v>5.6</v>
      </c>
      <c r="MN19" s="12">
        <f t="shared" si="23"/>
        <v>22.052499999999998</v>
      </c>
      <c r="MO19" s="12">
        <f t="shared" si="24"/>
        <v>24.487499999999997</v>
      </c>
      <c r="MP19" s="12">
        <f t="shared" si="25"/>
        <v>46.539999999999992</v>
      </c>
      <c r="MQ19" s="12" t="str">
        <f t="shared" si="26"/>
        <v/>
      </c>
      <c r="MR19" s="12" t="str">
        <f t="shared" si="27"/>
        <v/>
      </c>
      <c r="MS19" s="12">
        <f t="shared" si="28"/>
        <v>46.539999999999992</v>
      </c>
    </row>
    <row r="20" spans="1:357" x14ac:dyDescent="0.2">
      <c r="A20" s="6" t="str">
        <f>IF(AND(F20="P",H20="P"),SUMPRODUCT((F$4:F$24="P")*(H$4:H$24="P")*(E$4:E$24&gt;E20))+1,IF(H20="P",SUMPRODUCT((F$4:F$24="")*(H$4:H$24="P")*(E$4:E$24&gt;E20))+1+SUMPRODUCT((F$4:F$24="P")*(H$4:H$24="P")),""))</f>
        <v/>
      </c>
      <c r="B20" s="7" t="s">
        <v>88</v>
      </c>
      <c r="C20" s="8" t="s">
        <v>6</v>
      </c>
      <c r="D20" s="27">
        <v>2000</v>
      </c>
      <c r="E20" s="16">
        <f>SUM(J20:R20)</f>
        <v>79.42</v>
      </c>
      <c r="F20" s="4" t="str">
        <f>IF(OR(AND($AK20&gt;=$AL$26,NOT($AK20=""),$AJ20=""),AND($BH20&gt;=$BI$26,NOT($BH20=""),$BG20=""),AND($CH20&gt;=$CI$26,NOT($CH20="")),AND($DD20&gt;=$DE$26,NOT($DD20="")),AND($DZ20&gt;=$EA$26,NOT($DZ20="")),AND($EV20&gt;=$EW$26,NOT($EV20="")),AND($FR20&gt;=$FS$26,NOT($FR20="")),AND($GN20&gt;=$GO$26,NOT($GN20="")),AND($HJ20&gt;=$HK$26,NOT($HJ20="")),AND($IF20&gt;=$IG$26,NOT($IF20="")),AND($JB20&gt;=$JC$26,NOT($JB20="")),AND($JX20&gt;=$JY$26,NOT($JX20="")),AND($KT20&gt;=$KU$26,NOT($KT20="")),AND($LP20&gt;=$LQ$26,NOT($LP20="")),AND($AO20&gt;=$AL$26,NOT($AO20=""),$AJ20=""),AND($BL20&gt;=$BI$26,NOT($BL20=""),$BG20=""),AND($CL20&gt;=$CI$26,NOT($CL20="")),AND($DH20&gt;=$DE$26,NOT($DH20="")),AND($ED20&gt;=$EA$26,NOT($ED20="")),AND($EZ20&gt;=$EW$26,NOT($EZ20="")),AND($FV20&gt;=$FS$26,NOT($FV20="")),AND($GR20&gt;=$GO$26,NOT($GR20="")),AND($HN20&gt;=$HK$26,NOT($HN20="")),AND($IJ20&gt;=$IG$26,NOT($IJ20="")),AND($JF20&gt;=$JC$26,NOT($JF20="")),AND($KB20&gt;=$JY$26,NOT($KB20="")),AND($KX20&gt;=$KU$26,NOT($KX20="")),AND($LT20&gt;=$LQ$26,NOT($LT20=""))),"P","")</f>
        <v/>
      </c>
      <c r="G20" s="4" t="str">
        <f>IF(OR(AND($AK20&gt;=$AL$27,NOT($AK20=""),$AJ20=""),AND($BH20&gt;=$BI$27,NOT($BH20=""),$BG20=""),AND($CH20&gt;=$CI$27,NOT($CH20="")),AND($DD20&gt;=$DE$27,NOT($DD20="")),AND($DZ20&gt;=$EA$27,NOT($DZ20="")),AND($EV20&gt;=$EW$27,NOT($EV20="")),AND($FR20&gt;=$FS$27,NOT($FR20="")),AND($GN20&gt;=$GO$27,NOT($GN20="")),AND($HJ20&gt;=$HK$27,NOT($HJ20="")),AND($IF20&gt;=$IG$27,NOT($IF20="")),AND($JB20&gt;=$JC$27,NOT($JB20="")),AND($JX20&gt;=$JY$27,NOT($JX20="")),AND($KT20&gt;=$KU$27,NOT($KT20="")),AND($LP20&gt;=$LQ$27,NOT($LP20="")),AND($AO20&gt;=$AL$27,NOT($AO20=""),$AJ20=""),AND($BL20&gt;=$BI$27,NOT($BL20=""),$BG20=""),AND($CL20&gt;=$CI$27,NOT($CL20="")),AND($DH20&gt;=$DE$27,NOT($DH20="")),AND($ED20&gt;=$EA$27,NOT($ED20="")),AND($EZ20&gt;=$EW$27,NOT($EZ20="")),AND($FV20&gt;=$FS$27,NOT($FV20="")),AND($GR20&gt;=$GO$27,NOT($GR20="")),AND($HN20&gt;=$HK$27,NOT($HN20="")),AND($IJ20&gt;=$IG$27,NOT($IJ20="")),AND($JF20&gt;=$JC$27,NOT($JF20="")),AND($KB20&gt;=$JY$27,NOT($KB20="")),AND($KX20&gt;=$KU$27,NOT($KX20="")),AND($LT20&gt;=$LQ$27,NOT($LT20=""))),"P","")</f>
        <v/>
      </c>
      <c r="H20" s="4" t="str">
        <f>IF(OR(AND($AN20&gt;=$AL$28,NOT($AN20=""),$AJ20=""),AND($BK20&gt;=$BI$28,NOT($BK20=""),$BG20=""),AND($CK20&gt;=$CI$28,NOT($CK20="")),AND($DG20&gt;=$DE$28,NOT($DG20="")),AND($EC20&gt;=$EA$28,NOT($EC20="")),AND($EY20&gt;=$EW$28,NOT($EY20="")),AND($FU20&gt;=$FS$28,NOT($FU20="")),AND($GQ20&gt;=$GO$28,NOT($GQ20="")),AND($HM20&gt;=$HK$28,NOT($HM20="")),AND($II20&gt;=$IG$28,NOT($II20="")),AND($JE20&gt;=$JC$28,NOT($JE20="")),AND($KA20&gt;=$JY$28,NOT($KA20="")),AND($KW20&gt;=$KU$28,NOT($KW20="")),AND($LS20&gt;=$LQ$28,NOT($LS20=""))),"P","")</f>
        <v/>
      </c>
      <c r="I20" t="str">
        <f>IF(AND(H20="P",F20=""),"No DD",IF(AND(G20="P",OR(AND($AM20&gt;$AL$31,NOT($AM20=""),$AJ20=""),AND($AP20&gt;$AL$31,NOT($AP20=""),$AJ20=""),AND($BJ20&gt;$BI$31,NOT($BJ20=""),$BG20=""),AND($BM20&gt;$BI$31,NOT($BM20=""),$BG20=""),AND($CJ20&gt;$CI$31,NOT($CJ20="")),AND($CM20&gt;$CI$31,NOT($CM20="")),AND($DF20&gt;$DE$31,NOT($DF20="")),AND($DI20&gt;$DE$31,NOT($DI20="")),AND($EB20&gt;$EA$31,NOT($EB20="")),AND($EE20&gt;$EA$31,NOT($EE20="")),AND($EX20&gt;$EW$31,NOT($EX20="")),AND($FA20&gt;$EW$31,NOT($FA20="")),AND($FT20&gt;$FS$31,NOT($FT20="")),AND($FW20&gt;$FS$31,NOT($FW20="")),AND($GP20&gt;$GO$31,NOT($GP20="")),AND($GS20&gt;$GO$31,NOT($GS20="")),AND($HL20&gt;$HK$31,NOT($HL20="")),AND($HO20&gt;$HK$31,NOT($HO20="")),AND($IH20&gt;$IG$31,NOT($IH20="")),AND($IK20&gt;$IG$31,NOT($IK20="")),AND($JD20&gt;$JC$31,NOT($JD20="")),AND($JG20&gt;$JC$31,NOT($JG20="")),AND($JZ20&gt;$JY$31,NOT($JZ20="")),AND($KC20&gt;$JY$31,NOT($KC20="")),AND($KV20&gt;$KU$31,NOT($KV20="")),AND($KY20&gt;$KU$31,NOT($KY20="")),AND($LR20&gt;$LQ$31,NOT($LR20="")),AND($LU20&gt;$LQ$31,NOT($LU20="")))),"Merit",IF(AND(G20="P",OR(AND($AN20&gt;$AL$30,NOT($AN20=""),$AJ20=""),AND($BK20&gt;$BI$30,NOT($BK20=""),$BG20=""),AND($CK20&gt;$CI$30,NOT($CK20="")),AND($DG20&gt;$DE$30,NOT($DG20="")),AND($EC20&gt;$EA$30,NOT($EC20="")),AND($EY20&gt;$EW$30,NOT($EY20="")),AND($FU20&gt;$FS$30,NOT($FU20="")),AND($GQ20&gt;$GO$30,NOT($GQ20="")),AND($HM20&gt;$HK$30,NOT($HM20="")),AND($II20&gt;$IG$30,NOT($II20="")),AND($JE20&gt;$JC$30,NOT($JE20="")),AND($KA20&gt;$JY$30,NOT($KA20="")),AND($KW20&gt;$KU$30,NOT($KW20="")),AND($LS20&gt;$LQ$30,NOT($LS20="")))),"Excellence",IF(AND(G20="P",OR(AND($AN20&gt;$AL$29,NOT($AN20=""),$AJ20=""),AND($BK20&gt;$BI$29,NOT($BK20=""),$BG20=""),AND($CK20&gt;$CI$29,NOT($CK20="")),AND($DG20&gt;$DE$29,NOT($DG20="")),AND($EC20&gt;$EA$29,NOT($EC20="")),AND($EY20&gt;$EW$29,NOT($EY20="")),AND($FU20&gt;$FS$29,NOT($FU20="")),AND($GQ20&gt;$GO$29,NOT($GQ20="")),AND($HM20&gt;$HK$29,NOT($HM20="")),AND($II20&gt;$IG$29,NOT($II20="")),AND($JE20&gt;$JC$29,NOT($JE20="")),AND($KA20&gt;$JY$29,NOT($KA20="")),AND($KW20&gt;$KU$29,NOT($KW20="")),AND($LS20&gt;$LQ$29,NOT($LS20="")))),"Worlds Team",IF(AND(F20="P",OR(AND($AN20&gt;$AL$28,NOT($AN20=""),$AJ20=""),AND($BK20&gt;$BI$28,NOT($BK20=""),$BG20=""),AND($CK20&gt;$CI$28,NOT($CK20="")),AND($DG20&gt;$DE$28,NOT($DG20="")),AND($EC20&gt;$EA$28,NOT($EC20="")),AND($EY20&gt;$EW$28,NOT($EY20="")),AND($FU20&gt;$FS$28,NOT($FU20="")),AND($GQ20&gt;$GO$28,NOT($GQ20="")),AND($HM20&gt;$HK$28,NOT($HM20="")),AND($II20&gt;$IG$28,NOT($II20="")),AND($JE20&gt;$JC$28,NOT($JE20="")),AND($KA20&gt;$JY$28,NOT($KA20="")),AND($KW20&gt;$KU$28,NOT($KW20="")),AND($LS20&gt;$LQ$28,NOT($LS20="")))),"National Team","")))))</f>
        <v/>
      </c>
      <c r="J20" s="15">
        <f>IF(MAX(AN20,BK20)&gt;0,MAX(AN20,BK20),"")</f>
        <v>79.42</v>
      </c>
      <c r="K20" s="15" t="str">
        <f>IF(J20="","",IF(J20=BK20,$AR$1,IF(J20=AN20,$U$1,"")))</f>
        <v>2018 Nationals</v>
      </c>
      <c r="L20" s="15" t="str">
        <f>IF($J20=$AN20,BI20,IF($J20=$BK20,AL20,MAX(AL20,BI20)))</f>
        <v/>
      </c>
      <c r="M20" s="15" t="str">
        <f>IF(L20="","",IF(AND(L20=BI20,$K20&lt;&gt;$AR$1),$AR$1,IF(AND(L20=AL20,$K20&lt;&gt;$U$1),$U$1,"")))</f>
        <v/>
      </c>
      <c r="N20" s="15" t="str">
        <f>IF($J20=$AN20,BJ20,IF($J20=$BK20,AM20,MAX(AM20,BJ20)))</f>
        <v/>
      </c>
      <c r="O20" s="15" t="str">
        <f>IF(N20="","",IF(AND(N20=BJ20,$K20&lt;&gt;$AR$1),$AR$1,IF(AND(N20=AM20,$K20&lt;&gt;$U$1),$U$1,"")))</f>
        <v/>
      </c>
      <c r="P20" s="15" t="str">
        <f>IF(MAX(AP20,BM20)&gt;0,MAX(AP20,BM20),"")</f>
        <v/>
      </c>
      <c r="Q20" s="15" t="str">
        <f>IF(P20="","",IF(P20=BM20,$AR$1,IF(P20=AP20,$U$1,"")))</f>
        <v/>
      </c>
      <c r="R20" s="15" t="str">
        <f>IF(MAX(BO20,BP20,BQ20,BR20)&gt;0,MAX(BO20,BP20,BQ20,BR20),"")</f>
        <v/>
      </c>
      <c r="S20" s="25" t="str">
        <f>IF(R20="","",IF(R20=BO20,"(Vol 1)",IF(R20=BP20,"(Vol 2)",IF(R20=BQ20,"(Prelim)",IF(R20=BR20,"(Final)")))))</f>
        <v/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/>
      </c>
      <c r="U20" s="63">
        <v>10.7</v>
      </c>
      <c r="V20" s="63">
        <v>5.4</v>
      </c>
      <c r="W20" s="63">
        <v>1.2</v>
      </c>
      <c r="X20" s="63">
        <v>10.555</v>
      </c>
      <c r="Y20" s="63">
        <v>0</v>
      </c>
      <c r="Z20" s="63">
        <v>15.5</v>
      </c>
      <c r="AA20" s="63">
        <v>8.9</v>
      </c>
      <c r="AB20" s="63">
        <v>11.4</v>
      </c>
      <c r="AC20" s="63">
        <v>15.765000000000001</v>
      </c>
      <c r="AD20" s="63">
        <v>0</v>
      </c>
      <c r="AE20" s="63"/>
      <c r="AF20" s="63"/>
      <c r="AG20" s="63"/>
      <c r="AH20" s="63"/>
      <c r="AI20" s="63"/>
      <c r="AJ20" s="74"/>
      <c r="AK20" s="12">
        <f>IF(AB20&gt;0,AB20,"")</f>
        <v>11.4</v>
      </c>
      <c r="AL20" s="12">
        <f>IF(SUM(U20:X20)-Y20&gt;0,SUM(U20:X20)-Y20,"")</f>
        <v>27.855</v>
      </c>
      <c r="AM20" s="12">
        <f>IF(SUM(Z20:AC20)-AD20&gt;0,SUM(Z20:AC20)-AD20,"")</f>
        <v>51.564999999999998</v>
      </c>
      <c r="AN20" s="12">
        <f>IF(SUM(AL20:AM20)&gt;0,SUM(AL20:AM20),"")</f>
        <v>79.42</v>
      </c>
      <c r="AO20" s="12" t="str">
        <f>IF(AG20&gt;0,AG20,"")</f>
        <v/>
      </c>
      <c r="AP20" s="12" t="str">
        <f>IF(SUM(AE20:AH20)-AI20&gt;0,SUM(AE20:AH20)-AI20,"")</f>
        <v/>
      </c>
      <c r="AQ20" s="12">
        <f>IF(SUM(AN20,AP20)&gt;0,SUM(AN20,AP20),"")</f>
        <v>79.42</v>
      </c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75"/>
      <c r="BH20" s="15" t="str">
        <f>IF(AY20&gt;0,AY20,"")</f>
        <v/>
      </c>
      <c r="BI20" s="15" t="str">
        <f>IF(SUM(AR20:AU20)-AV20&gt;0,SUM(AR20:AU20)-AV20,"")</f>
        <v/>
      </c>
      <c r="BJ20" s="15" t="str">
        <f>IF(SUM(AW20:AZ20)-BA20&gt;0,SUM(AW20:AZ20)-BA20,"")</f>
        <v/>
      </c>
      <c r="BK20" s="15" t="str">
        <f>IF(SUM(BI20:BJ20)&gt;0,SUM(BI20:BJ20),"")</f>
        <v/>
      </c>
      <c r="BL20" s="15" t="str">
        <f>IF(BD20&gt;0,BD20,"")</f>
        <v/>
      </c>
      <c r="BM20" s="15" t="str">
        <f>IF(SUM(BB20:BE20)-BF20&gt;0,SUM(BB20:BE20)-BF20,"")</f>
        <v/>
      </c>
      <c r="BN20" s="15" t="str">
        <f>IF(SUM(BK20,BM20)&gt;0,SUM(BK20,BM20),"")</f>
        <v/>
      </c>
      <c r="BO20" s="24" t="str">
        <f>IF(MAX(CI20,DE20,EA20,EW20,FS20,GO20,HK20,IG20,JC20,JY20,KU20,LQ20)-IF(L20="",0,L20)&gt;0.001,MAX(CI20,DE20,EA20,EW20,FS20,GO20,HK20,IG20,JC20,JY20,KU20,LQ20)-IF(L20="",0,L20),"")</f>
        <v/>
      </c>
      <c r="BP20" s="24" t="str">
        <f>IF(MAX(CJ20,DF20,EB20,EX20,FT20,GP20,HL20,IH20,JD20,JZ20,KV20,LR20)-IF(N20="",0,N20)&gt;0.001,MAX(CJ20,DF20,EB20,EX20,FT20,GP20,HL20,IH20,JD20,JZ20,KV20,LR20)-IF(N20="",0,N20),"")</f>
        <v/>
      </c>
      <c r="BQ20" s="24" t="str">
        <f>IF(MAX(CK20,DG20,EC20,EY20,FU20,GQ20,HM20,II20,JE20,KA20,KW20,LS20)-IF(J20="",0,J20)&gt;0.001,MAX(CK20,DG20,EC20,EY20,FU20,GQ20,HM20,II20,JE20,KA20,KW20,LS20)-IF(J20="",0,J20),"")</f>
        <v/>
      </c>
      <c r="BR20" s="24" t="str">
        <f>IF(MAX(CM20,DI20,EE20,FA20,FW20,GS20,HO20,IK20,JG20,KC20,KY20,LU20)-IF(P20="",0,P20)&gt;0.001,MAX(CM20,DI20,EE20,FA20,FW20,GS20,HO20,IK20,JG20,KC20,KY20,LU20)-IF(P20="",0,P20),"")</f>
        <v/>
      </c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15" t="str">
        <f>IF(CV20&gt;0,CV20,"")</f>
        <v/>
      </c>
      <c r="DE20" s="15" t="str">
        <f>IF(SUM(CO20:CR20)-CS20&gt;0,SUM(CO20:CR20)-CS20,"")</f>
        <v/>
      </c>
      <c r="DF20" s="15" t="str">
        <f>IF(SUM(CT20:CW20)-CX20&gt;0,SUM(CT20:CW20)-CX20,"")</f>
        <v/>
      </c>
      <c r="DG20" s="15" t="str">
        <f>IF(SUM(DE20:DF20)&gt;0,SUM(DE20:DF20),"")</f>
        <v/>
      </c>
      <c r="DH20" s="15" t="str">
        <f>IF(DA20&gt;0,DA20,"")</f>
        <v/>
      </c>
      <c r="DI20" s="15" t="str">
        <f>IF(SUM(CY20:DB20)-DC20&gt;0,SUM(CY20:DB20)-DC20,"")</f>
        <v/>
      </c>
      <c r="DJ20" s="15" t="str">
        <f>IF(SUM(DG20,DI20)&gt;0,SUM(DG20,DI20),"")</f>
        <v/>
      </c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12" t="str">
        <f>IF(DR20&gt;0,DR20,"")</f>
        <v/>
      </c>
      <c r="EA20" s="12" t="str">
        <f>IF(SUM(DK20:DN20)-DO20&gt;0,SUM(DK20:DN20)-DO20,"")</f>
        <v/>
      </c>
      <c r="EB20" s="12" t="str">
        <f>IF(SUM(DP20:DS20)-DT20&gt;0,SUM(DP20:DS20)-DT20,"")</f>
        <v/>
      </c>
      <c r="EC20" s="12" t="str">
        <f>IF(SUM(EA20:EB20)&gt;0,SUM(EA20:EB20),"")</f>
        <v/>
      </c>
      <c r="ED20" s="12" t="str">
        <f>IF(DW20&gt;0,DW20,"")</f>
        <v/>
      </c>
      <c r="EE20" s="12" t="str">
        <f>IF(SUM(DU20:DX20)-DY20&gt;0,SUM(DU20:DX20)-DY20,"")</f>
        <v/>
      </c>
      <c r="EF20" s="12" t="str">
        <f>IF(SUM(EC20,EE20)&gt;0,SUM(EC20,EE20),"")</f>
        <v/>
      </c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63">
        <f t="shared" si="7"/>
        <v>5.35</v>
      </c>
      <c r="LX20" s="63">
        <f t="shared" si="8"/>
        <v>2.7</v>
      </c>
      <c r="LY20" s="63">
        <f t="shared" si="9"/>
        <v>0.6</v>
      </c>
      <c r="LZ20" s="63">
        <f t="shared" si="10"/>
        <v>5.2774999999999999</v>
      </c>
      <c r="MA20" s="63">
        <f t="shared" si="11"/>
        <v>0</v>
      </c>
      <c r="MB20" s="63">
        <f t="shared" si="12"/>
        <v>7.75</v>
      </c>
      <c r="MC20" s="63">
        <f t="shared" si="13"/>
        <v>4.45</v>
      </c>
      <c r="MD20" s="63">
        <f t="shared" si="14"/>
        <v>5.7</v>
      </c>
      <c r="ME20" s="63">
        <f t="shared" si="15"/>
        <v>7.8825000000000003</v>
      </c>
      <c r="MF20" s="63">
        <f t="shared" si="16"/>
        <v>0</v>
      </c>
      <c r="MG20" s="63">
        <f t="shared" si="17"/>
        <v>0</v>
      </c>
      <c r="MH20" s="63">
        <f t="shared" si="18"/>
        <v>0</v>
      </c>
      <c r="MI20" s="63">
        <f t="shared" si="19"/>
        <v>0</v>
      </c>
      <c r="MJ20" s="63">
        <f t="shared" si="20"/>
        <v>0</v>
      </c>
      <c r="MK20" s="63">
        <f t="shared" si="21"/>
        <v>0</v>
      </c>
      <c r="ML20" s="74" t="s">
        <v>116</v>
      </c>
      <c r="MM20" s="12">
        <f t="shared" si="22"/>
        <v>5.7</v>
      </c>
      <c r="MN20" s="12">
        <f t="shared" si="23"/>
        <v>13.9275</v>
      </c>
      <c r="MO20" s="12">
        <f t="shared" si="24"/>
        <v>25.782499999999999</v>
      </c>
      <c r="MP20" s="12">
        <f t="shared" si="25"/>
        <v>39.71</v>
      </c>
      <c r="MQ20" s="12" t="str">
        <f t="shared" si="26"/>
        <v/>
      </c>
      <c r="MR20" s="12" t="str">
        <f t="shared" si="27"/>
        <v/>
      </c>
      <c r="MS20" s="12">
        <f t="shared" si="28"/>
        <v>39.71</v>
      </c>
    </row>
    <row r="21" spans="1:357" x14ac:dyDescent="0.2">
      <c r="A21" s="6" t="str">
        <f>IF(AND(F21="P",H21="P"),SUMPRODUCT((F$4:F$24="P")*(H$4:H$24="P")*(E$4:E$24&gt;E21))+1,IF(H21="P",SUMPRODUCT((F$4:F$24="")*(H$4:H$24="P")*(E$4:E$24&gt;E21))+1+SUMPRODUCT((F$4:F$24="P")*(H$4:H$24="P")),""))</f>
        <v/>
      </c>
      <c r="B21" s="9" t="s">
        <v>83</v>
      </c>
      <c r="C21" s="5" t="s">
        <v>4</v>
      </c>
      <c r="D21" s="8">
        <v>2002</v>
      </c>
      <c r="E21" s="16">
        <f>SUM(J21:R21)</f>
        <v>74.935000000000002</v>
      </c>
      <c r="F21" s="4" t="str">
        <f>IF(OR(AND($AK21&gt;=$AL$26,NOT($AK21=""),$AJ21=""),AND($BH21&gt;=$BI$26,NOT($BH21=""),$BG21=""),AND($CH21&gt;=$CI$26,NOT($CH21="")),AND($DD21&gt;=$DE$26,NOT($DD21="")),AND($DZ21&gt;=$EA$26,NOT($DZ21="")),AND($EV21&gt;=$EW$26,NOT($EV21="")),AND($FR21&gt;=$FS$26,NOT($FR21="")),AND($GN21&gt;=$GO$26,NOT($GN21="")),AND($HJ21&gt;=$HK$26,NOT($HJ21="")),AND($IF21&gt;=$IG$26,NOT($IF21="")),AND($JB21&gt;=$JC$26,NOT($JB21="")),AND($JX21&gt;=$JY$26,NOT($JX21="")),AND($KT21&gt;=$KU$26,NOT($KT21="")),AND($LP21&gt;=$LQ$26,NOT($LP21="")),AND($AO21&gt;=$AL$26,NOT($AO21=""),$AJ21=""),AND($BL21&gt;=$BI$26,NOT($BL21=""),$BG21=""),AND($CL21&gt;=$CI$26,NOT($CL21="")),AND($DH21&gt;=$DE$26,NOT($DH21="")),AND($ED21&gt;=$EA$26,NOT($ED21="")),AND($EZ21&gt;=$EW$26,NOT($EZ21="")),AND($FV21&gt;=$FS$26,NOT($FV21="")),AND($GR21&gt;=$GO$26,NOT($GR21="")),AND($HN21&gt;=$HK$26,NOT($HN21="")),AND($IJ21&gt;=$IG$26,NOT($IJ21="")),AND($JF21&gt;=$JC$26,NOT($JF21="")),AND($KB21&gt;=$JY$26,NOT($KB21="")),AND($KX21&gt;=$KU$26,NOT($KX21="")),AND($LT21&gt;=$LQ$26,NOT($LT21=""))),"P","")</f>
        <v/>
      </c>
      <c r="G21" s="4" t="str">
        <f>IF(OR(AND($AK21&gt;=$AL$27,NOT($AK21=""),$AJ21=""),AND($BH21&gt;=$BI$27,NOT($BH21=""),$BG21=""),AND($CH21&gt;=$CI$27,NOT($CH21="")),AND($DD21&gt;=$DE$27,NOT($DD21="")),AND($DZ21&gt;=$EA$27,NOT($DZ21="")),AND($EV21&gt;=$EW$27,NOT($EV21="")),AND($FR21&gt;=$FS$27,NOT($FR21="")),AND($GN21&gt;=$GO$27,NOT($GN21="")),AND($HJ21&gt;=$HK$27,NOT($HJ21="")),AND($IF21&gt;=$IG$27,NOT($IF21="")),AND($JB21&gt;=$JC$27,NOT($JB21="")),AND($JX21&gt;=$JY$27,NOT($JX21="")),AND($KT21&gt;=$KU$27,NOT($KT21="")),AND($LP21&gt;=$LQ$27,NOT($LP21="")),AND($AO21&gt;=$AL$27,NOT($AO21=""),$AJ21=""),AND($BL21&gt;=$BI$27,NOT($BL21=""),$BG21=""),AND($CL21&gt;=$CI$27,NOT($CL21="")),AND($DH21&gt;=$DE$27,NOT($DH21="")),AND($ED21&gt;=$EA$27,NOT($ED21="")),AND($EZ21&gt;=$EW$27,NOT($EZ21="")),AND($FV21&gt;=$FS$27,NOT($FV21="")),AND($GR21&gt;=$GO$27,NOT($GR21="")),AND($HN21&gt;=$HK$27,NOT($HN21="")),AND($IJ21&gt;=$IG$27,NOT($IJ21="")),AND($JF21&gt;=$JC$27,NOT($JF21="")),AND($KB21&gt;=$JY$27,NOT($KB21="")),AND($KX21&gt;=$KU$27,NOT($KX21="")),AND($LT21&gt;=$LQ$27,NOT($LT21=""))),"P","")</f>
        <v/>
      </c>
      <c r="H21" s="4" t="str">
        <f>IF(OR(AND($AN21&gt;=$AL$28,NOT($AN21=""),$AJ21=""),AND($BK21&gt;=$BI$28,NOT($BK21=""),$BG21=""),AND($CK21&gt;=$CI$28,NOT($CK21="")),AND($DG21&gt;=$DE$28,NOT($DG21="")),AND($EC21&gt;=$EA$28,NOT($EC21="")),AND($EY21&gt;=$EW$28,NOT($EY21="")),AND($FU21&gt;=$FS$28,NOT($FU21="")),AND($GQ21&gt;=$GO$28,NOT($GQ21="")),AND($HM21&gt;=$HK$28,NOT($HM21="")),AND($II21&gt;=$IG$28,NOT($II21="")),AND($JE21&gt;=$JC$28,NOT($JE21="")),AND($KA21&gt;=$JY$28,NOT($KA21="")),AND($KW21&gt;=$KU$28,NOT($KW21="")),AND($LS21&gt;=$LQ$28,NOT($LS21=""))),"P","")</f>
        <v/>
      </c>
      <c r="I21" t="str">
        <f>IF(AND(H21="P",F21=""),"No DD",IF(AND(G21="P",OR(AND($AM21&gt;$AL$31,NOT($AM21=""),$AJ21=""),AND($AP21&gt;$AL$31,NOT($AP21=""),$AJ21=""),AND($BJ21&gt;$BI$31,NOT($BJ21=""),$BG21=""),AND($BM21&gt;$BI$31,NOT($BM21=""),$BG21=""),AND($CJ21&gt;$CI$31,NOT($CJ21="")),AND($CM21&gt;$CI$31,NOT($CM21="")),AND($DF21&gt;$DE$31,NOT($DF21="")),AND($DI21&gt;$DE$31,NOT($DI21="")),AND($EB21&gt;$EA$31,NOT($EB21="")),AND($EE21&gt;$EA$31,NOT($EE21="")),AND($EX21&gt;$EW$31,NOT($EX21="")),AND($FA21&gt;$EW$31,NOT($FA21="")),AND($FT21&gt;$FS$31,NOT($FT21="")),AND($FW21&gt;$FS$31,NOT($FW21="")),AND($GP21&gt;$GO$31,NOT($GP21="")),AND($GS21&gt;$GO$31,NOT($GS21="")),AND($HL21&gt;$HK$31,NOT($HL21="")),AND($HO21&gt;$HK$31,NOT($HO21="")),AND($IH21&gt;$IG$31,NOT($IH21="")),AND($IK21&gt;$IG$31,NOT($IK21="")),AND($JD21&gt;$JC$31,NOT($JD21="")),AND($JG21&gt;$JC$31,NOT($JG21="")),AND($JZ21&gt;$JY$31,NOT($JZ21="")),AND($KC21&gt;$JY$31,NOT($KC21="")),AND($KV21&gt;$KU$31,NOT($KV21="")),AND($KY21&gt;$KU$31,NOT($KY21="")),AND($LR21&gt;$LQ$31,NOT($LR21="")),AND($LU21&gt;$LQ$31,NOT($LU21="")))),"Merit",IF(AND(G21="P",OR(AND($AN21&gt;$AL$30,NOT($AN21=""),$AJ21=""),AND($BK21&gt;$BI$30,NOT($BK21=""),$BG21=""),AND($CK21&gt;$CI$30,NOT($CK21="")),AND($DG21&gt;$DE$30,NOT($DG21="")),AND($EC21&gt;$EA$30,NOT($EC21="")),AND($EY21&gt;$EW$30,NOT($EY21="")),AND($FU21&gt;$FS$30,NOT($FU21="")),AND($GQ21&gt;$GO$30,NOT($GQ21="")),AND($HM21&gt;$HK$30,NOT($HM21="")),AND($II21&gt;$IG$30,NOT($II21="")),AND($JE21&gt;$JC$30,NOT($JE21="")),AND($KA21&gt;$JY$30,NOT($KA21="")),AND($KW21&gt;$KU$30,NOT($KW21="")),AND($LS21&gt;$LQ$30,NOT($LS21="")))),"Excellence",IF(AND(G21="P",OR(AND($AN21&gt;$AL$29,NOT($AN21=""),$AJ21=""),AND($BK21&gt;$BI$29,NOT($BK21=""),$BG21=""),AND($CK21&gt;$CI$29,NOT($CK21="")),AND($DG21&gt;$DE$29,NOT($DG21="")),AND($EC21&gt;$EA$29,NOT($EC21="")),AND($EY21&gt;$EW$29,NOT($EY21="")),AND($FU21&gt;$FS$29,NOT($FU21="")),AND($GQ21&gt;$GO$29,NOT($GQ21="")),AND($HM21&gt;$HK$29,NOT($HM21="")),AND($II21&gt;$IG$29,NOT($II21="")),AND($JE21&gt;$JC$29,NOT($JE21="")),AND($KA21&gt;$JY$29,NOT($KA21="")),AND($KW21&gt;$KU$29,NOT($KW21="")),AND($LS21&gt;$LQ$29,NOT($LS21="")))),"Worlds Team",IF(AND(F21="P",OR(AND($AN21&gt;$AL$28,NOT($AN21=""),$AJ21=""),AND($BK21&gt;$BI$28,NOT($BK21=""),$BG21=""),AND($CK21&gt;$CI$28,NOT($CK21="")),AND($DG21&gt;$DE$28,NOT($DG21="")),AND($EC21&gt;$EA$28,NOT($EC21="")),AND($EY21&gt;$EW$28,NOT($EY21="")),AND($FU21&gt;$FS$28,NOT($FU21="")),AND($GQ21&gt;$GO$28,NOT($GQ21="")),AND($HM21&gt;$HK$28,NOT($HM21="")),AND($II21&gt;$IG$28,NOT($II21="")),AND($JE21&gt;$JC$28,NOT($JE21="")),AND($KA21&gt;$JY$28,NOT($KA21="")),AND($KW21&gt;$KU$28,NOT($KW21="")),AND($LS21&gt;$LQ$28,NOT($LS21="")))),"National Team","")))))</f>
        <v/>
      </c>
      <c r="J21" s="15">
        <f>IF(MAX(AN21,BK21)&gt;0,MAX(AN21,BK21),"")</f>
        <v>74.935000000000002</v>
      </c>
      <c r="K21" s="15" t="str">
        <f>IF(J21="","",IF(J21=BK21,$AR$1,IF(J21=AN21,$U$1,"")))</f>
        <v>2018 Nationals</v>
      </c>
      <c r="L21" s="15" t="str">
        <f>IF($J21=$AN21,BI21,IF($J21=$BK21,AL21,MAX(AL21,BI21)))</f>
        <v/>
      </c>
      <c r="M21" s="15" t="str">
        <f>IF(L21="","",IF(AND(L21=BI21,$K21&lt;&gt;$AR$1),$AR$1,IF(AND(L21=AL21,$K21&lt;&gt;$U$1),$U$1,"")))</f>
        <v/>
      </c>
      <c r="N21" s="15" t="str">
        <f>IF($J21=$AN21,BJ21,IF($J21=$BK21,AM21,MAX(AM21,BJ21)))</f>
        <v/>
      </c>
      <c r="O21" s="15" t="str">
        <f>IF(N21="","",IF(AND(N21=BJ21,$K21&lt;&gt;$AR$1),$AR$1,IF(AND(N21=AM21,$K21&lt;&gt;$U$1),$U$1,"")))</f>
        <v/>
      </c>
      <c r="P21" s="15" t="str">
        <f>IF(MAX(AP21,BM21)&gt;0,MAX(AP21,BM21),"")</f>
        <v/>
      </c>
      <c r="Q21" s="15" t="str">
        <f>IF(P21="","",IF(P21=BM21,$AR$1,IF(P21=AP21,$U$1,"")))</f>
        <v/>
      </c>
      <c r="R21" s="15" t="str">
        <f>IF(MAX(BO21,BP21,BQ21,BR21)&gt;0,MAX(BO21,BP21,BQ21,BR21),"")</f>
        <v/>
      </c>
      <c r="S21" s="25" t="str">
        <f>IF(R21="","",IF(R21=BO21,"(Vol 1)",IF(R21=BP21,"(Vol 2)",IF(R21=BQ21,"(Prelim)",IF(R21=BR21,"(Final)")))))</f>
        <v/>
      </c>
      <c r="T21" s="15" t="str">
        <f>IF(R21="","",IF(R21=BO21,IF(R21+IF(L21="",0,L21)=LQ21,$LA$1,IF(R21+IF(L21="",0,L21)=KU21,$KE$1,IF(R21+IF(L21="",0,L21)=JY21,$JI$1,IF(R21+IF(L21="",0,L21)=JC21,$IM$1,IF(R21+IF(L21="",0,L21)=IG21,$HQ$1,IF(R21+IF(L21="",0,L21)=HK21,$GU$1,IF(R21+IF(L21="",0,L21)=GO21,$FY$1,IF(R21+IF(L21="",0,L21)=FS21,$FC$1,IF(R21+IF(L21="",0,L21)=EW21,$EG$1,IF(R21+IF(L21="",0,L21)=EA21,$DK$1,IF(R21+IF(L21="",0,L21)=DE21,$CO$1,IF(R21+IF(L21="",0,L21)=CI21,$BS$1)))))))))))),IF(R21=BP21,IF(R21+IF(N21="",0,N21)=LR21,$LA$1,IF(R21+IF(N21="",0,N21)=KV21,$KE$1,IF(R21+IF(N21="",0,N21)=JZ21,$JI$1,IF(R21+IF(N21="",0,N21)=JD21,$IM$1,IF(R21+IF(N21="",0,N21)=IH21,$HQ$1,IF(R21+IF(N21="",0,N21)=HL21,$GU$1,IF(R21+IF(N21="",0,N21)=GP21,$FY$1,IF(R21+IF(N21="",0,N21)=FT21,$FC$1,IF(R21+IF(N21="",0,N21)=EX21,$EG$1,IF(R21+IF(N21="",0,N21)=EB21,$DK$1,IF(R21+IF(N21="",0,N21)=DF21,$CO$1,IF(R21+IF(N21="",0,N21)=CJ21,$BS$1)))))))))))),IF(R21=BQ21,IF(R21+IF(J21="",0,J21)=LS21,$LA$1,IF(R21+IF(J21="",0,J21)=KW21,$KE$1,IF(R21+IF(J21="",0,J21)=KA21,$JI$1,IF(R21+IF(J21="",0,J21)=JE21,$IM$1,IF(R21+IF(J21="",0,J21)=II21,$HQ$1,IF(R21+IF(J21="",0,J21)=HM21,$GU$1,IF(R21+IF(J21="",0,J21)=GQ21,$FY$1,IF(R21+IF(J21="",0,J21)=FU21,$FC$1,IF(R21+IF(J21="",0,J21)=EY21,$EG$1,IF(R21+IF(J21="",0,J21)=EC21,$DK$1,IF(R21+IF(J21="",0,J21)=DG21,$CO$1,IF(R21+IF(J21="",0,J21)=CK21,$BS$1)))))))))))),IF(R21=BR21,IF(R21+IF(P21="",0,P21)=LU21,$LA$1,IF(R21+IF(P21="",0,P21)=KY21,$KE$1,IF(R21+IF(P21="",0,P21)=KC21,$JI$1,IF(R21+IF(P21="",0,P21)=JG21,$IM$1,IF(R21+IF(P21="",0,P21)=IK21,$HQ$1,IF(R21+IF(P21="",0,P21)=HO21,$GU$1,IF(R21+IF(P21="",0,P21)=GS21,$FY$1,IF(R21+IF(P21="",0,P21)=FW21,$FC$1,IF(R21+IF(P21="",0,P21)=FA21,$EG$1,IF(R21+IF(P21="",0,P21)=EE21,$DK$1,IF(R21+IF(P21="",0,P21)=DI21,$CO$1,IF(R21+IF(P21="",0,P21)=CM21,$BS$1)))))))))))))))))</f>
        <v/>
      </c>
      <c r="U21" s="63">
        <v>14.5</v>
      </c>
      <c r="V21" s="63">
        <v>9.3000000000000007</v>
      </c>
      <c r="W21" s="63">
        <v>5.6</v>
      </c>
      <c r="X21" s="63">
        <v>14.795</v>
      </c>
      <c r="Y21" s="63">
        <v>0</v>
      </c>
      <c r="Z21" s="63">
        <v>8.6</v>
      </c>
      <c r="AA21" s="63">
        <v>5.45</v>
      </c>
      <c r="AB21" s="63">
        <v>7.9</v>
      </c>
      <c r="AC21" s="63">
        <v>8.7899999999999991</v>
      </c>
      <c r="AD21" s="63">
        <v>0</v>
      </c>
      <c r="AE21" s="63"/>
      <c r="AF21" s="63"/>
      <c r="AG21" s="63"/>
      <c r="AH21" s="63"/>
      <c r="AI21" s="63"/>
      <c r="AJ21" s="74"/>
      <c r="AK21" s="12">
        <f>IF(AB21&gt;0,AB21,"")</f>
        <v>7.9</v>
      </c>
      <c r="AL21" s="12">
        <f>IF(SUM(U21:X21)-Y21&gt;0,SUM(U21:X21)-Y21,"")</f>
        <v>44.195</v>
      </c>
      <c r="AM21" s="12">
        <f>IF(SUM(Z21:AC21)-AD21&gt;0,SUM(Z21:AC21)-AD21,"")</f>
        <v>30.740000000000002</v>
      </c>
      <c r="AN21" s="12">
        <f>IF(SUM(AL21:AM21)&gt;0,SUM(AL21:AM21),"")</f>
        <v>74.935000000000002</v>
      </c>
      <c r="AO21" s="12" t="str">
        <f>IF(AG21&gt;0,AG21,"")</f>
        <v/>
      </c>
      <c r="AP21" s="12" t="str">
        <f>IF(SUM(AE21:AH21)-AI21&gt;0,SUM(AE21:AH21)-AI21,"")</f>
        <v/>
      </c>
      <c r="AQ21" s="12">
        <f>IF(SUM(AN21,AP21)&gt;0,SUM(AN21,AP21),"")</f>
        <v>74.935000000000002</v>
      </c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75"/>
      <c r="BH21" s="15" t="str">
        <f>IF(AY21&gt;0,AY21,"")</f>
        <v/>
      </c>
      <c r="BI21" s="15" t="str">
        <f>IF(SUM(AR21:AU21)-AV21&gt;0,SUM(AR21:AU21)-AV21,"")</f>
        <v/>
      </c>
      <c r="BJ21" s="15" t="str">
        <f>IF(SUM(AW21:AZ21)-BA21&gt;0,SUM(AW21:AZ21)-BA21,"")</f>
        <v/>
      </c>
      <c r="BK21" s="15" t="str">
        <f>IF(SUM(BI21:BJ21)&gt;0,SUM(BI21:BJ21),"")</f>
        <v/>
      </c>
      <c r="BL21" s="15" t="str">
        <f>IF(BD21&gt;0,BD21,"")</f>
        <v/>
      </c>
      <c r="BM21" s="15" t="str">
        <f>IF(SUM(BB21:BE21)-BF21&gt;0,SUM(BB21:BE21)-BF21,"")</f>
        <v/>
      </c>
      <c r="BN21" s="15" t="str">
        <f>IF(SUM(BK21,BM21)&gt;0,SUM(BK21,BM21),"")</f>
        <v/>
      </c>
      <c r="BO21" s="24" t="str">
        <f>IF(MAX(CI21,DE21,EA21,EW21,FS21,GO21,HK21,IG21,JC21,JY21,KU21,LQ21)-IF(L21="",0,L21)&gt;0.001,MAX(CI21,DE21,EA21,EW21,FS21,GO21,HK21,IG21,JC21,JY21,KU21,LQ21)-IF(L21="",0,L21),"")</f>
        <v/>
      </c>
      <c r="BP21" s="24" t="str">
        <f>IF(MAX(CJ21,DF21,EB21,EX21,FT21,GP21,HL21,IH21,JD21,JZ21,KV21,LR21)-IF(N21="",0,N21)&gt;0.001,MAX(CJ21,DF21,EB21,EX21,FT21,GP21,HL21,IH21,JD21,JZ21,KV21,LR21)-IF(N21="",0,N21),"")</f>
        <v/>
      </c>
      <c r="BQ21" s="24" t="str">
        <f>IF(MAX(CK21,DG21,EC21,EY21,FU21,GQ21,HM21,II21,JE21,KA21,KW21,LS21)-IF(J21="",0,J21)&gt;0.001,MAX(CK21,DG21,EC21,EY21,FU21,GQ21,HM21,II21,JE21,KA21,KW21,LS21)-IF(J21="",0,J21),"")</f>
        <v/>
      </c>
      <c r="BR21" s="24" t="str">
        <f>IF(MAX(CM21,DI21,EE21,FA21,FW21,GS21,HO21,IK21,JG21,KC21,KY21,LU21)-IF(P21="",0,P21)&gt;0.001,MAX(CM21,DI21,EE21,FA21,FW21,GS21,HO21,IK21,JG21,KC21,KY21,LU21)-IF(P21="",0,P21),"")</f>
        <v/>
      </c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12" t="str">
        <f>IF(BZ21&gt;0,BZ21,"")</f>
        <v/>
      </c>
      <c r="CI21" s="12" t="str">
        <f>IF(SUM(BS21:BV21)-BW21&gt;0,SUM(BS21:BV21)-BW21,"")</f>
        <v/>
      </c>
      <c r="CJ21" s="12" t="str">
        <f>IF(SUM(BX21:CA21)-CB21&gt;0,SUM(BX21:CA21)-CB21,"")</f>
        <v/>
      </c>
      <c r="CK21" s="12" t="str">
        <f>IF(SUM(CI21:CJ21)&gt;0,SUM(CI21:CJ21),"")</f>
        <v/>
      </c>
      <c r="CL21" s="12" t="str">
        <f>IF(CE21&gt;0,CE21,"")</f>
        <v/>
      </c>
      <c r="CM21" s="12" t="str">
        <f>IF(SUM(CC21:CF21)-CG21&gt;0,SUM(CC21:CF21)-CG21,"")</f>
        <v/>
      </c>
      <c r="CN21" s="12" t="str">
        <f>IF(SUM(CK21,CM21)&gt;0,SUM(CK21,CM21),"")</f>
        <v/>
      </c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15" t="str">
        <f>IF(CV21&gt;0,CV21,"")</f>
        <v/>
      </c>
      <c r="DE21" s="15" t="str">
        <f>IF(SUM(CO21:CR21)-CS21&gt;0,SUM(CO21:CR21)-CS21,"")</f>
        <v/>
      </c>
      <c r="DF21" s="15" t="str">
        <f>IF(SUM(CT21:CW21)-CX21&gt;0,SUM(CT21:CW21)-CX21,"")</f>
        <v/>
      </c>
      <c r="DG21" s="15" t="str">
        <f>IF(SUM(DE21:DF21)&gt;0,SUM(DE21:DF21),"")</f>
        <v/>
      </c>
      <c r="DH21" s="15" t="str">
        <f>IF(DA21&gt;0,DA21,"")</f>
        <v/>
      </c>
      <c r="DI21" s="15" t="str">
        <f>IF(SUM(CY21:DB21)-DC21&gt;0,SUM(CY21:DB21)-DC21,"")</f>
        <v/>
      </c>
      <c r="DJ21" s="15" t="str">
        <f>IF(SUM(DG21,DI21)&gt;0,SUM(DG21,DI21),"")</f>
        <v/>
      </c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12" t="str">
        <f>IF(DR21&gt;0,DR21,"")</f>
        <v/>
      </c>
      <c r="EA21" s="12" t="str">
        <f>IF(SUM(DK21:DN21)-DO21&gt;0,SUM(DK21:DN21)-DO21,"")</f>
        <v/>
      </c>
      <c r="EB21" s="12" t="str">
        <f>IF(SUM(DP21:DS21)-DT21&gt;0,SUM(DP21:DS21)-DT21,"")</f>
        <v/>
      </c>
      <c r="EC21" s="12" t="str">
        <f>IF(SUM(EA21:EB21)&gt;0,SUM(EA21:EB21),"")</f>
        <v/>
      </c>
      <c r="ED21" s="12" t="str">
        <f>IF(DW21&gt;0,DW21,"")</f>
        <v/>
      </c>
      <c r="EE21" s="12" t="str">
        <f>IF(SUM(DU21:DX21)-DY21&gt;0,SUM(DU21:DX21)-DY21,"")</f>
        <v/>
      </c>
      <c r="EF21" s="12" t="str">
        <f>IF(SUM(EC21,EE21)&gt;0,SUM(EC21,EE21),"")</f>
        <v/>
      </c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15" t="str">
        <f>IF(EN21&gt;0,EN21,"")</f>
        <v/>
      </c>
      <c r="EW21" s="15" t="str">
        <f>IF(SUM(EG21:EJ21)-EK21&gt;0,SUM(EG21:EJ21)-EK21,"")</f>
        <v/>
      </c>
      <c r="EX21" s="15" t="str">
        <f>IF(SUM(EL21:EO21)-EP21&gt;0,SUM(EL21:EO21)-EP21,"")</f>
        <v/>
      </c>
      <c r="EY21" s="15" t="str">
        <f>IF(SUM(EW21:EX21)&gt;0,SUM(EW21:EX21),"")</f>
        <v/>
      </c>
      <c r="EZ21" s="15" t="str">
        <f>IF(ES21&gt;0,ES21,"")</f>
        <v/>
      </c>
      <c r="FA21" s="15" t="str">
        <f>IF(SUM(EQ21:ET21)-EU21&gt;0,SUM(EQ21:ET21)-EU21,"")</f>
        <v/>
      </c>
      <c r="FB21" s="15" t="str">
        <f>IF(SUM(EY21,FA21)&gt;0,SUM(EY21,FA21),"")</f>
        <v/>
      </c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12" t="str">
        <f>IF(FJ21&gt;0,FJ21,"")</f>
        <v/>
      </c>
      <c r="FS21" s="12" t="str">
        <f>IF(SUM(FC21:FF21)-FG21&gt;0,SUM(FC21:FF21)-FG21,"")</f>
        <v/>
      </c>
      <c r="FT21" s="12" t="str">
        <f>IF(SUM(FH21:FK21)-FL21&gt;0,SUM(FH21:FK21)-FL21,"")</f>
        <v/>
      </c>
      <c r="FU21" s="12" t="str">
        <f>IF(SUM(FS21:FT21)&gt;0,SUM(FS21:FT21),"")</f>
        <v/>
      </c>
      <c r="FV21" s="12" t="str">
        <f>IF(FO21&gt;0,FO21,"")</f>
        <v/>
      </c>
      <c r="FW21" s="12" t="str">
        <f>IF(SUM(FM21:FP21)-FQ21&gt;0,SUM(FM21:FP21)-FQ21,"")</f>
        <v/>
      </c>
      <c r="FX21" s="12" t="str">
        <f>IF(SUM(FU21,FW21)&gt;0,SUM(FU21,FW21),"")</f>
        <v/>
      </c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15" t="str">
        <f>IF(GF21&gt;0,GF21,"")</f>
        <v/>
      </c>
      <c r="GO21" s="15" t="str">
        <f>IF(SUM(FY21:GB21)-GC21&gt;0,SUM(FY21:GB21)-GC21,"")</f>
        <v/>
      </c>
      <c r="GP21" s="15" t="str">
        <f>IF(SUM(GD21:GG21)-GH21&gt;0,SUM(GD21:GG21)-GH21,"")</f>
        <v/>
      </c>
      <c r="GQ21" s="15" t="str">
        <f>IF(SUM(GO21:GP21)&gt;0,SUM(GO21:GP21),"")</f>
        <v/>
      </c>
      <c r="GR21" s="15" t="str">
        <f>IF(GK21&gt;0,GK21,"")</f>
        <v/>
      </c>
      <c r="GS21" s="15" t="str">
        <f>IF(SUM(GI21:GL21)-GM21&gt;0,SUM(GI21:GL21)-GM21,"")</f>
        <v/>
      </c>
      <c r="GT21" s="15" t="str">
        <f>IF(SUM(GQ21,GS21)&gt;0,SUM(GQ21,GS21),"")</f>
        <v/>
      </c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12" t="str">
        <f>IF(HB21&gt;0,HB21,"")</f>
        <v/>
      </c>
      <c r="HK21" s="12" t="str">
        <f>IF(SUM(GU21:GX21)-GY21&gt;0,SUM(GU21:GX21)-GY21,"")</f>
        <v/>
      </c>
      <c r="HL21" s="12" t="str">
        <f>IF(SUM(GZ21:HC21)-HD21&gt;0,SUM(GZ21:HC21)-HD21,"")</f>
        <v/>
      </c>
      <c r="HM21" s="12" t="str">
        <f>IF(SUM(HK21:HL21)&gt;0,SUM(HK21:HL21),"")</f>
        <v/>
      </c>
      <c r="HN21" s="12" t="str">
        <f>IF(HG21&gt;0,HG21,"")</f>
        <v/>
      </c>
      <c r="HO21" s="12" t="str">
        <f>IF(SUM(HE21:HH21)-HI21&gt;0,SUM(HE21:HH21)-HI21,"")</f>
        <v/>
      </c>
      <c r="HP21" s="12" t="str">
        <f>IF(SUM(HM21,HO21)&gt;0,SUM(HM21,HO21),"")</f>
        <v/>
      </c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15" t="str">
        <f>IF(HX21&gt;0,HX21,"")</f>
        <v/>
      </c>
      <c r="IG21" s="15" t="str">
        <f>IF(SUM(HQ21:HT21)-HU21&gt;0,SUM(HQ21:HT21)-HU21,"")</f>
        <v/>
      </c>
      <c r="IH21" s="15" t="str">
        <f>IF(SUM(HV21:HY21)-HZ21&gt;0,SUM(HV21:HY21)-HZ21,"")</f>
        <v/>
      </c>
      <c r="II21" s="15" t="str">
        <f>IF(SUM(IG21:IH21)&gt;0,SUM(IG21:IH21),"")</f>
        <v/>
      </c>
      <c r="IJ21" s="15" t="str">
        <f>IF(IC21&gt;0,IC21,"")</f>
        <v/>
      </c>
      <c r="IK21" s="15" t="str">
        <f>IF(SUM(IA21:ID21)-IE21&gt;0,SUM(IA21:ID21)-IE21,"")</f>
        <v/>
      </c>
      <c r="IL21" s="15" t="str">
        <f>IF(SUM(II21,IK21)&gt;0,SUM(II21,IK21),"")</f>
        <v/>
      </c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12" t="str">
        <f>IF(IT21&gt;0,IT21,"")</f>
        <v/>
      </c>
      <c r="JC21" s="12" t="str">
        <f>IF(SUM(IM21:IP21)-IQ21&gt;0,SUM(IM21:IP21)-IQ21,"")</f>
        <v/>
      </c>
      <c r="JD21" s="12" t="str">
        <f>IF(SUM(IR21:IU21)-IV21&gt;0,SUM(IR21:IU21)-IV21,"")</f>
        <v/>
      </c>
      <c r="JE21" s="12" t="str">
        <f>IF(SUM(JC21:JD21)&gt;0,SUM(JC21:JD21),"")</f>
        <v/>
      </c>
      <c r="JF21" s="12" t="str">
        <f>IF(IY21&gt;0,IY21,"")</f>
        <v/>
      </c>
      <c r="JG21" s="12" t="str">
        <f>IF(SUM(IW21:IZ21)-JA21&gt;0,SUM(IW21:IZ21)-JA21,"")</f>
        <v/>
      </c>
      <c r="JH21" s="12" t="str">
        <f>IF(SUM(JE21,JG21)&gt;0,SUM(JE21,JG21),"")</f>
        <v/>
      </c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15" t="str">
        <f>IF(JP21&gt;0,JP21,"")</f>
        <v/>
      </c>
      <c r="JY21" s="15" t="str">
        <f>IF(SUM(JI21:JL21)-JM21&gt;0,SUM(JI21:JL21)-JM21,"")</f>
        <v/>
      </c>
      <c r="JZ21" s="15" t="str">
        <f>IF(SUM(JN21:JQ21)-JR21&gt;0,SUM(JN21:JQ21)-JR21,"")</f>
        <v/>
      </c>
      <c r="KA21" s="15" t="str">
        <f>IF(SUM(JY21:JZ21)&gt;0,SUM(JY21:JZ21),"")</f>
        <v/>
      </c>
      <c r="KB21" s="15" t="str">
        <f>IF(JU21&gt;0,JU21,"")</f>
        <v/>
      </c>
      <c r="KC21" s="15" t="str">
        <f>IF(SUM(JS21:JV21)-JW21&gt;0,SUM(JS21:JV21)-JW21,"")</f>
        <v/>
      </c>
      <c r="KD21" s="15" t="str">
        <f>IF(SUM(KA21,KC21)&gt;0,SUM(KA21,KC21),"")</f>
        <v/>
      </c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12" t="str">
        <f>IF(KL21&gt;0,KL21,"")</f>
        <v/>
      </c>
      <c r="KU21" s="12" t="str">
        <f>IF(SUM(KE21:KH21)-KI21&gt;0,SUM(KE21:KH21)-KI21,"")</f>
        <v/>
      </c>
      <c r="KV21" s="12" t="str">
        <f>IF(SUM(KJ21:KM21)-KN21&gt;0,SUM(KJ21:KM21)-KN21,"")</f>
        <v/>
      </c>
      <c r="KW21" s="12" t="str">
        <f>IF(SUM(KU21:KV21)&gt;0,SUM(KU21:KV21),"")</f>
        <v/>
      </c>
      <c r="KX21" s="12" t="str">
        <f>IF(KQ21&gt;0,KQ21,"")</f>
        <v/>
      </c>
      <c r="KY21" s="12" t="str">
        <f>IF(SUM(KO21:KR21)-KS21&gt;0,SUM(KO21:KR21)-KS21,"")</f>
        <v/>
      </c>
      <c r="KZ21" s="12" t="str">
        <f>IF(SUM(KW21,KY21)&gt;0,SUM(KW21,KY21),"")</f>
        <v/>
      </c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15" t="str">
        <f>IF(LH21&gt;0,LH21,"")</f>
        <v/>
      </c>
      <c r="LQ21" s="15" t="str">
        <f>IF(SUM(LA21:LD21)-LE21&gt;0,SUM(LA21:LD21)-LE21,"")</f>
        <v/>
      </c>
      <c r="LR21" s="15" t="str">
        <f>IF(SUM(LF21:LI21)-LJ21&gt;0,SUM(LF21:LI21)-LJ21,"")</f>
        <v/>
      </c>
      <c r="LS21" s="15" t="str">
        <f>IF(SUM(LQ21:LR21)&gt;0,SUM(LQ21:LR21),"")</f>
        <v/>
      </c>
      <c r="LT21" s="15" t="str">
        <f>IF(LM21&gt;0,LM21,"")</f>
        <v/>
      </c>
      <c r="LU21" s="15" t="str">
        <f>IF(SUM(LK21:LN21)-LO21&gt;0,SUM(LK21:LN21)-LO21,"")</f>
        <v/>
      </c>
      <c r="LV21" s="15" t="str">
        <f>IF(SUM(LS21,LU21)&gt;0,SUM(LS21,LU21),"")</f>
        <v/>
      </c>
      <c r="LW21" s="63">
        <f t="shared" si="7"/>
        <v>7.25</v>
      </c>
      <c r="LX21" s="63">
        <f t="shared" si="8"/>
        <v>4.6500000000000004</v>
      </c>
      <c r="LY21" s="63">
        <f t="shared" si="9"/>
        <v>2.8</v>
      </c>
      <c r="LZ21" s="63">
        <f t="shared" si="10"/>
        <v>7.3975</v>
      </c>
      <c r="MA21" s="63">
        <f t="shared" si="11"/>
        <v>0</v>
      </c>
      <c r="MB21" s="63">
        <f t="shared" si="12"/>
        <v>4.3</v>
      </c>
      <c r="MC21" s="63">
        <f t="shared" si="13"/>
        <v>2.7250000000000001</v>
      </c>
      <c r="MD21" s="63">
        <f t="shared" si="14"/>
        <v>3.95</v>
      </c>
      <c r="ME21" s="63">
        <f t="shared" si="15"/>
        <v>4.3949999999999996</v>
      </c>
      <c r="MF21" s="63">
        <f t="shared" si="16"/>
        <v>0</v>
      </c>
      <c r="MG21" s="63">
        <f t="shared" si="17"/>
        <v>0</v>
      </c>
      <c r="MH21" s="63">
        <f t="shared" si="18"/>
        <v>0</v>
      </c>
      <c r="MI21" s="63">
        <f t="shared" si="19"/>
        <v>0</v>
      </c>
      <c r="MJ21" s="63">
        <f t="shared" si="20"/>
        <v>0</v>
      </c>
      <c r="MK21" s="63">
        <f t="shared" si="21"/>
        <v>0</v>
      </c>
      <c r="ML21" s="74" t="s">
        <v>116</v>
      </c>
      <c r="MM21" s="12">
        <f t="shared" si="22"/>
        <v>3.95</v>
      </c>
      <c r="MN21" s="12">
        <f t="shared" si="23"/>
        <v>22.0975</v>
      </c>
      <c r="MO21" s="12">
        <f t="shared" si="24"/>
        <v>15.370000000000001</v>
      </c>
      <c r="MP21" s="12">
        <f t="shared" si="25"/>
        <v>37.467500000000001</v>
      </c>
      <c r="MQ21" s="12" t="str">
        <f t="shared" si="26"/>
        <v/>
      </c>
      <c r="MR21" s="12" t="str">
        <f t="shared" si="27"/>
        <v/>
      </c>
      <c r="MS21" s="12">
        <f t="shared" si="28"/>
        <v>37.467500000000001</v>
      </c>
    </row>
    <row r="22" spans="1:357" x14ac:dyDescent="0.2">
      <c r="A22" s="6" t="str">
        <f>IF(AND(F22="P",H22="P"),SUMPRODUCT((F$4:F$24="P")*(H$4:H$24="P")*(E$4:E$24&gt;E22))+1,IF(H22="P",SUMPRODUCT((F$4:F$24="")*(H$4:H$24="P")*(E$4:E$24&gt;E22))+1+SUMPRODUCT((F$4:F$24="P")*(H$4:H$24="P")),""))</f>
        <v/>
      </c>
      <c r="B22" s="7" t="s">
        <v>91</v>
      </c>
      <c r="C22" s="8" t="s">
        <v>5</v>
      </c>
      <c r="D22" s="27">
        <v>2001</v>
      </c>
      <c r="E22" s="16">
        <f>SUM(J22:R22)</f>
        <v>62.25</v>
      </c>
      <c r="F22" s="4" t="str">
        <f>IF(OR(AND($AK22&gt;=$AL$26,NOT($AK22=""),$AJ22=""),AND($BH22&gt;=$BI$26,NOT($BH22=""),$BG22=""),AND($CH22&gt;=$CI$26,NOT($CH22="")),AND($DD22&gt;=$DE$26,NOT($DD22="")),AND($DZ22&gt;=$EA$26,NOT($DZ22="")),AND($EV22&gt;=$EW$26,NOT($EV22="")),AND($FR22&gt;=$FS$26,NOT($FR22="")),AND($GN22&gt;=$GO$26,NOT($GN22="")),AND($HJ22&gt;=$HK$26,NOT($HJ22="")),AND($IF22&gt;=$IG$26,NOT($IF22="")),AND($JB22&gt;=$JC$26,NOT($JB22="")),AND($JX22&gt;=$JY$26,NOT($JX22="")),AND($KT22&gt;=$KU$26,NOT($KT22="")),AND($LP22&gt;=$LQ$26,NOT($LP22="")),AND($AO22&gt;=$AL$26,NOT($AO22=""),$AJ22=""),AND($BL22&gt;=$BI$26,NOT($BL22=""),$BG22=""),AND($CL22&gt;=$CI$26,NOT($CL22="")),AND($DH22&gt;=$DE$26,NOT($DH22="")),AND($ED22&gt;=$EA$26,NOT($ED22="")),AND($EZ22&gt;=$EW$26,NOT($EZ22="")),AND($FV22&gt;=$FS$26,NOT($FV22="")),AND($GR22&gt;=$GO$26,NOT($GR22="")),AND($HN22&gt;=$HK$26,NOT($HN22="")),AND($IJ22&gt;=$IG$26,NOT($IJ22="")),AND($JF22&gt;=$JC$26,NOT($JF22="")),AND($KB22&gt;=$JY$26,NOT($KB22="")),AND($KX22&gt;=$KU$26,NOT($KX22="")),AND($LT22&gt;=$LQ$26,NOT($LT22=""))),"P","")</f>
        <v/>
      </c>
      <c r="G22" s="4" t="str">
        <f>IF(OR(AND($AK22&gt;=$AL$27,NOT($AK22=""),$AJ22=""),AND($BH22&gt;=$BI$27,NOT($BH22=""),$BG22=""),AND($CH22&gt;=$CI$27,NOT($CH22="")),AND($DD22&gt;=$DE$27,NOT($DD22="")),AND($DZ22&gt;=$EA$27,NOT($DZ22="")),AND($EV22&gt;=$EW$27,NOT($EV22="")),AND($FR22&gt;=$FS$27,NOT($FR22="")),AND($GN22&gt;=$GO$27,NOT($GN22="")),AND($HJ22&gt;=$HK$27,NOT($HJ22="")),AND($IF22&gt;=$IG$27,NOT($IF22="")),AND($JB22&gt;=$JC$27,NOT($JB22="")),AND($JX22&gt;=$JY$27,NOT($JX22="")),AND($KT22&gt;=$KU$27,NOT($KT22="")),AND($LP22&gt;=$LQ$27,NOT($LP22="")),AND($AO22&gt;=$AL$27,NOT($AO22=""),$AJ22=""),AND($BL22&gt;=$BI$27,NOT($BL22=""),$BG22=""),AND($CL22&gt;=$CI$27,NOT($CL22="")),AND($DH22&gt;=$DE$27,NOT($DH22="")),AND($ED22&gt;=$EA$27,NOT($ED22="")),AND($EZ22&gt;=$EW$27,NOT($EZ22="")),AND($FV22&gt;=$FS$27,NOT($FV22="")),AND($GR22&gt;=$GO$27,NOT($GR22="")),AND($HN22&gt;=$HK$27,NOT($HN22="")),AND($IJ22&gt;=$IG$27,NOT($IJ22="")),AND($JF22&gt;=$JC$27,NOT($JF22="")),AND($KB22&gt;=$JY$27,NOT($KB22="")),AND($KX22&gt;=$KU$27,NOT($KX22="")),AND($LT22&gt;=$LQ$27,NOT($LT22=""))),"P","")</f>
        <v/>
      </c>
      <c r="H22" s="4" t="str">
        <f>IF(OR(AND($AN22&gt;=$AL$28,NOT($AN22=""),$AJ22=""),AND($BK22&gt;=$BI$28,NOT($BK22=""),$BG22=""),AND($CK22&gt;=$CI$28,NOT($CK22="")),AND($DG22&gt;=$DE$28,NOT($DG22="")),AND($EC22&gt;=$EA$28,NOT($EC22="")),AND($EY22&gt;=$EW$28,NOT($EY22="")),AND($FU22&gt;=$FS$28,NOT($FU22="")),AND($GQ22&gt;=$GO$28,NOT($GQ22="")),AND($HM22&gt;=$HK$28,NOT($HM22="")),AND($II22&gt;=$IG$28,NOT($II22="")),AND($JE22&gt;=$JC$28,NOT($JE22="")),AND($KA22&gt;=$JY$28,NOT($KA22="")),AND($KW22&gt;=$KU$28,NOT($KW22="")),AND($LS22&gt;=$LQ$28,NOT($LS22=""))),"P","")</f>
        <v/>
      </c>
      <c r="I22" t="str">
        <f>IF(AND(H22="P",F22=""),"No DD",IF(AND(G22="P",OR(AND($AM22&gt;$AL$31,NOT($AM22=""),$AJ22=""),AND($AP22&gt;$AL$31,NOT($AP22=""),$AJ22=""),AND($BJ22&gt;$BI$31,NOT($BJ22=""),$BG22=""),AND($BM22&gt;$BI$31,NOT($BM22=""),$BG22=""),AND($CJ22&gt;$CI$31,NOT($CJ22="")),AND($CM22&gt;$CI$31,NOT($CM22="")),AND($DF22&gt;$DE$31,NOT($DF22="")),AND($DI22&gt;$DE$31,NOT($DI22="")),AND($EB22&gt;$EA$31,NOT($EB22="")),AND($EE22&gt;$EA$31,NOT($EE22="")),AND($EX22&gt;$EW$31,NOT($EX22="")),AND($FA22&gt;$EW$31,NOT($FA22="")),AND($FT22&gt;$FS$31,NOT($FT22="")),AND($FW22&gt;$FS$31,NOT($FW22="")),AND($GP22&gt;$GO$31,NOT($GP22="")),AND($GS22&gt;$GO$31,NOT($GS22="")),AND($HL22&gt;$HK$31,NOT($HL22="")),AND($HO22&gt;$HK$31,NOT($HO22="")),AND($IH22&gt;$IG$31,NOT($IH22="")),AND($IK22&gt;$IG$31,NOT($IK22="")),AND($JD22&gt;$JC$31,NOT($JD22="")),AND($JG22&gt;$JC$31,NOT($JG22="")),AND($JZ22&gt;$JY$31,NOT($JZ22="")),AND($KC22&gt;$JY$31,NOT($KC22="")),AND($KV22&gt;$KU$31,NOT($KV22="")),AND($KY22&gt;$KU$31,NOT($KY22="")),AND($LR22&gt;$LQ$31,NOT($LR22="")),AND($LU22&gt;$LQ$31,NOT($LU22="")))),"Merit",IF(AND(G22="P",OR(AND($AN22&gt;$AL$30,NOT($AN22=""),$AJ22=""),AND($BK22&gt;$BI$30,NOT($BK22=""),$BG22=""),AND($CK22&gt;$CI$30,NOT($CK22="")),AND($DG22&gt;$DE$30,NOT($DG22="")),AND($EC22&gt;$EA$30,NOT($EC22="")),AND($EY22&gt;$EW$30,NOT($EY22="")),AND($FU22&gt;$FS$30,NOT($FU22="")),AND($GQ22&gt;$GO$30,NOT($GQ22="")),AND($HM22&gt;$HK$30,NOT($HM22="")),AND($II22&gt;$IG$30,NOT($II22="")),AND($JE22&gt;$JC$30,NOT($JE22="")),AND($KA22&gt;$JY$30,NOT($KA22="")),AND($KW22&gt;$KU$30,NOT($KW22="")),AND($LS22&gt;$LQ$30,NOT($LS22="")))),"Excellence",IF(AND(G22="P",OR(AND($AN22&gt;$AL$29,NOT($AN22=""),$AJ22=""),AND($BK22&gt;$BI$29,NOT($BK22=""),$BG22=""),AND($CK22&gt;$CI$29,NOT($CK22="")),AND($DG22&gt;$DE$29,NOT($DG22="")),AND($EC22&gt;$EA$29,NOT($EC22="")),AND($EY22&gt;$EW$29,NOT($EY22="")),AND($FU22&gt;$FS$29,NOT($FU22="")),AND($GQ22&gt;$GO$29,NOT($GQ22="")),AND($HM22&gt;$HK$29,NOT($HM22="")),AND($II22&gt;$IG$29,NOT($II22="")),AND($JE22&gt;$JC$29,NOT($JE22="")),AND($KA22&gt;$JY$29,NOT($KA22="")),AND($KW22&gt;$KU$29,NOT($KW22="")),AND($LS22&gt;$LQ$29,NOT($LS22="")))),"Worlds Team",IF(AND(F22="P",OR(AND($AN22&gt;$AL$28,NOT($AN22=""),$AJ22=""),AND($BK22&gt;$BI$28,NOT($BK22=""),$BG22=""),AND($CK22&gt;$CI$28,NOT($CK22="")),AND($DG22&gt;$DE$28,NOT($DG22="")),AND($EC22&gt;$EA$28,NOT($EC22="")),AND($EY22&gt;$EW$28,NOT($EY22="")),AND($FU22&gt;$FS$28,NOT($FU22="")),AND($GQ22&gt;$GO$28,NOT($GQ22="")),AND($HM22&gt;$HK$28,NOT($HM22="")),AND($II22&gt;$IG$28,NOT($II22="")),AND($JE22&gt;$JC$28,NOT($JE22="")),AND($KA22&gt;$JY$28,NOT($KA22="")),AND($KW22&gt;$KU$28,NOT($KW22="")),AND($LS22&gt;$LQ$28,NOT($LS22="")))),"National Team","")))))</f>
        <v/>
      </c>
      <c r="J22" s="15">
        <f>IF(MAX(AN22,BK22)&gt;0,MAX(AN22,BK22),"")</f>
        <v>62.25</v>
      </c>
      <c r="K22" s="15" t="str">
        <f>IF(J22="","",IF(J22=BK22,$AR$1,IF(J22=AN22,$U$1,"")))</f>
        <v>2018 Nationals</v>
      </c>
      <c r="L22" s="15" t="str">
        <f>IF($J22=$AN22,BI22,IF($J22=$BK22,AL22,MAX(AL22,BI22)))</f>
        <v/>
      </c>
      <c r="M22" s="15" t="str">
        <f>IF(L22="","",IF(AND(L22=BI22,$K22&lt;&gt;$AR$1),$AR$1,IF(AND(L22=AL22,$K22&lt;&gt;$U$1),$U$1,"")))</f>
        <v/>
      </c>
      <c r="N22" s="15" t="str">
        <f>IF($J22=$AN22,BJ22,IF($J22=$BK22,AM22,MAX(AM22,BJ22)))</f>
        <v/>
      </c>
      <c r="O22" s="15" t="str">
        <f>IF(N22="","",IF(AND(N22=BJ22,$K22&lt;&gt;$AR$1),$AR$1,IF(AND(N22=AM22,$K22&lt;&gt;$U$1),$U$1,"")))</f>
        <v/>
      </c>
      <c r="P22" s="15" t="str">
        <f>IF(MAX(AP22,BM22)&gt;0,MAX(AP22,BM22),"")</f>
        <v/>
      </c>
      <c r="Q22" s="15" t="str">
        <f>IF(P22="","",IF(P22=BM22,$AR$1,IF(P22=AP22,$U$1,"")))</f>
        <v/>
      </c>
      <c r="R22" s="15" t="str">
        <f>IF(MAX(BO22,BP22,BQ22,BR22)&gt;0,MAX(BO22,BP22,BQ22,BR22),"")</f>
        <v/>
      </c>
      <c r="S22" s="25" t="str">
        <f>IF(R22="","",IF(R22=BO22,"(Vol 1)",IF(R22=BP22,"(Vol 2)",IF(R22=BQ22,"(Prelim)",IF(R22=BR22,"(Final)")))))</f>
        <v/>
      </c>
      <c r="T22" s="15" t="str">
        <f>IF(R22="","",IF(R22=BO22,IF(R22+IF(L22="",0,L22)=LQ22,$LA$1,IF(R22+IF(L22="",0,L22)=KU22,$KE$1,IF(R22+IF(L22="",0,L22)=JY22,$JI$1,IF(R22+IF(L22="",0,L22)=JC22,$IM$1,IF(R22+IF(L22="",0,L22)=IG22,$HQ$1,IF(R22+IF(L22="",0,L22)=HK22,$GU$1,IF(R22+IF(L22="",0,L22)=GO22,$FY$1,IF(R22+IF(L22="",0,L22)=FS22,$FC$1,IF(R22+IF(L22="",0,L22)=EW22,$EG$1,IF(R22+IF(L22="",0,L22)=EA22,$DK$1,IF(R22+IF(L22="",0,L22)=DE22,$CO$1,IF(R22+IF(L22="",0,L22)=CI22,$BS$1)))))))))))),IF(R22=BP22,IF(R22+IF(N22="",0,N22)=LR22,$LA$1,IF(R22+IF(N22="",0,N22)=KV22,$KE$1,IF(R22+IF(N22="",0,N22)=JZ22,$JI$1,IF(R22+IF(N22="",0,N22)=JD22,$IM$1,IF(R22+IF(N22="",0,N22)=IH22,$HQ$1,IF(R22+IF(N22="",0,N22)=HL22,$GU$1,IF(R22+IF(N22="",0,N22)=GP22,$FY$1,IF(R22+IF(N22="",0,N22)=FT22,$FC$1,IF(R22+IF(N22="",0,N22)=EX22,$EG$1,IF(R22+IF(N22="",0,N22)=EB22,$DK$1,IF(R22+IF(N22="",0,N22)=DF22,$CO$1,IF(R22+IF(N22="",0,N22)=CJ22,$BS$1)))))))))))),IF(R22=BQ22,IF(R22+IF(J22="",0,J22)=LS22,$LA$1,IF(R22+IF(J22="",0,J22)=KW22,$KE$1,IF(R22+IF(J22="",0,J22)=KA22,$JI$1,IF(R22+IF(J22="",0,J22)=JE22,$IM$1,IF(R22+IF(J22="",0,J22)=II22,$HQ$1,IF(R22+IF(J22="",0,J22)=HM22,$GU$1,IF(R22+IF(J22="",0,J22)=GQ22,$FY$1,IF(R22+IF(J22="",0,J22)=FU22,$FC$1,IF(R22+IF(J22="",0,J22)=EY22,$EG$1,IF(R22+IF(J22="",0,J22)=EC22,$DK$1,IF(R22+IF(J22="",0,J22)=DG22,$CO$1,IF(R22+IF(J22="",0,J22)=CK22,$BS$1)))))))))))),IF(R22=BR22,IF(R22+IF(P22="",0,P22)=LU22,$LA$1,IF(R22+IF(P22="",0,P22)=KY22,$KE$1,IF(R22+IF(P22="",0,P22)=KC22,$JI$1,IF(R22+IF(P22="",0,P22)=JG22,$IM$1,IF(R22+IF(P22="",0,P22)=IK22,$HQ$1,IF(R22+IF(P22="",0,P22)=HO22,$GU$1,IF(R22+IF(P22="",0,P22)=GS22,$FY$1,IF(R22+IF(P22="",0,P22)=FW22,$FC$1,IF(R22+IF(P22="",0,P22)=FA22,$EG$1,IF(R22+IF(P22="",0,P22)=EE22,$DK$1,IF(R22+IF(P22="",0,P22)=DI22,$CO$1,IF(R22+IF(P22="",0,P22)=CM22,$BS$1)))))))))))))))))</f>
        <v/>
      </c>
      <c r="U22" s="63">
        <v>14.2</v>
      </c>
      <c r="V22" s="63">
        <v>8.85</v>
      </c>
      <c r="W22" s="63">
        <v>3.4</v>
      </c>
      <c r="X22" s="63">
        <v>15.63</v>
      </c>
      <c r="Y22" s="63">
        <v>0</v>
      </c>
      <c r="Z22" s="63">
        <v>5.3</v>
      </c>
      <c r="AA22" s="63">
        <v>3.45</v>
      </c>
      <c r="AB22" s="63">
        <v>5.2</v>
      </c>
      <c r="AC22" s="63">
        <v>6.22</v>
      </c>
      <c r="AD22" s="63">
        <v>0</v>
      </c>
      <c r="AE22" s="63"/>
      <c r="AF22" s="63"/>
      <c r="AG22" s="63"/>
      <c r="AH22" s="63"/>
      <c r="AI22" s="63"/>
      <c r="AJ22" s="74"/>
      <c r="AK22" s="12">
        <f>IF(AB22&gt;0,AB22,"")</f>
        <v>5.2</v>
      </c>
      <c r="AL22" s="12">
        <f>IF(SUM(U22:X22)-Y22&gt;0,SUM(U22:X22)-Y22,"")</f>
        <v>42.08</v>
      </c>
      <c r="AM22" s="12">
        <f>IF(SUM(Z22:AC22)-AD22&gt;0,SUM(Z22:AC22)-AD22,"")</f>
        <v>20.169999999999998</v>
      </c>
      <c r="AN22" s="12">
        <f>IF(SUM(AL22:AM22)&gt;0,SUM(AL22:AM22),"")</f>
        <v>62.25</v>
      </c>
      <c r="AO22" s="12" t="str">
        <f>IF(AG22&gt;0,AG22,"")</f>
        <v/>
      </c>
      <c r="AP22" s="12" t="str">
        <f>IF(SUM(AE22:AH22)-AI22&gt;0,SUM(AE22:AH22)-AI22,"")</f>
        <v/>
      </c>
      <c r="AQ22" s="12">
        <f>IF(SUM(AN22,AP22)&gt;0,SUM(AN22,AP22),"")</f>
        <v>62.25</v>
      </c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75"/>
      <c r="BH22" s="15" t="str">
        <f>IF(AY22&gt;0,AY22,"")</f>
        <v/>
      </c>
      <c r="BI22" s="15" t="str">
        <f>IF(SUM(AR22:AU22)-AV22&gt;0,SUM(AR22:AU22)-AV22,"")</f>
        <v/>
      </c>
      <c r="BJ22" s="15" t="str">
        <f>IF(SUM(AW22:AZ22)-BA22&gt;0,SUM(AW22:AZ22)-BA22,"")</f>
        <v/>
      </c>
      <c r="BK22" s="15" t="str">
        <f>IF(SUM(BI22:BJ22)&gt;0,SUM(BI22:BJ22),"")</f>
        <v/>
      </c>
      <c r="BL22" s="15" t="str">
        <f>IF(BD22&gt;0,BD22,"")</f>
        <v/>
      </c>
      <c r="BM22" s="15" t="str">
        <f>IF(SUM(BB22:BE22)-BF22&gt;0,SUM(BB22:BE22)-BF22,"")</f>
        <v/>
      </c>
      <c r="BN22" s="15" t="str">
        <f>IF(SUM(BK22,BM22)&gt;0,SUM(BK22,BM22),"")</f>
        <v/>
      </c>
      <c r="BO22" s="24" t="str">
        <f>IF(MAX(CI22,DE22,EA22,EW22,FS22,GO22,HK22,IG22,JC22,JY22,KU22,LQ22)-IF(L22="",0,L22)&gt;0.001,MAX(CI22,DE22,EA22,EW22,FS22,GO22,HK22,IG22,JC22,JY22,KU22,LQ22)-IF(L22="",0,L22),"")</f>
        <v/>
      </c>
      <c r="BP22" s="24" t="str">
        <f>IF(MAX(CJ22,DF22,EB22,EX22,FT22,GP22,HL22,IH22,JD22,JZ22,KV22,LR22)-IF(N22="",0,N22)&gt;0.001,MAX(CJ22,DF22,EB22,EX22,FT22,GP22,HL22,IH22,JD22,JZ22,KV22,LR22)-IF(N22="",0,N22),"")</f>
        <v/>
      </c>
      <c r="BQ22" s="24" t="str">
        <f>IF(MAX(CK22,DG22,EC22,EY22,FU22,GQ22,HM22,II22,JE22,KA22,KW22,LS22)-IF(J22="",0,J22)&gt;0.001,MAX(CK22,DG22,EC22,EY22,FU22,GQ22,HM22,II22,JE22,KA22,KW22,LS22)-IF(J22="",0,J22),"")</f>
        <v/>
      </c>
      <c r="BR22" s="24" t="str">
        <f>IF(MAX(CM22,DI22,EE22,FA22,FW22,GS22,HO22,IK22,JG22,KC22,KY22,LU22)-IF(P22="",0,P22)&gt;0.001,MAX(CM22,DI22,EE22,FA22,FW22,GS22,HO22,IK22,JG22,KC22,KY22,LU22)-IF(P22="",0,P22),"")</f>
        <v/>
      </c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12" t="str">
        <f>IF(BZ22&gt;0,BZ22,"")</f>
        <v/>
      </c>
      <c r="CI22" s="12" t="str">
        <f>IF(SUM(BS22:BV22)-BW22&gt;0,SUM(BS22:BV22)-BW22,"")</f>
        <v/>
      </c>
      <c r="CJ22" s="12" t="str">
        <f>IF(SUM(BX22:CA22)-CB22&gt;0,SUM(BX22:CA22)-CB22,"")</f>
        <v/>
      </c>
      <c r="CK22" s="12" t="str">
        <f>IF(SUM(CI22:CJ22)&gt;0,SUM(CI22:CJ22),"")</f>
        <v/>
      </c>
      <c r="CL22" s="12" t="str">
        <f>IF(CE22&gt;0,CE22,"")</f>
        <v/>
      </c>
      <c r="CM22" s="12" t="str">
        <f>IF(SUM(CC22:CF22)-CG22&gt;0,SUM(CC22:CF22)-CG22,"")</f>
        <v/>
      </c>
      <c r="CN22" s="12" t="str">
        <f>IF(SUM(CK22,CM22)&gt;0,SUM(CK22,CM22),"")</f>
        <v/>
      </c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15" t="str">
        <f>IF(CV22&gt;0,CV22,"")</f>
        <v/>
      </c>
      <c r="DE22" s="15" t="str">
        <f>IF(SUM(CO22:CR22)-CS22&gt;0,SUM(CO22:CR22)-CS22,"")</f>
        <v/>
      </c>
      <c r="DF22" s="15" t="str">
        <f>IF(SUM(CT22:CW22)-CX22&gt;0,SUM(CT22:CW22)-CX22,"")</f>
        <v/>
      </c>
      <c r="DG22" s="15" t="str">
        <f>IF(SUM(DE22:DF22)&gt;0,SUM(DE22:DF22),"")</f>
        <v/>
      </c>
      <c r="DH22" s="15" t="str">
        <f>IF(DA22&gt;0,DA22,"")</f>
        <v/>
      </c>
      <c r="DI22" s="15" t="str">
        <f>IF(SUM(CY22:DB22)-DC22&gt;0,SUM(CY22:DB22)-DC22,"")</f>
        <v/>
      </c>
      <c r="DJ22" s="15" t="str">
        <f>IF(SUM(DG22,DI22)&gt;0,SUM(DG22,DI22),"")</f>
        <v/>
      </c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12" t="str">
        <f>IF(DR22&gt;0,DR22,"")</f>
        <v/>
      </c>
      <c r="EA22" s="12" t="str">
        <f>IF(SUM(DK22:DN22)-DO22&gt;0,SUM(DK22:DN22)-DO22,"")</f>
        <v/>
      </c>
      <c r="EB22" s="12" t="str">
        <f>IF(SUM(DP22:DS22)-DT22&gt;0,SUM(DP22:DS22)-DT22,"")</f>
        <v/>
      </c>
      <c r="EC22" s="12" t="str">
        <f>IF(SUM(EA22:EB22)&gt;0,SUM(EA22:EB22),"")</f>
        <v/>
      </c>
      <c r="ED22" s="12" t="str">
        <f>IF(DW22&gt;0,DW22,"")</f>
        <v/>
      </c>
      <c r="EE22" s="12" t="str">
        <f>IF(SUM(DU22:DX22)-DY22&gt;0,SUM(DU22:DX22)-DY22,"")</f>
        <v/>
      </c>
      <c r="EF22" s="12" t="str">
        <f>IF(SUM(EC22,EE22)&gt;0,SUM(EC22,EE22),"")</f>
        <v/>
      </c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15" t="str">
        <f>IF(EN22&gt;0,EN22,"")</f>
        <v/>
      </c>
      <c r="EW22" s="15" t="str">
        <f>IF(SUM(EG22:EJ22)-EK22&gt;0,SUM(EG22:EJ22)-EK22,"")</f>
        <v/>
      </c>
      <c r="EX22" s="15" t="str">
        <f>IF(SUM(EL22:EO22)-EP22&gt;0,SUM(EL22:EO22)-EP22,"")</f>
        <v/>
      </c>
      <c r="EY22" s="15" t="str">
        <f>IF(SUM(EW22:EX22)&gt;0,SUM(EW22:EX22),"")</f>
        <v/>
      </c>
      <c r="EZ22" s="15" t="str">
        <f>IF(ES22&gt;0,ES22,"")</f>
        <v/>
      </c>
      <c r="FA22" s="15" t="str">
        <f>IF(SUM(EQ22:ET22)-EU22&gt;0,SUM(EQ22:ET22)-EU22,"")</f>
        <v/>
      </c>
      <c r="FB22" s="15" t="str">
        <f>IF(SUM(EY22,FA22)&gt;0,SUM(EY22,FA22),"")</f>
        <v/>
      </c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12" t="str">
        <f>IF(FJ22&gt;0,FJ22,"")</f>
        <v/>
      </c>
      <c r="FS22" s="12" t="str">
        <f>IF(SUM(FC22:FF22)-FG22&gt;0,SUM(FC22:FF22)-FG22,"")</f>
        <v/>
      </c>
      <c r="FT22" s="12" t="str">
        <f>IF(SUM(FH22:FK22)-FL22&gt;0,SUM(FH22:FK22)-FL22,"")</f>
        <v/>
      </c>
      <c r="FU22" s="12" t="str">
        <f>IF(SUM(FS22:FT22)&gt;0,SUM(FS22:FT22),"")</f>
        <v/>
      </c>
      <c r="FV22" s="12" t="str">
        <f>IF(FO22&gt;0,FO22,"")</f>
        <v/>
      </c>
      <c r="FW22" s="12" t="str">
        <f>IF(SUM(FM22:FP22)-FQ22&gt;0,SUM(FM22:FP22)-FQ22,"")</f>
        <v/>
      </c>
      <c r="FX22" s="12" t="str">
        <f>IF(SUM(FU22,FW22)&gt;0,SUM(FU22,FW22),"")</f>
        <v/>
      </c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15" t="str">
        <f>IF(GF22&gt;0,GF22,"")</f>
        <v/>
      </c>
      <c r="GO22" s="15" t="str">
        <f>IF(SUM(FY22:GB22)-GC22&gt;0,SUM(FY22:GB22)-GC22,"")</f>
        <v/>
      </c>
      <c r="GP22" s="15" t="str">
        <f>IF(SUM(GD22:GG22)-GH22&gt;0,SUM(GD22:GG22)-GH22,"")</f>
        <v/>
      </c>
      <c r="GQ22" s="15" t="str">
        <f>IF(SUM(GO22:GP22)&gt;0,SUM(GO22:GP22),"")</f>
        <v/>
      </c>
      <c r="GR22" s="15" t="str">
        <f>IF(GK22&gt;0,GK22,"")</f>
        <v/>
      </c>
      <c r="GS22" s="15" t="str">
        <f>IF(SUM(GI22:GL22)-GM22&gt;0,SUM(GI22:GL22)-GM22,"")</f>
        <v/>
      </c>
      <c r="GT22" s="15" t="str">
        <f>IF(SUM(GQ22,GS22)&gt;0,SUM(GQ22,GS22),"")</f>
        <v/>
      </c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12" t="str">
        <f>IF(HB22&gt;0,HB22,"")</f>
        <v/>
      </c>
      <c r="HK22" s="12" t="str">
        <f>IF(SUM(GU22:GX22)-GY22&gt;0,SUM(GU22:GX22)-GY22,"")</f>
        <v/>
      </c>
      <c r="HL22" s="12" t="str">
        <f>IF(SUM(GZ22:HC22)-HD22&gt;0,SUM(GZ22:HC22)-HD22,"")</f>
        <v/>
      </c>
      <c r="HM22" s="12" t="str">
        <f>IF(SUM(HK22:HL22)&gt;0,SUM(HK22:HL22),"")</f>
        <v/>
      </c>
      <c r="HN22" s="12" t="str">
        <f>IF(HG22&gt;0,HG22,"")</f>
        <v/>
      </c>
      <c r="HO22" s="12" t="str">
        <f>IF(SUM(HE22:HH22)-HI22&gt;0,SUM(HE22:HH22)-HI22,"")</f>
        <v/>
      </c>
      <c r="HP22" s="12" t="str">
        <f>IF(SUM(HM22,HO22)&gt;0,SUM(HM22,HO22),"")</f>
        <v/>
      </c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15" t="str">
        <f>IF(HX22&gt;0,HX22,"")</f>
        <v/>
      </c>
      <c r="IG22" s="15" t="str">
        <f>IF(SUM(HQ22:HT22)-HU22&gt;0,SUM(HQ22:HT22)-HU22,"")</f>
        <v/>
      </c>
      <c r="IH22" s="15" t="str">
        <f>IF(SUM(HV22:HY22)-HZ22&gt;0,SUM(HV22:HY22)-HZ22,"")</f>
        <v/>
      </c>
      <c r="II22" s="15" t="str">
        <f>IF(SUM(IG22:IH22)&gt;0,SUM(IG22:IH22),"")</f>
        <v/>
      </c>
      <c r="IJ22" s="15" t="str">
        <f>IF(IC22&gt;0,IC22,"")</f>
        <v/>
      </c>
      <c r="IK22" s="15" t="str">
        <f>IF(SUM(IA22:ID22)-IE22&gt;0,SUM(IA22:ID22)-IE22,"")</f>
        <v/>
      </c>
      <c r="IL22" s="15" t="str">
        <f>IF(SUM(II22,IK22)&gt;0,SUM(II22,IK22),"")</f>
        <v/>
      </c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12" t="str">
        <f>IF(IT22&gt;0,IT22,"")</f>
        <v/>
      </c>
      <c r="JC22" s="12" t="str">
        <f>IF(SUM(IM22:IP22)-IQ22&gt;0,SUM(IM22:IP22)-IQ22,"")</f>
        <v/>
      </c>
      <c r="JD22" s="12" t="str">
        <f>IF(SUM(IR22:IU22)-IV22&gt;0,SUM(IR22:IU22)-IV22,"")</f>
        <v/>
      </c>
      <c r="JE22" s="12" t="str">
        <f>IF(SUM(JC22:JD22)&gt;0,SUM(JC22:JD22),"")</f>
        <v/>
      </c>
      <c r="JF22" s="12" t="str">
        <f>IF(IY22&gt;0,IY22,"")</f>
        <v/>
      </c>
      <c r="JG22" s="12" t="str">
        <f>IF(SUM(IW22:IZ22)-JA22&gt;0,SUM(IW22:IZ22)-JA22,"")</f>
        <v/>
      </c>
      <c r="JH22" s="12" t="str">
        <f>IF(SUM(JE22,JG22)&gt;0,SUM(JE22,JG22),"")</f>
        <v/>
      </c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15" t="str">
        <f>IF(JP22&gt;0,JP22,"")</f>
        <v/>
      </c>
      <c r="JY22" s="15" t="str">
        <f>IF(SUM(JI22:JL22)-JM22&gt;0,SUM(JI22:JL22)-JM22,"")</f>
        <v/>
      </c>
      <c r="JZ22" s="15" t="str">
        <f>IF(SUM(JN22:JQ22)-JR22&gt;0,SUM(JN22:JQ22)-JR22,"")</f>
        <v/>
      </c>
      <c r="KA22" s="15" t="str">
        <f>IF(SUM(JY22:JZ22)&gt;0,SUM(JY22:JZ22),"")</f>
        <v/>
      </c>
      <c r="KB22" s="15" t="str">
        <f>IF(JU22&gt;0,JU22,"")</f>
        <v/>
      </c>
      <c r="KC22" s="15" t="str">
        <f>IF(SUM(JS22:JV22)-JW22&gt;0,SUM(JS22:JV22)-JW22,"")</f>
        <v/>
      </c>
      <c r="KD22" s="15" t="str">
        <f>IF(SUM(KA22,KC22)&gt;0,SUM(KA22,KC22),"")</f>
        <v/>
      </c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12" t="str">
        <f>IF(KL22&gt;0,KL22,"")</f>
        <v/>
      </c>
      <c r="KU22" s="12" t="str">
        <f>IF(SUM(KE22:KH22)-KI22&gt;0,SUM(KE22:KH22)-KI22,"")</f>
        <v/>
      </c>
      <c r="KV22" s="12" t="str">
        <f>IF(SUM(KJ22:KM22)-KN22&gt;0,SUM(KJ22:KM22)-KN22,"")</f>
        <v/>
      </c>
      <c r="KW22" s="12" t="str">
        <f>IF(SUM(KU22:KV22)&gt;0,SUM(KU22:KV22),"")</f>
        <v/>
      </c>
      <c r="KX22" s="12" t="str">
        <f>IF(KQ22&gt;0,KQ22,"")</f>
        <v/>
      </c>
      <c r="KY22" s="12" t="str">
        <f>IF(SUM(KO22:KR22)-KS22&gt;0,SUM(KO22:KR22)-KS22,"")</f>
        <v/>
      </c>
      <c r="KZ22" s="12" t="str">
        <f>IF(SUM(KW22,KY22)&gt;0,SUM(KW22,KY22),"")</f>
        <v/>
      </c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15" t="str">
        <f>IF(LH22&gt;0,LH22,"")</f>
        <v/>
      </c>
      <c r="LQ22" s="15" t="str">
        <f>IF(SUM(LA22:LD22)-LE22&gt;0,SUM(LA22:LD22)-LE22,"")</f>
        <v/>
      </c>
      <c r="LR22" s="15" t="str">
        <f>IF(SUM(LF22:LI22)-LJ22&gt;0,SUM(LF22:LI22)-LJ22,"")</f>
        <v/>
      </c>
      <c r="LS22" s="15" t="str">
        <f>IF(SUM(LQ22:LR22)&gt;0,SUM(LQ22:LR22),"")</f>
        <v/>
      </c>
      <c r="LT22" s="15" t="str">
        <f>IF(LM22&gt;0,LM22,"")</f>
        <v/>
      </c>
      <c r="LU22" s="15" t="str">
        <f>IF(SUM(LK22:LN22)-LO22&gt;0,SUM(LK22:LN22)-LO22,"")</f>
        <v/>
      </c>
      <c r="LV22" s="15" t="str">
        <f>IF(SUM(LS22,LU22)&gt;0,SUM(LS22,LU22),"")</f>
        <v/>
      </c>
      <c r="LW22" s="63">
        <f t="shared" si="7"/>
        <v>7.1</v>
      </c>
      <c r="LX22" s="63">
        <f t="shared" si="8"/>
        <v>4.4249999999999998</v>
      </c>
      <c r="LY22" s="63">
        <f t="shared" si="9"/>
        <v>1.7</v>
      </c>
      <c r="LZ22" s="63">
        <f t="shared" si="10"/>
        <v>7.8150000000000004</v>
      </c>
      <c r="MA22" s="63">
        <f t="shared" si="11"/>
        <v>0</v>
      </c>
      <c r="MB22" s="63">
        <f t="shared" si="12"/>
        <v>2.65</v>
      </c>
      <c r="MC22" s="63">
        <f t="shared" si="13"/>
        <v>1.7250000000000001</v>
      </c>
      <c r="MD22" s="63">
        <f t="shared" si="14"/>
        <v>2.6</v>
      </c>
      <c r="ME22" s="63">
        <f t="shared" si="15"/>
        <v>3.11</v>
      </c>
      <c r="MF22" s="63">
        <f t="shared" si="16"/>
        <v>0</v>
      </c>
      <c r="MG22" s="63">
        <f t="shared" si="17"/>
        <v>0</v>
      </c>
      <c r="MH22" s="63">
        <f t="shared" si="18"/>
        <v>0</v>
      </c>
      <c r="MI22" s="63">
        <f t="shared" si="19"/>
        <v>0</v>
      </c>
      <c r="MJ22" s="63">
        <f t="shared" si="20"/>
        <v>0</v>
      </c>
      <c r="MK22" s="63">
        <f t="shared" si="21"/>
        <v>0</v>
      </c>
      <c r="ML22" s="74" t="s">
        <v>116</v>
      </c>
      <c r="MM22" s="12">
        <f t="shared" ref="MM22" si="29">IF(MD22&gt;0,MD22,"")</f>
        <v>2.6</v>
      </c>
      <c r="MN22" s="12">
        <f t="shared" ref="MN22" si="30">IF(SUM(LW22:LZ22)-MA22&gt;0,SUM(LW22:LZ22)-MA22,"")</f>
        <v>21.04</v>
      </c>
      <c r="MO22" s="12">
        <f t="shared" ref="MO22" si="31">IF(SUM(MB22:ME22)-MF22&gt;0,SUM(MB22:ME22)-MF22,"")</f>
        <v>10.084999999999999</v>
      </c>
      <c r="MP22" s="12">
        <f t="shared" ref="MP22" si="32">IF(SUM(MN22:MO22)&gt;0,SUM(MN22:MO22),"")</f>
        <v>31.125</v>
      </c>
      <c r="MQ22" s="12" t="str">
        <f t="shared" si="26"/>
        <v/>
      </c>
      <c r="MR22" s="12" t="str">
        <f t="shared" ref="MR22" si="33">IF(SUM(MG22:MJ22)-MK22&gt;0,SUM(MG22:MJ22)-MK22,"")</f>
        <v/>
      </c>
      <c r="MS22" s="12">
        <f t="shared" ref="MS22" si="34">IF(SUM(MP22,MR22)&gt;0,SUM(MP22,MR22),"")</f>
        <v>31.125</v>
      </c>
    </row>
    <row r="23" spans="1:357" x14ac:dyDescent="0.2">
      <c r="A23" s="6" t="str">
        <f>IF(AND(F23="P",H23="P"),SUMPRODUCT((F$4:F$24="P")*(H$4:H$24="P")*(E$4:E$24&gt;E23))+1,IF(H23="P",SUMPRODUCT((F$4:F$24="")*(H$4:H$24="P")*(E$4:E$24&gt;E23))+1+SUMPRODUCT((F$4:F$24="P")*(H$4:H$24="P")),""))</f>
        <v/>
      </c>
      <c r="B23" s="7" t="s">
        <v>82</v>
      </c>
      <c r="C23" s="8" t="s">
        <v>3</v>
      </c>
      <c r="D23" s="27">
        <v>2000</v>
      </c>
      <c r="E23" s="16">
        <f>SUM(J23:R23)</f>
        <v>51.355000000000004</v>
      </c>
      <c r="F23" s="4" t="str">
        <f>IF(OR(AND($AK23&gt;=$AL$26,NOT($AK23=""),$AJ23=""),AND($BH23&gt;=$BI$26,NOT($BH23=""),$BG23=""),AND($CH23&gt;=$CI$26,NOT($CH23="")),AND($DD23&gt;=$DE$26,NOT($DD23="")),AND($DZ23&gt;=$EA$26,NOT($DZ23="")),AND($EV23&gt;=$EW$26,NOT($EV23="")),AND($FR23&gt;=$FS$26,NOT($FR23="")),AND($GN23&gt;=$GO$26,NOT($GN23="")),AND($HJ23&gt;=$HK$26,NOT($HJ23="")),AND($IF23&gt;=$IG$26,NOT($IF23="")),AND($JB23&gt;=$JC$26,NOT($JB23="")),AND($JX23&gt;=$JY$26,NOT($JX23="")),AND($KT23&gt;=$KU$26,NOT($KT23="")),AND($LP23&gt;=$LQ$26,NOT($LP23="")),AND($AO23&gt;=$AL$26,NOT($AO23=""),$AJ23=""),AND($BL23&gt;=$BI$26,NOT($BL23=""),$BG23=""),AND($CL23&gt;=$CI$26,NOT($CL23="")),AND($DH23&gt;=$DE$26,NOT($DH23="")),AND($ED23&gt;=$EA$26,NOT($ED23="")),AND($EZ23&gt;=$EW$26,NOT($EZ23="")),AND($FV23&gt;=$FS$26,NOT($FV23="")),AND($GR23&gt;=$GO$26,NOT($GR23="")),AND($HN23&gt;=$HK$26,NOT($HN23="")),AND($IJ23&gt;=$IG$26,NOT($IJ23="")),AND($JF23&gt;=$JC$26,NOT($JF23="")),AND($KB23&gt;=$JY$26,NOT($KB23="")),AND($KX23&gt;=$KU$26,NOT($KX23="")),AND($LT23&gt;=$LQ$26,NOT($LT23=""))),"P","")</f>
        <v/>
      </c>
      <c r="G23" s="4" t="str">
        <f>IF(OR(AND($AK23&gt;=$AL$27,NOT($AK23=""),$AJ23=""),AND($BH23&gt;=$BI$27,NOT($BH23=""),$BG23=""),AND($CH23&gt;=$CI$27,NOT($CH23="")),AND($DD23&gt;=$DE$27,NOT($DD23="")),AND($DZ23&gt;=$EA$27,NOT($DZ23="")),AND($EV23&gt;=$EW$27,NOT($EV23="")),AND($FR23&gt;=$FS$27,NOT($FR23="")),AND($GN23&gt;=$GO$27,NOT($GN23="")),AND($HJ23&gt;=$HK$27,NOT($HJ23="")),AND($IF23&gt;=$IG$27,NOT($IF23="")),AND($JB23&gt;=$JC$27,NOT($JB23="")),AND($JX23&gt;=$JY$27,NOT($JX23="")),AND($KT23&gt;=$KU$27,NOT($KT23="")),AND($LP23&gt;=$LQ$27,NOT($LP23="")),AND($AO23&gt;=$AL$27,NOT($AO23=""),$AJ23=""),AND($BL23&gt;=$BI$27,NOT($BL23=""),$BG23=""),AND($CL23&gt;=$CI$27,NOT($CL23="")),AND($DH23&gt;=$DE$27,NOT($DH23="")),AND($ED23&gt;=$EA$27,NOT($ED23="")),AND($EZ23&gt;=$EW$27,NOT($EZ23="")),AND($FV23&gt;=$FS$27,NOT($FV23="")),AND($GR23&gt;=$GO$27,NOT($GR23="")),AND($HN23&gt;=$HK$27,NOT($HN23="")),AND($IJ23&gt;=$IG$27,NOT($IJ23="")),AND($JF23&gt;=$JC$27,NOT($JF23="")),AND($KB23&gt;=$JY$27,NOT($KB23="")),AND($KX23&gt;=$KU$27,NOT($KX23="")),AND($LT23&gt;=$LQ$27,NOT($LT23=""))),"P","")</f>
        <v/>
      </c>
      <c r="H23" s="4" t="str">
        <f>IF(OR(AND($AN23&gt;=$AL$28,NOT($AN23=""),$AJ23=""),AND($BK23&gt;=$BI$28,NOT($BK23=""),$BG23=""),AND($CK23&gt;=$CI$28,NOT($CK23="")),AND($DG23&gt;=$DE$28,NOT($DG23="")),AND($EC23&gt;=$EA$28,NOT($EC23="")),AND($EY23&gt;=$EW$28,NOT($EY23="")),AND($FU23&gt;=$FS$28,NOT($FU23="")),AND($GQ23&gt;=$GO$28,NOT($GQ23="")),AND($HM23&gt;=$HK$28,NOT($HM23="")),AND($II23&gt;=$IG$28,NOT($II23="")),AND($JE23&gt;=$JC$28,NOT($JE23="")),AND($KA23&gt;=$JY$28,NOT($KA23="")),AND($KW23&gt;=$KU$28,NOT($KW23="")),AND($LS23&gt;=$LQ$28,NOT($LS23=""))),"P","")</f>
        <v/>
      </c>
      <c r="I23" t="str">
        <f>IF(AND(H23="P",F23=""),"No DD",IF(AND(G23="P",OR(AND($AM23&gt;$AL$31,NOT($AM23=""),$AJ23=""),AND($AP23&gt;$AL$31,NOT($AP23=""),$AJ23=""),AND($BJ23&gt;$BI$31,NOT($BJ23=""),$BG23=""),AND($BM23&gt;$BI$31,NOT($BM23=""),$BG23=""),AND($CJ23&gt;$CI$31,NOT($CJ23="")),AND($CM23&gt;$CI$31,NOT($CM23="")),AND($DF23&gt;$DE$31,NOT($DF23="")),AND($DI23&gt;$DE$31,NOT($DI23="")),AND($EB23&gt;$EA$31,NOT($EB23="")),AND($EE23&gt;$EA$31,NOT($EE23="")),AND($EX23&gt;$EW$31,NOT($EX23="")),AND($FA23&gt;$EW$31,NOT($FA23="")),AND($FT23&gt;$FS$31,NOT($FT23="")),AND($FW23&gt;$FS$31,NOT($FW23="")),AND($GP23&gt;$GO$31,NOT($GP23="")),AND($GS23&gt;$GO$31,NOT($GS23="")),AND($HL23&gt;$HK$31,NOT($HL23="")),AND($HO23&gt;$HK$31,NOT($HO23="")),AND($IH23&gt;$IG$31,NOT($IH23="")),AND($IK23&gt;$IG$31,NOT($IK23="")),AND($JD23&gt;$JC$31,NOT($JD23="")),AND($JG23&gt;$JC$31,NOT($JG23="")),AND($JZ23&gt;$JY$31,NOT($JZ23="")),AND($KC23&gt;$JY$31,NOT($KC23="")),AND($KV23&gt;$KU$31,NOT($KV23="")),AND($KY23&gt;$KU$31,NOT($KY23="")),AND($LR23&gt;$LQ$31,NOT($LR23="")),AND($LU23&gt;$LQ$31,NOT($LU23="")))),"Merit",IF(AND(G23="P",OR(AND($AN23&gt;$AL$30,NOT($AN23=""),$AJ23=""),AND($BK23&gt;$BI$30,NOT($BK23=""),$BG23=""),AND($CK23&gt;$CI$30,NOT($CK23="")),AND($DG23&gt;$DE$30,NOT($DG23="")),AND($EC23&gt;$EA$30,NOT($EC23="")),AND($EY23&gt;$EW$30,NOT($EY23="")),AND($FU23&gt;$FS$30,NOT($FU23="")),AND($GQ23&gt;$GO$30,NOT($GQ23="")),AND($HM23&gt;$HK$30,NOT($HM23="")),AND($II23&gt;$IG$30,NOT($II23="")),AND($JE23&gt;$JC$30,NOT($JE23="")),AND($KA23&gt;$JY$30,NOT($KA23="")),AND($KW23&gt;$KU$30,NOT($KW23="")),AND($LS23&gt;$LQ$30,NOT($LS23="")))),"Excellence",IF(AND(G23="P",OR(AND($AN23&gt;$AL$29,NOT($AN23=""),$AJ23=""),AND($BK23&gt;$BI$29,NOT($BK23=""),$BG23=""),AND($CK23&gt;$CI$29,NOT($CK23="")),AND($DG23&gt;$DE$29,NOT($DG23="")),AND($EC23&gt;$EA$29,NOT($EC23="")),AND($EY23&gt;$EW$29,NOT($EY23="")),AND($FU23&gt;$FS$29,NOT($FU23="")),AND($GQ23&gt;$GO$29,NOT($GQ23="")),AND($HM23&gt;$HK$29,NOT($HM23="")),AND($II23&gt;$IG$29,NOT($II23="")),AND($JE23&gt;$JC$29,NOT($JE23="")),AND($KA23&gt;$JY$29,NOT($KA23="")),AND($KW23&gt;$KU$29,NOT($KW23="")),AND($LS23&gt;$LQ$29,NOT($LS23="")))),"Worlds Team",IF(AND(F23="P",OR(AND($AN23&gt;$AL$28,NOT($AN23=""),$AJ23=""),AND($BK23&gt;$BI$28,NOT($BK23=""),$BG23=""),AND($CK23&gt;$CI$28,NOT($CK23="")),AND($DG23&gt;$DE$28,NOT($DG23="")),AND($EC23&gt;$EA$28,NOT($EC23="")),AND($EY23&gt;$EW$28,NOT($EY23="")),AND($FU23&gt;$FS$28,NOT($FU23="")),AND($GQ23&gt;$GO$28,NOT($GQ23="")),AND($HM23&gt;$HK$28,NOT($HM23="")),AND($II23&gt;$IG$28,NOT($II23="")),AND($JE23&gt;$JC$28,NOT($JE23="")),AND($KA23&gt;$JY$28,NOT($KA23="")),AND($KW23&gt;$KU$28,NOT($KW23="")),AND($LS23&gt;$LQ$28,NOT($LS23="")))),"National Team","")))))</f>
        <v/>
      </c>
      <c r="J23" s="15">
        <f>IF(MAX(AN23,BK23)&gt;0,MAX(AN23,BK23),"")</f>
        <v>51.355000000000004</v>
      </c>
      <c r="K23" s="15" t="str">
        <f>IF(J23="","",IF(J23=BK23,$AR$1,IF(J23=AN23,$U$1,"")))</f>
        <v>2018 Nationals</v>
      </c>
      <c r="L23" s="15" t="str">
        <f>IF($J23=$AN23,BI23,IF($J23=$BK23,AL23,MAX(AL23,BI23)))</f>
        <v/>
      </c>
      <c r="M23" s="15" t="str">
        <f>IF(L23="","",IF(AND(L23=BI23,$K23&lt;&gt;$AR$1),$AR$1,IF(AND(L23=AL23,$K23&lt;&gt;$U$1),$U$1,"")))</f>
        <v/>
      </c>
      <c r="N23" s="15" t="str">
        <f>IF($J23=$AN23,BJ23,IF($J23=$BK23,AM23,MAX(AM23,BJ23)))</f>
        <v/>
      </c>
      <c r="O23" s="15" t="str">
        <f>IF(N23="","",IF(AND(N23=BJ23,$K23&lt;&gt;$AR$1),$AR$1,IF(AND(N23=AM23,$K23&lt;&gt;$U$1),$U$1,"")))</f>
        <v/>
      </c>
      <c r="P23" s="15" t="str">
        <f>IF(MAX(AP23,BM23)&gt;0,MAX(AP23,BM23),"")</f>
        <v/>
      </c>
      <c r="Q23" s="15" t="str">
        <f>IF(P23="","",IF(P23=BM23,$AR$1,IF(P23=AP23,$U$1,"")))</f>
        <v/>
      </c>
      <c r="R23" s="15" t="str">
        <f>IF(MAX(BO23,BP23,BQ23,BR23)&gt;0,MAX(BO23,BP23,BQ23,BR23),"")</f>
        <v/>
      </c>
      <c r="S23" s="25" t="str">
        <f>IF(R23="","",IF(R23=BO23,"(Vol 1)",IF(R23=BP23,"(Vol 2)",IF(R23=BQ23,"(Prelim)",IF(R23=BR23,"(Final)")))))</f>
        <v/>
      </c>
      <c r="T23" s="15" t="str">
        <f>IF(R23="","",IF(R23=BO23,IF(R23+IF(L23="",0,L23)=LQ23,$LA$1,IF(R23+IF(L23="",0,L23)=KU23,$KE$1,IF(R23+IF(L23="",0,L23)=JY23,$JI$1,IF(R23+IF(L23="",0,L23)=JC23,$IM$1,IF(R23+IF(L23="",0,L23)=IG23,$HQ$1,IF(R23+IF(L23="",0,L23)=HK23,$GU$1,IF(R23+IF(L23="",0,L23)=GO23,$FY$1,IF(R23+IF(L23="",0,L23)=FS23,$FC$1,IF(R23+IF(L23="",0,L23)=EW23,$EG$1,IF(R23+IF(L23="",0,L23)=EA23,$DK$1,IF(R23+IF(L23="",0,L23)=DE23,$CO$1,IF(R23+IF(L23="",0,L23)=CI23,$BS$1)))))))))))),IF(R23=BP23,IF(R23+IF(N23="",0,N23)=LR23,$LA$1,IF(R23+IF(N23="",0,N23)=KV23,$KE$1,IF(R23+IF(N23="",0,N23)=JZ23,$JI$1,IF(R23+IF(N23="",0,N23)=JD23,$IM$1,IF(R23+IF(N23="",0,N23)=IH23,$HQ$1,IF(R23+IF(N23="",0,N23)=HL23,$GU$1,IF(R23+IF(N23="",0,N23)=GP23,$FY$1,IF(R23+IF(N23="",0,N23)=FT23,$FC$1,IF(R23+IF(N23="",0,N23)=EX23,$EG$1,IF(R23+IF(N23="",0,N23)=EB23,$DK$1,IF(R23+IF(N23="",0,N23)=DF23,$CO$1,IF(R23+IF(N23="",0,N23)=CJ23,$BS$1)))))))))))),IF(R23=BQ23,IF(R23+IF(J23="",0,J23)=LS23,$LA$1,IF(R23+IF(J23="",0,J23)=KW23,$KE$1,IF(R23+IF(J23="",0,J23)=KA23,$JI$1,IF(R23+IF(J23="",0,J23)=JE23,$IM$1,IF(R23+IF(J23="",0,J23)=II23,$HQ$1,IF(R23+IF(J23="",0,J23)=HM23,$GU$1,IF(R23+IF(J23="",0,J23)=GQ23,$FY$1,IF(R23+IF(J23="",0,J23)=FU23,$FC$1,IF(R23+IF(J23="",0,J23)=EY23,$EG$1,IF(R23+IF(J23="",0,J23)=EC23,$DK$1,IF(R23+IF(J23="",0,J23)=DG23,$CO$1,IF(R23+IF(J23="",0,J23)=CK23,$BS$1)))))))))))),IF(R23=BR23,IF(R23+IF(P23="",0,P23)=LU23,$LA$1,IF(R23+IF(P23="",0,P23)=KY23,$KE$1,IF(R23+IF(P23="",0,P23)=KC23,$JI$1,IF(R23+IF(P23="",0,P23)=JG23,$IM$1,IF(R23+IF(P23="",0,P23)=IK23,$HQ$1,IF(R23+IF(P23="",0,P23)=HO23,$GU$1,IF(R23+IF(P23="",0,P23)=GS23,$FY$1,IF(R23+IF(P23="",0,P23)=FW23,$FC$1,IF(R23+IF(P23="",0,P23)=FA23,$EG$1,IF(R23+IF(P23="",0,P23)=EE23,$DK$1,IF(R23+IF(P23="",0,P23)=DI23,$CO$1,IF(R23+IF(P23="",0,P23)=CM23,$BS$1)))))))))))))))))</f>
        <v/>
      </c>
      <c r="U23" s="63">
        <v>15.7</v>
      </c>
      <c r="V23" s="63">
        <v>9</v>
      </c>
      <c r="W23" s="63">
        <v>5</v>
      </c>
      <c r="X23" s="63">
        <v>15.855</v>
      </c>
      <c r="Y23" s="63">
        <v>0</v>
      </c>
      <c r="Z23" s="63">
        <v>1.6</v>
      </c>
      <c r="AA23" s="63">
        <v>0.8</v>
      </c>
      <c r="AB23" s="63">
        <v>1.7</v>
      </c>
      <c r="AC23" s="63">
        <v>1.7</v>
      </c>
      <c r="AD23" s="63">
        <v>0</v>
      </c>
      <c r="AE23" s="63"/>
      <c r="AF23" s="63"/>
      <c r="AG23" s="63"/>
      <c r="AH23" s="63"/>
      <c r="AI23" s="63"/>
      <c r="AJ23" s="74"/>
      <c r="AK23" s="12">
        <f>IF(AB23&gt;0,AB23,"")</f>
        <v>1.7</v>
      </c>
      <c r="AL23" s="12">
        <f>IF(SUM(U23:X23)-Y23&gt;0,SUM(U23:X23)-Y23,"")</f>
        <v>45.555</v>
      </c>
      <c r="AM23" s="12">
        <f>IF(SUM(Z23:AC23)-AD23&gt;0,SUM(Z23:AC23)-AD23,"")</f>
        <v>5.8000000000000007</v>
      </c>
      <c r="AN23" s="12">
        <f>IF(SUM(AL23:AM23)&gt;0,SUM(AL23:AM23),"")</f>
        <v>51.355000000000004</v>
      </c>
      <c r="AO23" s="12" t="str">
        <f>IF(AG23&gt;0,AG23,"")</f>
        <v/>
      </c>
      <c r="AP23" s="12" t="str">
        <f>IF(SUM(AE23:AH23)-AI23&gt;0,SUM(AE23:AH23)-AI23,"")</f>
        <v/>
      </c>
      <c r="AQ23" s="12">
        <f>IF(SUM(AN23,AP23)&gt;0,SUM(AN23,AP23),"")</f>
        <v>51.355000000000004</v>
      </c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75"/>
      <c r="BH23" s="15" t="str">
        <f>IF(AY23&gt;0,AY23,"")</f>
        <v/>
      </c>
      <c r="BI23" s="15" t="str">
        <f>IF(SUM(AR23:AU23)-AV23&gt;0,SUM(AR23:AU23)-AV23,"")</f>
        <v/>
      </c>
      <c r="BJ23" s="15" t="str">
        <f>IF(SUM(AW23:AZ23)-BA23&gt;0,SUM(AW23:AZ23)-BA23,"")</f>
        <v/>
      </c>
      <c r="BK23" s="15" t="str">
        <f>IF(SUM(BI23:BJ23)&gt;0,SUM(BI23:BJ23),"")</f>
        <v/>
      </c>
      <c r="BL23" s="15" t="str">
        <f>IF(BD23&gt;0,BD23,"")</f>
        <v/>
      </c>
      <c r="BM23" s="15" t="str">
        <f>IF(SUM(BB23:BE23)-BF23&gt;0,SUM(BB23:BE23)-BF23,"")</f>
        <v/>
      </c>
      <c r="BN23" s="15" t="str">
        <f>IF(SUM(BK23,BM23)&gt;0,SUM(BK23,BM23),"")</f>
        <v/>
      </c>
      <c r="BO23" s="24" t="str">
        <f>IF(MAX(CI23,DE23,EA23,EW23,FS23,GO23,HK23,IG23,JC23,JY23,KU23,LQ23)-IF(L23="",0,L23)&gt;0.001,MAX(CI23,DE23,EA23,EW23,FS23,GO23,HK23,IG23,JC23,JY23,KU23,LQ23)-IF(L23="",0,L23),"")</f>
        <v/>
      </c>
      <c r="BP23" s="24" t="str">
        <f>IF(MAX(CJ23,DF23,EB23,EX23,FT23,GP23,HL23,IH23,JD23,JZ23,KV23,LR23)-IF(N23="",0,N23)&gt;0.001,MAX(CJ23,DF23,EB23,EX23,FT23,GP23,HL23,IH23,JD23,JZ23,KV23,LR23)-IF(N23="",0,N23),"")</f>
        <v/>
      </c>
      <c r="BQ23" s="24" t="str">
        <f>IF(MAX(CK23,DG23,EC23,EY23,FU23,GQ23,HM23,II23,JE23,KA23,KW23,LS23)-IF(J23="",0,J23)&gt;0.001,MAX(CK23,DG23,EC23,EY23,FU23,GQ23,HM23,II23,JE23,KA23,KW23,LS23)-IF(J23="",0,J23),"")</f>
        <v/>
      </c>
      <c r="BR23" s="24" t="str">
        <f>IF(MAX(CM23,DI23,EE23,FA23,FW23,GS23,HO23,IK23,JG23,KC23,KY23,LU23)-IF(P23="",0,P23)&gt;0.001,MAX(CM23,DI23,EE23,FA23,FW23,GS23,HO23,IK23,JG23,KC23,KY23,LU23)-IF(P23="",0,P23),"")</f>
        <v/>
      </c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12" t="str">
        <f>IF(BZ23&gt;0,BZ23,"")</f>
        <v/>
      </c>
      <c r="CI23" s="12" t="str">
        <f>IF(SUM(BS23:BV23)-BW23&gt;0,SUM(BS23:BV23)-BW23,"")</f>
        <v/>
      </c>
      <c r="CJ23" s="12" t="str">
        <f>IF(SUM(BX23:CA23)-CB23&gt;0,SUM(BX23:CA23)-CB23,"")</f>
        <v/>
      </c>
      <c r="CK23" s="12" t="str">
        <f>IF(SUM(CI23:CJ23)&gt;0,SUM(CI23:CJ23),"")</f>
        <v/>
      </c>
      <c r="CL23" s="12" t="str">
        <f>IF(CE23&gt;0,CE23,"")</f>
        <v/>
      </c>
      <c r="CM23" s="12" t="str">
        <f>IF(SUM(CC23:CF23)-CG23&gt;0,SUM(CC23:CF23)-CG23,"")</f>
        <v/>
      </c>
      <c r="CN23" s="12" t="str">
        <f>IF(SUM(CK23,CM23)&gt;0,SUM(CK23,CM23),"")</f>
        <v/>
      </c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15" t="str">
        <f>IF(CV23&gt;0,CV23,"")</f>
        <v/>
      </c>
      <c r="DE23" s="15" t="str">
        <f>IF(SUM(CO23:CR23)-CS23&gt;0,SUM(CO23:CR23)-CS23,"")</f>
        <v/>
      </c>
      <c r="DF23" s="15" t="str">
        <f>IF(SUM(CT23:CW23)-CX23&gt;0,SUM(CT23:CW23)-CX23,"")</f>
        <v/>
      </c>
      <c r="DG23" s="15" t="str">
        <f>IF(SUM(DE23:DF23)&gt;0,SUM(DE23:DF23),"")</f>
        <v/>
      </c>
      <c r="DH23" s="15" t="str">
        <f>IF(DA23&gt;0,DA23,"")</f>
        <v/>
      </c>
      <c r="DI23" s="15" t="str">
        <f>IF(SUM(CY23:DB23)-DC23&gt;0,SUM(CY23:DB23)-DC23,"")</f>
        <v/>
      </c>
      <c r="DJ23" s="15" t="str">
        <f>IF(SUM(DG23,DI23)&gt;0,SUM(DG23,DI23),"")</f>
        <v/>
      </c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12" t="str">
        <f>IF(DR23&gt;0,DR23,"")</f>
        <v/>
      </c>
      <c r="EA23" s="12" t="str">
        <f>IF(SUM(DK23:DN23)-DO23&gt;0,SUM(DK23:DN23)-DO23,"")</f>
        <v/>
      </c>
      <c r="EB23" s="12" t="str">
        <f>IF(SUM(DP23:DS23)-DT23&gt;0,SUM(DP23:DS23)-DT23,"")</f>
        <v/>
      </c>
      <c r="EC23" s="12" t="str">
        <f>IF(SUM(EA23:EB23)&gt;0,SUM(EA23:EB23),"")</f>
        <v/>
      </c>
      <c r="ED23" s="12" t="str">
        <f>IF(DW23&gt;0,DW23,"")</f>
        <v/>
      </c>
      <c r="EE23" s="12" t="str">
        <f>IF(SUM(DU23:DX23)-DY23&gt;0,SUM(DU23:DX23)-DY23,"")</f>
        <v/>
      </c>
      <c r="EF23" s="12" t="str">
        <f>IF(SUM(EC23,EE23)&gt;0,SUM(EC23,EE23),"")</f>
        <v/>
      </c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15" t="str">
        <f>IF(EN23&gt;0,EN23,"")</f>
        <v/>
      </c>
      <c r="EW23" s="15" t="str">
        <f>IF(SUM(EG23:EJ23)-EK23&gt;0,SUM(EG23:EJ23)-EK23,"")</f>
        <v/>
      </c>
      <c r="EX23" s="15" t="str">
        <f>IF(SUM(EL23:EO23)-EP23&gt;0,SUM(EL23:EO23)-EP23,"")</f>
        <v/>
      </c>
      <c r="EY23" s="15" t="str">
        <f>IF(SUM(EW23:EX23)&gt;0,SUM(EW23:EX23),"")</f>
        <v/>
      </c>
      <c r="EZ23" s="15" t="str">
        <f>IF(ES23&gt;0,ES23,"")</f>
        <v/>
      </c>
      <c r="FA23" s="15" t="str">
        <f>IF(SUM(EQ23:ET23)-EU23&gt;0,SUM(EQ23:ET23)-EU23,"")</f>
        <v/>
      </c>
      <c r="FB23" s="15" t="str">
        <f>IF(SUM(EY23,FA23)&gt;0,SUM(EY23,FA23),"")</f>
        <v/>
      </c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12" t="str">
        <f>IF(FJ23&gt;0,FJ23,"")</f>
        <v/>
      </c>
      <c r="FS23" s="12" t="str">
        <f>IF(SUM(FC23:FF23)-FG23&gt;0,SUM(FC23:FF23)-FG23,"")</f>
        <v/>
      </c>
      <c r="FT23" s="12" t="str">
        <f>IF(SUM(FH23:FK23)-FL23&gt;0,SUM(FH23:FK23)-FL23,"")</f>
        <v/>
      </c>
      <c r="FU23" s="12" t="str">
        <f>IF(SUM(FS23:FT23)&gt;0,SUM(FS23:FT23),"")</f>
        <v/>
      </c>
      <c r="FV23" s="12" t="str">
        <f>IF(FO23&gt;0,FO23,"")</f>
        <v/>
      </c>
      <c r="FW23" s="12" t="str">
        <f>IF(SUM(FM23:FP23)-FQ23&gt;0,SUM(FM23:FP23)-FQ23,"")</f>
        <v/>
      </c>
      <c r="FX23" s="12" t="str">
        <f>IF(SUM(FU23,FW23)&gt;0,SUM(FU23,FW23),"")</f>
        <v/>
      </c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15" t="str">
        <f>IF(GF23&gt;0,GF23,"")</f>
        <v/>
      </c>
      <c r="GO23" s="15" t="str">
        <f>IF(SUM(FY23:GB23)-GC23&gt;0,SUM(FY23:GB23)-GC23,"")</f>
        <v/>
      </c>
      <c r="GP23" s="15" t="str">
        <f>IF(SUM(GD23:GG23)-GH23&gt;0,SUM(GD23:GG23)-GH23,"")</f>
        <v/>
      </c>
      <c r="GQ23" s="15" t="str">
        <f>IF(SUM(GO23:GP23)&gt;0,SUM(GO23:GP23),"")</f>
        <v/>
      </c>
      <c r="GR23" s="15" t="str">
        <f>IF(GK23&gt;0,GK23,"")</f>
        <v/>
      </c>
      <c r="GS23" s="15" t="str">
        <f>IF(SUM(GI23:GL23)-GM23&gt;0,SUM(GI23:GL23)-GM23,"")</f>
        <v/>
      </c>
      <c r="GT23" s="15" t="str">
        <f>IF(SUM(GQ23,GS23)&gt;0,SUM(GQ23,GS23),"")</f>
        <v/>
      </c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12" t="str">
        <f>IF(HB23&gt;0,HB23,"")</f>
        <v/>
      </c>
      <c r="HK23" s="12" t="str">
        <f>IF(SUM(GU23:GX23)-GY23&gt;0,SUM(GU23:GX23)-GY23,"")</f>
        <v/>
      </c>
      <c r="HL23" s="12" t="str">
        <f>IF(SUM(GZ23:HC23)-HD23&gt;0,SUM(GZ23:HC23)-HD23,"")</f>
        <v/>
      </c>
      <c r="HM23" s="12" t="str">
        <f>IF(SUM(HK23:HL23)&gt;0,SUM(HK23:HL23),"")</f>
        <v/>
      </c>
      <c r="HN23" s="12" t="str">
        <f>IF(HG23&gt;0,HG23,"")</f>
        <v/>
      </c>
      <c r="HO23" s="12" t="str">
        <f>IF(SUM(HE23:HH23)-HI23&gt;0,SUM(HE23:HH23)-HI23,"")</f>
        <v/>
      </c>
      <c r="HP23" s="12" t="str">
        <f>IF(SUM(HM23,HO23)&gt;0,SUM(HM23,HO23),"")</f>
        <v/>
      </c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15" t="str">
        <f>IF(HX23&gt;0,HX23,"")</f>
        <v/>
      </c>
      <c r="IG23" s="15" t="str">
        <f>IF(SUM(HQ23:HT23)-HU23&gt;0,SUM(HQ23:HT23)-HU23,"")</f>
        <v/>
      </c>
      <c r="IH23" s="15" t="str">
        <f>IF(SUM(HV23:HY23)-HZ23&gt;0,SUM(HV23:HY23)-HZ23,"")</f>
        <v/>
      </c>
      <c r="II23" s="15" t="str">
        <f>IF(SUM(IG23:IH23)&gt;0,SUM(IG23:IH23),"")</f>
        <v/>
      </c>
      <c r="IJ23" s="15" t="str">
        <f>IF(IC23&gt;0,IC23,"")</f>
        <v/>
      </c>
      <c r="IK23" s="15" t="str">
        <f>IF(SUM(IA23:ID23)-IE23&gt;0,SUM(IA23:ID23)-IE23,"")</f>
        <v/>
      </c>
      <c r="IL23" s="15" t="str">
        <f>IF(SUM(II23,IK23)&gt;0,SUM(II23,IK23),"")</f>
        <v/>
      </c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12" t="str">
        <f>IF(IT23&gt;0,IT23,"")</f>
        <v/>
      </c>
      <c r="JC23" s="12" t="str">
        <f>IF(SUM(IM23:IP23)-IQ23&gt;0,SUM(IM23:IP23)-IQ23,"")</f>
        <v/>
      </c>
      <c r="JD23" s="12" t="str">
        <f>IF(SUM(IR23:IU23)-IV23&gt;0,SUM(IR23:IU23)-IV23,"")</f>
        <v/>
      </c>
      <c r="JE23" s="12" t="str">
        <f>IF(SUM(JC23:JD23)&gt;0,SUM(JC23:JD23),"")</f>
        <v/>
      </c>
      <c r="JF23" s="12" t="str">
        <f>IF(IY23&gt;0,IY23,"")</f>
        <v/>
      </c>
      <c r="JG23" s="12" t="str">
        <f>IF(SUM(IW23:IZ23)-JA23&gt;0,SUM(IW23:IZ23)-JA23,"")</f>
        <v/>
      </c>
      <c r="JH23" s="12" t="str">
        <f>IF(SUM(JE23,JG23)&gt;0,SUM(JE23,JG23),"")</f>
        <v/>
      </c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15" t="str">
        <f>IF(JP23&gt;0,JP23,"")</f>
        <v/>
      </c>
      <c r="JY23" s="15" t="str">
        <f>IF(SUM(JI23:JL23)-JM23&gt;0,SUM(JI23:JL23)-JM23,"")</f>
        <v/>
      </c>
      <c r="JZ23" s="15" t="str">
        <f>IF(SUM(JN23:JQ23)-JR23&gt;0,SUM(JN23:JQ23)-JR23,"")</f>
        <v/>
      </c>
      <c r="KA23" s="15" t="str">
        <f>IF(SUM(JY23:JZ23)&gt;0,SUM(JY23:JZ23),"")</f>
        <v/>
      </c>
      <c r="KB23" s="15" t="str">
        <f>IF(JU23&gt;0,JU23,"")</f>
        <v/>
      </c>
      <c r="KC23" s="15" t="str">
        <f>IF(SUM(JS23:JV23)-JW23&gt;0,SUM(JS23:JV23)-JW23,"")</f>
        <v/>
      </c>
      <c r="KD23" s="15" t="str">
        <f>IF(SUM(KA23,KC23)&gt;0,SUM(KA23,KC23),"")</f>
        <v/>
      </c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12" t="str">
        <f>IF(KL23&gt;0,KL23,"")</f>
        <v/>
      </c>
      <c r="KU23" s="12" t="str">
        <f>IF(SUM(KE23:KH23)-KI23&gt;0,SUM(KE23:KH23)-KI23,"")</f>
        <v/>
      </c>
      <c r="KV23" s="12" t="str">
        <f>IF(SUM(KJ23:KM23)-KN23&gt;0,SUM(KJ23:KM23)-KN23,"")</f>
        <v/>
      </c>
      <c r="KW23" s="12" t="str">
        <f>IF(SUM(KU23:KV23)&gt;0,SUM(KU23:KV23),"")</f>
        <v/>
      </c>
      <c r="KX23" s="12" t="str">
        <f>IF(KQ23&gt;0,KQ23,"")</f>
        <v/>
      </c>
      <c r="KY23" s="12" t="str">
        <f>IF(SUM(KO23:KR23)-KS23&gt;0,SUM(KO23:KR23)-KS23,"")</f>
        <v/>
      </c>
      <c r="KZ23" s="12" t="str">
        <f>IF(SUM(KW23,KY23)&gt;0,SUM(KW23,KY23),"")</f>
        <v/>
      </c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15" t="str">
        <f>IF(LH23&gt;0,LH23,"")</f>
        <v/>
      </c>
      <c r="LQ23" s="15" t="str">
        <f>IF(SUM(LA23:LD23)-LE23&gt;0,SUM(LA23:LD23)-LE23,"")</f>
        <v/>
      </c>
      <c r="LR23" s="15" t="str">
        <f>IF(SUM(LF23:LI23)-LJ23&gt;0,SUM(LF23:LI23)-LJ23,"")</f>
        <v/>
      </c>
      <c r="LS23" s="15" t="str">
        <f>IF(SUM(LQ23:LR23)&gt;0,SUM(LQ23:LR23),"")</f>
        <v/>
      </c>
      <c r="LT23" s="15" t="str">
        <f>IF(LM23&gt;0,LM23,"")</f>
        <v/>
      </c>
      <c r="LU23" s="15" t="str">
        <f>IF(SUM(LK23:LN23)-LO23&gt;0,SUM(LK23:LN23)-LO23,"")</f>
        <v/>
      </c>
      <c r="LV23" s="15" t="str">
        <f>IF(SUM(LS23,LU23)&gt;0,SUM(LS23,LU23),"")</f>
        <v/>
      </c>
      <c r="LW23" s="63">
        <f t="shared" si="7"/>
        <v>7.85</v>
      </c>
      <c r="LX23" s="63">
        <f t="shared" si="8"/>
        <v>4.5</v>
      </c>
      <c r="LY23" s="63">
        <f t="shared" si="9"/>
        <v>2.5</v>
      </c>
      <c r="LZ23" s="63">
        <f t="shared" si="10"/>
        <v>7.9275000000000002</v>
      </c>
      <c r="MA23" s="63">
        <f t="shared" si="11"/>
        <v>0</v>
      </c>
      <c r="MB23" s="63">
        <f t="shared" si="12"/>
        <v>0.8</v>
      </c>
      <c r="MC23" s="63">
        <f t="shared" si="13"/>
        <v>0.4</v>
      </c>
      <c r="MD23" s="63">
        <f t="shared" si="14"/>
        <v>0.85</v>
      </c>
      <c r="ME23" s="63">
        <f t="shared" si="15"/>
        <v>0.85</v>
      </c>
      <c r="MF23" s="63">
        <f t="shared" si="16"/>
        <v>0</v>
      </c>
      <c r="MG23" s="63">
        <f t="shared" si="17"/>
        <v>0</v>
      </c>
      <c r="MH23" s="63">
        <f t="shared" si="18"/>
        <v>0</v>
      </c>
      <c r="MI23" s="63">
        <f t="shared" si="19"/>
        <v>0</v>
      </c>
      <c r="MJ23" s="63">
        <f t="shared" si="20"/>
        <v>0</v>
      </c>
      <c r="MK23" s="63">
        <f t="shared" si="21"/>
        <v>0</v>
      </c>
      <c r="ML23" s="74" t="s">
        <v>116</v>
      </c>
      <c r="MM23" s="12">
        <f t="shared" ref="MM23" si="35">IF(MD23&gt;0,MD23,"")</f>
        <v>0.85</v>
      </c>
      <c r="MN23" s="12">
        <f t="shared" ref="MN23" si="36">IF(SUM(LW23:LZ23)-MA23&gt;0,SUM(LW23:LZ23)-MA23,"")</f>
        <v>22.7775</v>
      </c>
      <c r="MO23" s="12">
        <f t="shared" ref="MO23" si="37">IF(SUM(MB23:ME23)-MF23&gt;0,SUM(MB23:ME23)-MF23,"")</f>
        <v>2.9000000000000004</v>
      </c>
      <c r="MP23" s="12">
        <f t="shared" ref="MP23" si="38">IF(SUM(MN23:MO23)&gt;0,SUM(MN23:MO23),"")</f>
        <v>25.677500000000002</v>
      </c>
      <c r="MQ23" s="12" t="str">
        <f t="shared" si="26"/>
        <v/>
      </c>
      <c r="MR23" s="12" t="str">
        <f t="shared" ref="MR23" si="39">IF(SUM(MG23:MJ23)-MK23&gt;0,SUM(MG23:MJ23)-MK23,"")</f>
        <v/>
      </c>
      <c r="MS23" s="12">
        <f t="shared" ref="MS23" si="40">IF(SUM(MP23,MR23)&gt;0,SUM(MP23,MR23),"")</f>
        <v>25.677500000000002</v>
      </c>
    </row>
    <row r="24" spans="1:357" x14ac:dyDescent="0.2">
      <c r="B24" s="7"/>
      <c r="D24" s="1"/>
    </row>
    <row r="26" spans="1:357" x14ac:dyDescent="0.2">
      <c r="B26" s="64" t="s">
        <v>51</v>
      </c>
      <c r="C26" s="50"/>
      <c r="AL26" s="58">
        <v>13.5</v>
      </c>
      <c r="BH26" s="50"/>
      <c r="BI26" s="58">
        <v>13.5</v>
      </c>
      <c r="CH26" s="50"/>
      <c r="CI26" s="58">
        <v>13.5</v>
      </c>
      <c r="DD26" s="50"/>
      <c r="DE26" s="58">
        <v>13.5</v>
      </c>
      <c r="DZ26" s="50"/>
      <c r="EA26" s="58">
        <v>13.5</v>
      </c>
      <c r="EV26" s="50"/>
      <c r="EW26" s="58">
        <v>13.5</v>
      </c>
      <c r="FR26" s="50"/>
      <c r="FS26" s="58">
        <v>13.5</v>
      </c>
      <c r="GN26" s="50"/>
      <c r="GO26" s="58">
        <v>13.5</v>
      </c>
      <c r="HJ26" s="50"/>
      <c r="HK26" s="58">
        <v>13.5</v>
      </c>
      <c r="IF26" s="50"/>
      <c r="IG26" s="58">
        <v>13.5</v>
      </c>
      <c r="JB26" s="50"/>
      <c r="JC26" s="58">
        <v>13.5</v>
      </c>
      <c r="JX26" s="50"/>
      <c r="JY26" s="77">
        <v>13.5</v>
      </c>
      <c r="KT26" s="50"/>
      <c r="KU26" s="77">
        <v>13.5</v>
      </c>
      <c r="LP26" s="50"/>
      <c r="LQ26" s="77">
        <v>13.5</v>
      </c>
    </row>
    <row r="27" spans="1:357" x14ac:dyDescent="0.2">
      <c r="A27" s="50"/>
      <c r="B27" s="91" t="s">
        <v>73</v>
      </c>
      <c r="C27" s="50"/>
      <c r="AL27" s="93">
        <v>13.5</v>
      </c>
      <c r="AN27" s="48"/>
      <c r="AO27" s="48"/>
      <c r="AP27" s="48"/>
      <c r="BH27" s="50"/>
      <c r="BI27" s="93">
        <v>13.5</v>
      </c>
      <c r="BL27" s="48"/>
      <c r="CH27" s="50"/>
      <c r="CI27" s="93">
        <v>13.5</v>
      </c>
      <c r="CL27" s="48"/>
      <c r="DD27" s="50"/>
      <c r="DE27" s="93">
        <v>13.5</v>
      </c>
      <c r="DH27" s="48"/>
      <c r="DZ27" s="50"/>
      <c r="EA27" s="93">
        <v>13.5</v>
      </c>
      <c r="ED27" s="48"/>
      <c r="EV27" s="50"/>
      <c r="EW27" s="93">
        <v>13.5</v>
      </c>
      <c r="EZ27" s="48"/>
      <c r="FR27" s="50"/>
      <c r="FS27" s="93">
        <v>13.5</v>
      </c>
      <c r="FV27" s="48"/>
      <c r="GN27" s="50"/>
      <c r="GO27" s="93">
        <v>13.5</v>
      </c>
      <c r="GR27" s="48"/>
      <c r="HJ27" s="50"/>
      <c r="HK27" s="93">
        <v>13.5</v>
      </c>
      <c r="HN27" s="48"/>
      <c r="IF27" s="50"/>
      <c r="IG27" s="93">
        <v>13.5</v>
      </c>
      <c r="IJ27" s="48"/>
      <c r="JB27" s="50"/>
      <c r="JC27" s="93">
        <v>13.5</v>
      </c>
      <c r="JF27" s="48"/>
      <c r="JX27" s="50"/>
      <c r="JY27" s="94">
        <v>13.5</v>
      </c>
      <c r="KB27" s="48"/>
      <c r="KT27" s="50"/>
      <c r="KU27" s="94">
        <v>13.5</v>
      </c>
      <c r="KX27" s="48"/>
      <c r="LP27" s="50"/>
      <c r="LQ27" s="94">
        <v>13.5</v>
      </c>
      <c r="LT27" s="48"/>
    </row>
    <row r="28" spans="1:357" x14ac:dyDescent="0.2">
      <c r="A28" s="50"/>
      <c r="B28" s="65" t="s">
        <v>48</v>
      </c>
      <c r="C28" s="50"/>
      <c r="AL28" s="59">
        <v>98</v>
      </c>
      <c r="AN28" s="48"/>
      <c r="AO28" s="48"/>
      <c r="AP28" s="48"/>
      <c r="BH28" s="50"/>
      <c r="BI28" s="59">
        <v>98</v>
      </c>
      <c r="BL28" s="48"/>
      <c r="CH28" s="50"/>
      <c r="CI28" s="59">
        <v>98</v>
      </c>
      <c r="CL28" s="48"/>
      <c r="DD28" s="50"/>
      <c r="DE28" s="59">
        <v>98</v>
      </c>
      <c r="DH28" s="48"/>
      <c r="DZ28" s="50"/>
      <c r="EA28" s="59">
        <v>98</v>
      </c>
      <c r="ED28" s="48"/>
      <c r="EV28" s="50"/>
      <c r="EW28" s="59">
        <v>98</v>
      </c>
      <c r="EZ28" s="48"/>
      <c r="FR28" s="50"/>
      <c r="FS28" s="59">
        <v>98</v>
      </c>
      <c r="FV28" s="48"/>
      <c r="GN28" s="50"/>
      <c r="GO28" s="59">
        <v>98</v>
      </c>
      <c r="GR28" s="48"/>
      <c r="HJ28" s="50"/>
      <c r="HK28" s="59">
        <v>98</v>
      </c>
      <c r="HN28" s="48"/>
      <c r="IF28" s="50"/>
      <c r="IG28" s="59">
        <v>98</v>
      </c>
      <c r="IJ28" s="48"/>
      <c r="JB28" s="50"/>
      <c r="JC28" s="59">
        <v>98</v>
      </c>
      <c r="JF28" s="48"/>
      <c r="JX28" s="50"/>
      <c r="JY28" s="78">
        <v>98</v>
      </c>
      <c r="KB28" s="48"/>
      <c r="KT28" s="50"/>
      <c r="KU28" s="78">
        <v>98</v>
      </c>
      <c r="KX28" s="48"/>
      <c r="LP28" s="50"/>
      <c r="LQ28" s="78">
        <v>98</v>
      </c>
      <c r="LT28" s="48"/>
    </row>
    <row r="29" spans="1:357" hidden="1" x14ac:dyDescent="0.2">
      <c r="A29" s="50"/>
      <c r="B29" s="66" t="s">
        <v>49</v>
      </c>
      <c r="C29" s="50"/>
      <c r="AL29" s="60">
        <v>101.2</v>
      </c>
      <c r="AN29" s="48"/>
      <c r="AO29" s="48"/>
      <c r="AP29" s="48"/>
      <c r="BH29" s="50"/>
      <c r="BI29" s="60">
        <v>101.2</v>
      </c>
      <c r="BL29" s="48"/>
      <c r="CH29" s="50"/>
      <c r="CI29" s="60">
        <v>101.2</v>
      </c>
      <c r="CL29" s="48"/>
      <c r="DD29" s="50"/>
      <c r="DE29" s="60">
        <v>101.2</v>
      </c>
      <c r="DH29" s="48"/>
      <c r="DZ29" s="50"/>
      <c r="EA29" s="60">
        <v>101.2</v>
      </c>
      <c r="ED29" s="48"/>
      <c r="EV29" s="50"/>
      <c r="EW29" s="60">
        <v>101.2</v>
      </c>
      <c r="EZ29" s="48"/>
      <c r="FR29" s="50"/>
      <c r="FS29" s="60">
        <v>101.2</v>
      </c>
      <c r="FV29" s="48"/>
      <c r="GN29" s="50"/>
      <c r="GO29" s="60">
        <v>101.2</v>
      </c>
      <c r="GR29" s="48"/>
      <c r="HJ29" s="50"/>
      <c r="HK29" s="60">
        <v>101.2</v>
      </c>
      <c r="HN29" s="48"/>
      <c r="IF29" s="50"/>
      <c r="IG29" s="60">
        <v>101.2</v>
      </c>
      <c r="IJ29" s="48"/>
      <c r="JB29" s="50"/>
      <c r="JC29" s="60">
        <v>101.2</v>
      </c>
      <c r="JF29" s="48"/>
      <c r="JX29" s="50"/>
      <c r="JY29" s="60">
        <v>101.2</v>
      </c>
      <c r="KB29" s="48"/>
      <c r="KT29" s="50"/>
      <c r="KU29" s="60">
        <v>101.2</v>
      </c>
      <c r="KX29" s="48"/>
      <c r="LP29" s="50"/>
      <c r="LQ29" s="60">
        <v>101.2</v>
      </c>
      <c r="LT29" s="48"/>
    </row>
    <row r="30" spans="1:357" x14ac:dyDescent="0.2">
      <c r="A30" s="50"/>
      <c r="B30" s="67" t="s">
        <v>67</v>
      </c>
      <c r="C30" s="50"/>
      <c r="AL30" s="61">
        <v>101.2</v>
      </c>
      <c r="AN30" s="48"/>
      <c r="AO30" s="48"/>
      <c r="AP30" s="48"/>
      <c r="BH30" s="50"/>
      <c r="BI30" s="61">
        <v>101.2</v>
      </c>
      <c r="BL30" s="48"/>
      <c r="CH30" s="50"/>
      <c r="CI30" s="61">
        <v>101.2</v>
      </c>
      <c r="CL30" s="48"/>
      <c r="DD30" s="50"/>
      <c r="DE30" s="61">
        <v>101.2</v>
      </c>
      <c r="DH30" s="48"/>
      <c r="DZ30" s="50"/>
      <c r="EA30" s="61">
        <v>101.2</v>
      </c>
      <c r="ED30" s="48"/>
      <c r="EV30" s="50"/>
      <c r="EW30" s="61">
        <v>101.2</v>
      </c>
      <c r="EZ30" s="48"/>
      <c r="FR30" s="50"/>
      <c r="FS30" s="61">
        <v>101.2</v>
      </c>
      <c r="FV30" s="48"/>
      <c r="GN30" s="50"/>
      <c r="GO30" s="61">
        <v>101.2</v>
      </c>
      <c r="GR30" s="48"/>
      <c r="HJ30" s="50"/>
      <c r="HK30" s="61">
        <v>101.2</v>
      </c>
      <c r="HN30" s="48"/>
      <c r="IF30" s="50"/>
      <c r="IG30" s="61">
        <v>101.2</v>
      </c>
      <c r="IJ30" s="48"/>
      <c r="JB30" s="50"/>
      <c r="JC30" s="61">
        <v>101.2</v>
      </c>
      <c r="JF30" s="48"/>
      <c r="JX30" s="50"/>
      <c r="JY30" s="80">
        <v>101.2</v>
      </c>
      <c r="KB30" s="48"/>
      <c r="KT30" s="50"/>
      <c r="KU30" s="80">
        <v>101.2</v>
      </c>
      <c r="KX30" s="48"/>
      <c r="LP30" s="50"/>
      <c r="LQ30" s="80">
        <v>101.2</v>
      </c>
      <c r="LT30" s="48"/>
    </row>
    <row r="31" spans="1:357" x14ac:dyDescent="0.2">
      <c r="A31" s="50"/>
      <c r="B31" s="68" t="s">
        <v>35</v>
      </c>
      <c r="C31" s="50"/>
      <c r="AL31" s="62">
        <v>56</v>
      </c>
      <c r="AN31" s="48"/>
      <c r="AO31" s="48"/>
      <c r="AP31" s="48"/>
      <c r="BH31" s="50"/>
      <c r="BI31" s="62">
        <v>56.7</v>
      </c>
      <c r="BL31" s="48"/>
      <c r="CH31" s="50"/>
      <c r="CI31" s="62">
        <v>56</v>
      </c>
      <c r="CL31" s="48"/>
      <c r="DD31" s="50"/>
      <c r="DE31" s="62">
        <v>56.7</v>
      </c>
      <c r="DH31" s="48"/>
      <c r="DZ31" s="50"/>
      <c r="EA31" s="62">
        <v>56.7</v>
      </c>
      <c r="ED31" s="48"/>
      <c r="EV31" s="50"/>
      <c r="EW31" s="62">
        <v>56.7</v>
      </c>
      <c r="EZ31" s="48"/>
      <c r="FR31" s="50"/>
      <c r="FS31" s="62">
        <v>56.7</v>
      </c>
      <c r="FV31" s="48"/>
      <c r="GN31" s="50"/>
      <c r="GO31" s="62">
        <v>56.7</v>
      </c>
      <c r="GR31" s="48"/>
      <c r="HJ31" s="50"/>
      <c r="HK31" s="62">
        <v>56.7</v>
      </c>
      <c r="HN31" s="48"/>
      <c r="IF31" s="50"/>
      <c r="IG31" s="62">
        <v>56.7</v>
      </c>
      <c r="IJ31" s="48"/>
      <c r="JB31" s="50"/>
      <c r="JC31" s="62">
        <v>56.7</v>
      </c>
      <c r="JF31" s="48"/>
      <c r="JX31" s="50"/>
      <c r="JY31" s="81">
        <v>56.7</v>
      </c>
      <c r="KB31" s="48"/>
      <c r="KT31" s="50"/>
      <c r="KU31" s="81">
        <v>56.7</v>
      </c>
      <c r="KX31" s="48"/>
      <c r="LP31" s="50"/>
      <c r="LQ31" s="81">
        <v>56.7</v>
      </c>
      <c r="LT31" s="48"/>
    </row>
    <row r="32" spans="1:357" x14ac:dyDescent="0.2">
      <c r="B32" s="76" t="s">
        <v>55</v>
      </c>
      <c r="C32" s="3"/>
      <c r="AM32" s="48"/>
      <c r="AN32" s="48"/>
      <c r="AO32" s="48"/>
      <c r="AP32" s="48"/>
      <c r="BL32" s="48"/>
      <c r="CL32" s="48"/>
      <c r="DE32" s="48"/>
      <c r="DH32" s="48"/>
      <c r="ED32" s="48"/>
      <c r="EZ32" s="48"/>
      <c r="FV32" s="48"/>
      <c r="GR32" s="48"/>
      <c r="HN32" s="48"/>
      <c r="IJ32" s="48"/>
      <c r="JF32" s="48"/>
      <c r="KB32" s="48"/>
      <c r="KX32" s="48"/>
      <c r="LT32" s="48"/>
    </row>
    <row r="33" spans="1:42" x14ac:dyDescent="0.2">
      <c r="A33" s="50"/>
      <c r="B33" s="50"/>
      <c r="C33" s="49"/>
      <c r="AL33" s="48"/>
      <c r="AM33" s="48"/>
      <c r="AN33" s="48"/>
      <c r="AP33" s="48"/>
    </row>
    <row r="34" spans="1:42" ht="17" x14ac:dyDescent="0.2">
      <c r="A34" s="50"/>
      <c r="B34" s="50"/>
      <c r="C34" s="49"/>
      <c r="R34" s="19"/>
      <c r="S34" s="19"/>
      <c r="AL34" s="48"/>
      <c r="AM34" s="48"/>
      <c r="AN34" s="48"/>
      <c r="AP34" s="48"/>
    </row>
    <row r="35" spans="1:42" ht="17" x14ac:dyDescent="0.2">
      <c r="A35" s="50"/>
      <c r="B35" s="50"/>
      <c r="C35" s="49"/>
      <c r="R35" s="19"/>
      <c r="AL35" s="48"/>
      <c r="AM35" s="48"/>
      <c r="AN35" s="48"/>
      <c r="AP35" s="48"/>
    </row>
    <row r="36" spans="1:42" ht="17" x14ac:dyDescent="0.2">
      <c r="R36" s="19"/>
      <c r="S36" s="19"/>
      <c r="AL36" s="48"/>
      <c r="AM36" s="48"/>
      <c r="AN36" s="48"/>
      <c r="AP36" s="48"/>
    </row>
    <row r="37" spans="1:42" ht="17" x14ac:dyDescent="0.2">
      <c r="R37" s="19"/>
      <c r="S37" s="19"/>
      <c r="AL37" s="48"/>
      <c r="AM37" s="48"/>
      <c r="AN37" s="48"/>
      <c r="AP37" s="48"/>
    </row>
    <row r="38" spans="1:42" ht="17" x14ac:dyDescent="0.2">
      <c r="R38" s="19"/>
      <c r="S38" s="19"/>
      <c r="AL38" s="48"/>
      <c r="AM38" s="48"/>
      <c r="AN38" s="48"/>
      <c r="AP38" s="48"/>
    </row>
    <row r="39" spans="1:42" ht="17" x14ac:dyDescent="0.2">
      <c r="R39" s="19"/>
      <c r="S39" s="19"/>
      <c r="T39" s="19"/>
    </row>
    <row r="40" spans="1:42" ht="17" x14ac:dyDescent="0.2">
      <c r="R40" s="19"/>
      <c r="S40" s="19"/>
      <c r="T40" s="19"/>
    </row>
    <row r="41" spans="1:42" ht="17" x14ac:dyDescent="0.2">
      <c r="R41" s="19"/>
      <c r="S41" s="19"/>
      <c r="T41" s="19"/>
    </row>
    <row r="42" spans="1:42" ht="17" x14ac:dyDescent="0.2">
      <c r="R42" s="19"/>
      <c r="S42" s="19"/>
      <c r="T42" s="19"/>
    </row>
    <row r="43" spans="1:42" ht="17" x14ac:dyDescent="0.2">
      <c r="R43" s="19"/>
      <c r="S43" s="19"/>
      <c r="T43" s="19"/>
    </row>
    <row r="44" spans="1:42" ht="17" x14ac:dyDescent="0.2">
      <c r="R44" s="19"/>
      <c r="S44" s="19"/>
      <c r="T44" s="19"/>
    </row>
    <row r="45" spans="1:42" ht="17" x14ac:dyDescent="0.2">
      <c r="R45" s="19"/>
      <c r="S45" s="19"/>
      <c r="T45" s="19"/>
    </row>
    <row r="46" spans="1:42" ht="17" x14ac:dyDescent="0.2">
      <c r="R46" s="19"/>
      <c r="S46" s="19"/>
      <c r="T46" s="19"/>
    </row>
    <row r="47" spans="1:42" ht="17" x14ac:dyDescent="0.2">
      <c r="R47" s="19"/>
      <c r="S47" s="19"/>
      <c r="T47" s="19"/>
    </row>
    <row r="48" spans="1:42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  <row r="52" spans="18:20" ht="17" x14ac:dyDescent="0.2">
      <c r="R52" s="19"/>
      <c r="S52" s="19"/>
      <c r="T52" s="19"/>
    </row>
    <row r="53" spans="18:20" ht="17" x14ac:dyDescent="0.2">
      <c r="R53" s="19"/>
      <c r="S53" s="19"/>
      <c r="T53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3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</mergeCells>
  <conditionalFormatting sqref="A1:A1048576">
    <cfRule type="expression" dxfId="156" priority="276">
      <formula>AND(H1="P",F1="")</formula>
    </cfRule>
  </conditionalFormatting>
  <conditionalFormatting sqref="I1:I1048576">
    <cfRule type="containsText" dxfId="155" priority="17" operator="containsText" text="No DD">
      <formula>NOT(ISERROR(SEARCH("No DD",I1)))</formula>
    </cfRule>
    <cfRule type="containsText" dxfId="154" priority="277" operator="containsText" text="Merit">
      <formula>NOT(ISERROR(SEARCH("Merit",I1)))</formula>
    </cfRule>
    <cfRule type="containsText" dxfId="153" priority="278" operator="containsText" text="Excellence">
      <formula>NOT(ISERROR(SEARCH("Excellence",I1)))</formula>
    </cfRule>
    <cfRule type="containsText" dxfId="152" priority="279" operator="containsText" text="Worlds Team">
      <formula>NOT(ISERROR(SEARCH("Worlds Team",I1)))</formula>
    </cfRule>
    <cfRule type="containsText" dxfId="151" priority="827" operator="containsText" text="National Team">
      <formula>NOT(ISERROR(SEARCH("National Team",I1)))</formula>
    </cfRule>
  </conditionalFormatting>
  <conditionalFormatting sqref="U4:AQ23">
    <cfRule type="expression" dxfId="150" priority="39">
      <formula>IF($AJ4&lt;&gt;"",1,0)</formula>
    </cfRule>
  </conditionalFormatting>
  <conditionalFormatting sqref="AR4:BN23">
    <cfRule type="expression" dxfId="149" priority="38">
      <formula>IF($BG4&lt;&gt;"",1,0)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8" priority="5649" operator="between">
      <formula>CI$31</formula>
      <formula>1000</formula>
    </cfRule>
  </conditionalFormatting>
  <conditionalFormatting sqref="LU1:LU1048576">
    <cfRule type="cellIs" dxfId="147" priority="5685" operator="between">
      <formula>LQ$31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6" priority="5721" operator="between">
      <formula>CI$30</formula>
      <formula>1000</formula>
    </cfRule>
    <cfRule type="cellIs" dxfId="145" priority="5722" operator="between">
      <formula>CI$29</formula>
      <formula>CI$30</formula>
    </cfRule>
    <cfRule type="cellIs" dxfId="144" priority="5723" operator="between">
      <formula>CI$28</formula>
      <formula>CI$29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43" priority="18">
      <formula>IF(AND(CH1&gt;=CI$26,CH1&lt;CI$27),1,0)</formula>
    </cfRule>
    <cfRule type="expression" dxfId="142" priority="19">
      <formula>IF(AND(CH1&gt;=CI$27,CH1&lt;100),1,0)</formula>
    </cfRule>
  </conditionalFormatting>
  <conditionalFormatting sqref="Q1:Q1048576 O1:O1048576 M1:M1048576 K1:K1048576">
    <cfRule type="expression" dxfId="141" priority="8402">
      <formula>IF(K1=$AR$1,1,0)</formula>
    </cfRule>
    <cfRule type="expression" dxfId="140" priority="8403">
      <formula>IF(K1=$U$1,1,0)</formula>
    </cfRule>
  </conditionalFormatting>
  <conditionalFormatting sqref="AK1:AK1048576 BH1:BH1048576">
    <cfRule type="expression" dxfId="139" priority="12437">
      <formula>IF(AND(AK1&gt;=AL$27,AK1&lt;100,AJ1=""),1,0)</formula>
    </cfRule>
    <cfRule type="expression" dxfId="138" priority="12438">
      <formula>IF(AND(AK1&gt;=AL$26,AK1&lt;AL$27,AJ1=""),1,0)</formula>
    </cfRule>
  </conditionalFormatting>
  <conditionalFormatting sqref="AN1:AN1048576 BK1:BK1048576">
    <cfRule type="expression" dxfId="137" priority="12445">
      <formula>IF(AND(AN1&gt;=AL$30,AN1&lt;1000,AJ1=""),1,0)</formula>
    </cfRule>
    <cfRule type="expression" dxfId="136" priority="12446">
      <formula>IF(AND(AN1&gt;=AL$29,AN1&lt;AL$30,AJ1=""),1,0)</formula>
    </cfRule>
    <cfRule type="expression" dxfId="135" priority="12447">
      <formula>IF(AND(AN1&gt;=AL$28,AN1&lt;AL$29,AJ1=""),1,0)</formula>
    </cfRule>
  </conditionalFormatting>
  <conditionalFormatting sqref="BJ1:BJ1048576 AM1:AM1048576">
    <cfRule type="expression" dxfId="134" priority="12457">
      <formula>IF(AND(AM1&gt;=AL$31,AM1&lt;1000,AJ1=""),1,0)</formula>
    </cfRule>
  </conditionalFormatting>
  <conditionalFormatting sqref="BM1:BM1048576">
    <cfRule type="expression" dxfId="133" priority="12461">
      <formula>IF(AND(BM1&gt;=BI$31,BM1&lt;1000,BG1=""),1,0)</formula>
    </cfRule>
  </conditionalFormatting>
  <conditionalFormatting sqref="AP1:AP1048576">
    <cfRule type="expression" dxfId="132" priority="14536">
      <formula>IF(AND(AP1&gt;=AL$31,AP1&lt;1000,AJ1=""),1,0)</formula>
    </cfRule>
  </conditionalFormatting>
  <conditionalFormatting sqref="CM1:CM1048576 DI1:DI1048576 EE1:EE1048576 FW1:FW1048576 HO1:HO1048576 JG1:JG1048576 KY1:KY1048576 FA1:FA1048576 GS1:GS1048576 IK1:IK1048576 KC1:KC1048576">
    <cfRule type="cellIs" dxfId="131" priority="14537" operator="between">
      <formula>CI$31</formula>
      <formula>1000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30" priority="3">
      <formula>IF(AND(CL1&gt;=CI$27,CL1&lt;100),1,0)</formula>
    </cfRule>
    <cfRule type="expression" dxfId="129" priority="4">
      <formula>IF(AND(CL1&gt;=CI$26,CL1&lt;CI$27),1,0)</formula>
    </cfRule>
  </conditionalFormatting>
  <conditionalFormatting sqref="BL1:BL1048576 AO1:AO1048576">
    <cfRule type="expression" dxfId="128" priority="1">
      <formula>IF(AND(AO1&gt;=AL$27,AO1&lt;100,AJ1=""),1,0)</formula>
    </cfRule>
    <cfRule type="expression" dxfId="127" priority="2">
      <formula>IF(AND(AO1&gt;=AL$26,AO1&lt;AL$27,AJ1=""),1,0)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3" t="s">
        <v>51</v>
      </c>
      <c r="G1" s="113" t="s">
        <v>50</v>
      </c>
      <c r="H1" s="112" t="s">
        <v>8</v>
      </c>
      <c r="I1" s="112" t="s">
        <v>9</v>
      </c>
      <c r="J1" s="114" t="s">
        <v>10</v>
      </c>
      <c r="K1" s="114" t="s">
        <v>33</v>
      </c>
      <c r="L1" s="114" t="s">
        <v>11</v>
      </c>
      <c r="M1" s="114" t="s">
        <v>33</v>
      </c>
      <c r="N1" s="114" t="s">
        <v>12</v>
      </c>
      <c r="O1" s="114" t="s">
        <v>33</v>
      </c>
      <c r="P1" s="114" t="s">
        <v>13</v>
      </c>
      <c r="Q1" s="114" t="s">
        <v>33</v>
      </c>
      <c r="R1" s="116" t="s">
        <v>14</v>
      </c>
      <c r="S1" s="114" t="s">
        <v>34</v>
      </c>
      <c r="T1" s="114" t="s">
        <v>33</v>
      </c>
      <c r="U1" s="115" t="s">
        <v>53</v>
      </c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7" t="s">
        <v>119</v>
      </c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8" t="s">
        <v>14</v>
      </c>
      <c r="BP1" s="118"/>
      <c r="BQ1" s="118"/>
      <c r="BR1" s="118"/>
      <c r="BS1" s="115" t="s">
        <v>62</v>
      </c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7"/>
      <c r="LB1" s="117"/>
      <c r="LC1" s="117"/>
      <c r="LD1" s="117"/>
      <c r="LE1" s="117"/>
      <c r="LF1" s="117"/>
      <c r="LG1" s="117"/>
      <c r="LH1" s="117"/>
      <c r="LI1" s="117"/>
      <c r="LJ1" s="117"/>
      <c r="LK1" s="117"/>
      <c r="LL1" s="117"/>
      <c r="LM1" s="117"/>
      <c r="LN1" s="117"/>
      <c r="LO1" s="117"/>
      <c r="LP1" s="117"/>
      <c r="LQ1" s="117"/>
      <c r="LR1" s="117"/>
      <c r="LS1" s="117"/>
      <c r="LT1" s="117"/>
      <c r="LU1" s="117"/>
      <c r="LV1" s="117"/>
      <c r="LW1" s="115" t="s">
        <v>117</v>
      </c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</row>
    <row r="2" spans="1:357" x14ac:dyDescent="0.2">
      <c r="A2" s="112"/>
      <c r="B2" s="112"/>
      <c r="C2" s="112"/>
      <c r="D2" s="112"/>
      <c r="E2" s="112"/>
      <c r="F2" s="113"/>
      <c r="G2" s="113"/>
      <c r="H2" s="112"/>
      <c r="I2" s="112"/>
      <c r="J2" s="114"/>
      <c r="K2" s="114"/>
      <c r="L2" s="114"/>
      <c r="M2" s="114"/>
      <c r="N2" s="114"/>
      <c r="O2" s="114"/>
      <c r="P2" s="114"/>
      <c r="Q2" s="114"/>
      <c r="R2" s="116"/>
      <c r="S2" s="114"/>
      <c r="T2" s="114"/>
      <c r="U2" s="110" t="s">
        <v>19</v>
      </c>
      <c r="V2" s="110"/>
      <c r="W2" s="110"/>
      <c r="X2" s="110"/>
      <c r="Y2" s="110"/>
      <c r="Z2" s="110" t="s">
        <v>20</v>
      </c>
      <c r="AA2" s="110"/>
      <c r="AB2" s="110"/>
      <c r="AC2" s="110"/>
      <c r="AD2" s="110"/>
      <c r="AE2" s="110" t="s">
        <v>23</v>
      </c>
      <c r="AF2" s="110"/>
      <c r="AG2" s="110"/>
      <c r="AH2" s="110"/>
      <c r="AI2" s="110"/>
      <c r="AJ2" s="72"/>
      <c r="AK2" s="52" t="s">
        <v>63</v>
      </c>
      <c r="AL2" s="10" t="s">
        <v>21</v>
      </c>
      <c r="AM2" s="10" t="s">
        <v>22</v>
      </c>
      <c r="AN2" s="10" t="s">
        <v>24</v>
      </c>
      <c r="AO2" s="10" t="s">
        <v>128</v>
      </c>
      <c r="AP2" s="10" t="s">
        <v>23</v>
      </c>
      <c r="AQ2" s="10" t="s">
        <v>18</v>
      </c>
      <c r="AR2" s="111" t="s">
        <v>19</v>
      </c>
      <c r="AS2" s="111"/>
      <c r="AT2" s="111"/>
      <c r="AU2" s="111"/>
      <c r="AV2" s="111"/>
      <c r="AW2" s="111" t="s">
        <v>20</v>
      </c>
      <c r="AX2" s="111"/>
      <c r="AY2" s="111"/>
      <c r="AZ2" s="111"/>
      <c r="BA2" s="111"/>
      <c r="BB2" s="111" t="s">
        <v>23</v>
      </c>
      <c r="BC2" s="111"/>
      <c r="BD2" s="111"/>
      <c r="BE2" s="111"/>
      <c r="BF2" s="111"/>
      <c r="BG2" s="73"/>
      <c r="BH2" s="51" t="s">
        <v>63</v>
      </c>
      <c r="BI2" s="13" t="s">
        <v>21</v>
      </c>
      <c r="BJ2" s="13" t="s">
        <v>22</v>
      </c>
      <c r="BK2" s="13" t="s">
        <v>24</v>
      </c>
      <c r="BL2" s="13" t="s">
        <v>128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0" t="s">
        <v>19</v>
      </c>
      <c r="BT2" s="110"/>
      <c r="BU2" s="110"/>
      <c r="BV2" s="110"/>
      <c r="BW2" s="110"/>
      <c r="BX2" s="110" t="s">
        <v>20</v>
      </c>
      <c r="BY2" s="110"/>
      <c r="BZ2" s="110"/>
      <c r="CA2" s="110"/>
      <c r="CB2" s="110"/>
      <c r="CC2" s="110" t="s">
        <v>23</v>
      </c>
      <c r="CD2" s="110"/>
      <c r="CE2" s="110"/>
      <c r="CF2" s="110"/>
      <c r="CG2" s="110"/>
      <c r="CH2" s="52" t="s">
        <v>63</v>
      </c>
      <c r="CI2" s="10" t="s">
        <v>21</v>
      </c>
      <c r="CJ2" s="10" t="s">
        <v>22</v>
      </c>
      <c r="CK2" s="10" t="s">
        <v>24</v>
      </c>
      <c r="CL2" s="10" t="s">
        <v>128</v>
      </c>
      <c r="CM2" s="10" t="s">
        <v>23</v>
      </c>
      <c r="CN2" s="10" t="s">
        <v>18</v>
      </c>
      <c r="CO2" s="111" t="s">
        <v>19</v>
      </c>
      <c r="CP2" s="111"/>
      <c r="CQ2" s="111"/>
      <c r="CR2" s="111"/>
      <c r="CS2" s="111"/>
      <c r="CT2" s="111" t="s">
        <v>20</v>
      </c>
      <c r="CU2" s="111"/>
      <c r="CV2" s="111"/>
      <c r="CW2" s="111"/>
      <c r="CX2" s="111"/>
      <c r="CY2" s="111" t="s">
        <v>23</v>
      </c>
      <c r="CZ2" s="111"/>
      <c r="DA2" s="111"/>
      <c r="DB2" s="111"/>
      <c r="DC2" s="111"/>
      <c r="DD2" s="51" t="s">
        <v>63</v>
      </c>
      <c r="DE2" s="13" t="s">
        <v>21</v>
      </c>
      <c r="DF2" s="13" t="s">
        <v>22</v>
      </c>
      <c r="DG2" s="13" t="s">
        <v>24</v>
      </c>
      <c r="DH2" s="13" t="s">
        <v>128</v>
      </c>
      <c r="DI2" s="13" t="s">
        <v>23</v>
      </c>
      <c r="DJ2" s="13" t="s">
        <v>18</v>
      </c>
      <c r="DK2" s="110" t="s">
        <v>19</v>
      </c>
      <c r="DL2" s="110"/>
      <c r="DM2" s="110"/>
      <c r="DN2" s="110"/>
      <c r="DO2" s="110"/>
      <c r="DP2" s="110" t="s">
        <v>20</v>
      </c>
      <c r="DQ2" s="110"/>
      <c r="DR2" s="110"/>
      <c r="DS2" s="110"/>
      <c r="DT2" s="110"/>
      <c r="DU2" s="110" t="s">
        <v>23</v>
      </c>
      <c r="DV2" s="110"/>
      <c r="DW2" s="110"/>
      <c r="DX2" s="110"/>
      <c r="DY2" s="110"/>
      <c r="DZ2" s="52" t="s">
        <v>63</v>
      </c>
      <c r="EA2" s="10" t="s">
        <v>21</v>
      </c>
      <c r="EB2" s="10" t="s">
        <v>22</v>
      </c>
      <c r="EC2" s="10" t="s">
        <v>24</v>
      </c>
      <c r="ED2" s="10" t="s">
        <v>128</v>
      </c>
      <c r="EE2" s="10" t="s">
        <v>23</v>
      </c>
      <c r="EF2" s="10" t="s">
        <v>18</v>
      </c>
      <c r="EG2" s="111" t="s">
        <v>19</v>
      </c>
      <c r="EH2" s="111"/>
      <c r="EI2" s="111"/>
      <c r="EJ2" s="111"/>
      <c r="EK2" s="111"/>
      <c r="EL2" s="111" t="s">
        <v>20</v>
      </c>
      <c r="EM2" s="111"/>
      <c r="EN2" s="111"/>
      <c r="EO2" s="111"/>
      <c r="EP2" s="111"/>
      <c r="EQ2" s="111" t="s">
        <v>23</v>
      </c>
      <c r="ER2" s="111"/>
      <c r="ES2" s="111"/>
      <c r="ET2" s="111"/>
      <c r="EU2" s="111"/>
      <c r="EV2" s="51" t="s">
        <v>63</v>
      </c>
      <c r="EW2" s="13" t="s">
        <v>21</v>
      </c>
      <c r="EX2" s="13" t="s">
        <v>22</v>
      </c>
      <c r="EY2" s="13" t="s">
        <v>24</v>
      </c>
      <c r="EZ2" s="13" t="s">
        <v>128</v>
      </c>
      <c r="FA2" s="13" t="s">
        <v>23</v>
      </c>
      <c r="FB2" s="13" t="s">
        <v>18</v>
      </c>
      <c r="FC2" s="110" t="s">
        <v>19</v>
      </c>
      <c r="FD2" s="110"/>
      <c r="FE2" s="110"/>
      <c r="FF2" s="110"/>
      <c r="FG2" s="110"/>
      <c r="FH2" s="110" t="s">
        <v>20</v>
      </c>
      <c r="FI2" s="110"/>
      <c r="FJ2" s="110"/>
      <c r="FK2" s="110"/>
      <c r="FL2" s="110"/>
      <c r="FM2" s="110" t="s">
        <v>23</v>
      </c>
      <c r="FN2" s="110"/>
      <c r="FO2" s="110"/>
      <c r="FP2" s="110"/>
      <c r="FQ2" s="110"/>
      <c r="FR2" s="52" t="s">
        <v>63</v>
      </c>
      <c r="FS2" s="10" t="s">
        <v>21</v>
      </c>
      <c r="FT2" s="10" t="s">
        <v>22</v>
      </c>
      <c r="FU2" s="10" t="s">
        <v>24</v>
      </c>
      <c r="FV2" s="10" t="s">
        <v>128</v>
      </c>
      <c r="FW2" s="10" t="s">
        <v>23</v>
      </c>
      <c r="FX2" s="10" t="s">
        <v>18</v>
      </c>
      <c r="FY2" s="111" t="s">
        <v>19</v>
      </c>
      <c r="FZ2" s="111"/>
      <c r="GA2" s="111"/>
      <c r="GB2" s="111"/>
      <c r="GC2" s="111"/>
      <c r="GD2" s="111" t="s">
        <v>20</v>
      </c>
      <c r="GE2" s="111"/>
      <c r="GF2" s="111"/>
      <c r="GG2" s="111"/>
      <c r="GH2" s="111"/>
      <c r="GI2" s="111" t="s">
        <v>23</v>
      </c>
      <c r="GJ2" s="111"/>
      <c r="GK2" s="111"/>
      <c r="GL2" s="111"/>
      <c r="GM2" s="111"/>
      <c r="GN2" s="51" t="s">
        <v>63</v>
      </c>
      <c r="GO2" s="13" t="s">
        <v>21</v>
      </c>
      <c r="GP2" s="13" t="s">
        <v>22</v>
      </c>
      <c r="GQ2" s="13" t="s">
        <v>24</v>
      </c>
      <c r="GR2" s="13" t="s">
        <v>128</v>
      </c>
      <c r="GS2" s="13" t="s">
        <v>23</v>
      </c>
      <c r="GT2" s="13" t="s">
        <v>18</v>
      </c>
      <c r="GU2" s="110" t="s">
        <v>19</v>
      </c>
      <c r="GV2" s="110"/>
      <c r="GW2" s="110"/>
      <c r="GX2" s="110"/>
      <c r="GY2" s="110"/>
      <c r="GZ2" s="110" t="s">
        <v>20</v>
      </c>
      <c r="HA2" s="110"/>
      <c r="HB2" s="110"/>
      <c r="HC2" s="110"/>
      <c r="HD2" s="110"/>
      <c r="HE2" s="110" t="s">
        <v>23</v>
      </c>
      <c r="HF2" s="110"/>
      <c r="HG2" s="110"/>
      <c r="HH2" s="110"/>
      <c r="HI2" s="110"/>
      <c r="HJ2" s="21" t="s">
        <v>63</v>
      </c>
      <c r="HK2" s="10" t="s">
        <v>21</v>
      </c>
      <c r="HL2" s="10" t="s">
        <v>22</v>
      </c>
      <c r="HM2" s="10" t="s">
        <v>24</v>
      </c>
      <c r="HN2" s="10" t="s">
        <v>128</v>
      </c>
      <c r="HO2" s="10" t="s">
        <v>23</v>
      </c>
      <c r="HP2" s="10" t="s">
        <v>18</v>
      </c>
      <c r="HQ2" s="111" t="s">
        <v>19</v>
      </c>
      <c r="HR2" s="111"/>
      <c r="HS2" s="111"/>
      <c r="HT2" s="111"/>
      <c r="HU2" s="111"/>
      <c r="HV2" s="111" t="s">
        <v>20</v>
      </c>
      <c r="HW2" s="111"/>
      <c r="HX2" s="111"/>
      <c r="HY2" s="111"/>
      <c r="HZ2" s="111"/>
      <c r="IA2" s="111" t="s">
        <v>23</v>
      </c>
      <c r="IB2" s="111"/>
      <c r="IC2" s="111"/>
      <c r="ID2" s="111"/>
      <c r="IE2" s="111"/>
      <c r="IF2" s="51" t="s">
        <v>63</v>
      </c>
      <c r="IG2" s="13" t="s">
        <v>21</v>
      </c>
      <c r="IH2" s="13" t="s">
        <v>22</v>
      </c>
      <c r="II2" s="13" t="s">
        <v>24</v>
      </c>
      <c r="IJ2" s="13" t="s">
        <v>128</v>
      </c>
      <c r="IK2" s="13" t="s">
        <v>23</v>
      </c>
      <c r="IL2" s="13" t="s">
        <v>18</v>
      </c>
      <c r="IM2" s="110" t="s">
        <v>19</v>
      </c>
      <c r="IN2" s="110"/>
      <c r="IO2" s="110"/>
      <c r="IP2" s="110"/>
      <c r="IQ2" s="110"/>
      <c r="IR2" s="110" t="s">
        <v>20</v>
      </c>
      <c r="IS2" s="110"/>
      <c r="IT2" s="110"/>
      <c r="IU2" s="110"/>
      <c r="IV2" s="110"/>
      <c r="IW2" s="110" t="s">
        <v>23</v>
      </c>
      <c r="IX2" s="110"/>
      <c r="IY2" s="110"/>
      <c r="IZ2" s="110"/>
      <c r="JA2" s="110"/>
      <c r="JB2" s="21" t="s">
        <v>63</v>
      </c>
      <c r="JC2" s="10" t="s">
        <v>21</v>
      </c>
      <c r="JD2" s="10" t="s">
        <v>22</v>
      </c>
      <c r="JE2" s="10" t="s">
        <v>24</v>
      </c>
      <c r="JF2" s="10" t="s">
        <v>128</v>
      </c>
      <c r="JG2" s="10" t="s">
        <v>23</v>
      </c>
      <c r="JH2" s="10" t="s">
        <v>18</v>
      </c>
      <c r="JI2" s="111" t="s">
        <v>19</v>
      </c>
      <c r="JJ2" s="111"/>
      <c r="JK2" s="111"/>
      <c r="JL2" s="111"/>
      <c r="JM2" s="111"/>
      <c r="JN2" s="111" t="s">
        <v>20</v>
      </c>
      <c r="JO2" s="111"/>
      <c r="JP2" s="111"/>
      <c r="JQ2" s="111"/>
      <c r="JR2" s="111"/>
      <c r="JS2" s="111" t="s">
        <v>23</v>
      </c>
      <c r="JT2" s="111"/>
      <c r="JU2" s="111"/>
      <c r="JV2" s="111"/>
      <c r="JW2" s="111"/>
      <c r="JX2" s="20" t="s">
        <v>63</v>
      </c>
      <c r="JY2" s="13" t="s">
        <v>21</v>
      </c>
      <c r="JZ2" s="13" t="s">
        <v>22</v>
      </c>
      <c r="KA2" s="13" t="s">
        <v>24</v>
      </c>
      <c r="KB2" s="13" t="s">
        <v>128</v>
      </c>
      <c r="KC2" s="13" t="s">
        <v>23</v>
      </c>
      <c r="KD2" s="13" t="s">
        <v>18</v>
      </c>
      <c r="KE2" s="110" t="s">
        <v>19</v>
      </c>
      <c r="KF2" s="110"/>
      <c r="KG2" s="110"/>
      <c r="KH2" s="110"/>
      <c r="KI2" s="110"/>
      <c r="KJ2" s="110" t="s">
        <v>20</v>
      </c>
      <c r="KK2" s="110"/>
      <c r="KL2" s="110"/>
      <c r="KM2" s="110"/>
      <c r="KN2" s="110"/>
      <c r="KO2" s="110" t="s">
        <v>23</v>
      </c>
      <c r="KP2" s="110"/>
      <c r="KQ2" s="110"/>
      <c r="KR2" s="110"/>
      <c r="KS2" s="110"/>
      <c r="KT2" s="21" t="s">
        <v>63</v>
      </c>
      <c r="KU2" s="10" t="s">
        <v>21</v>
      </c>
      <c r="KV2" s="10" t="s">
        <v>22</v>
      </c>
      <c r="KW2" s="10" t="s">
        <v>24</v>
      </c>
      <c r="KX2" s="10" t="s">
        <v>128</v>
      </c>
      <c r="KY2" s="10" t="s">
        <v>23</v>
      </c>
      <c r="KZ2" s="10" t="s">
        <v>18</v>
      </c>
      <c r="LA2" s="111" t="s">
        <v>19</v>
      </c>
      <c r="LB2" s="111"/>
      <c r="LC2" s="111"/>
      <c r="LD2" s="111"/>
      <c r="LE2" s="111"/>
      <c r="LF2" s="111" t="s">
        <v>20</v>
      </c>
      <c r="LG2" s="111"/>
      <c r="LH2" s="111"/>
      <c r="LI2" s="111"/>
      <c r="LJ2" s="111"/>
      <c r="LK2" s="111" t="s">
        <v>23</v>
      </c>
      <c r="LL2" s="111"/>
      <c r="LM2" s="111"/>
      <c r="LN2" s="111"/>
      <c r="LO2" s="111"/>
      <c r="LP2" s="20" t="s">
        <v>63</v>
      </c>
      <c r="LQ2" s="13" t="s">
        <v>21</v>
      </c>
      <c r="LR2" s="13" t="s">
        <v>22</v>
      </c>
      <c r="LS2" s="13" t="s">
        <v>24</v>
      </c>
      <c r="LT2" s="13" t="s">
        <v>128</v>
      </c>
      <c r="LU2" s="13" t="s">
        <v>23</v>
      </c>
      <c r="LV2" s="13" t="s">
        <v>18</v>
      </c>
      <c r="LW2" s="110" t="s">
        <v>19</v>
      </c>
      <c r="LX2" s="110"/>
      <c r="LY2" s="110"/>
      <c r="LZ2" s="110"/>
      <c r="MA2" s="110"/>
      <c r="MB2" s="110" t="s">
        <v>20</v>
      </c>
      <c r="MC2" s="110"/>
      <c r="MD2" s="110"/>
      <c r="ME2" s="110"/>
      <c r="MF2" s="110"/>
      <c r="MG2" s="110" t="s">
        <v>23</v>
      </c>
      <c r="MH2" s="110"/>
      <c r="MI2" s="110"/>
      <c r="MJ2" s="110"/>
      <c r="MK2" s="110"/>
      <c r="ML2" s="105"/>
      <c r="MM2" s="105" t="s">
        <v>63</v>
      </c>
      <c r="MN2" s="10" t="s">
        <v>21</v>
      </c>
      <c r="MO2" s="10" t="s">
        <v>22</v>
      </c>
      <c r="MP2" s="10" t="s">
        <v>24</v>
      </c>
      <c r="MQ2" s="10" t="s">
        <v>128</v>
      </c>
      <c r="MR2" s="10" t="s">
        <v>23</v>
      </c>
      <c r="MS2" s="10" t="s">
        <v>18</v>
      </c>
    </row>
    <row r="3" spans="1:357" x14ac:dyDescent="0.2">
      <c r="A3" s="112"/>
      <c r="B3" s="112"/>
      <c r="C3" s="112"/>
      <c r="D3" s="112"/>
      <c r="E3" s="112"/>
      <c r="F3" s="113"/>
      <c r="G3" s="113"/>
      <c r="H3" s="112"/>
      <c r="I3" s="112"/>
      <c r="J3" s="114"/>
      <c r="K3" s="114"/>
      <c r="L3" s="114"/>
      <c r="M3" s="114"/>
      <c r="N3" s="114"/>
      <c r="O3" s="114"/>
      <c r="P3" s="114"/>
      <c r="Q3" s="114"/>
      <c r="R3" s="116"/>
      <c r="S3" s="114"/>
      <c r="T3" s="114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54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94</v>
      </c>
      <c r="C4" s="5" t="s">
        <v>4</v>
      </c>
      <c r="D4" s="27">
        <v>2002</v>
      </c>
      <c r="E4" s="16">
        <f>SUM(J4:R4)</f>
        <v>239.715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National Team</v>
      </c>
      <c r="J4" s="15">
        <f>IF(MAX(AN4,BK4)&gt;0,MAX(AN4,BK4),"")</f>
        <v>93.6</v>
      </c>
      <c r="K4" s="15" t="str">
        <f>IF(J4="","",IF(J4=BK4,$AR$1,IF(J4=AN4,$U$1,"")))</f>
        <v>2019 Elite Canada</v>
      </c>
      <c r="L4" s="15">
        <f>IF($J4=$AN4,BI4,IF($J4=$BK4,AL4,MAX(AL4,BI4)))</f>
        <v>44.835000000000001</v>
      </c>
      <c r="M4" s="15" t="str">
        <f>IF(L4="","",IF(L4=BI4,$AR$1,IF(L4=AL4,$U$1,"")))</f>
        <v>2018 Nationals</v>
      </c>
      <c r="N4" s="15">
        <f>IF($J4=$AN4,BJ4,IF($J4=$BK4,AM4,MAX(AM4,BJ4)))</f>
        <v>30.659999999999997</v>
      </c>
      <c r="O4" s="15" t="str">
        <f>IF(N4="","",IF(AND(N4=BJ4,$K4&lt;&gt;$AR$1),$AR$1,IF(AND(N4=AM4,$K4&lt;&gt;$U$1),$U$1,"")))</f>
        <v>2018 Nationals</v>
      </c>
      <c r="P4" s="15">
        <f>IF(MAX(AP4,BM4)&gt;0,MAX(AP4,BM4),"")</f>
        <v>51.394999999999996</v>
      </c>
      <c r="Q4" s="15" t="str">
        <f>IF(P4="","",IF(P4=BM4,$AR$1,IF(P4=AP4,$U$1,"")))</f>
        <v>2018 Nationals</v>
      </c>
      <c r="R4" s="15">
        <f>IF(MAX(BO4,BP4,BQ4,BR4)&gt;0,MAX(BO4,BP4,BQ4,BR4),"")</f>
        <v>19.224999999999994</v>
      </c>
      <c r="S4" s="25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Age Groups (Nov 18)</v>
      </c>
      <c r="U4" s="36">
        <v>17.7</v>
      </c>
      <c r="V4" s="36">
        <v>9.4499999999999993</v>
      </c>
      <c r="W4" s="36">
        <v>3</v>
      </c>
      <c r="X4" s="36">
        <v>14.685</v>
      </c>
      <c r="Y4" s="36">
        <v>0</v>
      </c>
      <c r="Z4" s="36">
        <v>9.4</v>
      </c>
      <c r="AA4" s="36">
        <v>5.75</v>
      </c>
      <c r="AB4" s="36">
        <v>6.5</v>
      </c>
      <c r="AC4" s="36">
        <v>9.01</v>
      </c>
      <c r="AD4" s="36">
        <v>0</v>
      </c>
      <c r="AE4" s="36">
        <v>15.6</v>
      </c>
      <c r="AF4" s="36">
        <v>9.5500000000000007</v>
      </c>
      <c r="AG4" s="36">
        <v>11.4</v>
      </c>
      <c r="AH4" s="36">
        <v>14.845000000000001</v>
      </c>
      <c r="AI4" s="36">
        <v>0</v>
      </c>
      <c r="AJ4" s="74"/>
      <c r="AK4" s="12">
        <f>IF(AB4&gt;0,AB4,"")</f>
        <v>6.5</v>
      </c>
      <c r="AL4" s="12">
        <f>IF(SUM(U4:X4)-Y4&gt;0,SUM(U4:X4)-Y4,"")</f>
        <v>44.835000000000001</v>
      </c>
      <c r="AM4" s="12">
        <f>IF(SUM(Z4:AC4)-AD4&gt;0,SUM(Z4:AC4)-AD4,"")</f>
        <v>30.659999999999997</v>
      </c>
      <c r="AN4" s="12">
        <f>IF(SUM(AL4:AM4)&gt;0,SUM(AL4:AM4),"")</f>
        <v>75.495000000000005</v>
      </c>
      <c r="AO4" s="12">
        <f>IF(AG4&gt;0,AG4,"")</f>
        <v>11.4</v>
      </c>
      <c r="AP4" s="12">
        <f>IF(SUM(AE4:AH4)-AI4&gt;0,SUM(AE4:AH4)-AI4,"")</f>
        <v>51.394999999999996</v>
      </c>
      <c r="AQ4" s="12">
        <f>IF(SUM(AN4,AP4)&gt;0,SUM(AN4,AP4),"")</f>
        <v>126.89</v>
      </c>
      <c r="AR4" s="69">
        <v>16</v>
      </c>
      <c r="AS4" s="69">
        <v>9.6999999999999993</v>
      </c>
      <c r="AT4" s="69">
        <v>3.7</v>
      </c>
      <c r="AU4" s="69">
        <v>14.945</v>
      </c>
      <c r="AV4" s="69">
        <v>0</v>
      </c>
      <c r="AW4" s="69">
        <v>14.9</v>
      </c>
      <c r="AX4" s="69">
        <v>9.1999999999999993</v>
      </c>
      <c r="AY4" s="69">
        <v>11</v>
      </c>
      <c r="AZ4" s="69">
        <v>14.154999999999999</v>
      </c>
      <c r="BA4" s="69">
        <v>0</v>
      </c>
      <c r="BB4" s="69">
        <v>15.7</v>
      </c>
      <c r="BC4" s="69">
        <v>9.3000000000000007</v>
      </c>
      <c r="BD4" s="69">
        <v>9.6</v>
      </c>
      <c r="BE4" s="69">
        <v>14.37</v>
      </c>
      <c r="BF4" s="69">
        <v>0</v>
      </c>
      <c r="BG4" s="75"/>
      <c r="BH4" s="15">
        <f>IF(AY4&gt;0,AY4,"")</f>
        <v>11</v>
      </c>
      <c r="BI4" s="15">
        <f>IF(SUM(AR4:AU4)-AV4&gt;0,SUM(AR4:AU4)-AV4,"")</f>
        <v>44.344999999999999</v>
      </c>
      <c r="BJ4" s="15">
        <f>IF(SUM(AW4:AZ4)-BA4&gt;0,SUM(AW4:AZ4)-BA4,"")</f>
        <v>49.255000000000003</v>
      </c>
      <c r="BK4" s="15">
        <f>IF(SUM(BI4:BJ4)&gt;0,SUM(BI4:BJ4),"")</f>
        <v>93.6</v>
      </c>
      <c r="BL4" s="15">
        <f>IF(BD4&gt;0,BD4,"")</f>
        <v>9.6</v>
      </c>
      <c r="BM4" s="15">
        <f>IF(SUM(BB4:BE4)-BF4&gt;0,SUM(BB4:BE4)-BF4,"")</f>
        <v>48.97</v>
      </c>
      <c r="BN4" s="15">
        <f>IF(SUM(BK4,BM4)&gt;0,SUM(BK4,BM4),"")</f>
        <v>142.57</v>
      </c>
      <c r="BO4" s="24" t="str">
        <f>IF(MAX(CI4,DE4,EA4,EW4,FS4,GO4,HK4,IG4,JC4,JY4,KU4,LQ4)-IF(L4="",0,L4)&gt;0.001,MAX(CI4,DE4,EA4,EW4,FS4,GO4,HK4,IG4,JC4,JY4,KU4,LQ4)-IF(L4="",0,L4),"")</f>
        <v/>
      </c>
      <c r="BP4" s="24">
        <f>IF(MAX(CJ4,DF4,EB4,EX4,FT4,GP4,HL4,IH4,JD4,JZ4,KV4,LR4)-IF(N4="",0,N4)&gt;0.001,MAX(CJ4,DF4,EB4,EX4,FT4,GP4,HL4,IH4,JD4,JZ4,KV4,LR4)-IF(N4="",0,N4),"")</f>
        <v>19.224999999999994</v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>
        <v>17.399999999999999</v>
      </c>
      <c r="BT4" s="36">
        <v>9</v>
      </c>
      <c r="BU4" s="36">
        <v>0</v>
      </c>
      <c r="BV4" s="36">
        <v>14.525</v>
      </c>
      <c r="BW4" s="36">
        <v>0</v>
      </c>
      <c r="BX4" s="36">
        <v>15</v>
      </c>
      <c r="BY4" s="36">
        <v>8.9</v>
      </c>
      <c r="BZ4" s="36">
        <v>11.7</v>
      </c>
      <c r="CA4" s="36">
        <v>14.285</v>
      </c>
      <c r="CB4" s="36">
        <v>0</v>
      </c>
      <c r="CC4" s="36"/>
      <c r="CD4" s="36"/>
      <c r="CE4" s="36"/>
      <c r="CF4" s="36"/>
      <c r="CG4" s="36"/>
      <c r="CH4" s="12">
        <f>IF(BZ4&gt;0,BZ4,"")</f>
        <v>11.7</v>
      </c>
      <c r="CI4" s="12">
        <f>IF(SUM(BS4:BV4)-BW4&gt;0,SUM(BS4:BV4)-BW4,"")</f>
        <v>40.924999999999997</v>
      </c>
      <c r="CJ4" s="12">
        <f>IF(SUM(BX4:CA4)-CB4&gt;0,SUM(BX4:CA4)-CB4,"")</f>
        <v>49.884999999999991</v>
      </c>
      <c r="CK4" s="12">
        <f>IF(SUM(CI4:CJ4)&gt;0,SUM(CI4:CJ4),"")</f>
        <v>90.809999999999988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90.809999999999988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16.850000000000001</v>
      </c>
      <c r="LX4" s="63">
        <f t="shared" si="0"/>
        <v>9.5749999999999993</v>
      </c>
      <c r="LY4" s="63">
        <f t="shared" si="0"/>
        <v>3.35</v>
      </c>
      <c r="LZ4" s="63">
        <f t="shared" si="0"/>
        <v>14.815000000000001</v>
      </c>
      <c r="MA4" s="63">
        <f t="shared" si="0"/>
        <v>0</v>
      </c>
      <c r="MB4" s="63">
        <f t="shared" si="0"/>
        <v>12.15</v>
      </c>
      <c r="MC4" s="63">
        <f t="shared" si="0"/>
        <v>7.4749999999999996</v>
      </c>
      <c r="MD4" s="63">
        <f t="shared" si="0"/>
        <v>8.75</v>
      </c>
      <c r="ME4" s="63">
        <f t="shared" si="0"/>
        <v>11.5825</v>
      </c>
      <c r="MF4" s="63">
        <f t="shared" si="0"/>
        <v>0</v>
      </c>
      <c r="MG4" s="63">
        <f t="shared" si="0"/>
        <v>15.649999999999999</v>
      </c>
      <c r="MH4" s="63">
        <f t="shared" si="0"/>
        <v>9.4250000000000007</v>
      </c>
      <c r="MI4" s="63">
        <f t="shared" si="0"/>
        <v>10.5</v>
      </c>
      <c r="MJ4" s="63">
        <f t="shared" si="0"/>
        <v>14.6075</v>
      </c>
      <c r="MK4" s="63">
        <f t="shared" si="0"/>
        <v>0</v>
      </c>
      <c r="ML4" s="74" t="s">
        <v>116</v>
      </c>
      <c r="MM4" s="12">
        <f t="shared" ref="MM4" si="1">IF(MD4&gt;0,MD4,"")</f>
        <v>8.75</v>
      </c>
      <c r="MN4" s="12">
        <f t="shared" ref="MN4" si="2">IF(SUM(LW4:LZ4)-MA4&gt;0,SUM(LW4:LZ4)-MA4,"")</f>
        <v>44.59</v>
      </c>
      <c r="MO4" s="12">
        <f t="shared" ref="MO4" si="3">IF(SUM(MB4:ME4)-MF4&gt;0,SUM(MB4:ME4)-MF4,"")</f>
        <v>39.957499999999996</v>
      </c>
      <c r="MP4" s="12">
        <f t="shared" ref="MP4" si="4">IF(SUM(MN4:MO4)&gt;0,SUM(MN4:MO4),"")</f>
        <v>84.547499999999999</v>
      </c>
      <c r="MQ4" s="12">
        <f>IF(MI4&gt;0,MI4,"")</f>
        <v>10.5</v>
      </c>
      <c r="MR4" s="12">
        <f t="shared" ref="MR4" si="5">IF(SUM(MG4:MJ4)-MK4&gt;0,SUM(MG4:MJ4)-MK4,"")</f>
        <v>50.182500000000005</v>
      </c>
      <c r="MS4" s="12">
        <f t="shared" ref="MS4" si="6">IF(SUM(MP4,MR4)&gt;0,SUM(MP4,MR4),"")</f>
        <v>134.73000000000002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96</v>
      </c>
      <c r="C5" s="5" t="s">
        <v>5</v>
      </c>
      <c r="D5" s="27">
        <v>2002</v>
      </c>
      <c r="E5" s="16">
        <f>SUM(J5:R5)</f>
        <v>233.36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M5&gt;$AL$23,NOT($AM5=""),$AJ5=""),AND($AP5&gt;$AL$23,NOT($AP5=""),$AJ5=""),AND($BJ5&gt;$BI$23,NOT($BJ5=""),$BG5=""),AND($BM5&gt;$BI$23,NOT($BM5=""),$BG5=""),AND($CJ5&gt;$CI$23,NOT($CJ5="")),AND($CM5&gt;$CI$23,NOT($CM5="")),AND($DF5&gt;$DE$23,NOT($DF5="")),AND($DI5&gt;$DE$23,NOT($DI5="")),AND($EB5&gt;$EA$23,NOT($EB5="")),AND($EE5&gt;$EA$23,NOT($EE5="")),AND($EX5&gt;$EW$23,NOT($EX5="")),AND($FA5&gt;$EW$23,NOT($FA5="")),AND($FT5&gt;$FS$23,NOT($FT5="")),AND($FW5&gt;$FS$23,NOT($FW5="")),AND($GP5&gt;$GO$23,NOT($GP5="")),AND($GS5&gt;$GO$23,NOT($GS5="")),AND($HL5&gt;$HK$23,NOT($HL5="")),AND($HO5&gt;$HK$23,NOT($HO5="")),AND($IH5&gt;$IG$23,NOT($IH5="")),AND($IK5&gt;$IG$23,NOT($IK5="")),AND($JD5&gt;$JC$23,NOT($JD5="")),AND($JG5&gt;$JC$23,NOT($JG5="")),AND($JZ5&gt;$JY$23,NOT($JZ5="")),AND($KC5&gt;$JY$23,NOT($KC5="")),AND($KV5&gt;$KU$23,NOT($KV5="")),AND($KY5&gt;$KU$23,NOT($KY5="")),AND($LR5&gt;$LQ$23,NOT($LR5="")),AND($LU5&gt;$LQ$23,NOT($LU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National Team</v>
      </c>
      <c r="J5" s="15">
        <f>IF(MAX(AN5,BK5)&gt;0,MAX(AN5,BK5),"")</f>
        <v>93.805000000000007</v>
      </c>
      <c r="K5" s="15" t="str">
        <f>IF(J5="","",IF(J5=BK5,$AR$1,IF(J5=AN5,$U$1,"")))</f>
        <v>2019 Elite Canada</v>
      </c>
      <c r="L5" s="15">
        <f>IF($J5=$AN5,BI5,IF($J5=$BK5,AL5,MAX(AL5,BI5)))</f>
        <v>42.334999999999994</v>
      </c>
      <c r="M5" s="15" t="str">
        <f>IF(L5="","",IF(L5=BI5,$AR$1,IF(L5=AL5,$U$1,"")))</f>
        <v>2018 Nationals</v>
      </c>
      <c r="N5" s="15">
        <f>IF($J5=$AN5,BJ5,IF($J5=$BK5,AM5,MAX(AM5,BJ5)))</f>
        <v>47.46</v>
      </c>
      <c r="O5" s="15" t="str">
        <f>IF(N5="","",IF(AND(N5=BJ5,$K5&lt;&gt;$AR$1),$AR$1,IF(AND(N5=AM5,$K5&lt;&gt;$U$1),$U$1,"")))</f>
        <v>2018 Nationals</v>
      </c>
      <c r="P5" s="15">
        <f>IF(MAX(AP5,BM5)&gt;0,MAX(AP5,BM5),"")</f>
        <v>49.24</v>
      </c>
      <c r="Q5" s="15" t="str">
        <f>IF(P5="","",IF(P5=BM5,$AR$1,IF(P5=AP5,$U$1,"")))</f>
        <v>2018 Nationals</v>
      </c>
      <c r="R5" s="15">
        <f>IF(MAX(BO5,BP5,BQ5,BR5)&gt;0,MAX(BO5,BP5,BQ5,BR5),"")</f>
        <v>0.52000000000000313</v>
      </c>
      <c r="S5" s="25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2018 World Age Groups (Nov 18)</v>
      </c>
      <c r="U5" s="36">
        <v>15.6</v>
      </c>
      <c r="V5" s="36">
        <v>8.9499999999999993</v>
      </c>
      <c r="W5" s="36">
        <v>3.2</v>
      </c>
      <c r="X5" s="36">
        <v>14.585000000000001</v>
      </c>
      <c r="Y5" s="36">
        <v>0</v>
      </c>
      <c r="Z5" s="36">
        <v>14.4</v>
      </c>
      <c r="AA5" s="36">
        <v>8.75</v>
      </c>
      <c r="AB5" s="36">
        <v>10</v>
      </c>
      <c r="AC5" s="36">
        <v>14.31</v>
      </c>
      <c r="AD5" s="36">
        <v>0</v>
      </c>
      <c r="AE5" s="36">
        <v>14.9</v>
      </c>
      <c r="AF5" s="36">
        <v>9.25</v>
      </c>
      <c r="AG5" s="36">
        <v>10.6</v>
      </c>
      <c r="AH5" s="36">
        <v>14.49</v>
      </c>
      <c r="AI5" s="36">
        <v>0</v>
      </c>
      <c r="AJ5" s="74"/>
      <c r="AK5" s="12">
        <f>IF(AB5&gt;0,AB5,"")</f>
        <v>10</v>
      </c>
      <c r="AL5" s="12">
        <f>IF(SUM(U5:X5)-Y5&gt;0,SUM(U5:X5)-Y5,"")</f>
        <v>42.334999999999994</v>
      </c>
      <c r="AM5" s="12">
        <f>IF(SUM(Z5:AC5)-AD5&gt;0,SUM(Z5:AC5)-AD5,"")</f>
        <v>47.46</v>
      </c>
      <c r="AN5" s="12">
        <f>IF(SUM(AL5:AM5)&gt;0,SUM(AL5:AM5),"")</f>
        <v>89.794999999999987</v>
      </c>
      <c r="AO5" s="12">
        <f>IF(AG5&gt;0,AG5,"")</f>
        <v>10.6</v>
      </c>
      <c r="AP5" s="12">
        <f>IF(SUM(AE5:AH5)-AI5&gt;0,SUM(AE5:AH5)-AI5,"")</f>
        <v>49.24</v>
      </c>
      <c r="AQ5" s="12">
        <f>IF(SUM(AN5,AP5)&gt;0,SUM(AN5,AP5),"")</f>
        <v>139.035</v>
      </c>
      <c r="AR5" s="69">
        <v>16.399999999999999</v>
      </c>
      <c r="AS5" s="69">
        <v>9.0500000000000007</v>
      </c>
      <c r="AT5" s="69">
        <v>3.2</v>
      </c>
      <c r="AU5" s="69">
        <v>15.175000000000001</v>
      </c>
      <c r="AV5" s="69">
        <v>0</v>
      </c>
      <c r="AW5" s="69">
        <v>14.7</v>
      </c>
      <c r="AX5" s="69">
        <v>9.1999999999999993</v>
      </c>
      <c r="AY5" s="69">
        <v>11.3</v>
      </c>
      <c r="AZ5" s="69">
        <v>14.78</v>
      </c>
      <c r="BA5" s="69">
        <v>0</v>
      </c>
      <c r="BB5" s="69">
        <v>12.9</v>
      </c>
      <c r="BC5" s="69">
        <v>9.15</v>
      </c>
      <c r="BD5" s="69">
        <v>10.1</v>
      </c>
      <c r="BE5" s="69">
        <v>13.63</v>
      </c>
      <c r="BF5" s="69">
        <v>0</v>
      </c>
      <c r="BG5" s="75"/>
      <c r="BH5" s="15">
        <f>IF(AY5&gt;0,AY5,"")</f>
        <v>11.3</v>
      </c>
      <c r="BI5" s="15">
        <f>IF(SUM(AR5:AU5)-AV5&gt;0,SUM(AR5:AU5)-AV5,"")</f>
        <v>43.825000000000003</v>
      </c>
      <c r="BJ5" s="15">
        <f>IF(SUM(AW5:AZ5)-BA5&gt;0,SUM(AW5:AZ5)-BA5,"")</f>
        <v>49.980000000000004</v>
      </c>
      <c r="BK5" s="15">
        <f>IF(SUM(BI5:BJ5)&gt;0,SUM(BI5:BJ5),"")</f>
        <v>93.805000000000007</v>
      </c>
      <c r="BL5" s="15">
        <f>IF(BD5&gt;0,BD5,"")</f>
        <v>10.1</v>
      </c>
      <c r="BM5" s="15">
        <f>IF(SUM(BB5:BE5)-BF5&gt;0,SUM(BB5:BE5)-BF5,"")</f>
        <v>45.78</v>
      </c>
      <c r="BN5" s="15">
        <f>IF(SUM(BK5,BM5)&gt;0,SUM(BK5,BM5),"")</f>
        <v>139.58500000000001</v>
      </c>
      <c r="BO5" s="24" t="str">
        <f>IF(MAX(CI5,DE5,EA5,EW5,FS5,GO5,HK5,IG5,JC5,JY5,KU5,LQ5)-IF(L5="",0,L5)&gt;0.001,MAX(CI5,DE5,EA5,EW5,FS5,GO5,HK5,IG5,JC5,JY5,KU5,LQ5)-IF(L5="",0,L5),"")</f>
        <v/>
      </c>
      <c r="BP5" s="24">
        <f>IF(MAX(CJ5,DF5,EB5,EX5,FT5,GP5,HL5,IH5,JD5,JZ5,KV5,LR5)-IF(N5="",0,N5)&gt;0.001,MAX(CJ5,DF5,EB5,EX5,FT5,GP5,HL5,IH5,JD5,JZ5,KV5,LR5)-IF(N5="",0,N5),"")</f>
        <v>0.52000000000000313</v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>
        <v>17.2</v>
      </c>
      <c r="BT5" s="36">
        <v>9.6</v>
      </c>
      <c r="BU5" s="36">
        <v>0</v>
      </c>
      <c r="BV5" s="36">
        <v>14.8</v>
      </c>
      <c r="BW5" s="36">
        <v>0</v>
      </c>
      <c r="BX5" s="36">
        <v>13.7</v>
      </c>
      <c r="BY5" s="36">
        <v>9.1999999999999993</v>
      </c>
      <c r="BZ5" s="36">
        <v>11.1</v>
      </c>
      <c r="CA5" s="36">
        <v>13.98</v>
      </c>
      <c r="CB5" s="36">
        <v>0</v>
      </c>
      <c r="CC5" s="36"/>
      <c r="CD5" s="36"/>
      <c r="CE5" s="36"/>
      <c r="CF5" s="36"/>
      <c r="CG5" s="36"/>
      <c r="CH5" s="12">
        <f>IF(BZ5&gt;0,BZ5,"")</f>
        <v>11.1</v>
      </c>
      <c r="CI5" s="12">
        <f>IF(SUM(BS5:BV5)-BW5&gt;0,SUM(BS5:BV5)-BW5,"")</f>
        <v>41.599999999999994</v>
      </c>
      <c r="CJ5" s="12">
        <f>IF(SUM(BX5:CA5)-CB5&gt;0,SUM(BX5:CA5)-CB5,"")</f>
        <v>47.980000000000004</v>
      </c>
      <c r="CK5" s="12">
        <f>IF(SUM(CI5:CJ5)&gt;0,SUM(CI5:CJ5),"")</f>
        <v>89.58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89.58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15" si="7">IF($BG5="P",AR5,(U5+AR5)/2)</f>
        <v>16</v>
      </c>
      <c r="LX5" s="63">
        <f t="shared" ref="LX5:LX15" si="8">IF($BG5="P",AS5,(V5+AS5)/2)</f>
        <v>9</v>
      </c>
      <c r="LY5" s="63">
        <f t="shared" ref="LY5:LY15" si="9">IF($BG5="P",AT5,(W5+AT5)/2)</f>
        <v>3.2</v>
      </c>
      <c r="LZ5" s="63">
        <f t="shared" ref="LZ5:LZ15" si="10">IF($BG5="P",AU5,(X5+AU5)/2)</f>
        <v>14.88</v>
      </c>
      <c r="MA5" s="63">
        <f t="shared" ref="MA5:MA15" si="11">IF($BG5="P",AV5,(Y5+AV5)/2)</f>
        <v>0</v>
      </c>
      <c r="MB5" s="63">
        <f t="shared" ref="MB5:MB15" si="12">IF($BG5="P",AW5,(Z5+AW5)/2)</f>
        <v>14.55</v>
      </c>
      <c r="MC5" s="63">
        <f t="shared" ref="MC5:MC15" si="13">IF($BG5="P",AX5,(AA5+AX5)/2)</f>
        <v>8.9749999999999996</v>
      </c>
      <c r="MD5" s="63">
        <f t="shared" ref="MD5:MD15" si="14">IF($BG5="P",AY5,(AB5+AY5)/2)</f>
        <v>10.65</v>
      </c>
      <c r="ME5" s="63">
        <f t="shared" ref="ME5:ME15" si="15">IF($BG5="P",AZ5,(AC5+AZ5)/2)</f>
        <v>14.545</v>
      </c>
      <c r="MF5" s="63">
        <f t="shared" ref="MF5:MF15" si="16">IF($BG5="P",BA5,(AD5+BA5)/2)</f>
        <v>0</v>
      </c>
      <c r="MG5" s="63">
        <f t="shared" ref="MG5:MG15" si="17">IF($BG5="P",BB5,(AE5+BB5)/2)</f>
        <v>13.9</v>
      </c>
      <c r="MH5" s="63">
        <f t="shared" ref="MH5:MH15" si="18">IF($BG5="P",BC5,(AF5+BC5)/2)</f>
        <v>9.1999999999999993</v>
      </c>
      <c r="MI5" s="63">
        <f t="shared" ref="MI5:MI15" si="19">IF($BG5="P",BD5,(AG5+BD5)/2)</f>
        <v>10.35</v>
      </c>
      <c r="MJ5" s="63">
        <f t="shared" ref="MJ5:MJ15" si="20">IF($BG5="P",BE5,(AH5+BE5)/2)</f>
        <v>14.06</v>
      </c>
      <c r="MK5" s="63">
        <f t="shared" ref="MK5:MK15" si="21">IF($BG5="P",BF5,(AI5+BF5)/2)</f>
        <v>0</v>
      </c>
      <c r="ML5" s="74" t="s">
        <v>116</v>
      </c>
      <c r="MM5" s="12">
        <f t="shared" ref="MM5:MM13" si="22">IF(MD5&gt;0,MD5,"")</f>
        <v>10.65</v>
      </c>
      <c r="MN5" s="12">
        <f t="shared" ref="MN5:MN13" si="23">IF(SUM(LW5:LZ5)-MA5&gt;0,SUM(LW5:LZ5)-MA5,"")</f>
        <v>43.08</v>
      </c>
      <c r="MO5" s="12">
        <f t="shared" ref="MO5:MO13" si="24">IF(SUM(MB5:ME5)-MF5&gt;0,SUM(MB5:ME5)-MF5,"")</f>
        <v>48.72</v>
      </c>
      <c r="MP5" s="12">
        <f t="shared" ref="MP5:MP13" si="25">IF(SUM(MN5:MO5)&gt;0,SUM(MN5:MO5),"")</f>
        <v>91.8</v>
      </c>
      <c r="MQ5" s="12">
        <f t="shared" ref="MQ5:MQ15" si="26">IF(MI5&gt;0,MI5,"")</f>
        <v>10.35</v>
      </c>
      <c r="MR5" s="12">
        <f t="shared" ref="MR5:MR13" si="27">IF(SUM(MG5:MJ5)-MK5&gt;0,SUM(MG5:MJ5)-MK5,"")</f>
        <v>47.510000000000005</v>
      </c>
      <c r="MS5" s="12">
        <f t="shared" ref="MS5:MS13" si="28">IF(SUM(MP5,MR5)&gt;0,SUM(MP5,MR5),"")</f>
        <v>139.31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101</v>
      </c>
      <c r="C6" s="5" t="s">
        <v>5</v>
      </c>
      <c r="D6" s="27">
        <v>2001</v>
      </c>
      <c r="E6" s="16">
        <f>SUM(J6:R6)</f>
        <v>231.14499999999998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M6&gt;$AL$23,NOT($AM6=""),$AJ6=""),AND($AP6&gt;$AL$23,NOT($AP6=""),$AJ6=""),AND($BJ6&gt;$BI$23,NOT($BJ6=""),$BG6=""),AND($BM6&gt;$BI$23,NOT($BM6=""),$BG6=""),AND($CJ6&gt;$CI$23,NOT($CJ6="")),AND($CM6&gt;$CI$23,NOT($CM6="")),AND($DF6&gt;$DE$23,NOT($DF6="")),AND($DI6&gt;$DE$23,NOT($DI6="")),AND($EB6&gt;$EA$23,NOT($EB6="")),AND($EE6&gt;$EA$23,NOT($EE6="")),AND($EX6&gt;$EW$23,NOT($EX6="")),AND($FA6&gt;$EW$23,NOT($FA6="")),AND($FT6&gt;$FS$23,NOT($FT6="")),AND($FW6&gt;$FS$23,NOT($FW6="")),AND($GP6&gt;$GO$23,NOT($GP6="")),AND($GS6&gt;$GO$23,NOT($GS6="")),AND($HL6&gt;$HK$23,NOT($HL6="")),AND($HO6&gt;$HK$23,NOT($HO6="")),AND($IH6&gt;$IG$23,NOT($IH6="")),AND($IK6&gt;$IG$23,NOT($IK6="")),AND($JD6&gt;$JC$23,NOT($JD6="")),AND($JG6&gt;$JC$23,NOT($JG6="")),AND($JZ6&gt;$JY$23,NOT($JZ6="")),AND($KC6&gt;$JY$23,NOT($KC6="")),AND($KV6&gt;$KU$23,NOT($KV6="")),AND($KY6&gt;$KU$23,NOT($KY6="")),AND($LR6&gt;$LQ$23,NOT($LR6="")),AND($LU6&gt;$LQ$23,NOT($LU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National Team</v>
      </c>
      <c r="J6" s="15">
        <f>IF(MAX(AN6,BK6)&gt;0,MAX(AN6,BK6),"")</f>
        <v>94.539999999999992</v>
      </c>
      <c r="K6" s="15" t="str">
        <f>IF(J6="","",IF(J6=BK6,$AR$1,IF(J6=AN6,$U$1,"")))</f>
        <v>2019 Elite Canada</v>
      </c>
      <c r="L6" s="15">
        <f>IF($J6=$AN6,BI6,IF($J6=$BK6,AL6,MAX(AL6,BI6)))</f>
        <v>43.47</v>
      </c>
      <c r="M6" s="15" t="str">
        <f>IF(L6="","",IF(L6=BI6,$AR$1,IF(L6=AL6,$U$1,"")))</f>
        <v>2018 Nationals</v>
      </c>
      <c r="N6" s="15">
        <f>IF($J6=$AN6,BJ6,IF($J6=$BK6,AM6,MAX(AM6,BJ6)))</f>
        <v>46.004999999999995</v>
      </c>
      <c r="O6" s="15" t="str">
        <f>IF(N6="","",IF(AND(N6=BJ6,$K6&lt;&gt;$AR$1),$AR$1,IF(AND(N6=AM6,$K6&lt;&gt;$U$1),$U$1,"")))</f>
        <v>2018 Nationals</v>
      </c>
      <c r="P6" s="15">
        <f>IF(MAX(AP6,BM6)&gt;0,MAX(AP6,BM6),"")</f>
        <v>47.129999999999995</v>
      </c>
      <c r="Q6" s="15" t="str">
        <f>IF(P6="","",IF(P6=BM6,$AR$1,IF(P6=AP6,$U$1,"")))</f>
        <v>2018 Nationals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36">
        <v>15.4</v>
      </c>
      <c r="V6" s="36">
        <v>9.25</v>
      </c>
      <c r="W6" s="36">
        <v>4.4000000000000004</v>
      </c>
      <c r="X6" s="36">
        <v>14.42</v>
      </c>
      <c r="Y6" s="36">
        <v>0</v>
      </c>
      <c r="Z6" s="36">
        <v>12.9</v>
      </c>
      <c r="AA6" s="36">
        <v>9</v>
      </c>
      <c r="AB6" s="36">
        <v>10</v>
      </c>
      <c r="AC6" s="36">
        <v>14.105</v>
      </c>
      <c r="AD6" s="36">
        <v>0</v>
      </c>
      <c r="AE6" s="36">
        <v>13.7</v>
      </c>
      <c r="AF6" s="36">
        <v>8.35</v>
      </c>
      <c r="AG6" s="36">
        <v>10.5</v>
      </c>
      <c r="AH6" s="36">
        <v>14.58</v>
      </c>
      <c r="AI6" s="36">
        <v>0</v>
      </c>
      <c r="AJ6" s="74"/>
      <c r="AK6" s="12">
        <f>IF(AB6&gt;0,AB6,"")</f>
        <v>10</v>
      </c>
      <c r="AL6" s="12">
        <f>IF(SUM(U6:X6)-Y6&gt;0,SUM(U6:X6)-Y6,"")</f>
        <v>43.47</v>
      </c>
      <c r="AM6" s="12">
        <f>IF(SUM(Z6:AC6)-AD6&gt;0,SUM(Z6:AC6)-AD6,"")</f>
        <v>46.004999999999995</v>
      </c>
      <c r="AN6" s="12">
        <f>IF(SUM(AL6:AM6)&gt;0,SUM(AL6:AM6),"")</f>
        <v>89.474999999999994</v>
      </c>
      <c r="AO6" s="12">
        <f>IF(AG6&gt;0,AG6,"")</f>
        <v>10.5</v>
      </c>
      <c r="AP6" s="12">
        <f>IF(SUM(AE6:AH6)-AI6&gt;0,SUM(AE6:AH6)-AI6,"")</f>
        <v>47.129999999999995</v>
      </c>
      <c r="AQ6" s="12">
        <f>IF(SUM(AN6,AP6)&gt;0,SUM(AN6,AP6),"")</f>
        <v>136.60499999999999</v>
      </c>
      <c r="AR6" s="69">
        <v>15.8</v>
      </c>
      <c r="AS6" s="69">
        <v>9.6999999999999993</v>
      </c>
      <c r="AT6" s="69">
        <v>3.5</v>
      </c>
      <c r="AU6" s="69">
        <v>15.51</v>
      </c>
      <c r="AV6" s="69">
        <v>0</v>
      </c>
      <c r="AW6" s="69">
        <v>13.4</v>
      </c>
      <c r="AX6" s="69">
        <v>9.15</v>
      </c>
      <c r="AY6" s="69">
        <v>13.1</v>
      </c>
      <c r="AZ6" s="69">
        <v>14.38</v>
      </c>
      <c r="BA6" s="69">
        <v>0</v>
      </c>
      <c r="BB6" s="69">
        <v>11</v>
      </c>
      <c r="BC6" s="69">
        <v>8.85</v>
      </c>
      <c r="BD6" s="69">
        <v>12.9</v>
      </c>
      <c r="BE6" s="69">
        <v>13.984999999999999</v>
      </c>
      <c r="BF6" s="69">
        <v>0</v>
      </c>
      <c r="BG6" s="75"/>
      <c r="BH6" s="15">
        <f>IF(AY6&gt;0,AY6,"")</f>
        <v>13.1</v>
      </c>
      <c r="BI6" s="15">
        <f>IF(SUM(AR6:AU6)-AV6&gt;0,SUM(AR6:AU6)-AV6,"")</f>
        <v>44.51</v>
      </c>
      <c r="BJ6" s="15">
        <f>IF(SUM(AW6:AZ6)-BA6&gt;0,SUM(AW6:AZ6)-BA6,"")</f>
        <v>50.03</v>
      </c>
      <c r="BK6" s="15">
        <f>IF(SUM(BI6:BJ6)&gt;0,SUM(BI6:BJ6),"")</f>
        <v>94.539999999999992</v>
      </c>
      <c r="BL6" s="15">
        <f>IF(BD6&gt;0,BD6,"")</f>
        <v>12.9</v>
      </c>
      <c r="BM6" s="15">
        <f>IF(SUM(BB6:BE6)-BF6&gt;0,SUM(BB6:BE6)-BF6,"")</f>
        <v>46.734999999999999</v>
      </c>
      <c r="BN6" s="15">
        <f>IF(SUM(BK6,BM6)&gt;0,SUM(BK6,BM6),"")</f>
        <v>141.27499999999998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15.600000000000001</v>
      </c>
      <c r="LX6" s="63">
        <f t="shared" si="8"/>
        <v>9.4749999999999996</v>
      </c>
      <c r="LY6" s="63">
        <f t="shared" si="9"/>
        <v>3.95</v>
      </c>
      <c r="LZ6" s="63">
        <f t="shared" si="10"/>
        <v>14.965</v>
      </c>
      <c r="MA6" s="63">
        <f t="shared" si="11"/>
        <v>0</v>
      </c>
      <c r="MB6" s="63">
        <f t="shared" si="12"/>
        <v>13.15</v>
      </c>
      <c r="MC6" s="63">
        <f t="shared" si="13"/>
        <v>9.0749999999999993</v>
      </c>
      <c r="MD6" s="63">
        <f t="shared" si="14"/>
        <v>11.55</v>
      </c>
      <c r="ME6" s="63">
        <f t="shared" si="15"/>
        <v>14.2425</v>
      </c>
      <c r="MF6" s="63">
        <f t="shared" si="16"/>
        <v>0</v>
      </c>
      <c r="MG6" s="63">
        <f t="shared" si="17"/>
        <v>12.35</v>
      </c>
      <c r="MH6" s="63">
        <f t="shared" si="18"/>
        <v>8.6</v>
      </c>
      <c r="MI6" s="63">
        <f t="shared" si="19"/>
        <v>11.7</v>
      </c>
      <c r="MJ6" s="63">
        <f t="shared" si="20"/>
        <v>14.282499999999999</v>
      </c>
      <c r="MK6" s="63">
        <f t="shared" si="21"/>
        <v>0</v>
      </c>
      <c r="ML6" s="74" t="s">
        <v>116</v>
      </c>
      <c r="MM6" s="12">
        <f t="shared" si="22"/>
        <v>11.55</v>
      </c>
      <c r="MN6" s="12">
        <f t="shared" si="23"/>
        <v>43.99</v>
      </c>
      <c r="MO6" s="12">
        <f t="shared" si="24"/>
        <v>48.017500000000005</v>
      </c>
      <c r="MP6" s="12">
        <f t="shared" si="25"/>
        <v>92.007500000000007</v>
      </c>
      <c r="MQ6" s="12">
        <f t="shared" si="26"/>
        <v>11.7</v>
      </c>
      <c r="MR6" s="12">
        <f t="shared" si="27"/>
        <v>46.932499999999997</v>
      </c>
      <c r="MS6" s="12">
        <f t="shared" si="28"/>
        <v>138.94</v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123</v>
      </c>
      <c r="C7" s="5" t="s">
        <v>3</v>
      </c>
      <c r="D7" s="27">
        <v>2002</v>
      </c>
      <c r="E7" s="16">
        <f>SUM(J7:R7)</f>
        <v>226.38499999999999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/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/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M7&gt;$AL$23,NOT($AM7=""),$AJ7=""),AND($AP7&gt;$AL$23,NOT($AP7=""),$AJ7=""),AND($BJ7&gt;$BI$23,NOT($BJ7=""),$BG7=""),AND($BM7&gt;$BI$23,NOT($BM7=""),$BG7=""),AND($CJ7&gt;$CI$23,NOT($CJ7="")),AND($CM7&gt;$CI$23,NOT($CM7="")),AND($DF7&gt;$DE$23,NOT($DF7="")),AND($DI7&gt;$DE$23,NOT($DI7="")),AND($EB7&gt;$EA$23,NOT($EB7="")),AND($EE7&gt;$EA$23,NOT($EE7="")),AND($EX7&gt;$EW$23,NOT($EX7="")),AND($FA7&gt;$EW$23,NOT($FA7="")),AND($FT7&gt;$FS$23,NOT($FT7="")),AND($FW7&gt;$FS$23,NOT($FW7="")),AND($GP7&gt;$GO$23,NOT($GP7="")),AND($GS7&gt;$GO$23,NOT($GS7="")),AND($HL7&gt;$HK$23,NOT($HL7="")),AND($HO7&gt;$HK$23,NOT($HO7="")),AND($IH7&gt;$IG$23,NOT($IH7="")),AND($IK7&gt;$IG$23,NOT($IK7="")),AND($JD7&gt;$JC$23,NOT($JD7="")),AND($JG7&gt;$JC$23,NOT($JG7="")),AND($JZ7&gt;$JY$23,NOT($JZ7="")),AND($KC7&gt;$JY$23,NOT($KC7="")),AND($KV7&gt;$KU$23,NOT($KV7="")),AND($KY7&gt;$KU$23,NOT($KY7="")),AND($LR7&gt;$LQ$23,NOT($LR7="")),AND($LU7&gt;$LQ$23,NOT($LU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No DD</v>
      </c>
      <c r="J7" s="15">
        <f>IF(MAX(AN7,BK7)&gt;0,MAX(AN7,BK7),"")</f>
        <v>92.36999999999999</v>
      </c>
      <c r="K7" s="15" t="str">
        <f>IF(J7="","",IF(J7=BK7,$AR$1,IF(J7=AN7,$U$1,"")))</f>
        <v>2019 Elite Canada</v>
      </c>
      <c r="L7" s="15">
        <f>IF($J7=$AN7,BI7,IF($J7=$BK7,AL7,MAX(AL7,BI7)))</f>
        <v>39.295000000000002</v>
      </c>
      <c r="M7" s="15" t="str">
        <f>IF(L7="","",IF(L7=BI7,$AR$1,IF(L7=AL7,$U$1,"")))</f>
        <v>2018 Nationals</v>
      </c>
      <c r="N7" s="15">
        <f>IF($J7=$AN7,BJ7,IF($J7=$BK7,AM7,MAX(AM7,BJ7)))</f>
        <v>46.730000000000004</v>
      </c>
      <c r="O7" s="15" t="str">
        <f>IF(N7="","",IF(AND(N7=BJ7,$K7&lt;&gt;$AR$1),$AR$1,IF(AND(N7=AM7,$K7&lt;&gt;$U$1),$U$1,"")))</f>
        <v>2018 Nationals</v>
      </c>
      <c r="P7" s="15">
        <f>IF(MAX(AP7,BM7)&gt;0,MAX(AP7,BM7),"")</f>
        <v>47.989999999999995</v>
      </c>
      <c r="Q7" s="15" t="str">
        <f>IF(P7="","",IF(P7=BM7,$AR$1,IF(P7=AP7,$U$1,"")))</f>
        <v>2018 Nationals</v>
      </c>
      <c r="R7" s="15" t="str">
        <f>IF(MAX(BO7,BP7,BQ7,BR7)&gt;0,MAX(BO7,BP7,BQ7,BR7),"")</f>
        <v/>
      </c>
      <c r="S7" s="25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36">
        <v>15.5</v>
      </c>
      <c r="V7" s="36">
        <v>9.4499999999999993</v>
      </c>
      <c r="W7" s="36">
        <v>0</v>
      </c>
      <c r="X7" s="36">
        <v>14.345000000000001</v>
      </c>
      <c r="Y7" s="36">
        <v>0</v>
      </c>
      <c r="Z7" s="36">
        <v>13.9</v>
      </c>
      <c r="AA7" s="36">
        <v>9.4499999999999993</v>
      </c>
      <c r="AB7" s="36">
        <v>9.1</v>
      </c>
      <c r="AC7" s="36">
        <v>14.28</v>
      </c>
      <c r="AD7" s="36">
        <v>0</v>
      </c>
      <c r="AE7" s="36">
        <v>15.8</v>
      </c>
      <c r="AF7" s="36">
        <v>9.5</v>
      </c>
      <c r="AG7" s="36">
        <v>8.5</v>
      </c>
      <c r="AH7" s="36">
        <v>14.19</v>
      </c>
      <c r="AI7" s="36">
        <v>0</v>
      </c>
      <c r="AJ7" s="74"/>
      <c r="AK7" s="12">
        <f>IF(AB7&gt;0,AB7,"")</f>
        <v>9.1</v>
      </c>
      <c r="AL7" s="12">
        <f>IF(SUM(U7:X7)-Y7&gt;0,SUM(U7:X7)-Y7,"")</f>
        <v>39.295000000000002</v>
      </c>
      <c r="AM7" s="12">
        <f>IF(SUM(Z7:AC7)-AD7&gt;0,SUM(Z7:AC7)-AD7,"")</f>
        <v>46.730000000000004</v>
      </c>
      <c r="AN7" s="12">
        <f>IF(SUM(AL7:AM7)&gt;0,SUM(AL7:AM7),"")</f>
        <v>86.025000000000006</v>
      </c>
      <c r="AO7" s="12">
        <f>IF(AG7&gt;0,AG7,"")</f>
        <v>8.5</v>
      </c>
      <c r="AP7" s="12">
        <f>IF(SUM(AE7:AH7)-AI7&gt;0,SUM(AE7:AH7)-AI7,"")</f>
        <v>47.989999999999995</v>
      </c>
      <c r="AQ7" s="12">
        <f>IF(SUM(AN7,AP7)&gt;0,SUM(AN7,AP7),"")</f>
        <v>134.01499999999999</v>
      </c>
      <c r="AR7" s="69">
        <v>15</v>
      </c>
      <c r="AS7" s="69">
        <v>8.75</v>
      </c>
      <c r="AT7" s="69">
        <v>4.4000000000000004</v>
      </c>
      <c r="AU7" s="69">
        <v>15.01</v>
      </c>
      <c r="AV7" s="69">
        <v>0</v>
      </c>
      <c r="AW7" s="69">
        <v>15.1</v>
      </c>
      <c r="AX7" s="69">
        <v>8.9499999999999993</v>
      </c>
      <c r="AY7" s="69">
        <v>10.5</v>
      </c>
      <c r="AZ7" s="69">
        <v>14.66</v>
      </c>
      <c r="BA7" s="69">
        <v>0</v>
      </c>
      <c r="BB7" s="69">
        <v>14.7</v>
      </c>
      <c r="BC7" s="69">
        <v>8.6999999999999993</v>
      </c>
      <c r="BD7" s="69">
        <v>9.3000000000000007</v>
      </c>
      <c r="BE7" s="69">
        <v>14.64</v>
      </c>
      <c r="BF7" s="69">
        <v>0.2</v>
      </c>
      <c r="BG7" s="75"/>
      <c r="BH7" s="15">
        <f>IF(AY7&gt;0,AY7,"")</f>
        <v>10.5</v>
      </c>
      <c r="BI7" s="15">
        <f>IF(SUM(AR7:AU7)-AV7&gt;0,SUM(AR7:AU7)-AV7,"")</f>
        <v>43.16</v>
      </c>
      <c r="BJ7" s="15">
        <f>IF(SUM(AW7:AZ7)-BA7&gt;0,SUM(AW7:AZ7)-BA7,"")</f>
        <v>49.209999999999994</v>
      </c>
      <c r="BK7" s="15">
        <f>IF(SUM(BI7:BJ7)&gt;0,SUM(BI7:BJ7),"")</f>
        <v>92.36999999999999</v>
      </c>
      <c r="BL7" s="15">
        <f>IF(BD7&gt;0,BD7,"")</f>
        <v>9.3000000000000007</v>
      </c>
      <c r="BM7" s="15">
        <f>IF(SUM(BB7:BE7)-BF7&gt;0,SUM(BB7:BE7)-BF7,"")</f>
        <v>47.14</v>
      </c>
      <c r="BN7" s="15">
        <f>IF(SUM(BK7,BM7)&gt;0,SUM(BK7,BM7),"")</f>
        <v>139.51</v>
      </c>
      <c r="BO7" s="24" t="str">
        <f>IF(MAX(CI7,DE7,EA7,EW7,FS7,GO7,HK7,IG7,JC7,JY7,KU7,LQ7)-IF(L7="",0,L7)&gt;0.001,MAX(CI7,DE7,EA7,EW7,FS7,GO7,HK7,IG7,JC7,JY7,KU7,LQ7)-IF(L7="",0,L7),"")</f>
        <v/>
      </c>
      <c r="BP7" s="24" t="str">
        <f>IF(MAX(CJ7,DF7,EB7,EX7,FT7,GP7,HL7,IH7,JD7,JZ7,KV7,LR7)-IF(N7="",0,N7)&gt;0.001,MAX(CJ7,DF7,EB7,EX7,FT7,GP7,HL7,IH7,JD7,JZ7,KV7,LR7)-IF(N7="",0,N7),"")</f>
        <v/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15.25</v>
      </c>
      <c r="LX7" s="63">
        <f t="shared" si="8"/>
        <v>9.1</v>
      </c>
      <c r="LY7" s="63">
        <f t="shared" si="9"/>
        <v>2.2000000000000002</v>
      </c>
      <c r="LZ7" s="63">
        <f t="shared" si="10"/>
        <v>14.6775</v>
      </c>
      <c r="MA7" s="63">
        <f t="shared" si="11"/>
        <v>0</v>
      </c>
      <c r="MB7" s="63">
        <f t="shared" si="12"/>
        <v>14.5</v>
      </c>
      <c r="MC7" s="63">
        <f t="shared" si="13"/>
        <v>9.1999999999999993</v>
      </c>
      <c r="MD7" s="63">
        <f t="shared" si="14"/>
        <v>9.8000000000000007</v>
      </c>
      <c r="ME7" s="63">
        <f t="shared" si="15"/>
        <v>14.469999999999999</v>
      </c>
      <c r="MF7" s="63">
        <f t="shared" si="16"/>
        <v>0</v>
      </c>
      <c r="MG7" s="63">
        <f t="shared" si="17"/>
        <v>15.25</v>
      </c>
      <c r="MH7" s="63">
        <f t="shared" si="18"/>
        <v>9.1</v>
      </c>
      <c r="MI7" s="63">
        <f t="shared" si="19"/>
        <v>8.9</v>
      </c>
      <c r="MJ7" s="63">
        <f t="shared" si="20"/>
        <v>14.414999999999999</v>
      </c>
      <c r="MK7" s="63">
        <f t="shared" si="21"/>
        <v>0.1</v>
      </c>
      <c r="ML7" s="74" t="s">
        <v>116</v>
      </c>
      <c r="MM7" s="12">
        <f t="shared" si="22"/>
        <v>9.8000000000000007</v>
      </c>
      <c r="MN7" s="12">
        <f t="shared" si="23"/>
        <v>41.227499999999999</v>
      </c>
      <c r="MO7" s="12">
        <f t="shared" si="24"/>
        <v>47.97</v>
      </c>
      <c r="MP7" s="12">
        <f t="shared" si="25"/>
        <v>89.197499999999991</v>
      </c>
      <c r="MQ7" s="12">
        <f t="shared" si="26"/>
        <v>8.9</v>
      </c>
      <c r="MR7" s="12">
        <f t="shared" si="27"/>
        <v>47.564999999999998</v>
      </c>
      <c r="MS7" s="12">
        <f t="shared" si="28"/>
        <v>136.76249999999999</v>
      </c>
    </row>
    <row r="8" spans="1:357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121</v>
      </c>
      <c r="C8" s="5" t="s">
        <v>4</v>
      </c>
      <c r="D8" s="27">
        <v>2001</v>
      </c>
      <c r="E8" s="16">
        <f>SUM(J8:R8)</f>
        <v>208.77500000000001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/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/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/>
      </c>
      <c r="I8" t="str">
        <f>IF(AND(H8="P",F8=""),"No DD",IF(AND(G8="P",OR(AND($AM8&gt;$AL$23,NOT($AM8=""),$AJ8=""),AND($AP8&gt;$AL$23,NOT($AP8=""),$AJ8=""),AND($BJ8&gt;$BI$23,NOT($BJ8=""),$BG8=""),AND($BM8&gt;$BI$23,NOT($BM8=""),$BG8=""),AND($CJ8&gt;$CI$23,NOT($CJ8="")),AND($CM8&gt;$CI$23,NOT($CM8="")),AND($DF8&gt;$DE$23,NOT($DF8="")),AND($DI8&gt;$DE$23,NOT($DI8="")),AND($EB8&gt;$EA$23,NOT($EB8="")),AND($EE8&gt;$EA$23,NOT($EE8="")),AND($EX8&gt;$EW$23,NOT($EX8="")),AND($FA8&gt;$EW$23,NOT($FA8="")),AND($FT8&gt;$FS$23,NOT($FT8="")),AND($FW8&gt;$FS$23,NOT($FW8="")),AND($GP8&gt;$GO$23,NOT($GP8="")),AND($GS8&gt;$GO$23,NOT($GS8="")),AND($HL8&gt;$HK$23,NOT($HL8="")),AND($HO8&gt;$HK$23,NOT($HO8="")),AND($IH8&gt;$IG$23,NOT($IH8="")),AND($IK8&gt;$IG$23,NOT($IK8="")),AND($JD8&gt;$JC$23,NOT($JD8="")),AND($JG8&gt;$JC$23,NOT($JG8="")),AND($JZ8&gt;$JY$23,NOT($JZ8="")),AND($KC8&gt;$JY$23,NOT($KC8="")),AND($KV8&gt;$KU$23,NOT($KV8="")),AND($KY8&gt;$KU$23,NOT($KY8="")),AND($LR8&gt;$LQ$23,NOT($LR8="")),AND($LU8&gt;$LQ$23,NOT($LU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/>
      </c>
      <c r="J8" s="15">
        <f>IF(MAX(AN8,BK8)&gt;0,MAX(AN8,BK8),"")</f>
        <v>89.63</v>
      </c>
      <c r="K8" s="15" t="str">
        <f>IF(J8="","",IF(J8=BK8,$AR$1,IF(J8=AN8,$U$1,"")))</f>
        <v>2018 Nationals</v>
      </c>
      <c r="L8" s="15">
        <f>IF($J8=$AN8,BI8,IF($J8=$BK8,AL8,MAX(AL8,BI8)))</f>
        <v>25.689999999999998</v>
      </c>
      <c r="M8" s="15" t="str">
        <f>IF(L8="","",IF(L8=BI8,$AR$1,IF(L8=AL8,$U$1,"")))</f>
        <v>2019 Elite Canada</v>
      </c>
      <c r="N8" s="15">
        <f>IF($J8=$AN8,BJ8,IF($J8=$BK8,AM8,MAX(AM8,BJ8)))</f>
        <v>44.935000000000002</v>
      </c>
      <c r="O8" s="15" t="str">
        <f>IF(N8="","",IF(AND(N8=BJ8,$K8&lt;&gt;$AR$1),$AR$1,IF(AND(N8=AM8,$K8&lt;&gt;$U$1),$U$1,"")))</f>
        <v>2019 Elite Canada</v>
      </c>
      <c r="P8" s="15">
        <f>IF(MAX(AP8,BM8)&gt;0,MAX(AP8,BM8),"")</f>
        <v>48.52</v>
      </c>
      <c r="Q8" s="15" t="str">
        <f>IF(P8="","",IF(P8=BM8,$AR$1,IF(P8=AP8,$U$1,"")))</f>
        <v>2018 Nationals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36">
        <v>16.100000000000001</v>
      </c>
      <c r="V8" s="36">
        <v>9.1999999999999993</v>
      </c>
      <c r="W8" s="36">
        <v>2.7</v>
      </c>
      <c r="X8" s="36">
        <v>14.574999999999999</v>
      </c>
      <c r="Y8" s="36">
        <v>0</v>
      </c>
      <c r="Z8" s="36">
        <v>13.6</v>
      </c>
      <c r="AA8" s="36">
        <v>9.4499999999999993</v>
      </c>
      <c r="AB8" s="36">
        <v>10</v>
      </c>
      <c r="AC8" s="36">
        <v>14.005000000000001</v>
      </c>
      <c r="AD8" s="36">
        <v>0</v>
      </c>
      <c r="AE8" s="36">
        <v>15.2</v>
      </c>
      <c r="AF8" s="36">
        <v>9.5</v>
      </c>
      <c r="AG8" s="36">
        <v>10</v>
      </c>
      <c r="AH8" s="36">
        <v>13.82</v>
      </c>
      <c r="AI8" s="36">
        <v>0</v>
      </c>
      <c r="AJ8" s="74"/>
      <c r="AK8" s="12">
        <f>IF(AB8&gt;0,AB8,"")</f>
        <v>10</v>
      </c>
      <c r="AL8" s="12">
        <f>IF(SUM(U8:X8)-Y8&gt;0,SUM(U8:X8)-Y8,"")</f>
        <v>42.575000000000003</v>
      </c>
      <c r="AM8" s="12">
        <f>IF(SUM(Z8:AC8)-AD8&gt;0,SUM(Z8:AC8)-AD8,"")</f>
        <v>47.055</v>
      </c>
      <c r="AN8" s="12">
        <f>IF(SUM(AL8:AM8)&gt;0,SUM(AL8:AM8),"")</f>
        <v>89.63</v>
      </c>
      <c r="AO8" s="12">
        <f>IF(AG8&gt;0,AG8,"")</f>
        <v>10</v>
      </c>
      <c r="AP8" s="12">
        <f>IF(SUM(AE8:AH8)-AI8&gt;0,SUM(AE8:AH8)-AI8,"")</f>
        <v>48.52</v>
      </c>
      <c r="AQ8" s="12">
        <f>IF(SUM(AN8,AP8)&gt;0,SUM(AN8,AP8),"")</f>
        <v>138.15</v>
      </c>
      <c r="AR8" s="69">
        <v>9.1</v>
      </c>
      <c r="AS8" s="69">
        <v>5.5</v>
      </c>
      <c r="AT8" s="69">
        <v>2.4</v>
      </c>
      <c r="AU8" s="69">
        <v>8.69</v>
      </c>
      <c r="AV8" s="69">
        <v>0</v>
      </c>
      <c r="AW8" s="69">
        <v>14.1</v>
      </c>
      <c r="AX8" s="69">
        <v>9.35</v>
      </c>
      <c r="AY8" s="69">
        <v>8.4</v>
      </c>
      <c r="AZ8" s="69">
        <v>14.185</v>
      </c>
      <c r="BA8" s="69">
        <v>1.1000000000000001</v>
      </c>
      <c r="BB8" s="69">
        <v>11.8</v>
      </c>
      <c r="BC8" s="69">
        <v>7.35</v>
      </c>
      <c r="BD8" s="69">
        <v>8.6999999999999993</v>
      </c>
      <c r="BE8" s="69">
        <v>11.28</v>
      </c>
      <c r="BF8" s="69">
        <v>0</v>
      </c>
      <c r="BG8" s="75"/>
      <c r="BH8" s="15">
        <f>IF(AY8&gt;0,AY8,"")</f>
        <v>8.4</v>
      </c>
      <c r="BI8" s="15">
        <f>IF(SUM(AR8:AU8)-AV8&gt;0,SUM(AR8:AU8)-AV8,"")</f>
        <v>25.689999999999998</v>
      </c>
      <c r="BJ8" s="15">
        <f>IF(SUM(AW8:AZ8)-BA8&gt;0,SUM(AW8:AZ8)-BA8,"")</f>
        <v>44.935000000000002</v>
      </c>
      <c r="BK8" s="15">
        <f>IF(SUM(BI8:BJ8)&gt;0,SUM(BI8:BJ8),"")</f>
        <v>70.625</v>
      </c>
      <c r="BL8" s="15">
        <f>IF(BD8&gt;0,BD8,"")</f>
        <v>8.6999999999999993</v>
      </c>
      <c r="BM8" s="15">
        <f>IF(SUM(BB8:BE8)-BF8&gt;0,SUM(BB8:BE8)-BF8,"")</f>
        <v>39.129999999999995</v>
      </c>
      <c r="BN8" s="15">
        <f>IF(SUM(BK8,BM8)&gt;0,SUM(BK8,BM8),"")</f>
        <v>109.755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12.600000000000001</v>
      </c>
      <c r="LX8" s="63">
        <f t="shared" si="8"/>
        <v>7.35</v>
      </c>
      <c r="LY8" s="63">
        <f t="shared" si="9"/>
        <v>2.5499999999999998</v>
      </c>
      <c r="LZ8" s="63">
        <f t="shared" si="10"/>
        <v>11.6325</v>
      </c>
      <c r="MA8" s="63">
        <f t="shared" si="11"/>
        <v>0</v>
      </c>
      <c r="MB8" s="63">
        <f t="shared" si="12"/>
        <v>13.85</v>
      </c>
      <c r="MC8" s="63">
        <f t="shared" si="13"/>
        <v>9.3999999999999986</v>
      </c>
      <c r="MD8" s="63">
        <f t="shared" si="14"/>
        <v>9.1999999999999993</v>
      </c>
      <c r="ME8" s="63">
        <f t="shared" si="15"/>
        <v>14.095000000000001</v>
      </c>
      <c r="MF8" s="63">
        <f t="shared" si="16"/>
        <v>0.55000000000000004</v>
      </c>
      <c r="MG8" s="63">
        <f t="shared" si="17"/>
        <v>13.5</v>
      </c>
      <c r="MH8" s="63">
        <f t="shared" si="18"/>
        <v>8.4250000000000007</v>
      </c>
      <c r="MI8" s="63">
        <f t="shared" si="19"/>
        <v>9.35</v>
      </c>
      <c r="MJ8" s="63">
        <f t="shared" si="20"/>
        <v>12.55</v>
      </c>
      <c r="MK8" s="63">
        <f t="shared" si="21"/>
        <v>0</v>
      </c>
      <c r="ML8" s="74" t="s">
        <v>116</v>
      </c>
      <c r="MM8" s="12">
        <f t="shared" si="22"/>
        <v>9.1999999999999993</v>
      </c>
      <c r="MN8" s="12">
        <f t="shared" si="23"/>
        <v>34.132500000000007</v>
      </c>
      <c r="MO8" s="12">
        <f t="shared" si="24"/>
        <v>45.995000000000005</v>
      </c>
      <c r="MP8" s="12">
        <f t="shared" si="25"/>
        <v>80.127500000000012</v>
      </c>
      <c r="MQ8" s="12">
        <f t="shared" si="26"/>
        <v>9.35</v>
      </c>
      <c r="MR8" s="12">
        <f t="shared" si="27"/>
        <v>43.825000000000003</v>
      </c>
      <c r="MS8" s="12">
        <f t="shared" si="28"/>
        <v>123.95250000000001</v>
      </c>
    </row>
    <row r="9" spans="1:357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95</v>
      </c>
      <c r="C9" s="5" t="s">
        <v>5</v>
      </c>
      <c r="D9" s="27">
        <v>2002</v>
      </c>
      <c r="E9" s="16">
        <f>SUM(J9:R9)</f>
        <v>190.44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/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/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/>
      </c>
      <c r="I9" t="str">
        <f>IF(AND(H9="P",F9=""),"No DD",IF(AND(G9="P",OR(AND($AM9&gt;$AL$23,NOT($AM9=""),$AJ9=""),AND($AP9&gt;$AL$23,NOT($AP9=""),$AJ9=""),AND($BJ9&gt;$BI$23,NOT($BJ9=""),$BG9=""),AND($BM9&gt;$BI$23,NOT($BM9=""),$BG9=""),AND($CJ9&gt;$CI$23,NOT($CJ9="")),AND($CM9&gt;$CI$23,NOT($CM9="")),AND($DF9&gt;$DE$23,NOT($DF9="")),AND($DI9&gt;$DE$23,NOT($DI9="")),AND($EB9&gt;$EA$23,NOT($EB9="")),AND($EE9&gt;$EA$23,NOT($EE9="")),AND($EX9&gt;$EW$23,NOT($EX9="")),AND($FA9&gt;$EW$23,NOT($FA9="")),AND($FT9&gt;$FS$23,NOT($FT9="")),AND($FW9&gt;$FS$23,NOT($FW9="")),AND($GP9&gt;$GO$23,NOT($GP9="")),AND($GS9&gt;$GO$23,NOT($GS9="")),AND($HL9&gt;$HK$23,NOT($HL9="")),AND($HO9&gt;$HK$23,NOT($HO9="")),AND($IH9&gt;$IG$23,NOT($IH9="")),AND($IK9&gt;$IG$23,NOT($IK9="")),AND($JD9&gt;$JC$23,NOT($JD9="")),AND($JG9&gt;$JC$23,NOT($JG9="")),AND($JZ9&gt;$JY$23,NOT($JZ9="")),AND($KC9&gt;$JY$23,NOT($KC9="")),AND($KV9&gt;$KU$23,NOT($KV9="")),AND($KY9&gt;$KU$23,NOT($KY9="")),AND($LR9&gt;$LQ$23,NOT($LR9="")),AND($LU9&gt;$LQ$23,NOT($LU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/>
      </c>
      <c r="J9" s="15">
        <f>IF(MAX(AN9,BK9)&gt;0,MAX(AN9,BK9),"")</f>
        <v>92.085000000000008</v>
      </c>
      <c r="K9" s="15" t="str">
        <f>IF(J9="","",IF(J9=BK9,$AR$1,IF(J9=AN9,$U$1,"")))</f>
        <v>2018 Nationals</v>
      </c>
      <c r="L9" s="15" t="str">
        <f>IF($J9=$AN9,BI9,IF($J9=$BK9,AL9,MAX(AL9,BI9)))</f>
        <v/>
      </c>
      <c r="M9" s="15" t="str">
        <f>IF(L9="","",IF(L9=BI9,$AR$1,IF(L9=AL9,$U$1,"")))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49.48</v>
      </c>
      <c r="Q9" s="15" t="str">
        <f>IF(P9="","",IF(P9=BM9,$AR$1,IF(P9=AP9,$U$1,"")))</f>
        <v>2018 Nationals</v>
      </c>
      <c r="R9" s="15">
        <f>IF(MAX(BO9,BP9,BQ9,BR9)&gt;0,MAX(BO9,BP9,BQ9,BR9),"")</f>
        <v>48.875</v>
      </c>
      <c r="S9" s="25" t="str">
        <f>IF(R9="","",IF(R9=BO9,"(Vol 1)",IF(R9=BP9,"(Vol 2)",IF(R9=BQ9,"(Prelim)",IF(R9=BR9,"(Final)")))))</f>
        <v>(Vol 2)</v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>2018 World Age Groups (Nov 18)</v>
      </c>
      <c r="U9" s="36">
        <v>16.899999999999999</v>
      </c>
      <c r="V9" s="36">
        <v>9.6</v>
      </c>
      <c r="W9" s="36">
        <v>3.1</v>
      </c>
      <c r="X9" s="36">
        <v>14.515000000000001</v>
      </c>
      <c r="Y9" s="36">
        <v>0</v>
      </c>
      <c r="Z9" s="36">
        <v>15.7</v>
      </c>
      <c r="AA9" s="36">
        <v>9.15</v>
      </c>
      <c r="AB9" s="36">
        <v>9.1</v>
      </c>
      <c r="AC9" s="36">
        <v>14.02</v>
      </c>
      <c r="AD9" s="36">
        <v>0</v>
      </c>
      <c r="AE9" s="36">
        <v>16.899999999999999</v>
      </c>
      <c r="AF9" s="36">
        <v>8.75</v>
      </c>
      <c r="AG9" s="36">
        <v>9.6999999999999993</v>
      </c>
      <c r="AH9" s="36">
        <v>14.13</v>
      </c>
      <c r="AI9" s="36">
        <v>0</v>
      </c>
      <c r="AJ9" s="74"/>
      <c r="AK9" s="12">
        <f>IF(AB9&gt;0,AB9,"")</f>
        <v>9.1</v>
      </c>
      <c r="AL9" s="12">
        <f>IF(SUM(U9:X9)-Y9&gt;0,SUM(U9:X9)-Y9,"")</f>
        <v>44.115000000000002</v>
      </c>
      <c r="AM9" s="12">
        <f>IF(SUM(Z9:AC9)-AD9&gt;0,SUM(Z9:AC9)-AD9,"")</f>
        <v>47.97</v>
      </c>
      <c r="AN9" s="12">
        <f>IF(SUM(AL9:AM9)&gt;0,SUM(AL9:AM9),"")</f>
        <v>92.085000000000008</v>
      </c>
      <c r="AO9" s="12">
        <f>IF(AG9&gt;0,AG9,"")</f>
        <v>9.6999999999999993</v>
      </c>
      <c r="AP9" s="12">
        <f>IF(SUM(AE9:AH9)-AI9&gt;0,SUM(AE9:AH9)-AI9,"")</f>
        <v>49.48</v>
      </c>
      <c r="AQ9" s="12">
        <f>IF(SUM(AN9,AP9)&gt;0,SUM(AN9,AP9),"")</f>
        <v>141.565</v>
      </c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75"/>
      <c r="BH9" s="15" t="str">
        <f>IF(AY9&gt;0,AY9,"")</f>
        <v/>
      </c>
      <c r="BI9" s="15" t="str">
        <f>IF(SUM(AR9:AU9)-AV9&gt;0,SUM(AR9:AU9)-AV9,"")</f>
        <v/>
      </c>
      <c r="BJ9" s="15" t="str">
        <f>IF(SUM(AW9:AZ9)-BA9&gt;0,SUM(AW9:AZ9)-BA9,"")</f>
        <v/>
      </c>
      <c r="BK9" s="15" t="str">
        <f>IF(SUM(BI9:BJ9)&gt;0,SUM(BI9:BJ9),"")</f>
        <v/>
      </c>
      <c r="BL9" s="15" t="str">
        <f>IF(BD9&gt;0,BD9,"")</f>
        <v/>
      </c>
      <c r="BM9" s="15" t="str">
        <f>IF(SUM(BB9:BE9)-BF9&gt;0,SUM(BB9:BE9)-BF9,"")</f>
        <v/>
      </c>
      <c r="BN9" s="15" t="str">
        <f>IF(SUM(BK9,BM9)&gt;0,SUM(BK9,BM9),"")</f>
        <v/>
      </c>
      <c r="BO9" s="24">
        <f>IF(MAX(CI9,DE9,EA9,EW9,FS9,GO9,HK9,IG9,JC9,JY9,KU9,LQ9)-IF(L9="",0,L9)&gt;0.001,MAX(CI9,DE9,EA9,EW9,FS9,GO9,HK9,IG9,JC9,JY9,KU9,LQ9)-IF(L9="",0,L9),"")</f>
        <v>40.270000000000003</v>
      </c>
      <c r="BP9" s="24">
        <f>IF(MAX(CJ9,DF9,EB9,EX9,FT9,GP9,HL9,IH9,JD9,JZ9,KV9,LR9)-IF(N9="",0,N9)&gt;0.001,MAX(CJ9,DF9,EB9,EX9,FT9,GP9,HL9,IH9,JD9,JZ9,KV9,LR9)-IF(N9="",0,N9),"")</f>
        <v>48.875</v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>
        <v>16.5</v>
      </c>
      <c r="BT9" s="36">
        <v>9.3000000000000007</v>
      </c>
      <c r="BU9" s="36">
        <v>0</v>
      </c>
      <c r="BV9" s="36">
        <v>14.47</v>
      </c>
      <c r="BW9" s="36">
        <v>0</v>
      </c>
      <c r="BX9" s="36">
        <v>15.6</v>
      </c>
      <c r="BY9" s="36">
        <v>9.6999999999999993</v>
      </c>
      <c r="BZ9" s="36">
        <v>9.5</v>
      </c>
      <c r="CA9" s="36">
        <v>14.074999999999999</v>
      </c>
      <c r="CB9" s="36">
        <v>0</v>
      </c>
      <c r="CC9" s="36"/>
      <c r="CD9" s="36"/>
      <c r="CE9" s="36"/>
      <c r="CF9" s="36"/>
      <c r="CG9" s="36"/>
      <c r="CH9" s="12">
        <f>IF(BZ9&gt;0,BZ9,"")</f>
        <v>9.5</v>
      </c>
      <c r="CI9" s="12">
        <f>IF(SUM(BS9:BV9)-BW9&gt;0,SUM(BS9:BV9)-BW9,"")</f>
        <v>40.270000000000003</v>
      </c>
      <c r="CJ9" s="12">
        <f>IF(SUM(BX9:CA9)-CB9&gt;0,SUM(BX9:CA9)-CB9,"")</f>
        <v>48.875</v>
      </c>
      <c r="CK9" s="12">
        <f>IF(SUM(CI9:CJ9)&gt;0,SUM(CI9:CJ9),"")</f>
        <v>89.14500000000001</v>
      </c>
      <c r="CL9" s="12" t="str">
        <f>IF(CE9&gt;0,CE9,"")</f>
        <v/>
      </c>
      <c r="CM9" s="12" t="str">
        <f>IF(SUM(CC9:CF9)-CG9&gt;0,SUM(CC9:CF9)-CG9,"")</f>
        <v/>
      </c>
      <c r="CN9" s="12">
        <f>IF(SUM(CK9,CM9)&gt;0,SUM(CK9,CM9),"")</f>
        <v>89.14500000000001</v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8.4499999999999993</v>
      </c>
      <c r="LX9" s="63">
        <f t="shared" si="8"/>
        <v>4.8</v>
      </c>
      <c r="LY9" s="63">
        <f t="shared" si="9"/>
        <v>1.55</v>
      </c>
      <c r="LZ9" s="63">
        <f t="shared" si="10"/>
        <v>7.2575000000000003</v>
      </c>
      <c r="MA9" s="63">
        <f t="shared" si="11"/>
        <v>0</v>
      </c>
      <c r="MB9" s="63">
        <f t="shared" si="12"/>
        <v>7.85</v>
      </c>
      <c r="MC9" s="63">
        <f t="shared" si="13"/>
        <v>4.5750000000000002</v>
      </c>
      <c r="MD9" s="63">
        <f t="shared" si="14"/>
        <v>4.55</v>
      </c>
      <c r="ME9" s="63">
        <f t="shared" si="15"/>
        <v>7.01</v>
      </c>
      <c r="MF9" s="63">
        <f t="shared" si="16"/>
        <v>0</v>
      </c>
      <c r="MG9" s="63">
        <f t="shared" si="17"/>
        <v>8.4499999999999993</v>
      </c>
      <c r="MH9" s="63">
        <f t="shared" si="18"/>
        <v>4.375</v>
      </c>
      <c r="MI9" s="63">
        <f t="shared" si="19"/>
        <v>4.8499999999999996</v>
      </c>
      <c r="MJ9" s="63">
        <f t="shared" si="20"/>
        <v>7.0650000000000004</v>
      </c>
      <c r="MK9" s="63">
        <f t="shared" si="21"/>
        <v>0</v>
      </c>
      <c r="ML9" s="74" t="s">
        <v>116</v>
      </c>
      <c r="MM9" s="12">
        <f t="shared" si="22"/>
        <v>4.55</v>
      </c>
      <c r="MN9" s="12">
        <f t="shared" si="23"/>
        <v>22.057500000000001</v>
      </c>
      <c r="MO9" s="12">
        <f t="shared" si="24"/>
        <v>23.984999999999999</v>
      </c>
      <c r="MP9" s="12">
        <f t="shared" si="25"/>
        <v>46.042500000000004</v>
      </c>
      <c r="MQ9" s="12">
        <f t="shared" si="26"/>
        <v>4.8499999999999996</v>
      </c>
      <c r="MR9" s="12">
        <f t="shared" si="27"/>
        <v>24.74</v>
      </c>
      <c r="MS9" s="12">
        <f t="shared" si="28"/>
        <v>70.782499999999999</v>
      </c>
    </row>
    <row r="10" spans="1:357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98</v>
      </c>
      <c r="C10" s="5" t="s">
        <v>3</v>
      </c>
      <c r="D10" s="27">
        <v>2001</v>
      </c>
      <c r="E10" s="16">
        <f>SUM(J10:R10)</f>
        <v>180.53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/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/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/>
      </c>
      <c r="I10" t="str">
        <f>IF(AND(H10="P",F10=""),"No DD",IF(AND(G10="P",OR(AND($AM10&gt;$AL$23,NOT($AM10=""),$AJ10=""),AND($AP10&gt;$AL$23,NOT($AP10=""),$AJ10=""),AND($BJ10&gt;$BI$23,NOT($BJ10=""),$BG10=""),AND($BM10&gt;$BI$23,NOT($BM10=""),$BG10=""),AND($CJ10&gt;$CI$23,NOT($CJ10="")),AND($CM10&gt;$CI$23,NOT($CM10="")),AND($DF10&gt;$DE$23,NOT($DF10="")),AND($DI10&gt;$DE$23,NOT($DI10="")),AND($EB10&gt;$EA$23,NOT($EB10="")),AND($EE10&gt;$EA$23,NOT($EE10="")),AND($EX10&gt;$EW$23,NOT($EX10="")),AND($FA10&gt;$EW$23,NOT($FA10="")),AND($FT10&gt;$FS$23,NOT($FT10="")),AND($FW10&gt;$FS$23,NOT($FW10="")),AND($GP10&gt;$GO$23,NOT($GP10="")),AND($GS10&gt;$GO$23,NOT($GS10="")),AND($HL10&gt;$HK$23,NOT($HL10="")),AND($HO10&gt;$HK$23,NOT($HO10="")),AND($IH10&gt;$IG$23,NOT($IH10="")),AND($IK10&gt;$IG$23,NOT($IK10="")),AND($JD10&gt;$JC$23,NOT($JD10="")),AND($JG10&gt;$JC$23,NOT($JG10="")),AND($JZ10&gt;$JY$23,NOT($JZ10="")),AND($KC10&gt;$JY$23,NOT($KC10="")),AND($KV10&gt;$KU$23,NOT($KV10="")),AND($KY10&gt;$KU$23,NOT($KY10="")),AND($LR10&gt;$LQ$23,NOT($LR10="")),AND($LU10&gt;$LQ$23,NOT($LU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/>
      </c>
      <c r="J10" s="15">
        <f>IF(MAX(AN10,BK10)&gt;0,MAX(AN10,BK10),"")</f>
        <v>73.435000000000002</v>
      </c>
      <c r="K10" s="15" t="str">
        <f>IF(J10="","",IF(J10=BK10,$AR$1,IF(J10=AN10,$U$1,"")))</f>
        <v>2019 Elite Canada</v>
      </c>
      <c r="L10" s="15">
        <f>IF($J10=$AN10,BI10,IF($J10=$BK10,AL10,MAX(AL10,BI10)))</f>
        <v>16.254999999999999</v>
      </c>
      <c r="M10" s="15" t="str">
        <f>IF(L10="","",IF(L10=BI10,$AR$1,IF(L10=AL10,$U$1,"")))</f>
        <v>2018 Nationals</v>
      </c>
      <c r="N10" s="15">
        <f>IF($J10=$AN10,BJ10,IF($J10=$BK10,AM10,MAX(AM10,BJ10)))</f>
        <v>42.43</v>
      </c>
      <c r="O10" s="15" t="str">
        <f>IF(N10="","",IF(AND(N10=BJ10,$K10&lt;&gt;$AR$1),$AR$1,IF(AND(N10=AM10,$K10&lt;&gt;$U$1),$U$1,"")))</f>
        <v>2018 Nationals</v>
      </c>
      <c r="P10" s="15">
        <f>IF(MAX(AP10,BM10)&gt;0,MAX(AP10,BM10),"")</f>
        <v>48.41</v>
      </c>
      <c r="Q10" s="15" t="str">
        <f>IF(P10="","",IF(P10=BM10,$AR$1,IF(P10=AP10,$U$1,"")))</f>
        <v>2018 Nationals</v>
      </c>
      <c r="R10" s="15" t="str">
        <f>IF(MAX(BO10,BP10,BQ10,BR10)&gt;0,MAX(BO10,BP10,BQ10,BR10),"")</f>
        <v/>
      </c>
      <c r="S10" s="25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6">
        <v>6.2</v>
      </c>
      <c r="V10" s="36">
        <v>3.55</v>
      </c>
      <c r="W10" s="36">
        <v>0.6</v>
      </c>
      <c r="X10" s="36">
        <v>5.9050000000000002</v>
      </c>
      <c r="Y10" s="36">
        <v>0</v>
      </c>
      <c r="Z10" s="36">
        <v>10.199999999999999</v>
      </c>
      <c r="AA10" s="36">
        <v>8.65</v>
      </c>
      <c r="AB10" s="36">
        <v>9.9</v>
      </c>
      <c r="AC10" s="36">
        <v>13.68</v>
      </c>
      <c r="AD10" s="36">
        <v>0</v>
      </c>
      <c r="AE10" s="36">
        <v>14.8</v>
      </c>
      <c r="AF10" s="36">
        <v>9.15</v>
      </c>
      <c r="AG10" s="36">
        <v>10.3</v>
      </c>
      <c r="AH10" s="36">
        <v>14.16</v>
      </c>
      <c r="AI10" s="36">
        <v>0</v>
      </c>
      <c r="AJ10" s="74"/>
      <c r="AK10" s="12">
        <f>IF(AB10&gt;0,AB10,"")</f>
        <v>9.9</v>
      </c>
      <c r="AL10" s="12">
        <f>IF(SUM(U10:X10)-Y10&gt;0,SUM(U10:X10)-Y10,"")</f>
        <v>16.254999999999999</v>
      </c>
      <c r="AM10" s="12">
        <f>IF(SUM(Z10:AC10)-AD10&gt;0,SUM(Z10:AC10)-AD10,"")</f>
        <v>42.43</v>
      </c>
      <c r="AN10" s="12">
        <f>IF(SUM(AL10:AM10)&gt;0,SUM(AL10:AM10),"")</f>
        <v>58.685000000000002</v>
      </c>
      <c r="AO10" s="12">
        <f>IF(AG10&gt;0,AG10,"")</f>
        <v>10.3</v>
      </c>
      <c r="AP10" s="12">
        <f>IF(SUM(AE10:AH10)-AI10&gt;0,SUM(AE10:AH10)-AI10,"")</f>
        <v>48.41</v>
      </c>
      <c r="AQ10" s="12">
        <f>IF(SUM(AN10,AP10)&gt;0,SUM(AN10,AP10),"")</f>
        <v>107.095</v>
      </c>
      <c r="AR10" s="69">
        <v>16.3</v>
      </c>
      <c r="AS10" s="69">
        <v>9.75</v>
      </c>
      <c r="AT10" s="69">
        <v>3.9</v>
      </c>
      <c r="AU10" s="69">
        <v>14.385</v>
      </c>
      <c r="AV10" s="69">
        <v>0</v>
      </c>
      <c r="AW10" s="69">
        <v>9</v>
      </c>
      <c r="AX10" s="69">
        <v>5.25</v>
      </c>
      <c r="AY10" s="69">
        <v>6.4</v>
      </c>
      <c r="AZ10" s="69">
        <v>8.4499999999999993</v>
      </c>
      <c r="BA10" s="69">
        <v>0</v>
      </c>
      <c r="BB10" s="69">
        <v>15.1</v>
      </c>
      <c r="BC10" s="69">
        <v>9.1</v>
      </c>
      <c r="BD10" s="69">
        <v>10.3</v>
      </c>
      <c r="BE10" s="69">
        <v>13.84</v>
      </c>
      <c r="BF10" s="69">
        <v>0</v>
      </c>
      <c r="BG10" s="75"/>
      <c r="BH10" s="15">
        <f>IF(AY10&gt;0,AY10,"")</f>
        <v>6.4</v>
      </c>
      <c r="BI10" s="15">
        <f>IF(SUM(AR10:AU10)-AV10&gt;0,SUM(AR10:AU10)-AV10,"")</f>
        <v>44.335000000000001</v>
      </c>
      <c r="BJ10" s="15">
        <f>IF(SUM(AW10:AZ10)-BA10&gt;0,SUM(AW10:AZ10)-BA10,"")</f>
        <v>29.099999999999998</v>
      </c>
      <c r="BK10" s="15">
        <f>IF(SUM(BI10:BJ10)&gt;0,SUM(BI10:BJ10),"")</f>
        <v>73.435000000000002</v>
      </c>
      <c r="BL10" s="15">
        <f>IF(BD10&gt;0,BD10,"")</f>
        <v>10.3</v>
      </c>
      <c r="BM10" s="15">
        <f>IF(SUM(BB10:BE10)-BF10&gt;0,SUM(BB10:BE10)-BF10,"")</f>
        <v>48.34</v>
      </c>
      <c r="BN10" s="15">
        <f>IF(SUM(BK10,BM10)&gt;0,SUM(BK10,BM10),"")</f>
        <v>121.77500000000001</v>
      </c>
      <c r="BO10" s="24" t="str">
        <f>IF(MAX(CI10,DE10,EA10,EW10,FS10,GO10,HK10,IG10,JC10,JY10,KU10,LQ10)-IF(L10="",0,L10)&gt;0.001,MAX(CI10,DE10,EA10,EW10,FS10,GO10,HK10,IG10,JC10,JY10,KU10,LQ10)-IF(L10="",0,L10),"")</f>
        <v/>
      </c>
      <c r="BP10" s="24" t="str">
        <f>IF(MAX(CJ10,DF10,EB10,EX10,FT10,GP10,HL10,IH10,JD10,JZ10,KV10,LR10)-IF(N10="",0,N10)&gt;0.001,MAX(CJ10,DF10,EB10,EX10,FT10,GP10,HL10,IH10,JD10,JZ10,KV10,LR10)-IF(N10="",0,N10),"")</f>
        <v/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11.25</v>
      </c>
      <c r="LX10" s="63">
        <f t="shared" si="8"/>
        <v>6.65</v>
      </c>
      <c r="LY10" s="63">
        <f t="shared" si="9"/>
        <v>2.25</v>
      </c>
      <c r="LZ10" s="63">
        <f t="shared" si="10"/>
        <v>10.145</v>
      </c>
      <c r="MA10" s="63">
        <f t="shared" si="11"/>
        <v>0</v>
      </c>
      <c r="MB10" s="63">
        <f t="shared" si="12"/>
        <v>9.6</v>
      </c>
      <c r="MC10" s="63">
        <f t="shared" si="13"/>
        <v>6.95</v>
      </c>
      <c r="MD10" s="63">
        <f t="shared" si="14"/>
        <v>8.15</v>
      </c>
      <c r="ME10" s="63">
        <f t="shared" si="15"/>
        <v>11.065</v>
      </c>
      <c r="MF10" s="63">
        <f t="shared" si="16"/>
        <v>0</v>
      </c>
      <c r="MG10" s="63">
        <f t="shared" si="17"/>
        <v>14.95</v>
      </c>
      <c r="MH10" s="63">
        <f t="shared" si="18"/>
        <v>9.125</v>
      </c>
      <c r="MI10" s="63">
        <f t="shared" si="19"/>
        <v>10.3</v>
      </c>
      <c r="MJ10" s="63">
        <f t="shared" si="20"/>
        <v>14</v>
      </c>
      <c r="MK10" s="63">
        <f t="shared" si="21"/>
        <v>0</v>
      </c>
      <c r="ML10" s="74" t="s">
        <v>116</v>
      </c>
      <c r="MM10" s="12">
        <f t="shared" si="22"/>
        <v>8.15</v>
      </c>
      <c r="MN10" s="12">
        <f t="shared" si="23"/>
        <v>30.294999999999998</v>
      </c>
      <c r="MO10" s="12">
        <f t="shared" si="24"/>
        <v>35.765000000000001</v>
      </c>
      <c r="MP10" s="12">
        <f t="shared" si="25"/>
        <v>66.06</v>
      </c>
      <c r="MQ10" s="12">
        <f t="shared" si="26"/>
        <v>10.3</v>
      </c>
      <c r="MR10" s="12">
        <f t="shared" si="27"/>
        <v>48.375</v>
      </c>
      <c r="MS10" s="12">
        <f t="shared" si="28"/>
        <v>114.435</v>
      </c>
    </row>
    <row r="11" spans="1:357" x14ac:dyDescent="0.2">
      <c r="A11" s="6">
        <f>IF(AND(F11="P",H11="P"),SUMPRODUCT((F$4:F$16="P")*(H$4:H$16="P")*(E$4:E$16&gt;E11))+1,IF(H11="P",SUMPRODUCT((F$4:F$16="")*(H$4:H$16="P")*(E$4:E$16&gt;E11))+1+SUMPRODUCT((F$4:F$16="P")*(H$4:H$16="P")),""))</f>
        <v>5</v>
      </c>
      <c r="B11" s="9" t="s">
        <v>122</v>
      </c>
      <c r="C11" s="5" t="s">
        <v>6</v>
      </c>
      <c r="D11" s="27">
        <v>2002</v>
      </c>
      <c r="E11" s="16">
        <f>SUM(J11:R11)</f>
        <v>142.48500000000001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/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>P</v>
      </c>
      <c r="I11" t="str">
        <f>IF(AND(H11="P",F11=""),"No DD",IF(AND(G11="P",OR(AND($AM11&gt;$AL$23,NOT($AM11=""),$AJ11=""),AND($AP11&gt;$AL$23,NOT($AP11=""),$AJ11=""),AND($BJ11&gt;$BI$23,NOT($BJ11=""),$BG11=""),AND($BM11&gt;$BI$23,NOT($BM11=""),$BG11=""),AND($CJ11&gt;$CI$23,NOT($CJ11="")),AND($CM11&gt;$CI$23,NOT($CM11="")),AND($DF11&gt;$DE$23,NOT($DF11="")),AND($DI11&gt;$DE$23,NOT($DI11="")),AND($EB11&gt;$EA$23,NOT($EB11="")),AND($EE11&gt;$EA$23,NOT($EE11="")),AND($EX11&gt;$EW$23,NOT($EX11="")),AND($FA11&gt;$EW$23,NOT($FA11="")),AND($FT11&gt;$FS$23,NOT($FT11="")),AND($FW11&gt;$FS$23,NOT($FW11="")),AND($GP11&gt;$GO$23,NOT($GP11="")),AND($GS11&gt;$GO$23,NOT($GS11="")),AND($HL11&gt;$HK$23,NOT($HL11="")),AND($HO11&gt;$HK$23,NOT($HO11="")),AND($IH11&gt;$IG$23,NOT($IH11="")),AND($IK11&gt;$IG$23,NOT($IK11="")),AND($JD11&gt;$JC$23,NOT($JD11="")),AND($JG11&gt;$JC$23,NOT($JG11="")),AND($JZ11&gt;$JY$23,NOT($JZ11="")),AND($KC11&gt;$JY$23,NOT($KC11="")),AND($KV11&gt;$KU$23,NOT($KV11="")),AND($KY11&gt;$KU$23,NOT($KY11="")),AND($LR11&gt;$LQ$23,NOT($LR11="")),AND($LU11&gt;$LQ$23,NOT($LU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>No DD</v>
      </c>
      <c r="J11" s="15">
        <f>IF(MAX(AN11,BK11)&gt;0,MAX(AN11,BK11),"")</f>
        <v>93.365000000000009</v>
      </c>
      <c r="K11" s="15" t="str">
        <f>IF(J11="","",IF(J11=BK11,$AR$1,IF(J11=AN11,$U$1,"")))</f>
        <v>2019 Elite Canada</v>
      </c>
      <c r="L11" s="15" t="str">
        <f>IF($J11=$AN11,BI11,IF($J11=$BK11,AL11,MAX(AL11,BI11)))</f>
        <v/>
      </c>
      <c r="M11" s="15" t="str">
        <f>IF(L11="","",IF(L11=BI11,$AR$1,IF(L11=AL11,$U$1,"")))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49.120000000000005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5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74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69">
        <v>17</v>
      </c>
      <c r="AS11" s="69">
        <v>9.4499999999999993</v>
      </c>
      <c r="AT11" s="69">
        <v>3.8</v>
      </c>
      <c r="AU11" s="69">
        <v>14.29</v>
      </c>
      <c r="AV11" s="69">
        <v>0</v>
      </c>
      <c r="AW11" s="69">
        <v>15</v>
      </c>
      <c r="AX11" s="69">
        <v>9.35</v>
      </c>
      <c r="AY11" s="69">
        <v>10.5</v>
      </c>
      <c r="AZ11" s="69">
        <v>13.975</v>
      </c>
      <c r="BA11" s="69">
        <v>0</v>
      </c>
      <c r="BB11" s="69">
        <v>15.4</v>
      </c>
      <c r="BC11" s="69">
        <v>9.3000000000000007</v>
      </c>
      <c r="BD11" s="69">
        <v>10.5</v>
      </c>
      <c r="BE11" s="69">
        <v>13.92</v>
      </c>
      <c r="BF11" s="69">
        <v>0</v>
      </c>
      <c r="BG11" s="75"/>
      <c r="BH11" s="15">
        <f>IF(AY11&gt;0,AY11,"")</f>
        <v>10.5</v>
      </c>
      <c r="BI11" s="15">
        <f>IF(SUM(AR11:AU11)-AV11&gt;0,SUM(AR11:AU11)-AV11,"")</f>
        <v>44.54</v>
      </c>
      <c r="BJ11" s="15">
        <f>IF(SUM(AW11:AZ11)-BA11&gt;0,SUM(AW11:AZ11)-BA11,"")</f>
        <v>48.825000000000003</v>
      </c>
      <c r="BK11" s="15">
        <f>IF(SUM(BI11:BJ11)&gt;0,SUM(BI11:BJ11),"")</f>
        <v>93.365000000000009</v>
      </c>
      <c r="BL11" s="15">
        <f>IF(BD11&gt;0,BD11,"")</f>
        <v>10.5</v>
      </c>
      <c r="BM11" s="15">
        <f>IF(SUM(BB11:BE11)-BF11&gt;0,SUM(BB11:BE11)-BF11,"")</f>
        <v>49.120000000000005</v>
      </c>
      <c r="BN11" s="15">
        <f>IF(SUM(BK11,BM11)&gt;0,SUM(BK11,BM11),"")</f>
        <v>142.48500000000001</v>
      </c>
      <c r="BO11" s="24" t="str">
        <f>IF(MAX(CI11,DE11,EA11,EW11,FS11,GO11,HK11,IG11,JC11,JY11,KU11,LQ11)-IF(L11="",0,L11)&gt;0.001,MAX(CI11,DE11,EA11,EW11,FS11,GO11,HK11,IG11,JC11,JY11,KU11,LQ11)-IF(L11="",0,L11),"")</f>
        <v/>
      </c>
      <c r="BP11" s="24" t="str">
        <f>IF(MAX(CJ11,DF11,EB11,EX11,FT11,GP11,HL11,IH11,JD11,JZ11,KV11,LR11)-IF(N11="",0,N11)&gt;0.001,MAX(CJ11,DF11,EB11,EX11,FT11,GP11,HL11,IH11,JD11,JZ11,KV11,LR11)-IF(N11="",0,N11),"")</f>
        <v/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8.5</v>
      </c>
      <c r="LX11" s="63">
        <f t="shared" si="8"/>
        <v>4.7249999999999996</v>
      </c>
      <c r="LY11" s="63">
        <f t="shared" si="9"/>
        <v>1.9</v>
      </c>
      <c r="LZ11" s="63">
        <f t="shared" si="10"/>
        <v>7.1449999999999996</v>
      </c>
      <c r="MA11" s="63">
        <f t="shared" si="11"/>
        <v>0</v>
      </c>
      <c r="MB11" s="63">
        <f t="shared" si="12"/>
        <v>7.5</v>
      </c>
      <c r="MC11" s="63">
        <f t="shared" si="13"/>
        <v>4.6749999999999998</v>
      </c>
      <c r="MD11" s="63">
        <f t="shared" si="14"/>
        <v>5.25</v>
      </c>
      <c r="ME11" s="63">
        <f t="shared" si="15"/>
        <v>6.9874999999999998</v>
      </c>
      <c r="MF11" s="63">
        <f t="shared" si="16"/>
        <v>0</v>
      </c>
      <c r="MG11" s="63">
        <f t="shared" si="17"/>
        <v>7.7</v>
      </c>
      <c r="MH11" s="63">
        <f t="shared" si="18"/>
        <v>4.6500000000000004</v>
      </c>
      <c r="MI11" s="63">
        <f t="shared" si="19"/>
        <v>5.25</v>
      </c>
      <c r="MJ11" s="63">
        <f t="shared" si="20"/>
        <v>6.96</v>
      </c>
      <c r="MK11" s="63">
        <f t="shared" si="21"/>
        <v>0</v>
      </c>
      <c r="ML11" s="74" t="s">
        <v>116</v>
      </c>
      <c r="MM11" s="12">
        <f t="shared" si="22"/>
        <v>5.25</v>
      </c>
      <c r="MN11" s="12">
        <f t="shared" si="23"/>
        <v>22.27</v>
      </c>
      <c r="MO11" s="12">
        <f t="shared" si="24"/>
        <v>24.412500000000001</v>
      </c>
      <c r="MP11" s="12">
        <f t="shared" si="25"/>
        <v>46.682500000000005</v>
      </c>
      <c r="MQ11" s="12">
        <f t="shared" si="26"/>
        <v>5.25</v>
      </c>
      <c r="MR11" s="12">
        <f t="shared" si="27"/>
        <v>24.560000000000002</v>
      </c>
      <c r="MS11" s="12">
        <f t="shared" si="28"/>
        <v>71.242500000000007</v>
      </c>
    </row>
    <row r="12" spans="1:357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99</v>
      </c>
      <c r="C12" s="5" t="s">
        <v>3</v>
      </c>
      <c r="D12" s="27">
        <v>2000</v>
      </c>
      <c r="E12" s="16">
        <f>SUM(J12:R12)</f>
        <v>137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/>
      </c>
      <c r="I12" t="str">
        <f>IF(AND(H12="P",F12=""),"No DD",IF(AND(G12="P",OR(AND($AM12&gt;$AL$23,NOT($AM12=""),$AJ12=""),AND($AP12&gt;$AL$23,NOT($AP12=""),$AJ12=""),AND($BJ12&gt;$BI$23,NOT($BJ12=""),$BG12=""),AND($BM12&gt;$BI$23,NOT($BM12=""),$BG12=""),AND($CJ12&gt;$CI$23,NOT($CJ12="")),AND($CM12&gt;$CI$23,NOT($CM12="")),AND($DF12&gt;$DE$23,NOT($DF12="")),AND($DI12&gt;$DE$23,NOT($DI12="")),AND($EB12&gt;$EA$23,NOT($EB12="")),AND($EE12&gt;$EA$23,NOT($EE12="")),AND($EX12&gt;$EW$23,NOT($EX12="")),AND($FA12&gt;$EW$23,NOT($FA12="")),AND($FT12&gt;$FS$23,NOT($FT12="")),AND($FW12&gt;$FS$23,NOT($FW12="")),AND($GP12&gt;$GO$23,NOT($GP12="")),AND($GS12&gt;$GO$23,NOT($GS12="")),AND($HL12&gt;$HK$23,NOT($HL12="")),AND($HO12&gt;$HK$23,NOT($HO12="")),AND($IH12&gt;$IG$23,NOT($IH12="")),AND($IK12&gt;$IG$23,NOT($IK12="")),AND($JD12&gt;$JC$23,NOT($JD12="")),AND($JG12&gt;$JC$23,NOT($JG12="")),AND($JZ12&gt;$JY$23,NOT($JZ12="")),AND($KC12&gt;$JY$23,NOT($KC12="")),AND($KV12&gt;$KU$23,NOT($KV12="")),AND($KY12&gt;$KU$23,NOT($KY12="")),AND($LR12&gt;$LQ$23,NOT($LR12="")),AND($LU12&gt;$LQ$23,NOT($LU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/>
      </c>
      <c r="J12" s="15">
        <f>IF(MAX(AN12,BK12)&gt;0,MAX(AN12,BK12),"")</f>
        <v>90.47</v>
      </c>
      <c r="K12" s="15" t="str">
        <f>IF(J12="","",IF(J12=BK12,$AR$1,IF(J12=AN12,$U$1,"")))</f>
        <v>2018 Nationals</v>
      </c>
      <c r="L12" s="15" t="str">
        <f>IF($J12=$AN12,BI12,IF($J12=$BK12,AL12,MAX(AL12,BI12)))</f>
        <v/>
      </c>
      <c r="M12" s="15" t="str">
        <f>IF(L12="","",IF(L12=BI12,$AR$1,IF(L12=AL12,$U$1,"")))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46.53</v>
      </c>
      <c r="Q12" s="15" t="str">
        <f>IF(P12="","",IF(P12=BM12,$AR$1,IF(P12=AP12,$U$1,"")))</f>
        <v>2018 Nationals</v>
      </c>
      <c r="R12" s="15" t="str">
        <f>IF(MAX(BO12,BP12,BQ12,BR12)&gt;0,MAX(BO12,BP12,BQ12,BR12),"")</f>
        <v/>
      </c>
      <c r="S12" s="25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6">
        <v>16.600000000000001</v>
      </c>
      <c r="V12" s="36">
        <v>9.6</v>
      </c>
      <c r="W12" s="36">
        <v>3.9</v>
      </c>
      <c r="X12" s="36">
        <v>14.77</v>
      </c>
      <c r="Y12" s="36">
        <v>0</v>
      </c>
      <c r="Z12" s="36">
        <v>12.6</v>
      </c>
      <c r="AA12" s="36">
        <v>9.3000000000000007</v>
      </c>
      <c r="AB12" s="36">
        <v>9.8000000000000007</v>
      </c>
      <c r="AC12" s="36">
        <v>13.9</v>
      </c>
      <c r="AD12" s="36">
        <v>0</v>
      </c>
      <c r="AE12" s="36">
        <v>14.3</v>
      </c>
      <c r="AF12" s="36">
        <v>9.15</v>
      </c>
      <c r="AG12" s="36">
        <v>9.1</v>
      </c>
      <c r="AH12" s="36">
        <v>13.98</v>
      </c>
      <c r="AI12" s="36">
        <v>0</v>
      </c>
      <c r="AJ12" s="74"/>
      <c r="AK12" s="12">
        <f>IF(AB12&gt;0,AB12,"")</f>
        <v>9.8000000000000007</v>
      </c>
      <c r="AL12" s="12">
        <f>IF(SUM(U12:X12)-Y12&gt;0,SUM(U12:X12)-Y12,"")</f>
        <v>44.870000000000005</v>
      </c>
      <c r="AM12" s="12">
        <f>IF(SUM(Z12:AC12)-AD12&gt;0,SUM(Z12:AC12)-AD12,"")</f>
        <v>45.6</v>
      </c>
      <c r="AN12" s="12">
        <f>IF(SUM(AL12:AM12)&gt;0,SUM(AL12:AM12),"")</f>
        <v>90.47</v>
      </c>
      <c r="AO12" s="12">
        <f>IF(AG12&gt;0,AG12,"")</f>
        <v>9.1</v>
      </c>
      <c r="AP12" s="12">
        <f>IF(SUM(AE12:AH12)-AI12&gt;0,SUM(AE12:AH12)-AI12,"")</f>
        <v>46.53</v>
      </c>
      <c r="AQ12" s="12">
        <f>IF(SUM(AN12,AP12)&gt;0,SUM(AN12,AP12),"")</f>
        <v>137</v>
      </c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75"/>
      <c r="BH12" s="15" t="str">
        <f>IF(AY12&gt;0,AY12,"")</f>
        <v/>
      </c>
      <c r="BI12" s="15" t="str">
        <f>IF(SUM(AR12:AU12)-AV12&gt;0,SUM(AR12:AU12)-AV12,"")</f>
        <v/>
      </c>
      <c r="BJ12" s="15" t="str">
        <f>IF(SUM(AW12:AZ12)-BA12&gt;0,SUM(AW12:AZ12)-BA12,"")</f>
        <v/>
      </c>
      <c r="BK12" s="15" t="str">
        <f>IF(SUM(BI12:BJ12)&gt;0,SUM(BI12:BJ12),"")</f>
        <v/>
      </c>
      <c r="BL12" s="15" t="str">
        <f>IF(BD12&gt;0,BD12,"")</f>
        <v/>
      </c>
      <c r="BM12" s="15" t="str">
        <f>IF(SUM(BB12:BE12)-BF12&gt;0,SUM(BB12:BE12)-BF12,"")</f>
        <v/>
      </c>
      <c r="BN12" s="15" t="str">
        <f>IF(SUM(BK12,BM12)&gt;0,SUM(BK12,BM12),"")</f>
        <v/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 t="str">
        <f>IF(MAX(CJ12,DF12,EB12,EX12,FT12,GP12,HL12,IH12,JD12,JZ12,KV12,LR12)-IF(N12="",0,N12)&gt;0.001,MAX(CJ12,DF12,EB12,EX12,FT12,GP12,HL12,IH12,JD12,JZ12,KV12,LR12)-IF(N12="",0,N12),"")</f>
        <v/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8.3000000000000007</v>
      </c>
      <c r="LX12" s="63">
        <f t="shared" si="8"/>
        <v>4.8</v>
      </c>
      <c r="LY12" s="63">
        <f t="shared" si="9"/>
        <v>1.95</v>
      </c>
      <c r="LZ12" s="63">
        <f t="shared" si="10"/>
        <v>7.3849999999999998</v>
      </c>
      <c r="MA12" s="63">
        <f t="shared" si="11"/>
        <v>0</v>
      </c>
      <c r="MB12" s="63">
        <f t="shared" si="12"/>
        <v>6.3</v>
      </c>
      <c r="MC12" s="63">
        <f t="shared" si="13"/>
        <v>4.6500000000000004</v>
      </c>
      <c r="MD12" s="63">
        <f t="shared" si="14"/>
        <v>4.9000000000000004</v>
      </c>
      <c r="ME12" s="63">
        <f t="shared" si="15"/>
        <v>6.95</v>
      </c>
      <c r="MF12" s="63">
        <f t="shared" si="16"/>
        <v>0</v>
      </c>
      <c r="MG12" s="63">
        <f t="shared" si="17"/>
        <v>7.15</v>
      </c>
      <c r="MH12" s="63">
        <f t="shared" si="18"/>
        <v>4.5750000000000002</v>
      </c>
      <c r="MI12" s="63">
        <f t="shared" si="19"/>
        <v>4.55</v>
      </c>
      <c r="MJ12" s="63">
        <f t="shared" si="20"/>
        <v>6.99</v>
      </c>
      <c r="MK12" s="63">
        <f t="shared" si="21"/>
        <v>0</v>
      </c>
      <c r="ML12" s="74" t="s">
        <v>116</v>
      </c>
      <c r="MM12" s="12">
        <f t="shared" si="22"/>
        <v>4.9000000000000004</v>
      </c>
      <c r="MN12" s="12">
        <f t="shared" si="23"/>
        <v>22.435000000000002</v>
      </c>
      <c r="MO12" s="12">
        <f t="shared" si="24"/>
        <v>22.8</v>
      </c>
      <c r="MP12" s="12">
        <f t="shared" si="25"/>
        <v>45.234999999999999</v>
      </c>
      <c r="MQ12" s="12">
        <f t="shared" si="26"/>
        <v>4.55</v>
      </c>
      <c r="MR12" s="12">
        <f t="shared" si="27"/>
        <v>23.265000000000001</v>
      </c>
      <c r="MS12" s="12">
        <f t="shared" si="28"/>
        <v>68.5</v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97</v>
      </c>
      <c r="C13" s="5" t="s">
        <v>6</v>
      </c>
      <c r="D13" s="27">
        <v>2002</v>
      </c>
      <c r="E13" s="16">
        <f>SUM(J13:R13)</f>
        <v>135.37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M13&gt;$AL$23,NOT($AM13=""),$AJ13=""),AND($AP13&gt;$AL$23,NOT($AP13=""),$AJ13=""),AND($BJ13&gt;$BI$23,NOT($BJ13=""),$BG13=""),AND($BM13&gt;$BI$23,NOT($BM13=""),$BG13=""),AND($CJ13&gt;$CI$23,NOT($CJ13="")),AND($CM13&gt;$CI$23,NOT($CM13="")),AND($DF13&gt;$DE$23,NOT($DF13="")),AND($DI13&gt;$DE$23,NOT($DI13="")),AND($EB13&gt;$EA$23,NOT($EB13="")),AND($EE13&gt;$EA$23,NOT($EE13="")),AND($EX13&gt;$EW$23,NOT($EX13="")),AND($FA13&gt;$EW$23,NOT($FA13="")),AND($FT13&gt;$FS$23,NOT($FT13="")),AND($FW13&gt;$FS$23,NOT($FW13="")),AND($GP13&gt;$GO$23,NOT($GP13="")),AND($GS13&gt;$GO$23,NOT($GS13="")),AND($HL13&gt;$HK$23,NOT($HL13="")),AND($HO13&gt;$HK$23,NOT($HO13="")),AND($IH13&gt;$IG$23,NOT($IH13="")),AND($IK13&gt;$IG$23,NOT($IK13="")),AND($JD13&gt;$JC$23,NOT($JD13="")),AND($JG13&gt;$JC$23,NOT($JG13="")),AND($JZ13&gt;$JY$23,NOT($JZ13="")),AND($KC13&gt;$JY$23,NOT($KC13="")),AND($KV13&gt;$KU$23,NOT($KV13="")),AND($KY13&gt;$KU$23,NOT($KY13="")),AND($LR13&gt;$LQ$23,NOT($LR13="")),AND($LU13&gt;$LQ$23,NOT($LU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>
        <f>IF(MAX(AN13,BK13)&gt;0,MAX(AN13,BK13),"")</f>
        <v>86.56</v>
      </c>
      <c r="K13" s="15" t="str">
        <f>IF(J13="","",IF(J13=BK13,$AR$1,IF(J13=AN13,$U$1,"")))</f>
        <v>2018 Nationals</v>
      </c>
      <c r="L13" s="15" t="str">
        <f>IF($J13=$AN13,BI13,IF($J13=$BK13,AL13,MAX(AL13,BI13)))</f>
        <v/>
      </c>
      <c r="M13" s="15" t="str">
        <f>IF(L13="","",IF(L13=BI13,$AR$1,IF(L13=AL13,$U$1,"")))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48.81</v>
      </c>
      <c r="Q13" s="15" t="str">
        <f>IF(P13="","",IF(P13=BM13,$AR$1,IF(P13=AP13,$U$1,"")))</f>
        <v>2018 Nationals</v>
      </c>
      <c r="R13" s="15" t="str">
        <f>IF(MAX(BO13,BP13,BQ13,BR13)&gt;0,MAX(BO13,BP13,BQ13,BR13),"")</f>
        <v/>
      </c>
      <c r="S13" s="25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63">
        <v>15</v>
      </c>
      <c r="V13" s="63">
        <v>8.6999999999999993</v>
      </c>
      <c r="W13" s="63">
        <v>2.4</v>
      </c>
      <c r="X13" s="63">
        <v>14.925000000000001</v>
      </c>
      <c r="Y13" s="63">
        <v>0</v>
      </c>
      <c r="Z13" s="63">
        <v>15.8</v>
      </c>
      <c r="AA13" s="63">
        <v>9.1</v>
      </c>
      <c r="AB13" s="63">
        <v>7.6</v>
      </c>
      <c r="AC13" s="63">
        <v>15.035</v>
      </c>
      <c r="AD13" s="63">
        <v>2</v>
      </c>
      <c r="AE13" s="63">
        <v>16</v>
      </c>
      <c r="AF13" s="63">
        <v>9.15</v>
      </c>
      <c r="AG13" s="63">
        <v>8</v>
      </c>
      <c r="AH13" s="63">
        <v>15.66</v>
      </c>
      <c r="AI13" s="63">
        <v>0</v>
      </c>
      <c r="AJ13" s="74"/>
      <c r="AK13" s="12">
        <f>IF(AB13&gt;0,AB13,"")</f>
        <v>7.6</v>
      </c>
      <c r="AL13" s="12">
        <f>IF(SUM(U13:X13)-Y13&gt;0,SUM(U13:X13)-Y13,"")</f>
        <v>41.024999999999999</v>
      </c>
      <c r="AM13" s="12">
        <f>IF(SUM(Z13:AC13)-AD13&gt;0,SUM(Z13:AC13)-AD13,"")</f>
        <v>45.534999999999997</v>
      </c>
      <c r="AN13" s="12">
        <f>IF(SUM(AL13:AM13)&gt;0,SUM(AL13:AM13),"")</f>
        <v>86.56</v>
      </c>
      <c r="AO13" s="12">
        <f>IF(AG13&gt;0,AG13,"")</f>
        <v>8</v>
      </c>
      <c r="AP13" s="12">
        <f>IF(SUM(AE13:AH13)-AI13&gt;0,SUM(AE13:AH13)-AI13,"")</f>
        <v>48.81</v>
      </c>
      <c r="AQ13" s="12">
        <f>IF(SUM(AN13,AP13)&gt;0,SUM(AN13,AP13),"")</f>
        <v>135.37</v>
      </c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75"/>
      <c r="BH13" s="15" t="str">
        <f>IF(AY13&gt;0,AY13,"")</f>
        <v/>
      </c>
      <c r="BI13" s="15" t="str">
        <f>IF(SUM(AR13:AU13)-AV13&gt;0,SUM(AR13:AU13)-AV13,"")</f>
        <v/>
      </c>
      <c r="BJ13" s="15" t="str">
        <f>IF(SUM(AW13:AZ13)-BA13&gt;0,SUM(AW13:AZ13)-BA13,"")</f>
        <v/>
      </c>
      <c r="BK13" s="15" t="str">
        <f>IF(SUM(BI13:BJ13)&gt;0,SUM(BI13:BJ13),"")</f>
        <v/>
      </c>
      <c r="BL13" s="15" t="str">
        <f>IF(BD13&gt;0,BD13,"")</f>
        <v/>
      </c>
      <c r="BM13" s="15" t="str">
        <f>IF(SUM(BB13:BE13)-BF13&gt;0,SUM(BB13:BE13)-BF13,"")</f>
        <v/>
      </c>
      <c r="BN13" s="15" t="str">
        <f>IF(SUM(BK13,BM13)&gt;0,SUM(BK13,BM13),"")</f>
        <v/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 t="str">
        <f>IF(MAX(CJ13,DF13,EB13,EX13,FT13,GP13,HL13,IH13,JD13,JZ13,KV13,LR13)-IF(N13="",0,N13)&gt;0.001,MAX(CJ13,DF13,EB13,EX13,FT13,GP13,HL13,IH13,JD13,JZ13,KV13,LR13)-IF(N13="",0,N13),"")</f>
        <v/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7.5</v>
      </c>
      <c r="LX13" s="63">
        <f t="shared" si="8"/>
        <v>4.3499999999999996</v>
      </c>
      <c r="LY13" s="63">
        <f t="shared" si="9"/>
        <v>1.2</v>
      </c>
      <c r="LZ13" s="63">
        <f t="shared" si="10"/>
        <v>7.4625000000000004</v>
      </c>
      <c r="MA13" s="63">
        <f t="shared" si="11"/>
        <v>0</v>
      </c>
      <c r="MB13" s="63">
        <f t="shared" si="12"/>
        <v>7.9</v>
      </c>
      <c r="MC13" s="63">
        <f t="shared" si="13"/>
        <v>4.55</v>
      </c>
      <c r="MD13" s="63">
        <f t="shared" si="14"/>
        <v>3.8</v>
      </c>
      <c r="ME13" s="63">
        <f t="shared" si="15"/>
        <v>7.5175000000000001</v>
      </c>
      <c r="MF13" s="63">
        <f t="shared" si="16"/>
        <v>1</v>
      </c>
      <c r="MG13" s="63">
        <f t="shared" si="17"/>
        <v>8</v>
      </c>
      <c r="MH13" s="63">
        <f t="shared" si="18"/>
        <v>4.5750000000000002</v>
      </c>
      <c r="MI13" s="63">
        <f t="shared" si="19"/>
        <v>4</v>
      </c>
      <c r="MJ13" s="63">
        <f t="shared" si="20"/>
        <v>7.83</v>
      </c>
      <c r="MK13" s="63">
        <f t="shared" si="21"/>
        <v>0</v>
      </c>
      <c r="ML13" s="74" t="s">
        <v>116</v>
      </c>
      <c r="MM13" s="12">
        <f t="shared" si="22"/>
        <v>3.8</v>
      </c>
      <c r="MN13" s="12">
        <f t="shared" si="23"/>
        <v>20.512499999999999</v>
      </c>
      <c r="MO13" s="12">
        <f t="shared" si="24"/>
        <v>22.767499999999998</v>
      </c>
      <c r="MP13" s="12">
        <f t="shared" si="25"/>
        <v>43.28</v>
      </c>
      <c r="MQ13" s="12">
        <f t="shared" si="26"/>
        <v>4</v>
      </c>
      <c r="MR13" s="12">
        <f t="shared" si="27"/>
        <v>24.405000000000001</v>
      </c>
      <c r="MS13" s="12">
        <f t="shared" si="28"/>
        <v>67.685000000000002</v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100</v>
      </c>
      <c r="C14" s="5" t="s">
        <v>3</v>
      </c>
      <c r="D14" s="27">
        <v>2001</v>
      </c>
      <c r="E14" s="16">
        <f>SUM(J14:R14)</f>
        <v>135.07999999999998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M14&gt;$AL$23,NOT($AM14=""),$AJ14=""),AND($AP14&gt;$AL$23,NOT($AP14=""),$AJ14=""),AND($BJ14&gt;$BI$23,NOT($BJ14=""),$BG14=""),AND($BM14&gt;$BI$23,NOT($BM14=""),$BG14=""),AND($CJ14&gt;$CI$23,NOT($CJ14="")),AND($CM14&gt;$CI$23,NOT($CM14="")),AND($DF14&gt;$DE$23,NOT($DF14="")),AND($DI14&gt;$DE$23,NOT($DI14="")),AND($EB14&gt;$EA$23,NOT($EB14="")),AND($EE14&gt;$EA$23,NOT($EE14="")),AND($EX14&gt;$EW$23,NOT($EX14="")),AND($FA14&gt;$EW$23,NOT($FA14="")),AND($FT14&gt;$FS$23,NOT($FT14="")),AND($FW14&gt;$FS$23,NOT($FW14="")),AND($GP14&gt;$GO$23,NOT($GP14="")),AND($GS14&gt;$GO$23,NOT($GS14="")),AND($HL14&gt;$HK$23,NOT($HL14="")),AND($HO14&gt;$HK$23,NOT($HO14="")),AND($IH14&gt;$IG$23,NOT($IH14="")),AND($IK14&gt;$IG$23,NOT($IK14="")),AND($JD14&gt;$JC$23,NOT($JD14="")),AND($JG14&gt;$JC$23,NOT($JG14="")),AND($JZ14&gt;$JY$23,NOT($JZ14="")),AND($KC14&gt;$JY$23,NOT($KC14="")),AND($KV14&gt;$KU$23,NOT($KV14="")),AND($KY14&gt;$KU$23,NOT($KY14="")),AND($LR14&gt;$LQ$23,NOT($LR14="")),AND($LU14&gt;$LQ$23,NOT($LU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>
        <f>IF(MAX(AN14,BK14)&gt;0,MAX(AN14,BK14),"")</f>
        <v>86.35499999999999</v>
      </c>
      <c r="K14" s="15" t="str">
        <f>IF(J14="","",IF(J14=BK14,$AR$1,IF(J14=AN14,$U$1,"")))</f>
        <v>2018 Nationals</v>
      </c>
      <c r="L14" s="15" t="str">
        <f>IF($J14=$AN14,BI14,IF($J14=$BK14,AL14,MAX(AL14,BI14)))</f>
        <v/>
      </c>
      <c r="M14" s="15" t="str">
        <f>IF(L14="","",IF(L14=BI14,$AR$1,IF(L14=AL14,$U$1,"")))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>
        <f>IF(MAX(AP14,BM14)&gt;0,MAX(AP14,BM14),"")</f>
        <v>48.724999999999994</v>
      </c>
      <c r="Q14" s="15" t="str">
        <f>IF(P14="","",IF(P14=BM14,$AR$1,IF(P14=AP14,$U$1,"")))</f>
        <v>2018 Nationals</v>
      </c>
      <c r="R14" s="15" t="str">
        <f>IF(MAX(BO14,BP14,BQ14,BR14)&gt;0,MAX(BO14,BP14,BQ14,BR14),"")</f>
        <v/>
      </c>
      <c r="S14" s="25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6">
        <v>16.7</v>
      </c>
      <c r="V14" s="36">
        <v>9.6</v>
      </c>
      <c r="W14" s="36">
        <v>3.4</v>
      </c>
      <c r="X14" s="36">
        <v>14.625</v>
      </c>
      <c r="Y14" s="36">
        <v>0</v>
      </c>
      <c r="Z14" s="36">
        <v>12.9</v>
      </c>
      <c r="AA14" s="36">
        <v>7.9</v>
      </c>
      <c r="AB14" s="36">
        <v>9.1999999999999993</v>
      </c>
      <c r="AC14" s="36">
        <v>12.03</v>
      </c>
      <c r="AD14" s="36">
        <v>0</v>
      </c>
      <c r="AE14" s="36">
        <v>14.6</v>
      </c>
      <c r="AF14" s="36">
        <v>9.3000000000000007</v>
      </c>
      <c r="AG14" s="36">
        <v>11.2</v>
      </c>
      <c r="AH14" s="36">
        <v>13.625</v>
      </c>
      <c r="AI14" s="36">
        <v>0</v>
      </c>
      <c r="AJ14" s="74"/>
      <c r="AK14" s="12">
        <f>IF(AB14&gt;0,AB14,"")</f>
        <v>9.1999999999999993</v>
      </c>
      <c r="AL14" s="12">
        <f>IF(SUM(U14:X14)-Y14&gt;0,SUM(U14:X14)-Y14,"")</f>
        <v>44.324999999999996</v>
      </c>
      <c r="AM14" s="12">
        <f>IF(SUM(Z14:AC14)-AD14&gt;0,SUM(Z14:AC14)-AD14,"")</f>
        <v>42.03</v>
      </c>
      <c r="AN14" s="12">
        <f>IF(SUM(AL14:AM14)&gt;0,SUM(AL14:AM14),"")</f>
        <v>86.35499999999999</v>
      </c>
      <c r="AO14" s="12">
        <f>IF(AG14&gt;0,AG14,"")</f>
        <v>11.2</v>
      </c>
      <c r="AP14" s="12">
        <f>IF(SUM(AE14:AH14)-AI14&gt;0,SUM(AE14:AH14)-AI14,"")</f>
        <v>48.724999999999994</v>
      </c>
      <c r="AQ14" s="12">
        <f>IF(SUM(AN14,AP14)&gt;0,SUM(AN14,AP14),"")</f>
        <v>135.07999999999998</v>
      </c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75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4" t="str">
        <f>IF(MAX(CI14,DE14,EA14,EW14,FS14,GO14,HK14,IG14,JC14,JY14,KU14,LQ14)-IF(L14="",0,L14)&gt;0.001,MAX(CI14,DE14,EA14,EW14,FS14,GO14,HK14,IG14,JC14,JY14,KU14,LQ14)-IF(L14="",0,L14),"")</f>
        <v/>
      </c>
      <c r="BP14" s="24" t="str">
        <f>IF(MAX(CJ14,DF14,EB14,EX14,FT14,GP14,HL14,IH14,JD14,JZ14,KV14,LR14)-IF(N14="",0,N14)&gt;0.001,MAX(CJ14,DF14,EB14,EX14,FT14,GP14,HL14,IH14,JD14,JZ14,KV14,LR14)-IF(N14="",0,N14),"")</f>
        <v/>
      </c>
      <c r="BQ14" s="24" t="str">
        <f>IF(MAX(CK14,DG14,EC14,EY14,FU14,GQ14,HM14,II14,JE14,KA14,KW14,LS14)-IF(J14="",0,J14)&gt;0.001,MAX(CK14,DG14,EC14,EY14,FU14,GQ14,HM14,II14,JE14,KA14,KW14,LS14)-IF(J14="",0,J14),"")</f>
        <v/>
      </c>
      <c r="BR14" s="24" t="str">
        <f>IF(MAX(CM14,DI14,EE14,FA14,FW14,GS14,HO14,IK14,JG14,KC14,KY14,LU14)-IF(P14="",0,P14)&gt;0.001,MAX(CM14,DI14,EE14,FA14,FW14,GS14,HO14,IK14,JG14,KC14,KY14,LU14)-IF(P14="",0,P14),"")</f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63">
        <f t="shared" si="7"/>
        <v>8.35</v>
      </c>
      <c r="LX14" s="63">
        <f t="shared" si="8"/>
        <v>4.8</v>
      </c>
      <c r="LY14" s="63">
        <f t="shared" si="9"/>
        <v>1.7</v>
      </c>
      <c r="LZ14" s="63">
        <f t="shared" si="10"/>
        <v>7.3125</v>
      </c>
      <c r="MA14" s="63">
        <f t="shared" si="11"/>
        <v>0</v>
      </c>
      <c r="MB14" s="63">
        <f t="shared" si="12"/>
        <v>6.45</v>
      </c>
      <c r="MC14" s="63">
        <f t="shared" si="13"/>
        <v>3.95</v>
      </c>
      <c r="MD14" s="63">
        <f t="shared" si="14"/>
        <v>4.5999999999999996</v>
      </c>
      <c r="ME14" s="63">
        <f t="shared" si="15"/>
        <v>6.0149999999999997</v>
      </c>
      <c r="MF14" s="63">
        <f t="shared" si="16"/>
        <v>0</v>
      </c>
      <c r="MG14" s="63">
        <f t="shared" si="17"/>
        <v>7.3</v>
      </c>
      <c r="MH14" s="63">
        <f t="shared" si="18"/>
        <v>4.6500000000000004</v>
      </c>
      <c r="MI14" s="63">
        <f t="shared" si="19"/>
        <v>5.6</v>
      </c>
      <c r="MJ14" s="63">
        <f t="shared" si="20"/>
        <v>6.8125</v>
      </c>
      <c r="MK14" s="63">
        <f t="shared" si="21"/>
        <v>0</v>
      </c>
      <c r="ML14" s="74" t="s">
        <v>116</v>
      </c>
      <c r="MM14" s="12">
        <f t="shared" ref="MM14" si="29">IF(MD14&gt;0,MD14,"")</f>
        <v>4.5999999999999996</v>
      </c>
      <c r="MN14" s="12">
        <f t="shared" ref="MN14" si="30">IF(SUM(LW14:LZ14)-MA14&gt;0,SUM(LW14:LZ14)-MA14,"")</f>
        <v>22.162499999999998</v>
      </c>
      <c r="MO14" s="12">
        <f t="shared" ref="MO14" si="31">IF(SUM(MB14:ME14)-MF14&gt;0,SUM(MB14:ME14)-MF14,"")</f>
        <v>21.015000000000001</v>
      </c>
      <c r="MP14" s="12">
        <f t="shared" ref="MP14" si="32">IF(SUM(MN14:MO14)&gt;0,SUM(MN14:MO14),"")</f>
        <v>43.177499999999995</v>
      </c>
      <c r="MQ14" s="12">
        <f t="shared" si="26"/>
        <v>5.6</v>
      </c>
      <c r="MR14" s="12">
        <f t="shared" ref="MR14" si="33">IF(SUM(MG14:MJ14)-MK14&gt;0,SUM(MG14:MJ14)-MK14,"")</f>
        <v>24.362499999999997</v>
      </c>
      <c r="MS14" s="12">
        <f t="shared" ref="MS14" si="34">IF(SUM(MP14,MR14)&gt;0,SUM(MP14,MR14),"")</f>
        <v>67.539999999999992</v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102</v>
      </c>
      <c r="C15" s="5" t="s">
        <v>6</v>
      </c>
      <c r="D15" s="27">
        <v>2002</v>
      </c>
      <c r="E15" s="16">
        <f>SUM(J15:R15)</f>
        <v>104.78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,AND($AO15&gt;=$AL$18,NOT($AO15=""),$AJ15=""),AND($BL15&gt;=$BI$18,NOT($BL15=""),$BG15=""),AND($CL15&gt;=$CI$18,NOT($CL15="")),AND($DH15&gt;=$DE$18,NOT($DH15="")),AND($ED15&gt;=$EA$18,NOT($ED15="")),AND($EZ15&gt;=$EW$18,NOT($EZ15="")),AND($FV15&gt;=$FS$18,NOT($FV15="")),AND($GR15&gt;=$GO$18,NOT($GR15="")),AND($HN15&gt;=$HK$18,NOT($HN15="")),AND($IJ15&gt;=$IG$18,NOT($IJ15="")),AND($JF15&gt;=$JC$18,NOT($JF15="")),AND($KB15&gt;=$JY$18,NOT($KB15="")),AND($KX15&gt;=$KU$18,NOT($KX15="")),AND($LT15&gt;=$LQ$18,NOT($LT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M15&gt;$AL$23,NOT($AM15=""),$AJ15=""),AND($AP15&gt;$AL$23,NOT($AP15=""),$AJ15=""),AND($BJ15&gt;$BI$23,NOT($BJ15=""),$BG15=""),AND($BM15&gt;$BI$23,NOT($BM15=""),$BG15=""),AND($CJ15&gt;$CI$23,NOT($CJ15="")),AND($CM15&gt;$CI$23,NOT($CM15="")),AND($DF15&gt;$DE$23,NOT($DF15="")),AND($DI15&gt;$DE$23,NOT($DI15="")),AND($EB15&gt;$EA$23,NOT($EB15="")),AND($EE15&gt;$EA$23,NOT($EE15="")),AND($EX15&gt;$EW$23,NOT($EX15="")),AND($FA15&gt;$EW$23,NOT($FA15="")),AND($FT15&gt;$FS$23,NOT($FT15="")),AND($FW15&gt;$FS$23,NOT($FW15="")),AND($GP15&gt;$GO$23,NOT($GP15="")),AND($GS15&gt;$GO$23,NOT($GS15="")),AND($HL15&gt;$HK$23,NOT($HL15="")),AND($HO15&gt;$HK$23,NOT($HO15="")),AND($IH15&gt;$IG$23,NOT($IH15="")),AND($IK15&gt;$IG$23,NOT($IK15="")),AND($JD15&gt;$JC$23,NOT($JD15="")),AND($JG15&gt;$JC$23,NOT($JG15="")),AND($JZ15&gt;$JY$23,NOT($JZ15="")),AND($KC15&gt;$JY$23,NOT($KC15="")),AND($KV15&gt;$KU$23,NOT($KV15="")),AND($KY15&gt;$KU$23,NOT($KY15="")),AND($LR15&gt;$LQ$23,NOT($LR15="")),AND($LU15&gt;$LQ$23,NOT($LU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>
        <f>IF(MAX(AN15,BK15)&gt;0,MAX(AN15,BK15),"")</f>
        <v>89.81</v>
      </c>
      <c r="K15" s="15" t="str">
        <f>IF(J15="","",IF(J15=BK15,$AR$1,IF(J15=AN15,$U$1,"")))</f>
        <v>2018 Nationals</v>
      </c>
      <c r="L15" s="15" t="str">
        <f>IF($J15=$AN15,BI15,IF($J15=$BK15,AL15,MAX(AL15,BI15)))</f>
        <v/>
      </c>
      <c r="M15" s="15" t="str">
        <f>IF(L15="","",IF(L15=BI15,$AR$1,IF(L15=AL15,$U$1,"")))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>
        <f>IF(MAX(AP15,BM15)&gt;0,MAX(AP15,BM15),"")</f>
        <v>14.97</v>
      </c>
      <c r="Q15" s="15" t="str">
        <f>IF(P15="","",IF(P15=BM15,$AR$1,IF(P15=AP15,$U$1,"")))</f>
        <v>2018 Nationals</v>
      </c>
      <c r="R15" s="15" t="str">
        <f>IF(MAX(BO15,BP15,BQ15,BR15)&gt;0,MAX(BO15,BP15,BQ15,BR15),"")</f>
        <v/>
      </c>
      <c r="S15" s="25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36">
        <v>16.100000000000001</v>
      </c>
      <c r="V15" s="36">
        <v>9.4499999999999993</v>
      </c>
      <c r="W15" s="36">
        <v>4.0999999999999996</v>
      </c>
      <c r="X15" s="36">
        <v>14</v>
      </c>
      <c r="Y15" s="36">
        <v>0</v>
      </c>
      <c r="Z15" s="36">
        <v>13.9</v>
      </c>
      <c r="AA15" s="36">
        <v>8.4499999999999993</v>
      </c>
      <c r="AB15" s="36">
        <v>10.3</v>
      </c>
      <c r="AC15" s="36">
        <v>13.51</v>
      </c>
      <c r="AD15" s="36">
        <v>0</v>
      </c>
      <c r="AE15" s="36">
        <v>4.5999999999999996</v>
      </c>
      <c r="AF15" s="36">
        <v>2.9</v>
      </c>
      <c r="AG15" s="36">
        <v>3.3</v>
      </c>
      <c r="AH15" s="36">
        <v>4.17</v>
      </c>
      <c r="AI15" s="36">
        <v>0</v>
      </c>
      <c r="AJ15" s="74"/>
      <c r="AK15" s="12">
        <f>IF(AB15&gt;0,AB15,"")</f>
        <v>10.3</v>
      </c>
      <c r="AL15" s="12">
        <f>IF(SUM(U15:X15)-Y15&gt;0,SUM(U15:X15)-Y15,"")</f>
        <v>43.65</v>
      </c>
      <c r="AM15" s="12">
        <f>IF(SUM(Z15:AC15)-AD15&gt;0,SUM(Z15:AC15)-AD15,"")</f>
        <v>46.160000000000004</v>
      </c>
      <c r="AN15" s="12">
        <f>IF(SUM(AL15:AM15)&gt;0,SUM(AL15:AM15),"")</f>
        <v>89.81</v>
      </c>
      <c r="AO15" s="12">
        <f>IF(AG15&gt;0,AG15,"")</f>
        <v>3.3</v>
      </c>
      <c r="AP15" s="12">
        <f>IF(SUM(AE15:AH15)-AI15&gt;0,SUM(AE15:AH15)-AI15,"")</f>
        <v>14.97</v>
      </c>
      <c r="AQ15" s="12">
        <f>IF(SUM(AN15,AP15)&gt;0,SUM(AN15,AP15),"")</f>
        <v>104.78</v>
      </c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75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4" t="str">
        <f>IF(MAX(CI15,DE15,EA15,EW15,FS15,GO15,HK15,IG15,JC15,JY15,KU15,LQ15)-IF(L15="",0,L15)&gt;0.001,MAX(CI15,DE15,EA15,EW15,FS15,GO15,HK15,IG15,JC15,JY15,KU15,LQ15)-IF(L15="",0,L15),"")</f>
        <v/>
      </c>
      <c r="BP15" s="24" t="str">
        <f>IF(MAX(CJ15,DF15,EB15,EX15,FT15,GP15,HL15,IH15,JD15,JZ15,KV15,LR15)-IF(N15="",0,N15)&gt;0.001,MAX(CJ15,DF15,EB15,EX15,FT15,GP15,HL15,IH15,JD15,JZ15,KV15,LR15)-IF(N15="",0,N15),"")</f>
        <v/>
      </c>
      <c r="BQ15" s="24" t="str">
        <f>IF(MAX(CK15,DG15,EC15,EY15,FU15,GQ15,HM15,II15,JE15,KA15,KW15,LS15)-IF(J15="",0,J15)&gt;0.001,MAX(CK15,DG15,EC15,EY15,FU15,GQ15,HM15,II15,JE15,KA15,KW15,LS15)-IF(J15="",0,J15),"")</f>
        <v/>
      </c>
      <c r="BR15" s="24" t="str">
        <f>IF(MAX(CM15,DI15,EE15,FA15,FW15,GS15,HO15,IK15,JG15,KC15,KY15,LU15)-IF(P15="",0,P15)&gt;0.001,MAX(CM15,DI15,EE15,FA15,FW15,GS15,HO15,IK15,JG15,KC15,KY15,LU15)-IF(P15="",0,P15),"")</f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63">
        <f t="shared" si="7"/>
        <v>8.0500000000000007</v>
      </c>
      <c r="LX15" s="63">
        <f t="shared" si="8"/>
        <v>4.7249999999999996</v>
      </c>
      <c r="LY15" s="63">
        <f t="shared" si="9"/>
        <v>2.0499999999999998</v>
      </c>
      <c r="LZ15" s="63">
        <f t="shared" si="10"/>
        <v>7</v>
      </c>
      <c r="MA15" s="63">
        <f t="shared" si="11"/>
        <v>0</v>
      </c>
      <c r="MB15" s="63">
        <f t="shared" si="12"/>
        <v>6.95</v>
      </c>
      <c r="MC15" s="63">
        <f t="shared" si="13"/>
        <v>4.2249999999999996</v>
      </c>
      <c r="MD15" s="63">
        <f t="shared" si="14"/>
        <v>5.15</v>
      </c>
      <c r="ME15" s="63">
        <f t="shared" si="15"/>
        <v>6.7549999999999999</v>
      </c>
      <c r="MF15" s="63">
        <f t="shared" si="16"/>
        <v>0</v>
      </c>
      <c r="MG15" s="63">
        <f t="shared" si="17"/>
        <v>2.2999999999999998</v>
      </c>
      <c r="MH15" s="63">
        <f t="shared" si="18"/>
        <v>1.45</v>
      </c>
      <c r="MI15" s="63">
        <f t="shared" si="19"/>
        <v>1.65</v>
      </c>
      <c r="MJ15" s="63">
        <f t="shared" si="20"/>
        <v>2.085</v>
      </c>
      <c r="MK15" s="63">
        <f t="shared" si="21"/>
        <v>0</v>
      </c>
      <c r="ML15" s="74" t="s">
        <v>116</v>
      </c>
      <c r="MM15" s="12">
        <f t="shared" ref="MM15" si="35">IF(MD15&gt;0,MD15,"")</f>
        <v>5.15</v>
      </c>
      <c r="MN15" s="12">
        <f t="shared" ref="MN15" si="36">IF(SUM(LW15:LZ15)-MA15&gt;0,SUM(LW15:LZ15)-MA15,"")</f>
        <v>21.824999999999999</v>
      </c>
      <c r="MO15" s="12">
        <f t="shared" ref="MO15" si="37">IF(SUM(MB15:ME15)-MF15&gt;0,SUM(MB15:ME15)-MF15,"")</f>
        <v>23.080000000000002</v>
      </c>
      <c r="MP15" s="12">
        <f t="shared" ref="MP15" si="38">IF(SUM(MN15:MO15)&gt;0,SUM(MN15:MO15),"")</f>
        <v>44.905000000000001</v>
      </c>
      <c r="MQ15" s="12">
        <f t="shared" si="26"/>
        <v>1.65</v>
      </c>
      <c r="MR15" s="12">
        <f t="shared" ref="MR15" si="39">IF(SUM(MG15:MJ15)-MK15&gt;0,SUM(MG15:MJ15)-MK15,"")</f>
        <v>7.4850000000000003</v>
      </c>
      <c r="MS15" s="12">
        <f t="shared" ref="MS15" si="40">IF(SUM(MP15,MR15)&gt;0,SUM(MP15,MR15),"")</f>
        <v>52.39</v>
      </c>
    </row>
    <row r="18" spans="1:329" x14ac:dyDescent="0.2">
      <c r="B18" s="64" t="s">
        <v>51</v>
      </c>
      <c r="AK18" s="50"/>
      <c r="AL18" s="58">
        <v>11.5</v>
      </c>
      <c r="BH18" s="50"/>
      <c r="BI18" s="58">
        <v>11.2</v>
      </c>
      <c r="CH18" s="50"/>
      <c r="CI18" s="58">
        <v>11.2</v>
      </c>
      <c r="DD18" s="50"/>
      <c r="DE18" s="58">
        <v>11.2</v>
      </c>
      <c r="DZ18" s="50"/>
      <c r="EA18" s="58">
        <v>11.2</v>
      </c>
      <c r="EV18" s="50"/>
      <c r="EW18" s="58">
        <v>11.2</v>
      </c>
      <c r="FR18" s="50"/>
      <c r="FS18" s="58">
        <v>11.2</v>
      </c>
      <c r="GN18" s="50"/>
      <c r="GO18" s="58">
        <v>11.2</v>
      </c>
      <c r="HJ18" s="50"/>
      <c r="HK18" s="58">
        <v>11.2</v>
      </c>
      <c r="IF18" s="50"/>
      <c r="IG18" s="58">
        <v>11.2</v>
      </c>
      <c r="JB18" s="50"/>
      <c r="JC18" s="58">
        <v>11.2</v>
      </c>
      <c r="JX18" s="50"/>
      <c r="JY18" s="58">
        <v>11.2</v>
      </c>
      <c r="KT18" s="50"/>
      <c r="KU18" s="58">
        <v>11.2</v>
      </c>
      <c r="LP18" s="50"/>
      <c r="LQ18" s="58">
        <v>11.2</v>
      </c>
    </row>
    <row r="19" spans="1:329" x14ac:dyDescent="0.2">
      <c r="A19" s="50"/>
      <c r="B19" s="91" t="s">
        <v>73</v>
      </c>
      <c r="C19" s="49"/>
      <c r="AK19" s="50"/>
      <c r="AL19" s="93">
        <v>11.5</v>
      </c>
      <c r="BH19" s="50"/>
      <c r="BI19" s="93">
        <v>11.2</v>
      </c>
      <c r="CH19" s="50"/>
      <c r="CI19" s="93">
        <v>11.2</v>
      </c>
      <c r="DD19" s="50"/>
      <c r="DE19" s="93">
        <v>11.2</v>
      </c>
      <c r="DZ19" s="50"/>
      <c r="EA19" s="93">
        <v>11.2</v>
      </c>
      <c r="EV19" s="50"/>
      <c r="EW19" s="93">
        <v>11.2</v>
      </c>
      <c r="FR19" s="50"/>
      <c r="FS19" s="93">
        <v>11.2</v>
      </c>
      <c r="GN19" s="50"/>
      <c r="GO19" s="93">
        <v>11.2</v>
      </c>
      <c r="HJ19" s="50"/>
      <c r="HK19" s="93">
        <v>11.2</v>
      </c>
      <c r="IF19" s="50"/>
      <c r="IG19" s="93">
        <v>11.2</v>
      </c>
      <c r="JB19" s="50"/>
      <c r="JC19" s="93">
        <v>11.2</v>
      </c>
      <c r="JX19" s="50"/>
      <c r="JY19" s="93">
        <v>11.2</v>
      </c>
      <c r="KT19" s="50"/>
      <c r="KU19" s="93">
        <v>11.2</v>
      </c>
      <c r="LP19" s="50"/>
      <c r="LQ19" s="93">
        <v>11.2</v>
      </c>
    </row>
    <row r="20" spans="1:329" x14ac:dyDescent="0.2">
      <c r="A20" s="50"/>
      <c r="B20" s="65" t="s">
        <v>48</v>
      </c>
      <c r="C20" s="49"/>
      <c r="AK20" s="50"/>
      <c r="AL20" s="59">
        <v>92.2</v>
      </c>
      <c r="BH20" s="50"/>
      <c r="BI20" s="59">
        <v>92.2</v>
      </c>
      <c r="CH20" s="50"/>
      <c r="CI20" s="59">
        <v>92.2</v>
      </c>
      <c r="DD20" s="50"/>
      <c r="DE20" s="59">
        <v>92.2</v>
      </c>
      <c r="DZ20" s="50"/>
      <c r="EA20" s="59">
        <v>92.2</v>
      </c>
      <c r="EV20" s="50"/>
      <c r="EW20" s="59">
        <v>92.2</v>
      </c>
      <c r="FR20" s="50"/>
      <c r="FS20" s="59">
        <v>92.2</v>
      </c>
      <c r="GN20" s="50"/>
      <c r="GO20" s="59">
        <v>92.2</v>
      </c>
      <c r="HJ20" s="50"/>
      <c r="HK20" s="59">
        <v>92.2</v>
      </c>
      <c r="IF20" s="50"/>
      <c r="IG20" s="59">
        <v>92.2</v>
      </c>
      <c r="JB20" s="50"/>
      <c r="JC20" s="59">
        <v>92.2</v>
      </c>
      <c r="JX20" s="50"/>
      <c r="JY20" s="59">
        <v>92.2</v>
      </c>
      <c r="KT20" s="50"/>
      <c r="KU20" s="59">
        <v>92.2</v>
      </c>
      <c r="LP20" s="50"/>
      <c r="LQ20" s="59">
        <v>92.2</v>
      </c>
    </row>
    <row r="21" spans="1:329" hidden="1" x14ac:dyDescent="0.2">
      <c r="A21" s="50"/>
      <c r="B21" s="66" t="s">
        <v>49</v>
      </c>
      <c r="C21" s="49"/>
      <c r="AK21" s="50"/>
      <c r="AL21" s="60">
        <v>95.1</v>
      </c>
      <c r="BH21" s="50"/>
      <c r="BI21" s="60">
        <v>95.1</v>
      </c>
      <c r="CH21" s="50"/>
      <c r="CI21" s="60">
        <v>95.1</v>
      </c>
      <c r="DD21" s="50"/>
      <c r="DE21" s="60">
        <v>95.1</v>
      </c>
      <c r="DZ21" s="50"/>
      <c r="EA21" s="60">
        <v>95.1</v>
      </c>
      <c r="EV21" s="50"/>
      <c r="EW21" s="60">
        <v>95.1</v>
      </c>
      <c r="FR21" s="50"/>
      <c r="FS21" s="60">
        <v>95.1</v>
      </c>
      <c r="GN21" s="50"/>
      <c r="GO21" s="60">
        <v>95.1</v>
      </c>
      <c r="HJ21" s="50"/>
      <c r="HK21" s="60">
        <v>95.1</v>
      </c>
      <c r="IF21" s="50"/>
      <c r="IG21" s="60">
        <v>95.1</v>
      </c>
      <c r="JB21" s="50"/>
      <c r="JC21" s="60">
        <v>95.1</v>
      </c>
      <c r="JX21" s="50"/>
      <c r="JY21" s="60">
        <v>95.1</v>
      </c>
      <c r="KT21" s="50"/>
      <c r="KU21" s="60">
        <v>95.1</v>
      </c>
      <c r="LP21" s="50"/>
      <c r="LQ21" s="60">
        <v>95.1</v>
      </c>
    </row>
    <row r="22" spans="1:329" x14ac:dyDescent="0.2">
      <c r="A22" s="50"/>
      <c r="B22" s="67" t="s">
        <v>67</v>
      </c>
      <c r="C22" s="49"/>
      <c r="AK22" s="50"/>
      <c r="AL22" s="61">
        <v>95.1</v>
      </c>
      <c r="BH22" s="50"/>
      <c r="BI22" s="61">
        <v>95.1</v>
      </c>
      <c r="CH22" s="50"/>
      <c r="CI22" s="61">
        <v>95.1</v>
      </c>
      <c r="DD22" s="50"/>
      <c r="DE22" s="61">
        <v>95.1</v>
      </c>
      <c r="DZ22" s="50"/>
      <c r="EA22" s="61">
        <v>95.1</v>
      </c>
      <c r="EV22" s="50"/>
      <c r="EW22" s="61">
        <v>95.1</v>
      </c>
      <c r="FR22" s="50"/>
      <c r="FS22" s="61">
        <v>95.1</v>
      </c>
      <c r="GN22" s="50"/>
      <c r="GO22" s="61">
        <v>95.1</v>
      </c>
      <c r="HJ22" s="50"/>
      <c r="HK22" s="61">
        <v>95.1</v>
      </c>
      <c r="IF22" s="50"/>
      <c r="IG22" s="61">
        <v>95.1</v>
      </c>
      <c r="JB22" s="50"/>
      <c r="JC22" s="61">
        <v>95.1</v>
      </c>
      <c r="JX22" s="50"/>
      <c r="JY22" s="61">
        <v>95.1</v>
      </c>
      <c r="KT22" s="50"/>
      <c r="KU22" s="61">
        <v>95.1</v>
      </c>
      <c r="LP22" s="50"/>
      <c r="LQ22" s="61">
        <v>95.1</v>
      </c>
    </row>
    <row r="23" spans="1:329" x14ac:dyDescent="0.2">
      <c r="A23" s="50"/>
      <c r="B23" s="68" t="s">
        <v>35</v>
      </c>
      <c r="C23" s="49"/>
      <c r="L23" s="2"/>
      <c r="AK23" s="50"/>
      <c r="AL23" s="62">
        <v>51.5</v>
      </c>
      <c r="BH23" s="50"/>
      <c r="BI23" s="62">
        <v>51.8</v>
      </c>
      <c r="CH23" s="50"/>
      <c r="CI23" s="62">
        <v>51.5</v>
      </c>
      <c r="DD23" s="50"/>
      <c r="DE23" s="62">
        <v>51.8</v>
      </c>
      <c r="DZ23" s="50"/>
      <c r="EA23" s="62">
        <v>51.8</v>
      </c>
      <c r="EV23" s="50"/>
      <c r="EW23" s="62">
        <v>51.8</v>
      </c>
      <c r="FR23" s="50"/>
      <c r="FS23" s="62">
        <v>51.8</v>
      </c>
      <c r="GN23" s="50"/>
      <c r="GO23" s="62">
        <v>51.8</v>
      </c>
      <c r="HJ23" s="50"/>
      <c r="HK23" s="62">
        <v>51.8</v>
      </c>
      <c r="IF23" s="50"/>
      <c r="IG23" s="62">
        <v>51.8</v>
      </c>
      <c r="JB23" s="50"/>
      <c r="JC23" s="62">
        <v>51.8</v>
      </c>
      <c r="JX23" s="50"/>
      <c r="JY23" s="62">
        <v>51.8</v>
      </c>
      <c r="KT23" s="50"/>
      <c r="KU23" s="62">
        <v>51.8</v>
      </c>
      <c r="LP23" s="50"/>
      <c r="LQ23" s="62">
        <v>51.8</v>
      </c>
    </row>
    <row r="24" spans="1:329" x14ac:dyDescent="0.2">
      <c r="A24" s="7"/>
      <c r="B24" s="76" t="s">
        <v>55</v>
      </c>
      <c r="C24" s="49"/>
      <c r="AK24" s="48"/>
      <c r="AL24" t="s">
        <v>129</v>
      </c>
      <c r="CI24" s="48"/>
      <c r="DE24" s="48"/>
      <c r="GO24" s="48"/>
    </row>
    <row r="25" spans="1:329" x14ac:dyDescent="0.2">
      <c r="A25" s="50"/>
      <c r="B25" s="50"/>
      <c r="C25" s="49"/>
    </row>
    <row r="26" spans="1:329" x14ac:dyDescent="0.2">
      <c r="A26" s="50"/>
      <c r="B26" s="50"/>
      <c r="C26" s="49"/>
    </row>
    <row r="27" spans="1:329" x14ac:dyDescent="0.2">
      <c r="A27" s="50"/>
      <c r="B27" s="50"/>
      <c r="C27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5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CO2:CS2"/>
    <mergeCell ref="DU2:DY2"/>
    <mergeCell ref="BS2:BW2"/>
    <mergeCell ref="BX2:CB2"/>
    <mergeCell ref="CC2:CG2"/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</mergeCells>
  <conditionalFormatting sqref="A1:A1048576">
    <cfRule type="expression" dxfId="126" priority="90">
      <formula>AND(H1="P",F1="")</formula>
    </cfRule>
  </conditionalFormatting>
  <conditionalFormatting sqref="U4:AQ15">
    <cfRule type="expression" dxfId="125" priority="23">
      <formula>IF($AJ4&lt;&gt;"",1,0)</formula>
    </cfRule>
  </conditionalFormatting>
  <conditionalFormatting sqref="AR4:BN15">
    <cfRule type="expression" dxfId="124" priority="20">
      <formula>IF($BG4&lt;&gt;"",1,0)</formula>
    </cfRule>
  </conditionalFormatting>
  <conditionalFormatting sqref="I1:I1048576">
    <cfRule type="containsText" dxfId="123" priority="7" operator="containsText" text="No DD">
      <formula>NOT(ISERROR(SEARCH("No DD",I1)))</formula>
    </cfRule>
    <cfRule type="containsText" dxfId="122" priority="15" operator="containsText" text="Merit">
      <formula>NOT(ISERROR(SEARCH("Merit",I1)))</formula>
    </cfRule>
    <cfRule type="containsText" dxfId="121" priority="16" operator="containsText" text="Excellence">
      <formula>NOT(ISERROR(SEARCH("Excellence",I1)))</formula>
    </cfRule>
    <cfRule type="containsText" dxfId="120" priority="17" operator="containsText" text="Worlds Team">
      <formula>NOT(ISERROR(SEARCH("Worlds Team",I1)))</formula>
    </cfRule>
    <cfRule type="containsText" dxfId="119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8" priority="382">
      <formula>IF(K1=$AR$1,1,0)</formula>
    </cfRule>
    <cfRule type="expression" dxfId="117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6" priority="14598" operator="between">
      <formula>CI$23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5" priority="14634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4" priority="14637" operator="between">
      <formula>CI$22</formula>
      <formula>1000</formula>
    </cfRule>
    <cfRule type="cellIs" dxfId="113" priority="14638" operator="between">
      <formula>CI$21</formula>
      <formula>CI$22</formula>
    </cfRule>
    <cfRule type="cellIs" dxfId="112" priority="14639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1" priority="14745" operator="between">
      <formula>CI$19</formula>
      <formula>1000</formula>
    </cfRule>
    <cfRule type="cellIs" dxfId="110" priority="14746" operator="between">
      <formula>CI$18</formula>
      <formula>CI$19</formula>
    </cfRule>
  </conditionalFormatting>
  <conditionalFormatting sqref="AN1:AN1048576 BK1:BK1048576">
    <cfRule type="expression" dxfId="109" priority="14817">
      <formula>IF(AND(AN1&gt;=AL$22,AN1&lt;1000,AJ1=""),1,0)</formula>
    </cfRule>
    <cfRule type="expression" dxfId="108" priority="14818">
      <formula>IF(AND(AN1&gt;=AL$21,AN1&lt;AL$22,AJ1=""),1,0)</formula>
    </cfRule>
    <cfRule type="expression" dxfId="107" priority="14819">
      <formula>IF(AND(AN1&gt;=AL$20,AN1&lt;AL$21,AJ1=""),1,0)</formula>
    </cfRule>
  </conditionalFormatting>
  <conditionalFormatting sqref="AM1:AM1048576 BJ1:BJ1048576">
    <cfRule type="expression" dxfId="106" priority="14835">
      <formula>IF(AND(AM1&gt;=AL$23,AM1&lt;1000,AJ1=""),1,0)</formula>
    </cfRule>
  </conditionalFormatting>
  <conditionalFormatting sqref="BM1:BM1048576 AP1:AP1048576">
    <cfRule type="expression" dxfId="105" priority="14841">
      <formula>IF(AND(AP1&gt;=AL$23,AP1&lt;1000,AJ1=""),1,0)</formula>
    </cfRule>
  </conditionalFormatting>
  <conditionalFormatting sqref="AK1:AK1048576 BH1:BH1048576">
    <cfRule type="expression" dxfId="104" priority="14844">
      <formula>IF(AND(AK1&gt;=AL$19,AK1&lt;100,AJ1=""),1,0)</formula>
    </cfRule>
    <cfRule type="expression" dxfId="103" priority="14845">
      <formula>IF(AND(AK1&gt;=AL$18,AK1&lt;AL$19,AJ1=""),1,0)</formula>
    </cfRule>
  </conditionalFormatting>
  <conditionalFormatting sqref="AO1:AO1048576 BL1:BL1048576">
    <cfRule type="expression" dxfId="102" priority="14892">
      <formula>IF(AND(AO1&gt;=AL$19,AO1&lt;100,AJ1=""),1,0)</formula>
    </cfRule>
    <cfRule type="expression" dxfId="101" priority="14893">
      <formula>IF(AND(AO1&gt;=AL$18,AO1&lt;AL$19,AJ1=""),1,0)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0" priority="14904">
      <formula>IF(AND(CL1&gt;=CI$19,CL1&lt;100),1,0)</formula>
    </cfRule>
    <cfRule type="expression" dxfId="99" priority="14905">
      <formula>IF(AND(CL1&gt;=CI$18,CL1&lt;CI$19),1,0)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65</v>
      </c>
      <c r="G1" s="119" t="s">
        <v>66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119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64</v>
      </c>
      <c r="BH1" s="118"/>
      <c r="BI1" s="115" t="s">
        <v>62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117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103</v>
      </c>
      <c r="C4" s="5" t="s">
        <v>4</v>
      </c>
      <c r="D4" s="27">
        <v>2001</v>
      </c>
      <c r="E4" s="16">
        <f>SUM(J4:N4)</f>
        <v>129.30000000000001</v>
      </c>
      <c r="F4" s="4" t="str">
        <f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National Team</v>
      </c>
      <c r="J4" s="15">
        <f>IF(MAX(AI4,BD4)&gt;0,MAX(AI4,BD4),"")</f>
        <v>63.5</v>
      </c>
      <c r="K4" s="15" t="str">
        <f>IF(J4="","",IF(J4=BD4,$AL$1,IF(J4=AI4,$Q$1,"")))</f>
        <v>2019 Elite Canada</v>
      </c>
      <c r="L4" s="15">
        <f>IF(MAX(AJ4,BE4)&gt;0,MAX(AJ4,BE4),"")</f>
        <v>65.8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63">
        <v>24</v>
      </c>
      <c r="R4" s="63">
        <v>5.5</v>
      </c>
      <c r="S4" s="63">
        <v>0</v>
      </c>
      <c r="T4" s="63">
        <v>0</v>
      </c>
      <c r="U4" s="63">
        <v>23.9</v>
      </c>
      <c r="V4" s="63">
        <v>5.8</v>
      </c>
      <c r="W4" s="63">
        <v>0.3</v>
      </c>
      <c r="X4" s="63">
        <v>0</v>
      </c>
      <c r="Y4" s="63">
        <v>26.8</v>
      </c>
      <c r="Z4" s="63">
        <v>5.7</v>
      </c>
      <c r="AA4" s="63">
        <v>0</v>
      </c>
      <c r="AB4" s="63">
        <v>0</v>
      </c>
      <c r="AC4" s="63">
        <v>27.5</v>
      </c>
      <c r="AD4" s="63">
        <v>5.8</v>
      </c>
      <c r="AE4" s="63">
        <v>0</v>
      </c>
      <c r="AF4" s="63">
        <v>0</v>
      </c>
      <c r="AG4" s="74"/>
      <c r="AH4" s="12">
        <f>IF(SUM(R4,V4)&gt;0,SUM(R4,V4),"")</f>
        <v>11.3</v>
      </c>
      <c r="AI4" s="12">
        <f>IF(SUM(Q4:R4,T4:V4,X4)-S4-W4&gt;0,SUM(Q4:R4,T4:V4,X4)-S4-W4,"")</f>
        <v>58.9</v>
      </c>
      <c r="AJ4" s="12">
        <f>IF(SUM(Y4:Z4,AB4:AD4,AF4)-SUM(AA4,AE4)&gt;0,SUM(Y4:Z4,AB4:AD4,AF4)-SUM(AA4,AE4),"")</f>
        <v>65.8</v>
      </c>
      <c r="AK4" s="12">
        <f>IF(SUM(AI4,AJ4)&gt;0,SUM(AI4,AJ4),"")</f>
        <v>124.69999999999999</v>
      </c>
      <c r="AL4" s="37">
        <v>23.5</v>
      </c>
      <c r="AM4" s="37">
        <v>5.4</v>
      </c>
      <c r="AN4" s="37">
        <v>0</v>
      </c>
      <c r="AO4" s="37">
        <v>0</v>
      </c>
      <c r="AP4" s="37">
        <v>27.1</v>
      </c>
      <c r="AQ4" s="37">
        <v>6.5</v>
      </c>
      <c r="AR4" s="37">
        <v>0</v>
      </c>
      <c r="AS4" s="37">
        <v>1</v>
      </c>
      <c r="AT4" s="37">
        <v>24</v>
      </c>
      <c r="AU4" s="37">
        <v>3.5</v>
      </c>
      <c r="AV4" s="37">
        <v>3</v>
      </c>
      <c r="AW4" s="37">
        <v>0</v>
      </c>
      <c r="AX4" s="37">
        <v>27.5</v>
      </c>
      <c r="AY4" s="37">
        <v>6.5</v>
      </c>
      <c r="AZ4" s="37">
        <v>0</v>
      </c>
      <c r="BA4" s="37">
        <v>1</v>
      </c>
      <c r="BB4" s="75"/>
      <c r="BC4" s="15">
        <f>IF(SUM(AM4,AQ4)&gt;0,SUM(AM4,AQ4),"")</f>
        <v>11.9</v>
      </c>
      <c r="BD4" s="15">
        <f>IF(SUM(AL4:AM4,AO4:AQ4,AS4)-AN4-AR4&gt;0,SUM(AL4:AM4,AO4:AQ4,AS4)-AN4-AR4,"")</f>
        <v>63.5</v>
      </c>
      <c r="BE4" s="15">
        <f>IF(SUM(AT4:AU4,AW4:AY4,BA4)-SUM(AV4,AZ4)&gt;0,SUM(AT4:AU4,AW4:AY4,BA4)-SUM(AV4,AZ4),"")</f>
        <v>59.5</v>
      </c>
      <c r="BF4" s="15">
        <f>IF(SUM(BD4,BE4)&gt;0,SUM(BD4,BE4),"")</f>
        <v>123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26.8</v>
      </c>
      <c r="BJ4" s="36">
        <v>6.5</v>
      </c>
      <c r="BK4" s="36">
        <v>0</v>
      </c>
      <c r="BL4" s="36">
        <v>0</v>
      </c>
      <c r="BM4" s="36">
        <v>23</v>
      </c>
      <c r="BN4" s="36">
        <v>3.4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9.9</v>
      </c>
      <c r="BZ4" s="12">
        <f>IF(SUM(BI4:BJ4,BL4:BN4,BP4)-BK4-BO4&gt;0,SUM(BI4:BJ4,BL4:BN4,BP4)-BK4-BO4,"")</f>
        <v>59.699999999999996</v>
      </c>
      <c r="CA4" s="12" t="str">
        <f>IF(SUM(BQ4:BR4,BT4:BV4,BX4)-SUM(BS4,BW4)&gt;0,SUM(BQ4:BR4,BT4:BV4,BX4)-SUM(BS4,BW4),"")</f>
        <v/>
      </c>
      <c r="CB4" s="12">
        <f>IF(SUM(BZ4,CA4)&gt;0,SUM(BZ4,CA4),"")</f>
        <v>59.699999999999996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23.75</v>
      </c>
      <c r="KP4" s="63">
        <f t="shared" ref="KP4:LD9" si="0">IF($BB4="P",AM4,(R4+AM4)/2)</f>
        <v>5.45</v>
      </c>
      <c r="KQ4" s="63">
        <f t="shared" si="0"/>
        <v>0</v>
      </c>
      <c r="KR4" s="63">
        <f t="shared" si="0"/>
        <v>0</v>
      </c>
      <c r="KS4" s="63">
        <f t="shared" si="0"/>
        <v>25.5</v>
      </c>
      <c r="KT4" s="63">
        <f t="shared" si="0"/>
        <v>6.15</v>
      </c>
      <c r="KU4" s="63">
        <f t="shared" si="0"/>
        <v>0.15</v>
      </c>
      <c r="KV4" s="63">
        <f t="shared" si="0"/>
        <v>0.5</v>
      </c>
      <c r="KW4" s="63">
        <f t="shared" si="0"/>
        <v>25.4</v>
      </c>
      <c r="KX4" s="63">
        <f t="shared" si="0"/>
        <v>4.5999999999999996</v>
      </c>
      <c r="KY4" s="63">
        <f t="shared" si="0"/>
        <v>1.5</v>
      </c>
      <c r="KZ4" s="63">
        <f t="shared" si="0"/>
        <v>0</v>
      </c>
      <c r="LA4" s="63">
        <f t="shared" si="0"/>
        <v>27.5</v>
      </c>
      <c r="LB4" s="63">
        <f t="shared" si="0"/>
        <v>6.15</v>
      </c>
      <c r="LC4" s="63">
        <f t="shared" si="0"/>
        <v>0</v>
      </c>
      <c r="LD4" s="63">
        <f t="shared" si="0"/>
        <v>0.5</v>
      </c>
      <c r="LE4" s="74" t="s">
        <v>116</v>
      </c>
      <c r="LF4" s="12">
        <f>IF(SUM(KP4,KT4)&gt;0,SUM(KP4,KT4),"")</f>
        <v>11.600000000000001</v>
      </c>
      <c r="LG4" s="12">
        <f t="shared" ref="LG4" si="1">IF(SUM(KO4:KP4,KR4:KT4,KV4)-KQ4-KU4&gt;0,SUM(KO4:KP4,KR4:KT4,KV4)-KQ4-KU4,"")</f>
        <v>61.2</v>
      </c>
      <c r="LH4" s="12">
        <f t="shared" ref="LH4" si="2">IF(SUM(KW4:KX4,KZ4:LB4,LD4)-SUM(KY4,LC4)&gt;0,SUM(KW4:KX4,KZ4:LB4,LD4)-SUM(KY4,LC4),"")</f>
        <v>62.650000000000006</v>
      </c>
      <c r="LI4" s="12">
        <f t="shared" ref="LI4" si="3">IF(SUM(LG4,LH4)&gt;0,SUM(LG4,LH4),"")</f>
        <v>123.85000000000001</v>
      </c>
    </row>
    <row r="5" spans="1:321" x14ac:dyDescent="0.2">
      <c r="A5" s="6">
        <f>IF(AND(F5="P",H5="P"),SUMPRODUCT((F$4:F$10="P")*(H$4:H$10="P")*(E$4:E$10&gt;E5))+1,IF(H5="P",SUMPRODUCT((F$4:F$10="")*(H$4:H$10="P")*(E$4:E$10&gt;E5))+1+SUMPRODUCT((F$4:F$10="P")*(H$4:H$10="P")),""))</f>
        <v>2</v>
      </c>
      <c r="B5" s="9" t="s">
        <v>105</v>
      </c>
      <c r="C5" s="5" t="s">
        <v>6</v>
      </c>
      <c r="D5" s="27">
        <v>1997</v>
      </c>
      <c r="E5" s="16">
        <f>SUM(J5:N5)</f>
        <v>128.5</v>
      </c>
      <c r="F5" s="4" t="str">
        <f>IF(OR(AND(AH5&gt;=AJ$12,AI5&gt;=AJ$14,AI5&lt;&gt;"",AG5=""),AND(BC5&gt;=BE$12,BD5&gt;=BE$14,BD5&lt;&gt;"",BB5=""),AND(BY5&gt;=CA$12,BZ5&gt;=CA$14,BZ5&lt;&gt;""),AND(CS5&gt;=CU$12,CT5&gt;=CU$14,CT5&lt;&gt;""),AND(DM5&gt;=DO$12,DN5&gt;=DO$14,DN5&lt;&gt;""),AND(EG5&gt;=EI$12,EH5&gt;=EI$14,EH5&lt;&gt;""),AND(FA5&gt;=FC$12,FB5&gt;=FC$14,FB5&lt;&gt;""),AND(FU5&gt;=FW$12,FV5&gt;=FW$14,FV5&lt;&gt;""),AND(GO5&gt;=GQ$12,GP5&gt;=GQ$14,GP5&lt;&gt;""),AND(HI5&gt;=HK$12,HJ5&gt;=HK$14,HJ5&lt;&gt;""),AND(IC5&gt;=IE$12,ID5&gt;=IE$14,ID5&lt;&gt;""),AND(IW5&gt;=IY$12,IX5&gt;=IY$14,IX5&lt;&gt;""),AND(JQ5&gt;=JS$12,JR5&gt;=JS$14,JR5&lt;&gt;""),AND(KK5&gt;=KM$12,KL5&gt;=KM$14,KL5&lt;&gt;"")),"P","")</f>
        <v/>
      </c>
      <c r="G5" s="4" t="str">
        <f>IF(OR(AND(AH5&gt;=AJ$12,AI5&gt;=AJ$15,AI5&lt;&gt;"",AG5=""),AND(BC5&gt;=BE$12,BD5&gt;=BE$15,BD5&lt;&gt;"",BB5=""),AND(BY5&gt;=CA$12,BZ5&gt;=CA$15,BZ5&lt;&gt;""),AND(CS5&gt;=CU$12,CT5&gt;=CU$15,CT5&lt;&gt;""),AND(DM5&gt;=DO$12,DN5&gt;=DO$15,DN5&lt;&gt;""),AND(EG5&gt;=EI$12,EH5&gt;=EI$15,EH5&lt;&gt;""),AND(FA5&gt;=FC$12,FB5&gt;=FC$15,FB5&lt;&gt;""),AND(FU5&gt;=FW$12,FV5&gt;=FW$15,FV5&lt;&gt;""),AND(GO5&gt;=GQ$12,GP5&gt;=GQ$15,GP5&lt;&gt;""),AND(HI5&gt;=HK$12,HJ5&gt;=HK$15,HJ5&lt;&gt;""),AND(IC5&gt;=IE$12,ID5&gt;=IE$15,ID5&lt;&gt;""),AND(IW5&gt;=IY$12,IX5&gt;=IY$15,IX5&lt;&gt;""),AND(JQ5&gt;=JS$12,JR5&gt;=JS$15,JR5&lt;&gt;""),AND(KK5&gt;=KM$12,KL5&gt;=KM$15,KL5&lt;&gt;"")),"P","")</f>
        <v/>
      </c>
      <c r="H5" s="4" t="str">
        <f>IF(OR(AND(AI5&gt;=AJ$14,AI5&lt;&gt;"",AG5=""),AND(BD5&gt;=BE$14,BD5&lt;&gt;"",BB5=""),AND(BZ5&gt;=CA$14,BZ5&lt;&gt;""),AND(CT5&gt;=CU$14,CT5&lt;&gt;""),AND(DN5&gt;=DO$14,DN5&lt;&gt;""),AND(EH5&gt;=EI$14,EH5&lt;&gt;""),AND(FB5&gt;=FC$14,FB5&lt;&gt;""),AND(FV5&gt;=FW$14,FV5&lt;&gt;""),AND(GP5&gt;=GQ$14,GP5&lt;&gt;""),AND(HJ5&gt;=HK$14,HJ5&lt;&gt;""),AND(ID5&gt;=IE$14,ID5&lt;&gt;""),AND(IX5&gt;=IY$14,IX5&lt;&gt;""),AND(JR5&gt;=JS$14,JR5&lt;&gt;""),AND(KL5&gt;=KM$14,KL5&lt;&gt;"")),"P","")</f>
        <v>P</v>
      </c>
      <c r="I5" t="str">
        <f>IF(AND(H5="P",F5=""),"No DD",IF(OR(AND(AI5&gt;=AJ$17,AI5&lt;&gt;"",AH5&gt;=AJ$13,AH5&lt;&gt;"",AG5=""),AND(BD5&gt;=BE$17,BD5&lt;&gt;"",BC5&gt;=BE$13,BC5&lt;&gt;"",BB5=""),AND(BZ5&gt;=CA$17,BZ5&lt;&gt;"",BY5&gt;=CA$13,BY5&lt;&gt;""),AND(CT5&gt;=CU$17,CT5&lt;&gt;"",CS5&gt;=CU$13,CS5&lt;&gt;""),AND(DN5&gt;=DO$17,DN5&lt;&gt;"",DM5&gt;=DO$13,DM5&lt;&gt;""),AND(EH5&gt;=EI$17,EH5&lt;&gt;"",EG5&gt;=EI$13,EG5&lt;&gt;""),AND(FB5&gt;=FC$17,FB5&lt;&gt;"",FA5&gt;=FC$13,FA5&lt;&gt;""),AND(FV5&gt;=FW$17,FV5&lt;&gt;"",FU5&gt;=FW$13,FU5&lt;&gt;""),AND(GP5&gt;=GQ$17,GP5&lt;&gt;"",GO5&gt;=GQ$13,GO5&lt;&gt;""),AND(HJ5&gt;=HK$17,HJ5&lt;&gt;"",HI5&gt;=HK$13,HI5&lt;&gt;""),AND(ID5&gt;=IE$17,ID5&lt;&gt;"",IC5&gt;=IE$13,IC5&lt;&gt;""),AND(IX5&gt;=IY$17,IX5&lt;&gt;"",IW5&gt;=IY$13,IW5&lt;&gt;""),AND(JR5&gt;=JS$17,JR5&lt;&gt;"",JQ5&gt;=JS$13,JQ5&lt;&gt;""),AND(KL5&gt;=KM$17,KL5&lt;&gt;"",KK5&gt;=KM$13,KK5&lt;&gt;"")),"Merit",IF(OR(AND(AI5&gt;=AJ$16,AI5&lt;&gt;"",AH5&gt;=AJ$13,AH5&lt;&gt;"",AG5=""),AND(BD5&gt;=BE$16,BD5&lt;&gt;"",BC5&gt;=BE$13,BC5&lt;&gt;"",BB5=""),AND(BZ5&gt;=CA$16,BZ5&lt;&gt;"",BY5&gt;=CA$13,BY5&lt;&gt;""),AND(CT5&gt;=CU$16,CT5&lt;&gt;"",CS5&gt;=CU$13,CS5&lt;&gt;""),AND(DN5&gt;=DO$16,DN5&lt;&gt;"",DM5&gt;=DO$13,DM5&lt;&gt;""),AND(EH5&gt;=EI$16,EH5&lt;&gt;"",EG5&gt;=EI$13,EG5&lt;&gt;""),AND(FB5&gt;=FC$16,FB5&lt;&gt;"",FA5&gt;=FC$13,FA5&lt;&gt;""),AND(FV5&gt;=FW$16,FV5&lt;&gt;"",FU5&gt;=FW$13,FU5&lt;&gt;""),AND(GP5&gt;=GQ$16,GP5&lt;&gt;"",GO5&gt;=GQ$13,GO5&lt;&gt;""),AND(HJ5&gt;=HK$16,HJ5&lt;&gt;"",HI5&gt;=HK$13,HI5&lt;&gt;""),AND(ID5&gt;=IE$16,ID5&lt;&gt;"",IC5&gt;=IE$13,IC5&lt;&gt;""),AND(IX5&gt;=IY$16,IX5&lt;&gt;"",IW5&gt;=IY$13,IW5&lt;&gt;""),AND(JR5&gt;=JS$16,JR5&lt;&gt;"",JQ5&gt;=JS$13,JQ5&lt;&gt;""),AND(KL5&gt;=KM$16,KL5&lt;&gt;"",KK5&gt;=KM$13,KK5&lt;&gt;"")),"Excellence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Worlds Team",IF(OR(AND(AI5&gt;=AJ$14,AI5&lt;&gt;"",AH5&gt;=AJ$12,AH5&lt;&gt;"",AG5=""),AND(BD5&gt;=BE$14,BD5&lt;&gt;"",BC5&gt;=BE$12,BC5&lt;&gt;"",BB5=""),AND(BZ5&gt;=CA$14,BZ5&lt;&gt;"",BY5&gt;=CA$12,BY5&lt;&gt;""),AND(CT5&gt;=CU$14,CT5&lt;&gt;"",CS5&gt;=CU$12,CS5&lt;&gt;""),AND(DN5&gt;=DO$14,DN5&lt;&gt;"",DM5&gt;=DO$12,DM5&lt;&gt;""),AND(EH5&gt;=EI$14,EH5&lt;&gt;"",EG5&gt;=EI$12,EG5&lt;&gt;""),AND(FB5&gt;=FC$14,FB5&lt;&gt;"",FA5&gt;=FC$12,FA5&lt;&gt;""),AND(FV5&gt;=FW$14,FV5&lt;&gt;"",FU5&gt;=FW$12,FU5&lt;&gt;""),AND(GP5&gt;=GQ$14,GP5&lt;&gt;"",GO5&gt;=GQ$12,GO5&lt;&gt;""),AND(HJ5&gt;=HK$14,HJ5&lt;&gt;"",HI5&gt;=HK$12,HI5&lt;&gt;""),AND(ID5&gt;=IE$14,ID5&lt;&gt;"",IC5&gt;=IE$12,IC5&lt;&gt;""),AND(IX5&gt;=IY$14,IX5&lt;&gt;"",IW5&gt;=IY$12,IW5&lt;&gt;""),AND(JR5&gt;=JS$14,JR5&lt;&gt;"",JQ5&gt;=JS$12,JQ5&lt;&gt;""),AND(KL5&gt;=KM$14,KL5&lt;&gt;"",KK5&gt;=KM$12,KK5&lt;&gt;"")),"National Team","")))))</f>
        <v>No DD</v>
      </c>
      <c r="J5" s="15">
        <f>IF(MAX(AI5,BD5)&gt;0,MAX(AI5,BD5),"")</f>
        <v>63.3</v>
      </c>
      <c r="K5" s="15" t="str">
        <f>IF(J5="","",IF(J5=BD5,$AL$1,IF(J5=AI5,$Q$1,"")))</f>
        <v>2018 Nationals</v>
      </c>
      <c r="L5" s="15">
        <f>IF(MAX(AJ5,BE5)&gt;0,MAX(AJ5,BE5),"")</f>
        <v>65.199999999999989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26.2</v>
      </c>
      <c r="R5" s="63">
        <v>5.5</v>
      </c>
      <c r="S5" s="63">
        <v>0</v>
      </c>
      <c r="T5" s="63">
        <v>0</v>
      </c>
      <c r="U5" s="63">
        <v>27.6</v>
      </c>
      <c r="V5" s="63">
        <v>4</v>
      </c>
      <c r="W5" s="63">
        <v>0</v>
      </c>
      <c r="X5" s="63">
        <v>0</v>
      </c>
      <c r="Y5" s="63">
        <v>26.8</v>
      </c>
      <c r="Z5" s="63">
        <v>5.5</v>
      </c>
      <c r="AA5" s="63">
        <v>0</v>
      </c>
      <c r="AB5" s="63">
        <v>0</v>
      </c>
      <c r="AC5" s="63">
        <v>28.9</v>
      </c>
      <c r="AD5" s="63">
        <v>4</v>
      </c>
      <c r="AE5" s="63">
        <v>0</v>
      </c>
      <c r="AF5" s="63">
        <v>0</v>
      </c>
      <c r="AG5" s="74"/>
      <c r="AH5" s="12">
        <f>IF(SUM(R5,V5)&gt;0,SUM(R5,V5),"")</f>
        <v>9.5</v>
      </c>
      <c r="AI5" s="12">
        <f>IF(SUM(Q5:R5,T5:V5,X5)-S5-W5&gt;0,SUM(Q5:R5,T5:V5,X5)-S5-W5,"")</f>
        <v>63.3</v>
      </c>
      <c r="AJ5" s="12">
        <f>IF(SUM(Y5:Z5,AB5:AD5,AF5)-SUM(AA5,AE5)&gt;0,SUM(Y5:Z5,AB5:AD5,AF5)-SUM(AA5,AE5),"")</f>
        <v>65.199999999999989</v>
      </c>
      <c r="AK5" s="12">
        <f>IF(SUM(AI5,AJ5)&gt;0,SUM(AI5,AJ5),"")</f>
        <v>128.5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23.7</v>
      </c>
      <c r="BJ5" s="36">
        <v>5.4</v>
      </c>
      <c r="BK5" s="36">
        <v>0</v>
      </c>
      <c r="BL5" s="36">
        <v>0</v>
      </c>
      <c r="BM5" s="36">
        <v>26.8</v>
      </c>
      <c r="BN5" s="36">
        <v>4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9.4</v>
      </c>
      <c r="BZ5" s="12">
        <f>IF(SUM(BI5:BJ5,BL5:BN5,BP5)-BK5-BO5&gt;0,SUM(BI5:BJ5,BL5:BN5,BP5)-BK5-BO5,"")</f>
        <v>59.900000000000006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59.900000000000006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9" si="4">IF($BB5="P",AL5,(Q5+AL5)/2)</f>
        <v>13.1</v>
      </c>
      <c r="KP5" s="63">
        <f t="shared" si="0"/>
        <v>2.75</v>
      </c>
      <c r="KQ5" s="63">
        <f t="shared" si="0"/>
        <v>0</v>
      </c>
      <c r="KR5" s="63">
        <f t="shared" si="0"/>
        <v>0</v>
      </c>
      <c r="KS5" s="63">
        <f t="shared" si="0"/>
        <v>13.8</v>
      </c>
      <c r="KT5" s="63">
        <f t="shared" si="0"/>
        <v>2</v>
      </c>
      <c r="KU5" s="63">
        <f t="shared" si="0"/>
        <v>0</v>
      </c>
      <c r="KV5" s="63">
        <f t="shared" si="0"/>
        <v>0</v>
      </c>
      <c r="KW5" s="63">
        <f t="shared" si="0"/>
        <v>13.4</v>
      </c>
      <c r="KX5" s="63">
        <f t="shared" si="0"/>
        <v>2.75</v>
      </c>
      <c r="KY5" s="63">
        <f t="shared" si="0"/>
        <v>0</v>
      </c>
      <c r="KZ5" s="63">
        <f t="shared" si="0"/>
        <v>0</v>
      </c>
      <c r="LA5" s="63">
        <f t="shared" si="0"/>
        <v>14.45</v>
      </c>
      <c r="LB5" s="63">
        <f t="shared" si="0"/>
        <v>2</v>
      </c>
      <c r="LC5" s="63">
        <f t="shared" si="0"/>
        <v>0</v>
      </c>
      <c r="LD5" s="63">
        <f t="shared" si="0"/>
        <v>0</v>
      </c>
      <c r="LE5" s="74" t="s">
        <v>116</v>
      </c>
      <c r="LF5" s="12">
        <f t="shared" ref="LF5:LF9" si="5">IF(SUM(KP5,KT5)&gt;0,SUM(KP5,KT5),"")</f>
        <v>4.75</v>
      </c>
      <c r="LG5" s="12">
        <f t="shared" ref="LG5:LG9" si="6">IF(SUM(KO5:KP5,KR5:KT5,KV5)-KQ5-KU5&gt;0,SUM(KO5:KP5,KR5:KT5,KV5)-KQ5-KU5,"")</f>
        <v>31.65</v>
      </c>
      <c r="LH5" s="12">
        <f t="shared" ref="LH5:LH9" si="7">IF(SUM(KW5:KX5,KZ5:LB5,LD5)-SUM(KY5,LC5)&gt;0,SUM(KW5:KX5,KZ5:LB5,LD5)-SUM(KY5,LC5),"")</f>
        <v>32.599999999999994</v>
      </c>
      <c r="LI5" s="12">
        <f t="shared" ref="LI5:LI9" si="8">IF(SUM(LG5,LH5)&gt;0,SUM(LG5,LH5),"")</f>
        <v>64.25</v>
      </c>
    </row>
    <row r="6" spans="1:321" x14ac:dyDescent="0.2">
      <c r="A6" s="6" t="str">
        <f>IF(AND(F6="P",H6="P"),SUMPRODUCT((F$4:F$10="P")*(H$4:H$10="P")*(E$4:E$10&gt;E6))+1,IF(H6="P",SUMPRODUCT((F$4:F$10="")*(H$4:H$10="P")*(E$4:E$10&gt;E6))+1+SUMPRODUCT((F$4:F$10="P")*(H$4:H$10="P")),""))</f>
        <v/>
      </c>
      <c r="B6" s="7" t="s">
        <v>104</v>
      </c>
      <c r="C6" s="8" t="s">
        <v>3</v>
      </c>
      <c r="D6" s="6">
        <v>2001</v>
      </c>
      <c r="E6" s="16">
        <f>SUM(J6:N6)</f>
        <v>123.69999999999999</v>
      </c>
      <c r="F6" s="4" t="str">
        <f>IF(OR(AND(AH6&gt;=AJ$12,AI6&gt;=AJ$14,AI6&lt;&gt;"",AG6=""),AND(BC6&gt;=BE$12,BD6&gt;=BE$14,BD6&lt;&gt;"",BB6=""),AND(BY6&gt;=CA$12,BZ6&gt;=CA$14,BZ6&lt;&gt;""),AND(CS6&gt;=CU$12,CT6&gt;=CU$14,CT6&lt;&gt;""),AND(DM6&gt;=DO$12,DN6&gt;=DO$14,DN6&lt;&gt;""),AND(EG6&gt;=EI$12,EH6&gt;=EI$14,EH6&lt;&gt;""),AND(FA6&gt;=FC$12,FB6&gt;=FC$14,FB6&lt;&gt;""),AND(FU6&gt;=FW$12,FV6&gt;=FW$14,FV6&lt;&gt;""),AND(GO6&gt;=GQ$12,GP6&gt;=GQ$14,GP6&lt;&gt;""),AND(HI6&gt;=HK$12,HJ6&gt;=HK$14,HJ6&lt;&gt;""),AND(IC6&gt;=IE$12,ID6&gt;=IE$14,ID6&lt;&gt;""),AND(IW6&gt;=IY$12,IX6&gt;=IY$14,IX6&lt;&gt;""),AND(JQ6&gt;=JS$12,JR6&gt;=JS$14,JR6&lt;&gt;""),AND(KK6&gt;=KM$12,KL6&gt;=KM$14,KL6&lt;&gt;"")),"P","")</f>
        <v/>
      </c>
      <c r="G6" s="4" t="str">
        <f>IF(OR(AND(AH6&gt;=AJ$12,AI6&gt;=AJ$15,AI6&lt;&gt;"",AG6=""),AND(BC6&gt;=BE$12,BD6&gt;=BE$15,BD6&lt;&gt;"",BB6=""),AND(BY6&gt;=CA$12,BZ6&gt;=CA$15,BZ6&lt;&gt;""),AND(CS6&gt;=CU$12,CT6&gt;=CU$15,CT6&lt;&gt;""),AND(DM6&gt;=DO$12,DN6&gt;=DO$15,DN6&lt;&gt;""),AND(EG6&gt;=EI$12,EH6&gt;=EI$15,EH6&lt;&gt;""),AND(FA6&gt;=FC$12,FB6&gt;=FC$15,FB6&lt;&gt;""),AND(FU6&gt;=FW$12,FV6&gt;=FW$15,FV6&lt;&gt;""),AND(GO6&gt;=GQ$12,GP6&gt;=GQ$15,GP6&lt;&gt;""),AND(HI6&gt;=HK$12,HJ6&gt;=HK$15,HJ6&lt;&gt;""),AND(IC6&gt;=IE$12,ID6&gt;=IE$15,ID6&lt;&gt;""),AND(IW6&gt;=IY$12,IX6&gt;=IY$15,IX6&lt;&gt;""),AND(JQ6&gt;=JS$12,JR6&gt;=JS$15,JR6&lt;&gt;""),AND(KK6&gt;=KM$12,KL6&gt;=KM$15,KL6&lt;&gt;"")),"P","")</f>
        <v/>
      </c>
      <c r="H6" s="4" t="str">
        <f>IF(OR(AND(AI6&gt;=AJ$14,AI6&lt;&gt;"",AG6=""),AND(BD6&gt;=BE$14,BD6&lt;&gt;"",BB6=""),AND(BZ6&gt;=CA$14,BZ6&lt;&gt;""),AND(CT6&gt;=CU$14,CT6&lt;&gt;""),AND(DN6&gt;=DO$14,DN6&lt;&gt;""),AND(EH6&gt;=EI$14,EH6&lt;&gt;""),AND(FB6&gt;=FC$14,FB6&lt;&gt;""),AND(FV6&gt;=FW$14,FV6&lt;&gt;""),AND(GP6&gt;=GQ$14,GP6&lt;&gt;""),AND(HJ6&gt;=HK$14,HJ6&lt;&gt;""),AND(ID6&gt;=IE$14,ID6&lt;&gt;""),AND(IX6&gt;=IY$14,IX6&lt;&gt;""),AND(JR6&gt;=JS$14,JR6&lt;&gt;""),AND(KL6&gt;=KM$14,KL6&lt;&gt;"")),"P","")</f>
        <v/>
      </c>
      <c r="I6" t="str">
        <f>IF(AND(H6="P",F6=""),"No DD",IF(OR(AND(AI6&gt;=AJ$17,AI6&lt;&gt;"",AH6&gt;=AJ$13,AH6&lt;&gt;"",AG6=""),AND(BD6&gt;=BE$17,BD6&lt;&gt;"",BC6&gt;=BE$13,BC6&lt;&gt;"",BB6=""),AND(BZ6&gt;=CA$17,BZ6&lt;&gt;"",BY6&gt;=CA$13,BY6&lt;&gt;""),AND(CT6&gt;=CU$17,CT6&lt;&gt;"",CS6&gt;=CU$13,CS6&lt;&gt;""),AND(DN6&gt;=DO$17,DN6&lt;&gt;"",DM6&gt;=DO$13,DM6&lt;&gt;""),AND(EH6&gt;=EI$17,EH6&lt;&gt;"",EG6&gt;=EI$13,EG6&lt;&gt;""),AND(FB6&gt;=FC$17,FB6&lt;&gt;"",FA6&gt;=FC$13,FA6&lt;&gt;""),AND(FV6&gt;=FW$17,FV6&lt;&gt;"",FU6&gt;=FW$13,FU6&lt;&gt;""),AND(GP6&gt;=GQ$17,GP6&lt;&gt;"",GO6&gt;=GQ$13,GO6&lt;&gt;""),AND(HJ6&gt;=HK$17,HJ6&lt;&gt;"",HI6&gt;=HK$13,HI6&lt;&gt;""),AND(ID6&gt;=IE$17,ID6&lt;&gt;"",IC6&gt;=IE$13,IC6&lt;&gt;""),AND(IX6&gt;=IY$17,IX6&lt;&gt;"",IW6&gt;=IY$13,IW6&lt;&gt;""),AND(JR6&gt;=JS$17,JR6&lt;&gt;"",JQ6&gt;=JS$13,JQ6&lt;&gt;""),AND(KL6&gt;=KM$17,KL6&lt;&gt;"",KK6&gt;=KM$13,KK6&lt;&gt;"")),"Merit",IF(OR(AND(AI6&gt;=AJ$16,AI6&lt;&gt;"",AH6&gt;=AJ$13,AH6&lt;&gt;"",AG6=""),AND(BD6&gt;=BE$16,BD6&lt;&gt;"",BC6&gt;=BE$13,BC6&lt;&gt;"",BB6=""),AND(BZ6&gt;=CA$16,BZ6&lt;&gt;"",BY6&gt;=CA$13,BY6&lt;&gt;""),AND(CT6&gt;=CU$16,CT6&lt;&gt;"",CS6&gt;=CU$13,CS6&lt;&gt;""),AND(DN6&gt;=DO$16,DN6&lt;&gt;"",DM6&gt;=DO$13,DM6&lt;&gt;""),AND(EH6&gt;=EI$16,EH6&lt;&gt;"",EG6&gt;=EI$13,EG6&lt;&gt;""),AND(FB6&gt;=FC$16,FB6&lt;&gt;"",FA6&gt;=FC$13,FA6&lt;&gt;""),AND(FV6&gt;=FW$16,FV6&lt;&gt;"",FU6&gt;=FW$13,FU6&lt;&gt;""),AND(GP6&gt;=GQ$16,GP6&lt;&gt;"",GO6&gt;=GQ$13,GO6&lt;&gt;""),AND(HJ6&gt;=HK$16,HJ6&lt;&gt;"",HI6&gt;=HK$13,HI6&lt;&gt;""),AND(ID6&gt;=IE$16,ID6&lt;&gt;"",IC6&gt;=IE$13,IC6&lt;&gt;""),AND(IX6&gt;=IY$16,IX6&lt;&gt;"",IW6&gt;=IY$13,IW6&lt;&gt;""),AND(JR6&gt;=JS$16,JR6&lt;&gt;"",JQ6&gt;=JS$13,JQ6&lt;&gt;""),AND(KL6&gt;=KM$16,KL6&lt;&gt;"",KK6&gt;=KM$13,KK6&lt;&gt;"")),"Excellence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Worlds Team",IF(OR(AND(AI6&gt;=AJ$14,AI6&lt;&gt;"",AH6&gt;=AJ$12,AH6&lt;&gt;"",AG6=""),AND(BD6&gt;=BE$14,BD6&lt;&gt;"",BC6&gt;=BE$12,BC6&lt;&gt;"",BB6=""),AND(BZ6&gt;=CA$14,BZ6&lt;&gt;"",BY6&gt;=CA$12,BY6&lt;&gt;""),AND(CT6&gt;=CU$14,CT6&lt;&gt;"",CS6&gt;=CU$12,CS6&lt;&gt;""),AND(DN6&gt;=DO$14,DN6&lt;&gt;"",DM6&gt;=DO$12,DM6&lt;&gt;""),AND(EH6&gt;=EI$14,EH6&lt;&gt;"",EG6&gt;=EI$12,EG6&lt;&gt;""),AND(FB6&gt;=FC$14,FB6&lt;&gt;"",FA6&gt;=FC$12,FA6&lt;&gt;""),AND(FV6&gt;=FW$14,FV6&lt;&gt;"",FU6&gt;=FW$12,FU6&lt;&gt;""),AND(GP6&gt;=GQ$14,GP6&lt;&gt;"",GO6&gt;=GQ$12,GO6&lt;&gt;""),AND(HJ6&gt;=HK$14,HJ6&lt;&gt;"",HI6&gt;=HK$12,HI6&lt;&gt;""),AND(ID6&gt;=IE$14,ID6&lt;&gt;"",IC6&gt;=IE$12,IC6&lt;&gt;""),AND(IX6&gt;=IY$14,IX6&lt;&gt;"",IW6&gt;=IY$12,IW6&lt;&gt;""),AND(JR6&gt;=JS$14,JR6&lt;&gt;"",JQ6&gt;=JS$12,JQ6&lt;&gt;""),AND(KL6&gt;=KM$14,KL6&lt;&gt;"",KK6&gt;=KM$12,KK6&lt;&gt;"")),"National Team","")))))</f>
        <v/>
      </c>
      <c r="J6" s="15">
        <f>IF(MAX(AI6,BD6)&gt;0,MAX(AI6,BD6),"")</f>
        <v>61.3</v>
      </c>
      <c r="K6" s="15" t="str">
        <f>IF(J6="","",IF(J6=BD6,$AL$1,IF(J6=AI6,$Q$1,"")))</f>
        <v>2018 Nationals</v>
      </c>
      <c r="L6" s="15">
        <f>IF(MAX(AJ6,BE6)&gt;0,MAX(AJ6,BE6),"")</f>
        <v>62.4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63">
        <v>23.7</v>
      </c>
      <c r="R6" s="63">
        <v>5.5</v>
      </c>
      <c r="S6" s="63">
        <v>0.3</v>
      </c>
      <c r="T6" s="63">
        <v>0</v>
      </c>
      <c r="U6" s="63">
        <v>26.4</v>
      </c>
      <c r="V6" s="63">
        <v>6</v>
      </c>
      <c r="W6" s="63">
        <v>0</v>
      </c>
      <c r="X6" s="63">
        <v>0</v>
      </c>
      <c r="Y6" s="63">
        <v>25</v>
      </c>
      <c r="Z6" s="63">
        <v>6.5</v>
      </c>
      <c r="AA6" s="63">
        <v>0</v>
      </c>
      <c r="AB6" s="63">
        <v>0</v>
      </c>
      <c r="AC6" s="63">
        <v>25.5</v>
      </c>
      <c r="AD6" s="63">
        <v>6</v>
      </c>
      <c r="AE6" s="63">
        <v>0.6</v>
      </c>
      <c r="AF6" s="63">
        <v>0</v>
      </c>
      <c r="AG6" s="74"/>
      <c r="AH6" s="12">
        <f>IF(SUM(R6,V6)&gt;0,SUM(R6,V6),"")</f>
        <v>11.5</v>
      </c>
      <c r="AI6" s="12">
        <f>IF(SUM(Q6:R6,T6:V6,X6)-S6-W6&gt;0,SUM(Q6:R6,T6:V6,X6)-S6-W6,"")</f>
        <v>61.3</v>
      </c>
      <c r="AJ6" s="12">
        <f>IF(SUM(Y6:Z6,AB6:AD6,AF6)-SUM(AA6,AE6)&gt;0,SUM(Y6:Z6,AB6:AD6,AF6)-SUM(AA6,AE6),"")</f>
        <v>62.4</v>
      </c>
      <c r="AK6" s="12">
        <f>IF(SUM(AI6,AJ6)&gt;0,SUM(AI6,AJ6),"")</f>
        <v>123.69999999999999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75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26.7</v>
      </c>
      <c r="BJ6" s="36">
        <v>5.5</v>
      </c>
      <c r="BK6" s="36">
        <v>0</v>
      </c>
      <c r="BL6" s="36">
        <v>0</v>
      </c>
      <c r="BM6" s="36">
        <v>24</v>
      </c>
      <c r="BN6" s="36">
        <v>5.5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11</v>
      </c>
      <c r="BZ6" s="12">
        <f>IF(SUM(BI6:BJ6,BL6:BN6,BP6)-BK6-BO6&gt;0,SUM(BI6:BJ6,BL6:BN6,BP6)-BK6-BO6,"")</f>
        <v>61.400000000000006</v>
      </c>
      <c r="CA6" s="12" t="str">
        <f>IF(SUM(BQ6:BR6,BT6:BV6,BX6)-SUM(BS6,BW6)&gt;0,SUM(BQ6:BR6,BT6:BV6,BX6)-SUM(BS6,BW6),"")</f>
        <v/>
      </c>
      <c r="CB6" s="12">
        <f>IF(SUM(BZ6,CA6)&gt;0,SUM(BZ6,CA6),"")</f>
        <v>61.400000000000006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11.85</v>
      </c>
      <c r="KP6" s="63">
        <f t="shared" si="0"/>
        <v>2.75</v>
      </c>
      <c r="KQ6" s="63">
        <f t="shared" si="0"/>
        <v>0.15</v>
      </c>
      <c r="KR6" s="63">
        <f t="shared" si="0"/>
        <v>0</v>
      </c>
      <c r="KS6" s="63">
        <f t="shared" si="0"/>
        <v>13.2</v>
      </c>
      <c r="KT6" s="63">
        <f t="shared" si="0"/>
        <v>3</v>
      </c>
      <c r="KU6" s="63">
        <f t="shared" si="0"/>
        <v>0</v>
      </c>
      <c r="KV6" s="63">
        <f t="shared" si="0"/>
        <v>0</v>
      </c>
      <c r="KW6" s="63">
        <f t="shared" si="0"/>
        <v>12.5</v>
      </c>
      <c r="KX6" s="63">
        <f t="shared" si="0"/>
        <v>3.25</v>
      </c>
      <c r="KY6" s="63">
        <f t="shared" si="0"/>
        <v>0</v>
      </c>
      <c r="KZ6" s="63">
        <f t="shared" si="0"/>
        <v>0</v>
      </c>
      <c r="LA6" s="63">
        <f t="shared" si="0"/>
        <v>12.75</v>
      </c>
      <c r="LB6" s="63">
        <f t="shared" si="0"/>
        <v>3</v>
      </c>
      <c r="LC6" s="63">
        <f t="shared" si="0"/>
        <v>0.3</v>
      </c>
      <c r="LD6" s="63">
        <f t="shared" si="0"/>
        <v>0</v>
      </c>
      <c r="LE6" s="74" t="s">
        <v>116</v>
      </c>
      <c r="LF6" s="12">
        <f t="shared" si="5"/>
        <v>5.75</v>
      </c>
      <c r="LG6" s="12">
        <f t="shared" si="6"/>
        <v>30.65</v>
      </c>
      <c r="LH6" s="12">
        <f t="shared" si="7"/>
        <v>31.2</v>
      </c>
      <c r="LI6" s="12">
        <f t="shared" si="8"/>
        <v>61.849999999999994</v>
      </c>
    </row>
    <row r="7" spans="1:321" x14ac:dyDescent="0.2">
      <c r="A7" s="6" t="str">
        <f>IF(AND(F7="P",H7="P"),SUMPRODUCT((F$4:F$10="P")*(H$4:H$10="P")*(E$4:E$10&gt;E7))+1,IF(H7="P",SUMPRODUCT((F$4:F$10="")*(H$4:H$10="P")*(E$4:E$10&gt;E7))+1+SUMPRODUCT((F$4:F$10="P")*(H$4:H$10="P")),""))</f>
        <v/>
      </c>
      <c r="B7" s="9" t="s">
        <v>106</v>
      </c>
      <c r="C7" s="5" t="s">
        <v>6</v>
      </c>
      <c r="D7" s="27">
        <v>1999</v>
      </c>
      <c r="E7" s="16">
        <f>SUM(J7:N7)</f>
        <v>123.69999999999999</v>
      </c>
      <c r="F7" s="4" t="str">
        <f>IF(OR(AND(AH7&gt;=AJ$12,AI7&gt;=AJ$14,AI7&lt;&gt;"",AG7=""),AND(BC7&gt;=BE$12,BD7&gt;=BE$14,BD7&lt;&gt;"",BB7=""),AND(BY7&gt;=CA$12,BZ7&gt;=CA$14,BZ7&lt;&gt;""),AND(CS7&gt;=CU$12,CT7&gt;=CU$14,CT7&lt;&gt;""),AND(DM7&gt;=DO$12,DN7&gt;=DO$14,DN7&lt;&gt;""),AND(EG7&gt;=EI$12,EH7&gt;=EI$14,EH7&lt;&gt;""),AND(FA7&gt;=FC$12,FB7&gt;=FC$14,FB7&lt;&gt;""),AND(FU7&gt;=FW$12,FV7&gt;=FW$14,FV7&lt;&gt;""),AND(GO7&gt;=GQ$12,GP7&gt;=GQ$14,GP7&lt;&gt;""),AND(HI7&gt;=HK$12,HJ7&gt;=HK$14,HJ7&lt;&gt;""),AND(IC7&gt;=IE$12,ID7&gt;=IE$14,ID7&lt;&gt;""),AND(IW7&gt;=IY$12,IX7&gt;=IY$14,IX7&lt;&gt;""),AND(JQ7&gt;=JS$12,JR7&gt;=JS$14,JR7&lt;&gt;""),AND(KK7&gt;=KM$12,KL7&gt;=KM$14,KL7&lt;&gt;"")),"P","")</f>
        <v/>
      </c>
      <c r="G7" s="4" t="str">
        <f>IF(OR(AND(AH7&gt;=AJ$12,AI7&gt;=AJ$15,AI7&lt;&gt;"",AG7=""),AND(BC7&gt;=BE$12,BD7&gt;=BE$15,BD7&lt;&gt;"",BB7=""),AND(BY7&gt;=CA$12,BZ7&gt;=CA$15,BZ7&lt;&gt;""),AND(CS7&gt;=CU$12,CT7&gt;=CU$15,CT7&lt;&gt;""),AND(DM7&gt;=DO$12,DN7&gt;=DO$15,DN7&lt;&gt;""),AND(EG7&gt;=EI$12,EH7&gt;=EI$15,EH7&lt;&gt;""),AND(FA7&gt;=FC$12,FB7&gt;=FC$15,FB7&lt;&gt;""),AND(FU7&gt;=FW$12,FV7&gt;=FW$15,FV7&lt;&gt;""),AND(GO7&gt;=GQ$12,GP7&gt;=GQ$15,GP7&lt;&gt;""),AND(HI7&gt;=HK$12,HJ7&gt;=HK$15,HJ7&lt;&gt;""),AND(IC7&gt;=IE$12,ID7&gt;=IE$15,ID7&lt;&gt;""),AND(IW7&gt;=IY$12,IX7&gt;=IY$15,IX7&lt;&gt;""),AND(JQ7&gt;=JS$12,JR7&gt;=JS$15,JR7&lt;&gt;""),AND(KK7&gt;=KM$12,KL7&gt;=KM$15,KL7&lt;&gt;"")),"P","")</f>
        <v/>
      </c>
      <c r="H7" s="4" t="str">
        <f>IF(OR(AND(AI7&gt;=AJ$14,AI7&lt;&gt;"",AG7=""),AND(BD7&gt;=BE$14,BD7&lt;&gt;"",BB7=""),AND(BZ7&gt;=CA$14,BZ7&lt;&gt;""),AND(CT7&gt;=CU$14,CT7&lt;&gt;""),AND(DN7&gt;=DO$14,DN7&lt;&gt;""),AND(EH7&gt;=EI$14,EH7&lt;&gt;""),AND(FB7&gt;=FC$14,FB7&lt;&gt;""),AND(FV7&gt;=FW$14,FV7&lt;&gt;""),AND(GP7&gt;=GQ$14,GP7&lt;&gt;""),AND(HJ7&gt;=HK$14,HJ7&lt;&gt;""),AND(ID7&gt;=IE$14,ID7&lt;&gt;""),AND(IX7&gt;=IY$14,IX7&lt;&gt;""),AND(JR7&gt;=JS$14,JR7&lt;&gt;""),AND(KL7&gt;=KM$14,KL7&lt;&gt;"")),"P","")</f>
        <v/>
      </c>
      <c r="I7" t="str">
        <f>IF(AND(H7="P",F7=""),"No DD",IF(OR(AND(AI7&gt;=AJ$17,AI7&lt;&gt;"",AH7&gt;=AJ$13,AH7&lt;&gt;"",AG7=""),AND(BD7&gt;=BE$17,BD7&lt;&gt;"",BC7&gt;=BE$13,BC7&lt;&gt;"",BB7=""),AND(BZ7&gt;=CA$17,BZ7&lt;&gt;"",BY7&gt;=CA$13,BY7&lt;&gt;""),AND(CT7&gt;=CU$17,CT7&lt;&gt;"",CS7&gt;=CU$13,CS7&lt;&gt;""),AND(DN7&gt;=DO$17,DN7&lt;&gt;"",DM7&gt;=DO$13,DM7&lt;&gt;""),AND(EH7&gt;=EI$17,EH7&lt;&gt;"",EG7&gt;=EI$13,EG7&lt;&gt;""),AND(FB7&gt;=FC$17,FB7&lt;&gt;"",FA7&gt;=FC$13,FA7&lt;&gt;""),AND(FV7&gt;=FW$17,FV7&lt;&gt;"",FU7&gt;=FW$13,FU7&lt;&gt;""),AND(GP7&gt;=GQ$17,GP7&lt;&gt;"",GO7&gt;=GQ$13,GO7&lt;&gt;""),AND(HJ7&gt;=HK$17,HJ7&lt;&gt;"",HI7&gt;=HK$13,HI7&lt;&gt;""),AND(ID7&gt;=IE$17,ID7&lt;&gt;"",IC7&gt;=IE$13,IC7&lt;&gt;""),AND(IX7&gt;=IY$17,IX7&lt;&gt;"",IW7&gt;=IY$13,IW7&lt;&gt;""),AND(JR7&gt;=JS$17,JR7&lt;&gt;"",JQ7&gt;=JS$13,JQ7&lt;&gt;""),AND(KL7&gt;=KM$17,KL7&lt;&gt;"",KK7&gt;=KM$13,KK7&lt;&gt;"")),"Merit",IF(OR(AND(AI7&gt;=AJ$16,AI7&lt;&gt;"",AH7&gt;=AJ$13,AH7&lt;&gt;"",AG7=""),AND(BD7&gt;=BE$16,BD7&lt;&gt;"",BC7&gt;=BE$13,BC7&lt;&gt;"",BB7=""),AND(BZ7&gt;=CA$16,BZ7&lt;&gt;"",BY7&gt;=CA$13,BY7&lt;&gt;""),AND(CT7&gt;=CU$16,CT7&lt;&gt;"",CS7&gt;=CU$13,CS7&lt;&gt;""),AND(DN7&gt;=DO$16,DN7&lt;&gt;"",DM7&gt;=DO$13,DM7&lt;&gt;""),AND(EH7&gt;=EI$16,EH7&lt;&gt;"",EG7&gt;=EI$13,EG7&lt;&gt;""),AND(FB7&gt;=FC$16,FB7&lt;&gt;"",FA7&gt;=FC$13,FA7&lt;&gt;""),AND(FV7&gt;=FW$16,FV7&lt;&gt;"",FU7&gt;=FW$13,FU7&lt;&gt;""),AND(GP7&gt;=GQ$16,GP7&lt;&gt;"",GO7&gt;=GQ$13,GO7&lt;&gt;""),AND(HJ7&gt;=HK$16,HJ7&lt;&gt;"",HI7&gt;=HK$13,HI7&lt;&gt;""),AND(ID7&gt;=IE$16,ID7&lt;&gt;"",IC7&gt;=IE$13,IC7&lt;&gt;""),AND(IX7&gt;=IY$16,IX7&lt;&gt;"",IW7&gt;=IY$13,IW7&lt;&gt;""),AND(JR7&gt;=JS$16,JR7&lt;&gt;"",JQ7&gt;=JS$13,JQ7&lt;&gt;""),AND(KL7&gt;=KM$16,KL7&lt;&gt;"",KK7&gt;=KM$13,KK7&lt;&gt;"")),"Excellence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Worlds Team",IF(OR(AND(AI7&gt;=AJ$14,AI7&lt;&gt;"",AH7&gt;=AJ$12,AH7&lt;&gt;"",AG7=""),AND(BD7&gt;=BE$14,BD7&lt;&gt;"",BC7&gt;=BE$12,BC7&lt;&gt;"",BB7=""),AND(BZ7&gt;=CA$14,BZ7&lt;&gt;"",BY7&gt;=CA$12,BY7&lt;&gt;""),AND(CT7&gt;=CU$14,CT7&lt;&gt;"",CS7&gt;=CU$12,CS7&lt;&gt;""),AND(DN7&gt;=DO$14,DN7&lt;&gt;"",DM7&gt;=DO$12,DM7&lt;&gt;""),AND(EH7&gt;=EI$14,EH7&lt;&gt;"",EG7&gt;=EI$12,EG7&lt;&gt;""),AND(FB7&gt;=FC$14,FB7&lt;&gt;"",FA7&gt;=FC$12,FA7&lt;&gt;""),AND(FV7&gt;=FW$14,FV7&lt;&gt;"",FU7&gt;=FW$12,FU7&lt;&gt;""),AND(GP7&gt;=GQ$14,GP7&lt;&gt;"",GO7&gt;=GQ$12,GO7&lt;&gt;""),AND(HJ7&gt;=HK$14,HJ7&lt;&gt;"",HI7&gt;=HK$12,HI7&lt;&gt;""),AND(ID7&gt;=IE$14,ID7&lt;&gt;"",IC7&gt;=IE$12,IC7&lt;&gt;""),AND(IX7&gt;=IY$14,IX7&lt;&gt;"",IW7&gt;=IY$12,IW7&lt;&gt;""),AND(JR7&gt;=JS$14,JR7&lt;&gt;"",JQ7&gt;=JS$12,JQ7&lt;&gt;""),AND(KL7&gt;=KM$14,KL7&lt;&gt;"",KK7&gt;=KM$12,KK7&lt;&gt;"")),"National Team","")))))</f>
        <v/>
      </c>
      <c r="J7" s="15">
        <f>IF(MAX(AI7,BD7)&gt;0,MAX(AI7,BD7),"")</f>
        <v>61.9</v>
      </c>
      <c r="K7" s="15" t="str">
        <f>IF(J7="","",IF(J7=BD7,$AL$1,IF(J7=AI7,$Q$1,"")))</f>
        <v>2018 Nationals</v>
      </c>
      <c r="L7" s="15">
        <f>IF(MAX(AJ7,BE7)&gt;0,MAX(AJ7,BE7),"")</f>
        <v>61.8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25.4</v>
      </c>
      <c r="R7" s="63">
        <v>5.2</v>
      </c>
      <c r="S7" s="63">
        <v>0</v>
      </c>
      <c r="T7" s="63">
        <v>0</v>
      </c>
      <c r="U7" s="63">
        <v>26.3</v>
      </c>
      <c r="V7" s="63">
        <v>5</v>
      </c>
      <c r="W7" s="63">
        <v>0</v>
      </c>
      <c r="X7" s="63">
        <v>0</v>
      </c>
      <c r="Y7" s="63">
        <v>26</v>
      </c>
      <c r="Z7" s="63">
        <v>5.2</v>
      </c>
      <c r="AA7" s="63">
        <v>0</v>
      </c>
      <c r="AB7" s="63">
        <v>0</v>
      </c>
      <c r="AC7" s="63">
        <v>25.6</v>
      </c>
      <c r="AD7" s="63">
        <v>5</v>
      </c>
      <c r="AE7" s="63">
        <v>0</v>
      </c>
      <c r="AF7" s="63">
        <v>0</v>
      </c>
      <c r="AG7" s="74"/>
      <c r="AH7" s="12">
        <f>IF(SUM(R7,V7)&gt;0,SUM(R7,V7),"")</f>
        <v>10.199999999999999</v>
      </c>
      <c r="AI7" s="12">
        <f>IF(SUM(Q7:R7,T7:V7,X7)-S7-W7&gt;0,SUM(Q7:R7,T7:V7,X7)-S7-W7,"")</f>
        <v>61.9</v>
      </c>
      <c r="AJ7" s="12">
        <f>IF(SUM(Y7:Z7,AB7:AD7,AF7)-SUM(AA7,AE7)&gt;0,SUM(Y7:Z7,AB7:AD7,AF7)-SUM(AA7,AE7),"")</f>
        <v>61.8</v>
      </c>
      <c r="AK7" s="12">
        <f>IF(SUM(AI7,AJ7)&gt;0,SUM(AI7,AJ7),"")</f>
        <v>123.69999999999999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12.7</v>
      </c>
      <c r="KP7" s="63">
        <f t="shared" si="0"/>
        <v>2.6</v>
      </c>
      <c r="KQ7" s="63">
        <f t="shared" si="0"/>
        <v>0</v>
      </c>
      <c r="KR7" s="63">
        <f t="shared" si="0"/>
        <v>0</v>
      </c>
      <c r="KS7" s="63">
        <f t="shared" si="0"/>
        <v>13.15</v>
      </c>
      <c r="KT7" s="63">
        <f t="shared" si="0"/>
        <v>2.5</v>
      </c>
      <c r="KU7" s="63">
        <f t="shared" si="0"/>
        <v>0</v>
      </c>
      <c r="KV7" s="63">
        <f t="shared" si="0"/>
        <v>0</v>
      </c>
      <c r="KW7" s="63">
        <f t="shared" si="0"/>
        <v>13</v>
      </c>
      <c r="KX7" s="63">
        <f t="shared" si="0"/>
        <v>2.6</v>
      </c>
      <c r="KY7" s="63">
        <f t="shared" si="0"/>
        <v>0</v>
      </c>
      <c r="KZ7" s="63">
        <f t="shared" si="0"/>
        <v>0</v>
      </c>
      <c r="LA7" s="63">
        <f t="shared" si="0"/>
        <v>12.8</v>
      </c>
      <c r="LB7" s="63">
        <f t="shared" si="0"/>
        <v>2.5</v>
      </c>
      <c r="LC7" s="63">
        <f t="shared" si="0"/>
        <v>0</v>
      </c>
      <c r="LD7" s="63">
        <f t="shared" si="0"/>
        <v>0</v>
      </c>
      <c r="LE7" s="74" t="s">
        <v>116</v>
      </c>
      <c r="LF7" s="12">
        <f t="shared" si="5"/>
        <v>5.0999999999999996</v>
      </c>
      <c r="LG7" s="12">
        <f t="shared" si="6"/>
        <v>30.95</v>
      </c>
      <c r="LH7" s="12">
        <f t="shared" si="7"/>
        <v>30.9</v>
      </c>
      <c r="LI7" s="12">
        <f t="shared" si="8"/>
        <v>61.849999999999994</v>
      </c>
    </row>
    <row r="8" spans="1:321" x14ac:dyDescent="0.2">
      <c r="A8" s="6" t="str">
        <f>IF(AND(F8="P",H8="P"),SUMPRODUCT((F$4:F$10="P")*(H$4:H$10="P")*(E$4:E$10&gt;E8))+1,IF(H8="P",SUMPRODUCT((F$4:F$10="")*(H$4:H$10="P")*(E$4:E$10&gt;E8))+1+SUMPRODUCT((F$4:F$10="P")*(H$4:H$10="P")),""))</f>
        <v/>
      </c>
      <c r="B8" s="7" t="s">
        <v>83</v>
      </c>
      <c r="C8" s="8" t="s">
        <v>4</v>
      </c>
      <c r="D8" s="27">
        <v>2002</v>
      </c>
      <c r="E8" s="16">
        <f>SUM(J8:N8)</f>
        <v>122.60000000000001</v>
      </c>
      <c r="F8" s="4" t="str">
        <f>IF(OR(AND(AH8&gt;=AJ$12,AI8&gt;=AJ$14,AI8&lt;&gt;"",AG8=""),AND(BC8&gt;=BE$12,BD8&gt;=BE$14,BD8&lt;&gt;"",BB8=""),AND(BY8&gt;=CA$12,BZ8&gt;=CA$14,BZ8&lt;&gt;""),AND(CS8&gt;=CU$12,CT8&gt;=CU$14,CT8&lt;&gt;""),AND(DM8&gt;=DO$12,DN8&gt;=DO$14,DN8&lt;&gt;""),AND(EG8&gt;=EI$12,EH8&gt;=EI$14,EH8&lt;&gt;""),AND(FA8&gt;=FC$12,FB8&gt;=FC$14,FB8&lt;&gt;""),AND(FU8&gt;=FW$12,FV8&gt;=FW$14,FV8&lt;&gt;""),AND(GO8&gt;=GQ$12,GP8&gt;=GQ$14,GP8&lt;&gt;""),AND(HI8&gt;=HK$12,HJ8&gt;=HK$14,HJ8&lt;&gt;""),AND(IC8&gt;=IE$12,ID8&gt;=IE$14,ID8&lt;&gt;""),AND(IW8&gt;=IY$12,IX8&gt;=IY$14,IX8&lt;&gt;""),AND(JQ8&gt;=JS$12,JR8&gt;=JS$14,JR8&lt;&gt;""),AND(KK8&gt;=KM$12,KL8&gt;=KM$14,KL8&lt;&gt;"")),"P","")</f>
        <v/>
      </c>
      <c r="G8" s="4" t="str">
        <f>IF(OR(AND(AH8&gt;=AJ$12,AI8&gt;=AJ$15,AI8&lt;&gt;"",AG8=""),AND(BC8&gt;=BE$12,BD8&gt;=BE$15,BD8&lt;&gt;"",BB8=""),AND(BY8&gt;=CA$12,BZ8&gt;=CA$15,BZ8&lt;&gt;""),AND(CS8&gt;=CU$12,CT8&gt;=CU$15,CT8&lt;&gt;""),AND(DM8&gt;=DO$12,DN8&gt;=DO$15,DN8&lt;&gt;""),AND(EG8&gt;=EI$12,EH8&gt;=EI$15,EH8&lt;&gt;""),AND(FA8&gt;=FC$12,FB8&gt;=FC$15,FB8&lt;&gt;""),AND(FU8&gt;=FW$12,FV8&gt;=FW$15,FV8&lt;&gt;""),AND(GO8&gt;=GQ$12,GP8&gt;=GQ$15,GP8&lt;&gt;""),AND(HI8&gt;=HK$12,HJ8&gt;=HK$15,HJ8&lt;&gt;""),AND(IC8&gt;=IE$12,ID8&gt;=IE$15,ID8&lt;&gt;""),AND(IW8&gt;=IY$12,IX8&gt;=IY$15,IX8&lt;&gt;""),AND(JQ8&gt;=JS$12,JR8&gt;=JS$15,JR8&lt;&gt;""),AND(KK8&gt;=KM$12,KL8&gt;=KM$15,KL8&lt;&gt;"")),"P","")</f>
        <v/>
      </c>
      <c r="H8" s="4" t="str">
        <f>IF(OR(AND(AI8&gt;=AJ$14,AI8&lt;&gt;"",AG8=""),AND(BD8&gt;=BE$14,BD8&lt;&gt;"",BB8=""),AND(BZ8&gt;=CA$14,BZ8&lt;&gt;""),AND(CT8&gt;=CU$14,CT8&lt;&gt;""),AND(DN8&gt;=DO$14,DN8&lt;&gt;""),AND(EH8&gt;=EI$14,EH8&lt;&gt;""),AND(FB8&gt;=FC$14,FB8&lt;&gt;""),AND(FV8&gt;=FW$14,FV8&lt;&gt;""),AND(GP8&gt;=GQ$14,GP8&lt;&gt;""),AND(HJ8&gt;=HK$14,HJ8&lt;&gt;""),AND(ID8&gt;=IE$14,ID8&lt;&gt;""),AND(IX8&gt;=IY$14,IX8&lt;&gt;""),AND(JR8&gt;=JS$14,JR8&lt;&gt;""),AND(KL8&gt;=KM$14,KL8&lt;&gt;"")),"P","")</f>
        <v/>
      </c>
      <c r="I8" t="str">
        <f>IF(AND(H8="P",F8=""),"No DD",IF(OR(AND(AI8&gt;=AJ$17,AI8&lt;&gt;"",AH8&gt;=AJ$13,AH8&lt;&gt;"",AG8=""),AND(BD8&gt;=BE$17,BD8&lt;&gt;"",BC8&gt;=BE$13,BC8&lt;&gt;"",BB8=""),AND(BZ8&gt;=CA$17,BZ8&lt;&gt;"",BY8&gt;=CA$13,BY8&lt;&gt;""),AND(CT8&gt;=CU$17,CT8&lt;&gt;"",CS8&gt;=CU$13,CS8&lt;&gt;""),AND(DN8&gt;=DO$17,DN8&lt;&gt;"",DM8&gt;=DO$13,DM8&lt;&gt;""),AND(EH8&gt;=EI$17,EH8&lt;&gt;"",EG8&gt;=EI$13,EG8&lt;&gt;""),AND(FB8&gt;=FC$17,FB8&lt;&gt;"",FA8&gt;=FC$13,FA8&lt;&gt;""),AND(FV8&gt;=FW$17,FV8&lt;&gt;"",FU8&gt;=FW$13,FU8&lt;&gt;""),AND(GP8&gt;=GQ$17,GP8&lt;&gt;"",GO8&gt;=GQ$13,GO8&lt;&gt;""),AND(HJ8&gt;=HK$17,HJ8&lt;&gt;"",HI8&gt;=HK$13,HI8&lt;&gt;""),AND(ID8&gt;=IE$17,ID8&lt;&gt;"",IC8&gt;=IE$13,IC8&lt;&gt;""),AND(IX8&gt;=IY$17,IX8&lt;&gt;"",IW8&gt;=IY$13,IW8&lt;&gt;""),AND(JR8&gt;=JS$17,JR8&lt;&gt;"",JQ8&gt;=JS$13,JQ8&lt;&gt;""),AND(KL8&gt;=KM$17,KL8&lt;&gt;"",KK8&gt;=KM$13,KK8&lt;&gt;"")),"Merit",IF(OR(AND(AI8&gt;=AJ$16,AI8&lt;&gt;"",AH8&gt;=AJ$13,AH8&lt;&gt;"",AG8=""),AND(BD8&gt;=BE$16,BD8&lt;&gt;"",BC8&gt;=BE$13,BC8&lt;&gt;"",BB8=""),AND(BZ8&gt;=CA$16,BZ8&lt;&gt;"",BY8&gt;=CA$13,BY8&lt;&gt;""),AND(CT8&gt;=CU$16,CT8&lt;&gt;"",CS8&gt;=CU$13,CS8&lt;&gt;""),AND(DN8&gt;=DO$16,DN8&lt;&gt;"",DM8&gt;=DO$13,DM8&lt;&gt;""),AND(EH8&gt;=EI$16,EH8&lt;&gt;"",EG8&gt;=EI$13,EG8&lt;&gt;""),AND(FB8&gt;=FC$16,FB8&lt;&gt;"",FA8&gt;=FC$13,FA8&lt;&gt;""),AND(FV8&gt;=FW$16,FV8&lt;&gt;"",FU8&gt;=FW$13,FU8&lt;&gt;""),AND(GP8&gt;=GQ$16,GP8&lt;&gt;"",GO8&gt;=GQ$13,GO8&lt;&gt;""),AND(HJ8&gt;=HK$16,HJ8&lt;&gt;"",HI8&gt;=HK$13,HI8&lt;&gt;""),AND(ID8&gt;=IE$16,ID8&lt;&gt;"",IC8&gt;=IE$13,IC8&lt;&gt;""),AND(IX8&gt;=IY$16,IX8&lt;&gt;"",IW8&gt;=IY$13,IW8&lt;&gt;""),AND(JR8&gt;=JS$16,JR8&lt;&gt;"",JQ8&gt;=JS$13,JQ8&lt;&gt;""),AND(KL8&gt;=KM$16,KL8&lt;&gt;"",KK8&gt;=KM$13,KK8&lt;&gt;"")),"Excellence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Worlds Team",IF(OR(AND(AI8&gt;=AJ$14,AI8&lt;&gt;"",AH8&gt;=AJ$12,AH8&lt;&gt;"",AG8=""),AND(BD8&gt;=BE$14,BD8&lt;&gt;"",BC8&gt;=BE$12,BC8&lt;&gt;"",BB8=""),AND(BZ8&gt;=CA$14,BZ8&lt;&gt;"",BY8&gt;=CA$12,BY8&lt;&gt;""),AND(CT8&gt;=CU$14,CT8&lt;&gt;"",CS8&gt;=CU$12,CS8&lt;&gt;""),AND(DN8&gt;=DO$14,DN8&lt;&gt;"",DM8&gt;=DO$12,DM8&lt;&gt;""),AND(EH8&gt;=EI$14,EH8&lt;&gt;"",EG8&gt;=EI$12,EG8&lt;&gt;""),AND(FB8&gt;=FC$14,FB8&lt;&gt;"",FA8&gt;=FC$12,FA8&lt;&gt;""),AND(FV8&gt;=FW$14,FV8&lt;&gt;"",FU8&gt;=FW$12,FU8&lt;&gt;""),AND(GP8&gt;=GQ$14,GP8&lt;&gt;"",GO8&gt;=GQ$12,GO8&lt;&gt;""),AND(HJ8&gt;=HK$14,HJ8&lt;&gt;"",HI8&gt;=HK$12,HI8&lt;&gt;""),AND(ID8&gt;=IE$14,ID8&lt;&gt;"",IC8&gt;=IE$12,IC8&lt;&gt;""),AND(IX8&gt;=IY$14,IX8&lt;&gt;"",IW8&gt;=IY$12,IW8&lt;&gt;""),AND(JR8&gt;=JS$14,JR8&lt;&gt;"",JQ8&gt;=JS$12,JQ8&lt;&gt;""),AND(KL8&gt;=KM$14,KL8&lt;&gt;"",KK8&gt;=KM$12,KK8&lt;&gt;"")),"National Team","")))))</f>
        <v/>
      </c>
      <c r="J8" s="15">
        <f>IF(MAX(AI8,BD8)&gt;0,MAX(AI8,BD8),"")</f>
        <v>60.800000000000004</v>
      </c>
      <c r="K8" s="15" t="str">
        <f>IF(J8="","",IF(J8=BD8,$AL$1,IF(J8=AI8,$Q$1,"")))</f>
        <v>2018 Nationals</v>
      </c>
      <c r="L8" s="15">
        <f>IF(MAX(AJ8,BE8)&gt;0,MAX(AJ8,BE8),"")</f>
        <v>61.800000000000004</v>
      </c>
      <c r="M8" s="15" t="str">
        <f>IF(L8="","",IF(L8=BE8,$AL$1,IF(L8=AJ8,$Q$1,"")))</f>
        <v>2019 Elite Canada</v>
      </c>
      <c r="N8" s="15" t="str">
        <f>IF(MAX(BG8:BH8)&gt;0,MAX(BG8:BH8),"")</f>
        <v/>
      </c>
      <c r="O8" s="25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2">
        <v>25.1</v>
      </c>
      <c r="R8" s="42">
        <v>5.0999999999999996</v>
      </c>
      <c r="S8" s="42">
        <v>0.3</v>
      </c>
      <c r="T8" s="42">
        <v>0</v>
      </c>
      <c r="U8" s="42">
        <v>25.8</v>
      </c>
      <c r="V8" s="42">
        <v>5.0999999999999996</v>
      </c>
      <c r="W8" s="42">
        <v>0</v>
      </c>
      <c r="X8" s="42">
        <v>0</v>
      </c>
      <c r="Y8" s="42">
        <v>25.1</v>
      </c>
      <c r="Z8" s="42">
        <v>5.7</v>
      </c>
      <c r="AA8" s="42">
        <v>0</v>
      </c>
      <c r="AB8" s="42">
        <v>0</v>
      </c>
      <c r="AC8" s="42">
        <v>25.8</v>
      </c>
      <c r="AD8" s="42">
        <v>4.0999999999999996</v>
      </c>
      <c r="AE8" s="42">
        <v>0</v>
      </c>
      <c r="AF8" s="42">
        <v>0</v>
      </c>
      <c r="AG8" s="74"/>
      <c r="AH8" s="12">
        <f>IF(SUM(R8,V8)&gt;0,SUM(R8,V8),"")</f>
        <v>10.199999999999999</v>
      </c>
      <c r="AI8" s="12">
        <f>IF(SUM(Q8:R8,T8:V8,X8)-S8-W8&gt;0,SUM(Q8:R8,T8:V8,X8)-S8-W8,"")</f>
        <v>60.800000000000004</v>
      </c>
      <c r="AJ8" s="12">
        <f>IF(SUM(Y8:Z8,AB8:AD8,AF8)-SUM(AA8,AE8)&gt;0,SUM(Y8:Z8,AB8:AD8,AF8)-SUM(AA8,AE8),"")</f>
        <v>60.7</v>
      </c>
      <c r="AK8" s="12">
        <f>IF(SUM(AI8,AJ8)&gt;0,SUM(AI8,AJ8),"")</f>
        <v>121.5</v>
      </c>
      <c r="AL8" s="37">
        <v>22.7</v>
      </c>
      <c r="AM8" s="37">
        <v>4.8</v>
      </c>
      <c r="AN8" s="37">
        <v>0</v>
      </c>
      <c r="AO8" s="37">
        <v>0</v>
      </c>
      <c r="AP8" s="37">
        <v>26</v>
      </c>
      <c r="AQ8" s="37">
        <v>4.7</v>
      </c>
      <c r="AR8" s="37">
        <v>0</v>
      </c>
      <c r="AS8" s="37">
        <v>0</v>
      </c>
      <c r="AT8" s="37">
        <v>25.1</v>
      </c>
      <c r="AU8" s="37">
        <v>5.7</v>
      </c>
      <c r="AV8" s="37">
        <v>0</v>
      </c>
      <c r="AW8" s="37">
        <v>0</v>
      </c>
      <c r="AX8" s="37">
        <v>26.3</v>
      </c>
      <c r="AY8" s="37">
        <v>4.7</v>
      </c>
      <c r="AZ8" s="37">
        <v>0</v>
      </c>
      <c r="BA8" s="37">
        <v>0</v>
      </c>
      <c r="BB8" s="75"/>
      <c r="BC8" s="15">
        <f>IF(SUM(AM8,AQ8)&gt;0,SUM(AM8,AQ8),"")</f>
        <v>9.5</v>
      </c>
      <c r="BD8" s="15">
        <f>IF(SUM(AL8:AM8,AO8:AQ8,AS8)-AN8-AR8&gt;0,SUM(AL8:AM8,AO8:AQ8,AS8)-AN8-AR8,"")</f>
        <v>58.2</v>
      </c>
      <c r="BE8" s="15">
        <f>IF(SUM(AT8:AU8,AW8:AY8,BA8)-SUM(AV8,AZ8)&gt;0,SUM(AT8:AU8,AW8:AY8,BA8)-SUM(AV8,AZ8),"")</f>
        <v>61.800000000000004</v>
      </c>
      <c r="BF8" s="15">
        <f>IF(SUM(BD8,BE8)&gt;0,SUM(BD8,BE8),"")</f>
        <v>120</v>
      </c>
      <c r="BG8" s="24" t="str">
        <f>IF(MAX(BY8,CS8,DM8,EG8,FA8,FU8,GO8,HI8,IC8,IW8,JQ8,KK8)-IF(J8="",0,J8)&gt;0.001,MAX(BY8,CS8,DM8,EG8,FA8,FU8,GO8,HI8,IC8,IW8,JQ8,KK8)-IF(J8="",0,J8),"")</f>
        <v/>
      </c>
      <c r="BH8" s="24" t="str">
        <f>IF(MAX(CA8,CU8,DO8,EI8,FC8,FW8,GQ8,HK8,IE8,IY8,JS8,KM8)-IF(L8="",0,L8)&gt;0.001,MAX(CA8,CU8,DO8,EI8,FC8,FW8,GQ8,HK8,IE8,IY8,JS8,KM8)-IF(L8="",0,L8),"")</f>
        <v/>
      </c>
      <c r="BI8" s="36">
        <v>23.6</v>
      </c>
      <c r="BJ8" s="36">
        <v>5.5</v>
      </c>
      <c r="BK8" s="36">
        <v>0</v>
      </c>
      <c r="BL8" s="36">
        <v>0</v>
      </c>
      <c r="BM8" s="36">
        <v>26.8</v>
      </c>
      <c r="BN8" s="36">
        <v>5.5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>IF(SUM(BJ8,BN8)&gt;0,SUM(BJ8,BN8),"")</f>
        <v>11</v>
      </c>
      <c r="BZ8" s="12">
        <f>IF(SUM(BI8:BJ8,BL8:BN8,BP8)-BK8-BO8&gt;0,SUM(BI8:BJ8,BL8:BN8,BP8)-BK8-BO8,"")</f>
        <v>61.400000000000006</v>
      </c>
      <c r="CA8" s="12" t="str">
        <f>IF(SUM(BQ8:BR8,BT8:BV8,BX8)-SUM(BS8,BW8)&gt;0,SUM(BQ8:BR8,BT8:BV8,BX8)-SUM(BS8,BW8),"")</f>
        <v/>
      </c>
      <c r="CB8" s="12">
        <f>IF(SUM(BZ8,CA8)&gt;0,SUM(BZ8,CA8),"")</f>
        <v>61.400000000000006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63">
        <f t="shared" si="4"/>
        <v>23.9</v>
      </c>
      <c r="KP8" s="63">
        <f t="shared" si="0"/>
        <v>4.9499999999999993</v>
      </c>
      <c r="KQ8" s="63">
        <f t="shared" si="0"/>
        <v>0.15</v>
      </c>
      <c r="KR8" s="63">
        <f t="shared" si="0"/>
        <v>0</v>
      </c>
      <c r="KS8" s="63">
        <f t="shared" si="0"/>
        <v>25.9</v>
      </c>
      <c r="KT8" s="63">
        <f t="shared" si="0"/>
        <v>4.9000000000000004</v>
      </c>
      <c r="KU8" s="63">
        <f t="shared" si="0"/>
        <v>0</v>
      </c>
      <c r="KV8" s="63">
        <f t="shared" si="0"/>
        <v>0</v>
      </c>
      <c r="KW8" s="63">
        <f t="shared" si="0"/>
        <v>25.1</v>
      </c>
      <c r="KX8" s="63">
        <f t="shared" si="0"/>
        <v>5.7</v>
      </c>
      <c r="KY8" s="63">
        <f t="shared" si="0"/>
        <v>0</v>
      </c>
      <c r="KZ8" s="63">
        <f t="shared" si="0"/>
        <v>0</v>
      </c>
      <c r="LA8" s="63">
        <f t="shared" si="0"/>
        <v>26.05</v>
      </c>
      <c r="LB8" s="63">
        <f t="shared" si="0"/>
        <v>4.4000000000000004</v>
      </c>
      <c r="LC8" s="63">
        <f t="shared" si="0"/>
        <v>0</v>
      </c>
      <c r="LD8" s="63">
        <f t="shared" si="0"/>
        <v>0</v>
      </c>
      <c r="LE8" s="74" t="s">
        <v>116</v>
      </c>
      <c r="LF8" s="12">
        <f t="shared" si="5"/>
        <v>9.85</v>
      </c>
      <c r="LG8" s="12">
        <f t="shared" si="6"/>
        <v>59.5</v>
      </c>
      <c r="LH8" s="12">
        <f t="shared" si="7"/>
        <v>61.25</v>
      </c>
      <c r="LI8" s="12">
        <f t="shared" si="8"/>
        <v>120.75</v>
      </c>
    </row>
    <row r="9" spans="1:321" x14ac:dyDescent="0.2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7" t="s">
        <v>107</v>
      </c>
      <c r="C9" s="8" t="s">
        <v>4</v>
      </c>
      <c r="D9" s="27">
        <v>1997</v>
      </c>
      <c r="E9" s="16">
        <f>SUM(J9:N9)</f>
        <v>111</v>
      </c>
      <c r="F9" s="4" t="str">
        <f>IF(OR(AND(AH9&gt;=AJ$12,AI9&gt;=AJ$14,AI9&lt;&gt;"",AG9=""),AND(BC9&gt;=BE$12,BD9&gt;=BE$14,BD9&lt;&gt;"",BB9=""),AND(BY9&gt;=CA$12,BZ9&gt;=CA$14,BZ9&lt;&gt;""),AND(CS9&gt;=CU$12,CT9&gt;=CU$14,CT9&lt;&gt;""),AND(DM9&gt;=DO$12,DN9&gt;=DO$14,DN9&lt;&gt;""),AND(EG9&gt;=EI$12,EH9&gt;=EI$14,EH9&lt;&gt;""),AND(FA9&gt;=FC$12,FB9&gt;=FC$14,FB9&lt;&gt;""),AND(FU9&gt;=FW$12,FV9&gt;=FW$14,FV9&lt;&gt;""),AND(GO9&gt;=GQ$12,GP9&gt;=GQ$14,GP9&lt;&gt;""),AND(HI9&gt;=HK$12,HJ9&gt;=HK$14,HJ9&lt;&gt;""),AND(IC9&gt;=IE$12,ID9&gt;=IE$14,ID9&lt;&gt;""),AND(IW9&gt;=IY$12,IX9&gt;=IY$14,IX9&lt;&gt;""),AND(JQ9&gt;=JS$12,JR9&gt;=JS$14,JR9&lt;&gt;""),AND(KK9&gt;=KM$12,KL9&gt;=KM$14,KL9&lt;&gt;"")),"P","")</f>
        <v/>
      </c>
      <c r="G9" s="4" t="str">
        <f>IF(OR(AND(AH9&gt;=AJ$12,AI9&gt;=AJ$15,AI9&lt;&gt;"",AG9=""),AND(BC9&gt;=BE$12,BD9&gt;=BE$15,BD9&lt;&gt;"",BB9=""),AND(BY9&gt;=CA$12,BZ9&gt;=CA$15,BZ9&lt;&gt;""),AND(CS9&gt;=CU$12,CT9&gt;=CU$15,CT9&lt;&gt;""),AND(DM9&gt;=DO$12,DN9&gt;=DO$15,DN9&lt;&gt;""),AND(EG9&gt;=EI$12,EH9&gt;=EI$15,EH9&lt;&gt;""),AND(FA9&gt;=FC$12,FB9&gt;=FC$15,FB9&lt;&gt;""),AND(FU9&gt;=FW$12,FV9&gt;=FW$15,FV9&lt;&gt;""),AND(GO9&gt;=GQ$12,GP9&gt;=GQ$15,GP9&lt;&gt;""),AND(HI9&gt;=HK$12,HJ9&gt;=HK$15,HJ9&lt;&gt;""),AND(IC9&gt;=IE$12,ID9&gt;=IE$15,ID9&lt;&gt;""),AND(IW9&gt;=IY$12,IX9&gt;=IY$15,IX9&lt;&gt;""),AND(JQ9&gt;=JS$12,JR9&gt;=JS$15,JR9&lt;&gt;""),AND(KK9&gt;=KM$12,KL9&gt;=KM$15,KL9&lt;&gt;"")),"P","")</f>
        <v/>
      </c>
      <c r="H9" s="4" t="str">
        <f>IF(OR(AND(AI9&gt;=AJ$14,AI9&lt;&gt;"",AG9=""),AND(BD9&gt;=BE$14,BD9&lt;&gt;"",BB9=""),AND(BZ9&gt;=CA$14,BZ9&lt;&gt;""),AND(CT9&gt;=CU$14,CT9&lt;&gt;""),AND(DN9&gt;=DO$14,DN9&lt;&gt;""),AND(EH9&gt;=EI$14,EH9&lt;&gt;""),AND(FB9&gt;=FC$14,FB9&lt;&gt;""),AND(FV9&gt;=FW$14,FV9&lt;&gt;""),AND(GP9&gt;=GQ$14,GP9&lt;&gt;""),AND(HJ9&gt;=HK$14,HJ9&lt;&gt;""),AND(ID9&gt;=IE$14,ID9&lt;&gt;""),AND(IX9&gt;=IY$14,IX9&lt;&gt;""),AND(JR9&gt;=JS$14,JR9&lt;&gt;""),AND(KL9&gt;=KM$14,KL9&lt;&gt;"")),"P","")</f>
        <v/>
      </c>
      <c r="I9" t="str">
        <f>IF(AND(H9="P",F9=""),"No DD",IF(OR(AND(AI9&gt;=AJ$17,AI9&lt;&gt;"",AH9&gt;=AJ$13,AH9&lt;&gt;"",AG9=""),AND(BD9&gt;=BE$17,BD9&lt;&gt;"",BC9&gt;=BE$13,BC9&lt;&gt;"",BB9=""),AND(BZ9&gt;=CA$17,BZ9&lt;&gt;"",BY9&gt;=CA$13,BY9&lt;&gt;""),AND(CT9&gt;=CU$17,CT9&lt;&gt;"",CS9&gt;=CU$13,CS9&lt;&gt;""),AND(DN9&gt;=DO$17,DN9&lt;&gt;"",DM9&gt;=DO$13,DM9&lt;&gt;""),AND(EH9&gt;=EI$17,EH9&lt;&gt;"",EG9&gt;=EI$13,EG9&lt;&gt;""),AND(FB9&gt;=FC$17,FB9&lt;&gt;"",FA9&gt;=FC$13,FA9&lt;&gt;""),AND(FV9&gt;=FW$17,FV9&lt;&gt;"",FU9&gt;=FW$13,FU9&lt;&gt;""),AND(GP9&gt;=GQ$17,GP9&lt;&gt;"",GO9&gt;=GQ$13,GO9&lt;&gt;""),AND(HJ9&gt;=HK$17,HJ9&lt;&gt;"",HI9&gt;=HK$13,HI9&lt;&gt;""),AND(ID9&gt;=IE$17,ID9&lt;&gt;"",IC9&gt;=IE$13,IC9&lt;&gt;""),AND(IX9&gt;=IY$17,IX9&lt;&gt;"",IW9&gt;=IY$13,IW9&lt;&gt;""),AND(JR9&gt;=JS$17,JR9&lt;&gt;"",JQ9&gt;=JS$13,JQ9&lt;&gt;""),AND(KL9&gt;=KM$17,KL9&lt;&gt;"",KK9&gt;=KM$13,KK9&lt;&gt;"")),"Merit",IF(OR(AND(AI9&gt;=AJ$16,AI9&lt;&gt;"",AH9&gt;=AJ$13,AH9&lt;&gt;"",AG9=""),AND(BD9&gt;=BE$16,BD9&lt;&gt;"",BC9&gt;=BE$13,BC9&lt;&gt;"",BB9=""),AND(BZ9&gt;=CA$16,BZ9&lt;&gt;"",BY9&gt;=CA$13,BY9&lt;&gt;""),AND(CT9&gt;=CU$16,CT9&lt;&gt;"",CS9&gt;=CU$13,CS9&lt;&gt;""),AND(DN9&gt;=DO$16,DN9&lt;&gt;"",DM9&gt;=DO$13,DM9&lt;&gt;""),AND(EH9&gt;=EI$16,EH9&lt;&gt;"",EG9&gt;=EI$13,EG9&lt;&gt;""),AND(FB9&gt;=FC$16,FB9&lt;&gt;"",FA9&gt;=FC$13,FA9&lt;&gt;""),AND(FV9&gt;=FW$16,FV9&lt;&gt;"",FU9&gt;=FW$13,FU9&lt;&gt;""),AND(GP9&gt;=GQ$16,GP9&lt;&gt;"",GO9&gt;=GQ$13,GO9&lt;&gt;""),AND(HJ9&gt;=HK$16,HJ9&lt;&gt;"",HI9&gt;=HK$13,HI9&lt;&gt;""),AND(ID9&gt;=IE$16,ID9&lt;&gt;"",IC9&gt;=IE$13,IC9&lt;&gt;""),AND(IX9&gt;=IY$16,IX9&lt;&gt;"",IW9&gt;=IY$13,IW9&lt;&gt;""),AND(JR9&gt;=JS$16,JR9&lt;&gt;"",JQ9&gt;=JS$13,JQ9&lt;&gt;""),AND(KL9&gt;=KM$16,KL9&lt;&gt;"",KK9&gt;=KM$13,KK9&lt;&gt;"")),"Excellence",IF(OR(AND(AI9&gt;=AJ$15,AI9&lt;&gt;"",AH9&gt;=AJ$12,AH9&lt;&gt;"",AG9=""),AND(BD9&gt;=BE$15,BD9&lt;&gt;"",BC9&gt;=BE$12,BC9&lt;&gt;"",BB9=""),AND(BZ9&gt;=CA$15,BZ9&lt;&gt;"",BY9&gt;=CA$12,BY9&lt;&gt;""),AND(CT9&gt;=CU$15,CT9&lt;&gt;"",CS9&gt;=CU$12,CS9&lt;&gt;""),AND(DN9&gt;=DO$15,DN9&lt;&gt;"",DM9&gt;=DO$12,DM9&lt;&gt;""),AND(EH9&gt;=EI$15,EH9&lt;&gt;"",EG9&gt;=EI$12,EG9&lt;&gt;""),AND(FB9&gt;=FC$15,FB9&lt;&gt;"",FA9&gt;=FC$12,FA9&lt;&gt;""),AND(FV9&gt;=FW$15,FV9&lt;&gt;"",FU9&gt;=FW$12,FU9&lt;&gt;""),AND(GP9&gt;=GQ$15,GP9&lt;&gt;"",GO9&gt;=GQ$12,GO9&lt;&gt;""),AND(HJ9&gt;=HK$15,HJ9&lt;&gt;"",HI9&gt;=HK$12,HI9&lt;&gt;""),AND(ID9&gt;=IE$15,ID9&lt;&gt;"",IC9&gt;=IE$12,IC9&lt;&gt;""),AND(IX9&gt;=IY$15,IX9&lt;&gt;"",IW9&gt;=IY$12,IW9&lt;&gt;""),AND(JR9&gt;=JS$15,JR9&lt;&gt;"",JQ9&gt;=JS$12,JQ9&lt;&gt;""),AND(KL9&gt;=KM$15,KL9&lt;&gt;"",KK9&gt;=KM$12,KK9&lt;&gt;"")),"Worlds Team",IF(OR(AND(AI9&gt;=AJ$14,AI9&lt;&gt;"",AH9&gt;=AJ$12,AH9&lt;&gt;"",AG9=""),AND(BD9&gt;=BE$14,BD9&lt;&gt;"",BC9&gt;=BE$12,BC9&lt;&gt;"",BB9=""),AND(BZ9&gt;=CA$14,BZ9&lt;&gt;"",BY9&gt;=CA$12,BY9&lt;&gt;""),AND(CT9&gt;=CU$14,CT9&lt;&gt;"",CS9&gt;=CU$12,CS9&lt;&gt;""),AND(DN9&gt;=DO$14,DN9&lt;&gt;"",DM9&gt;=DO$12,DM9&lt;&gt;""),AND(EH9&gt;=EI$14,EH9&lt;&gt;"",EG9&gt;=EI$12,EG9&lt;&gt;""),AND(FB9&gt;=FC$14,FB9&lt;&gt;"",FA9&gt;=FC$12,FA9&lt;&gt;""),AND(FV9&gt;=FW$14,FV9&lt;&gt;"",FU9&gt;=FW$12,FU9&lt;&gt;""),AND(GP9&gt;=GQ$14,GP9&lt;&gt;"",GO9&gt;=GQ$12,GO9&lt;&gt;""),AND(HJ9&gt;=HK$14,HJ9&lt;&gt;"",HI9&gt;=HK$12,HI9&lt;&gt;""),AND(ID9&gt;=IE$14,ID9&lt;&gt;"",IC9&gt;=IE$12,IC9&lt;&gt;""),AND(IX9&gt;=IY$14,IX9&lt;&gt;"",IW9&gt;=IY$12,IW9&lt;&gt;""),AND(JR9&gt;=JS$14,JR9&lt;&gt;"",JQ9&gt;=JS$12,JQ9&lt;&gt;""),AND(KL9&gt;=KM$14,KL9&lt;&gt;"",KK9&gt;=KM$12,KK9&lt;&gt;"")),"National Team","")))))</f>
        <v/>
      </c>
      <c r="J9" s="15">
        <f>IF(MAX(AI9,BD9)&gt;0,MAX(AI9,BD9),"")</f>
        <v>54.7</v>
      </c>
      <c r="K9" s="15" t="str">
        <f>IF(J9="","",IF(J9=BD9,$AL$1,IF(J9=AI9,$Q$1,"")))</f>
        <v>2018 Nationals</v>
      </c>
      <c r="L9" s="15">
        <f>IF(MAX(AJ9,BE9)&gt;0,MAX(AJ9,BE9),"")</f>
        <v>56.3</v>
      </c>
      <c r="M9" s="15" t="str">
        <f>IF(L9="","",IF(L9=BE9,$AL$1,IF(L9=AJ9,$Q$1,"")))</f>
        <v>2018 Nationals</v>
      </c>
      <c r="N9" s="15" t="str">
        <f>IF(MAX(BG9:BH9)&gt;0,MAX(BG9:BH9),"")</f>
        <v/>
      </c>
      <c r="O9" s="25" t="str">
        <f>IF(N9="","",IF(N9=BG9,"(Prelim)",IF(N9=BH9,"(Final)")))</f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2">
        <v>21.6</v>
      </c>
      <c r="R9" s="42">
        <v>3.5</v>
      </c>
      <c r="S9" s="42">
        <v>0.6</v>
      </c>
      <c r="T9" s="42">
        <v>0</v>
      </c>
      <c r="U9" s="42">
        <v>25.8</v>
      </c>
      <c r="V9" s="42">
        <v>4.4000000000000004</v>
      </c>
      <c r="W9" s="42">
        <v>0</v>
      </c>
      <c r="X9" s="42">
        <v>0</v>
      </c>
      <c r="Y9" s="42">
        <v>24.7</v>
      </c>
      <c r="Z9" s="42">
        <v>3.5</v>
      </c>
      <c r="AA9" s="42">
        <v>0.6</v>
      </c>
      <c r="AB9" s="42">
        <v>0</v>
      </c>
      <c r="AC9" s="42">
        <v>24.8</v>
      </c>
      <c r="AD9" s="42">
        <v>3.9</v>
      </c>
      <c r="AE9" s="42">
        <v>0</v>
      </c>
      <c r="AF9" s="42">
        <v>0</v>
      </c>
      <c r="AG9" s="74"/>
      <c r="AH9" s="12">
        <f>IF(SUM(R9,V9)&gt;0,SUM(R9,V9),"")</f>
        <v>7.9</v>
      </c>
      <c r="AI9" s="12">
        <f>IF(SUM(Q9:R9,T9:V9,X9)-S9-W9&gt;0,SUM(Q9:R9,T9:V9,X9)-S9-W9,"")</f>
        <v>54.7</v>
      </c>
      <c r="AJ9" s="12">
        <f>IF(SUM(Y9:Z9,AB9:AD9,AF9)-SUM(AA9,AE9)&gt;0,SUM(Y9:Z9,AB9:AD9,AF9)-SUM(AA9,AE9),"")</f>
        <v>56.3</v>
      </c>
      <c r="AK9" s="12">
        <f>IF(SUM(AI9,AJ9)&gt;0,SUM(AI9,AJ9),"")</f>
        <v>111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75"/>
      <c r="BC9" s="15" t="str">
        <f>IF(SUM(AM9,AQ9)&gt;0,SUM(AM9,AQ9),"")</f>
        <v/>
      </c>
      <c r="BD9" s="15" t="str">
        <f>IF(SUM(AL9:AM9,AO9:AQ9,AS9)-AN9-AR9&gt;0,SUM(AL9:AM9,AO9:AQ9,AS9)-AN9-AR9,"")</f>
        <v/>
      </c>
      <c r="BE9" s="15" t="str">
        <f>IF(SUM(AT9:AU9,AW9:AY9,BA9)-SUM(AV9,AZ9)&gt;0,SUM(AT9:AU9,AW9:AY9,BA9)-SUM(AV9,AZ9),"")</f>
        <v/>
      </c>
      <c r="BF9" s="15" t="str">
        <f>IF(SUM(BD9,BE9)&gt;0,SUM(BD9,BE9),"")</f>
        <v/>
      </c>
      <c r="BG9" s="24" t="str">
        <f>IF(MAX(BY9,CS9,DM9,EG9,FA9,FU9,GO9,HI9,IC9,IW9,JQ9,KK9)-IF(J9="",0,J9)&gt;0.001,MAX(BY9,CS9,DM9,EG9,FA9,FU9,GO9,HI9,IC9,IW9,JQ9,KK9)-IF(J9="",0,J9),"")</f>
        <v/>
      </c>
      <c r="BH9" s="24" t="str">
        <f>IF(MAX(CA9,CU9,DO9,EI9,FC9,FW9,GQ9,HK9,IE9,IY9,JS9,KM9)-IF(L9="",0,L9)&gt;0.001,MAX(CA9,CU9,DO9,EI9,FC9,FW9,GQ9,HK9,IE9,IY9,JS9,KM9)-IF(L9="",0,L9),"")</f>
        <v/>
      </c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12" t="str">
        <f>IF(SUM(BJ9,BN9)&gt;0,SUM(BJ9,BN9),"")</f>
        <v/>
      </c>
      <c r="BZ9" s="12" t="str">
        <f>IF(SUM(BI9:BJ9,BL9:BN9,BP9)-BK9-BO9&gt;0,SUM(BI9:BJ9,BL9:BN9,BP9)-BK9-BO9,"")</f>
        <v/>
      </c>
      <c r="CA9" s="12" t="str">
        <f>IF(SUM(BQ9:BR9,BT9:BV9,BX9)-SUM(BS9,BW9)&gt;0,SUM(BQ9:BR9,BT9:BV9,BX9)-SUM(BS9,BW9),"")</f>
        <v/>
      </c>
      <c r="CB9" s="12" t="str">
        <f>IF(SUM(BZ9,CA9)&gt;0,SUM(BZ9,CA9),"")</f>
        <v/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>IF(SUM(CD9,CH9)&gt;0,SUM(CD9,CH9),"")</f>
        <v/>
      </c>
      <c r="CT9" s="15" t="str">
        <f>IF(SUM(CC9:CD9,CF9:CH9,CJ9)-CE9-CI9&gt;0,SUM(CC9:CD9,CF9:CH9,CJ9)-CE9-CI9,"")</f>
        <v/>
      </c>
      <c r="CU9" s="15" t="str">
        <f>IF(SUM(CK9:CL9,CN9:CP9,CR9)-SUM(CM9,CQ9)&gt;0,SUM(CK9:CL9,CN9:CP9,CR9)-SUM(CM9,CQ9),"")</f>
        <v/>
      </c>
      <c r="CV9" s="15" t="str">
        <f>IF(SUM(CT9,CU9)&gt;0,SUM(CT9,CU9),"")</f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>IF(SUM(CX9,DB9)&gt;0,SUM(CX9,DB9),"")</f>
        <v/>
      </c>
      <c r="DN9" s="12" t="str">
        <f>IF(SUM(CW9:CX9,CZ9:DB9,DD9)-CY9-DC9&gt;0,SUM(CW9:CX9,CZ9:DB9,DD9)-CY9-DC9,"")</f>
        <v/>
      </c>
      <c r="DO9" s="12" t="str">
        <f>IF(SUM(DE9:DF9,DH9:DJ9,DL9)-SUM(DG9,DK9)&gt;0,SUM(DE9:DF9,DH9:DJ9,DL9)-SUM(DG9,DK9),"")</f>
        <v/>
      </c>
      <c r="DP9" s="12" t="str">
        <f>IF(SUM(DN9,DO9)&gt;0,SUM(DN9,DO9),"")</f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>IF(SUM(DR9,DV9)&gt;0,SUM(DR9,DV9),"")</f>
        <v/>
      </c>
      <c r="EH9" s="15" t="str">
        <f>IF(SUM(DQ9:DR9,DT9:DV9,DX9)-DS9-DW9&gt;0,SUM(DQ9:DR9,DT9:DV9,DX9)-DS9-DW9,"")</f>
        <v/>
      </c>
      <c r="EI9" s="15" t="str">
        <f>IF(SUM(DY9:DZ9,EB9:ED9,EF9)-SUM(EA9,EE9)&gt;0,SUM(DY9:DZ9,EB9:ED9,EF9)-SUM(EA9,EE9),"")</f>
        <v/>
      </c>
      <c r="EJ9" s="15" t="str">
        <f>IF(SUM(EH9,EI9)&gt;0,SUM(EH9,EI9),"")</f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>IF(SUM(EL9,EP9)&gt;0,SUM(EL9,EP9),"")</f>
        <v/>
      </c>
      <c r="FB9" s="12" t="str">
        <f>IF(SUM(EK9:EL9,EN9:EP9,ER9)-EM9-EQ9&gt;0,SUM(EK9:EL9,EN9:EP9,ER9)-EM9-EQ9,"")</f>
        <v/>
      </c>
      <c r="FC9" s="12" t="str">
        <f>IF(SUM(ES9:ET9,EV9:EX9,EZ9)-SUM(EU9,EY9)&gt;0,SUM(ES9:ET9,EV9:EX9,EZ9)-SUM(EU9,EY9),"")</f>
        <v/>
      </c>
      <c r="FD9" s="12" t="str">
        <f>IF(SUM(FB9,FC9)&gt;0,SUM(FB9,FC9),"")</f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>IF(SUM(FF9,FJ9)&gt;0,SUM(FF9,FJ9),"")</f>
        <v/>
      </c>
      <c r="FV9" s="15" t="str">
        <f>IF(SUM(FE9:FF9,FH9:FJ9,FL9)-FG9-FK9&gt;0,SUM(FE9:FF9,FH9:FJ9,FL9)-FG9-FK9,"")</f>
        <v/>
      </c>
      <c r="FW9" s="15" t="str">
        <f>IF(SUM(FM9:FN9,FP9:FR9,FT9)-SUM(FO9,FS9)&gt;0,SUM(FM9:FN9,FP9:FR9,FT9)-SUM(FO9,FS9),"")</f>
        <v/>
      </c>
      <c r="FX9" s="15" t="str">
        <f>IF(SUM(FV9,FW9)&gt;0,SUM(FV9,FW9),"")</f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>IF(SUM(FZ9,GD9)&gt;0,SUM(FZ9,GD9),"")</f>
        <v/>
      </c>
      <c r="GP9" s="12" t="str">
        <f>IF(SUM(FY9:FZ9,GB9:GD9,GF9)-GA9-GE9&gt;0,SUM(FY9:FZ9,GB9:GD9,GF9)-GA9-GE9,"")</f>
        <v/>
      </c>
      <c r="GQ9" s="12" t="str">
        <f>IF(SUM(GG9:GH9,GJ9:GL9,GN9)-SUM(GI9,GM9)&gt;0,SUM(GG9:GH9,GJ9:GL9,GN9)-SUM(GI9,GM9),"")</f>
        <v/>
      </c>
      <c r="GR9" s="12" t="str">
        <f>IF(SUM(GP9,GQ9)&gt;0,SUM(GP9,GQ9),"")</f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>IF(SUM(GT9,GX9)&gt;0,SUM(GT9,GX9),"")</f>
        <v/>
      </c>
      <c r="HJ9" s="15" t="str">
        <f>IF(SUM(GS9:GT9,GV9:GX9,GZ9)-GU9-GY9&gt;0,SUM(GS9:GT9,GV9:GX9,GZ9)-GU9-GY9,"")</f>
        <v/>
      </c>
      <c r="HK9" s="15" t="str">
        <f>IF(SUM(HA9:HB9,HD9:HF9,HH9)-SUM(HC9,HG9)&gt;0,SUM(HA9:HB9,HD9:HF9,HH9)-SUM(HC9,HG9),"")</f>
        <v/>
      </c>
      <c r="HL9" s="15" t="str">
        <f>IF(SUM(HJ9,HK9)&gt;0,SUM(HJ9,HK9),"")</f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>IF(SUM(HN9,HR9)&gt;0,SUM(HN9,HR9),"")</f>
        <v/>
      </c>
      <c r="ID9" s="12" t="str">
        <f>IF(SUM(HM9:HN9,HP9:HR9,HT9)-HO9-HS9&gt;0,SUM(HM9:HN9,HP9:HR9,HT9)-HO9-HS9,"")</f>
        <v/>
      </c>
      <c r="IE9" s="12" t="str">
        <f>IF(SUM(HU9:HV9,HX9:HZ9,IB9)-SUM(HW9,IA9)&gt;0,SUM(HU9:HV9,HX9:HZ9,IB9)-SUM(HW9,IA9),"")</f>
        <v/>
      </c>
      <c r="IF9" s="12" t="str">
        <f>IF(SUM(ID9,IE9)&gt;0,SUM(ID9,IE9),"")</f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>IF(SUM(IH9,IL9)&gt;0,SUM(IH9,IL9),"")</f>
        <v/>
      </c>
      <c r="IX9" s="15" t="str">
        <f>IF(SUM(IG9:IH9,IJ9:IL9,IN9)-II9-IM9&gt;0,SUM(IG9:IH9,IJ9:IL9,IN9)-II9-IM9,"")</f>
        <v/>
      </c>
      <c r="IY9" s="15" t="str">
        <f>IF(SUM(IO9:IP9,IR9:IT9,IV9)-SUM(IQ9,IU9)&gt;0,SUM(IO9:IP9,IR9:IT9,IV9)-SUM(IQ9,IU9),"")</f>
        <v/>
      </c>
      <c r="IZ9" s="15" t="str">
        <f>IF(SUM(IX9,IY9)&gt;0,SUM(IX9,IY9),"")</f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>IF(SUM(JB9,JF9)&gt;0,SUM(JB9,JF9),"")</f>
        <v/>
      </c>
      <c r="JR9" s="12" t="str">
        <f>IF(SUM(JA9:JB9,JD9:JF9,JH9)-JC9-JG9&gt;0,SUM(JA9:JB9,JD9:JF9,JH9)-JC9-JG9,"")</f>
        <v/>
      </c>
      <c r="JS9" s="12" t="str">
        <f>IF(SUM(JI9:JJ9,JL9:JN9,JP9)-SUM(JK9,JO9)&gt;0,SUM(JI9:JJ9,JL9:JN9,JP9)-SUM(JK9,JO9),"")</f>
        <v/>
      </c>
      <c r="JT9" s="12" t="str">
        <f>IF(SUM(JR9,JS9)&gt;0,SUM(JR9,JS9),"")</f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>IF(SUM(JV9,JZ9)&gt;0,SUM(JV9,JZ9),"")</f>
        <v/>
      </c>
      <c r="KL9" s="15" t="str">
        <f>IF(SUM(JU9:JV9,JX9:JZ9,KB9)-JW9-KA9&gt;0,SUM(JU9:JV9,JX9:JZ9,KB9)-JW9-KA9,"")</f>
        <v/>
      </c>
      <c r="KM9" s="15" t="str">
        <f>IF(SUM(KC9:KD9,KF9:KH9,KJ9)-SUM(KE9,KI9)&gt;0,SUM(KC9:KD9,KF9:KH9,KJ9)-SUM(KE9,KI9),"")</f>
        <v/>
      </c>
      <c r="KN9" s="15" t="str">
        <f>IF(SUM(KL9,KM9)&gt;0,SUM(KL9,KM9),"")</f>
        <v/>
      </c>
      <c r="KO9" s="63">
        <f t="shared" si="4"/>
        <v>10.8</v>
      </c>
      <c r="KP9" s="63">
        <f t="shared" si="0"/>
        <v>1.75</v>
      </c>
      <c r="KQ9" s="63">
        <f t="shared" si="0"/>
        <v>0.3</v>
      </c>
      <c r="KR9" s="63">
        <f t="shared" si="0"/>
        <v>0</v>
      </c>
      <c r="KS9" s="63">
        <f t="shared" si="0"/>
        <v>12.9</v>
      </c>
      <c r="KT9" s="63">
        <f t="shared" si="0"/>
        <v>2.2000000000000002</v>
      </c>
      <c r="KU9" s="63">
        <f t="shared" si="0"/>
        <v>0</v>
      </c>
      <c r="KV9" s="63">
        <f t="shared" si="0"/>
        <v>0</v>
      </c>
      <c r="KW9" s="63">
        <f t="shared" si="0"/>
        <v>12.35</v>
      </c>
      <c r="KX9" s="63">
        <f t="shared" si="0"/>
        <v>1.75</v>
      </c>
      <c r="KY9" s="63">
        <f t="shared" si="0"/>
        <v>0.3</v>
      </c>
      <c r="KZ9" s="63">
        <f t="shared" si="0"/>
        <v>0</v>
      </c>
      <c r="LA9" s="63">
        <f t="shared" si="0"/>
        <v>12.4</v>
      </c>
      <c r="LB9" s="63">
        <f t="shared" si="0"/>
        <v>1.95</v>
      </c>
      <c r="LC9" s="63">
        <f t="shared" si="0"/>
        <v>0</v>
      </c>
      <c r="LD9" s="63">
        <f t="shared" si="0"/>
        <v>0</v>
      </c>
      <c r="LE9" s="74" t="s">
        <v>116</v>
      </c>
      <c r="LF9" s="12">
        <f t="shared" si="5"/>
        <v>3.95</v>
      </c>
      <c r="LG9" s="12">
        <f t="shared" si="6"/>
        <v>27.35</v>
      </c>
      <c r="LH9" s="12">
        <f t="shared" si="7"/>
        <v>28.15</v>
      </c>
      <c r="LI9" s="12">
        <f t="shared" si="8"/>
        <v>55.5</v>
      </c>
    </row>
    <row r="10" spans="1:321" x14ac:dyDescent="0.2">
      <c r="D10" s="1"/>
    </row>
    <row r="12" spans="1:321" x14ac:dyDescent="0.2">
      <c r="B12" s="64" t="s">
        <v>51</v>
      </c>
      <c r="AH12" s="50"/>
      <c r="AJ12" s="58">
        <v>10.9</v>
      </c>
      <c r="BC12" s="50"/>
      <c r="BE12" s="58">
        <v>10.9</v>
      </c>
      <c r="BY12" s="50"/>
      <c r="CA12" s="58">
        <v>10.9</v>
      </c>
      <c r="CS12" s="50"/>
      <c r="CU12" s="58">
        <v>10.9</v>
      </c>
      <c r="DM12" s="50"/>
      <c r="DO12" s="58">
        <v>10.9</v>
      </c>
      <c r="EG12" s="50"/>
      <c r="EI12" s="58">
        <v>10.9</v>
      </c>
      <c r="FA12" s="50"/>
      <c r="FC12" s="58">
        <v>10.9</v>
      </c>
      <c r="FU12" s="50"/>
      <c r="FW12" s="77">
        <v>10.9</v>
      </c>
      <c r="GO12" s="50"/>
      <c r="GQ12" s="77">
        <v>10.9</v>
      </c>
      <c r="HI12" s="50"/>
      <c r="HK12" s="77">
        <v>10.9</v>
      </c>
      <c r="IC12" s="50"/>
      <c r="IE12" s="77">
        <v>10.9</v>
      </c>
      <c r="IW12" s="50"/>
      <c r="IY12" s="77">
        <v>10.9</v>
      </c>
      <c r="JQ12" s="50"/>
      <c r="JS12" s="77">
        <v>10.9</v>
      </c>
      <c r="KK12" s="50"/>
      <c r="KM12" s="77">
        <v>10.9</v>
      </c>
    </row>
    <row r="13" spans="1:321" x14ac:dyDescent="0.2">
      <c r="A13" s="50"/>
      <c r="B13" s="91" t="s">
        <v>73</v>
      </c>
      <c r="C13" s="49"/>
      <c r="AH13" s="50"/>
      <c r="AJ13" s="93">
        <v>10.9</v>
      </c>
      <c r="BC13" s="50"/>
      <c r="BE13" s="93">
        <v>10.9</v>
      </c>
      <c r="BY13" s="50"/>
      <c r="CA13" s="93">
        <v>10.9</v>
      </c>
      <c r="CS13" s="50"/>
      <c r="CU13" s="93">
        <v>10.9</v>
      </c>
      <c r="DM13" s="50"/>
      <c r="DO13" s="93">
        <v>10.9</v>
      </c>
      <c r="EG13" s="50"/>
      <c r="EI13" s="93">
        <v>10.9</v>
      </c>
      <c r="FA13" s="50"/>
      <c r="FC13" s="93">
        <v>10.9</v>
      </c>
      <c r="FU13" s="50"/>
      <c r="FW13" s="94">
        <v>10.9</v>
      </c>
      <c r="GO13" s="50"/>
      <c r="GQ13" s="94">
        <v>10.9</v>
      </c>
      <c r="HI13" s="50"/>
      <c r="HK13" s="94">
        <v>10.9</v>
      </c>
      <c r="IC13" s="50"/>
      <c r="IE13" s="94">
        <v>10.9</v>
      </c>
      <c r="IW13" s="50"/>
      <c r="IY13" s="94">
        <v>10.9</v>
      </c>
      <c r="JQ13" s="50"/>
      <c r="JS13" s="94">
        <v>10.9</v>
      </c>
      <c r="KK13" s="50"/>
      <c r="KM13" s="94">
        <v>10.9</v>
      </c>
    </row>
    <row r="14" spans="1:321" x14ac:dyDescent="0.2">
      <c r="A14" s="50"/>
      <c r="B14" s="65" t="s">
        <v>48</v>
      </c>
      <c r="C14" s="49"/>
      <c r="AH14" s="50"/>
      <c r="AJ14" s="59">
        <v>62.1</v>
      </c>
      <c r="BC14" s="50"/>
      <c r="BE14" s="59">
        <v>62.1</v>
      </c>
      <c r="BY14" s="50"/>
      <c r="CA14" s="59">
        <v>61.9</v>
      </c>
      <c r="CS14" s="50"/>
      <c r="CU14" s="59">
        <v>61.9</v>
      </c>
      <c r="DM14" s="50"/>
      <c r="DO14" s="59">
        <v>61.9</v>
      </c>
      <c r="EG14" s="50"/>
      <c r="EI14" s="59">
        <v>61.9</v>
      </c>
      <c r="FA14" s="50"/>
      <c r="FC14" s="59">
        <v>61.9</v>
      </c>
      <c r="FU14" s="50"/>
      <c r="FW14" s="78">
        <v>61.9</v>
      </c>
      <c r="GO14" s="50"/>
      <c r="GQ14" s="78">
        <v>61.9</v>
      </c>
      <c r="HI14" s="50"/>
      <c r="HK14" s="78">
        <v>61.9</v>
      </c>
      <c r="IC14" s="50"/>
      <c r="IE14" s="78">
        <v>61.9</v>
      </c>
      <c r="IW14" s="50"/>
      <c r="IY14" s="78">
        <v>61.9</v>
      </c>
      <c r="JQ14" s="50"/>
      <c r="JS14" s="78">
        <v>61.9</v>
      </c>
      <c r="KK14" s="50"/>
      <c r="KM14" s="78">
        <v>61.9</v>
      </c>
    </row>
    <row r="15" spans="1:321" hidden="1" x14ac:dyDescent="0.2">
      <c r="A15" s="50"/>
      <c r="B15" s="66" t="s">
        <v>49</v>
      </c>
      <c r="C15" s="49"/>
      <c r="AH15" s="50"/>
      <c r="AJ15" s="60">
        <v>1000</v>
      </c>
      <c r="BC15" s="50"/>
      <c r="BE15" s="60">
        <v>1000</v>
      </c>
      <c r="BY15" s="50"/>
      <c r="CA15" s="60">
        <v>1000</v>
      </c>
      <c r="CS15" s="50"/>
      <c r="CU15" s="60">
        <v>1000</v>
      </c>
      <c r="DM15" s="50"/>
      <c r="DO15" s="60">
        <v>1000</v>
      </c>
      <c r="EG15" s="50"/>
      <c r="EI15" s="60">
        <v>1000</v>
      </c>
      <c r="FA15" s="50"/>
      <c r="FC15" s="60">
        <v>1000</v>
      </c>
      <c r="FU15" s="50"/>
      <c r="FW15" s="60">
        <v>1000</v>
      </c>
      <c r="GO15" s="50"/>
      <c r="GQ15" s="60">
        <v>1000</v>
      </c>
      <c r="HI15" s="50"/>
      <c r="HK15" s="60">
        <v>1000</v>
      </c>
      <c r="IC15" s="50"/>
      <c r="IE15" s="60">
        <v>1000</v>
      </c>
      <c r="IW15" s="50"/>
      <c r="IY15" s="60">
        <v>1000</v>
      </c>
      <c r="JQ15" s="50"/>
      <c r="JS15" s="60">
        <v>1000</v>
      </c>
      <c r="KK15" s="50"/>
      <c r="KM15" s="60">
        <v>1000</v>
      </c>
    </row>
    <row r="16" spans="1:321" x14ac:dyDescent="0.2">
      <c r="A16" s="50"/>
      <c r="B16" s="67" t="s">
        <v>67</v>
      </c>
      <c r="C16" s="49"/>
      <c r="AH16" s="50"/>
      <c r="AJ16" s="61">
        <v>63.7</v>
      </c>
      <c r="BC16" s="50"/>
      <c r="BE16" s="61">
        <v>63.7</v>
      </c>
      <c r="BY16" s="50"/>
      <c r="CA16" s="61">
        <v>63.7</v>
      </c>
      <c r="CS16" s="50"/>
      <c r="CU16" s="61">
        <v>63.7</v>
      </c>
      <c r="DM16" s="50"/>
      <c r="DO16" s="61">
        <v>63.7</v>
      </c>
      <c r="EG16" s="50"/>
      <c r="EI16" s="61">
        <v>63.7</v>
      </c>
      <c r="FA16" s="50"/>
      <c r="FC16" s="61">
        <v>63.7</v>
      </c>
      <c r="FU16" s="50"/>
      <c r="FW16" s="80">
        <v>63.7</v>
      </c>
      <c r="GO16" s="50"/>
      <c r="GQ16" s="80">
        <v>63.7</v>
      </c>
      <c r="HI16" s="50"/>
      <c r="HK16" s="80">
        <v>63.7</v>
      </c>
      <c r="IC16" s="50"/>
      <c r="IE16" s="80">
        <v>63.7</v>
      </c>
      <c r="IW16" s="50"/>
      <c r="IY16" s="80">
        <v>63.7</v>
      </c>
      <c r="JQ16" s="50"/>
      <c r="JS16" s="80">
        <v>63.7</v>
      </c>
      <c r="KK16" s="50"/>
      <c r="KM16" s="80">
        <v>63.7</v>
      </c>
    </row>
    <row r="17" spans="1:299" hidden="1" x14ac:dyDescent="0.2">
      <c r="A17" s="50"/>
      <c r="B17" s="68" t="s">
        <v>35</v>
      </c>
      <c r="C17" s="4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62">
        <v>1000</v>
      </c>
      <c r="DM17" s="50"/>
      <c r="DO17" s="62">
        <v>1000</v>
      </c>
      <c r="EG17" s="50"/>
      <c r="EI17" s="62">
        <v>1000</v>
      </c>
      <c r="FA17" s="50"/>
      <c r="FC17" s="62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55</v>
      </c>
      <c r="C18" s="3"/>
    </row>
    <row r="19" spans="1:299" x14ac:dyDescent="0.2">
      <c r="A19" s="50"/>
      <c r="B19" s="50"/>
      <c r="C19" s="49"/>
    </row>
    <row r="20" spans="1:299" ht="17" x14ac:dyDescent="0.2">
      <c r="A20" s="50"/>
      <c r="B20" s="50"/>
      <c r="C20" s="49"/>
      <c r="N20" s="19"/>
      <c r="O20" s="19"/>
      <c r="P20" s="19"/>
    </row>
    <row r="21" spans="1:299" ht="17" x14ac:dyDescent="0.2">
      <c r="A21" s="50"/>
      <c r="B21" s="50"/>
      <c r="C21" s="49"/>
      <c r="N21" s="19"/>
      <c r="O21" s="19"/>
      <c r="P21" s="19"/>
    </row>
    <row r="22" spans="1:299" ht="17" x14ac:dyDescent="0.2">
      <c r="N22" s="19"/>
      <c r="O22" s="19"/>
      <c r="P22" s="19"/>
    </row>
    <row r="23" spans="1:299" ht="17" x14ac:dyDescent="0.2">
      <c r="N23" s="19"/>
      <c r="O23" s="19"/>
      <c r="P23" s="19"/>
    </row>
    <row r="24" spans="1:299" ht="17" x14ac:dyDescent="0.2">
      <c r="N24" s="19"/>
      <c r="O24" s="19"/>
      <c r="P24" s="19"/>
    </row>
    <row r="25" spans="1:299" ht="17" x14ac:dyDescent="0.2">
      <c r="N25" s="19"/>
      <c r="O25" s="19"/>
      <c r="P25" s="19"/>
    </row>
    <row r="26" spans="1:299" ht="17" x14ac:dyDescent="0.2">
      <c r="N26" s="19"/>
      <c r="O26" s="19"/>
      <c r="P26" s="19"/>
    </row>
    <row r="27" spans="1:299" ht="17" x14ac:dyDescent="0.2">
      <c r="N27" s="19"/>
      <c r="O27" s="19"/>
      <c r="P27" s="19"/>
    </row>
    <row r="28" spans="1:299" ht="17" x14ac:dyDescent="0.2">
      <c r="N28" s="19"/>
      <c r="O28" s="19"/>
      <c r="P28" s="19"/>
    </row>
    <row r="29" spans="1:299" ht="17" x14ac:dyDescent="0.2">
      <c r="N29" s="19"/>
      <c r="O29" s="19"/>
      <c r="P29" s="19"/>
    </row>
    <row r="30" spans="1:299" ht="17" x14ac:dyDescent="0.2">
      <c r="N30" s="19"/>
      <c r="O30" s="19"/>
      <c r="P30" s="19"/>
    </row>
    <row r="31" spans="1:299" ht="17" x14ac:dyDescent="0.2">
      <c r="N31" s="19"/>
      <c r="O31" s="19"/>
      <c r="P31" s="19"/>
    </row>
    <row r="32" spans="1:299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9">
      <sortCondition descending="1" ref="F1:F8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65</v>
      </c>
      <c r="G1" s="119" t="s">
        <v>66</v>
      </c>
      <c r="H1" s="119" t="s">
        <v>8</v>
      </c>
      <c r="I1" s="112" t="s">
        <v>9</v>
      </c>
      <c r="J1" s="114" t="s">
        <v>10</v>
      </c>
      <c r="K1" s="114" t="s">
        <v>33</v>
      </c>
      <c r="L1" s="114" t="s">
        <v>13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7" t="s">
        <v>119</v>
      </c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8" t="s">
        <v>64</v>
      </c>
      <c r="BH1" s="118"/>
      <c r="BI1" s="115" t="s">
        <v>62</v>
      </c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  <c r="KO1" s="115" t="s">
        <v>117</v>
      </c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</row>
    <row r="2" spans="1:321" x14ac:dyDescent="0.2">
      <c r="A2" s="112"/>
      <c r="B2" s="112"/>
      <c r="C2" s="112"/>
      <c r="D2" s="112"/>
      <c r="E2" s="112"/>
      <c r="F2" s="119"/>
      <c r="G2" s="119"/>
      <c r="H2" s="119"/>
      <c r="I2" s="112"/>
      <c r="J2" s="114"/>
      <c r="K2" s="114"/>
      <c r="L2" s="114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1" t="s">
        <v>27</v>
      </c>
      <c r="AM2" s="111"/>
      <c r="AN2" s="111"/>
      <c r="AO2" s="111"/>
      <c r="AP2" s="111" t="s">
        <v>30</v>
      </c>
      <c r="AQ2" s="111"/>
      <c r="AR2" s="111"/>
      <c r="AS2" s="111"/>
      <c r="AT2" s="111" t="s">
        <v>31</v>
      </c>
      <c r="AU2" s="111"/>
      <c r="AV2" s="111"/>
      <c r="AW2" s="111"/>
      <c r="AX2" s="120" t="s">
        <v>32</v>
      </c>
      <c r="AY2" s="120"/>
      <c r="AZ2" s="120"/>
      <c r="BA2" s="120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0" t="s">
        <v>27</v>
      </c>
      <c r="BJ2" s="110"/>
      <c r="BK2" s="110"/>
      <c r="BL2" s="110"/>
      <c r="BM2" s="110" t="s">
        <v>30</v>
      </c>
      <c r="BN2" s="110"/>
      <c r="BO2" s="110"/>
      <c r="BP2" s="110"/>
      <c r="BQ2" s="110" t="s">
        <v>31</v>
      </c>
      <c r="BR2" s="110"/>
      <c r="BS2" s="110"/>
      <c r="BT2" s="110"/>
      <c r="BU2" s="122" t="s">
        <v>32</v>
      </c>
      <c r="BV2" s="122"/>
      <c r="BW2" s="122"/>
      <c r="BX2" s="122"/>
      <c r="BY2" s="52" t="s">
        <v>25</v>
      </c>
      <c r="BZ2" s="10" t="s">
        <v>24</v>
      </c>
      <c r="CA2" s="10" t="s">
        <v>23</v>
      </c>
      <c r="CB2" s="10" t="s">
        <v>18</v>
      </c>
      <c r="CC2" s="111" t="s">
        <v>27</v>
      </c>
      <c r="CD2" s="111"/>
      <c r="CE2" s="111"/>
      <c r="CF2" s="111"/>
      <c r="CG2" s="111" t="s">
        <v>30</v>
      </c>
      <c r="CH2" s="111"/>
      <c r="CI2" s="111"/>
      <c r="CJ2" s="111"/>
      <c r="CK2" s="111" t="s">
        <v>31</v>
      </c>
      <c r="CL2" s="111"/>
      <c r="CM2" s="111"/>
      <c r="CN2" s="111"/>
      <c r="CO2" s="120" t="s">
        <v>32</v>
      </c>
      <c r="CP2" s="120"/>
      <c r="CQ2" s="120"/>
      <c r="CR2" s="120"/>
      <c r="CS2" s="51" t="s">
        <v>25</v>
      </c>
      <c r="CT2" s="13" t="s">
        <v>24</v>
      </c>
      <c r="CU2" s="13" t="s">
        <v>23</v>
      </c>
      <c r="CV2" s="13" t="s">
        <v>18</v>
      </c>
      <c r="CW2" s="110" t="s">
        <v>27</v>
      </c>
      <c r="CX2" s="110"/>
      <c r="CY2" s="110"/>
      <c r="CZ2" s="110"/>
      <c r="DA2" s="110" t="s">
        <v>30</v>
      </c>
      <c r="DB2" s="110"/>
      <c r="DC2" s="110"/>
      <c r="DD2" s="110"/>
      <c r="DE2" s="110" t="s">
        <v>31</v>
      </c>
      <c r="DF2" s="110"/>
      <c r="DG2" s="110"/>
      <c r="DH2" s="110"/>
      <c r="DI2" s="122" t="s">
        <v>32</v>
      </c>
      <c r="DJ2" s="122"/>
      <c r="DK2" s="122"/>
      <c r="DL2" s="122"/>
      <c r="DM2" s="52" t="s">
        <v>25</v>
      </c>
      <c r="DN2" s="10" t="s">
        <v>24</v>
      </c>
      <c r="DO2" s="10" t="s">
        <v>23</v>
      </c>
      <c r="DP2" s="10" t="s">
        <v>18</v>
      </c>
      <c r="DQ2" s="111" t="s">
        <v>27</v>
      </c>
      <c r="DR2" s="111"/>
      <c r="DS2" s="111"/>
      <c r="DT2" s="111"/>
      <c r="DU2" s="111" t="s">
        <v>30</v>
      </c>
      <c r="DV2" s="111"/>
      <c r="DW2" s="111"/>
      <c r="DX2" s="111"/>
      <c r="DY2" s="111" t="s">
        <v>31</v>
      </c>
      <c r="DZ2" s="111"/>
      <c r="EA2" s="111"/>
      <c r="EB2" s="111"/>
      <c r="EC2" s="120" t="s">
        <v>32</v>
      </c>
      <c r="ED2" s="120"/>
      <c r="EE2" s="120"/>
      <c r="EF2" s="120"/>
      <c r="EG2" s="20" t="s">
        <v>25</v>
      </c>
      <c r="EH2" s="13" t="s">
        <v>24</v>
      </c>
      <c r="EI2" s="13" t="s">
        <v>23</v>
      </c>
      <c r="EJ2" s="13" t="s">
        <v>18</v>
      </c>
      <c r="EK2" s="110" t="s">
        <v>27</v>
      </c>
      <c r="EL2" s="110"/>
      <c r="EM2" s="110"/>
      <c r="EN2" s="110"/>
      <c r="EO2" s="110" t="s">
        <v>30</v>
      </c>
      <c r="EP2" s="110"/>
      <c r="EQ2" s="110"/>
      <c r="ER2" s="110"/>
      <c r="ES2" s="110" t="s">
        <v>31</v>
      </c>
      <c r="ET2" s="110"/>
      <c r="EU2" s="110"/>
      <c r="EV2" s="110"/>
      <c r="EW2" s="122" t="s">
        <v>32</v>
      </c>
      <c r="EX2" s="122"/>
      <c r="EY2" s="122"/>
      <c r="EZ2" s="122"/>
      <c r="FA2" s="21" t="s">
        <v>25</v>
      </c>
      <c r="FB2" s="10" t="s">
        <v>24</v>
      </c>
      <c r="FC2" s="10" t="s">
        <v>23</v>
      </c>
      <c r="FD2" s="10" t="s">
        <v>18</v>
      </c>
      <c r="FE2" s="111" t="s">
        <v>27</v>
      </c>
      <c r="FF2" s="111"/>
      <c r="FG2" s="111"/>
      <c r="FH2" s="111"/>
      <c r="FI2" s="111" t="s">
        <v>30</v>
      </c>
      <c r="FJ2" s="111"/>
      <c r="FK2" s="111"/>
      <c r="FL2" s="111"/>
      <c r="FM2" s="111" t="s">
        <v>31</v>
      </c>
      <c r="FN2" s="111"/>
      <c r="FO2" s="111"/>
      <c r="FP2" s="111"/>
      <c r="FQ2" s="120" t="s">
        <v>32</v>
      </c>
      <c r="FR2" s="120"/>
      <c r="FS2" s="120"/>
      <c r="FT2" s="120"/>
      <c r="FU2" s="20" t="s">
        <v>25</v>
      </c>
      <c r="FV2" s="13" t="s">
        <v>24</v>
      </c>
      <c r="FW2" s="13" t="s">
        <v>23</v>
      </c>
      <c r="FX2" s="13" t="s">
        <v>18</v>
      </c>
      <c r="FY2" s="110" t="s">
        <v>27</v>
      </c>
      <c r="FZ2" s="110"/>
      <c r="GA2" s="110"/>
      <c r="GB2" s="110"/>
      <c r="GC2" s="110" t="s">
        <v>30</v>
      </c>
      <c r="GD2" s="110"/>
      <c r="GE2" s="110"/>
      <c r="GF2" s="110"/>
      <c r="GG2" s="110" t="s">
        <v>31</v>
      </c>
      <c r="GH2" s="110"/>
      <c r="GI2" s="110"/>
      <c r="GJ2" s="110"/>
      <c r="GK2" s="122" t="s">
        <v>32</v>
      </c>
      <c r="GL2" s="122"/>
      <c r="GM2" s="122"/>
      <c r="GN2" s="122"/>
      <c r="GO2" s="21" t="s">
        <v>25</v>
      </c>
      <c r="GP2" s="10" t="s">
        <v>24</v>
      </c>
      <c r="GQ2" s="10" t="s">
        <v>23</v>
      </c>
      <c r="GR2" s="10" t="s">
        <v>18</v>
      </c>
      <c r="GS2" s="111" t="s">
        <v>27</v>
      </c>
      <c r="GT2" s="111"/>
      <c r="GU2" s="111"/>
      <c r="GV2" s="111"/>
      <c r="GW2" s="111" t="s">
        <v>30</v>
      </c>
      <c r="GX2" s="111"/>
      <c r="GY2" s="111"/>
      <c r="GZ2" s="111"/>
      <c r="HA2" s="111" t="s">
        <v>31</v>
      </c>
      <c r="HB2" s="111"/>
      <c r="HC2" s="111"/>
      <c r="HD2" s="111"/>
      <c r="HE2" s="120" t="s">
        <v>32</v>
      </c>
      <c r="HF2" s="120"/>
      <c r="HG2" s="120"/>
      <c r="HH2" s="120"/>
      <c r="HI2" s="20" t="s">
        <v>25</v>
      </c>
      <c r="HJ2" s="13" t="s">
        <v>24</v>
      </c>
      <c r="HK2" s="13" t="s">
        <v>23</v>
      </c>
      <c r="HL2" s="13" t="s">
        <v>18</v>
      </c>
      <c r="HM2" s="110" t="s">
        <v>27</v>
      </c>
      <c r="HN2" s="110"/>
      <c r="HO2" s="110"/>
      <c r="HP2" s="110"/>
      <c r="HQ2" s="110" t="s">
        <v>30</v>
      </c>
      <c r="HR2" s="110"/>
      <c r="HS2" s="110"/>
      <c r="HT2" s="110"/>
      <c r="HU2" s="110" t="s">
        <v>31</v>
      </c>
      <c r="HV2" s="110"/>
      <c r="HW2" s="110"/>
      <c r="HX2" s="110"/>
      <c r="HY2" s="122" t="s">
        <v>32</v>
      </c>
      <c r="HZ2" s="122"/>
      <c r="IA2" s="122"/>
      <c r="IB2" s="122"/>
      <c r="IC2" s="21" t="s">
        <v>25</v>
      </c>
      <c r="ID2" s="10" t="s">
        <v>24</v>
      </c>
      <c r="IE2" s="10" t="s">
        <v>23</v>
      </c>
      <c r="IF2" s="10" t="s">
        <v>18</v>
      </c>
      <c r="IG2" s="111" t="s">
        <v>27</v>
      </c>
      <c r="IH2" s="111"/>
      <c r="II2" s="111"/>
      <c r="IJ2" s="111"/>
      <c r="IK2" s="111" t="s">
        <v>30</v>
      </c>
      <c r="IL2" s="111"/>
      <c r="IM2" s="111"/>
      <c r="IN2" s="111"/>
      <c r="IO2" s="111" t="s">
        <v>31</v>
      </c>
      <c r="IP2" s="111"/>
      <c r="IQ2" s="111"/>
      <c r="IR2" s="111"/>
      <c r="IS2" s="120" t="s">
        <v>32</v>
      </c>
      <c r="IT2" s="120"/>
      <c r="IU2" s="120"/>
      <c r="IV2" s="120"/>
      <c r="IW2" s="20" t="s">
        <v>25</v>
      </c>
      <c r="IX2" s="13" t="s">
        <v>24</v>
      </c>
      <c r="IY2" s="13" t="s">
        <v>23</v>
      </c>
      <c r="IZ2" s="13" t="s">
        <v>18</v>
      </c>
      <c r="JA2" s="110" t="s">
        <v>27</v>
      </c>
      <c r="JB2" s="110"/>
      <c r="JC2" s="110"/>
      <c r="JD2" s="110"/>
      <c r="JE2" s="110" t="s">
        <v>30</v>
      </c>
      <c r="JF2" s="110"/>
      <c r="JG2" s="110"/>
      <c r="JH2" s="110"/>
      <c r="JI2" s="110" t="s">
        <v>31</v>
      </c>
      <c r="JJ2" s="110"/>
      <c r="JK2" s="110"/>
      <c r="JL2" s="110"/>
      <c r="JM2" s="122" t="s">
        <v>32</v>
      </c>
      <c r="JN2" s="122"/>
      <c r="JO2" s="122"/>
      <c r="JP2" s="122"/>
      <c r="JQ2" s="21" t="s">
        <v>25</v>
      </c>
      <c r="JR2" s="10" t="s">
        <v>24</v>
      </c>
      <c r="JS2" s="10" t="s">
        <v>23</v>
      </c>
      <c r="JT2" s="10" t="s">
        <v>18</v>
      </c>
      <c r="JU2" s="111" t="s">
        <v>27</v>
      </c>
      <c r="JV2" s="111"/>
      <c r="JW2" s="111"/>
      <c r="JX2" s="111"/>
      <c r="JY2" s="111" t="s">
        <v>30</v>
      </c>
      <c r="JZ2" s="111"/>
      <c r="KA2" s="111"/>
      <c r="KB2" s="111"/>
      <c r="KC2" s="111" t="s">
        <v>31</v>
      </c>
      <c r="KD2" s="111"/>
      <c r="KE2" s="111"/>
      <c r="KF2" s="111"/>
      <c r="KG2" s="120" t="s">
        <v>32</v>
      </c>
      <c r="KH2" s="120"/>
      <c r="KI2" s="120"/>
      <c r="KJ2" s="120"/>
      <c r="KK2" s="20" t="s">
        <v>25</v>
      </c>
      <c r="KL2" s="13" t="s">
        <v>24</v>
      </c>
      <c r="KM2" s="13" t="s">
        <v>23</v>
      </c>
      <c r="KN2" s="13" t="s">
        <v>18</v>
      </c>
      <c r="KO2" s="110" t="s">
        <v>27</v>
      </c>
      <c r="KP2" s="110"/>
      <c r="KQ2" s="110"/>
      <c r="KR2" s="110"/>
      <c r="KS2" s="110" t="s">
        <v>30</v>
      </c>
      <c r="KT2" s="110"/>
      <c r="KU2" s="110"/>
      <c r="KV2" s="110"/>
      <c r="KW2" s="110" t="s">
        <v>31</v>
      </c>
      <c r="KX2" s="110"/>
      <c r="KY2" s="110"/>
      <c r="KZ2" s="110"/>
      <c r="LA2" s="121" t="s">
        <v>32</v>
      </c>
      <c r="LB2" s="121"/>
      <c r="LC2" s="121"/>
      <c r="LD2" s="121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2"/>
      <c r="B3" s="112"/>
      <c r="C3" s="112"/>
      <c r="D3" s="112"/>
      <c r="E3" s="112"/>
      <c r="F3" s="119"/>
      <c r="G3" s="119"/>
      <c r="H3" s="119"/>
      <c r="I3" s="112"/>
      <c r="J3" s="114"/>
      <c r="K3" s="114"/>
      <c r="L3" s="114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108</v>
      </c>
      <c r="C4" s="8" t="s">
        <v>3</v>
      </c>
      <c r="D4" s="27">
        <v>2003</v>
      </c>
      <c r="E4" s="16">
        <f>SUM(J4:N4)</f>
        <v>126.89999999999999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/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National Team</v>
      </c>
      <c r="J4" s="15">
        <f>IF(MAX(AI4,BD4)&gt;0,MAX(AI4,BD4),"")</f>
        <v>63.8</v>
      </c>
      <c r="K4" s="15" t="str">
        <f>IF(J4="","",IF(J4=BD4,$AL$1,IF(J4=AI4,$Q$1,"")))</f>
        <v>2018 Nationals</v>
      </c>
      <c r="L4" s="15">
        <f>IF(MAX(AJ4,BE4)&gt;0,MAX(AJ4,BE4),"")</f>
        <v>63.099999999999994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25.2</v>
      </c>
      <c r="R4" s="38">
        <v>6.1</v>
      </c>
      <c r="S4" s="38">
        <v>0</v>
      </c>
      <c r="T4" s="38">
        <v>1</v>
      </c>
      <c r="U4" s="38">
        <v>26.2</v>
      </c>
      <c r="V4" s="38">
        <v>4.3</v>
      </c>
      <c r="W4" s="38">
        <v>0</v>
      </c>
      <c r="X4" s="38">
        <v>1</v>
      </c>
      <c r="Y4" s="38">
        <v>25.8</v>
      </c>
      <c r="Z4" s="38">
        <v>5.0999999999999996</v>
      </c>
      <c r="AA4" s="38">
        <v>0</v>
      </c>
      <c r="AB4" s="38">
        <v>1</v>
      </c>
      <c r="AC4" s="38">
        <v>26.9</v>
      </c>
      <c r="AD4" s="38">
        <v>4.3</v>
      </c>
      <c r="AE4" s="38">
        <v>0</v>
      </c>
      <c r="AF4" s="38">
        <v>0</v>
      </c>
      <c r="AG4" s="74"/>
      <c r="AH4" s="12">
        <f>IF(SUM(R4,V4)&gt;0,SUM(R4,V4),"")</f>
        <v>10.399999999999999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63.099999999999994</v>
      </c>
      <c r="AK4" s="12">
        <f>IF(SUM(AI4,AJ4)&gt;0,SUM(AI4,AJ4),"")</f>
        <v>126.89999999999999</v>
      </c>
      <c r="AL4" s="37">
        <v>26.5</v>
      </c>
      <c r="AM4" s="37">
        <v>4.3</v>
      </c>
      <c r="AN4" s="37">
        <v>0</v>
      </c>
      <c r="AO4" s="37">
        <v>0</v>
      </c>
      <c r="AP4" s="37">
        <v>25.8</v>
      </c>
      <c r="AQ4" s="37">
        <v>4.3</v>
      </c>
      <c r="AR4" s="37">
        <v>0</v>
      </c>
      <c r="AS4" s="37">
        <v>1</v>
      </c>
      <c r="AT4" s="37">
        <v>25.2</v>
      </c>
      <c r="AU4" s="37">
        <v>6.1</v>
      </c>
      <c r="AV4" s="37">
        <v>0</v>
      </c>
      <c r="AW4" s="37">
        <v>1</v>
      </c>
      <c r="AX4" s="37">
        <v>23.6</v>
      </c>
      <c r="AY4" s="37">
        <v>1.9</v>
      </c>
      <c r="AZ4" s="37">
        <v>0</v>
      </c>
      <c r="BA4" s="37">
        <v>0</v>
      </c>
      <c r="BB4" s="75"/>
      <c r="BC4" s="15">
        <f>IF(SUM(AM4,AQ4)&gt;0,SUM(AM4,AQ4),"")</f>
        <v>8.6</v>
      </c>
      <c r="BD4" s="15">
        <f>IF(SUM(AL4:AM4,AO4:AQ4,AS4)-AN4-AR4&gt;0,SUM(AL4:AM4,AO4:AQ4,AS4)-AN4-AR4,"")</f>
        <v>61.9</v>
      </c>
      <c r="BE4" s="15">
        <f>IF(SUM(AT4:AU4,AW4:AY4,BA4)-SUM(AV4,AZ4)&gt;0,SUM(AT4:AU4,AW4:AY4,BA4)-SUM(AV4,AZ4),"")</f>
        <v>57.8</v>
      </c>
      <c r="BF4" s="15">
        <f>IF(SUM(BD4,BE4)&gt;0,SUM(BD4,BE4),"")</f>
        <v>119.69999999999999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</v>
      </c>
      <c r="BJ4" s="36">
        <v>4.3</v>
      </c>
      <c r="BK4" s="36">
        <v>0</v>
      </c>
      <c r="BL4" s="36">
        <v>0</v>
      </c>
      <c r="BM4" s="36">
        <v>27.1</v>
      </c>
      <c r="BN4" s="36">
        <v>3.6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7.9</v>
      </c>
      <c r="BZ4" s="12">
        <f>IF(SUM(BI4:BJ4,BL4:BN4,BP4)-BK4-BO4&gt;0,SUM(BI4:BJ4,BL4:BN4,BP4)-BK4-BO4,"")</f>
        <v>62.000000000000007</v>
      </c>
      <c r="CA4" s="12" t="str">
        <f>IF(SUM(BQ4:BR4,BT4:BV4,BX4)-SUM(BS4,BW4)&gt;0,SUM(BQ4:BR4,BT4:BV4,BX4)-SUM(BS4,BW4),"")</f>
        <v/>
      </c>
      <c r="CB4" s="12">
        <f>IF(SUM(BZ4,CA4)&gt;0,SUM(BZ4,CA4),"")</f>
        <v>62.000000000000007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25.85</v>
      </c>
      <c r="KP4" s="63">
        <f t="shared" ref="KP4:LD7" si="0">IF($BB4="P",AM4,(R4+AM4)/2)</f>
        <v>5.1999999999999993</v>
      </c>
      <c r="KQ4" s="63">
        <f t="shared" si="0"/>
        <v>0</v>
      </c>
      <c r="KR4" s="63">
        <f t="shared" si="0"/>
        <v>0.5</v>
      </c>
      <c r="KS4" s="63">
        <f t="shared" si="0"/>
        <v>26</v>
      </c>
      <c r="KT4" s="63">
        <f t="shared" si="0"/>
        <v>4.3</v>
      </c>
      <c r="KU4" s="63">
        <f t="shared" si="0"/>
        <v>0</v>
      </c>
      <c r="KV4" s="63">
        <f t="shared" si="0"/>
        <v>1</v>
      </c>
      <c r="KW4" s="63">
        <f t="shared" si="0"/>
        <v>25.5</v>
      </c>
      <c r="KX4" s="63">
        <f t="shared" si="0"/>
        <v>5.6</v>
      </c>
      <c r="KY4" s="63">
        <f t="shared" si="0"/>
        <v>0</v>
      </c>
      <c r="KZ4" s="63">
        <f t="shared" si="0"/>
        <v>1</v>
      </c>
      <c r="LA4" s="63">
        <f t="shared" si="0"/>
        <v>25.25</v>
      </c>
      <c r="LB4" s="63">
        <f t="shared" si="0"/>
        <v>3.0999999999999996</v>
      </c>
      <c r="LC4" s="63">
        <f t="shared" si="0"/>
        <v>0</v>
      </c>
      <c r="LD4" s="63">
        <f t="shared" si="0"/>
        <v>0</v>
      </c>
      <c r="LE4" s="74" t="s">
        <v>116</v>
      </c>
      <c r="LF4" s="12">
        <f>IF(SUM(KP4,KT4)&gt;0,SUM(KP4,KT4),"")</f>
        <v>9.5</v>
      </c>
      <c r="LG4" s="12">
        <f t="shared" ref="LG4" si="1">IF(SUM(KO4:KP4,KR4:KT4,KV4)-KQ4-KU4&gt;0,SUM(KO4:KP4,KR4:KT4,KV4)-KQ4-KU4,"")</f>
        <v>62.849999999999994</v>
      </c>
      <c r="LH4" s="12">
        <f t="shared" ref="LH4" si="2">IF(SUM(KW4:KX4,KZ4:LB4,LD4)-SUM(KY4,LC4)&gt;0,SUM(KW4:KX4,KZ4:LB4,LD4)-SUM(KY4,LC4),"")</f>
        <v>60.45</v>
      </c>
      <c r="LI4" s="12">
        <f t="shared" ref="LI4" si="3">IF(SUM(LG4,LH4)&gt;0,SUM(LG4,LH4),"")</f>
        <v>123.3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109</v>
      </c>
      <c r="C5" s="5" t="s">
        <v>3</v>
      </c>
      <c r="D5" s="27">
        <v>2000</v>
      </c>
      <c r="E5" s="16">
        <f>SUM(J5:N5)</f>
        <v>124.5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/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National Team</v>
      </c>
      <c r="J5" s="15">
        <f>IF(MAX(AI5,BD5)&gt;0,MAX(AI5,BD5),"")</f>
        <v>61.900000000000006</v>
      </c>
      <c r="K5" s="15" t="str">
        <f>IF(J5="","",IF(J5=BD5,$AL$1,IF(J5=AI5,$Q$1,"")))</f>
        <v>2018 Nationals</v>
      </c>
      <c r="L5" s="15">
        <f>IF(MAX(AJ5,BE5)&gt;0,MAX(AJ5,BE5),"")</f>
        <v>62.6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27.7</v>
      </c>
      <c r="R5" s="38">
        <v>3.6</v>
      </c>
      <c r="S5" s="38">
        <v>0.3</v>
      </c>
      <c r="T5" s="38">
        <v>0</v>
      </c>
      <c r="U5" s="38">
        <v>25.6</v>
      </c>
      <c r="V5" s="38">
        <v>4.3</v>
      </c>
      <c r="W5" s="38">
        <v>0</v>
      </c>
      <c r="X5" s="38">
        <v>1</v>
      </c>
      <c r="Y5" s="38">
        <v>28</v>
      </c>
      <c r="Z5" s="38">
        <v>3.6</v>
      </c>
      <c r="AA5" s="38">
        <v>0</v>
      </c>
      <c r="AB5" s="38">
        <v>0</v>
      </c>
      <c r="AC5" s="38">
        <v>26.9</v>
      </c>
      <c r="AD5" s="38">
        <v>4.0999999999999996</v>
      </c>
      <c r="AE5" s="38">
        <v>0</v>
      </c>
      <c r="AF5" s="38">
        <v>0</v>
      </c>
      <c r="AG5" s="74"/>
      <c r="AH5" s="12">
        <f>IF(SUM(R5,V5)&gt;0,SUM(R5,V5),"")</f>
        <v>7.9</v>
      </c>
      <c r="AI5" s="12">
        <f>IF(SUM(Q5:R5,T5:V5,X5)-S5-W5&gt;0,SUM(Q5:R5,T5:V5,X5)-S5-W5,"")</f>
        <v>61.900000000000006</v>
      </c>
      <c r="AJ5" s="12">
        <f>IF(SUM(Y5:Z5,AB5:AD5,AF5)-SUM(AA5,AE5)&gt;0,SUM(Y5:Z5,AB5:AD5,AF5)-SUM(AA5,AE5),"")</f>
        <v>62.6</v>
      </c>
      <c r="AK5" s="12">
        <f>IF(SUM(AI5,AJ5)&gt;0,SUM(AI5,AJ5),"")</f>
        <v>124.5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27.7</v>
      </c>
      <c r="BJ5" s="36">
        <v>3.4</v>
      </c>
      <c r="BK5" s="36">
        <v>0</v>
      </c>
      <c r="BL5" s="36">
        <v>0</v>
      </c>
      <c r="BM5" s="36">
        <v>25.1</v>
      </c>
      <c r="BN5" s="36">
        <v>1.2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4.5999999999999996</v>
      </c>
      <c r="BZ5" s="12">
        <f>IF(SUM(BI5:BJ5,BL5:BN5,BP5)-BK5-BO5&gt;0,SUM(BI5:BJ5,BL5:BN5,BP5)-BK5-BO5,"")</f>
        <v>57.400000000000006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57.400000000000006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7" si="4">IF($BB5="P",AL5,(Q5+AL5)/2)</f>
        <v>13.85</v>
      </c>
      <c r="KP5" s="63">
        <f t="shared" si="0"/>
        <v>1.8</v>
      </c>
      <c r="KQ5" s="63">
        <f t="shared" si="0"/>
        <v>0.15</v>
      </c>
      <c r="KR5" s="63">
        <f t="shared" si="0"/>
        <v>0</v>
      </c>
      <c r="KS5" s="63">
        <f t="shared" si="0"/>
        <v>12.8</v>
      </c>
      <c r="KT5" s="63">
        <f t="shared" si="0"/>
        <v>2.15</v>
      </c>
      <c r="KU5" s="63">
        <f t="shared" si="0"/>
        <v>0</v>
      </c>
      <c r="KV5" s="63">
        <f t="shared" si="0"/>
        <v>0.5</v>
      </c>
      <c r="KW5" s="63">
        <f t="shared" si="0"/>
        <v>14</v>
      </c>
      <c r="KX5" s="63">
        <f t="shared" si="0"/>
        <v>1.8</v>
      </c>
      <c r="KY5" s="63">
        <f t="shared" si="0"/>
        <v>0</v>
      </c>
      <c r="KZ5" s="63">
        <f t="shared" si="0"/>
        <v>0</v>
      </c>
      <c r="LA5" s="63">
        <f t="shared" si="0"/>
        <v>13.45</v>
      </c>
      <c r="LB5" s="63">
        <f t="shared" si="0"/>
        <v>2.0499999999999998</v>
      </c>
      <c r="LC5" s="63">
        <f t="shared" si="0"/>
        <v>0</v>
      </c>
      <c r="LD5" s="63">
        <f t="shared" si="0"/>
        <v>0</v>
      </c>
      <c r="LE5" s="74" t="s">
        <v>116</v>
      </c>
      <c r="LF5" s="12">
        <f t="shared" ref="LF5:LF7" si="5">IF(SUM(KP5,KT5)&gt;0,SUM(KP5,KT5),"")</f>
        <v>3.95</v>
      </c>
      <c r="LG5" s="12">
        <f t="shared" ref="LG5:LG7" si="6">IF(SUM(KO5:KP5,KR5:KT5,KV5)-KQ5-KU5&gt;0,SUM(KO5:KP5,KR5:KT5,KV5)-KQ5-KU5,"")</f>
        <v>30.950000000000003</v>
      </c>
      <c r="LH5" s="12">
        <f t="shared" ref="LH5:LH7" si="7">IF(SUM(KW5:KX5,KZ5:LB5,LD5)-SUM(KY5,LC5)&gt;0,SUM(KW5:KX5,KZ5:LB5,LD5)-SUM(KY5,LC5),"")</f>
        <v>31.3</v>
      </c>
      <c r="LI5" s="12">
        <f t="shared" ref="LI5:LI7" si="8">IF(SUM(LG5,LH5)&gt;0,SUM(LG5,LH5),"")</f>
        <v>62.25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52</v>
      </c>
      <c r="C6" s="5" t="s">
        <v>4</v>
      </c>
      <c r="D6" s="27">
        <v>2000</v>
      </c>
      <c r="E6" s="16">
        <f>SUM(J6:N6)</f>
        <v>122.9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National Team</v>
      </c>
      <c r="J6" s="15">
        <f>IF(MAX(AI6,BD6)&gt;0,MAX(AI6,BD6),"")</f>
        <v>61.6</v>
      </c>
      <c r="K6" s="15" t="str">
        <f>IF(J6="","",IF(J6=BD6,$AL$1,IF(J6=AI6,$Q$1,"")))</f>
        <v>2018 Nationals</v>
      </c>
      <c r="L6" s="15">
        <f>IF(MAX(AJ6,BE6)&gt;0,MAX(AJ6,BE6),"")</f>
        <v>61.300000000000004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27.6</v>
      </c>
      <c r="R6" s="38">
        <v>3.6</v>
      </c>
      <c r="S6" s="38">
        <v>0</v>
      </c>
      <c r="T6" s="38">
        <v>0</v>
      </c>
      <c r="U6" s="38">
        <v>26.3</v>
      </c>
      <c r="V6" s="38">
        <v>4.0999999999999996</v>
      </c>
      <c r="W6" s="38">
        <v>0</v>
      </c>
      <c r="X6" s="38">
        <v>0</v>
      </c>
      <c r="Y6" s="38">
        <v>27.1</v>
      </c>
      <c r="Z6" s="38">
        <v>3.6</v>
      </c>
      <c r="AA6" s="38">
        <v>0</v>
      </c>
      <c r="AB6" s="38">
        <v>0</v>
      </c>
      <c r="AC6" s="38">
        <v>26.5</v>
      </c>
      <c r="AD6" s="38">
        <v>4.0999999999999996</v>
      </c>
      <c r="AE6" s="38">
        <v>0</v>
      </c>
      <c r="AF6" s="38">
        <v>0</v>
      </c>
      <c r="AG6" s="74"/>
      <c r="AH6" s="12">
        <f>IF(SUM(R6,V6)&gt;0,SUM(R6,V6),"")</f>
        <v>7.6999999999999993</v>
      </c>
      <c r="AI6" s="12">
        <f>IF(SUM(Q6:R6,T6:V6,X6)-S6-W6&gt;0,SUM(Q6:R6,T6:V6,X6)-S6-W6,"")</f>
        <v>61.6</v>
      </c>
      <c r="AJ6" s="12">
        <f>IF(SUM(Y6:Z6,AB6:AD6,AF6)-SUM(AA6,AE6)&gt;0,SUM(Y6:Z6,AB6:AD6,AF6)-SUM(AA6,AE6),"")</f>
        <v>61.300000000000004</v>
      </c>
      <c r="AK6" s="12">
        <f>IF(SUM(AI6,AJ6)&gt;0,SUM(AI6,AJ6),"")</f>
        <v>122.9</v>
      </c>
      <c r="AL6" s="37">
        <v>27</v>
      </c>
      <c r="AM6" s="37">
        <v>3.6</v>
      </c>
      <c r="AN6" s="37">
        <v>0</v>
      </c>
      <c r="AO6" s="37">
        <v>0</v>
      </c>
      <c r="AP6" s="37">
        <v>26.25</v>
      </c>
      <c r="AQ6" s="37">
        <v>3.3</v>
      </c>
      <c r="AR6" s="37">
        <v>0</v>
      </c>
      <c r="AS6" s="37">
        <v>0</v>
      </c>
      <c r="AT6" s="37">
        <v>27</v>
      </c>
      <c r="AU6" s="37">
        <v>3.6</v>
      </c>
      <c r="AV6" s="37">
        <v>0</v>
      </c>
      <c r="AW6" s="37">
        <v>0</v>
      </c>
      <c r="AX6" s="37">
        <v>24.45</v>
      </c>
      <c r="AY6" s="37">
        <v>4.0999999999999996</v>
      </c>
      <c r="AZ6" s="37">
        <v>0.3</v>
      </c>
      <c r="BA6" s="37">
        <v>0</v>
      </c>
      <c r="BB6" s="75" t="s">
        <v>116</v>
      </c>
      <c r="BC6" s="15">
        <f>IF(SUM(AM6,AQ6)&gt;0,SUM(AM6,AQ6),"")</f>
        <v>6.9</v>
      </c>
      <c r="BD6" s="15">
        <f>IF(SUM(AL6:AM6,AO6:AQ6,AS6)-AN6-AR6&gt;0,SUM(AL6:AM6,AO6:AQ6,AS6)-AN6-AR6,"")</f>
        <v>60.15</v>
      </c>
      <c r="BE6" s="15">
        <f>IF(SUM(AT6:AU6,AW6:AY6,BA6)-SUM(AV6,AZ6)&gt;0,SUM(AT6:AU6,AW6:AY6,BA6)-SUM(AV6,AZ6),"")</f>
        <v>58.85</v>
      </c>
      <c r="BF6" s="15">
        <f>IF(SUM(BD6,BE6)&gt;0,SUM(BD6,BE6),"")</f>
        <v>119</v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26.4</v>
      </c>
      <c r="BJ6" s="36">
        <v>3.6</v>
      </c>
      <c r="BK6" s="36">
        <v>0</v>
      </c>
      <c r="BL6" s="36">
        <v>0</v>
      </c>
      <c r="BM6" s="36">
        <v>25.8</v>
      </c>
      <c r="BN6" s="36">
        <v>4.0999999999999996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7.6999999999999993</v>
      </c>
      <c r="BZ6" s="12">
        <f>IF(SUM(BI6:BJ6,BL6:BN6,BP6)-BK6-BO6&gt;0,SUM(BI6:BJ6,BL6:BN6,BP6)-BK6-BO6,"")</f>
        <v>59.6</v>
      </c>
      <c r="CA6" s="12" t="str">
        <f>IF(SUM(BQ6:BR6,BT6:BV6,BX6)-SUM(BS6,BW6)&gt;0,SUM(BQ6:BR6,BT6:BV6,BX6)-SUM(BS6,BW6),"")</f>
        <v/>
      </c>
      <c r="CB6" s="12">
        <f>IF(SUM(BZ6,CA6)&gt;0,SUM(BZ6,CA6),"")</f>
        <v>59.6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27</v>
      </c>
      <c r="KP6" s="63">
        <f t="shared" si="0"/>
        <v>3.6</v>
      </c>
      <c r="KQ6" s="63">
        <f t="shared" si="0"/>
        <v>0</v>
      </c>
      <c r="KR6" s="63">
        <f t="shared" si="0"/>
        <v>0</v>
      </c>
      <c r="KS6" s="63">
        <f t="shared" si="0"/>
        <v>26.25</v>
      </c>
      <c r="KT6" s="63">
        <f t="shared" si="0"/>
        <v>3.3</v>
      </c>
      <c r="KU6" s="63">
        <f t="shared" si="0"/>
        <v>0</v>
      </c>
      <c r="KV6" s="63">
        <f t="shared" si="0"/>
        <v>0</v>
      </c>
      <c r="KW6" s="63">
        <f t="shared" si="0"/>
        <v>27</v>
      </c>
      <c r="KX6" s="63">
        <f t="shared" si="0"/>
        <v>3.6</v>
      </c>
      <c r="KY6" s="63">
        <f t="shared" si="0"/>
        <v>0</v>
      </c>
      <c r="KZ6" s="63">
        <f t="shared" si="0"/>
        <v>0</v>
      </c>
      <c r="LA6" s="63">
        <f t="shared" si="0"/>
        <v>24.45</v>
      </c>
      <c r="LB6" s="63">
        <f t="shared" si="0"/>
        <v>4.0999999999999996</v>
      </c>
      <c r="LC6" s="63">
        <f t="shared" si="0"/>
        <v>0.3</v>
      </c>
      <c r="LD6" s="63">
        <f t="shared" si="0"/>
        <v>0</v>
      </c>
      <c r="LE6" s="74" t="s">
        <v>116</v>
      </c>
      <c r="LF6" s="12">
        <f t="shared" si="5"/>
        <v>6.9</v>
      </c>
      <c r="LG6" s="12">
        <f t="shared" si="6"/>
        <v>60.15</v>
      </c>
      <c r="LH6" s="12">
        <f t="shared" si="7"/>
        <v>58.85</v>
      </c>
      <c r="LI6" s="12">
        <f t="shared" si="8"/>
        <v>119</v>
      </c>
    </row>
    <row r="7" spans="1:32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110</v>
      </c>
      <c r="C7" s="5" t="s">
        <v>4</v>
      </c>
      <c r="D7" s="27">
        <v>2001</v>
      </c>
      <c r="E7" s="16">
        <f>SUM(J7:N7)</f>
        <v>121.9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>P</v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>P</v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>National Team</v>
      </c>
      <c r="J7" s="15">
        <f>IF(MAX(AI7,BD7)&gt;0,MAX(AI7,BD7),"")</f>
        <v>60.6</v>
      </c>
      <c r="K7" s="15" t="str">
        <f>IF(J7="","",IF(J7=BD7,$AL$1,IF(J7=AI7,$Q$1,"")))</f>
        <v>2018 Nationals</v>
      </c>
      <c r="L7" s="15">
        <f>IF(MAX(AJ7,BE7)&gt;0,MAX(AJ7,BE7),"")</f>
        <v>61.300000000000004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38">
        <v>26.8</v>
      </c>
      <c r="R7" s="38">
        <v>3.6</v>
      </c>
      <c r="S7" s="38">
        <v>0</v>
      </c>
      <c r="T7" s="38">
        <v>0</v>
      </c>
      <c r="U7" s="38">
        <v>26.1</v>
      </c>
      <c r="V7" s="38">
        <v>4.0999999999999996</v>
      </c>
      <c r="W7" s="38">
        <v>0</v>
      </c>
      <c r="X7" s="38">
        <v>0</v>
      </c>
      <c r="Y7" s="38">
        <v>27.5</v>
      </c>
      <c r="Z7" s="38">
        <v>3.6</v>
      </c>
      <c r="AA7" s="38">
        <v>0</v>
      </c>
      <c r="AB7" s="38">
        <v>0</v>
      </c>
      <c r="AC7" s="38">
        <v>26.6</v>
      </c>
      <c r="AD7" s="38">
        <v>3.6</v>
      </c>
      <c r="AE7" s="38">
        <v>0</v>
      </c>
      <c r="AF7" s="38">
        <v>0</v>
      </c>
      <c r="AG7" s="74"/>
      <c r="AH7" s="12">
        <f>IF(SUM(R7,V7)&gt;0,SUM(R7,V7),"")</f>
        <v>7.6999999999999993</v>
      </c>
      <c r="AI7" s="12">
        <f>IF(SUM(Q7:R7,T7:V7,X7)-S7-W7&gt;0,SUM(Q7:R7,T7:V7,X7)-S7-W7,"")</f>
        <v>60.6</v>
      </c>
      <c r="AJ7" s="12">
        <f>IF(SUM(Y7:Z7,AB7:AD7,AF7)-SUM(AA7,AE7)&gt;0,SUM(Y7:Z7,AB7:AD7,AF7)-SUM(AA7,AE7),"")</f>
        <v>61.300000000000004</v>
      </c>
      <c r="AK7" s="12">
        <f>IF(SUM(AI7,AJ7)&gt;0,SUM(AI7,AJ7),"")</f>
        <v>121.9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>
        <v>26.5</v>
      </c>
      <c r="BJ7" s="36">
        <v>3.6</v>
      </c>
      <c r="BK7" s="36">
        <v>0</v>
      </c>
      <c r="BL7" s="36">
        <v>0</v>
      </c>
      <c r="BM7" s="36">
        <v>22.8</v>
      </c>
      <c r="BN7" s="36">
        <v>4.0999999999999996</v>
      </c>
      <c r="BO7" s="36">
        <v>0.6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>IF(SUM(BJ7,BN7)&gt;0,SUM(BJ7,BN7),"")</f>
        <v>7.6999999999999993</v>
      </c>
      <c r="BZ7" s="12">
        <f>IF(SUM(BI7:BJ7,BL7:BN7,BP7)-BK7-BO7&gt;0,SUM(BI7:BJ7,BL7:BN7,BP7)-BK7-BO7,"")</f>
        <v>56.400000000000006</v>
      </c>
      <c r="CA7" s="12" t="str">
        <f>IF(SUM(BQ7:BR7,BT7:BV7,BX7)-SUM(BS7,BW7)&gt;0,SUM(BQ7:BR7,BT7:BV7,BX7)-SUM(BS7,BW7),"")</f>
        <v/>
      </c>
      <c r="CB7" s="12">
        <f>IF(SUM(BZ7,CA7)&gt;0,SUM(BZ7,CA7),"")</f>
        <v>56.400000000000006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13.4</v>
      </c>
      <c r="KP7" s="63">
        <f t="shared" si="0"/>
        <v>1.8</v>
      </c>
      <c r="KQ7" s="63">
        <f t="shared" si="0"/>
        <v>0</v>
      </c>
      <c r="KR7" s="63">
        <f t="shared" si="0"/>
        <v>0</v>
      </c>
      <c r="KS7" s="63">
        <f t="shared" si="0"/>
        <v>13.05</v>
      </c>
      <c r="KT7" s="63">
        <f t="shared" si="0"/>
        <v>2.0499999999999998</v>
      </c>
      <c r="KU7" s="63">
        <f t="shared" si="0"/>
        <v>0</v>
      </c>
      <c r="KV7" s="63">
        <f t="shared" si="0"/>
        <v>0</v>
      </c>
      <c r="KW7" s="63">
        <f t="shared" si="0"/>
        <v>13.75</v>
      </c>
      <c r="KX7" s="63">
        <f t="shared" si="0"/>
        <v>1.8</v>
      </c>
      <c r="KY7" s="63">
        <f t="shared" si="0"/>
        <v>0</v>
      </c>
      <c r="KZ7" s="63">
        <f t="shared" si="0"/>
        <v>0</v>
      </c>
      <c r="LA7" s="63">
        <f t="shared" si="0"/>
        <v>13.3</v>
      </c>
      <c r="LB7" s="63">
        <f t="shared" si="0"/>
        <v>1.8</v>
      </c>
      <c r="LC7" s="63">
        <f t="shared" si="0"/>
        <v>0</v>
      </c>
      <c r="LD7" s="63">
        <f t="shared" si="0"/>
        <v>0</v>
      </c>
      <c r="LE7" s="74" t="s">
        <v>116</v>
      </c>
      <c r="LF7" s="12">
        <f t="shared" si="5"/>
        <v>3.8499999999999996</v>
      </c>
      <c r="LG7" s="12">
        <f t="shared" si="6"/>
        <v>30.3</v>
      </c>
      <c r="LH7" s="12">
        <f t="shared" si="7"/>
        <v>30.650000000000002</v>
      </c>
      <c r="LI7" s="12">
        <f t="shared" si="8"/>
        <v>60.95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126</v>
      </c>
      <c r="C8" s="5" t="s">
        <v>3</v>
      </c>
      <c r="D8" s="27">
        <v>2003</v>
      </c>
      <c r="E8" s="16">
        <f>SUM(J8:N8)</f>
        <v>113.10000000000001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58.8</v>
      </c>
      <c r="K8" s="15" t="str">
        <f>IF(J8="","",IF(J8=BD8,$AL$1,IF(J8=AI8,$Q$1,"")))</f>
        <v>2019 Elite Canada</v>
      </c>
      <c r="L8" s="15">
        <f>IF(MAX(AJ8,BE8)&gt;0,MAX(AJ8,BE8),"")</f>
        <v>54.300000000000011</v>
      </c>
      <c r="M8" s="15" t="str">
        <f>IF(L8="","",IF(L8=BE8,$AL$1,IF(L8=AJ8,$Q$1,"")))</f>
        <v>2019 Elite Canada</v>
      </c>
      <c r="N8" s="15" t="str">
        <f>IF(MAX(BG8:BH8)&gt;0,MAX(BG8:BH8),"")</f>
        <v/>
      </c>
      <c r="O8" s="25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74"/>
      <c r="AH8" s="12" t="str">
        <f>IF(SUM(R8,V8)&gt;0,SUM(R8,V8),"")</f>
        <v/>
      </c>
      <c r="AI8" s="12" t="str">
        <f>IF(SUM(Q8:R8,T8:V8,X8)-S8-W8&gt;0,SUM(Q8:R8,T8:V8,X8)-S8-W8,"")</f>
        <v/>
      </c>
      <c r="AJ8" s="12" t="str">
        <f>IF(SUM(Y8:Z8,AB8:AD8,AF8)-SUM(AA8,AE8)&gt;0,SUM(Y8:Z8,AB8:AD8,AF8)-SUM(AA8,AE8),"")</f>
        <v/>
      </c>
      <c r="AK8" s="12" t="str">
        <f>IF(SUM(AI8,AJ8)&gt;0,SUM(AI8,AJ8),"")</f>
        <v/>
      </c>
      <c r="AL8" s="37">
        <v>25.1</v>
      </c>
      <c r="AM8" s="37">
        <v>3.6</v>
      </c>
      <c r="AN8" s="37">
        <v>0</v>
      </c>
      <c r="AO8" s="37">
        <v>0</v>
      </c>
      <c r="AP8" s="37">
        <v>24.8</v>
      </c>
      <c r="AQ8" s="37">
        <v>4.3</v>
      </c>
      <c r="AR8" s="37">
        <v>0</v>
      </c>
      <c r="AS8" s="37">
        <v>1</v>
      </c>
      <c r="AT8" s="37">
        <v>25.6</v>
      </c>
      <c r="AU8" s="37">
        <v>3.6</v>
      </c>
      <c r="AV8" s="37">
        <v>0.3</v>
      </c>
      <c r="AW8" s="37">
        <v>0</v>
      </c>
      <c r="AX8" s="37">
        <v>24.2</v>
      </c>
      <c r="AY8" s="37">
        <v>1.2</v>
      </c>
      <c r="AZ8" s="37">
        <v>0</v>
      </c>
      <c r="BA8" s="37">
        <v>0</v>
      </c>
      <c r="BB8" s="75"/>
      <c r="BC8" s="15">
        <f>IF(SUM(AM8,AQ8)&gt;0,SUM(AM8,AQ8),"")</f>
        <v>7.9</v>
      </c>
      <c r="BD8" s="15">
        <f>IF(SUM(AL8:AM8,AO8:AQ8,AS8)-AN8-AR8&gt;0,SUM(AL8:AM8,AO8:AQ8,AS8)-AN8-AR8,"")</f>
        <v>58.8</v>
      </c>
      <c r="BE8" s="15">
        <f>IF(SUM(AT8:AU8,AW8:AY8,BA8)-SUM(AV8,AZ8)&gt;0,SUM(AT8:AU8,AW8:AY8,BA8)-SUM(AV8,AZ8),"")</f>
        <v>54.300000000000011</v>
      </c>
      <c r="BF8" s="15">
        <f>IF(SUM(BD8,BE8)&gt;0,SUM(BD8,BE8),"")</f>
        <v>113.10000000000001</v>
      </c>
      <c r="BG8" s="24" t="str">
        <f>IF(MAX(BY8,CS8,DM8,EG8,FA8,FU8,GO8,HI8,IC8,IW8,JQ8,KK8)-IF(J8="",0,J8)&gt;0.001,MAX(BY8,CS8,DM8,EG8,FA8,FU8,GO8,HI8,IC8,IW8,JQ8,KK8)-IF(J8="",0,J8),"")</f>
        <v/>
      </c>
      <c r="BH8" s="24" t="str">
        <f>IF(MAX(CA8,CU8,DO8,EI8,FC8,FW8,GQ8,HK8,IE8,IY8,JS8,KM8)-IF(L8="",0,L8)&gt;0.001,MAX(CA8,CU8,DO8,EI8,FC8,FW8,GQ8,HK8,IE8,IY8,JS8,KM8)-IF(L8="",0,L8),"")</f>
        <v/>
      </c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63">
        <f t="shared" ref="KO8" si="9">IF($BB8="P",AL8,(Q8+AL8)/2)</f>
        <v>12.55</v>
      </c>
      <c r="KP8" s="63">
        <f t="shared" ref="KP8" si="10">IF($BB8="P",AM8,(R8+AM8)/2)</f>
        <v>1.8</v>
      </c>
      <c r="KQ8" s="63">
        <f t="shared" ref="KQ8" si="11">IF($BB8="P",AN8,(S8+AN8)/2)</f>
        <v>0</v>
      </c>
      <c r="KR8" s="63">
        <f t="shared" ref="KR8" si="12">IF($BB8="P",AO8,(T8+AO8)/2)</f>
        <v>0</v>
      </c>
      <c r="KS8" s="63">
        <f t="shared" ref="KS8" si="13">IF($BB8="P",AP8,(U8+AP8)/2)</f>
        <v>12.4</v>
      </c>
      <c r="KT8" s="63">
        <f t="shared" ref="KT8" si="14">IF($BB8="P",AQ8,(V8+AQ8)/2)</f>
        <v>2.15</v>
      </c>
      <c r="KU8" s="63">
        <f t="shared" ref="KU8" si="15">IF($BB8="P",AR8,(W8+AR8)/2)</f>
        <v>0</v>
      </c>
      <c r="KV8" s="63">
        <f t="shared" ref="KV8" si="16">IF($BB8="P",AS8,(X8+AS8)/2)</f>
        <v>0.5</v>
      </c>
      <c r="KW8" s="63">
        <f t="shared" ref="KW8" si="17">IF($BB8="P",AT8,(Y8+AT8)/2)</f>
        <v>12.8</v>
      </c>
      <c r="KX8" s="63">
        <f t="shared" ref="KX8" si="18">IF($BB8="P",AU8,(Z8+AU8)/2)</f>
        <v>1.8</v>
      </c>
      <c r="KY8" s="63">
        <f t="shared" ref="KY8" si="19">IF($BB8="P",AV8,(AA8+AV8)/2)</f>
        <v>0.15</v>
      </c>
      <c r="KZ8" s="63">
        <f t="shared" ref="KZ8" si="20">IF($BB8="P",AW8,(AB8+AW8)/2)</f>
        <v>0</v>
      </c>
      <c r="LA8" s="63">
        <f t="shared" ref="LA8" si="21">IF($BB8="P",AX8,(AC8+AX8)/2)</f>
        <v>12.1</v>
      </c>
      <c r="LB8" s="63">
        <f t="shared" ref="LB8" si="22">IF($BB8="P",AY8,(AD8+AY8)/2)</f>
        <v>0.6</v>
      </c>
      <c r="LC8" s="63">
        <f t="shared" ref="LC8" si="23">IF($BB8="P",AZ8,(AE8+AZ8)/2)</f>
        <v>0</v>
      </c>
      <c r="LD8" s="63">
        <f t="shared" ref="LD8" si="24">IF($BB8="P",BA8,(AF8+BA8)/2)</f>
        <v>0</v>
      </c>
      <c r="LE8" s="74" t="s">
        <v>116</v>
      </c>
      <c r="LF8" s="12">
        <f t="shared" ref="LF8" si="25">IF(SUM(KP8,KT8)&gt;0,SUM(KP8,KT8),"")</f>
        <v>3.95</v>
      </c>
      <c r="LG8" s="12">
        <f t="shared" ref="LG8" si="26">IF(SUM(KO8:KP8,KR8:KT8,KV8)-KQ8-KU8&gt;0,SUM(KO8:KP8,KR8:KT8,KV8)-KQ8-KU8,"")</f>
        <v>29.4</v>
      </c>
      <c r="LH8" s="12">
        <f t="shared" ref="LH8" si="27">IF(SUM(KW8:KX8,KZ8:LB8,LD8)-SUM(KY8,LC8)&gt;0,SUM(KW8:KX8,KZ8:LB8,LD8)-SUM(KY8,LC8),"")</f>
        <v>27.150000000000006</v>
      </c>
      <c r="LI8" s="12">
        <f t="shared" ref="LI8" si="28">IF(SUM(LG8,LH8)&gt;0,SUM(LG8,LH8),"")</f>
        <v>56.550000000000004</v>
      </c>
    </row>
    <row r="9" spans="1:321" ht="17" x14ac:dyDescent="0.2">
      <c r="N9" s="19"/>
      <c r="O9" s="19"/>
      <c r="P9" s="1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</row>
    <row r="10" spans="1:321" ht="17" x14ac:dyDescent="0.2">
      <c r="N10" s="19"/>
      <c r="O10" s="19"/>
      <c r="P10" s="19"/>
    </row>
    <row r="11" spans="1:321" ht="17" x14ac:dyDescent="0.2">
      <c r="B11" s="64" t="s">
        <v>51</v>
      </c>
      <c r="N11" s="19"/>
      <c r="O11" s="19"/>
      <c r="P11" s="19"/>
      <c r="AH11" s="50"/>
      <c r="AJ11" s="58">
        <v>7.7</v>
      </c>
      <c r="BC11" s="50"/>
      <c r="BE11" s="58">
        <v>7.7</v>
      </c>
      <c r="BY11" s="50"/>
      <c r="CA11" s="58">
        <v>7.7</v>
      </c>
      <c r="CS11" s="50"/>
      <c r="CU11" s="77">
        <v>7.7</v>
      </c>
      <c r="DM11" s="50"/>
      <c r="DO11" s="77">
        <v>7.7</v>
      </c>
      <c r="EG11" s="50"/>
      <c r="EI11" s="77">
        <v>7.7</v>
      </c>
      <c r="FA11" s="50"/>
      <c r="FC11" s="77">
        <v>7.7</v>
      </c>
      <c r="FU11" s="50"/>
      <c r="FW11" s="77">
        <v>7.7</v>
      </c>
      <c r="GO11" s="50"/>
      <c r="GQ11" s="77">
        <v>7.7</v>
      </c>
      <c r="HI11" s="50"/>
      <c r="HK11" s="77">
        <v>7.7</v>
      </c>
      <c r="IC11" s="50"/>
      <c r="IE11" s="77">
        <v>7.7</v>
      </c>
      <c r="IW11" s="50"/>
      <c r="IY11" s="77">
        <v>7.7</v>
      </c>
      <c r="JQ11" s="50"/>
      <c r="JS11" s="77">
        <v>7.7</v>
      </c>
      <c r="KK11" s="50"/>
      <c r="KM11" s="77">
        <v>7.7</v>
      </c>
    </row>
    <row r="12" spans="1:321" ht="17" x14ac:dyDescent="0.2">
      <c r="A12" s="50"/>
      <c r="B12" s="91" t="s">
        <v>73</v>
      </c>
      <c r="C12" s="49"/>
      <c r="N12" s="19"/>
      <c r="O12" s="19"/>
      <c r="P12" s="19"/>
      <c r="AH12" s="50"/>
      <c r="AJ12" s="93">
        <v>10.5</v>
      </c>
      <c r="BC12" s="50"/>
      <c r="BE12" s="93">
        <v>10.5</v>
      </c>
      <c r="BY12" s="50"/>
      <c r="CA12" s="93">
        <v>9.1</v>
      </c>
      <c r="CS12" s="50"/>
      <c r="CU12" s="94">
        <v>9.1</v>
      </c>
      <c r="DM12" s="50"/>
      <c r="DO12" s="94">
        <v>9.1</v>
      </c>
      <c r="EG12" s="50"/>
      <c r="EI12" s="94">
        <v>9.1</v>
      </c>
      <c r="FA12" s="50"/>
      <c r="FC12" s="94">
        <v>9.1</v>
      </c>
      <c r="FU12" s="50"/>
      <c r="FW12" s="94">
        <v>9.1</v>
      </c>
      <c r="GO12" s="50"/>
      <c r="GQ12" s="94">
        <v>9.1</v>
      </c>
      <c r="HI12" s="50"/>
      <c r="HK12" s="94">
        <v>9.1</v>
      </c>
      <c r="IC12" s="50"/>
      <c r="IE12" s="94">
        <v>9.1</v>
      </c>
      <c r="IW12" s="50"/>
      <c r="IY12" s="94">
        <v>9.1</v>
      </c>
      <c r="JQ12" s="50"/>
      <c r="JS12" s="94">
        <v>9.1</v>
      </c>
      <c r="KK12" s="50"/>
      <c r="KM12" s="94">
        <v>9.1</v>
      </c>
    </row>
    <row r="13" spans="1:321" ht="17" x14ac:dyDescent="0.2">
      <c r="A13" s="50"/>
      <c r="B13" s="65" t="s">
        <v>48</v>
      </c>
      <c r="C13" s="49"/>
      <c r="N13" s="19"/>
      <c r="O13" s="19"/>
      <c r="P13" s="19"/>
      <c r="AH13" s="50"/>
      <c r="AJ13" s="59">
        <v>59.9</v>
      </c>
      <c r="BC13" s="50"/>
      <c r="BE13" s="59">
        <v>59.9</v>
      </c>
      <c r="BY13" s="50"/>
      <c r="CA13" s="59">
        <v>59.9</v>
      </c>
      <c r="CS13" s="50"/>
      <c r="CU13" s="78">
        <v>59.3</v>
      </c>
      <c r="DM13" s="50"/>
      <c r="DO13" s="78">
        <v>59.3</v>
      </c>
      <c r="EG13" s="50"/>
      <c r="EI13" s="78">
        <v>59.3</v>
      </c>
      <c r="FA13" s="50"/>
      <c r="FC13" s="78">
        <v>59.3</v>
      </c>
      <c r="FU13" s="50"/>
      <c r="FW13" s="78">
        <v>59.3</v>
      </c>
      <c r="GO13" s="50"/>
      <c r="GQ13" s="78">
        <v>59.3</v>
      </c>
      <c r="HI13" s="50"/>
      <c r="HK13" s="78">
        <v>59.3</v>
      </c>
      <c r="IC13" s="50"/>
      <c r="IE13" s="78">
        <v>59.3</v>
      </c>
      <c r="IW13" s="50"/>
      <c r="IY13" s="78">
        <v>59.3</v>
      </c>
      <c r="JQ13" s="50"/>
      <c r="JS13" s="78">
        <v>59.3</v>
      </c>
      <c r="KK13" s="50"/>
      <c r="KM13" s="78">
        <v>59.3</v>
      </c>
    </row>
    <row r="14" spans="1:321" ht="17" hidden="1" x14ac:dyDescent="0.2">
      <c r="A14" s="50"/>
      <c r="B14" s="66" t="s">
        <v>49</v>
      </c>
      <c r="C14" s="49"/>
      <c r="N14" s="19"/>
      <c r="O14" s="19"/>
      <c r="P14" s="19"/>
      <c r="AH14" s="50"/>
      <c r="AJ14" s="60">
        <v>1000</v>
      </c>
      <c r="BC14" s="50"/>
      <c r="BE14" s="60">
        <v>1000</v>
      </c>
      <c r="BY14" s="50"/>
      <c r="CA14" s="79">
        <v>1000</v>
      </c>
      <c r="CS14" s="50"/>
      <c r="CU14" s="79">
        <v>1000</v>
      </c>
      <c r="DM14" s="50"/>
      <c r="DO14" s="79">
        <v>1000</v>
      </c>
      <c r="EG14" s="50"/>
      <c r="EI14" s="79">
        <v>1000</v>
      </c>
      <c r="FA14" s="50"/>
      <c r="FC14" s="79">
        <v>1000</v>
      </c>
      <c r="FU14" s="50"/>
      <c r="FW14" s="79">
        <v>1000</v>
      </c>
      <c r="GO14" s="50"/>
      <c r="GQ14" s="79">
        <v>1000</v>
      </c>
      <c r="HI14" s="50"/>
      <c r="HK14" s="79">
        <v>1000</v>
      </c>
      <c r="IC14" s="50"/>
      <c r="IE14" s="79">
        <v>1000</v>
      </c>
      <c r="IW14" s="50"/>
      <c r="IY14" s="79">
        <v>1000</v>
      </c>
      <c r="JQ14" s="50"/>
      <c r="JS14" s="79">
        <v>1000</v>
      </c>
      <c r="KK14" s="50"/>
      <c r="KM14" s="79">
        <v>1000</v>
      </c>
    </row>
    <row r="15" spans="1:321" ht="17" x14ac:dyDescent="0.2">
      <c r="A15" s="50"/>
      <c r="B15" s="67" t="s">
        <v>67</v>
      </c>
      <c r="C15" s="49"/>
      <c r="N15" s="19"/>
      <c r="O15" s="19"/>
      <c r="P15" s="19"/>
      <c r="AH15" s="50"/>
      <c r="AJ15" s="61">
        <v>64</v>
      </c>
      <c r="BC15" s="50"/>
      <c r="BE15" s="61">
        <v>64</v>
      </c>
      <c r="BY15" s="50"/>
      <c r="CA15" s="61">
        <v>64</v>
      </c>
      <c r="CS15" s="50"/>
      <c r="CU15" s="80">
        <v>60</v>
      </c>
      <c r="DM15" s="50"/>
      <c r="DO15" s="80">
        <v>60</v>
      </c>
      <c r="EG15" s="50"/>
      <c r="EI15" s="80">
        <v>60</v>
      </c>
      <c r="FA15" s="50"/>
      <c r="FC15" s="80">
        <v>60</v>
      </c>
      <c r="FU15" s="50"/>
      <c r="FW15" s="80">
        <v>60</v>
      </c>
      <c r="GO15" s="50"/>
      <c r="GQ15" s="80">
        <v>60</v>
      </c>
      <c r="HI15" s="50"/>
      <c r="HK15" s="80">
        <v>60</v>
      </c>
      <c r="IC15" s="50"/>
      <c r="IE15" s="80">
        <v>60</v>
      </c>
      <c r="IW15" s="50"/>
      <c r="IY15" s="80">
        <v>60</v>
      </c>
      <c r="JQ15" s="50"/>
      <c r="JS15" s="80">
        <v>60</v>
      </c>
      <c r="KK15" s="50"/>
      <c r="KM15" s="80">
        <v>60</v>
      </c>
    </row>
    <row r="16" spans="1:321" ht="17" hidden="1" x14ac:dyDescent="0.2">
      <c r="A16" s="50"/>
      <c r="B16" s="68" t="s">
        <v>35</v>
      </c>
      <c r="C16" s="49"/>
      <c r="N16" s="19"/>
      <c r="O16" s="19"/>
      <c r="P16" s="19"/>
      <c r="AH16" s="50"/>
      <c r="AJ16" s="62">
        <v>1000</v>
      </c>
      <c r="BC16" s="50"/>
      <c r="BE16" s="62">
        <v>1000</v>
      </c>
      <c r="BY16" s="50"/>
      <c r="CA16" s="62">
        <v>1000</v>
      </c>
      <c r="CS16" s="50"/>
      <c r="CU16" s="81">
        <v>1000</v>
      </c>
      <c r="DM16" s="50"/>
      <c r="DO16" s="81">
        <v>1000</v>
      </c>
      <c r="EG16" s="50"/>
      <c r="EI16" s="81">
        <v>1000</v>
      </c>
      <c r="FA16" s="50"/>
      <c r="FC16" s="81">
        <v>1000</v>
      </c>
      <c r="FU16" s="50"/>
      <c r="FW16" s="81">
        <v>1000</v>
      </c>
      <c r="GO16" s="50"/>
      <c r="GQ16" s="81">
        <v>1000</v>
      </c>
      <c r="HI16" s="50"/>
      <c r="HK16" s="81">
        <v>1000</v>
      </c>
      <c r="IC16" s="50"/>
      <c r="IE16" s="81">
        <v>1000</v>
      </c>
      <c r="IW16" s="50"/>
      <c r="IY16" s="81">
        <v>1000</v>
      </c>
      <c r="JQ16" s="50"/>
      <c r="JS16" s="81">
        <v>1000</v>
      </c>
      <c r="KK16" s="50"/>
      <c r="KM16" s="81">
        <v>1000</v>
      </c>
    </row>
    <row r="17" spans="1:3" x14ac:dyDescent="0.2">
      <c r="B17" s="76" t="s">
        <v>55</v>
      </c>
      <c r="C17" s="3"/>
    </row>
    <row r="18" spans="1:3" x14ac:dyDescent="0.2">
      <c r="A18" s="50"/>
      <c r="B18" s="50"/>
      <c r="C18" s="49"/>
    </row>
    <row r="19" spans="1:3" x14ac:dyDescent="0.2">
      <c r="A19" s="50"/>
      <c r="B19" s="50"/>
      <c r="C19" s="49"/>
    </row>
    <row r="20" spans="1:3" x14ac:dyDescent="0.2">
      <c r="A20" s="50"/>
      <c r="B20" s="50"/>
      <c r="C20" s="49"/>
    </row>
    <row r="21" spans="1:3" x14ac:dyDescent="0.2">
      <c r="A21" s="7"/>
      <c r="B21" s="7"/>
      <c r="C21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8">
      <sortCondition descending="1" ref="F1:F7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8">
    <cfRule type="expression" dxfId="73" priority="31">
      <formula>IF($AG4&lt;&gt;"",1,0)</formula>
    </cfRule>
  </conditionalFormatting>
  <conditionalFormatting sqref="AL4:BF8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CA$12</formula>
      <formula>100</formula>
    </cfRule>
    <cfRule type="cellIs" dxfId="63" priority="12023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CA$16</formula>
      <formula>1000</formula>
    </cfRule>
    <cfRule type="cellIs" dxfId="61" priority="12095" operator="between">
      <formula>CA$15</formula>
      <formula>CA$16</formula>
    </cfRule>
    <cfRule type="cellIs" dxfId="60" priority="12096" operator="between">
      <formula>CA$14</formula>
      <formula>CA$15</formula>
    </cfRule>
    <cfRule type="cellIs" dxfId="59" priority="12097" operator="between">
      <formula>CA$13</formula>
      <formula>CA$14</formula>
    </cfRule>
  </conditionalFormatting>
  <conditionalFormatting sqref="AH1:AH1048576 BC1:BC1048576">
    <cfRule type="expression" dxfId="58" priority="13243">
      <formula>IF(AND(AH1&gt;=AJ$12,AH1&lt;1000,AG1=""),1,0)</formula>
    </cfRule>
    <cfRule type="expression" dxfId="57" priority="13244">
      <formula>IF(AND(AH1&gt;=AJ$11,AH1&lt;AJ$12,AG1=""),1,0)</formula>
    </cfRule>
  </conditionalFormatting>
  <conditionalFormatting sqref="BD1:BD1048576 AI1:AI1048576">
    <cfRule type="expression" dxfId="56" priority="13251">
      <formula>IF(AND(AI1&gt;=AJ$16,AI1&lt;1000,AG1=""),1,0)</formula>
    </cfRule>
    <cfRule type="expression" dxfId="55" priority="13252">
      <formula>IF(AND(AI1&gt;=AJ$15,AI1&lt;AJ$16,AG1=""),1,0)</formula>
    </cfRule>
    <cfRule type="expression" dxfId="54" priority="13253">
      <formula>IF(AND(AI1&gt;=AJ$14,AI1&lt;AJ$15,AG1=""),1,0)</formula>
    </cfRule>
    <cfRule type="expression" dxfId="53" priority="13254">
      <formula>IF(AND(AI1&gt;=AJ$13,AI1&lt;AJ$14,AG1=""),1,0)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65</v>
      </c>
      <c r="G1" s="119" t="s">
        <v>66</v>
      </c>
      <c r="H1" s="119" t="s">
        <v>8</v>
      </c>
      <c r="I1" s="112" t="s">
        <v>9</v>
      </c>
      <c r="J1" s="126" t="s">
        <v>69</v>
      </c>
      <c r="K1" s="114" t="s">
        <v>33</v>
      </c>
      <c r="L1" s="126" t="s">
        <v>68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119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64</v>
      </c>
      <c r="BJ1" s="118"/>
      <c r="BK1" s="124" t="s">
        <v>62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117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72"/>
      <c r="AH2" s="86" t="s">
        <v>25</v>
      </c>
      <c r="AI2" s="52" t="s">
        <v>74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73"/>
      <c r="BD2" s="87" t="s">
        <v>25</v>
      </c>
      <c r="BE2" s="87" t="s">
        <v>74</v>
      </c>
      <c r="BF2" s="13" t="s">
        <v>24</v>
      </c>
      <c r="BG2" s="13" t="s">
        <v>23</v>
      </c>
      <c r="BH2" s="13" t="s">
        <v>18</v>
      </c>
      <c r="BI2" s="22" t="s">
        <v>71</v>
      </c>
      <c r="BJ2" s="22" t="s">
        <v>70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74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74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74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74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74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8" t="s">
        <v>25</v>
      </c>
      <c r="GC2" s="88" t="s">
        <v>74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9" t="s">
        <v>25</v>
      </c>
      <c r="GX2" s="89" t="s">
        <v>74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8" t="s">
        <v>25</v>
      </c>
      <c r="HS2" s="88" t="s">
        <v>74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9" t="s">
        <v>25</v>
      </c>
      <c r="IN2" s="89" t="s">
        <v>74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8" t="s">
        <v>25</v>
      </c>
      <c r="JI2" s="88" t="s">
        <v>74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9" t="s">
        <v>25</v>
      </c>
      <c r="KD2" s="89" t="s">
        <v>74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8" t="s">
        <v>25</v>
      </c>
      <c r="KY2" s="88" t="s">
        <v>74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74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54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75</v>
      </c>
      <c r="C4" s="5" t="s">
        <v>5</v>
      </c>
      <c r="D4" s="6">
        <v>2003</v>
      </c>
      <c r="E4" s="16">
        <f>SUM(J4:N4)</f>
        <v>210.9</v>
      </c>
      <c r="F4" s="4" t="str">
        <f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/>
      </c>
      <c r="H4" s="4" t="str">
        <f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Excellence</v>
      </c>
      <c r="J4" s="15">
        <f>IF(MAX(AL4,BH4)&gt;0,MAX(AL4,BH4),"")</f>
        <v>140.5</v>
      </c>
      <c r="K4" s="15" t="str">
        <f>IF(J4="","",IF(J4=BH4,$AM$1,IF(J4=AL4,$Q$1,"")))</f>
        <v>2019 Elite Canada</v>
      </c>
      <c r="L4" s="15">
        <f>IF(J4=AL4,IF(MAX(BF4,BG4)&gt;0,MAX(BF4,BG4),""),IF(J4=BH4,IF(MAX(AJ4,AK4)&gt;0,MAX(AJ4,AK4),""),MAX(AJ4,AK4,BF4,BG4)))</f>
        <v>70.400000000000006</v>
      </c>
      <c r="M4" s="15" t="str">
        <f>IF(L4="","",IF(AND(J4&lt;&gt;BH4,OR(L4=BG4,L4=BF4)),$AM$1,IF(OR(L4=AK4,L4=AJ4),$Q$1,"")))</f>
        <v>2018 Nationals</v>
      </c>
      <c r="N4" s="15" t="str">
        <f>IF(MAX(BI4:BJ4)&gt;0,MAX(BI4:BJ4),"")</f>
        <v/>
      </c>
      <c r="O4" s="25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28.5</v>
      </c>
      <c r="R4" s="63">
        <v>7.6</v>
      </c>
      <c r="S4" s="63">
        <v>0.9</v>
      </c>
      <c r="T4" s="63">
        <v>0</v>
      </c>
      <c r="U4" s="63">
        <v>27.9</v>
      </c>
      <c r="V4" s="63">
        <v>6.8</v>
      </c>
      <c r="W4" s="63">
        <v>0</v>
      </c>
      <c r="X4" s="63">
        <v>0</v>
      </c>
      <c r="Y4" s="63">
        <v>28.5</v>
      </c>
      <c r="Z4" s="63">
        <v>7.2</v>
      </c>
      <c r="AA4" s="63">
        <v>0</v>
      </c>
      <c r="AB4" s="63">
        <v>0</v>
      </c>
      <c r="AC4" s="63">
        <v>27.9</v>
      </c>
      <c r="AD4" s="63">
        <v>6.8</v>
      </c>
      <c r="AE4" s="63">
        <v>0</v>
      </c>
      <c r="AF4" s="63">
        <v>0</v>
      </c>
      <c r="AG4" s="74"/>
      <c r="AH4" s="12">
        <f>IF(SUM(R4,V4)&gt;0,SUM(R4,V4),"")</f>
        <v>14.399999999999999</v>
      </c>
      <c r="AI4" s="12">
        <f>IF(SUM(R4,V4,Z4,AD4)&gt;0,SUM(R4,V4,Z4,AD4),"")</f>
        <v>28.4</v>
      </c>
      <c r="AJ4" s="12">
        <f>IF(SUM(Q4:R4,T4:V4,X4)-SUM(S4,W4)&gt;0,SUM(Q4:R4,T4:V4,X4)-SUM(S4,W4),"")</f>
        <v>69.899999999999991</v>
      </c>
      <c r="AK4" s="12">
        <f>IF(SUM(Y4:Z4,AB4:AD4,AF4)-SUM(AA4,AE4)&gt;0,SUM(Y4:Z4,AB4:AD4,AF4)-SUM(AA4,AE4),"")</f>
        <v>70.400000000000006</v>
      </c>
      <c r="AL4" s="12">
        <f>IF(SUM(AJ4,AK4)&gt;0,SUM(AJ4,AK4),"")</f>
        <v>140.30000000000001</v>
      </c>
      <c r="AM4" s="37">
        <v>28.3</v>
      </c>
      <c r="AN4" s="37">
        <v>7.6</v>
      </c>
      <c r="AO4" s="37">
        <v>0</v>
      </c>
      <c r="AP4" s="37">
        <v>0</v>
      </c>
      <c r="AQ4" s="37">
        <v>28</v>
      </c>
      <c r="AR4" s="37">
        <v>7.2</v>
      </c>
      <c r="AS4" s="37">
        <v>0</v>
      </c>
      <c r="AT4" s="37">
        <v>0</v>
      </c>
      <c r="AU4" s="37">
        <v>27.1</v>
      </c>
      <c r="AV4" s="37">
        <v>7.6</v>
      </c>
      <c r="AW4" s="37">
        <v>0.3</v>
      </c>
      <c r="AX4" s="37">
        <v>0</v>
      </c>
      <c r="AY4" s="37">
        <v>28.2</v>
      </c>
      <c r="AZ4" s="37">
        <v>6.8</v>
      </c>
      <c r="BA4" s="37">
        <v>0</v>
      </c>
      <c r="BB4" s="37">
        <v>0</v>
      </c>
      <c r="BC4" s="75"/>
      <c r="BD4" s="15">
        <f>IF(SUM(AN4,AR4)&gt;0,SUM(AN4,AR4),"")</f>
        <v>14.8</v>
      </c>
      <c r="BE4" s="15">
        <f>IF(SUM(AN4,AR4,AV4,AZ4)&gt;0,SUM(AN4,AR4,AV4,AZ4),"")</f>
        <v>29.2</v>
      </c>
      <c r="BF4" s="15">
        <f>IF(SUM(AM4:AN4,AP4:AR4,AT4)-SUM(AO4,AS4)&gt;0,SUM(AM4:AN4,AP4:AR4,AT4)-SUM(AO4,AS4),"")</f>
        <v>71.099999999999994</v>
      </c>
      <c r="BG4" s="15">
        <f>IF(SUM(AU4:AV4,AX4:AZ4,BB4)-SUM(AW4,BA4)&gt;0,SUM(AU4:AV4,AX4:AZ4,BB4)-SUM(AW4,BA4),"")</f>
        <v>69.400000000000006</v>
      </c>
      <c r="BH4" s="15">
        <f>IF(SUM(BF4,BG4)&gt;0,SUM(BF4,BG4),"")</f>
        <v>140.5</v>
      </c>
      <c r="BI4" s="24" t="str">
        <f>IF(MAX(CE4,CZ4,DU4,EP4,FK4,GF4,HA4,HV4,IQ4,JL4,KG4,LB4)-IF(J4="",0,J4)&gt;0.001,MAX(CE4,CZ4,DU4,EP4,FK4,GF4,HA4,HV4,IQ4,JL4,KG4,LB4)-IF(J4="",0,J4),"")</f>
        <v/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6.8</v>
      </c>
      <c r="BM4" s="41">
        <v>0</v>
      </c>
      <c r="BN4" s="41">
        <v>0</v>
      </c>
      <c r="BO4" s="41">
        <v>27.2</v>
      </c>
      <c r="BP4" s="41">
        <v>6.8</v>
      </c>
      <c r="BQ4" s="41">
        <v>0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>IF(SUM(BL4,BP4)&gt;0,SUM(BL4,BP4),"")</f>
        <v>13.6</v>
      </c>
      <c r="CB4" s="12">
        <f>IF(SUM(BL4,BP4,BT4,BX4)&gt;0,SUM(BL4,BP4,BT4,BX4),"")</f>
        <v>13.6</v>
      </c>
      <c r="CC4" s="12">
        <f>IF(SUM(BK4:BL4,BN4:BP4,BR4)-SUM(BM4,BQ4)&gt;0,SUM(BK4:BL4,BN4:BP4,BR4)-SUM(BM4,BQ4),"")</f>
        <v>68.5</v>
      </c>
      <c r="CD4" s="12" t="str">
        <f>IF(SUM(BS4:BT4,BV4:BX4,BZ4)-SUM(BU4,BY4)&gt;0,SUM(BS4:BT4,BV4:BX4,BZ4)-SUM(BU4,BY4),"")</f>
        <v/>
      </c>
      <c r="CE4" s="12">
        <f>IF(SUM(CC4,CD4)&gt;0,SUM(CC4,CD4),"")</f>
        <v>68.5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28.4</v>
      </c>
      <c r="LD4" s="63">
        <f t="shared" ref="LD4:LR13" si="0">IF($BC4="P",AN4,(R4+AN4)/2)</f>
        <v>7.6</v>
      </c>
      <c r="LE4" s="63">
        <f t="shared" si="0"/>
        <v>0.45</v>
      </c>
      <c r="LF4" s="63">
        <f t="shared" si="0"/>
        <v>0</v>
      </c>
      <c r="LG4" s="63">
        <f t="shared" si="0"/>
        <v>27.95</v>
      </c>
      <c r="LH4" s="63">
        <f t="shared" si="0"/>
        <v>7</v>
      </c>
      <c r="LI4" s="63">
        <f t="shared" si="0"/>
        <v>0</v>
      </c>
      <c r="LJ4" s="63">
        <f t="shared" si="0"/>
        <v>0</v>
      </c>
      <c r="LK4" s="63">
        <f t="shared" si="0"/>
        <v>27.8</v>
      </c>
      <c r="LL4" s="63">
        <f t="shared" si="0"/>
        <v>7.4</v>
      </c>
      <c r="LM4" s="63">
        <f t="shared" si="0"/>
        <v>0.15</v>
      </c>
      <c r="LN4" s="63">
        <f t="shared" si="0"/>
        <v>0</v>
      </c>
      <c r="LO4" s="63">
        <f t="shared" si="0"/>
        <v>28.049999999999997</v>
      </c>
      <c r="LP4" s="63">
        <f t="shared" si="0"/>
        <v>6.8</v>
      </c>
      <c r="LQ4" s="63">
        <f t="shared" si="0"/>
        <v>0</v>
      </c>
      <c r="LR4" s="63">
        <f t="shared" si="0"/>
        <v>0</v>
      </c>
      <c r="LS4" s="74" t="s">
        <v>116</v>
      </c>
      <c r="LT4" s="12">
        <f t="shared" ref="LT4" si="1">IF(SUM(LD4,LH4)&gt;0,SUM(LD4,LH4),"")</f>
        <v>14.6</v>
      </c>
      <c r="LU4" s="12">
        <f t="shared" ref="LU4" si="2">IF(SUM(LD4,LH4,LL4,LP4)&gt;0,SUM(LD4,LH4,LL4,LP4),"")</f>
        <v>28.8</v>
      </c>
      <c r="LV4" s="12">
        <f t="shared" ref="LV4" si="3">IF(SUM(LC4:LD4,LF4:LH4,LJ4)-SUM(LE4,LI4)&gt;0,SUM(LC4:LD4,LF4:LH4,LJ4)-SUM(LE4,LI4),"")</f>
        <v>70.5</v>
      </c>
      <c r="LW4" s="12">
        <f t="shared" ref="LW4" si="4">IF(SUM(LK4:LL4,LN4:LP4,LR4)-SUM(LM4,LQ4)&gt;0,SUM(LK4:LL4,LN4:LP4,LR4)-SUM(LM4,LQ4),"")</f>
        <v>69.899999999999991</v>
      </c>
      <c r="LX4" s="12">
        <f t="shared" ref="LX4" si="5">IF(SUM(LV4,LW4)&gt;0,SUM(LV4,LW4),"")</f>
        <v>140.39999999999998</v>
      </c>
    </row>
    <row r="5" spans="1:336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111</v>
      </c>
      <c r="C5" s="5" t="s">
        <v>3</v>
      </c>
      <c r="D5" s="6">
        <v>2003</v>
      </c>
      <c r="E5" s="16">
        <f>SUM(J5:N5)</f>
        <v>210.39999999999998</v>
      </c>
      <c r="F5" s="4" t="str">
        <f>IF(OR(AND(AH5&gt;=AK$16,AJ5&gt;=AK$19,AJ5&lt;&gt;"",AG5=""),AND(BD5&gt;=BG$16,BF5&gt;=BG$19,BF5&lt;&gt;"",BC5=""),AND(CA5&gt;=CD$16,CC5&gt;=CD$19,CC5&lt;&gt;""),AND(CV5&gt;=CY$16,CX5&gt;=CY$19,CX5&lt;&gt;""),AND(DQ5&gt;=DT$16,DS5&gt;=DT$19,DS5&lt;&gt;""),AND(EL5&gt;=EO$16,EN5&gt;=EO$19,EN5&lt;&gt;""),AND(FG5&gt;=FJ$16,FI5&gt;=FJ$19,FI5&lt;&gt;""),AND(GB5&gt;=GE$16,GD5&gt;=GE$19,GD5&lt;&gt;""),AND(GW5&gt;=GZ$16,GY5&gt;=GZ$19,GY5&lt;&gt;""),AND(HR5&gt;=HU$16,HT5&gt;=HU$19,HT5&lt;&gt;""),AND(IM5&gt;=IP$16,IO5&gt;=IP$19,IO5&lt;&gt;""),AND(JH5&gt;=JK$16,JJ5&gt;=JK$19,JJ5&lt;&gt;""),AND(KC5&gt;=KF$16,KE5&gt;=KF$19,KE5&lt;&gt;""),AND(KX5&gt;=LA$16,KZ5&gt;=LA$19,KZ5&lt;&gt;"")),"P","")</f>
        <v>P</v>
      </c>
      <c r="G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/>
      </c>
      <c r="H5" s="4" t="str">
        <f>IF(OR(AND(AJ5&gt;=AK$19,AJ5&lt;&gt;"",AG5=""),AND(BF5&gt;=BG$19,BF5&lt;&gt;"",BC5=""),AND(CC5&gt;=CD$19,CC5&lt;&gt;""),AND(CX5&gt;=CY$19,CX5&lt;&gt;""),AND(DS5&gt;=DT$19,DS5&lt;&gt;""),AND(EN5&gt;=EO$19,EN5&lt;&gt;""),AND(FI5&gt;=FJ$19,FI5&lt;&gt;""),AND(GD5&gt;=GE$19,GD5&lt;&gt;""),AND(GY5&gt;=GZ$19,GY5&lt;&gt;""),AND(HT5&gt;=HU$19,HT5&lt;&gt;""),AND(IO5&gt;=IP$19,IO5&lt;&gt;""),AND(JJ5&gt;=JK$19,JJ5&lt;&gt;""),AND(KE5&gt;=KF$19,KE5&lt;&gt;""),AND(KZ5&gt;=LA$19,KZ5&lt;&gt;"")),"P","")</f>
        <v>P</v>
      </c>
      <c r="I5" t="str">
        <f>IF(AND(H5="P",F5=""),"No DD",IF(OR(AND(AI5&gt;=AK$18,AI5&lt;&gt;"",AL5&gt;=AK$22,AL5&lt;&gt;"",AG5=""),AND(BE5&gt;=BG$18,BE5&lt;&gt;"",BH5&gt;=BG$22,BH5&lt;&gt;"",BC5=""),AND(CB5&gt;=CD$18,CB5&lt;&gt;"",CE5&gt;=CD$22,CE5&lt;&gt;""),AND(CW5&gt;=CY$18,CW5&lt;&gt;"",CZ5&gt;=CY$22,CZ5&lt;&gt;""),AND(DR5&gt;=DT$18,DR5&lt;&gt;"",DU5&gt;=DT$22,DU5&lt;&gt;""),AND(EM5&gt;=EO$18,EM5&lt;&gt;"",EP5&gt;=EO$22,EP5&lt;&gt;""),AND(FH5&gt;=FJ$18,FH5&lt;&gt;"",FK5&gt;=FJ$22,FK5&lt;&gt;""),AND(GC5&gt;=GE$18,GC5&lt;&gt;"",GF5&gt;=GE$22,GF5&lt;&gt;""),AND(GX5&gt;=GZ$18,GX5&lt;&gt;"",HA5&gt;=GZ$22,HA5&lt;&gt;""),AND(HS5&gt;=HU$18,HS5&lt;&gt;"",HV5&gt;=HU$22,HV5&lt;&gt;""),AND(IN5&gt;=IP$18,IN5&lt;&gt;"",IQ5&gt;=IP$22,IQ5&lt;&gt;""),AND(JI5&gt;=JK$18,JI5&lt;&gt;"",JL5&gt;=JK$22,JL5&lt;&gt;""),AND(KD5&gt;=KF$18,KD5&lt;&gt;"",KG5&gt;=KF$22,KG5&lt;&gt;""),AND(KY5&gt;=LA$18,KY5&lt;&gt;"",LB5&gt;=LA$22,LB5&lt;&gt;"")),"Merit",IF(OR(AND(AI5&gt;=AK$18,AI5&lt;&gt;"",AL5&gt;=AK$21,AL5&lt;&gt;"",AG5=""),AND(BE5&gt;=BG$18,BE5&lt;&gt;"",BH5&gt;=BG$21,BH5&lt;&gt;"",BC5=""),AND(CB5&gt;=CD$18,CB5&lt;&gt;"",CE5&gt;=CD$21,CE5&lt;&gt;""),AND(CW5&gt;=CY$18,CW5&lt;&gt;"",CZ5&gt;=CY$21,CZ5&lt;&gt;""),AND(DR5&gt;=DT$18,DR5&lt;&gt;"",DU5&gt;=DT$21,DU5&lt;&gt;""),AND(EM5&gt;=EO$18,EM5&lt;&gt;"",EP5&gt;=EO$21,EP5&lt;&gt;""),AND(FH5&gt;=FJ$18,FH5&lt;&gt;"",FK5&gt;=FJ$21,FK5&lt;&gt;""),AND(GC5&gt;=GE$18,GC5&lt;&gt;"",GF5&gt;=GE$21,GF5&lt;&gt;""),AND(GX5&gt;=GZ$18,GX5&lt;&gt;"",HA5&gt;=GZ$21,HA5&lt;&gt;""),AND(HS5&gt;=HU$18,HS5&lt;&gt;"",HV5&gt;=HU$21,HV5&lt;&gt;""),AND(IN5&gt;=IP$18,IN5&lt;&gt;"",IQ5&gt;=IP$21,IQ5&lt;&gt;""),AND(JI5&gt;=JK$18,JI5&lt;&gt;"",JL5&gt;=JK$21,JL5&lt;&gt;""),AND(KD5&gt;=KF$18,KD5&lt;&gt;"",KG5&gt;=KF$21,KG5&lt;&gt;""),AND(KY5&gt;=LA$18,KY5&lt;&gt;"",LB5&gt;=LA$21,LB5&lt;&gt;"")),"Excellence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Worlds Team",IF(OR(AND(AH5&gt;=AK$16,AH5&lt;&gt;"",AJ5&gt;=AK$19,AJ5&lt;&gt;"",AG5=""),AND(BD5&gt;=BG$16,BD5&lt;&gt;"",BF5&gt;=BG$19,BF5&lt;&gt;"",BC5=""),AND(CA5&gt;=CD$16,CA5&lt;&gt;"",CC5&gt;=CD$19,CC5&lt;&gt;""),AND(CV5&gt;=CY$16,CV5&lt;&gt;"",CX5&gt;=CY$19,CX5&lt;&gt;""),AND(DQ5&gt;=DT$16,DQ5&lt;&gt;"",DS5&gt;=DT$19,DS5&lt;&gt;""),AND(EL5&gt;=EO$16,EL5&lt;&gt;"",EN5&gt;=EO$19,EN5&lt;&gt;""),AND(FG5&gt;=FJ$16,FG5&lt;&gt;"",FI5&gt;=FJ$19,FI5&lt;&gt;""),AND(GB5&gt;=GE$16,GB5&lt;&gt;"",GD5&gt;=GE$19,GD5&lt;&gt;""),AND(GW5&gt;=GZ$16,GW5&lt;&gt;"",GY5&gt;=GZ$19,GY5&lt;&gt;""),AND(HR5&gt;=HU$16,HR5&lt;&gt;"",HT5&gt;=HU$19,HT5&lt;&gt;""),AND(IM5&gt;=IP$16,IM5&lt;&gt;"",IO5&gt;=IP$19,IO5&lt;&gt;""),AND(JH5&gt;=JK$16,JH5&lt;&gt;"",JJ5&gt;=JK$19,JJ5&lt;&gt;""),AND(KC5&gt;=KF$16,KC5&lt;&gt;"",KE5&gt;=KF$19,KE5&lt;&gt;""),AND(KX5&gt;=LA$16,KX5&lt;&gt;"",KZ5&gt;=LA$19,KZ5&lt;&gt;"")),"National Team","")))))</f>
        <v>Excellence</v>
      </c>
      <c r="J5" s="15">
        <f>IF(MAX(AL5,BH5)&gt;0,MAX(AL5,BH5),"")</f>
        <v>140.19999999999999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70.2</v>
      </c>
      <c r="M5" s="15" t="str">
        <f>IF(L5="","",IF(AND(J5&lt;&gt;BH5,OR(L5=BG5,L5=BF5)),$AM$1,IF(OR(L5=AK5,L5=AJ5),$Q$1,"")))</f>
        <v>2018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28.6</v>
      </c>
      <c r="R5" s="63">
        <v>6.8</v>
      </c>
      <c r="S5" s="63">
        <v>0</v>
      </c>
      <c r="T5" s="63">
        <v>0</v>
      </c>
      <c r="U5" s="63">
        <v>28.4</v>
      </c>
      <c r="V5" s="63">
        <v>6.4</v>
      </c>
      <c r="W5" s="63">
        <v>0</v>
      </c>
      <c r="X5" s="63">
        <v>0</v>
      </c>
      <c r="Y5" s="63">
        <v>27.7</v>
      </c>
      <c r="Z5" s="63">
        <v>6.8</v>
      </c>
      <c r="AA5" s="63">
        <v>0.9</v>
      </c>
      <c r="AB5" s="63">
        <v>0</v>
      </c>
      <c r="AC5" s="63">
        <v>28.3</v>
      </c>
      <c r="AD5" s="63">
        <v>6</v>
      </c>
      <c r="AE5" s="63">
        <v>0</v>
      </c>
      <c r="AF5" s="63">
        <v>0</v>
      </c>
      <c r="AG5" s="74"/>
      <c r="AH5" s="12">
        <f>IF(SUM(R5,V5)&gt;0,SUM(R5,V5),"")</f>
        <v>13.2</v>
      </c>
      <c r="AI5" s="12">
        <f>IF(SUM(R5,V5,Z5,AD5)&gt;0,SUM(R5,V5,Z5,AD5),"")</f>
        <v>26</v>
      </c>
      <c r="AJ5" s="12">
        <f>IF(SUM(Q5:R5,T5:V5,X5)-SUM(S5,W5)&gt;0,SUM(Q5:R5,T5:V5,X5)-SUM(S5,W5),"")</f>
        <v>70.2</v>
      </c>
      <c r="AK5" s="12">
        <f>IF(SUM(Y5:Z5,AB5:AD5,AF5)-SUM(AA5,AE5)&gt;0,SUM(Y5:Z5,AB5:AD5,AF5)-SUM(AA5,AE5),"")</f>
        <v>67.899999999999991</v>
      </c>
      <c r="AL5" s="12">
        <f>IF(SUM(AJ5,AK5)&gt;0,SUM(AJ5,AK5),"")</f>
        <v>138.1</v>
      </c>
      <c r="AM5" s="37">
        <v>28.5</v>
      </c>
      <c r="AN5" s="37">
        <v>7.2</v>
      </c>
      <c r="AO5" s="37">
        <v>0</v>
      </c>
      <c r="AP5" s="37">
        <v>0</v>
      </c>
      <c r="AQ5" s="37">
        <v>28.4</v>
      </c>
      <c r="AR5" s="37">
        <v>7.2</v>
      </c>
      <c r="AS5" s="37">
        <v>0</v>
      </c>
      <c r="AT5" s="37">
        <v>0</v>
      </c>
      <c r="AU5" s="37">
        <v>27.2</v>
      </c>
      <c r="AV5" s="37">
        <v>7.6</v>
      </c>
      <c r="AW5" s="37">
        <v>0</v>
      </c>
      <c r="AX5" s="37">
        <v>0</v>
      </c>
      <c r="AY5" s="37">
        <v>27.4</v>
      </c>
      <c r="AZ5" s="37">
        <v>7.6</v>
      </c>
      <c r="BA5" s="37">
        <v>0.9</v>
      </c>
      <c r="BB5" s="37">
        <v>0</v>
      </c>
      <c r="BC5" s="75"/>
      <c r="BD5" s="15">
        <f>IF(SUM(AN5,AR5)&gt;0,SUM(AN5,AR5),"")</f>
        <v>14.4</v>
      </c>
      <c r="BE5" s="15">
        <f>IF(SUM(AN5,AR5,AV5,AZ5)&gt;0,SUM(AN5,AR5,AV5,AZ5),"")</f>
        <v>29.6</v>
      </c>
      <c r="BF5" s="15">
        <f>IF(SUM(AM5:AN5,AP5:AR5,AT5)-SUM(AO5,AS5)&gt;0,SUM(AM5:AN5,AP5:AR5,AT5)-SUM(AO5,AS5),"")</f>
        <v>71.3</v>
      </c>
      <c r="BG5" s="15">
        <f>IF(SUM(AU5:AV5,AX5:AZ5,BB5)-SUM(AW5,BA5)&gt;0,SUM(AU5:AV5,AX5:AZ5,BB5)-SUM(AW5,BA5),"")</f>
        <v>68.899999999999991</v>
      </c>
      <c r="BH5" s="15">
        <f>IF(SUM(BF5,BG5)&gt;0,SUM(BF5,BG5),"")</f>
        <v>140.19999999999999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27.7</v>
      </c>
      <c r="BL5" s="41">
        <v>7.2</v>
      </c>
      <c r="BM5" s="41">
        <v>0.9</v>
      </c>
      <c r="BN5" s="41">
        <v>0</v>
      </c>
      <c r="BO5" s="41">
        <v>27.7</v>
      </c>
      <c r="BP5" s="41">
        <v>6.8</v>
      </c>
      <c r="BQ5" s="41">
        <v>1.2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>IF(SUM(BL5,BP5)&gt;0,SUM(BL5,BP5),"")</f>
        <v>14</v>
      </c>
      <c r="CB5" s="12">
        <f>IF(SUM(BL5,BP5,BT5,BX5)&gt;0,SUM(BL5,BP5,BT5,BX5),"")</f>
        <v>14</v>
      </c>
      <c r="CC5" s="12">
        <f>IF(SUM(BK5:BL5,BN5:BP5,BR5)-SUM(BM5,BQ5)&gt;0,SUM(BK5:BL5,BN5:BP5,BR5)-SUM(BM5,BQ5),"")</f>
        <v>67.3</v>
      </c>
      <c r="CD5" s="12" t="str">
        <f>IF(SUM(BS5:BT5,BV5:BX5,BZ5)-SUM(BU5,BY5)&gt;0,SUM(BS5:BT5,BV5:BX5,BZ5)-SUM(BU5,BY5),"")</f>
        <v/>
      </c>
      <c r="CE5" s="12">
        <f>IF(SUM(CC5,CD5)&gt;0,SUM(CC5,CD5),"")</f>
        <v>67.3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13" si="6">IF($BC5="P",AM5,(Q5+AM5)/2)</f>
        <v>28.55</v>
      </c>
      <c r="LD5" s="63">
        <f t="shared" si="0"/>
        <v>7</v>
      </c>
      <c r="LE5" s="63">
        <f t="shared" si="0"/>
        <v>0</v>
      </c>
      <c r="LF5" s="63">
        <f t="shared" si="0"/>
        <v>0</v>
      </c>
      <c r="LG5" s="63">
        <f t="shared" si="0"/>
        <v>28.4</v>
      </c>
      <c r="LH5" s="63">
        <f t="shared" si="0"/>
        <v>6.8000000000000007</v>
      </c>
      <c r="LI5" s="63">
        <f t="shared" si="0"/>
        <v>0</v>
      </c>
      <c r="LJ5" s="63">
        <f t="shared" si="0"/>
        <v>0</v>
      </c>
      <c r="LK5" s="63">
        <f t="shared" si="0"/>
        <v>27.45</v>
      </c>
      <c r="LL5" s="63">
        <f t="shared" si="0"/>
        <v>7.1999999999999993</v>
      </c>
      <c r="LM5" s="63">
        <f t="shared" si="0"/>
        <v>0.45</v>
      </c>
      <c r="LN5" s="63">
        <f t="shared" si="0"/>
        <v>0</v>
      </c>
      <c r="LO5" s="63">
        <f t="shared" si="0"/>
        <v>27.85</v>
      </c>
      <c r="LP5" s="63">
        <f t="shared" si="0"/>
        <v>6.8</v>
      </c>
      <c r="LQ5" s="63">
        <f t="shared" si="0"/>
        <v>0.45</v>
      </c>
      <c r="LR5" s="63">
        <f t="shared" si="0"/>
        <v>0</v>
      </c>
      <c r="LS5" s="74" t="s">
        <v>116</v>
      </c>
      <c r="LT5" s="12">
        <f t="shared" ref="LT5:LT12" si="7">IF(SUM(LD5,LH5)&gt;0,SUM(LD5,LH5),"")</f>
        <v>13.8</v>
      </c>
      <c r="LU5" s="12">
        <f t="shared" ref="LU5:LU12" si="8">IF(SUM(LD5,LH5,LL5,LP5)&gt;0,SUM(LD5,LH5,LL5,LP5),"")</f>
        <v>27.8</v>
      </c>
      <c r="LV5" s="12">
        <f t="shared" ref="LV5:LV12" si="9">IF(SUM(LC5:LD5,LF5:LH5,LJ5)-SUM(LE5,LI5)&gt;0,SUM(LC5:LD5,LF5:LH5,LJ5)-SUM(LE5,LI5),"")</f>
        <v>70.75</v>
      </c>
      <c r="LW5" s="12">
        <f t="shared" ref="LW5:LW12" si="10">IF(SUM(LK5:LL5,LN5:LP5,LR5)-SUM(LM5,LQ5)&gt;0,SUM(LK5:LL5,LN5:LP5,LR5)-SUM(LM5,LQ5),"")</f>
        <v>68.399999999999991</v>
      </c>
      <c r="LX5" s="12">
        <f t="shared" ref="LX5:LX12" si="11">IF(SUM(LV5,LW5)&gt;0,SUM(LV5,LW5),"")</f>
        <v>139.14999999999998</v>
      </c>
    </row>
    <row r="6" spans="1:336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81</v>
      </c>
      <c r="C6" s="5" t="s">
        <v>5</v>
      </c>
      <c r="D6" s="6">
        <v>2001</v>
      </c>
      <c r="E6" s="16">
        <f>SUM(J6:N6)</f>
        <v>205.8</v>
      </c>
      <c r="F6" s="4" t="str">
        <f>IF(OR(AND(AH6&gt;=AK$16,AJ6&gt;=AK$19,AJ6&lt;&gt;"",AG6=""),AND(BD6&gt;=BG$16,BF6&gt;=BG$19,BF6&lt;&gt;"",BC6=""),AND(CA6&gt;=CD$16,CC6&gt;=CD$19,CC6&lt;&gt;""),AND(CV6&gt;=CY$16,CX6&gt;=CY$19,CX6&lt;&gt;""),AND(DQ6&gt;=DT$16,DS6&gt;=DT$19,DS6&lt;&gt;""),AND(EL6&gt;=EO$16,EN6&gt;=EO$19,EN6&lt;&gt;""),AND(FG6&gt;=FJ$16,FI6&gt;=FJ$19,FI6&lt;&gt;""),AND(GB6&gt;=GE$16,GD6&gt;=GE$19,GD6&lt;&gt;""),AND(GW6&gt;=GZ$16,GY6&gt;=GZ$19,GY6&lt;&gt;""),AND(HR6&gt;=HU$16,HT6&gt;=HU$19,HT6&lt;&gt;""),AND(IM6&gt;=IP$16,IO6&gt;=IP$19,IO6&lt;&gt;""),AND(JH6&gt;=JK$16,JJ6&gt;=JK$19,JJ6&lt;&gt;""),AND(KC6&gt;=KF$16,KE6&gt;=KF$19,KE6&lt;&gt;""),AND(KX6&gt;=LA$16,KZ6&gt;=LA$19,KZ6&lt;&gt;"")),"P","")</f>
        <v>P</v>
      </c>
      <c r="G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/>
      </c>
      <c r="H6" s="4" t="str">
        <f>IF(OR(AND(AJ6&gt;=AK$19,AJ6&lt;&gt;"",AG6=""),AND(BF6&gt;=BG$19,BF6&lt;&gt;"",BC6=""),AND(CC6&gt;=CD$19,CC6&lt;&gt;""),AND(CX6&gt;=CY$19,CX6&lt;&gt;""),AND(DS6&gt;=DT$19,DS6&lt;&gt;""),AND(EN6&gt;=EO$19,EN6&lt;&gt;""),AND(FI6&gt;=FJ$19,FI6&lt;&gt;""),AND(GD6&gt;=GE$19,GD6&lt;&gt;""),AND(GY6&gt;=GZ$19,GY6&lt;&gt;""),AND(HT6&gt;=HU$19,HT6&lt;&gt;""),AND(IO6&gt;=IP$19,IO6&lt;&gt;""),AND(JJ6&gt;=JK$19,JJ6&lt;&gt;""),AND(KE6&gt;=KF$19,KE6&lt;&gt;""),AND(KZ6&gt;=LA$19,KZ6&lt;&gt;"")),"P","")</f>
        <v>P</v>
      </c>
      <c r="I6" t="str">
        <f>IF(AND(H6="P",F6=""),"No DD",IF(OR(AND(AI6&gt;=AK$18,AI6&lt;&gt;"",AL6&gt;=AK$22,AL6&lt;&gt;"",AG6=""),AND(BE6&gt;=BG$18,BE6&lt;&gt;"",BH6&gt;=BG$22,BH6&lt;&gt;"",BC6=""),AND(CB6&gt;=CD$18,CB6&lt;&gt;"",CE6&gt;=CD$22,CE6&lt;&gt;""),AND(CW6&gt;=CY$18,CW6&lt;&gt;"",CZ6&gt;=CY$22,CZ6&lt;&gt;""),AND(DR6&gt;=DT$18,DR6&lt;&gt;"",DU6&gt;=DT$22,DU6&lt;&gt;""),AND(EM6&gt;=EO$18,EM6&lt;&gt;"",EP6&gt;=EO$22,EP6&lt;&gt;""),AND(FH6&gt;=FJ$18,FH6&lt;&gt;"",FK6&gt;=FJ$22,FK6&lt;&gt;""),AND(GC6&gt;=GE$18,GC6&lt;&gt;"",GF6&gt;=GE$22,GF6&lt;&gt;""),AND(GX6&gt;=GZ$18,GX6&lt;&gt;"",HA6&gt;=GZ$22,HA6&lt;&gt;""),AND(HS6&gt;=HU$18,HS6&lt;&gt;"",HV6&gt;=HU$22,HV6&lt;&gt;""),AND(IN6&gt;=IP$18,IN6&lt;&gt;"",IQ6&gt;=IP$22,IQ6&lt;&gt;""),AND(JI6&gt;=JK$18,JI6&lt;&gt;"",JL6&gt;=JK$22,JL6&lt;&gt;""),AND(KD6&gt;=KF$18,KD6&lt;&gt;"",KG6&gt;=KF$22,KG6&lt;&gt;""),AND(KY6&gt;=LA$18,KY6&lt;&gt;"",LB6&gt;=LA$22,LB6&lt;&gt;"")),"Merit",IF(OR(AND(AI6&gt;=AK$18,AI6&lt;&gt;"",AL6&gt;=AK$21,AL6&lt;&gt;"",AG6=""),AND(BE6&gt;=BG$18,BE6&lt;&gt;"",BH6&gt;=BG$21,BH6&lt;&gt;"",BC6=""),AND(CB6&gt;=CD$18,CB6&lt;&gt;"",CE6&gt;=CD$21,CE6&lt;&gt;""),AND(CW6&gt;=CY$18,CW6&lt;&gt;"",CZ6&gt;=CY$21,CZ6&lt;&gt;""),AND(DR6&gt;=DT$18,DR6&lt;&gt;"",DU6&gt;=DT$21,DU6&lt;&gt;""),AND(EM6&gt;=EO$18,EM6&lt;&gt;"",EP6&gt;=EO$21,EP6&lt;&gt;""),AND(FH6&gt;=FJ$18,FH6&lt;&gt;"",FK6&gt;=FJ$21,FK6&lt;&gt;""),AND(GC6&gt;=GE$18,GC6&lt;&gt;"",GF6&gt;=GE$21,GF6&lt;&gt;""),AND(GX6&gt;=GZ$18,GX6&lt;&gt;"",HA6&gt;=GZ$21,HA6&lt;&gt;""),AND(HS6&gt;=HU$18,HS6&lt;&gt;"",HV6&gt;=HU$21,HV6&lt;&gt;""),AND(IN6&gt;=IP$18,IN6&lt;&gt;"",IQ6&gt;=IP$21,IQ6&lt;&gt;""),AND(JI6&gt;=JK$18,JI6&lt;&gt;"",JL6&gt;=JK$21,JL6&lt;&gt;""),AND(KD6&gt;=KF$18,KD6&lt;&gt;"",KG6&gt;=KF$21,KG6&lt;&gt;""),AND(KY6&gt;=LA$18,KY6&lt;&gt;"",LB6&gt;=LA$21,LB6&lt;&gt;"")),"Excellence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Worlds Team",IF(OR(AND(AH6&gt;=AK$16,AH6&lt;&gt;"",AJ6&gt;=AK$19,AJ6&lt;&gt;"",AG6=""),AND(BD6&gt;=BG$16,BD6&lt;&gt;"",BF6&gt;=BG$19,BF6&lt;&gt;"",BC6=""),AND(CA6&gt;=CD$16,CA6&lt;&gt;"",CC6&gt;=CD$19,CC6&lt;&gt;""),AND(CV6&gt;=CY$16,CV6&lt;&gt;"",CX6&gt;=CY$19,CX6&lt;&gt;""),AND(DQ6&gt;=DT$16,DQ6&lt;&gt;"",DS6&gt;=DT$19,DS6&lt;&gt;""),AND(EL6&gt;=EO$16,EL6&lt;&gt;"",EN6&gt;=EO$19,EN6&lt;&gt;""),AND(FG6&gt;=FJ$16,FG6&lt;&gt;"",FI6&gt;=FJ$19,FI6&lt;&gt;""),AND(GB6&gt;=GE$16,GB6&lt;&gt;"",GD6&gt;=GE$19,GD6&lt;&gt;""),AND(GW6&gt;=GZ$16,GW6&lt;&gt;"",GY6&gt;=GZ$19,GY6&lt;&gt;""),AND(HR6&gt;=HU$16,HR6&lt;&gt;"",HT6&gt;=HU$19,HT6&lt;&gt;""),AND(IM6&gt;=IP$16,IM6&lt;&gt;"",IO6&gt;=IP$19,IO6&lt;&gt;""),AND(JH6&gt;=JK$16,JH6&lt;&gt;"",JJ6&gt;=JK$19,JJ6&lt;&gt;""),AND(KC6&gt;=KF$16,KC6&lt;&gt;"",KE6&gt;=KF$19,KE6&lt;&gt;""),AND(KX6&gt;=LA$16,KX6&lt;&gt;"",KZ6&gt;=LA$19,KZ6&lt;&gt;"")),"National Team","")))))</f>
        <v>National Team</v>
      </c>
      <c r="J6" s="15">
        <f>IF(MAX(AL6,BH6)&gt;0,MAX(AL6,BH6),"")</f>
        <v>136.80000000000001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68.399999999999991</v>
      </c>
      <c r="M6" s="15" t="str">
        <f>IF(L6="","",IF(AND(J6&lt;&gt;BH6,OR(L6=BG6,L6=BF6)),$AM$1,IF(OR(L6=AK6,L6=AJ6),$Q$1,"")))</f>
        <v>2018 Nationals</v>
      </c>
      <c r="N6" s="15">
        <f>IF(MAX(BI6:BJ6)&gt;0,MAX(BI6:BJ6),"")</f>
        <v>0.60000000000000853</v>
      </c>
      <c r="O6" s="25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2018 World Age Groups (Nov 18)</v>
      </c>
      <c r="Q6" s="63">
        <v>27.9</v>
      </c>
      <c r="R6" s="63">
        <v>6.8</v>
      </c>
      <c r="S6" s="63">
        <v>0.9</v>
      </c>
      <c r="T6" s="63">
        <v>0</v>
      </c>
      <c r="U6" s="63">
        <v>28.5</v>
      </c>
      <c r="V6" s="63">
        <v>6.4</v>
      </c>
      <c r="W6" s="63">
        <v>0.3</v>
      </c>
      <c r="X6" s="63">
        <v>0</v>
      </c>
      <c r="Y6" s="63">
        <v>27.6</v>
      </c>
      <c r="Z6" s="63">
        <v>6</v>
      </c>
      <c r="AA6" s="63">
        <v>0</v>
      </c>
      <c r="AB6" s="63">
        <v>0</v>
      </c>
      <c r="AC6" s="63">
        <v>28.3</v>
      </c>
      <c r="AD6" s="63">
        <v>4.8</v>
      </c>
      <c r="AE6" s="63">
        <v>0</v>
      </c>
      <c r="AF6" s="63">
        <v>0</v>
      </c>
      <c r="AG6" s="74"/>
      <c r="AH6" s="12">
        <f>IF(SUM(R6,V6)&gt;0,SUM(R6,V6),"")</f>
        <v>13.2</v>
      </c>
      <c r="AI6" s="12">
        <f>IF(SUM(R6,V6,Z6,AD6)&gt;0,SUM(R6,V6,Z6,AD6),"")</f>
        <v>24</v>
      </c>
      <c r="AJ6" s="12">
        <f>IF(SUM(Q6:R6,T6:V6,X6)-SUM(S6,W6)&gt;0,SUM(Q6:R6,T6:V6,X6)-SUM(S6,W6),"")</f>
        <v>68.399999999999991</v>
      </c>
      <c r="AK6" s="12">
        <f>IF(SUM(Y6:Z6,AB6:AD6,AF6)-SUM(AA6,AE6)&gt;0,SUM(Y6:Z6,AB6:AD6,AF6)-SUM(AA6,AE6),"")</f>
        <v>66.7</v>
      </c>
      <c r="AL6" s="12">
        <f>IF(SUM(AJ6,AK6)&gt;0,SUM(AJ6,AK6),"")</f>
        <v>135.1</v>
      </c>
      <c r="AM6" s="37">
        <v>28.7</v>
      </c>
      <c r="AN6" s="37">
        <v>6</v>
      </c>
      <c r="AO6" s="37">
        <v>0</v>
      </c>
      <c r="AP6" s="37">
        <v>0</v>
      </c>
      <c r="AQ6" s="37">
        <v>28</v>
      </c>
      <c r="AR6" s="37">
        <v>6.8</v>
      </c>
      <c r="AS6" s="37">
        <v>0</v>
      </c>
      <c r="AT6" s="37">
        <v>0</v>
      </c>
      <c r="AU6" s="37">
        <v>27.9</v>
      </c>
      <c r="AV6" s="37">
        <v>6</v>
      </c>
      <c r="AW6" s="37">
        <v>0</v>
      </c>
      <c r="AX6" s="37">
        <v>0</v>
      </c>
      <c r="AY6" s="37">
        <v>27.4</v>
      </c>
      <c r="AZ6" s="37">
        <v>6</v>
      </c>
      <c r="BA6" s="37">
        <v>0</v>
      </c>
      <c r="BB6" s="37">
        <v>0</v>
      </c>
      <c r="BC6" s="75"/>
      <c r="BD6" s="15">
        <f>IF(SUM(AN6,AR6)&gt;0,SUM(AN6,AR6),"")</f>
        <v>12.8</v>
      </c>
      <c r="BE6" s="15">
        <f>IF(SUM(AN6,AR6,AV6,AZ6)&gt;0,SUM(AN6,AR6,AV6,AZ6),"")</f>
        <v>24.8</v>
      </c>
      <c r="BF6" s="15">
        <f>IF(SUM(AM6:AN6,AP6:AR6,AT6)-SUM(AO6,AS6)&gt;0,SUM(AM6:AN6,AP6:AR6,AT6)-SUM(AO6,AS6),"")</f>
        <v>69.5</v>
      </c>
      <c r="BG6" s="15">
        <f>IF(SUM(AU6:AV6,AX6:AZ6,BB6)-SUM(AW6,BA6)&gt;0,SUM(AU6:AV6,AX6:AZ6,BB6)-SUM(AW6,BA6),"")</f>
        <v>67.3</v>
      </c>
      <c r="BH6" s="15">
        <f>IF(SUM(BF6,BG6)&gt;0,SUM(BF6,BG6),"")</f>
        <v>136.80000000000001</v>
      </c>
      <c r="BI6" s="24" t="str">
        <f>IF(MAX(CE6,CZ6,DU6,EP6,FK6,GF6,HA6,HV6,IQ6,JL6,KG6,LB6)-IF(J6="",0,J6)&gt;0.001,MAX(CE6,CZ6,DU6,EP6,FK6,GF6,HA6,HV6,IQ6,JL6,KG6,LB6)-IF(J6="",0,J6),"")</f>
        <v/>
      </c>
      <c r="BJ6" s="24">
        <f>IF(MAX(CC6,CD6,CX6,CY6,DS6,DT6,EN6,EO6,FI6,FJ6,GD6,GE6,GY6,GZ6,HT6,HU6,IO6,IP6,JJ6,JK6,KE6,KF6,KZ6,LA6)-IF(L6="",0,L6)&gt;0.001,MAX(CC6,CD6,CX6,CY6,DS6,DT6,EN6,EO6,FI6,FJ6,GD6,GE6,GY6,GZ6,HT6,HU6,IO6,IP6,JJ6,JK6,KE6,KF6,KZ6,LA6)-IF(L6="",0,L6),"")</f>
        <v>0.60000000000000853</v>
      </c>
      <c r="BK6" s="41">
        <v>27.3</v>
      </c>
      <c r="BL6" s="41">
        <v>6.8</v>
      </c>
      <c r="BM6" s="41">
        <v>0</v>
      </c>
      <c r="BN6" s="41">
        <v>0</v>
      </c>
      <c r="BO6" s="41">
        <v>27.7</v>
      </c>
      <c r="BP6" s="41">
        <v>7.2</v>
      </c>
      <c r="BQ6" s="41">
        <v>0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>IF(SUM(BL6,BP6)&gt;0,SUM(BL6,BP6),"")</f>
        <v>14</v>
      </c>
      <c r="CB6" s="12">
        <f>IF(SUM(BL6,BP6,BT6,BX6)&gt;0,SUM(BL6,BP6,BT6,BX6),"")</f>
        <v>14</v>
      </c>
      <c r="CC6" s="12">
        <f>IF(SUM(BK6:BL6,BN6:BP6,BR6)-SUM(BM6,BQ6)&gt;0,SUM(BK6:BL6,BN6:BP6,BR6)-SUM(BM6,BQ6),"")</f>
        <v>69</v>
      </c>
      <c r="CD6" s="12" t="str">
        <f>IF(SUM(BS6:BT6,BV6:BX6,BZ6)-SUM(BU6,BY6)&gt;0,SUM(BS6:BT6,BV6:BX6,BZ6)-SUM(BU6,BY6),"")</f>
        <v/>
      </c>
      <c r="CE6" s="12">
        <f>IF(SUM(CC6,CD6)&gt;0,SUM(CC6,CD6),"")</f>
        <v>69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28.299999999999997</v>
      </c>
      <c r="LD6" s="63">
        <f t="shared" si="0"/>
        <v>6.4</v>
      </c>
      <c r="LE6" s="63">
        <f t="shared" si="0"/>
        <v>0.45</v>
      </c>
      <c r="LF6" s="63">
        <f t="shared" si="0"/>
        <v>0</v>
      </c>
      <c r="LG6" s="63">
        <f t="shared" si="0"/>
        <v>28.25</v>
      </c>
      <c r="LH6" s="63">
        <f t="shared" si="0"/>
        <v>6.6</v>
      </c>
      <c r="LI6" s="63">
        <f t="shared" si="0"/>
        <v>0.15</v>
      </c>
      <c r="LJ6" s="63">
        <f t="shared" si="0"/>
        <v>0</v>
      </c>
      <c r="LK6" s="63">
        <f t="shared" si="0"/>
        <v>27.75</v>
      </c>
      <c r="LL6" s="63">
        <f t="shared" si="0"/>
        <v>6</v>
      </c>
      <c r="LM6" s="63">
        <f t="shared" si="0"/>
        <v>0</v>
      </c>
      <c r="LN6" s="63">
        <f t="shared" si="0"/>
        <v>0</v>
      </c>
      <c r="LO6" s="63">
        <f t="shared" si="0"/>
        <v>27.85</v>
      </c>
      <c r="LP6" s="63">
        <f t="shared" si="0"/>
        <v>5.4</v>
      </c>
      <c r="LQ6" s="63">
        <f t="shared" si="0"/>
        <v>0</v>
      </c>
      <c r="LR6" s="63">
        <f t="shared" si="0"/>
        <v>0</v>
      </c>
      <c r="LS6" s="74" t="s">
        <v>116</v>
      </c>
      <c r="LT6" s="12">
        <f t="shared" si="7"/>
        <v>13</v>
      </c>
      <c r="LU6" s="12">
        <f t="shared" si="8"/>
        <v>24.4</v>
      </c>
      <c r="LV6" s="12">
        <f t="shared" si="9"/>
        <v>68.95</v>
      </c>
      <c r="LW6" s="12">
        <f t="shared" si="10"/>
        <v>67</v>
      </c>
      <c r="LX6" s="12">
        <f t="shared" si="11"/>
        <v>135.94999999999999</v>
      </c>
    </row>
    <row r="7" spans="1:336" x14ac:dyDescent="0.2">
      <c r="A7" s="6">
        <f>IF(AND(F7="P",H7="P"),SUMPRODUCT((F$4:F$14="P")*(H$4:H$14="P")*(E$4:E$14&gt;E7))+1,IF(H7="P",SUMPRODUCT((F$4:F$14="")*(H$4:H$14="P")*(E$4:E$14&gt;E7))+1+SUMPRODUCT((F$4:F$14="P")*(H$4:H$14="P")),""))</f>
        <v>4</v>
      </c>
      <c r="B7" s="9" t="s">
        <v>115</v>
      </c>
      <c r="C7" s="5" t="s">
        <v>3</v>
      </c>
      <c r="D7" s="6">
        <v>2004</v>
      </c>
      <c r="E7" s="16">
        <f>SUM(J7:N7)</f>
        <v>195.3</v>
      </c>
      <c r="F7" s="4" t="str">
        <f>IF(OR(AND(AH7&gt;=AK$16,AJ7&gt;=AK$19,AJ7&lt;&gt;"",AG7=""),AND(BD7&gt;=BG$16,BF7&gt;=BG$19,BF7&lt;&gt;"",BC7=""),AND(CA7&gt;=CD$16,CC7&gt;=CD$19,CC7&lt;&gt;""),AND(CV7&gt;=CY$16,CX7&gt;=CY$19,CX7&lt;&gt;""),AND(DQ7&gt;=DT$16,DS7&gt;=DT$19,DS7&lt;&gt;""),AND(EL7&gt;=EO$16,EN7&gt;=EO$19,EN7&lt;&gt;""),AND(FG7&gt;=FJ$16,FI7&gt;=FJ$19,FI7&lt;&gt;""),AND(GB7&gt;=GE$16,GD7&gt;=GE$19,GD7&lt;&gt;""),AND(GW7&gt;=GZ$16,GY7&gt;=GZ$19,GY7&lt;&gt;""),AND(HR7&gt;=HU$16,HT7&gt;=HU$19,HT7&lt;&gt;""),AND(IM7&gt;=IP$16,IO7&gt;=IP$19,IO7&lt;&gt;""),AND(JH7&gt;=JK$16,JJ7&gt;=JK$19,JJ7&lt;&gt;""),AND(KC7&gt;=KF$16,KE7&gt;=KF$19,KE7&lt;&gt;""),AND(KX7&gt;=LA$16,KZ7&gt;=LA$19,KZ7&lt;&gt;"")),"P","")</f>
        <v/>
      </c>
      <c r="G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/>
      </c>
      <c r="H7" s="4" t="str">
        <f>IF(OR(AND(AJ7&gt;=AK$19,AJ7&lt;&gt;"",AG7=""),AND(BF7&gt;=BG$19,BF7&lt;&gt;"",BC7=""),AND(CC7&gt;=CD$19,CC7&lt;&gt;""),AND(CX7&gt;=CY$19,CX7&lt;&gt;""),AND(DS7&gt;=DT$19,DS7&lt;&gt;""),AND(EN7&gt;=EO$19,EN7&lt;&gt;""),AND(FI7&gt;=FJ$19,FI7&lt;&gt;""),AND(GD7&gt;=GE$19,GD7&lt;&gt;""),AND(GY7&gt;=GZ$19,GY7&lt;&gt;""),AND(HT7&gt;=HU$19,HT7&lt;&gt;""),AND(IO7&gt;=IP$19,IO7&lt;&gt;""),AND(JJ7&gt;=JK$19,JJ7&lt;&gt;""),AND(KE7&gt;=KF$19,KE7&lt;&gt;""),AND(KZ7&gt;=LA$19,KZ7&lt;&gt;"")),"P","")</f>
        <v>P</v>
      </c>
      <c r="I7" t="str">
        <f>IF(AND(H7="P",F7=""),"No DD",IF(OR(AND(AI7&gt;=AK$18,AI7&lt;&gt;"",AL7&gt;=AK$22,AL7&lt;&gt;"",AG7=""),AND(BE7&gt;=BG$18,BE7&lt;&gt;"",BH7&gt;=BG$22,BH7&lt;&gt;"",BC7=""),AND(CB7&gt;=CD$18,CB7&lt;&gt;"",CE7&gt;=CD$22,CE7&lt;&gt;""),AND(CW7&gt;=CY$18,CW7&lt;&gt;"",CZ7&gt;=CY$22,CZ7&lt;&gt;""),AND(DR7&gt;=DT$18,DR7&lt;&gt;"",DU7&gt;=DT$22,DU7&lt;&gt;""),AND(EM7&gt;=EO$18,EM7&lt;&gt;"",EP7&gt;=EO$22,EP7&lt;&gt;""),AND(FH7&gt;=FJ$18,FH7&lt;&gt;"",FK7&gt;=FJ$22,FK7&lt;&gt;""),AND(GC7&gt;=GE$18,GC7&lt;&gt;"",GF7&gt;=GE$22,GF7&lt;&gt;""),AND(GX7&gt;=GZ$18,GX7&lt;&gt;"",HA7&gt;=GZ$22,HA7&lt;&gt;""),AND(HS7&gt;=HU$18,HS7&lt;&gt;"",HV7&gt;=HU$22,HV7&lt;&gt;""),AND(IN7&gt;=IP$18,IN7&lt;&gt;"",IQ7&gt;=IP$22,IQ7&lt;&gt;""),AND(JI7&gt;=JK$18,JI7&lt;&gt;"",JL7&gt;=JK$22,JL7&lt;&gt;""),AND(KD7&gt;=KF$18,KD7&lt;&gt;"",KG7&gt;=KF$22,KG7&lt;&gt;""),AND(KY7&gt;=LA$18,KY7&lt;&gt;"",LB7&gt;=LA$22,LB7&lt;&gt;"")),"Merit",IF(OR(AND(AI7&gt;=AK$18,AI7&lt;&gt;"",AL7&gt;=AK$21,AL7&lt;&gt;"",AG7=""),AND(BE7&gt;=BG$18,BE7&lt;&gt;"",BH7&gt;=BG$21,BH7&lt;&gt;"",BC7=""),AND(CB7&gt;=CD$18,CB7&lt;&gt;"",CE7&gt;=CD$21,CE7&lt;&gt;""),AND(CW7&gt;=CY$18,CW7&lt;&gt;"",CZ7&gt;=CY$21,CZ7&lt;&gt;""),AND(DR7&gt;=DT$18,DR7&lt;&gt;"",DU7&gt;=DT$21,DU7&lt;&gt;""),AND(EM7&gt;=EO$18,EM7&lt;&gt;"",EP7&gt;=EO$21,EP7&lt;&gt;""),AND(FH7&gt;=FJ$18,FH7&lt;&gt;"",FK7&gt;=FJ$21,FK7&lt;&gt;""),AND(GC7&gt;=GE$18,GC7&lt;&gt;"",GF7&gt;=GE$21,GF7&lt;&gt;""),AND(GX7&gt;=GZ$18,GX7&lt;&gt;"",HA7&gt;=GZ$21,HA7&lt;&gt;""),AND(HS7&gt;=HU$18,HS7&lt;&gt;"",HV7&gt;=HU$21,HV7&lt;&gt;""),AND(IN7&gt;=IP$18,IN7&lt;&gt;"",IQ7&gt;=IP$21,IQ7&lt;&gt;""),AND(JI7&gt;=JK$18,JI7&lt;&gt;"",JL7&gt;=JK$21,JL7&lt;&gt;""),AND(KD7&gt;=KF$18,KD7&lt;&gt;"",KG7&gt;=KF$21,KG7&lt;&gt;""),AND(KY7&gt;=LA$18,KY7&lt;&gt;"",LB7&gt;=LA$21,LB7&lt;&gt;"")),"Excellence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Worlds Team",IF(OR(AND(AH7&gt;=AK$16,AH7&lt;&gt;"",AJ7&gt;=AK$19,AJ7&lt;&gt;"",AG7=""),AND(BD7&gt;=BG$16,BD7&lt;&gt;"",BF7&gt;=BG$19,BF7&lt;&gt;"",BC7=""),AND(CA7&gt;=CD$16,CA7&lt;&gt;"",CC7&gt;=CD$19,CC7&lt;&gt;""),AND(CV7&gt;=CY$16,CV7&lt;&gt;"",CX7&gt;=CY$19,CX7&lt;&gt;""),AND(DQ7&gt;=DT$16,DQ7&lt;&gt;"",DS7&gt;=DT$19,DS7&lt;&gt;""),AND(EL7&gt;=EO$16,EL7&lt;&gt;"",EN7&gt;=EO$19,EN7&lt;&gt;""),AND(FG7&gt;=FJ$16,FG7&lt;&gt;"",FI7&gt;=FJ$19,FI7&lt;&gt;""),AND(GB7&gt;=GE$16,GB7&lt;&gt;"",GD7&gt;=GE$19,GD7&lt;&gt;""),AND(GW7&gt;=GZ$16,GW7&lt;&gt;"",GY7&gt;=GZ$19,GY7&lt;&gt;""),AND(HR7&gt;=HU$16,HR7&lt;&gt;"",HT7&gt;=HU$19,HT7&lt;&gt;""),AND(IM7&gt;=IP$16,IM7&lt;&gt;"",IO7&gt;=IP$19,IO7&lt;&gt;""),AND(JH7&gt;=JK$16,JH7&lt;&gt;"",JJ7&gt;=JK$19,JJ7&lt;&gt;""),AND(KC7&gt;=KF$16,KC7&lt;&gt;"",KE7&gt;=KF$19,KE7&lt;&gt;""),AND(KX7&gt;=LA$16,KX7&lt;&gt;"",KZ7&gt;=LA$19,KZ7&lt;&gt;"")),"National Team","")))))</f>
        <v>No DD</v>
      </c>
      <c r="J7" s="15">
        <f>IF(MAX(AL7,BH7)&gt;0,MAX(AL7,BH7),"")</f>
        <v>126.4</v>
      </c>
      <c r="K7" s="15" t="str">
        <f>IF(J7="","",IF(J7=BH7,$AM$1,IF(J7=AL7,$Q$1,"")))</f>
        <v>2018 Nationals</v>
      </c>
      <c r="L7" s="15">
        <f>IF(J7=AL7,IF(MAX(BF7,BG7)&gt;0,MAX(BF7,BG7),""),IF(J7=BH7,IF(MAX(AJ7,AK7)&gt;0,MAX(AJ7,AK7),""),MAX(AJ7,AK7,BF7,BG7)))</f>
        <v>68.900000000000006</v>
      </c>
      <c r="M7" s="15" t="str">
        <f>IF(L7="","",IF(AND(J7&lt;&gt;BH7,OR(L7=BG7,L7=BF7)),$AM$1,IF(OR(L7=AK7,L7=AJ7),$Q$1,"")))</f>
        <v>2019 Elite Canada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26.6</v>
      </c>
      <c r="R7" s="63">
        <v>2.9</v>
      </c>
      <c r="S7" s="63">
        <v>0.3</v>
      </c>
      <c r="T7" s="63">
        <v>0</v>
      </c>
      <c r="U7" s="63">
        <v>27.6</v>
      </c>
      <c r="V7" s="63">
        <v>6.4</v>
      </c>
      <c r="W7" s="63">
        <v>0</v>
      </c>
      <c r="X7" s="63">
        <v>0</v>
      </c>
      <c r="Y7" s="63">
        <v>26.5</v>
      </c>
      <c r="Z7" s="63">
        <v>6.8</v>
      </c>
      <c r="AA7" s="63">
        <v>0.9</v>
      </c>
      <c r="AB7" s="63">
        <v>0</v>
      </c>
      <c r="AC7" s="63">
        <v>26.5</v>
      </c>
      <c r="AD7" s="63">
        <v>5.2</v>
      </c>
      <c r="AE7" s="63">
        <v>0.9</v>
      </c>
      <c r="AF7" s="63">
        <v>0</v>
      </c>
      <c r="AG7" s="74"/>
      <c r="AH7" s="12">
        <f>IF(SUM(R7,V7)&gt;0,SUM(R7,V7),"")</f>
        <v>9.3000000000000007</v>
      </c>
      <c r="AI7" s="12">
        <f>IF(SUM(R7,V7,Z7,AD7)&gt;0,SUM(R7,V7,Z7,AD7),"")</f>
        <v>21.3</v>
      </c>
      <c r="AJ7" s="12">
        <f>IF(SUM(Q7:R7,T7:V7,X7)-SUM(S7,W7)&gt;0,SUM(Q7:R7,T7:V7,X7)-SUM(S7,W7),"")</f>
        <v>63.2</v>
      </c>
      <c r="AK7" s="12">
        <f>IF(SUM(Y7:Z7,AB7:AD7,AF7)-SUM(AA7,AE7)&gt;0,SUM(Y7:Z7,AB7:AD7,AF7)-SUM(AA7,AE7),"")</f>
        <v>63.2</v>
      </c>
      <c r="AL7" s="12">
        <f>IF(SUM(AJ7,AK7)&gt;0,SUM(AJ7,AK7),"")</f>
        <v>126.4</v>
      </c>
      <c r="AM7" s="37">
        <v>27.8</v>
      </c>
      <c r="AN7" s="37">
        <v>6.8</v>
      </c>
      <c r="AO7" s="37">
        <v>0</v>
      </c>
      <c r="AP7" s="37">
        <v>0</v>
      </c>
      <c r="AQ7" s="37">
        <v>27.9</v>
      </c>
      <c r="AR7" s="37">
        <v>6.4</v>
      </c>
      <c r="AS7" s="37">
        <v>0</v>
      </c>
      <c r="AT7" s="37">
        <v>0</v>
      </c>
      <c r="AU7" s="37">
        <v>22.7</v>
      </c>
      <c r="AV7" s="37">
        <v>3.2</v>
      </c>
      <c r="AW7" s="37">
        <v>0.3</v>
      </c>
      <c r="AX7" s="37">
        <v>0</v>
      </c>
      <c r="AY7" s="37">
        <v>26.6</v>
      </c>
      <c r="AZ7" s="37">
        <v>5.6</v>
      </c>
      <c r="BA7" s="37">
        <v>1.5</v>
      </c>
      <c r="BB7" s="37">
        <v>0</v>
      </c>
      <c r="BC7" s="75"/>
      <c r="BD7" s="15">
        <f>IF(SUM(AN7,AR7)&gt;0,SUM(AN7,AR7),"")</f>
        <v>13.2</v>
      </c>
      <c r="BE7" s="15">
        <f>IF(SUM(AN7,AR7,AV7,AZ7)&gt;0,SUM(AN7,AR7,AV7,AZ7),"")</f>
        <v>22</v>
      </c>
      <c r="BF7" s="15">
        <f>IF(SUM(AM7:AN7,AP7:AR7,AT7)-SUM(AO7,AS7)&gt;0,SUM(AM7:AN7,AP7:AR7,AT7)-SUM(AO7,AS7),"")</f>
        <v>68.900000000000006</v>
      </c>
      <c r="BG7" s="15">
        <f>IF(SUM(AU7:AV7,AX7:AZ7,BB7)-SUM(AW7,BA7)&gt;0,SUM(AU7:AV7,AX7:AZ7,BB7)-SUM(AW7,BA7),"")</f>
        <v>56.300000000000004</v>
      </c>
      <c r="BH7" s="15">
        <f>IF(SUM(BF7,BG7)&gt;0,SUM(BF7,BG7),"")</f>
        <v>125.20000000000002</v>
      </c>
      <c r="BI7" s="24" t="str">
        <f>IF(MAX(CE7,CZ7,DU7,EP7,FK7,GF7,HA7,HV7,IQ7,JL7,KG7,LB7)-IF(J7="",0,J7)&gt;0.001,MAX(CE7,CZ7,DU7,EP7,FK7,GF7,HA7,HV7,IQ7,JL7,KG7,LB7)-IF(J7="",0,J7),"")</f>
        <v/>
      </c>
      <c r="BJ7" s="24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1">
        <v>27.7</v>
      </c>
      <c r="BL7" s="41">
        <v>6.8</v>
      </c>
      <c r="BM7" s="41">
        <v>1.2</v>
      </c>
      <c r="BN7" s="41">
        <v>0</v>
      </c>
      <c r="BO7" s="41">
        <v>27.8</v>
      </c>
      <c r="BP7" s="41">
        <v>6.4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>IF(SUM(BL7,BP7)&gt;0,SUM(BL7,BP7),"")</f>
        <v>13.2</v>
      </c>
      <c r="CB7" s="12">
        <f>IF(SUM(BL7,BP7,BT7,BX7)&gt;0,SUM(BL7,BP7,BT7,BX7),"")</f>
        <v>13.2</v>
      </c>
      <c r="CC7" s="12">
        <f>IF(SUM(BK7:BL7,BN7:BP7,BR7)-SUM(BM7,BQ7)&gt;0,SUM(BK7:BL7,BN7:BP7,BR7)-SUM(BM7,BQ7),"")</f>
        <v>67.5</v>
      </c>
      <c r="CD7" s="12" t="str">
        <f>IF(SUM(BS7:BT7,BV7:BX7,BZ7)-SUM(BU7,BY7)&gt;0,SUM(BS7:BT7,BV7:BX7,BZ7)-SUM(BU7,BY7),"")</f>
        <v/>
      </c>
      <c r="CE7" s="12">
        <f>IF(SUM(CC7,CD7)&gt;0,SUM(CC7,CD7),"")</f>
        <v>67.5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27.200000000000003</v>
      </c>
      <c r="LD7" s="63">
        <f t="shared" si="0"/>
        <v>4.8499999999999996</v>
      </c>
      <c r="LE7" s="63">
        <f t="shared" si="0"/>
        <v>0.15</v>
      </c>
      <c r="LF7" s="63">
        <f t="shared" si="0"/>
        <v>0</v>
      </c>
      <c r="LG7" s="63">
        <f t="shared" si="0"/>
        <v>27.75</v>
      </c>
      <c r="LH7" s="63">
        <f t="shared" si="0"/>
        <v>6.4</v>
      </c>
      <c r="LI7" s="63">
        <f t="shared" si="0"/>
        <v>0</v>
      </c>
      <c r="LJ7" s="63">
        <f t="shared" si="0"/>
        <v>0</v>
      </c>
      <c r="LK7" s="63">
        <f t="shared" si="0"/>
        <v>24.6</v>
      </c>
      <c r="LL7" s="63">
        <f t="shared" si="0"/>
        <v>5</v>
      </c>
      <c r="LM7" s="63">
        <f t="shared" si="0"/>
        <v>0.6</v>
      </c>
      <c r="LN7" s="63">
        <f t="shared" si="0"/>
        <v>0</v>
      </c>
      <c r="LO7" s="63">
        <f t="shared" si="0"/>
        <v>26.55</v>
      </c>
      <c r="LP7" s="63">
        <f t="shared" si="0"/>
        <v>5.4</v>
      </c>
      <c r="LQ7" s="63">
        <f t="shared" si="0"/>
        <v>1.2</v>
      </c>
      <c r="LR7" s="63">
        <f t="shared" si="0"/>
        <v>0</v>
      </c>
      <c r="LS7" s="74" t="s">
        <v>116</v>
      </c>
      <c r="LT7" s="12">
        <f t="shared" si="7"/>
        <v>11.25</v>
      </c>
      <c r="LU7" s="12">
        <f t="shared" si="8"/>
        <v>21.65</v>
      </c>
      <c r="LV7" s="12">
        <f t="shared" si="9"/>
        <v>66.05</v>
      </c>
      <c r="LW7" s="12">
        <f t="shared" si="10"/>
        <v>59.750000000000007</v>
      </c>
      <c r="LX7" s="12">
        <f t="shared" si="11"/>
        <v>125.80000000000001</v>
      </c>
    </row>
    <row r="8" spans="1:336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112</v>
      </c>
      <c r="C8" s="5" t="s">
        <v>4</v>
      </c>
      <c r="D8" s="6">
        <v>2003</v>
      </c>
      <c r="E8" s="16">
        <f>SUM(J8:N8)</f>
        <v>192.5</v>
      </c>
      <c r="F8" s="4" t="str">
        <f>IF(OR(AND(AH8&gt;=AK$16,AJ8&gt;=AK$19,AJ8&lt;&gt;"",AG8=""),AND(BD8&gt;=BG$16,BF8&gt;=BG$19,BF8&lt;&gt;"",BC8=""),AND(CA8&gt;=CD$16,CC8&gt;=CD$19,CC8&lt;&gt;""),AND(CV8&gt;=CY$16,CX8&gt;=CY$19,CX8&lt;&gt;""),AND(DQ8&gt;=DT$16,DS8&gt;=DT$19,DS8&lt;&gt;""),AND(EL8&gt;=EO$16,EN8&gt;=EO$19,EN8&lt;&gt;""),AND(FG8&gt;=FJ$16,FI8&gt;=FJ$19,FI8&lt;&gt;""),AND(GB8&gt;=GE$16,GD8&gt;=GE$19,GD8&lt;&gt;""),AND(GW8&gt;=GZ$16,GY8&gt;=GZ$19,GY8&lt;&gt;""),AND(HR8&gt;=HU$16,HT8&gt;=HU$19,HT8&lt;&gt;""),AND(IM8&gt;=IP$16,IO8&gt;=IP$19,IO8&lt;&gt;""),AND(JH8&gt;=JK$16,JJ8&gt;=JK$19,JJ8&lt;&gt;""),AND(KC8&gt;=KF$16,KE8&gt;=KF$19,KE8&lt;&gt;""),AND(KX8&gt;=LA$16,KZ8&gt;=LA$19,KZ8&lt;&gt;"")),"P","")</f>
        <v/>
      </c>
      <c r="G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H8" s="4" t="str">
        <f>IF(OR(AND(AJ8&gt;=AK$19,AJ8&lt;&gt;"",AG8=""),AND(BF8&gt;=BG$19,BF8&lt;&gt;"",BC8=""),AND(CC8&gt;=CD$19,CC8&lt;&gt;""),AND(CX8&gt;=CY$19,CX8&lt;&gt;""),AND(DS8&gt;=DT$19,DS8&lt;&gt;""),AND(EN8&gt;=EO$19,EN8&lt;&gt;""),AND(FI8&gt;=FJ$19,FI8&lt;&gt;""),AND(GD8&gt;=GE$19,GD8&lt;&gt;""),AND(GY8&gt;=GZ$19,GY8&lt;&gt;""),AND(HT8&gt;=HU$19,HT8&lt;&gt;""),AND(IO8&gt;=IP$19,IO8&lt;&gt;""),AND(JJ8&gt;=JK$19,JJ8&lt;&gt;""),AND(KE8&gt;=KF$19,KE8&lt;&gt;""),AND(KZ8&gt;=LA$19,KZ8&lt;&gt;"")),"P","")</f>
        <v/>
      </c>
      <c r="I8" t="str">
        <f>IF(AND(H8="P",F8=""),"No DD",IF(OR(AND(AI8&gt;=AK$18,AI8&lt;&gt;"",AL8&gt;=AK$22,AL8&lt;&gt;"",AG8=""),AND(BE8&gt;=BG$18,BE8&lt;&gt;"",BH8&gt;=BG$22,BH8&lt;&gt;"",BC8=""),AND(CB8&gt;=CD$18,CB8&lt;&gt;"",CE8&gt;=CD$22,CE8&lt;&gt;""),AND(CW8&gt;=CY$18,CW8&lt;&gt;"",CZ8&gt;=CY$22,CZ8&lt;&gt;""),AND(DR8&gt;=DT$18,DR8&lt;&gt;"",DU8&gt;=DT$22,DU8&lt;&gt;""),AND(EM8&gt;=EO$18,EM8&lt;&gt;"",EP8&gt;=EO$22,EP8&lt;&gt;""),AND(FH8&gt;=FJ$18,FH8&lt;&gt;"",FK8&gt;=FJ$22,FK8&lt;&gt;""),AND(GC8&gt;=GE$18,GC8&lt;&gt;"",GF8&gt;=GE$22,GF8&lt;&gt;""),AND(GX8&gt;=GZ$18,GX8&lt;&gt;"",HA8&gt;=GZ$22,HA8&lt;&gt;""),AND(HS8&gt;=HU$18,HS8&lt;&gt;"",HV8&gt;=HU$22,HV8&lt;&gt;""),AND(IN8&gt;=IP$18,IN8&lt;&gt;"",IQ8&gt;=IP$22,IQ8&lt;&gt;""),AND(JI8&gt;=JK$18,JI8&lt;&gt;"",JL8&gt;=JK$22,JL8&lt;&gt;""),AND(KD8&gt;=KF$18,KD8&lt;&gt;"",KG8&gt;=KF$22,KG8&lt;&gt;""),AND(KY8&gt;=LA$18,KY8&lt;&gt;"",LB8&gt;=LA$22,LB8&lt;&gt;"")),"Merit",IF(OR(AND(AI8&gt;=AK$18,AI8&lt;&gt;"",AL8&gt;=AK$21,AL8&lt;&gt;"",AG8=""),AND(BE8&gt;=BG$18,BE8&lt;&gt;"",BH8&gt;=BG$21,BH8&lt;&gt;"",BC8=""),AND(CB8&gt;=CD$18,CB8&lt;&gt;"",CE8&gt;=CD$21,CE8&lt;&gt;""),AND(CW8&gt;=CY$18,CW8&lt;&gt;"",CZ8&gt;=CY$21,CZ8&lt;&gt;""),AND(DR8&gt;=DT$18,DR8&lt;&gt;"",DU8&gt;=DT$21,DU8&lt;&gt;""),AND(EM8&gt;=EO$18,EM8&lt;&gt;"",EP8&gt;=EO$21,EP8&lt;&gt;""),AND(FH8&gt;=FJ$18,FH8&lt;&gt;"",FK8&gt;=FJ$21,FK8&lt;&gt;""),AND(GC8&gt;=GE$18,GC8&lt;&gt;"",GF8&gt;=GE$21,GF8&lt;&gt;""),AND(GX8&gt;=GZ$18,GX8&lt;&gt;"",HA8&gt;=GZ$21,HA8&lt;&gt;""),AND(HS8&gt;=HU$18,HS8&lt;&gt;"",HV8&gt;=HU$21,HV8&lt;&gt;""),AND(IN8&gt;=IP$18,IN8&lt;&gt;"",IQ8&gt;=IP$21,IQ8&lt;&gt;""),AND(JI8&gt;=JK$18,JI8&lt;&gt;"",JL8&gt;=JK$21,JL8&lt;&gt;""),AND(KD8&gt;=KF$18,KD8&lt;&gt;"",KG8&gt;=KF$21,KG8&lt;&gt;""),AND(KY8&gt;=LA$18,KY8&lt;&gt;"",LB8&gt;=LA$21,LB8&lt;&gt;"")),"Excellence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Worlds Team",IF(OR(AND(AH8&gt;=AK$16,AH8&lt;&gt;"",AJ8&gt;=AK$19,AJ8&lt;&gt;"",AG8=""),AND(BD8&gt;=BG$16,BD8&lt;&gt;"",BF8&gt;=BG$19,BF8&lt;&gt;"",BC8=""),AND(CA8&gt;=CD$16,CA8&lt;&gt;"",CC8&gt;=CD$19,CC8&lt;&gt;""),AND(CV8&gt;=CY$16,CV8&lt;&gt;"",CX8&gt;=CY$19,CX8&lt;&gt;""),AND(DQ8&gt;=DT$16,DQ8&lt;&gt;"",DS8&gt;=DT$19,DS8&lt;&gt;""),AND(EL8&gt;=EO$16,EL8&lt;&gt;"",EN8&gt;=EO$19,EN8&lt;&gt;""),AND(FG8&gt;=FJ$16,FG8&lt;&gt;"",FI8&gt;=FJ$19,FI8&lt;&gt;""),AND(GB8&gt;=GE$16,GB8&lt;&gt;"",GD8&gt;=GE$19,GD8&lt;&gt;""),AND(GW8&gt;=GZ$16,GW8&lt;&gt;"",GY8&gt;=GZ$19,GY8&lt;&gt;""),AND(HR8&gt;=HU$16,HR8&lt;&gt;"",HT8&gt;=HU$19,HT8&lt;&gt;""),AND(IM8&gt;=IP$16,IM8&lt;&gt;"",IO8&gt;=IP$19,IO8&lt;&gt;""),AND(JH8&gt;=JK$16,JH8&lt;&gt;"",JJ8&gt;=JK$19,JJ8&lt;&gt;""),AND(KC8&gt;=KF$16,KC8&lt;&gt;"",KE8&gt;=KF$19,KE8&lt;&gt;""),AND(KX8&gt;=LA$16,KX8&lt;&gt;"",KZ8&gt;=LA$19,KZ8&lt;&gt;"")),"National Team","")))))</f>
        <v/>
      </c>
      <c r="J8" s="15">
        <f>IF(MAX(AL8,BH8)&gt;0,MAX(AL8,BH8),"")</f>
        <v>127.30000000000001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65.2</v>
      </c>
      <c r="M8" s="15" t="str">
        <f>IF(L8="","",IF(AND(J8&lt;&gt;BH8,OR(L8=BG8,L8=BF8)),$AM$1,IF(OR(L8=AK8,L8=AJ8),$Q$1,"")))</f>
        <v>2018 Nationals</v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>
        <v>27</v>
      </c>
      <c r="R8" s="63">
        <v>5.2</v>
      </c>
      <c r="S8" s="63">
        <v>0.3</v>
      </c>
      <c r="T8" s="63">
        <v>0</v>
      </c>
      <c r="U8" s="63">
        <v>28.1</v>
      </c>
      <c r="V8" s="63">
        <v>5.2</v>
      </c>
      <c r="W8" s="63">
        <v>0</v>
      </c>
      <c r="X8" s="63">
        <v>0</v>
      </c>
      <c r="Y8" s="63">
        <v>25.1</v>
      </c>
      <c r="Z8" s="63">
        <v>6.8</v>
      </c>
      <c r="AA8" s="63">
        <v>0.3</v>
      </c>
      <c r="AB8" s="63">
        <v>0</v>
      </c>
      <c r="AC8" s="63">
        <v>24.9</v>
      </c>
      <c r="AD8" s="63">
        <v>6.4</v>
      </c>
      <c r="AE8" s="63">
        <v>1.8</v>
      </c>
      <c r="AF8" s="63">
        <v>0</v>
      </c>
      <c r="AG8" s="74"/>
      <c r="AH8" s="12">
        <f>IF(SUM(R8,V8)&gt;0,SUM(R8,V8),"")</f>
        <v>10.4</v>
      </c>
      <c r="AI8" s="12">
        <f>IF(SUM(R8,V8,Z8,AD8)&gt;0,SUM(R8,V8,Z8,AD8),"")</f>
        <v>23.6</v>
      </c>
      <c r="AJ8" s="12">
        <f>IF(SUM(Q8:R8,T8:V8,X8)-SUM(S8,W8)&gt;0,SUM(Q8:R8,T8:V8,X8)-SUM(S8,W8),"")</f>
        <v>65.2</v>
      </c>
      <c r="AK8" s="12">
        <f>IF(SUM(Y8:Z8,AB8:AD8,AF8)-SUM(AA8,AE8)&gt;0,SUM(Y8:Z8,AB8:AD8,AF8)-SUM(AA8,AE8),"")</f>
        <v>61.099999999999994</v>
      </c>
      <c r="AL8" s="12">
        <f>IF(SUM(AJ8,AK8)&gt;0,SUM(AJ8,AK8),"")</f>
        <v>126.3</v>
      </c>
      <c r="AM8" s="37">
        <v>27.4</v>
      </c>
      <c r="AN8" s="37">
        <v>2.9</v>
      </c>
      <c r="AO8" s="37">
        <v>2.6</v>
      </c>
      <c r="AP8" s="37">
        <v>0</v>
      </c>
      <c r="AQ8" s="37">
        <v>27.8</v>
      </c>
      <c r="AR8" s="37">
        <v>5.2</v>
      </c>
      <c r="AS8" s="37">
        <v>0</v>
      </c>
      <c r="AT8" s="37">
        <v>0</v>
      </c>
      <c r="AU8" s="37">
        <v>27.2</v>
      </c>
      <c r="AV8" s="37">
        <v>6.8</v>
      </c>
      <c r="AW8" s="37">
        <v>1.5</v>
      </c>
      <c r="AX8" s="37">
        <v>0</v>
      </c>
      <c r="AY8" s="37">
        <v>27.7</v>
      </c>
      <c r="AZ8" s="37">
        <v>6.4</v>
      </c>
      <c r="BA8" s="37">
        <v>0</v>
      </c>
      <c r="BB8" s="37">
        <v>0</v>
      </c>
      <c r="BC8" s="75"/>
      <c r="BD8" s="15">
        <f>IF(SUM(AN8,AR8)&gt;0,SUM(AN8,AR8),"")</f>
        <v>8.1</v>
      </c>
      <c r="BE8" s="15">
        <f>IF(SUM(AN8,AR8,AV8,AZ8)&gt;0,SUM(AN8,AR8,AV8,AZ8),"")</f>
        <v>21.299999999999997</v>
      </c>
      <c r="BF8" s="15">
        <f>IF(SUM(AM8:AN8,AP8:AR8,AT8)-SUM(AO8,AS8)&gt;0,SUM(AM8:AN8,AP8:AR8,AT8)-SUM(AO8,AS8),"")</f>
        <v>60.699999999999996</v>
      </c>
      <c r="BG8" s="15">
        <f>IF(SUM(AU8:AV8,AX8:AZ8,BB8)-SUM(AW8,BA8)&gt;0,SUM(AU8:AV8,AX8:AZ8,BB8)-SUM(AW8,BA8),"")</f>
        <v>66.600000000000009</v>
      </c>
      <c r="BH8" s="15">
        <f>IF(SUM(BF8,BG8)&gt;0,SUM(BF8,BG8),"")</f>
        <v>127.30000000000001</v>
      </c>
      <c r="BI8" s="24" t="str">
        <f>IF(MAX(CE8,CZ8,DU8,EP8,FK8,GF8,HA8,HV8,IQ8,JL8,KG8,LB8)-IF(J8="",0,J8)&gt;0.001,MAX(CE8,CZ8,DU8,EP8,FK8,GF8,HA8,HV8,IQ8,JL8,KG8,LB8)-IF(J8="",0,J8),"")</f>
        <v/>
      </c>
      <c r="BJ8" s="24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27.2</v>
      </c>
      <c r="LD8" s="63">
        <f t="shared" si="0"/>
        <v>4.05</v>
      </c>
      <c r="LE8" s="63">
        <f t="shared" si="0"/>
        <v>1.45</v>
      </c>
      <c r="LF8" s="63">
        <f t="shared" si="0"/>
        <v>0</v>
      </c>
      <c r="LG8" s="63">
        <f t="shared" si="0"/>
        <v>27.950000000000003</v>
      </c>
      <c r="LH8" s="63">
        <f t="shared" si="0"/>
        <v>5.2</v>
      </c>
      <c r="LI8" s="63">
        <f t="shared" si="0"/>
        <v>0</v>
      </c>
      <c r="LJ8" s="63">
        <f t="shared" si="0"/>
        <v>0</v>
      </c>
      <c r="LK8" s="63">
        <f t="shared" si="0"/>
        <v>26.15</v>
      </c>
      <c r="LL8" s="63">
        <f t="shared" si="0"/>
        <v>6.8</v>
      </c>
      <c r="LM8" s="63">
        <f t="shared" si="0"/>
        <v>0.9</v>
      </c>
      <c r="LN8" s="63">
        <f t="shared" si="0"/>
        <v>0</v>
      </c>
      <c r="LO8" s="63">
        <f t="shared" si="0"/>
        <v>26.299999999999997</v>
      </c>
      <c r="LP8" s="63">
        <f t="shared" si="0"/>
        <v>6.4</v>
      </c>
      <c r="LQ8" s="63">
        <f t="shared" si="0"/>
        <v>0.9</v>
      </c>
      <c r="LR8" s="63">
        <f t="shared" si="0"/>
        <v>0</v>
      </c>
      <c r="LS8" s="74" t="s">
        <v>116</v>
      </c>
      <c r="LT8" s="12">
        <f t="shared" si="7"/>
        <v>9.25</v>
      </c>
      <c r="LU8" s="12">
        <f t="shared" si="8"/>
        <v>22.450000000000003</v>
      </c>
      <c r="LV8" s="12">
        <f t="shared" si="9"/>
        <v>62.95</v>
      </c>
      <c r="LW8" s="12">
        <f t="shared" si="10"/>
        <v>63.849999999999994</v>
      </c>
      <c r="LX8" s="12">
        <f t="shared" si="11"/>
        <v>126.8</v>
      </c>
    </row>
    <row r="9" spans="1:336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114</v>
      </c>
      <c r="C9" s="5" t="s">
        <v>4</v>
      </c>
      <c r="D9" s="6">
        <v>2003</v>
      </c>
      <c r="E9" s="16">
        <f>SUM(J9:N9)</f>
        <v>186.9</v>
      </c>
      <c r="F9" s="4" t="str">
        <f>IF(OR(AND(AH9&gt;=AK$16,AJ9&gt;=AK$19,AJ9&lt;&gt;"",AG9=""),AND(BD9&gt;=BG$16,BF9&gt;=BG$19,BF9&lt;&gt;"",BC9=""),AND(CA9&gt;=CD$16,CC9&gt;=CD$19,CC9&lt;&gt;""),AND(CV9&gt;=CY$16,CX9&gt;=CY$19,CX9&lt;&gt;""),AND(DQ9&gt;=DT$16,DS9&gt;=DT$19,DS9&lt;&gt;""),AND(EL9&gt;=EO$16,EN9&gt;=EO$19,EN9&lt;&gt;""),AND(FG9&gt;=FJ$16,FI9&gt;=FJ$19,FI9&lt;&gt;""),AND(GB9&gt;=GE$16,GD9&gt;=GE$19,GD9&lt;&gt;""),AND(GW9&gt;=GZ$16,GY9&gt;=GZ$19,GY9&lt;&gt;""),AND(HR9&gt;=HU$16,HT9&gt;=HU$19,HT9&lt;&gt;""),AND(IM9&gt;=IP$16,IO9&gt;=IP$19,IO9&lt;&gt;""),AND(JH9&gt;=JK$16,JJ9&gt;=JK$19,JJ9&lt;&gt;""),AND(KC9&gt;=KF$16,KE9&gt;=KF$19,KE9&lt;&gt;""),AND(KX9&gt;=LA$16,KZ9&gt;=LA$19,KZ9&lt;&gt;"")),"P","")</f>
        <v/>
      </c>
      <c r="G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H9" s="4" t="str">
        <f>IF(OR(AND(AJ9&gt;=AK$19,AJ9&lt;&gt;"",AG9=""),AND(BF9&gt;=BG$19,BF9&lt;&gt;"",BC9=""),AND(CC9&gt;=CD$19,CC9&lt;&gt;""),AND(CX9&gt;=CY$19,CX9&lt;&gt;""),AND(DS9&gt;=DT$19,DS9&lt;&gt;""),AND(EN9&gt;=EO$19,EN9&lt;&gt;""),AND(FI9&gt;=FJ$19,FI9&lt;&gt;""),AND(GD9&gt;=GE$19,GD9&lt;&gt;""),AND(GY9&gt;=GZ$19,GY9&lt;&gt;""),AND(HT9&gt;=HU$19,HT9&lt;&gt;""),AND(IO9&gt;=IP$19,IO9&lt;&gt;""),AND(JJ9&gt;=JK$19,JJ9&lt;&gt;""),AND(KE9&gt;=KF$19,KE9&lt;&gt;""),AND(KZ9&gt;=LA$19,KZ9&lt;&gt;"")),"P","")</f>
        <v/>
      </c>
      <c r="I9" t="str">
        <f>IF(AND(H9="P",F9=""),"No DD",IF(OR(AND(AI9&gt;=AK$18,AI9&lt;&gt;"",AL9&gt;=AK$22,AL9&lt;&gt;"",AG9=""),AND(BE9&gt;=BG$18,BE9&lt;&gt;"",BH9&gt;=BG$22,BH9&lt;&gt;"",BC9=""),AND(CB9&gt;=CD$18,CB9&lt;&gt;"",CE9&gt;=CD$22,CE9&lt;&gt;""),AND(CW9&gt;=CY$18,CW9&lt;&gt;"",CZ9&gt;=CY$22,CZ9&lt;&gt;""),AND(DR9&gt;=DT$18,DR9&lt;&gt;"",DU9&gt;=DT$22,DU9&lt;&gt;""),AND(EM9&gt;=EO$18,EM9&lt;&gt;"",EP9&gt;=EO$22,EP9&lt;&gt;""),AND(FH9&gt;=FJ$18,FH9&lt;&gt;"",FK9&gt;=FJ$22,FK9&lt;&gt;""),AND(GC9&gt;=GE$18,GC9&lt;&gt;"",GF9&gt;=GE$22,GF9&lt;&gt;""),AND(GX9&gt;=GZ$18,GX9&lt;&gt;"",HA9&gt;=GZ$22,HA9&lt;&gt;""),AND(HS9&gt;=HU$18,HS9&lt;&gt;"",HV9&gt;=HU$22,HV9&lt;&gt;""),AND(IN9&gt;=IP$18,IN9&lt;&gt;"",IQ9&gt;=IP$22,IQ9&lt;&gt;""),AND(JI9&gt;=JK$18,JI9&lt;&gt;"",JL9&gt;=JK$22,JL9&lt;&gt;""),AND(KD9&gt;=KF$18,KD9&lt;&gt;"",KG9&gt;=KF$22,KG9&lt;&gt;""),AND(KY9&gt;=LA$18,KY9&lt;&gt;"",LB9&gt;=LA$22,LB9&lt;&gt;"")),"Merit",IF(OR(AND(AI9&gt;=AK$18,AI9&lt;&gt;"",AL9&gt;=AK$21,AL9&lt;&gt;"",AG9=""),AND(BE9&gt;=BG$18,BE9&lt;&gt;"",BH9&gt;=BG$21,BH9&lt;&gt;"",BC9=""),AND(CB9&gt;=CD$18,CB9&lt;&gt;"",CE9&gt;=CD$21,CE9&lt;&gt;""),AND(CW9&gt;=CY$18,CW9&lt;&gt;"",CZ9&gt;=CY$21,CZ9&lt;&gt;""),AND(DR9&gt;=DT$18,DR9&lt;&gt;"",DU9&gt;=DT$21,DU9&lt;&gt;""),AND(EM9&gt;=EO$18,EM9&lt;&gt;"",EP9&gt;=EO$21,EP9&lt;&gt;""),AND(FH9&gt;=FJ$18,FH9&lt;&gt;"",FK9&gt;=FJ$21,FK9&lt;&gt;""),AND(GC9&gt;=GE$18,GC9&lt;&gt;"",GF9&gt;=GE$21,GF9&lt;&gt;""),AND(GX9&gt;=GZ$18,GX9&lt;&gt;"",HA9&gt;=GZ$21,HA9&lt;&gt;""),AND(HS9&gt;=HU$18,HS9&lt;&gt;"",HV9&gt;=HU$21,HV9&lt;&gt;""),AND(IN9&gt;=IP$18,IN9&lt;&gt;"",IQ9&gt;=IP$21,IQ9&lt;&gt;""),AND(JI9&gt;=JK$18,JI9&lt;&gt;"",JL9&gt;=JK$21,JL9&lt;&gt;""),AND(KD9&gt;=KF$18,KD9&lt;&gt;"",KG9&gt;=KF$21,KG9&lt;&gt;""),AND(KY9&gt;=LA$18,KY9&lt;&gt;"",LB9&gt;=LA$21,LB9&lt;&gt;"")),"Excellence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Worlds Team",IF(OR(AND(AH9&gt;=AK$16,AH9&lt;&gt;"",AJ9&gt;=AK$19,AJ9&lt;&gt;"",AG9=""),AND(BD9&gt;=BG$16,BD9&lt;&gt;"",BF9&gt;=BG$19,BF9&lt;&gt;"",BC9=""),AND(CA9&gt;=CD$16,CA9&lt;&gt;"",CC9&gt;=CD$19,CC9&lt;&gt;""),AND(CV9&gt;=CY$16,CV9&lt;&gt;"",CX9&gt;=CY$19,CX9&lt;&gt;""),AND(DQ9&gt;=DT$16,DQ9&lt;&gt;"",DS9&gt;=DT$19,DS9&lt;&gt;""),AND(EL9&gt;=EO$16,EL9&lt;&gt;"",EN9&gt;=EO$19,EN9&lt;&gt;""),AND(FG9&gt;=FJ$16,FG9&lt;&gt;"",FI9&gt;=FJ$19,FI9&lt;&gt;""),AND(GB9&gt;=GE$16,GB9&lt;&gt;"",GD9&gt;=GE$19,GD9&lt;&gt;""),AND(GW9&gt;=GZ$16,GW9&lt;&gt;"",GY9&gt;=GZ$19,GY9&lt;&gt;""),AND(HR9&gt;=HU$16,HR9&lt;&gt;"",HT9&gt;=HU$19,HT9&lt;&gt;""),AND(IM9&gt;=IP$16,IM9&lt;&gt;"",IO9&gt;=IP$19,IO9&lt;&gt;""),AND(JH9&gt;=JK$16,JH9&lt;&gt;"",JJ9&gt;=JK$19,JJ9&lt;&gt;""),AND(KC9&gt;=KF$16,KC9&lt;&gt;"",KE9&gt;=KF$19,KE9&lt;&gt;""),AND(KX9&gt;=LA$16,KX9&lt;&gt;"",KZ9&gt;=LA$19,KZ9&lt;&gt;"")),"National Team","")))))</f>
        <v/>
      </c>
      <c r="J9" s="15">
        <f>IF(MAX(AL9,BH9)&gt;0,MAX(AL9,BH9),"")</f>
        <v>131.5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55.400000000000006</v>
      </c>
      <c r="M9" s="15" t="str">
        <f>IF(L9="","",IF(AND(J9&lt;&gt;BH9,OR(L9=BG9,L9=BF9)),$AM$1,IF(OR(L9=AK9,L9=AJ9),$Q$1,"")))</f>
        <v>2018 Nationals</v>
      </c>
      <c r="N9" s="15" t="str">
        <f>IF(MAX(BI9:BJ9)&gt;0,MAX(BI9:BJ9),"")</f>
        <v/>
      </c>
      <c r="O9" s="25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63">
        <v>27.7</v>
      </c>
      <c r="R9" s="63">
        <v>6.4</v>
      </c>
      <c r="S9" s="63">
        <v>0.9</v>
      </c>
      <c r="T9" s="63">
        <v>0</v>
      </c>
      <c r="U9" s="63">
        <v>19.8</v>
      </c>
      <c r="V9" s="63">
        <v>2.4</v>
      </c>
      <c r="W9" s="63">
        <v>0</v>
      </c>
      <c r="X9" s="63">
        <v>0</v>
      </c>
      <c r="Y9" s="63">
        <v>27.3</v>
      </c>
      <c r="Z9" s="63">
        <v>4.8</v>
      </c>
      <c r="AA9" s="63">
        <v>0.3</v>
      </c>
      <c r="AB9" s="63">
        <v>0</v>
      </c>
      <c r="AC9" s="63">
        <v>0</v>
      </c>
      <c r="AD9" s="63">
        <v>0</v>
      </c>
      <c r="AE9" s="63">
        <v>0</v>
      </c>
      <c r="AF9" s="63">
        <v>0</v>
      </c>
      <c r="AG9" s="74"/>
      <c r="AH9" s="12">
        <f>IF(SUM(R9,V9)&gt;0,SUM(R9,V9),"")</f>
        <v>8.8000000000000007</v>
      </c>
      <c r="AI9" s="12">
        <f>IF(SUM(R9,V9,Z9,AD9)&gt;0,SUM(R9,V9,Z9,AD9),"")</f>
        <v>13.600000000000001</v>
      </c>
      <c r="AJ9" s="12">
        <f>IF(SUM(Q9:R9,T9:V9,X9)-SUM(S9,W9)&gt;0,SUM(Q9:R9,T9:V9,X9)-SUM(S9,W9),"")</f>
        <v>55.400000000000006</v>
      </c>
      <c r="AK9" s="12">
        <f>IF(SUM(Y9:Z9,AB9:AD9,AF9)-SUM(AA9,AE9)&gt;0,SUM(Y9:Z9,AB9:AD9,AF9)-SUM(AA9,AE9),"")</f>
        <v>31.8</v>
      </c>
      <c r="AL9" s="12">
        <f>IF(SUM(AJ9,AK9)&gt;0,SUM(AJ9,AK9),"")</f>
        <v>87.2</v>
      </c>
      <c r="AM9" s="37">
        <v>27.6</v>
      </c>
      <c r="AN9" s="37">
        <v>6.4</v>
      </c>
      <c r="AO9" s="37">
        <v>1.2</v>
      </c>
      <c r="AP9" s="37">
        <v>0</v>
      </c>
      <c r="AQ9" s="37">
        <v>27.7</v>
      </c>
      <c r="AR9" s="37">
        <v>6.8</v>
      </c>
      <c r="AS9" s="37">
        <v>1.2</v>
      </c>
      <c r="AT9" s="37">
        <v>0</v>
      </c>
      <c r="AU9" s="37">
        <v>27.4</v>
      </c>
      <c r="AV9" s="37">
        <v>6</v>
      </c>
      <c r="AW9" s="37">
        <v>1.2</v>
      </c>
      <c r="AX9" s="37">
        <v>0</v>
      </c>
      <c r="AY9" s="37">
        <v>27.3</v>
      </c>
      <c r="AZ9" s="37">
        <v>6.8</v>
      </c>
      <c r="BA9" s="37">
        <v>0.9</v>
      </c>
      <c r="BB9" s="37">
        <v>0</v>
      </c>
      <c r="BC9" s="75"/>
      <c r="BD9" s="15">
        <f>IF(SUM(AN9,AR9)&gt;0,SUM(AN9,AR9),"")</f>
        <v>13.2</v>
      </c>
      <c r="BE9" s="15">
        <f>IF(SUM(AN9,AR9,AV9,AZ9)&gt;0,SUM(AN9,AR9,AV9,AZ9),"")</f>
        <v>26</v>
      </c>
      <c r="BF9" s="15">
        <f>IF(SUM(AM9:AN9,AP9:AR9,AT9)-SUM(AO9,AS9)&gt;0,SUM(AM9:AN9,AP9:AR9,AT9)-SUM(AO9,AS9),"")</f>
        <v>66.099999999999994</v>
      </c>
      <c r="BG9" s="15">
        <f>IF(SUM(AU9:AV9,AX9:AZ9,BB9)-SUM(AW9,BA9)&gt;0,SUM(AU9:AV9,AX9:AZ9,BB9)-SUM(AW9,BA9),"")</f>
        <v>65.400000000000006</v>
      </c>
      <c r="BH9" s="15">
        <f>IF(SUM(BF9,BG9)&gt;0,SUM(BF9,BG9),"")</f>
        <v>131.5</v>
      </c>
      <c r="BI9" s="24" t="str">
        <f>IF(MAX(CE9,CZ9,DU9,EP9,FK9,GF9,HA9,HV9,IQ9,JL9,KG9,LB9)-IF(J9="",0,J9)&gt;0.001,MAX(CE9,CZ9,DU9,EP9,FK9,GF9,HA9,HV9,IQ9,JL9,KG9,LB9)-IF(J9="",0,J9),"")</f>
        <v/>
      </c>
      <c r="BJ9" s="24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63">
        <f t="shared" si="6"/>
        <v>27.65</v>
      </c>
      <c r="LD9" s="63">
        <f t="shared" si="0"/>
        <v>6.4</v>
      </c>
      <c r="LE9" s="63">
        <f t="shared" si="0"/>
        <v>1.05</v>
      </c>
      <c r="LF9" s="63">
        <f t="shared" si="0"/>
        <v>0</v>
      </c>
      <c r="LG9" s="63">
        <f t="shared" si="0"/>
        <v>23.75</v>
      </c>
      <c r="LH9" s="63">
        <f t="shared" si="0"/>
        <v>4.5999999999999996</v>
      </c>
      <c r="LI9" s="63">
        <f t="shared" si="0"/>
        <v>0.6</v>
      </c>
      <c r="LJ9" s="63">
        <f t="shared" si="0"/>
        <v>0</v>
      </c>
      <c r="LK9" s="63">
        <f t="shared" si="0"/>
        <v>27.35</v>
      </c>
      <c r="LL9" s="63">
        <f t="shared" si="0"/>
        <v>5.4</v>
      </c>
      <c r="LM9" s="63">
        <f t="shared" si="0"/>
        <v>0.75</v>
      </c>
      <c r="LN9" s="63">
        <f t="shared" si="0"/>
        <v>0</v>
      </c>
      <c r="LO9" s="63">
        <f t="shared" si="0"/>
        <v>13.65</v>
      </c>
      <c r="LP9" s="63">
        <f t="shared" si="0"/>
        <v>3.4</v>
      </c>
      <c r="LQ9" s="63">
        <f t="shared" si="0"/>
        <v>0.45</v>
      </c>
      <c r="LR9" s="63">
        <f t="shared" si="0"/>
        <v>0</v>
      </c>
      <c r="LS9" s="74" t="s">
        <v>116</v>
      </c>
      <c r="LT9" s="12">
        <f t="shared" si="7"/>
        <v>11</v>
      </c>
      <c r="LU9" s="12">
        <f t="shared" si="8"/>
        <v>19.799999999999997</v>
      </c>
      <c r="LV9" s="12">
        <f t="shared" si="9"/>
        <v>60.75</v>
      </c>
      <c r="LW9" s="12">
        <f t="shared" si="10"/>
        <v>48.599999999999994</v>
      </c>
      <c r="LX9" s="12">
        <f t="shared" si="11"/>
        <v>109.35</v>
      </c>
    </row>
    <row r="10" spans="1:336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9" t="s">
        <v>83</v>
      </c>
      <c r="C10" s="5" t="s">
        <v>4</v>
      </c>
      <c r="D10" s="6">
        <v>2002</v>
      </c>
      <c r="E10" s="16">
        <f>SUM(J10:N10)</f>
        <v>132.80000000000001</v>
      </c>
      <c r="F10" s="4" t="str">
        <f>IF(OR(AND(AH10&gt;=AK$16,AJ10&gt;=AK$19,AJ10&lt;&gt;"",AG10=""),AND(BD10&gt;=BG$16,BF10&gt;=BG$19,BF10&lt;&gt;"",BC10=""),AND(CA10&gt;=CD$16,CC10&gt;=CD$19,CC10&lt;&gt;""),AND(CV10&gt;=CY$16,CX10&gt;=CY$19,CX10&lt;&gt;""),AND(DQ10&gt;=DT$16,DS10&gt;=DT$19,DS10&lt;&gt;""),AND(EL10&gt;=EO$16,EN10&gt;=EO$19,EN10&lt;&gt;""),AND(FG10&gt;=FJ$16,FI10&gt;=FJ$19,FI10&lt;&gt;""),AND(GB10&gt;=GE$16,GD10&gt;=GE$19,GD10&lt;&gt;""),AND(GW10&gt;=GZ$16,GY10&gt;=GZ$19,GY10&lt;&gt;""),AND(HR10&gt;=HU$16,HT10&gt;=HU$19,HT10&lt;&gt;""),AND(IM10&gt;=IP$16,IO10&gt;=IP$19,IO10&lt;&gt;""),AND(JH10&gt;=JK$16,JJ10&gt;=JK$19,JJ10&lt;&gt;""),AND(KC10&gt;=KF$16,KE10&gt;=KF$19,KE10&lt;&gt;""),AND(KX10&gt;=LA$16,KZ10&gt;=LA$19,KZ10&lt;&gt;"")),"P","")</f>
        <v/>
      </c>
      <c r="G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H10" s="4" t="str">
        <f>IF(OR(AND(AJ10&gt;=AK$19,AJ10&lt;&gt;"",AG10=""),AND(BF10&gt;=BG$19,BF10&lt;&gt;"",BC10=""),AND(CC10&gt;=CD$19,CC10&lt;&gt;""),AND(CX10&gt;=CY$19,CX10&lt;&gt;""),AND(DS10&gt;=DT$19,DS10&lt;&gt;""),AND(EN10&gt;=EO$19,EN10&lt;&gt;""),AND(FI10&gt;=FJ$19,FI10&lt;&gt;""),AND(GD10&gt;=GE$19,GD10&lt;&gt;""),AND(GY10&gt;=GZ$19,GY10&lt;&gt;""),AND(HT10&gt;=HU$19,HT10&lt;&gt;""),AND(IO10&gt;=IP$19,IO10&lt;&gt;""),AND(JJ10&gt;=JK$19,JJ10&lt;&gt;""),AND(KE10&gt;=KF$19,KE10&lt;&gt;""),AND(KZ10&gt;=LA$19,KZ10&lt;&gt;"")),"P","")</f>
        <v/>
      </c>
      <c r="I10" t="str">
        <f>IF(AND(H10="P",F10=""),"No DD",IF(OR(AND(AI10&gt;=AK$18,AI10&lt;&gt;"",AL10&gt;=AK$22,AL10&lt;&gt;"",AG10=""),AND(BE10&gt;=BG$18,BE10&lt;&gt;"",BH10&gt;=BG$22,BH10&lt;&gt;"",BC10=""),AND(CB10&gt;=CD$18,CB10&lt;&gt;"",CE10&gt;=CD$22,CE10&lt;&gt;""),AND(CW10&gt;=CY$18,CW10&lt;&gt;"",CZ10&gt;=CY$22,CZ10&lt;&gt;""),AND(DR10&gt;=DT$18,DR10&lt;&gt;"",DU10&gt;=DT$22,DU10&lt;&gt;""),AND(EM10&gt;=EO$18,EM10&lt;&gt;"",EP10&gt;=EO$22,EP10&lt;&gt;""),AND(FH10&gt;=FJ$18,FH10&lt;&gt;"",FK10&gt;=FJ$22,FK10&lt;&gt;""),AND(GC10&gt;=GE$18,GC10&lt;&gt;"",GF10&gt;=GE$22,GF10&lt;&gt;""),AND(GX10&gt;=GZ$18,GX10&lt;&gt;"",HA10&gt;=GZ$22,HA10&lt;&gt;""),AND(HS10&gt;=HU$18,HS10&lt;&gt;"",HV10&gt;=HU$22,HV10&lt;&gt;""),AND(IN10&gt;=IP$18,IN10&lt;&gt;"",IQ10&gt;=IP$22,IQ10&lt;&gt;""),AND(JI10&gt;=JK$18,JI10&lt;&gt;"",JL10&gt;=JK$22,JL10&lt;&gt;""),AND(KD10&gt;=KF$18,KD10&lt;&gt;"",KG10&gt;=KF$22,KG10&lt;&gt;""),AND(KY10&gt;=LA$18,KY10&lt;&gt;"",LB10&gt;=LA$22,LB10&lt;&gt;"")),"Merit",IF(OR(AND(AI10&gt;=AK$18,AI10&lt;&gt;"",AL10&gt;=AK$21,AL10&lt;&gt;"",AG10=""),AND(BE10&gt;=BG$18,BE10&lt;&gt;"",BH10&gt;=BG$21,BH10&lt;&gt;"",BC10=""),AND(CB10&gt;=CD$18,CB10&lt;&gt;"",CE10&gt;=CD$21,CE10&lt;&gt;""),AND(CW10&gt;=CY$18,CW10&lt;&gt;"",CZ10&gt;=CY$21,CZ10&lt;&gt;""),AND(DR10&gt;=DT$18,DR10&lt;&gt;"",DU10&gt;=DT$21,DU10&lt;&gt;""),AND(EM10&gt;=EO$18,EM10&lt;&gt;"",EP10&gt;=EO$21,EP10&lt;&gt;""),AND(FH10&gt;=FJ$18,FH10&lt;&gt;"",FK10&gt;=FJ$21,FK10&lt;&gt;""),AND(GC10&gt;=GE$18,GC10&lt;&gt;"",GF10&gt;=GE$21,GF10&lt;&gt;""),AND(GX10&gt;=GZ$18,GX10&lt;&gt;"",HA10&gt;=GZ$21,HA10&lt;&gt;""),AND(HS10&gt;=HU$18,HS10&lt;&gt;"",HV10&gt;=HU$21,HV10&lt;&gt;""),AND(IN10&gt;=IP$18,IN10&lt;&gt;"",IQ10&gt;=IP$21,IQ10&lt;&gt;""),AND(JI10&gt;=JK$18,JI10&lt;&gt;"",JL10&gt;=JK$21,JL10&lt;&gt;""),AND(KD10&gt;=KF$18,KD10&lt;&gt;"",KG10&gt;=KF$21,KG10&lt;&gt;""),AND(KY10&gt;=LA$18,KY10&lt;&gt;"",LB10&gt;=LA$21,LB10&lt;&gt;"")),"Excellence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Worlds Team",IF(OR(AND(AH10&gt;=AK$16,AH10&lt;&gt;"",AJ10&gt;=AK$19,AJ10&lt;&gt;"",AG10=""),AND(BD10&gt;=BG$16,BD10&lt;&gt;"",BF10&gt;=BG$19,BF10&lt;&gt;"",BC10=""),AND(CA10&gt;=CD$16,CA10&lt;&gt;"",CC10&gt;=CD$19,CC10&lt;&gt;""),AND(CV10&gt;=CY$16,CV10&lt;&gt;"",CX10&gt;=CY$19,CX10&lt;&gt;""),AND(DQ10&gt;=DT$16,DQ10&lt;&gt;"",DS10&gt;=DT$19,DS10&lt;&gt;""),AND(EL10&gt;=EO$16,EL10&lt;&gt;"",EN10&gt;=EO$19,EN10&lt;&gt;""),AND(FG10&gt;=FJ$16,FG10&lt;&gt;"",FI10&gt;=FJ$19,FI10&lt;&gt;""),AND(GB10&gt;=GE$16,GB10&lt;&gt;"",GD10&gt;=GE$19,GD10&lt;&gt;""),AND(GW10&gt;=GZ$16,GW10&lt;&gt;"",GY10&gt;=GZ$19,GY10&lt;&gt;""),AND(HR10&gt;=HU$16,HR10&lt;&gt;"",HT10&gt;=HU$19,HT10&lt;&gt;""),AND(IM10&gt;=IP$16,IM10&lt;&gt;"",IO10&gt;=IP$19,IO10&lt;&gt;""),AND(JH10&gt;=JK$16,JH10&lt;&gt;"",JJ10&gt;=JK$19,JJ10&lt;&gt;""),AND(KC10&gt;=KF$16,KC10&lt;&gt;"",KE10&gt;=KF$19,KE10&lt;&gt;""),AND(KX10&gt;=LA$16,KX10&lt;&gt;"",KZ10&gt;=LA$19,KZ10&lt;&gt;"")),"National Team","")))))</f>
        <v/>
      </c>
      <c r="J10" s="15">
        <f>IF(MAX(AL10,BH10)&gt;0,MAX(AL10,BH10),"")</f>
        <v>99.8</v>
      </c>
      <c r="K10" s="15" t="str">
        <f>IF(J10="","",IF(J10=BH10,$AM$1,IF(J10=AL10,$Q$1,"")))</f>
        <v>2018 Nationals</v>
      </c>
      <c r="L10" s="15">
        <f>IF(J10=AL10,IF(MAX(BF10,BG10)&gt;0,MAX(BF10,BG10),""),IF(J10=BH10,IF(MAX(AJ10,AK10)&gt;0,MAX(AJ10,AK10),""),MAX(AJ10,AK10,BF10,BG10)))</f>
        <v>33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5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63">
        <v>28.2</v>
      </c>
      <c r="R10" s="63">
        <v>6.8</v>
      </c>
      <c r="S10" s="63">
        <v>1.2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27.7</v>
      </c>
      <c r="Z10" s="63">
        <v>6.8</v>
      </c>
      <c r="AA10" s="63">
        <v>1.2</v>
      </c>
      <c r="AB10" s="63">
        <v>0</v>
      </c>
      <c r="AC10" s="63">
        <v>27.5</v>
      </c>
      <c r="AD10" s="63">
        <v>6.4</v>
      </c>
      <c r="AE10" s="63">
        <v>1.2</v>
      </c>
      <c r="AF10" s="63">
        <v>0</v>
      </c>
      <c r="AG10" s="74"/>
      <c r="AH10" s="12">
        <f>IF(SUM(R10,V10)&gt;0,SUM(R10,V10),"")</f>
        <v>6.8</v>
      </c>
      <c r="AI10" s="12">
        <f>IF(SUM(R10,V10,Z10,AD10)&gt;0,SUM(R10,V10,Z10,AD10),"")</f>
        <v>20</v>
      </c>
      <c r="AJ10" s="12">
        <f>IF(SUM(Q10:R10,T10:V10,X10)-SUM(S10,W10)&gt;0,SUM(Q10:R10,T10:V10,X10)-SUM(S10,W10),"")</f>
        <v>33.799999999999997</v>
      </c>
      <c r="AK10" s="12">
        <f>IF(SUM(Y10:Z10,AB10:AD10,AF10)-SUM(AA10,AE10)&gt;0,SUM(Y10:Z10,AB10:AD10,AF10)-SUM(AA10,AE10),"")</f>
        <v>66</v>
      </c>
      <c r="AL10" s="12">
        <f>IF(SUM(AJ10,AK10)&gt;0,SUM(AJ10,AK10),"")</f>
        <v>99.8</v>
      </c>
      <c r="AM10" s="37">
        <v>0</v>
      </c>
      <c r="AN10" s="37">
        <v>0</v>
      </c>
      <c r="AO10" s="37">
        <v>0</v>
      </c>
      <c r="AP10" s="37">
        <v>0</v>
      </c>
      <c r="AQ10" s="37">
        <v>27.7</v>
      </c>
      <c r="AR10" s="37">
        <v>6.8</v>
      </c>
      <c r="AS10" s="37">
        <v>1.5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>IF(SUM(AN10,AR10)&gt;0,SUM(AN10,AR10),"")</f>
        <v>6.8</v>
      </c>
      <c r="BE10" s="15">
        <f>IF(SUM(AN10,AR10,AV10,AZ10)&gt;0,SUM(AN10,AR10,AV10,AZ10),"")</f>
        <v>6.8</v>
      </c>
      <c r="BF10" s="15">
        <f>IF(SUM(AM10:AN10,AP10:AR10,AT10)-SUM(AO10,AS10)&gt;0,SUM(AM10:AN10,AP10:AR10,AT10)-SUM(AO10,AS10),"")</f>
        <v>33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33</v>
      </c>
      <c r="BI10" s="24" t="str">
        <f>IF(MAX(CE10,CZ10,DU10,EP10,FK10,GF10,HA10,HV10,IQ10,JL10,KG10,LB10)-IF(J10="",0,J10)&gt;0.001,MAX(CE10,CZ10,DU10,EP10,FK10,GF10,HA10,HV10,IQ10,JL10,KG10,LB10)-IF(J10="",0,J10),"")</f>
        <v/>
      </c>
      <c r="BJ10" s="24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63">
        <f t="shared" si="6"/>
        <v>14.1</v>
      </c>
      <c r="LD10" s="63">
        <f t="shared" si="0"/>
        <v>3.4</v>
      </c>
      <c r="LE10" s="63">
        <f t="shared" si="0"/>
        <v>0.6</v>
      </c>
      <c r="LF10" s="63">
        <f t="shared" si="0"/>
        <v>0</v>
      </c>
      <c r="LG10" s="63">
        <f t="shared" si="0"/>
        <v>13.85</v>
      </c>
      <c r="LH10" s="63">
        <f t="shared" si="0"/>
        <v>3.4</v>
      </c>
      <c r="LI10" s="63">
        <f t="shared" si="0"/>
        <v>0.75</v>
      </c>
      <c r="LJ10" s="63">
        <f t="shared" si="0"/>
        <v>0</v>
      </c>
      <c r="LK10" s="63">
        <f t="shared" si="0"/>
        <v>13.85</v>
      </c>
      <c r="LL10" s="63">
        <f t="shared" si="0"/>
        <v>3.4</v>
      </c>
      <c r="LM10" s="63">
        <f t="shared" si="0"/>
        <v>0.6</v>
      </c>
      <c r="LN10" s="63">
        <f t="shared" si="0"/>
        <v>0</v>
      </c>
      <c r="LO10" s="63">
        <f t="shared" si="0"/>
        <v>13.75</v>
      </c>
      <c r="LP10" s="63">
        <f t="shared" si="0"/>
        <v>3.2</v>
      </c>
      <c r="LQ10" s="63">
        <f t="shared" si="0"/>
        <v>0.6</v>
      </c>
      <c r="LR10" s="63">
        <f t="shared" si="0"/>
        <v>0</v>
      </c>
      <c r="LS10" s="74" t="s">
        <v>116</v>
      </c>
      <c r="LT10" s="12">
        <f t="shared" si="7"/>
        <v>6.8</v>
      </c>
      <c r="LU10" s="12">
        <f t="shared" si="8"/>
        <v>13.399999999999999</v>
      </c>
      <c r="LV10" s="12">
        <f t="shared" si="9"/>
        <v>33.4</v>
      </c>
      <c r="LW10" s="12">
        <f t="shared" si="10"/>
        <v>33</v>
      </c>
      <c r="LX10" s="12">
        <f t="shared" si="11"/>
        <v>66.400000000000006</v>
      </c>
    </row>
    <row r="11" spans="1:336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113</v>
      </c>
      <c r="C11" s="5" t="s">
        <v>3</v>
      </c>
      <c r="D11" s="6">
        <v>2000</v>
      </c>
      <c r="E11" s="16">
        <f>SUM(J11:N11)</f>
        <v>119.59999999999998</v>
      </c>
      <c r="F11" s="4" t="str">
        <f>IF(OR(AND(AH11&gt;=AK$16,AJ11&gt;=AK$19,AJ11&lt;&gt;"",AG11=""),AND(BD11&gt;=BG$16,BF11&gt;=BG$19,BF11&lt;&gt;"",BC11=""),AND(CA11&gt;=CD$16,CC11&gt;=CD$19,CC11&lt;&gt;""),AND(CV11&gt;=CY$16,CX11&gt;=CY$19,CX11&lt;&gt;""),AND(DQ11&gt;=DT$16,DS11&gt;=DT$19,DS11&lt;&gt;""),AND(EL11&gt;=EO$16,EN11&gt;=EO$19,EN11&lt;&gt;""),AND(FG11&gt;=FJ$16,FI11&gt;=FJ$19,FI11&lt;&gt;""),AND(GB11&gt;=GE$16,GD11&gt;=GE$19,GD11&lt;&gt;""),AND(GW11&gt;=GZ$16,GY11&gt;=GZ$19,GY11&lt;&gt;""),AND(HR11&gt;=HU$16,HT11&gt;=HU$19,HT11&lt;&gt;""),AND(IM11&gt;=IP$16,IO11&gt;=IP$19,IO11&lt;&gt;""),AND(JH11&gt;=JK$16,JJ11&gt;=JK$19,JJ11&lt;&gt;""),AND(KC11&gt;=KF$16,KE11&gt;=KF$19,KE11&lt;&gt;""),AND(KX11&gt;=LA$16,KZ11&gt;=LA$19,KZ11&lt;&gt;"")),"P","")</f>
        <v/>
      </c>
      <c r="G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H11" s="4" t="str">
        <f>IF(OR(AND(AJ11&gt;=AK$19,AJ11&lt;&gt;"",AG11=""),AND(BF11&gt;=BG$19,BF11&lt;&gt;"",BC11=""),AND(CC11&gt;=CD$19,CC11&lt;&gt;""),AND(CX11&gt;=CY$19,CX11&lt;&gt;""),AND(DS11&gt;=DT$19,DS11&lt;&gt;""),AND(EN11&gt;=EO$19,EN11&lt;&gt;""),AND(FI11&gt;=FJ$19,FI11&lt;&gt;""),AND(GD11&gt;=GE$19,GD11&lt;&gt;""),AND(GY11&gt;=GZ$19,GY11&lt;&gt;""),AND(HT11&gt;=HU$19,HT11&lt;&gt;""),AND(IO11&gt;=IP$19,IO11&lt;&gt;""),AND(JJ11&gt;=JK$19,JJ11&lt;&gt;""),AND(KE11&gt;=KF$19,KE11&lt;&gt;""),AND(KZ11&gt;=LA$19,KZ11&lt;&gt;"")),"P","")</f>
        <v/>
      </c>
      <c r="I11" t="str">
        <f>IF(AND(H11="P",F11=""),"No DD",IF(OR(AND(AI11&gt;=AK$18,AI11&lt;&gt;"",AL11&gt;=AK$22,AL11&lt;&gt;"",AG11=""),AND(BE11&gt;=BG$18,BE11&lt;&gt;"",BH11&gt;=BG$22,BH11&lt;&gt;"",BC11=""),AND(CB11&gt;=CD$18,CB11&lt;&gt;"",CE11&gt;=CD$22,CE11&lt;&gt;""),AND(CW11&gt;=CY$18,CW11&lt;&gt;"",CZ11&gt;=CY$22,CZ11&lt;&gt;""),AND(DR11&gt;=DT$18,DR11&lt;&gt;"",DU11&gt;=DT$22,DU11&lt;&gt;""),AND(EM11&gt;=EO$18,EM11&lt;&gt;"",EP11&gt;=EO$22,EP11&lt;&gt;""),AND(FH11&gt;=FJ$18,FH11&lt;&gt;"",FK11&gt;=FJ$22,FK11&lt;&gt;""),AND(GC11&gt;=GE$18,GC11&lt;&gt;"",GF11&gt;=GE$22,GF11&lt;&gt;""),AND(GX11&gt;=GZ$18,GX11&lt;&gt;"",HA11&gt;=GZ$22,HA11&lt;&gt;""),AND(HS11&gt;=HU$18,HS11&lt;&gt;"",HV11&gt;=HU$22,HV11&lt;&gt;""),AND(IN11&gt;=IP$18,IN11&lt;&gt;"",IQ11&gt;=IP$22,IQ11&lt;&gt;""),AND(JI11&gt;=JK$18,JI11&lt;&gt;"",JL11&gt;=JK$22,JL11&lt;&gt;""),AND(KD11&gt;=KF$18,KD11&lt;&gt;"",KG11&gt;=KF$22,KG11&lt;&gt;""),AND(KY11&gt;=LA$18,KY11&lt;&gt;"",LB11&gt;=LA$22,LB11&lt;&gt;"")),"Merit",IF(OR(AND(AI11&gt;=AK$18,AI11&lt;&gt;"",AL11&gt;=AK$21,AL11&lt;&gt;"",AG11=""),AND(BE11&gt;=BG$18,BE11&lt;&gt;"",BH11&gt;=BG$21,BH11&lt;&gt;"",BC11=""),AND(CB11&gt;=CD$18,CB11&lt;&gt;"",CE11&gt;=CD$21,CE11&lt;&gt;""),AND(CW11&gt;=CY$18,CW11&lt;&gt;"",CZ11&gt;=CY$21,CZ11&lt;&gt;""),AND(DR11&gt;=DT$18,DR11&lt;&gt;"",DU11&gt;=DT$21,DU11&lt;&gt;""),AND(EM11&gt;=EO$18,EM11&lt;&gt;"",EP11&gt;=EO$21,EP11&lt;&gt;""),AND(FH11&gt;=FJ$18,FH11&lt;&gt;"",FK11&gt;=FJ$21,FK11&lt;&gt;""),AND(GC11&gt;=GE$18,GC11&lt;&gt;"",GF11&gt;=GE$21,GF11&lt;&gt;""),AND(GX11&gt;=GZ$18,GX11&lt;&gt;"",HA11&gt;=GZ$21,HA11&lt;&gt;""),AND(HS11&gt;=HU$18,HS11&lt;&gt;"",HV11&gt;=HU$21,HV11&lt;&gt;""),AND(IN11&gt;=IP$18,IN11&lt;&gt;"",IQ11&gt;=IP$21,IQ11&lt;&gt;""),AND(JI11&gt;=JK$18,JI11&lt;&gt;"",JL11&gt;=JK$21,JL11&lt;&gt;""),AND(KD11&gt;=KF$18,KD11&lt;&gt;"",KG11&gt;=KF$21,KG11&lt;&gt;""),AND(KY11&gt;=LA$18,KY11&lt;&gt;"",LB11&gt;=LA$21,LB11&lt;&gt;"")),"Excellence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Worlds Team",IF(OR(AND(AH11&gt;=AK$16,AH11&lt;&gt;"",AJ11&gt;=AK$19,AJ11&lt;&gt;"",AG11=""),AND(BD11&gt;=BG$16,BD11&lt;&gt;"",BF11&gt;=BG$19,BF11&lt;&gt;"",BC11=""),AND(CA11&gt;=CD$16,CA11&lt;&gt;"",CC11&gt;=CD$19,CC11&lt;&gt;""),AND(CV11&gt;=CY$16,CV11&lt;&gt;"",CX11&gt;=CY$19,CX11&lt;&gt;""),AND(DQ11&gt;=DT$16,DQ11&lt;&gt;"",DS11&gt;=DT$19,DS11&lt;&gt;""),AND(EL11&gt;=EO$16,EL11&lt;&gt;"",EN11&gt;=EO$19,EN11&lt;&gt;""),AND(FG11&gt;=FJ$16,FG11&lt;&gt;"",FI11&gt;=FJ$19,FI11&lt;&gt;""),AND(GB11&gt;=GE$16,GB11&lt;&gt;"",GD11&gt;=GE$19,GD11&lt;&gt;""),AND(GW11&gt;=GZ$16,GW11&lt;&gt;"",GY11&gt;=GZ$19,GY11&lt;&gt;""),AND(HR11&gt;=HU$16,HR11&lt;&gt;"",HT11&gt;=HU$19,HT11&lt;&gt;""),AND(IM11&gt;=IP$16,IM11&lt;&gt;"",IO11&gt;=IP$19,IO11&lt;&gt;""),AND(JH11&gt;=JK$16,JH11&lt;&gt;"",JJ11&gt;=JK$19,JJ11&lt;&gt;""),AND(KC11&gt;=KF$16,KC11&lt;&gt;"",KE11&gt;=KF$19,KE11&lt;&gt;""),AND(KX11&gt;=LA$16,KX11&lt;&gt;"",KZ11&gt;=LA$19,KZ11&lt;&gt;"")),"National Team","")))))</f>
        <v/>
      </c>
      <c r="J11" s="15">
        <f>IF(MAX(AL11,BH11)&gt;0,MAX(AL11,BH11),"")</f>
        <v>119.59999999999998</v>
      </c>
      <c r="K11" s="15" t="str">
        <f>IF(J11="","",IF(J11=BH11,$AM$1,IF(J11=AL11,$Q$1,"")))</f>
        <v>2018 Nationals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 t="str">
        <f>IF(MAX(BI11:BJ11)&gt;0,MAX(BI11:BJ11),"")</f>
        <v/>
      </c>
      <c r="O11" s="25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63">
        <v>27.9</v>
      </c>
      <c r="R11" s="63">
        <v>6</v>
      </c>
      <c r="S11" s="63">
        <v>0</v>
      </c>
      <c r="T11" s="63">
        <v>0</v>
      </c>
      <c r="U11" s="63">
        <v>27.7</v>
      </c>
      <c r="V11" s="63">
        <v>5.6</v>
      </c>
      <c r="W11" s="63">
        <v>0.9</v>
      </c>
      <c r="X11" s="63">
        <v>0</v>
      </c>
      <c r="Y11" s="63">
        <v>19.7</v>
      </c>
      <c r="Z11" s="63">
        <v>3.2</v>
      </c>
      <c r="AA11" s="63">
        <v>0</v>
      </c>
      <c r="AB11" s="63">
        <v>0</v>
      </c>
      <c r="AC11" s="63">
        <v>27.5</v>
      </c>
      <c r="AD11" s="63">
        <v>4.4000000000000004</v>
      </c>
      <c r="AE11" s="63">
        <v>1.5</v>
      </c>
      <c r="AF11" s="63">
        <v>0</v>
      </c>
      <c r="AG11" s="74"/>
      <c r="AH11" s="12">
        <f>IF(SUM(R11,V11)&gt;0,SUM(R11,V11),"")</f>
        <v>11.6</v>
      </c>
      <c r="AI11" s="12">
        <f>IF(SUM(R11,V11,Z11,AD11)&gt;0,SUM(R11,V11,Z11,AD11),"")</f>
        <v>19.200000000000003</v>
      </c>
      <c r="AJ11" s="12">
        <f>IF(SUM(Q11:R11,T11:V11,X11)-SUM(S11,W11)&gt;0,SUM(Q11:R11,T11:V11,X11)-SUM(S11,W11),"")</f>
        <v>66.299999999999983</v>
      </c>
      <c r="AK11" s="12">
        <f>IF(SUM(Y11:Z11,AB11:AD11,AF11)-SUM(AA11,AE11)&gt;0,SUM(Y11:Z11,AB11:AD11,AF11)-SUM(AA11,AE11),"")</f>
        <v>53.3</v>
      </c>
      <c r="AL11" s="12">
        <f>IF(SUM(AJ11,AK11)&gt;0,SUM(AJ11,AK11),"")</f>
        <v>119.59999999999998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75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4" t="str">
        <f>IF(MAX(CE11,CZ11,DU11,EP11,FK11,GF11,HA11,HV11,IQ11,JL11,KG11,LB11)-IF(J11="",0,J11)&gt;0.001,MAX(CE11,CZ11,DU11,EP11,FK11,GF11,HA11,HV11,IQ11,JL11,KG11,LB11)-IF(J11="",0,J11),"")</f>
        <v/>
      </c>
      <c r="BJ11" s="24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63">
        <f t="shared" si="6"/>
        <v>13.95</v>
      </c>
      <c r="LD11" s="63">
        <f t="shared" si="0"/>
        <v>3</v>
      </c>
      <c r="LE11" s="63">
        <f t="shared" si="0"/>
        <v>0</v>
      </c>
      <c r="LF11" s="63">
        <f t="shared" si="0"/>
        <v>0</v>
      </c>
      <c r="LG11" s="63">
        <f t="shared" si="0"/>
        <v>13.85</v>
      </c>
      <c r="LH11" s="63">
        <f t="shared" si="0"/>
        <v>2.8</v>
      </c>
      <c r="LI11" s="63">
        <f t="shared" si="0"/>
        <v>0.45</v>
      </c>
      <c r="LJ11" s="63">
        <f t="shared" si="0"/>
        <v>0</v>
      </c>
      <c r="LK11" s="63">
        <f t="shared" si="0"/>
        <v>9.85</v>
      </c>
      <c r="LL11" s="63">
        <f t="shared" si="0"/>
        <v>1.6</v>
      </c>
      <c r="LM11" s="63">
        <f t="shared" si="0"/>
        <v>0</v>
      </c>
      <c r="LN11" s="63">
        <f t="shared" si="0"/>
        <v>0</v>
      </c>
      <c r="LO11" s="63">
        <f t="shared" si="0"/>
        <v>13.75</v>
      </c>
      <c r="LP11" s="63">
        <f t="shared" si="0"/>
        <v>2.2000000000000002</v>
      </c>
      <c r="LQ11" s="63">
        <f t="shared" si="0"/>
        <v>0.75</v>
      </c>
      <c r="LR11" s="63">
        <f t="shared" si="0"/>
        <v>0</v>
      </c>
      <c r="LS11" s="74" t="s">
        <v>116</v>
      </c>
      <c r="LT11" s="12">
        <f t="shared" si="7"/>
        <v>5.8</v>
      </c>
      <c r="LU11" s="12">
        <f t="shared" si="8"/>
        <v>9.6000000000000014</v>
      </c>
      <c r="LV11" s="12">
        <f t="shared" si="9"/>
        <v>33.149999999999991</v>
      </c>
      <c r="LW11" s="12">
        <f t="shared" si="10"/>
        <v>26.65</v>
      </c>
      <c r="LX11" s="12">
        <f t="shared" si="11"/>
        <v>59.79999999999999</v>
      </c>
    </row>
    <row r="12" spans="1:336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91</v>
      </c>
      <c r="C12" s="5" t="s">
        <v>5</v>
      </c>
      <c r="D12" s="6">
        <v>2001</v>
      </c>
      <c r="E12" s="16">
        <f>SUM(J12:N12)</f>
        <v>104.6</v>
      </c>
      <c r="F12" s="4" t="str">
        <f>IF(OR(AND(AH12&gt;=AK$16,AJ12&gt;=AK$19,AJ12&lt;&gt;"",AG12=""),AND(BD12&gt;=BG$16,BF12&gt;=BG$19,BF12&lt;&gt;"",BC12=""),AND(CA12&gt;=CD$16,CC12&gt;=CD$19,CC12&lt;&gt;""),AND(CV12&gt;=CY$16,CX12&gt;=CY$19,CX12&lt;&gt;""),AND(DQ12&gt;=DT$16,DS12&gt;=DT$19,DS12&lt;&gt;""),AND(EL12&gt;=EO$16,EN12&gt;=EO$19,EN12&lt;&gt;""),AND(FG12&gt;=FJ$16,FI12&gt;=FJ$19,FI12&lt;&gt;""),AND(GB12&gt;=GE$16,GD12&gt;=GE$19,GD12&lt;&gt;""),AND(GW12&gt;=GZ$16,GY12&gt;=GZ$19,GY12&lt;&gt;""),AND(HR12&gt;=HU$16,HT12&gt;=HU$19,HT12&lt;&gt;""),AND(IM12&gt;=IP$16,IO12&gt;=IP$19,IO12&lt;&gt;""),AND(JH12&gt;=JK$16,JJ12&gt;=JK$19,JJ12&lt;&gt;""),AND(KC12&gt;=KF$16,KE12&gt;=KF$19,KE12&lt;&gt;""),AND(KX12&gt;=LA$16,KZ12&gt;=LA$19,KZ12&lt;&gt;"")),"P","")</f>
        <v/>
      </c>
      <c r="G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H12" s="4" t="str">
        <f>IF(OR(AND(AJ12&gt;=AK$19,AJ12&lt;&gt;"",AG12=""),AND(BF12&gt;=BG$19,BF12&lt;&gt;"",BC12=""),AND(CC12&gt;=CD$19,CC12&lt;&gt;""),AND(CX12&gt;=CY$19,CX12&lt;&gt;""),AND(DS12&gt;=DT$19,DS12&lt;&gt;""),AND(EN12&gt;=EO$19,EN12&lt;&gt;""),AND(FI12&gt;=FJ$19,FI12&lt;&gt;""),AND(GD12&gt;=GE$19,GD12&lt;&gt;""),AND(GY12&gt;=GZ$19,GY12&lt;&gt;""),AND(HT12&gt;=HU$19,HT12&lt;&gt;""),AND(IO12&gt;=IP$19,IO12&lt;&gt;""),AND(JJ12&gt;=JK$19,JJ12&lt;&gt;""),AND(KE12&gt;=KF$19,KE12&lt;&gt;""),AND(KZ12&gt;=LA$19,KZ12&lt;&gt;"")),"P","")</f>
        <v/>
      </c>
      <c r="I12" t="str">
        <f>IF(AND(H12="P",F12=""),"No DD",IF(OR(AND(AI12&gt;=AK$18,AI12&lt;&gt;"",AL12&gt;=AK$22,AL12&lt;&gt;"",AG12=""),AND(BE12&gt;=BG$18,BE12&lt;&gt;"",BH12&gt;=BG$22,BH12&lt;&gt;"",BC12=""),AND(CB12&gt;=CD$18,CB12&lt;&gt;"",CE12&gt;=CD$22,CE12&lt;&gt;""),AND(CW12&gt;=CY$18,CW12&lt;&gt;"",CZ12&gt;=CY$22,CZ12&lt;&gt;""),AND(DR12&gt;=DT$18,DR12&lt;&gt;"",DU12&gt;=DT$22,DU12&lt;&gt;""),AND(EM12&gt;=EO$18,EM12&lt;&gt;"",EP12&gt;=EO$22,EP12&lt;&gt;""),AND(FH12&gt;=FJ$18,FH12&lt;&gt;"",FK12&gt;=FJ$22,FK12&lt;&gt;""),AND(GC12&gt;=GE$18,GC12&lt;&gt;"",GF12&gt;=GE$22,GF12&lt;&gt;""),AND(GX12&gt;=GZ$18,GX12&lt;&gt;"",HA12&gt;=GZ$22,HA12&lt;&gt;""),AND(HS12&gt;=HU$18,HS12&lt;&gt;"",HV12&gt;=HU$22,HV12&lt;&gt;""),AND(IN12&gt;=IP$18,IN12&lt;&gt;"",IQ12&gt;=IP$22,IQ12&lt;&gt;""),AND(JI12&gt;=JK$18,JI12&lt;&gt;"",JL12&gt;=JK$22,JL12&lt;&gt;""),AND(KD12&gt;=KF$18,KD12&lt;&gt;"",KG12&gt;=KF$22,KG12&lt;&gt;""),AND(KY12&gt;=LA$18,KY12&lt;&gt;"",LB12&gt;=LA$22,LB12&lt;&gt;"")),"Merit",IF(OR(AND(AI12&gt;=AK$18,AI12&lt;&gt;"",AL12&gt;=AK$21,AL12&lt;&gt;"",AG12=""),AND(BE12&gt;=BG$18,BE12&lt;&gt;"",BH12&gt;=BG$21,BH12&lt;&gt;"",BC12=""),AND(CB12&gt;=CD$18,CB12&lt;&gt;"",CE12&gt;=CD$21,CE12&lt;&gt;""),AND(CW12&gt;=CY$18,CW12&lt;&gt;"",CZ12&gt;=CY$21,CZ12&lt;&gt;""),AND(DR12&gt;=DT$18,DR12&lt;&gt;"",DU12&gt;=DT$21,DU12&lt;&gt;""),AND(EM12&gt;=EO$18,EM12&lt;&gt;"",EP12&gt;=EO$21,EP12&lt;&gt;""),AND(FH12&gt;=FJ$18,FH12&lt;&gt;"",FK12&gt;=FJ$21,FK12&lt;&gt;""),AND(GC12&gt;=GE$18,GC12&lt;&gt;"",GF12&gt;=GE$21,GF12&lt;&gt;""),AND(GX12&gt;=GZ$18,GX12&lt;&gt;"",HA12&gt;=GZ$21,HA12&lt;&gt;""),AND(HS12&gt;=HU$18,HS12&lt;&gt;"",HV12&gt;=HU$21,HV12&lt;&gt;""),AND(IN12&gt;=IP$18,IN12&lt;&gt;"",IQ12&gt;=IP$21,IQ12&lt;&gt;""),AND(JI12&gt;=JK$18,JI12&lt;&gt;"",JL12&gt;=JK$21,JL12&lt;&gt;""),AND(KD12&gt;=KF$18,KD12&lt;&gt;"",KG12&gt;=KF$21,KG12&lt;&gt;""),AND(KY12&gt;=LA$18,KY12&lt;&gt;"",LB12&gt;=LA$21,LB12&lt;&gt;"")),"Excellence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Worlds Team",IF(OR(AND(AH12&gt;=AK$16,AH12&lt;&gt;"",AJ12&gt;=AK$19,AJ12&lt;&gt;"",AG12=""),AND(BD12&gt;=BG$16,BD12&lt;&gt;"",BF12&gt;=BG$19,BF12&lt;&gt;"",BC12=""),AND(CA12&gt;=CD$16,CA12&lt;&gt;"",CC12&gt;=CD$19,CC12&lt;&gt;""),AND(CV12&gt;=CY$16,CV12&lt;&gt;"",CX12&gt;=CY$19,CX12&lt;&gt;""),AND(DQ12&gt;=DT$16,DQ12&lt;&gt;"",DS12&gt;=DT$19,DS12&lt;&gt;""),AND(EL12&gt;=EO$16,EL12&lt;&gt;"",EN12&gt;=EO$19,EN12&lt;&gt;""),AND(FG12&gt;=FJ$16,FG12&lt;&gt;"",FI12&gt;=FJ$19,FI12&lt;&gt;""),AND(GB12&gt;=GE$16,GB12&lt;&gt;"",GD12&gt;=GE$19,GD12&lt;&gt;""),AND(GW12&gt;=GZ$16,GW12&lt;&gt;"",GY12&gt;=GZ$19,GY12&lt;&gt;""),AND(HR12&gt;=HU$16,HR12&lt;&gt;"",HT12&gt;=HU$19,HT12&lt;&gt;""),AND(IM12&gt;=IP$16,IM12&lt;&gt;"",IO12&gt;=IP$19,IO12&lt;&gt;""),AND(JH12&gt;=JK$16,JH12&lt;&gt;"",JJ12&gt;=JK$19,JJ12&lt;&gt;""),AND(KC12&gt;=KF$16,KC12&lt;&gt;"",KE12&gt;=KF$19,KE12&lt;&gt;""),AND(KX12&gt;=LA$16,KX12&lt;&gt;"",KZ12&gt;=LA$19,KZ12&lt;&gt;"")),"National Team","")))))</f>
        <v/>
      </c>
      <c r="J12" s="15">
        <f>IF(MAX(AL12,BH12)&gt;0,MAX(AL12,BH12),"")</f>
        <v>104.6</v>
      </c>
      <c r="K12" s="15" t="str">
        <f>IF(J12="","",IF(J12=BH12,$AM$1,IF(J12=AL12,$Q$1,"")))</f>
        <v>2018 Nationals</v>
      </c>
      <c r="L12" s="15" t="str">
        <f>IF(J12=AL12,IF(MAX(BF12,BG12)&gt;0,MAX(BF12,BG12),""),IF(J12=BH12,IF(MAX(AJ12,AK12)&gt;0,MAX(AJ12,AK12),""),MAX(AJ12,AK12,BF12,BG12)))</f>
        <v/>
      </c>
      <c r="M12" s="15" t="str">
        <f>IF(L12="","",IF(AND(J12&lt;&gt;BH12,OR(L12=BG12,L12=BF12)),$AM$1,IF(OR(L12=AK12,L12=AJ12),$Q$1,"")))</f>
        <v/>
      </c>
      <c r="N12" s="15" t="str">
        <f>IF(MAX(BI12:BJ12)&gt;0,MAX(BI12:BJ12),"")</f>
        <v/>
      </c>
      <c r="O12" s="25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63">
        <v>28.4</v>
      </c>
      <c r="R12" s="63">
        <v>7.2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28.2</v>
      </c>
      <c r="Z12" s="63">
        <v>6.8</v>
      </c>
      <c r="AA12" s="63">
        <v>0.9</v>
      </c>
      <c r="AB12" s="63">
        <v>0</v>
      </c>
      <c r="AC12" s="63">
        <v>28.1</v>
      </c>
      <c r="AD12" s="63">
        <v>6.8</v>
      </c>
      <c r="AE12" s="63">
        <v>0</v>
      </c>
      <c r="AF12" s="63">
        <v>0</v>
      </c>
      <c r="AG12" s="74"/>
      <c r="AH12" s="12">
        <f>IF(SUM(R12,V12)&gt;0,SUM(R12,V12),"")</f>
        <v>7.2</v>
      </c>
      <c r="AI12" s="12">
        <f>IF(SUM(R12,V12,Z12,AD12)&gt;0,SUM(R12,V12,Z12,AD12),"")</f>
        <v>20.8</v>
      </c>
      <c r="AJ12" s="12">
        <f>IF(SUM(Q12:R12,T12:V12,X12)-SUM(S12,W12)&gt;0,SUM(Q12:R12,T12:V12,X12)-SUM(S12,W12),"")</f>
        <v>35.6</v>
      </c>
      <c r="AK12" s="12">
        <f>IF(SUM(Y12:Z12,AB12:AD12,AF12)-SUM(AA12,AE12)&gt;0,SUM(Y12:Z12,AB12:AD12,AF12)-SUM(AA12,AE12),"")</f>
        <v>69</v>
      </c>
      <c r="AL12" s="12">
        <f>IF(SUM(AJ12,AK12)&gt;0,SUM(AJ12,AK12),"")</f>
        <v>104.6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75"/>
      <c r="BD12" s="15" t="str">
        <f>IF(SUM(AN12,AR12)&gt;0,SUM(AN12,AR12),"")</f>
        <v/>
      </c>
      <c r="BE12" s="15" t="str">
        <f>IF(SUM(AN12,AR12,AV12,AZ12)&gt;0,SUM(AN12,AR12,AV12,AZ12),"")</f>
        <v/>
      </c>
      <c r="BF12" s="15" t="str">
        <f>IF(SUM(AM12:AN12,AP12:AR12,AT12)-SUM(AO12,AS12)&gt;0,SUM(AM12:AN12,AP12:AR12,AT12)-SUM(AO12,AS12),"")</f>
        <v/>
      </c>
      <c r="BG12" s="15" t="str">
        <f>IF(SUM(AU12:AV12,AX12:AZ12,BB12)-SUM(AW12,BA12)&gt;0,SUM(AU12:AV12,AX12:AZ12,BB12)-SUM(AW12,BA12),"")</f>
        <v/>
      </c>
      <c r="BH12" s="15" t="str">
        <f>IF(SUM(BF12,BG12)&gt;0,SUM(BF12,BG12),"")</f>
        <v/>
      </c>
      <c r="BI12" s="24" t="str">
        <f>IF(MAX(CE12,CZ12,DU12,EP12,FK12,GF12,HA12,HV12,IQ12,JL12,KG12,LB12)-IF(J12="",0,J12)&gt;0.001,MAX(CE12,CZ12,DU12,EP12,FK12,GF12,HA12,HV12,IQ12,JL12,KG12,LB12)-IF(J12="",0,J12),"")</f>
        <v/>
      </c>
      <c r="BJ12" s="24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63">
        <f t="shared" si="6"/>
        <v>14.2</v>
      </c>
      <c r="LD12" s="63">
        <f t="shared" si="0"/>
        <v>3.6</v>
      </c>
      <c r="LE12" s="63">
        <f t="shared" si="0"/>
        <v>0</v>
      </c>
      <c r="LF12" s="63">
        <f t="shared" si="0"/>
        <v>0</v>
      </c>
      <c r="LG12" s="63">
        <f t="shared" si="0"/>
        <v>0</v>
      </c>
      <c r="LH12" s="63">
        <f t="shared" si="0"/>
        <v>0</v>
      </c>
      <c r="LI12" s="63">
        <f t="shared" si="0"/>
        <v>0</v>
      </c>
      <c r="LJ12" s="63">
        <f t="shared" si="0"/>
        <v>0</v>
      </c>
      <c r="LK12" s="63">
        <f t="shared" si="0"/>
        <v>14.1</v>
      </c>
      <c r="LL12" s="63">
        <f t="shared" si="0"/>
        <v>3.4</v>
      </c>
      <c r="LM12" s="63">
        <f t="shared" si="0"/>
        <v>0.45</v>
      </c>
      <c r="LN12" s="63">
        <f t="shared" si="0"/>
        <v>0</v>
      </c>
      <c r="LO12" s="63">
        <f t="shared" si="0"/>
        <v>14.05</v>
      </c>
      <c r="LP12" s="63">
        <f t="shared" si="0"/>
        <v>3.4</v>
      </c>
      <c r="LQ12" s="63">
        <f t="shared" si="0"/>
        <v>0</v>
      </c>
      <c r="LR12" s="63">
        <f t="shared" si="0"/>
        <v>0</v>
      </c>
      <c r="LS12" s="74" t="s">
        <v>116</v>
      </c>
      <c r="LT12" s="12">
        <f t="shared" si="7"/>
        <v>3.6</v>
      </c>
      <c r="LU12" s="12">
        <f t="shared" si="8"/>
        <v>10.4</v>
      </c>
      <c r="LV12" s="12">
        <f t="shared" si="9"/>
        <v>17.8</v>
      </c>
      <c r="LW12" s="12">
        <f t="shared" si="10"/>
        <v>34.5</v>
      </c>
      <c r="LX12" s="12">
        <f t="shared" si="11"/>
        <v>52.3</v>
      </c>
    </row>
    <row r="13" spans="1:336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103</v>
      </c>
      <c r="C13" s="5" t="s">
        <v>4</v>
      </c>
      <c r="D13" s="6">
        <v>2001</v>
      </c>
      <c r="E13" s="16">
        <f>SUM(J13:N13)</f>
        <v>35.300000000000004</v>
      </c>
      <c r="F13" s="4" t="str">
        <f>IF(OR(AND(AH13&gt;=AK$16,AJ13&gt;=AK$19,AJ13&lt;&gt;"",AG13=""),AND(BD13&gt;=BG$16,BF13&gt;=BG$19,BF13&lt;&gt;"",BC13=""),AND(CA13&gt;=CD$16,CC13&gt;=CD$19,CC13&lt;&gt;""),AND(CV13&gt;=CY$16,CX13&gt;=CY$19,CX13&lt;&gt;""),AND(DQ13&gt;=DT$16,DS13&gt;=DT$19,DS13&lt;&gt;""),AND(EL13&gt;=EO$16,EN13&gt;=EO$19,EN13&lt;&gt;""),AND(FG13&gt;=FJ$16,FI13&gt;=FJ$19,FI13&lt;&gt;""),AND(GB13&gt;=GE$16,GD13&gt;=GE$19,GD13&lt;&gt;""),AND(GW13&gt;=GZ$16,GY13&gt;=GZ$19,GY13&lt;&gt;""),AND(HR13&gt;=HU$16,HT13&gt;=HU$19,HT13&lt;&gt;""),AND(IM13&gt;=IP$16,IO13&gt;=IP$19,IO13&lt;&gt;""),AND(JH13&gt;=JK$16,JJ13&gt;=JK$19,JJ13&lt;&gt;""),AND(KC13&gt;=KF$16,KE13&gt;=KF$19,KE13&lt;&gt;""),AND(KX13&gt;=LA$16,KZ13&gt;=LA$19,KZ13&lt;&gt;"")),"P","")</f>
        <v/>
      </c>
      <c r="G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H13" s="4" t="str">
        <f>IF(OR(AND(AJ13&gt;=AK$19,AJ13&lt;&gt;"",AG13=""),AND(BF13&gt;=BG$19,BF13&lt;&gt;"",BC13=""),AND(CC13&gt;=CD$19,CC13&lt;&gt;""),AND(CX13&gt;=CY$19,CX13&lt;&gt;""),AND(DS13&gt;=DT$19,DS13&lt;&gt;""),AND(EN13&gt;=EO$19,EN13&lt;&gt;""),AND(FI13&gt;=FJ$19,FI13&lt;&gt;""),AND(GD13&gt;=GE$19,GD13&lt;&gt;""),AND(GY13&gt;=GZ$19,GY13&lt;&gt;""),AND(HT13&gt;=HU$19,HT13&lt;&gt;""),AND(IO13&gt;=IP$19,IO13&lt;&gt;""),AND(JJ13&gt;=JK$19,JJ13&lt;&gt;""),AND(KE13&gt;=KF$19,KE13&lt;&gt;""),AND(KZ13&gt;=LA$19,KZ13&lt;&gt;"")),"P","")</f>
        <v/>
      </c>
      <c r="I13" t="str">
        <f>IF(AND(H13="P",F13=""),"No DD",IF(OR(AND(AI13&gt;=AK$18,AI13&lt;&gt;"",AL13&gt;=AK$22,AL13&lt;&gt;"",AG13=""),AND(BE13&gt;=BG$18,BE13&lt;&gt;"",BH13&gt;=BG$22,BH13&lt;&gt;"",BC13=""),AND(CB13&gt;=CD$18,CB13&lt;&gt;"",CE13&gt;=CD$22,CE13&lt;&gt;""),AND(CW13&gt;=CY$18,CW13&lt;&gt;"",CZ13&gt;=CY$22,CZ13&lt;&gt;""),AND(DR13&gt;=DT$18,DR13&lt;&gt;"",DU13&gt;=DT$22,DU13&lt;&gt;""),AND(EM13&gt;=EO$18,EM13&lt;&gt;"",EP13&gt;=EO$22,EP13&lt;&gt;""),AND(FH13&gt;=FJ$18,FH13&lt;&gt;"",FK13&gt;=FJ$22,FK13&lt;&gt;""),AND(GC13&gt;=GE$18,GC13&lt;&gt;"",GF13&gt;=GE$22,GF13&lt;&gt;""),AND(GX13&gt;=GZ$18,GX13&lt;&gt;"",HA13&gt;=GZ$22,HA13&lt;&gt;""),AND(HS13&gt;=HU$18,HS13&lt;&gt;"",HV13&gt;=HU$22,HV13&lt;&gt;""),AND(IN13&gt;=IP$18,IN13&lt;&gt;"",IQ13&gt;=IP$22,IQ13&lt;&gt;""),AND(JI13&gt;=JK$18,JI13&lt;&gt;"",JL13&gt;=JK$22,JL13&lt;&gt;""),AND(KD13&gt;=KF$18,KD13&lt;&gt;"",KG13&gt;=KF$22,KG13&lt;&gt;""),AND(KY13&gt;=LA$18,KY13&lt;&gt;"",LB13&gt;=LA$22,LB13&lt;&gt;"")),"Merit",IF(OR(AND(AI13&gt;=AK$18,AI13&lt;&gt;"",AL13&gt;=AK$21,AL13&lt;&gt;"",AG13=""),AND(BE13&gt;=BG$18,BE13&lt;&gt;"",BH13&gt;=BG$21,BH13&lt;&gt;"",BC13=""),AND(CB13&gt;=CD$18,CB13&lt;&gt;"",CE13&gt;=CD$21,CE13&lt;&gt;""),AND(CW13&gt;=CY$18,CW13&lt;&gt;"",CZ13&gt;=CY$21,CZ13&lt;&gt;""),AND(DR13&gt;=DT$18,DR13&lt;&gt;"",DU13&gt;=DT$21,DU13&lt;&gt;""),AND(EM13&gt;=EO$18,EM13&lt;&gt;"",EP13&gt;=EO$21,EP13&lt;&gt;""),AND(FH13&gt;=FJ$18,FH13&lt;&gt;"",FK13&gt;=FJ$21,FK13&lt;&gt;""),AND(GC13&gt;=GE$18,GC13&lt;&gt;"",GF13&gt;=GE$21,GF13&lt;&gt;""),AND(GX13&gt;=GZ$18,GX13&lt;&gt;"",HA13&gt;=GZ$21,HA13&lt;&gt;""),AND(HS13&gt;=HU$18,HS13&lt;&gt;"",HV13&gt;=HU$21,HV13&lt;&gt;""),AND(IN13&gt;=IP$18,IN13&lt;&gt;"",IQ13&gt;=IP$21,IQ13&lt;&gt;""),AND(JI13&gt;=JK$18,JI13&lt;&gt;"",JL13&gt;=JK$21,JL13&lt;&gt;""),AND(KD13&gt;=KF$18,KD13&lt;&gt;"",KG13&gt;=KF$21,KG13&lt;&gt;""),AND(KY13&gt;=LA$18,KY13&lt;&gt;"",LB13&gt;=LA$21,LB13&lt;&gt;"")),"Excellence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Worlds Team",IF(OR(AND(AH13&gt;=AK$16,AH13&lt;&gt;"",AJ13&gt;=AK$19,AJ13&lt;&gt;"",AG13=""),AND(BD13&gt;=BG$16,BD13&lt;&gt;"",BF13&gt;=BG$19,BF13&lt;&gt;"",BC13=""),AND(CA13&gt;=CD$16,CA13&lt;&gt;"",CC13&gt;=CD$19,CC13&lt;&gt;""),AND(CV13&gt;=CY$16,CV13&lt;&gt;"",CX13&gt;=CY$19,CX13&lt;&gt;""),AND(DQ13&gt;=DT$16,DQ13&lt;&gt;"",DS13&gt;=DT$19,DS13&lt;&gt;""),AND(EL13&gt;=EO$16,EL13&lt;&gt;"",EN13&gt;=EO$19,EN13&lt;&gt;""),AND(FG13&gt;=FJ$16,FG13&lt;&gt;"",FI13&gt;=FJ$19,FI13&lt;&gt;""),AND(GB13&gt;=GE$16,GB13&lt;&gt;"",GD13&gt;=GE$19,GD13&lt;&gt;""),AND(GW13&gt;=GZ$16,GW13&lt;&gt;"",GY13&gt;=GZ$19,GY13&lt;&gt;""),AND(HR13&gt;=HU$16,HR13&lt;&gt;"",HT13&gt;=HU$19,HT13&lt;&gt;""),AND(IM13&gt;=IP$16,IM13&lt;&gt;"",IO13&gt;=IP$19,IO13&lt;&gt;""),AND(JH13&gt;=JK$16,JH13&lt;&gt;"",JJ13&gt;=JK$19,JJ13&lt;&gt;""),AND(KC13&gt;=KF$16,KC13&lt;&gt;"",KE13&gt;=KF$19,KE13&lt;&gt;""),AND(KX13&gt;=LA$16,KX13&lt;&gt;"",KZ13&gt;=LA$19,KZ13&lt;&gt;"")),"National Team","")))))</f>
        <v/>
      </c>
      <c r="J13" s="15">
        <f>IF(MAX(AL13,BH13)&gt;0,MAX(AL13,BH13),"")</f>
        <v>35.300000000000004</v>
      </c>
      <c r="K13" s="15" t="str">
        <f>IF(J13="","",IF(J13=BH13,$AM$1,IF(J13=AL13,$Q$1,"")))</f>
        <v>2019 Elite Canada</v>
      </c>
      <c r="L13" s="15" t="str">
        <f>IF(J13=AL13,IF(MAX(BF13,BG13)&gt;0,MAX(BF13,BG13),""),IF(J13=BH13,IF(MAX(AJ13,AK13)&gt;0,MAX(AJ13,AK13),""),MAX(AJ13,AK13,BF13,BG13)))</f>
        <v/>
      </c>
      <c r="M13" s="15" t="str">
        <f>IF(L13="","",IF(AND(J13&lt;&gt;BH13,OR(L13=BG13,L13=BF13)),$AM$1,IF(OR(L13=AK13,L13=AJ13),$Q$1,"")))</f>
        <v/>
      </c>
      <c r="N13" s="15" t="str">
        <f>IF(MAX(BI13:BJ13)&gt;0,MAX(BI13:BJ13),"")</f>
        <v/>
      </c>
      <c r="O13" s="25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74"/>
      <c r="AH13" s="12" t="str">
        <f>IF(SUM(R13,V13)&gt;0,SUM(R13,V13),"")</f>
        <v/>
      </c>
      <c r="AI13" s="12" t="str">
        <f>IF(SUM(R13,V13,Z13,AD13)&gt;0,SUM(R13,V13,Z13,AD13),"")</f>
        <v/>
      </c>
      <c r="AJ13" s="12" t="str">
        <f>IF(SUM(Q13:R13,T13:V13,X13)-SUM(S13,W13)&gt;0,SUM(Q13:R13,T13:V13,X13)-SUM(S13,W13),"")</f>
        <v/>
      </c>
      <c r="AK13" s="12" t="str">
        <f>IF(SUM(Y13:Z13,AB13:AD13,AF13)-SUM(AA13,AE13)&gt;0,SUM(Y13:Z13,AB13:AD13,AF13)-SUM(AA13,AE13),"")</f>
        <v/>
      </c>
      <c r="AL13" s="12"/>
      <c r="AM13" s="37">
        <v>0</v>
      </c>
      <c r="AN13" s="37">
        <v>0</v>
      </c>
      <c r="AO13" s="37">
        <v>0</v>
      </c>
      <c r="AP13" s="37">
        <v>0</v>
      </c>
      <c r="AQ13" s="37">
        <v>27.6</v>
      </c>
      <c r="AR13" s="37">
        <v>8</v>
      </c>
      <c r="AS13" s="37">
        <v>0.3</v>
      </c>
      <c r="AT13" s="37">
        <v>0</v>
      </c>
      <c r="AU13" s="37"/>
      <c r="AV13" s="37"/>
      <c r="AW13" s="37"/>
      <c r="AX13" s="37"/>
      <c r="AY13" s="37"/>
      <c r="AZ13" s="37"/>
      <c r="BA13" s="37"/>
      <c r="BB13" s="37"/>
      <c r="BC13" s="75"/>
      <c r="BD13" s="15">
        <f>IF(SUM(AN13,AR13)&gt;0,SUM(AN13,AR13),"")</f>
        <v>8</v>
      </c>
      <c r="BE13" s="15">
        <f>IF(SUM(AN13,AR13,AV13,AZ13)&gt;0,SUM(AN13,AR13,AV13,AZ13),"")</f>
        <v>8</v>
      </c>
      <c r="BF13" s="15">
        <f>IF(SUM(AM13:AN13,AP13:AR13,AT13)-SUM(AO13,AS13)&gt;0,SUM(AM13:AN13,AP13:AR13,AT13)-SUM(AO13,AS13),"")</f>
        <v>35.300000000000004</v>
      </c>
      <c r="BG13" s="15" t="str">
        <f>IF(SUM(AU13:AV13,AX13:AZ13,BB13)-SUM(AW13,BA13)&gt;0,SUM(AU13:AV13,AX13:AZ13,BB13)-SUM(AW13,BA13),"")</f>
        <v/>
      </c>
      <c r="BH13" s="15">
        <f>IF(SUM(BF13,BG13)&gt;0,SUM(BF13,BG13),"")</f>
        <v>35.300000000000004</v>
      </c>
      <c r="BI13" s="24"/>
      <c r="BJ13" s="24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>IF(SUM(BL13,BP13)&gt;0,SUM(BL13,BP13),"")</f>
        <v/>
      </c>
      <c r="CB13" s="12" t="str">
        <f>IF(SUM(BL13,BP13,BT13,BX13)&gt;0,SUM(BL13,BP13,BT13,BX13),"")</f>
        <v/>
      </c>
      <c r="CC13" s="12"/>
      <c r="CD13" s="12"/>
      <c r="CE13" s="12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>IF(SUM(CG13,CK13)&gt;0,SUM(CG13,CK13),"")</f>
        <v/>
      </c>
      <c r="CW13" s="15"/>
      <c r="CX13" s="15"/>
      <c r="CY13" s="15"/>
      <c r="CZ13" s="15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/>
      <c r="DR13" s="12"/>
      <c r="DS13" s="12"/>
      <c r="DT13" s="12"/>
      <c r="DU13" s="12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/>
      <c r="EM13" s="15"/>
      <c r="EN13" s="15"/>
      <c r="EO13" s="15"/>
      <c r="EP13" s="15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/>
      <c r="FH13" s="12"/>
      <c r="FI13" s="12"/>
      <c r="FJ13" s="12"/>
      <c r="FK13" s="12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/>
      <c r="GC13" s="15"/>
      <c r="GD13" s="15"/>
      <c r="GE13" s="15"/>
      <c r="GF13" s="15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/>
      <c r="GX13" s="12"/>
      <c r="GY13" s="12"/>
      <c r="GZ13" s="12"/>
      <c r="HA13" s="12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/>
      <c r="HS13" s="15"/>
      <c r="HT13" s="15"/>
      <c r="HU13" s="15"/>
      <c r="HV13" s="15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/>
      <c r="IN13" s="12"/>
      <c r="IO13" s="12"/>
      <c r="IP13" s="12"/>
      <c r="IQ13" s="12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/>
      <c r="JI13" s="15"/>
      <c r="JJ13" s="15"/>
      <c r="JK13" s="15"/>
      <c r="JL13" s="15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/>
      <c r="KD13" s="12"/>
      <c r="KE13" s="12"/>
      <c r="KF13" s="12"/>
      <c r="KG13" s="12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63">
        <f t="shared" si="6"/>
        <v>0</v>
      </c>
      <c r="LD13" s="63">
        <f t="shared" si="0"/>
        <v>0</v>
      </c>
      <c r="LE13" s="63">
        <f t="shared" si="0"/>
        <v>0</v>
      </c>
      <c r="LF13" s="63">
        <f t="shared" si="0"/>
        <v>0</v>
      </c>
      <c r="LG13" s="63">
        <f t="shared" si="0"/>
        <v>13.8</v>
      </c>
      <c r="LH13" s="63">
        <f t="shared" si="0"/>
        <v>4</v>
      </c>
      <c r="LI13" s="63">
        <f t="shared" si="0"/>
        <v>0.15</v>
      </c>
      <c r="LJ13" s="63">
        <f t="shared" si="0"/>
        <v>0</v>
      </c>
      <c r="LK13" s="63">
        <f t="shared" si="0"/>
        <v>0</v>
      </c>
      <c r="LL13" s="63">
        <f t="shared" si="0"/>
        <v>0</v>
      </c>
      <c r="LM13" s="63">
        <f t="shared" si="0"/>
        <v>0</v>
      </c>
      <c r="LN13" s="63">
        <f t="shared" si="0"/>
        <v>0</v>
      </c>
      <c r="LO13" s="63">
        <f t="shared" si="0"/>
        <v>0</v>
      </c>
      <c r="LP13" s="63">
        <f t="shared" si="0"/>
        <v>0</v>
      </c>
      <c r="LQ13" s="63">
        <f t="shared" si="0"/>
        <v>0</v>
      </c>
      <c r="LR13" s="63">
        <f t="shared" si="0"/>
        <v>0</v>
      </c>
      <c r="LS13" s="74" t="s">
        <v>116</v>
      </c>
      <c r="LT13" s="12">
        <f t="shared" ref="LT13" si="12">IF(SUM(LD13,LH13)&gt;0,SUM(LD13,LH13),"")</f>
        <v>4</v>
      </c>
      <c r="LU13" s="12">
        <f t="shared" ref="LU13" si="13">IF(SUM(LD13,LH13,LL13,LP13)&gt;0,SUM(LD13,LH13,LL13,LP13),"")</f>
        <v>4</v>
      </c>
      <c r="LV13" s="12">
        <f t="shared" ref="LV13" si="14">IF(SUM(LC13:LD13,LF13:LH13,LJ13)-SUM(LE13,LI13)&gt;0,SUM(LC13:LD13,LF13:LH13,LJ13)-SUM(LE13,LI13),"")</f>
        <v>17.650000000000002</v>
      </c>
      <c r="LW13" s="12" t="str">
        <f t="shared" ref="LW13" si="15">IF(SUM(LK13:LL13,LN13:LP13,LR13)-SUM(LM13,LQ13)&gt;0,SUM(LK13:LL13,LN13:LP13,LR13)-SUM(LM13,LQ13),"")</f>
        <v/>
      </c>
      <c r="LX13" s="12">
        <f t="shared" ref="LX13" si="16">IF(SUM(LV13,LW13)&gt;0,SUM(LV13,LW13),"")</f>
        <v>17.650000000000002</v>
      </c>
    </row>
    <row r="16" spans="1:336" x14ac:dyDescent="0.2">
      <c r="B16" s="64" t="s">
        <v>51</v>
      </c>
      <c r="AH16" s="50"/>
      <c r="AI16" s="50"/>
      <c r="AK16" s="58">
        <v>13.2</v>
      </c>
      <c r="BD16" s="50"/>
      <c r="BE16" s="50"/>
      <c r="BG16" s="58">
        <v>14</v>
      </c>
      <c r="CA16" s="50"/>
      <c r="CB16" s="50"/>
      <c r="CD16" s="58">
        <v>24</v>
      </c>
      <c r="CV16" s="50"/>
      <c r="CW16" s="50"/>
      <c r="CY16" s="58">
        <v>14</v>
      </c>
      <c r="DQ16" s="50"/>
      <c r="DR16" s="50"/>
      <c r="DT16" s="58">
        <v>14</v>
      </c>
      <c r="EL16" s="50"/>
      <c r="EM16" s="50"/>
      <c r="EO16" s="77">
        <v>14</v>
      </c>
      <c r="FG16" s="50"/>
      <c r="FH16" s="50"/>
      <c r="FJ16" s="77">
        <v>14</v>
      </c>
      <c r="GB16" s="50"/>
      <c r="GC16" s="50"/>
      <c r="GE16" s="77">
        <v>14</v>
      </c>
      <c r="GW16" s="50"/>
      <c r="GX16" s="50"/>
      <c r="GZ16" s="77">
        <v>14</v>
      </c>
      <c r="HR16" s="50"/>
      <c r="HS16" s="50"/>
      <c r="HU16" s="77">
        <v>14</v>
      </c>
      <c r="IM16" s="50"/>
      <c r="IN16" s="50"/>
      <c r="IP16" s="77">
        <v>14</v>
      </c>
      <c r="JH16" s="50"/>
      <c r="JI16" s="50"/>
      <c r="JK16" s="77">
        <v>14</v>
      </c>
      <c r="KC16" s="50"/>
      <c r="KD16" s="50"/>
      <c r="KF16" s="77">
        <v>14</v>
      </c>
      <c r="KX16" s="50"/>
      <c r="KY16" s="50"/>
      <c r="LA16" s="77">
        <v>14</v>
      </c>
    </row>
    <row r="17" spans="1:313" hidden="1" x14ac:dyDescent="0.2">
      <c r="B17" s="90" t="s">
        <v>50</v>
      </c>
      <c r="AH17" s="50"/>
      <c r="AI17" s="50"/>
      <c r="AK17" s="102">
        <v>30</v>
      </c>
      <c r="BD17" s="50"/>
      <c r="BE17" s="50"/>
      <c r="BG17" s="104">
        <v>30</v>
      </c>
      <c r="CA17" s="50"/>
      <c r="CB17" s="50"/>
      <c r="CD17" s="104">
        <v>30</v>
      </c>
      <c r="CV17" s="50"/>
      <c r="CW17" s="50"/>
      <c r="CY17" s="104">
        <v>26.8</v>
      </c>
      <c r="DQ17" s="50"/>
      <c r="DR17" s="50"/>
      <c r="DT17" s="104">
        <v>1000</v>
      </c>
      <c r="EL17" s="50"/>
      <c r="EM17" s="50"/>
      <c r="EO17" s="104">
        <v>1000</v>
      </c>
      <c r="FG17" s="50"/>
      <c r="FH17" s="50"/>
      <c r="FJ17" s="104">
        <v>1000</v>
      </c>
      <c r="GB17" s="50"/>
      <c r="GC17" s="50"/>
      <c r="GE17" s="104">
        <v>1000</v>
      </c>
      <c r="GW17" s="50"/>
      <c r="GX17" s="50"/>
      <c r="GZ17" s="104">
        <v>1000</v>
      </c>
      <c r="HR17" s="50"/>
      <c r="HS17" s="50"/>
      <c r="HU17" s="104">
        <v>1000</v>
      </c>
      <c r="IM17" s="50"/>
      <c r="IN17" s="50"/>
      <c r="IP17" s="104">
        <v>1000</v>
      </c>
      <c r="JH17" s="50"/>
      <c r="JI17" s="50"/>
      <c r="JK17" s="104">
        <v>1000</v>
      </c>
      <c r="KC17" s="50"/>
      <c r="KD17" s="50"/>
      <c r="KF17" s="104">
        <v>1000</v>
      </c>
      <c r="KX17" s="50"/>
      <c r="KY17" s="50"/>
      <c r="LA17" s="104">
        <v>1000</v>
      </c>
    </row>
    <row r="18" spans="1:313" x14ac:dyDescent="0.2">
      <c r="A18" s="50"/>
      <c r="B18" s="91" t="s">
        <v>73</v>
      </c>
      <c r="C18" s="49"/>
      <c r="AH18" s="50"/>
      <c r="AI18" s="50"/>
      <c r="AK18" s="103">
        <v>30</v>
      </c>
      <c r="BD18" s="50"/>
      <c r="BE18" s="50"/>
      <c r="BG18" s="94">
        <v>26.8</v>
      </c>
      <c r="CA18" s="50"/>
      <c r="CB18" s="50"/>
      <c r="CD18" s="94">
        <v>30</v>
      </c>
      <c r="CV18" s="50"/>
      <c r="CW18" s="50"/>
      <c r="CY18" s="94">
        <v>26.8</v>
      </c>
      <c r="DQ18" s="50"/>
      <c r="DR18" s="50"/>
      <c r="DT18" s="94">
        <v>26.8</v>
      </c>
      <c r="EL18" s="50"/>
      <c r="EM18" s="50"/>
      <c r="EO18" s="94">
        <v>26.8</v>
      </c>
      <c r="FG18" s="50"/>
      <c r="FH18" s="50"/>
      <c r="FJ18" s="94">
        <v>26.8</v>
      </c>
      <c r="GB18" s="50"/>
      <c r="GC18" s="50"/>
      <c r="GE18" s="94">
        <v>26.8</v>
      </c>
      <c r="GW18" s="50"/>
      <c r="GX18" s="50"/>
      <c r="GZ18" s="94">
        <v>26.8</v>
      </c>
      <c r="HR18" s="50"/>
      <c r="HS18" s="50"/>
      <c r="HU18" s="94">
        <v>26.8</v>
      </c>
      <c r="IM18" s="50"/>
      <c r="IN18" s="50"/>
      <c r="IP18" s="94">
        <v>26.8</v>
      </c>
      <c r="JH18" s="50"/>
      <c r="JI18" s="50"/>
      <c r="JK18" s="94">
        <v>26.8</v>
      </c>
      <c r="KC18" s="50"/>
      <c r="KD18" s="50"/>
      <c r="KF18" s="94">
        <v>26.8</v>
      </c>
      <c r="KX18" s="50"/>
      <c r="KY18" s="50"/>
      <c r="LA18" s="94">
        <v>26.8</v>
      </c>
    </row>
    <row r="19" spans="1:313" x14ac:dyDescent="0.2">
      <c r="A19" s="50"/>
      <c r="B19" s="65" t="s">
        <v>48</v>
      </c>
      <c r="C19" s="49"/>
      <c r="AH19" s="50"/>
      <c r="AI19" s="50"/>
      <c r="AK19" s="59">
        <v>68.400000000000006</v>
      </c>
      <c r="BD19" s="50"/>
      <c r="BE19" s="50"/>
      <c r="BG19" s="59">
        <v>68</v>
      </c>
      <c r="CA19" s="50"/>
      <c r="CB19" s="50"/>
      <c r="CD19" s="59">
        <v>132</v>
      </c>
      <c r="CV19" s="50"/>
      <c r="CW19" s="50"/>
      <c r="CY19" s="59">
        <v>68</v>
      </c>
      <c r="DQ19" s="50"/>
      <c r="DR19" s="50"/>
      <c r="DT19" s="59">
        <v>68</v>
      </c>
      <c r="EL19" s="50"/>
      <c r="EM19" s="50"/>
      <c r="EO19" s="78">
        <v>68</v>
      </c>
      <c r="FG19" s="50"/>
      <c r="FH19" s="50"/>
      <c r="FJ19" s="78">
        <v>68</v>
      </c>
      <c r="GB19" s="50"/>
      <c r="GC19" s="50"/>
      <c r="GE19" s="78">
        <v>68</v>
      </c>
      <c r="GW19" s="50"/>
      <c r="GX19" s="50"/>
      <c r="GZ19" s="78">
        <v>68</v>
      </c>
      <c r="HR19" s="50"/>
      <c r="HS19" s="50"/>
      <c r="HU19" s="78">
        <v>68</v>
      </c>
      <c r="IM19" s="50"/>
      <c r="IN19" s="50"/>
      <c r="IP19" s="78">
        <v>68</v>
      </c>
      <c r="JH19" s="50"/>
      <c r="JI19" s="50"/>
      <c r="JK19" s="78">
        <v>68</v>
      </c>
      <c r="KC19" s="50"/>
      <c r="KD19" s="50"/>
      <c r="KF19" s="78">
        <v>68</v>
      </c>
      <c r="KX19" s="50"/>
      <c r="KY19" s="50"/>
      <c r="LA19" s="78">
        <v>68</v>
      </c>
    </row>
    <row r="20" spans="1:313" hidden="1" x14ac:dyDescent="0.2">
      <c r="A20" s="50"/>
      <c r="B20" s="66" t="s">
        <v>49</v>
      </c>
      <c r="C20" s="49"/>
      <c r="AH20" s="50"/>
      <c r="AI20" s="50"/>
      <c r="AK20" s="60">
        <v>141</v>
      </c>
      <c r="BD20" s="50"/>
      <c r="BE20" s="50"/>
      <c r="BG20" s="60">
        <v>141</v>
      </c>
      <c r="CA20" s="50"/>
      <c r="CB20" s="50"/>
      <c r="CD20" s="60">
        <v>135</v>
      </c>
      <c r="CV20" s="50"/>
      <c r="CW20" s="50"/>
      <c r="CY20" s="60">
        <v>135</v>
      </c>
      <c r="DQ20" s="50"/>
      <c r="DR20" s="50"/>
      <c r="DT20" s="60">
        <v>135</v>
      </c>
      <c r="EL20" s="50"/>
      <c r="EM20" s="50"/>
      <c r="EO20" s="79">
        <v>135</v>
      </c>
      <c r="FG20" s="50"/>
      <c r="FH20" s="50"/>
      <c r="FJ20" s="79">
        <v>135</v>
      </c>
      <c r="GB20" s="50"/>
      <c r="GC20" s="50"/>
      <c r="GE20" s="79">
        <v>135</v>
      </c>
      <c r="GW20" s="50"/>
      <c r="GX20" s="50"/>
      <c r="GZ20" s="79">
        <v>135</v>
      </c>
      <c r="HR20" s="50"/>
      <c r="HS20" s="50"/>
      <c r="HU20" s="79">
        <v>135</v>
      </c>
      <c r="IM20" s="50"/>
      <c r="IN20" s="50"/>
      <c r="IP20" s="79">
        <v>135</v>
      </c>
      <c r="JH20" s="50"/>
      <c r="JI20" s="50"/>
      <c r="JK20" s="79">
        <v>135</v>
      </c>
      <c r="KC20" s="50"/>
      <c r="KD20" s="50"/>
      <c r="KF20" s="79">
        <v>135</v>
      </c>
      <c r="KX20" s="50"/>
      <c r="KY20" s="50"/>
      <c r="LA20" s="79">
        <v>135</v>
      </c>
    </row>
    <row r="21" spans="1:313" x14ac:dyDescent="0.2">
      <c r="A21" s="50"/>
      <c r="B21" s="67" t="s">
        <v>67</v>
      </c>
      <c r="C21" s="49"/>
      <c r="AH21" s="50"/>
      <c r="AI21" s="50"/>
      <c r="AK21" s="61">
        <v>141</v>
      </c>
      <c r="BD21" s="50"/>
      <c r="BE21" s="50"/>
      <c r="BG21" s="61">
        <v>135</v>
      </c>
      <c r="CA21" s="50"/>
      <c r="CB21" s="50"/>
      <c r="CD21" s="61">
        <v>135</v>
      </c>
      <c r="CV21" s="50"/>
      <c r="CW21" s="50"/>
      <c r="CY21" s="61">
        <v>135</v>
      </c>
      <c r="DQ21" s="50"/>
      <c r="DR21" s="50"/>
      <c r="DT21" s="61">
        <v>135</v>
      </c>
      <c r="EL21" s="50"/>
      <c r="EM21" s="50"/>
      <c r="EO21" s="80">
        <v>135</v>
      </c>
      <c r="FG21" s="50"/>
      <c r="FH21" s="50"/>
      <c r="FJ21" s="80">
        <v>135</v>
      </c>
      <c r="GB21" s="50"/>
      <c r="GC21" s="50"/>
      <c r="GE21" s="80">
        <v>135</v>
      </c>
      <c r="GW21" s="50"/>
      <c r="GX21" s="50"/>
      <c r="GZ21" s="80">
        <v>135</v>
      </c>
      <c r="HR21" s="50"/>
      <c r="HS21" s="50"/>
      <c r="HU21" s="80">
        <v>135</v>
      </c>
      <c r="IM21" s="50"/>
      <c r="IN21" s="50"/>
      <c r="IP21" s="80">
        <v>135</v>
      </c>
      <c r="JH21" s="50"/>
      <c r="JI21" s="50"/>
      <c r="JK21" s="80">
        <v>135</v>
      </c>
      <c r="KC21" s="50"/>
      <c r="KD21" s="50"/>
      <c r="KF21" s="80">
        <v>135</v>
      </c>
      <c r="KX21" s="50"/>
      <c r="KY21" s="50"/>
      <c r="LA21" s="80">
        <v>135</v>
      </c>
    </row>
    <row r="22" spans="1:313" hidden="1" x14ac:dyDescent="0.2">
      <c r="A22" s="50"/>
      <c r="B22" s="68" t="s">
        <v>35</v>
      </c>
      <c r="C22" s="49"/>
      <c r="AH22" s="50"/>
      <c r="AI22" s="50"/>
      <c r="AK22" s="62">
        <v>1000</v>
      </c>
      <c r="BD22" s="50"/>
      <c r="BE22" s="50"/>
      <c r="BG22" s="62">
        <v>1000</v>
      </c>
      <c r="CA22" s="50"/>
      <c r="CB22" s="50"/>
      <c r="CD22" s="62">
        <v>1000</v>
      </c>
      <c r="CV22" s="50"/>
      <c r="CW22" s="50"/>
      <c r="CY22" s="62">
        <v>1000</v>
      </c>
      <c r="DQ22" s="50"/>
      <c r="DR22" s="50"/>
      <c r="DT22" s="62">
        <v>1000</v>
      </c>
      <c r="EL22" s="50"/>
      <c r="EM22" s="50"/>
      <c r="EO22" s="81">
        <v>1000</v>
      </c>
      <c r="FG22" s="50"/>
      <c r="FH22" s="50"/>
      <c r="FJ22" s="81">
        <v>1000</v>
      </c>
      <c r="GB22" s="50"/>
      <c r="GC22" s="50"/>
      <c r="GE22" s="81">
        <v>1000</v>
      </c>
      <c r="GW22" s="50"/>
      <c r="GX22" s="50"/>
      <c r="GZ22" s="81">
        <v>1000</v>
      </c>
      <c r="HR22" s="50"/>
      <c r="HS22" s="50"/>
      <c r="HU22" s="81">
        <v>1000</v>
      </c>
      <c r="IM22" s="50"/>
      <c r="IN22" s="50"/>
      <c r="IP22" s="81">
        <v>1000</v>
      </c>
      <c r="JH22" s="50"/>
      <c r="JI22" s="50"/>
      <c r="JK22" s="81">
        <v>1000</v>
      </c>
      <c r="KC22" s="50"/>
      <c r="KD22" s="50"/>
      <c r="KF22" s="81">
        <v>1000</v>
      </c>
      <c r="KX22" s="50"/>
      <c r="KY22" s="50"/>
      <c r="LA22" s="81">
        <v>1000</v>
      </c>
    </row>
    <row r="23" spans="1:313" x14ac:dyDescent="0.2">
      <c r="B23" s="76" t="s">
        <v>55</v>
      </c>
      <c r="C23" s="3"/>
      <c r="AK23" t="s">
        <v>72</v>
      </c>
      <c r="CC23" s="7"/>
      <c r="JJ23" s="7"/>
    </row>
    <row r="24" spans="1:313" x14ac:dyDescent="0.2">
      <c r="A24" s="50"/>
      <c r="B24" s="50"/>
      <c r="C24" s="49"/>
      <c r="AK24" t="s">
        <v>118</v>
      </c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3">
      <sortCondition descending="1" ref="F1:F13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4:I1048576">
    <cfRule type="containsText" dxfId="51" priority="190" operator="containsText" text="Merit">
      <formula>NOT(ISERROR(SEARCH("Merit",I14)))</formula>
    </cfRule>
    <cfRule type="containsText" dxfId="50" priority="191" operator="containsText" text="Excellence">
      <formula>NOT(ISERROR(SEARCH("Excellence",I14)))</formula>
    </cfRule>
    <cfRule type="containsText" dxfId="49" priority="192" operator="containsText" text="Worlds Team">
      <formula>NOT(ISERROR(SEARCH("Worlds Team",I14)))</formula>
    </cfRule>
    <cfRule type="containsText" dxfId="48" priority="821" operator="containsText" text="National Team">
      <formula>NOT(ISERROR(SEARCH("National Team",I14)))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3">
    <cfRule type="expression" dxfId="45" priority="8867">
      <formula>IF($BC4&lt;&gt;"",1,0)</formula>
    </cfRule>
  </conditionalFormatting>
  <conditionalFormatting sqref="Q4:AL13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38" priority="14240">
      <formula>IF(AND(CC1&gt;=CD$20,CC1&lt;CD$21),1,0)</formula>
    </cfRule>
    <cfRule type="expression" dxfId="37" priority="14241">
      <formula>IF(AND(CC1&gt;=CD$19,CC1&lt;CD$20),1,0)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36" priority="14312">
      <formula>IF(AND(CE1&gt;=CD$22,CE1&lt;1000),1,0)</formula>
    </cfRule>
    <cfRule type="expression" dxfId="35" priority="14313">
      <formula>IF(AND(CE1&gt;=CD$21,CE1&lt;CD$22),1,0)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4" priority="14384">
      <formula>IF(AND(CA1&gt;=CD$17,CA1&lt;1000),1,0)</formula>
    </cfRule>
    <cfRule type="expression" dxfId="33" priority="14385">
      <formula>IF(AND(CA1&gt;=CD$16,CA1&lt;CD$17),1,0)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14450">
      <formula>IF(AND(CB1&gt;=CD$18,CB1&lt;1000),1,0)</formula>
    </cfRule>
  </conditionalFormatting>
  <conditionalFormatting sqref="AH1:AH1048576 BD1:BD1048576">
    <cfRule type="expression" dxfId="31" priority="14486">
      <formula>IF(AND(AH1&gt;=AK$17,AH1&lt;1000,AG1=""),1,0)</formula>
    </cfRule>
    <cfRule type="expression" dxfId="30" priority="14487">
      <formula>IF(AND(AH1&gt;=AK$16,AH1&lt;AK$17,AG1=""),1,0)</formula>
    </cfRule>
  </conditionalFormatting>
  <conditionalFormatting sqref="BF1:BF1048576 AJ1:AJ1048576">
    <cfRule type="expression" dxfId="29" priority="14498">
      <formula>IF(AND(AJ1&gt;=AK$20,AJ1&lt;AK$21,AG1=""),1,0)</formula>
    </cfRule>
    <cfRule type="expression" dxfId="28" priority="14499">
      <formula>IF(AND(AJ1&gt;=AK$19,AJ1&lt;AK$20,AG1=""),1,0)</formula>
    </cfRule>
  </conditionalFormatting>
  <conditionalFormatting sqref="BH1:BH1048576 AL1:AL1048576">
    <cfRule type="expression" dxfId="27" priority="14510">
      <formula>IF(AND(AL1&gt;=AK$22,AL1&lt;1000,AG1=""),1,0)</formula>
    </cfRule>
    <cfRule type="expression" dxfId="26" priority="14511">
      <formula>IF(AND(AL1&gt;=AK$21,AL1&lt;AK$22,AG1=""),1,0)</formula>
    </cfRule>
  </conditionalFormatting>
  <conditionalFormatting sqref="AI1:AI1048576 BE1:BE1048576">
    <cfRule type="expression" dxfId="25" priority="14522">
      <formula>IF(AND(AI1&gt;=AK$18,AI1&lt;1000,AG1=""),1,0)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2" t="s">
        <v>1</v>
      </c>
      <c r="B1" s="112" t="s">
        <v>26</v>
      </c>
      <c r="C1" s="112" t="s">
        <v>0</v>
      </c>
      <c r="D1" s="112" t="s">
        <v>56</v>
      </c>
      <c r="E1" s="112" t="s">
        <v>2</v>
      </c>
      <c r="F1" s="119" t="s">
        <v>65</v>
      </c>
      <c r="G1" s="119" t="s">
        <v>66</v>
      </c>
      <c r="H1" s="119" t="s">
        <v>8</v>
      </c>
      <c r="I1" s="112" t="s">
        <v>9</v>
      </c>
      <c r="J1" s="126" t="s">
        <v>69</v>
      </c>
      <c r="K1" s="114" t="s">
        <v>33</v>
      </c>
      <c r="L1" s="126" t="s">
        <v>68</v>
      </c>
      <c r="M1" s="114" t="s">
        <v>33</v>
      </c>
      <c r="N1" s="116" t="s">
        <v>14</v>
      </c>
      <c r="O1" s="114" t="s">
        <v>34</v>
      </c>
      <c r="P1" s="114" t="s">
        <v>33</v>
      </c>
      <c r="Q1" s="115" t="s">
        <v>53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7" t="s">
        <v>119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8" t="s">
        <v>64</v>
      </c>
      <c r="BJ1" s="118"/>
      <c r="BK1" s="124" t="s">
        <v>62</v>
      </c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4"/>
      <c r="HX1" s="124"/>
      <c r="HY1" s="124"/>
      <c r="HZ1" s="124"/>
      <c r="IA1" s="124"/>
      <c r="IB1" s="124"/>
      <c r="IC1" s="124"/>
      <c r="ID1" s="124"/>
      <c r="IE1" s="124"/>
      <c r="IF1" s="124"/>
      <c r="IG1" s="124"/>
      <c r="IH1" s="124"/>
      <c r="II1" s="124"/>
      <c r="IJ1" s="124"/>
      <c r="IK1" s="124"/>
      <c r="IL1" s="124"/>
      <c r="IM1" s="124"/>
      <c r="IN1" s="124"/>
      <c r="IO1" s="124"/>
      <c r="IP1" s="124"/>
      <c r="IQ1" s="124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15" t="s">
        <v>117</v>
      </c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</row>
    <row r="2" spans="1:336" x14ac:dyDescent="0.2">
      <c r="A2" s="112"/>
      <c r="B2" s="112"/>
      <c r="C2" s="112"/>
      <c r="D2" s="112"/>
      <c r="E2" s="112"/>
      <c r="F2" s="119"/>
      <c r="G2" s="119"/>
      <c r="H2" s="119"/>
      <c r="I2" s="112"/>
      <c r="J2" s="126"/>
      <c r="K2" s="114"/>
      <c r="L2" s="126"/>
      <c r="M2" s="114"/>
      <c r="N2" s="116"/>
      <c r="O2" s="114"/>
      <c r="P2" s="114"/>
      <c r="Q2" s="110" t="s">
        <v>27</v>
      </c>
      <c r="R2" s="110"/>
      <c r="S2" s="110"/>
      <c r="T2" s="110"/>
      <c r="U2" s="110" t="s">
        <v>30</v>
      </c>
      <c r="V2" s="110"/>
      <c r="W2" s="110"/>
      <c r="X2" s="110"/>
      <c r="Y2" s="110" t="s">
        <v>31</v>
      </c>
      <c r="Z2" s="110"/>
      <c r="AA2" s="110"/>
      <c r="AB2" s="110"/>
      <c r="AC2" s="121" t="s">
        <v>32</v>
      </c>
      <c r="AD2" s="121"/>
      <c r="AE2" s="121"/>
      <c r="AF2" s="121"/>
      <c r="AG2" s="83"/>
      <c r="AH2" s="86" t="s">
        <v>25</v>
      </c>
      <c r="AI2" s="86" t="s">
        <v>74</v>
      </c>
      <c r="AJ2" s="10" t="s">
        <v>24</v>
      </c>
      <c r="AK2" s="10" t="s">
        <v>23</v>
      </c>
      <c r="AL2" s="10" t="s">
        <v>18</v>
      </c>
      <c r="AM2" s="111" t="s">
        <v>27</v>
      </c>
      <c r="AN2" s="111"/>
      <c r="AO2" s="111"/>
      <c r="AP2" s="111"/>
      <c r="AQ2" s="111" t="s">
        <v>30</v>
      </c>
      <c r="AR2" s="111"/>
      <c r="AS2" s="111"/>
      <c r="AT2" s="111"/>
      <c r="AU2" s="111" t="s">
        <v>31</v>
      </c>
      <c r="AV2" s="111"/>
      <c r="AW2" s="111"/>
      <c r="AX2" s="111"/>
      <c r="AY2" s="123" t="s">
        <v>32</v>
      </c>
      <c r="AZ2" s="123"/>
      <c r="BA2" s="123"/>
      <c r="BB2" s="123"/>
      <c r="BC2" s="82"/>
      <c r="BD2" s="87" t="s">
        <v>25</v>
      </c>
      <c r="BE2" s="87" t="s">
        <v>74</v>
      </c>
      <c r="BF2" s="13" t="s">
        <v>24</v>
      </c>
      <c r="BG2" s="13" t="s">
        <v>23</v>
      </c>
      <c r="BH2" s="13" t="s">
        <v>18</v>
      </c>
      <c r="BI2" s="22" t="s">
        <v>71</v>
      </c>
      <c r="BJ2" s="22" t="s">
        <v>70</v>
      </c>
      <c r="BK2" s="110" t="s">
        <v>27</v>
      </c>
      <c r="BL2" s="110"/>
      <c r="BM2" s="110"/>
      <c r="BN2" s="110"/>
      <c r="BO2" s="110" t="s">
        <v>30</v>
      </c>
      <c r="BP2" s="110"/>
      <c r="BQ2" s="110"/>
      <c r="BR2" s="110"/>
      <c r="BS2" s="110" t="s">
        <v>31</v>
      </c>
      <c r="BT2" s="110"/>
      <c r="BU2" s="110"/>
      <c r="BV2" s="110"/>
      <c r="BW2" s="121" t="s">
        <v>32</v>
      </c>
      <c r="BX2" s="121"/>
      <c r="BY2" s="121"/>
      <c r="BZ2" s="121"/>
      <c r="CA2" s="86" t="s">
        <v>25</v>
      </c>
      <c r="CB2" s="86" t="s">
        <v>74</v>
      </c>
      <c r="CC2" s="10" t="s">
        <v>24</v>
      </c>
      <c r="CD2" s="10" t="s">
        <v>23</v>
      </c>
      <c r="CE2" s="10" t="s">
        <v>18</v>
      </c>
      <c r="CF2" s="123" t="s">
        <v>27</v>
      </c>
      <c r="CG2" s="123"/>
      <c r="CH2" s="123"/>
      <c r="CI2" s="123"/>
      <c r="CJ2" s="123" t="s">
        <v>30</v>
      </c>
      <c r="CK2" s="123"/>
      <c r="CL2" s="123"/>
      <c r="CM2" s="123"/>
      <c r="CN2" s="123" t="s">
        <v>31</v>
      </c>
      <c r="CO2" s="123"/>
      <c r="CP2" s="123"/>
      <c r="CQ2" s="123"/>
      <c r="CR2" s="123" t="s">
        <v>32</v>
      </c>
      <c r="CS2" s="123"/>
      <c r="CT2" s="123"/>
      <c r="CU2" s="123"/>
      <c r="CV2" s="87" t="s">
        <v>25</v>
      </c>
      <c r="CW2" s="87" t="s">
        <v>74</v>
      </c>
      <c r="CX2" s="17" t="s">
        <v>24</v>
      </c>
      <c r="CY2" s="17" t="s">
        <v>23</v>
      </c>
      <c r="CZ2" s="17" t="s">
        <v>18</v>
      </c>
      <c r="DA2" s="121" t="s">
        <v>27</v>
      </c>
      <c r="DB2" s="121"/>
      <c r="DC2" s="121"/>
      <c r="DD2" s="121"/>
      <c r="DE2" s="121" t="s">
        <v>30</v>
      </c>
      <c r="DF2" s="121"/>
      <c r="DG2" s="121"/>
      <c r="DH2" s="121"/>
      <c r="DI2" s="121" t="s">
        <v>31</v>
      </c>
      <c r="DJ2" s="121"/>
      <c r="DK2" s="121"/>
      <c r="DL2" s="121"/>
      <c r="DM2" s="121" t="s">
        <v>32</v>
      </c>
      <c r="DN2" s="121"/>
      <c r="DO2" s="121"/>
      <c r="DP2" s="121"/>
      <c r="DQ2" s="86" t="s">
        <v>25</v>
      </c>
      <c r="DR2" s="86" t="s">
        <v>74</v>
      </c>
      <c r="DS2" s="18" t="s">
        <v>24</v>
      </c>
      <c r="DT2" s="18" t="s">
        <v>23</v>
      </c>
      <c r="DU2" s="18" t="s">
        <v>18</v>
      </c>
      <c r="DV2" s="123" t="s">
        <v>27</v>
      </c>
      <c r="DW2" s="123"/>
      <c r="DX2" s="123"/>
      <c r="DY2" s="123"/>
      <c r="DZ2" s="123" t="s">
        <v>30</v>
      </c>
      <c r="EA2" s="123"/>
      <c r="EB2" s="123"/>
      <c r="EC2" s="123"/>
      <c r="ED2" s="123" t="s">
        <v>31</v>
      </c>
      <c r="EE2" s="123"/>
      <c r="EF2" s="123"/>
      <c r="EG2" s="123"/>
      <c r="EH2" s="123" t="s">
        <v>32</v>
      </c>
      <c r="EI2" s="123"/>
      <c r="EJ2" s="123"/>
      <c r="EK2" s="123"/>
      <c r="EL2" s="87" t="s">
        <v>25</v>
      </c>
      <c r="EM2" s="87" t="s">
        <v>74</v>
      </c>
      <c r="EN2" s="17" t="s">
        <v>24</v>
      </c>
      <c r="EO2" s="17" t="s">
        <v>23</v>
      </c>
      <c r="EP2" s="17" t="s">
        <v>18</v>
      </c>
      <c r="EQ2" s="121" t="s">
        <v>27</v>
      </c>
      <c r="ER2" s="121"/>
      <c r="ES2" s="121"/>
      <c r="ET2" s="121"/>
      <c r="EU2" s="121" t="s">
        <v>30</v>
      </c>
      <c r="EV2" s="121"/>
      <c r="EW2" s="121"/>
      <c r="EX2" s="121"/>
      <c r="EY2" s="121" t="s">
        <v>31</v>
      </c>
      <c r="EZ2" s="121"/>
      <c r="FA2" s="121"/>
      <c r="FB2" s="121"/>
      <c r="FC2" s="121" t="s">
        <v>32</v>
      </c>
      <c r="FD2" s="121"/>
      <c r="FE2" s="121"/>
      <c r="FF2" s="121"/>
      <c r="FG2" s="86" t="s">
        <v>25</v>
      </c>
      <c r="FH2" s="86" t="s">
        <v>74</v>
      </c>
      <c r="FI2" s="18" t="s">
        <v>24</v>
      </c>
      <c r="FJ2" s="18" t="s">
        <v>23</v>
      </c>
      <c r="FK2" s="18" t="s">
        <v>18</v>
      </c>
      <c r="FL2" s="123" t="s">
        <v>27</v>
      </c>
      <c r="FM2" s="123"/>
      <c r="FN2" s="123"/>
      <c r="FO2" s="123"/>
      <c r="FP2" s="123" t="s">
        <v>30</v>
      </c>
      <c r="FQ2" s="123"/>
      <c r="FR2" s="123"/>
      <c r="FS2" s="123"/>
      <c r="FT2" s="123" t="s">
        <v>31</v>
      </c>
      <c r="FU2" s="123"/>
      <c r="FV2" s="123"/>
      <c r="FW2" s="123"/>
      <c r="FX2" s="123" t="s">
        <v>32</v>
      </c>
      <c r="FY2" s="123"/>
      <c r="FZ2" s="123"/>
      <c r="GA2" s="123"/>
      <c r="GB2" s="87" t="s">
        <v>25</v>
      </c>
      <c r="GC2" s="87" t="s">
        <v>74</v>
      </c>
      <c r="GD2" s="17" t="s">
        <v>24</v>
      </c>
      <c r="GE2" s="17" t="s">
        <v>23</v>
      </c>
      <c r="GF2" s="17" t="s">
        <v>18</v>
      </c>
      <c r="GG2" s="121" t="s">
        <v>27</v>
      </c>
      <c r="GH2" s="121"/>
      <c r="GI2" s="121"/>
      <c r="GJ2" s="121"/>
      <c r="GK2" s="121" t="s">
        <v>30</v>
      </c>
      <c r="GL2" s="121"/>
      <c r="GM2" s="121"/>
      <c r="GN2" s="121"/>
      <c r="GO2" s="121" t="s">
        <v>31</v>
      </c>
      <c r="GP2" s="121"/>
      <c r="GQ2" s="121"/>
      <c r="GR2" s="121"/>
      <c r="GS2" s="121" t="s">
        <v>32</v>
      </c>
      <c r="GT2" s="121"/>
      <c r="GU2" s="121"/>
      <c r="GV2" s="121"/>
      <c r="GW2" s="86" t="s">
        <v>25</v>
      </c>
      <c r="GX2" s="86" t="s">
        <v>74</v>
      </c>
      <c r="GY2" s="18" t="s">
        <v>24</v>
      </c>
      <c r="GZ2" s="18" t="s">
        <v>23</v>
      </c>
      <c r="HA2" s="18" t="s">
        <v>18</v>
      </c>
      <c r="HB2" s="123" t="s">
        <v>27</v>
      </c>
      <c r="HC2" s="123"/>
      <c r="HD2" s="123"/>
      <c r="HE2" s="123"/>
      <c r="HF2" s="123" t="s">
        <v>30</v>
      </c>
      <c r="HG2" s="123"/>
      <c r="HH2" s="123"/>
      <c r="HI2" s="123"/>
      <c r="HJ2" s="123" t="s">
        <v>31</v>
      </c>
      <c r="HK2" s="123"/>
      <c r="HL2" s="123"/>
      <c r="HM2" s="123"/>
      <c r="HN2" s="123" t="s">
        <v>32</v>
      </c>
      <c r="HO2" s="123"/>
      <c r="HP2" s="123"/>
      <c r="HQ2" s="123"/>
      <c r="HR2" s="87" t="s">
        <v>25</v>
      </c>
      <c r="HS2" s="87" t="s">
        <v>74</v>
      </c>
      <c r="HT2" s="17" t="s">
        <v>24</v>
      </c>
      <c r="HU2" s="17" t="s">
        <v>23</v>
      </c>
      <c r="HV2" s="17" t="s">
        <v>18</v>
      </c>
      <c r="HW2" s="121" t="s">
        <v>27</v>
      </c>
      <c r="HX2" s="121"/>
      <c r="HY2" s="121"/>
      <c r="HZ2" s="121"/>
      <c r="IA2" s="121" t="s">
        <v>30</v>
      </c>
      <c r="IB2" s="121"/>
      <c r="IC2" s="121"/>
      <c r="ID2" s="121"/>
      <c r="IE2" s="121" t="s">
        <v>31</v>
      </c>
      <c r="IF2" s="121"/>
      <c r="IG2" s="121"/>
      <c r="IH2" s="121"/>
      <c r="II2" s="121" t="s">
        <v>32</v>
      </c>
      <c r="IJ2" s="121"/>
      <c r="IK2" s="121"/>
      <c r="IL2" s="121"/>
      <c r="IM2" s="86" t="s">
        <v>25</v>
      </c>
      <c r="IN2" s="86" t="s">
        <v>74</v>
      </c>
      <c r="IO2" s="18" t="s">
        <v>24</v>
      </c>
      <c r="IP2" s="18" t="s">
        <v>23</v>
      </c>
      <c r="IQ2" s="18" t="s">
        <v>18</v>
      </c>
      <c r="IR2" s="123" t="s">
        <v>27</v>
      </c>
      <c r="IS2" s="123"/>
      <c r="IT2" s="123"/>
      <c r="IU2" s="123"/>
      <c r="IV2" s="123" t="s">
        <v>30</v>
      </c>
      <c r="IW2" s="123"/>
      <c r="IX2" s="123"/>
      <c r="IY2" s="123"/>
      <c r="IZ2" s="123" t="s">
        <v>31</v>
      </c>
      <c r="JA2" s="123"/>
      <c r="JB2" s="123"/>
      <c r="JC2" s="123"/>
      <c r="JD2" s="123" t="s">
        <v>32</v>
      </c>
      <c r="JE2" s="123"/>
      <c r="JF2" s="123"/>
      <c r="JG2" s="123"/>
      <c r="JH2" s="87" t="s">
        <v>25</v>
      </c>
      <c r="JI2" s="87" t="s">
        <v>74</v>
      </c>
      <c r="JJ2" s="17" t="s">
        <v>24</v>
      </c>
      <c r="JK2" s="17" t="s">
        <v>23</v>
      </c>
      <c r="JL2" s="17" t="s">
        <v>18</v>
      </c>
      <c r="JM2" s="121" t="s">
        <v>27</v>
      </c>
      <c r="JN2" s="121"/>
      <c r="JO2" s="121"/>
      <c r="JP2" s="121"/>
      <c r="JQ2" s="121" t="s">
        <v>30</v>
      </c>
      <c r="JR2" s="121"/>
      <c r="JS2" s="121"/>
      <c r="JT2" s="121"/>
      <c r="JU2" s="121" t="s">
        <v>31</v>
      </c>
      <c r="JV2" s="121"/>
      <c r="JW2" s="121"/>
      <c r="JX2" s="121"/>
      <c r="JY2" s="121" t="s">
        <v>32</v>
      </c>
      <c r="JZ2" s="121"/>
      <c r="KA2" s="121"/>
      <c r="KB2" s="121"/>
      <c r="KC2" s="86" t="s">
        <v>25</v>
      </c>
      <c r="KD2" s="86" t="s">
        <v>74</v>
      </c>
      <c r="KE2" s="18" t="s">
        <v>24</v>
      </c>
      <c r="KF2" s="18" t="s">
        <v>23</v>
      </c>
      <c r="KG2" s="18" t="s">
        <v>18</v>
      </c>
      <c r="KH2" s="123" t="s">
        <v>27</v>
      </c>
      <c r="KI2" s="123"/>
      <c r="KJ2" s="123"/>
      <c r="KK2" s="123"/>
      <c r="KL2" s="123" t="s">
        <v>30</v>
      </c>
      <c r="KM2" s="123"/>
      <c r="KN2" s="123"/>
      <c r="KO2" s="123"/>
      <c r="KP2" s="123" t="s">
        <v>31</v>
      </c>
      <c r="KQ2" s="123"/>
      <c r="KR2" s="123"/>
      <c r="KS2" s="123"/>
      <c r="KT2" s="123" t="s">
        <v>32</v>
      </c>
      <c r="KU2" s="123"/>
      <c r="KV2" s="123"/>
      <c r="KW2" s="123"/>
      <c r="KX2" s="87" t="s">
        <v>25</v>
      </c>
      <c r="KY2" s="87" t="s">
        <v>74</v>
      </c>
      <c r="KZ2" s="17" t="s">
        <v>24</v>
      </c>
      <c r="LA2" s="17" t="s">
        <v>23</v>
      </c>
      <c r="LB2" s="17" t="s">
        <v>18</v>
      </c>
      <c r="LC2" s="110" t="s">
        <v>27</v>
      </c>
      <c r="LD2" s="110"/>
      <c r="LE2" s="110"/>
      <c r="LF2" s="110"/>
      <c r="LG2" s="110" t="s">
        <v>30</v>
      </c>
      <c r="LH2" s="110"/>
      <c r="LI2" s="110"/>
      <c r="LJ2" s="110"/>
      <c r="LK2" s="110" t="s">
        <v>31</v>
      </c>
      <c r="LL2" s="110"/>
      <c r="LM2" s="110"/>
      <c r="LN2" s="110"/>
      <c r="LO2" s="121" t="s">
        <v>32</v>
      </c>
      <c r="LP2" s="121"/>
      <c r="LQ2" s="121"/>
      <c r="LR2" s="121"/>
      <c r="LS2" s="105"/>
      <c r="LT2" s="105" t="s">
        <v>25</v>
      </c>
      <c r="LU2" s="105" t="s">
        <v>74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2"/>
      <c r="B3" s="112"/>
      <c r="C3" s="112"/>
      <c r="D3" s="112"/>
      <c r="E3" s="112"/>
      <c r="F3" s="119"/>
      <c r="G3" s="119"/>
      <c r="H3" s="119"/>
      <c r="I3" s="112"/>
      <c r="J3" s="126"/>
      <c r="K3" s="114"/>
      <c r="L3" s="126"/>
      <c r="M3" s="114"/>
      <c r="N3" s="116"/>
      <c r="O3" s="114"/>
      <c r="P3" s="114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54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54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95</v>
      </c>
      <c r="C4" s="5" t="s">
        <v>5</v>
      </c>
      <c r="D4" s="6">
        <v>2002</v>
      </c>
      <c r="E4" s="16">
        <f>SUM(J4:N4)</f>
        <v>198.29999999999998</v>
      </c>
      <c r="F4" s="4" t="str">
        <f>IF(OR(AND(AH4&gt;=AK$11,AJ4&gt;=AK$14,AJ4&lt;&gt;"",AG4=""),AND(BD4&gt;=BG$11,BF4&gt;=BG$14,BF4&lt;&gt;"",BC4=""),AND(CA4&gt;=CD$11,CC4&gt;=CD$14,CC4&lt;&gt;""),AND(CV4&gt;=CY$11,CX4&gt;=CY$14,CX4&lt;&gt;""),AND(DQ4&gt;=DT$11,DS4&gt;=DT$14,DS4&lt;&gt;""),AND(EL4&gt;=EO$11,EN4&gt;=EO$14,EN4&lt;&gt;""),AND(FG4&gt;=FJ$11,FI4&gt;=FJ$14,FI4&lt;&gt;""),AND(GB4&gt;=GE$11,GD4&gt;=GE$14,GD4&lt;&gt;""),AND(GW4&gt;=GZ$11,GY4&gt;=GZ$14,GY4&lt;&gt;""),AND(HR4&gt;=HU$11,HT4&gt;=HU$14,HT4&lt;&gt;""),AND(IM4&gt;=IP$11,IO4&gt;=IP$14,IO4&lt;&gt;""),AND(JH4&gt;=JK$11,JJ4&gt;=JK$14,JJ4&lt;&gt;""),AND(KC4&gt;=KF$11,KE4&gt;=KF$14,KE4&lt;&gt;""),AND(KX4&gt;=LA$11,KZ4&gt;=LA$14,KZ4&lt;&gt;"")),"P","")</f>
        <v>P</v>
      </c>
      <c r="G4" s="4" t="str">
        <f>IF(OR(AND(AH4&gt;=AK$12,AJ4&gt;=AK$15,AJ4&lt;&gt;"",AG4=""),AND(BD4&gt;=BG$12,BF4&gt;=BG$15,BF4&lt;&gt;"",BC4=""),AND(CA4&gt;=CD$12,CC4&gt;=CD$15,CC4&lt;&gt;""),AND(CV4&gt;=CY$12,CX4&gt;=CY$15,CX4&lt;&gt;""),AND(DQ4&gt;=DT$12,DS4&gt;=DT$15,DS4&lt;&gt;""),AND(EL4&gt;=EO$12,EN4&gt;=EO$15,EN4&lt;&gt;""),AND(FG4&gt;=FJ$12,FI4&gt;=FJ$15,FI4&lt;&gt;""),AND(GB4&gt;=GE$12,GD4&gt;=GE$15,GD4&lt;&gt;""),AND(GW4&gt;=GZ$12,GY4&gt;=GZ$15,GY4&lt;&gt;""),AND(HR4&gt;=HU$12,HT4&gt;=HU$15,HT4&lt;&gt;""),AND(IM4&gt;=IP$12,IO4&gt;=IP$15,IO4&lt;&gt;""),AND(JH4&gt;=JK$12,JJ4&gt;=JK$15,JJ4&lt;&gt;""),AND(KC4&gt;=KF$12,KE4&gt;=KF$15,KE4&lt;&gt;""),AND(KX4&gt;=LA$12,KZ4&gt;=LA$15,KZ4&lt;&gt;"")),"P","")</f>
        <v/>
      </c>
      <c r="H4" s="4" t="str">
        <f>IF(OR(AND(AJ4&gt;=AK$14,AJ4&lt;&gt;"",AG4=""),AND(BF4&gt;=BG$14,BF4&lt;&gt;"",BC4=""),AND(CC4&gt;=CD$14,CC4&lt;&gt;""),AND(CX4&gt;=CY$14,CX4&lt;&gt;""),AND(DS4&gt;=DT$14,DS4&lt;&gt;""),AND(EN4&gt;=EO$14,EN4&lt;&gt;""),AND(FI4&gt;=FJ$14,FI4&lt;&gt;""),AND(GD4&gt;=GE$14,GD4&lt;&gt;""),AND(GY4&gt;=GZ$14,GY4&lt;&gt;""),AND(HT4&gt;=HU$14,HT4&lt;&gt;""),AND(IO4&gt;=IP$14,IO4&lt;&gt;""),AND(JJ4&gt;=JK$14,JJ4&lt;&gt;""),AND(KE4&gt;=KF$14,KE4&lt;&gt;""),AND(KZ4&gt;=LA$14,KZ4&lt;&gt;"")),"P","")</f>
        <v>P</v>
      </c>
      <c r="I4" t="str">
        <f>IF(AND(H4="P",F4=""),"No DD",IF(OR(AND(AI4&gt;=AK$13,AI4&lt;&gt;"",AL4&gt;=AK$17,AL4&lt;&gt;"",AG4=""),AND(BE4&gt;=BG$13,BE4&lt;&gt;"",BH4&gt;=BG$17,BH4&lt;&gt;"",BC4=""),AND(CB4&gt;=CD$13,CB4&lt;&gt;"",CE4&gt;=CD$17,CE4&lt;&gt;""),AND(CW4&gt;=CY$13,CW4&lt;&gt;"",CZ4&gt;=CY$17,CZ4&lt;&gt;""),AND(DR4&gt;=DT$13,DR4&lt;&gt;"",DU4&gt;=DT$17,DU4&lt;&gt;""),AND(EM4&gt;=EO$13,EM4&lt;&gt;"",EP4&gt;=EO$17,EP4&lt;&gt;""),AND(FH4&gt;=FJ$13,FH4&lt;&gt;"",FK4&gt;=FJ$17,FK4&lt;&gt;""),AND(GC4&gt;=GE$13,GC4&lt;&gt;"",GF4&gt;=GE$17,GF4&lt;&gt;""),AND(GX4&gt;=GZ$13,GX4&lt;&gt;"",HA4&gt;=GZ$17,HA4&lt;&gt;""),AND(HS4&gt;=HU$13,HS4&lt;&gt;"",HV4&gt;=HU$17,HV4&lt;&gt;""),AND(IN4&gt;=IP$13,IN4&lt;&gt;"",IQ4&gt;=IP$17,IQ4&lt;&gt;""),AND(JI4&gt;=JK$13,JI4&lt;&gt;"",JL4&gt;=JK$17,JL4&lt;&gt;""),AND(KD4&gt;=KF$13,KD4&lt;&gt;"",KG4&gt;=KF$17,KG4&lt;&gt;""),AND(KY4&gt;=LA$13,KY4&lt;&gt;"",LB4&gt;=LA$17,LB4&lt;&gt;"")),"Merit",IF(OR(AND(AI4&gt;=AK$13,AI4&lt;&gt;"",AL4&gt;=AK$16,AL4&lt;&gt;"",AG4=""),AND(BE4&gt;=BG$13,BE4&lt;&gt;"",BH4&gt;=BG$16,BH4&lt;&gt;"",BC4=""),AND(CB4&gt;=CD$13,CB4&lt;&gt;"",CE4&gt;=CD$16,CE4&lt;&gt;""),AND(CW4&gt;=CY$13,CW4&lt;&gt;"",CZ4&gt;=CY$16,CZ4&lt;&gt;""),AND(DR4&gt;=DT$13,DR4&lt;&gt;"",DU4&gt;=DT$16,DU4&lt;&gt;""),AND(EM4&gt;=EO$13,EM4&lt;&gt;"",EP4&gt;=EO$16,EP4&lt;&gt;""),AND(FH4&gt;=FJ$13,FH4&lt;&gt;"",FK4&gt;=FJ$16,FK4&lt;&gt;""),AND(GC4&gt;=GE$13,GC4&lt;&gt;"",GF4&gt;=GE$16,GF4&lt;&gt;""),AND(GX4&gt;=GZ$13,GX4&lt;&gt;"",HA4&gt;=GZ$16,HA4&lt;&gt;""),AND(HS4&gt;=HU$13,HS4&lt;&gt;"",HV4&gt;=HU$16,HV4&lt;&gt;""),AND(IN4&gt;=IP$13,IN4&lt;&gt;"",IQ4&gt;=IP$16,IQ4&lt;&gt;""),AND(JI4&gt;=JK$13,JI4&lt;&gt;"",JL4&gt;=JK$16,JL4&lt;&gt;""),AND(KD4&gt;=KF$13,KD4&lt;&gt;"",KG4&gt;=KF$16,KG4&lt;&gt;""),AND(KY4&gt;=LA$13,KY4&lt;&gt;"",LB4&gt;=LA$16,LB4&lt;&gt;"")),"Excellence",IF(OR(AND(AH4&gt;=AK$12,AH4&lt;&gt;"",AJ4&gt;=AK$15,AJ4&lt;&gt;"",AG4=""),AND(BD4&gt;=BG$12,BD4&lt;&gt;"",BF4&gt;=BG$15,BF4&lt;&gt;"",BC4=""),AND(CA4&gt;=CD$12,CA4&lt;&gt;"",CC4&gt;=CD$15,CC4&lt;&gt;""),AND(CV4&gt;=CY$12,CV4&lt;&gt;"",CX4&gt;=CY$15,CX4&lt;&gt;""),AND(DQ4&gt;=DT$12,DQ4&lt;&gt;"",DS4&gt;=DT$15,DS4&lt;&gt;""),AND(EL4&gt;=EO$12,EL4&lt;&gt;"",EN4&gt;=EO$15,EN4&lt;&gt;""),AND(FG4&gt;=FJ$12,FG4&lt;&gt;"",FI4&gt;=FJ$15,FI4&lt;&gt;""),AND(GB4&gt;=GE$12,GB4&lt;&gt;"",GD4&gt;=GE$15,GD4&lt;&gt;""),AND(GW4&gt;=GZ$12,GW4&lt;&gt;"",GY4&gt;=GZ$15,GY4&lt;&gt;""),AND(HR4&gt;=HU$12,HR4&lt;&gt;"",HT4&gt;=HU$15,HT4&lt;&gt;""),AND(IM4&gt;=IP$12,IM4&lt;&gt;"",IO4&gt;=IP$15,IO4&lt;&gt;""),AND(JH4&gt;=JK$12,JH4&lt;&gt;"",JJ4&gt;=JK$15,JJ4&lt;&gt;""),AND(KC4&gt;=KF$12,KC4&lt;&gt;"",KE4&gt;=KF$15,KE4&lt;&gt;""),AND(KX4&gt;=LA$12,KX4&lt;&gt;"",KZ4&gt;=LA$15,KZ4&lt;&gt;"")),"Worlds Team",IF(OR(AND(AH4&gt;=AK$11,AH4&lt;&gt;"",AJ4&gt;=AK$14,AJ4&lt;&gt;"",AG4=""),AND(BD4&gt;=BG$11,BD4&lt;&gt;"",BF4&gt;=BG$14,BF4&lt;&gt;"",BC4=""),AND(CA4&gt;=CD$11,CA4&lt;&gt;"",CC4&gt;=CD$14,CC4&lt;&gt;""),AND(CV4&gt;=CY$11,CV4&lt;&gt;"",CX4&gt;=CY$14,CX4&lt;&gt;""),AND(DQ4&gt;=DT$11,DQ4&lt;&gt;"",DS4&gt;=DT$14,DS4&lt;&gt;""),AND(EL4&gt;=EO$11,EL4&lt;&gt;"",EN4&gt;=EO$14,EN4&lt;&gt;""),AND(FG4&gt;=FJ$11,FG4&lt;&gt;"",FI4&gt;=FJ$14,FI4&lt;&gt;""),AND(GB4&gt;=GE$11,GB4&lt;&gt;"",GD4&gt;=GE$14,GD4&lt;&gt;""),AND(GW4&gt;=GZ$11,GW4&lt;&gt;"",GY4&gt;=GZ$14,GY4&lt;&gt;""),AND(HR4&gt;=HU$11,HR4&lt;&gt;"",HT4&gt;=HU$14,HT4&lt;&gt;""),AND(IM4&gt;=IP$11,IM4&lt;&gt;"",IO4&gt;=IP$14,IO4&lt;&gt;""),AND(JH4&gt;=JK$11,JH4&lt;&gt;"",JJ4&gt;=JK$14,JJ4&lt;&gt;""),AND(KC4&gt;=KF$11,KC4&lt;&gt;"",KE4&gt;=KF$14,KE4&lt;&gt;""),AND(KX4&gt;=LA$11,KX4&lt;&gt;"",KZ4&gt;=LA$14,KZ4&lt;&gt;"")),"National Team","")))))</f>
        <v>National Team</v>
      </c>
      <c r="J4" s="15">
        <f>IF(MAX(AL4,BH4)&gt;0,MAX(AL4,BH4),"")</f>
        <v>121.9</v>
      </c>
      <c r="K4" s="15" t="str">
        <f>IF(J4="","",IF(J4=BH4,$AM$1,IF(J4=AL4,$Q$1,"")))</f>
        <v>2018 Nationals</v>
      </c>
      <c r="L4" s="15">
        <f>IF(J4=AL4,IF(MAX(BF4,BG4)&gt;0,MAX(BF4,BG4),""),IF(J4=BH4,IF(MAX(AJ4,AK4)&gt;0,MAX(AJ4,AK4),""),MAX(AJ4,AK4,BF4,BG4)))</f>
        <v>66.399999999999991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9.9999999999999716</v>
      </c>
      <c r="O4" s="25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Age Groups (Nov 18)</v>
      </c>
      <c r="Q4" s="63">
        <v>28.5</v>
      </c>
      <c r="R4" s="63">
        <v>6</v>
      </c>
      <c r="S4" s="63">
        <v>0</v>
      </c>
      <c r="T4" s="63">
        <v>0</v>
      </c>
      <c r="U4" s="63">
        <v>28.1</v>
      </c>
      <c r="V4" s="63">
        <v>4.8</v>
      </c>
      <c r="W4" s="63">
        <v>0</v>
      </c>
      <c r="X4" s="63">
        <v>0</v>
      </c>
      <c r="Y4" s="63">
        <v>28.2</v>
      </c>
      <c r="Z4" s="63">
        <v>4.8</v>
      </c>
      <c r="AA4" s="63">
        <v>0</v>
      </c>
      <c r="AB4" s="63">
        <v>0</v>
      </c>
      <c r="AC4" s="63">
        <v>20.8</v>
      </c>
      <c r="AD4" s="63">
        <v>0.7</v>
      </c>
      <c r="AE4" s="63">
        <v>0</v>
      </c>
      <c r="AF4" s="63">
        <v>0</v>
      </c>
      <c r="AG4" s="74"/>
      <c r="AH4" s="12">
        <f>IF(SUM(R4,V4)&gt;0,SUM(R4,V4),"")</f>
        <v>10.8</v>
      </c>
      <c r="AI4" s="12">
        <f>IF(SUM(R4,V4,Z4,AD4)&gt;0,SUM(R4,V4,Z4,AD4),"")</f>
        <v>16.3</v>
      </c>
      <c r="AJ4" s="12">
        <f>IF(SUM(Q4:R4,T4:V4,X4)-SUM(S4,W4)&gt;0,SUM(Q4:R4,T4:V4,X4)-SUM(S4,W4),"")</f>
        <v>67.400000000000006</v>
      </c>
      <c r="AK4" s="12">
        <f>IF(SUM(Y4:Z4,AB4:AD4,AF4)-SUM(AA4,AE4)&gt;0,SUM(Y4:Z4,AB4:AD4,AF4)-SUM(AA4,AE4),"")</f>
        <v>54.5</v>
      </c>
      <c r="AL4" s="12">
        <f>IF(SUM(AJ4,AK4)&gt;0,SUM(AJ4,AK4),"")</f>
        <v>121.9</v>
      </c>
      <c r="AM4" s="37">
        <v>28.3</v>
      </c>
      <c r="AN4" s="37">
        <v>6</v>
      </c>
      <c r="AO4" s="37">
        <v>0.9</v>
      </c>
      <c r="AP4" s="37">
        <v>0</v>
      </c>
      <c r="AQ4" s="37">
        <v>28.3</v>
      </c>
      <c r="AR4" s="37">
        <v>5.6</v>
      </c>
      <c r="AS4" s="37">
        <v>0.9</v>
      </c>
      <c r="AT4" s="37">
        <v>0</v>
      </c>
      <c r="AU4" s="37">
        <v>28.5</v>
      </c>
      <c r="AV4" s="37">
        <v>4.8</v>
      </c>
      <c r="AW4" s="37">
        <v>0</v>
      </c>
      <c r="AX4" s="37">
        <v>0</v>
      </c>
      <c r="AY4" s="37">
        <v>0</v>
      </c>
      <c r="AZ4" s="37">
        <v>0</v>
      </c>
      <c r="BA4" s="37">
        <v>0</v>
      </c>
      <c r="BB4" s="37">
        <v>0</v>
      </c>
      <c r="BC4" s="75"/>
      <c r="BD4" s="15">
        <f>IF(SUM(AN4,AR4)&gt;0,SUM(AN4,AR4),"")</f>
        <v>11.6</v>
      </c>
      <c r="BE4" s="15">
        <f>IF(SUM(AN4,AR4,AV4,AZ4)&gt;0,SUM(AN4,AR4,AV4,AZ4),"")</f>
        <v>16.399999999999999</v>
      </c>
      <c r="BF4" s="15">
        <f>IF(SUM(AM4:AN4,AP4:AR4,AT4)-SUM(AO4,AS4)&gt;0,SUM(AM4:AN4,AP4:AR4,AT4)-SUM(AO4,AS4),"")</f>
        <v>66.399999999999991</v>
      </c>
      <c r="BG4" s="15">
        <f>IF(SUM(AU4:AV4,AX4:AZ4,BB4)-SUM(AW4,BA4)&gt;0,SUM(AU4:AV4,AX4:AZ4,BB4)-SUM(AW4,BA4),"")</f>
        <v>33.299999999999997</v>
      </c>
      <c r="BH4" s="15">
        <f>IF(SUM(BF4,BG4)&gt;0,SUM(BF4,BG4),"")</f>
        <v>99.699999999999989</v>
      </c>
      <c r="BI4" s="24">
        <f>IF(MAX(CE4,CZ4,DU4,EP4,FK4,GF4,HA4,HV4,IQ4,JL4,KG4,LB4)-IF(J4="",0,J4)&gt;0.001,MAX(CE4,CZ4,DU4,EP4,FK4,GF4,HA4,HV4,IQ4,JL4,KG4,LB4)-IF(J4="",0,J4),"")</f>
        <v>9.9999999999999716</v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27.4</v>
      </c>
      <c r="BL4" s="41">
        <v>6</v>
      </c>
      <c r="BM4" s="41">
        <v>0.9</v>
      </c>
      <c r="BN4" s="41">
        <v>0</v>
      </c>
      <c r="BO4" s="41">
        <v>28</v>
      </c>
      <c r="BP4" s="41">
        <v>5.6</v>
      </c>
      <c r="BQ4" s="41">
        <v>0</v>
      </c>
      <c r="BR4" s="41">
        <v>0</v>
      </c>
      <c r="BS4" s="41">
        <v>28.3</v>
      </c>
      <c r="BT4" s="41">
        <v>4.8</v>
      </c>
      <c r="BU4" s="41">
        <v>0.3</v>
      </c>
      <c r="BV4" s="41">
        <v>0</v>
      </c>
      <c r="BW4" s="41">
        <v>28.2</v>
      </c>
      <c r="BX4" s="41">
        <v>4.8</v>
      </c>
      <c r="BY4" s="41">
        <v>0</v>
      </c>
      <c r="BZ4" s="41">
        <v>0</v>
      </c>
      <c r="CA4" s="12">
        <f>IF(SUM(BL4,BP4)&gt;0,SUM(BL4,BP4),"")</f>
        <v>11.6</v>
      </c>
      <c r="CB4" s="12">
        <f>IF(SUM(BL4,BP4,BT4,BX4)&gt;0,SUM(BL4,BP4,BT4,BX4),"")</f>
        <v>21.2</v>
      </c>
      <c r="CC4" s="12">
        <f>IF(SUM(BK4:BL4,BN4:BP4,BR4)-SUM(BM4,BQ4)&gt;0,SUM(BK4:BL4,BN4:BP4,BR4)-SUM(BM4,BQ4),"")</f>
        <v>66.099999999999994</v>
      </c>
      <c r="CD4" s="12">
        <f>IF(SUM(BS4:BT4,BV4:BX4,BZ4)-SUM(BU4,BY4)&gt;0,SUM(BS4:BT4,BV4:BX4,BZ4)-SUM(BU4,BY4),"")</f>
        <v>65.8</v>
      </c>
      <c r="CE4" s="12">
        <f>IF(SUM(CC4,CD4)&gt;0,SUM(CC4,CD4),"")</f>
        <v>131.89999999999998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28.4</v>
      </c>
      <c r="LD4" s="63">
        <f t="shared" ref="LD4:LR8" si="0">IF($BC4="P",AN4,(R4+AN4)/2)</f>
        <v>6</v>
      </c>
      <c r="LE4" s="63">
        <f t="shared" si="0"/>
        <v>0.45</v>
      </c>
      <c r="LF4" s="63">
        <f t="shared" si="0"/>
        <v>0</v>
      </c>
      <c r="LG4" s="63">
        <f t="shared" si="0"/>
        <v>28.200000000000003</v>
      </c>
      <c r="LH4" s="63">
        <f t="shared" si="0"/>
        <v>5.1999999999999993</v>
      </c>
      <c r="LI4" s="63">
        <f t="shared" si="0"/>
        <v>0.45</v>
      </c>
      <c r="LJ4" s="63">
        <f t="shared" si="0"/>
        <v>0</v>
      </c>
      <c r="LK4" s="63">
        <f t="shared" si="0"/>
        <v>28.35</v>
      </c>
      <c r="LL4" s="63">
        <f t="shared" si="0"/>
        <v>4.8</v>
      </c>
      <c r="LM4" s="63">
        <f t="shared" si="0"/>
        <v>0</v>
      </c>
      <c r="LN4" s="63">
        <f t="shared" si="0"/>
        <v>0</v>
      </c>
      <c r="LO4" s="63">
        <f t="shared" si="0"/>
        <v>10.4</v>
      </c>
      <c r="LP4" s="63">
        <f t="shared" si="0"/>
        <v>0.35</v>
      </c>
      <c r="LQ4" s="63">
        <f t="shared" si="0"/>
        <v>0</v>
      </c>
      <c r="LR4" s="63">
        <f t="shared" si="0"/>
        <v>0</v>
      </c>
      <c r="LS4" s="74" t="s">
        <v>116</v>
      </c>
      <c r="LT4" s="12">
        <f t="shared" ref="LT4" si="1">IF(SUM(LD4,LH4)&gt;0,SUM(LD4,LH4),"")</f>
        <v>11.2</v>
      </c>
      <c r="LU4" s="12">
        <f t="shared" ref="LU4" si="2">IF(SUM(LD4,LH4,LL4,LP4)&gt;0,SUM(LD4,LH4,LL4,LP4),"")</f>
        <v>16.350000000000001</v>
      </c>
      <c r="LV4" s="12">
        <f t="shared" ref="LV4" si="3">IF(SUM(LC4:LD4,LF4:LH4,LJ4)-SUM(LE4,LI4)&gt;0,SUM(LC4:LD4,LF4:LH4,LJ4)-SUM(LE4,LI4),"")</f>
        <v>66.899999999999991</v>
      </c>
      <c r="LW4" s="12">
        <f t="shared" ref="LW4" si="4">IF(SUM(LK4:LL4,LN4:LP4,LR4)-SUM(LM4,LQ4)&gt;0,SUM(LK4:LL4,LN4:LP4,LR4)-SUM(LM4,LQ4),"")</f>
        <v>43.9</v>
      </c>
      <c r="LX4" s="12">
        <f t="shared" ref="LX4" si="5">IF(SUM(LV4,LW4)&gt;0,SUM(LV4,LW4),"")</f>
        <v>110.79999999999998</v>
      </c>
    </row>
    <row r="5" spans="1:336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125</v>
      </c>
      <c r="C5" s="5" t="s">
        <v>5</v>
      </c>
      <c r="D5" s="6">
        <v>2001</v>
      </c>
      <c r="E5" s="16">
        <f>SUM(J5:N5)</f>
        <v>191.5</v>
      </c>
      <c r="F5" s="4" t="str">
        <f>IF(OR(AND(AH5&gt;=AK$11,AJ5&gt;=AK$14,AJ5&lt;&gt;"",AG5=""),AND(BD5&gt;=BG$11,BF5&gt;=BG$14,BF5&lt;&gt;"",BC5=""),AND(CA5&gt;=CD$11,CC5&gt;=CD$14,CC5&lt;&gt;""),AND(CV5&gt;=CY$11,CX5&gt;=CY$14,CX5&lt;&gt;""),AND(DQ5&gt;=DT$11,DS5&gt;=DT$14,DS5&lt;&gt;""),AND(EL5&gt;=EO$11,EN5&gt;=EO$14,EN5&lt;&gt;""),AND(FG5&gt;=FJ$11,FI5&gt;=FJ$14,FI5&lt;&gt;""),AND(GB5&gt;=GE$11,GD5&gt;=GE$14,GD5&lt;&gt;""),AND(GW5&gt;=GZ$11,GY5&gt;=GZ$14,GY5&lt;&gt;""),AND(HR5&gt;=HU$11,HT5&gt;=HU$14,HT5&lt;&gt;""),AND(IM5&gt;=IP$11,IO5&gt;=IP$14,IO5&lt;&gt;""),AND(JH5&gt;=JK$11,JJ5&gt;=JK$14,JJ5&lt;&gt;""),AND(KC5&gt;=KF$11,KE5&gt;=KF$14,KE5&lt;&gt;""),AND(KX5&gt;=LA$11,KZ5&gt;=LA$14,KZ5&lt;&gt;"")),"P","")</f>
        <v>P</v>
      </c>
      <c r="G5" s="4" t="str">
        <f>IF(OR(AND(AH5&gt;=AK$12,AJ5&gt;=AK$15,AJ5&lt;&gt;"",AG5=""),AND(BD5&gt;=BG$12,BF5&gt;=BG$15,BF5&lt;&gt;"",BC5=""),AND(CA5&gt;=CD$12,CC5&gt;=CD$15,CC5&lt;&gt;""),AND(CV5&gt;=CY$12,CX5&gt;=CY$15,CX5&lt;&gt;""),AND(DQ5&gt;=DT$12,DS5&gt;=DT$15,DS5&lt;&gt;""),AND(EL5&gt;=EO$12,EN5&gt;=EO$15,EN5&lt;&gt;""),AND(FG5&gt;=FJ$12,FI5&gt;=FJ$15,FI5&lt;&gt;""),AND(GB5&gt;=GE$12,GD5&gt;=GE$15,GD5&lt;&gt;""),AND(GW5&gt;=GZ$12,GY5&gt;=GZ$15,GY5&lt;&gt;""),AND(HR5&gt;=HU$12,HT5&gt;=HU$15,HT5&lt;&gt;""),AND(IM5&gt;=IP$12,IO5&gt;=IP$15,IO5&lt;&gt;""),AND(JH5&gt;=JK$12,JJ5&gt;=JK$15,JJ5&lt;&gt;""),AND(KC5&gt;=KF$12,KE5&gt;=KF$15,KE5&lt;&gt;""),AND(KX5&gt;=LA$12,KZ5&gt;=LA$15,KZ5&lt;&gt;"")),"P","")</f>
        <v/>
      </c>
      <c r="H5" s="4" t="str">
        <f>IF(OR(AND(AJ5&gt;=AK$14,AJ5&lt;&gt;"",AG5=""),AND(BF5&gt;=BG$14,BF5&lt;&gt;"",BC5=""),AND(CC5&gt;=CD$14,CC5&lt;&gt;""),AND(CX5&gt;=CY$14,CX5&lt;&gt;""),AND(DS5&gt;=DT$14,DS5&lt;&gt;""),AND(EN5&gt;=EO$14,EN5&lt;&gt;""),AND(FI5&gt;=FJ$14,FI5&lt;&gt;""),AND(GD5&gt;=GE$14,GD5&lt;&gt;""),AND(GY5&gt;=GZ$14,GY5&lt;&gt;""),AND(HT5&gt;=HU$14,HT5&lt;&gt;""),AND(IO5&gt;=IP$14,IO5&lt;&gt;""),AND(JJ5&gt;=JK$14,JJ5&lt;&gt;""),AND(KE5&gt;=KF$14,KE5&lt;&gt;""),AND(KZ5&gt;=LA$14,KZ5&lt;&gt;"")),"P","")</f>
        <v>P</v>
      </c>
      <c r="I5" t="str">
        <f>IF(AND(H5="P",F5=""),"No DD",IF(OR(AND(AI5&gt;=AK$13,AI5&lt;&gt;"",AL5&gt;=AK$17,AL5&lt;&gt;"",AG5=""),AND(BE5&gt;=BG$13,BE5&lt;&gt;"",BH5&gt;=BG$17,BH5&lt;&gt;"",BC5=""),AND(CB5&gt;=CD$13,CB5&lt;&gt;"",CE5&gt;=CD$17,CE5&lt;&gt;""),AND(CW5&gt;=CY$13,CW5&lt;&gt;"",CZ5&gt;=CY$17,CZ5&lt;&gt;""),AND(DR5&gt;=DT$13,DR5&lt;&gt;"",DU5&gt;=DT$17,DU5&lt;&gt;""),AND(EM5&gt;=EO$13,EM5&lt;&gt;"",EP5&gt;=EO$17,EP5&lt;&gt;""),AND(FH5&gt;=FJ$13,FH5&lt;&gt;"",FK5&gt;=FJ$17,FK5&lt;&gt;""),AND(GC5&gt;=GE$13,GC5&lt;&gt;"",GF5&gt;=GE$17,GF5&lt;&gt;""),AND(GX5&gt;=GZ$13,GX5&lt;&gt;"",HA5&gt;=GZ$17,HA5&lt;&gt;""),AND(HS5&gt;=HU$13,HS5&lt;&gt;"",HV5&gt;=HU$17,HV5&lt;&gt;""),AND(IN5&gt;=IP$13,IN5&lt;&gt;"",IQ5&gt;=IP$17,IQ5&lt;&gt;""),AND(JI5&gt;=JK$13,JI5&lt;&gt;"",JL5&gt;=JK$17,JL5&lt;&gt;""),AND(KD5&gt;=KF$13,KD5&lt;&gt;"",KG5&gt;=KF$17,KG5&lt;&gt;""),AND(KY5&gt;=LA$13,KY5&lt;&gt;"",LB5&gt;=LA$17,LB5&lt;&gt;"")),"Merit",IF(OR(AND(AI5&gt;=AK$13,AI5&lt;&gt;"",AL5&gt;=AK$16,AL5&lt;&gt;"",AG5=""),AND(BE5&gt;=BG$13,BE5&lt;&gt;"",BH5&gt;=BG$16,BH5&lt;&gt;"",BC5=""),AND(CB5&gt;=CD$13,CB5&lt;&gt;"",CE5&gt;=CD$16,CE5&lt;&gt;""),AND(CW5&gt;=CY$13,CW5&lt;&gt;"",CZ5&gt;=CY$16,CZ5&lt;&gt;""),AND(DR5&gt;=DT$13,DR5&lt;&gt;"",DU5&gt;=DT$16,DU5&lt;&gt;""),AND(EM5&gt;=EO$13,EM5&lt;&gt;"",EP5&gt;=EO$16,EP5&lt;&gt;""),AND(FH5&gt;=FJ$13,FH5&lt;&gt;"",FK5&gt;=FJ$16,FK5&lt;&gt;""),AND(GC5&gt;=GE$13,GC5&lt;&gt;"",GF5&gt;=GE$16,GF5&lt;&gt;""),AND(GX5&gt;=GZ$13,GX5&lt;&gt;"",HA5&gt;=GZ$16,HA5&lt;&gt;""),AND(HS5&gt;=HU$13,HS5&lt;&gt;"",HV5&gt;=HU$16,HV5&lt;&gt;""),AND(IN5&gt;=IP$13,IN5&lt;&gt;"",IQ5&gt;=IP$16,IQ5&lt;&gt;""),AND(JI5&gt;=JK$13,JI5&lt;&gt;"",JL5&gt;=JK$16,JL5&lt;&gt;""),AND(KD5&gt;=KF$13,KD5&lt;&gt;"",KG5&gt;=KF$16,KG5&lt;&gt;""),AND(KY5&gt;=LA$13,KY5&lt;&gt;"",LB5&gt;=LA$16,LB5&lt;&gt;"")),"Excellence",IF(OR(AND(AH5&gt;=AK$12,AH5&lt;&gt;"",AJ5&gt;=AK$15,AJ5&lt;&gt;"",AG5=""),AND(BD5&gt;=BG$12,BD5&lt;&gt;"",BF5&gt;=BG$15,BF5&lt;&gt;"",BC5=""),AND(CA5&gt;=CD$12,CA5&lt;&gt;"",CC5&gt;=CD$15,CC5&lt;&gt;""),AND(CV5&gt;=CY$12,CV5&lt;&gt;"",CX5&gt;=CY$15,CX5&lt;&gt;""),AND(DQ5&gt;=DT$12,DQ5&lt;&gt;"",DS5&gt;=DT$15,DS5&lt;&gt;""),AND(EL5&gt;=EO$12,EL5&lt;&gt;"",EN5&gt;=EO$15,EN5&lt;&gt;""),AND(FG5&gt;=FJ$12,FG5&lt;&gt;"",FI5&gt;=FJ$15,FI5&lt;&gt;""),AND(GB5&gt;=GE$12,GB5&lt;&gt;"",GD5&gt;=GE$15,GD5&lt;&gt;""),AND(GW5&gt;=GZ$12,GW5&lt;&gt;"",GY5&gt;=GZ$15,GY5&lt;&gt;""),AND(HR5&gt;=HU$12,HR5&lt;&gt;"",HT5&gt;=HU$15,HT5&lt;&gt;""),AND(IM5&gt;=IP$12,IM5&lt;&gt;"",IO5&gt;=IP$15,IO5&lt;&gt;""),AND(JH5&gt;=JK$12,JH5&lt;&gt;"",JJ5&gt;=JK$15,JJ5&lt;&gt;""),AND(KC5&gt;=KF$12,KC5&lt;&gt;"",KE5&gt;=KF$15,KE5&lt;&gt;""),AND(KX5&gt;=LA$12,KX5&lt;&gt;"",KZ5&gt;=LA$15,KZ5&lt;&gt;"")),"Worlds Team",IF(OR(AND(AH5&gt;=AK$11,AH5&lt;&gt;"",AJ5&gt;=AK$14,AJ5&lt;&gt;"",AG5=""),AND(BD5&gt;=BG$11,BD5&lt;&gt;"",BF5&gt;=BG$14,BF5&lt;&gt;"",BC5=""),AND(CA5&gt;=CD$11,CA5&lt;&gt;"",CC5&gt;=CD$14,CC5&lt;&gt;""),AND(CV5&gt;=CY$11,CV5&lt;&gt;"",CX5&gt;=CY$14,CX5&lt;&gt;""),AND(DQ5&gt;=DT$11,DQ5&lt;&gt;"",DS5&gt;=DT$14,DS5&lt;&gt;""),AND(EL5&gt;=EO$11,EL5&lt;&gt;"",EN5&gt;=EO$14,EN5&lt;&gt;""),AND(FG5&gt;=FJ$11,FG5&lt;&gt;"",FI5&gt;=FJ$14,FI5&lt;&gt;""),AND(GB5&gt;=GE$11,GB5&lt;&gt;"",GD5&gt;=GE$14,GD5&lt;&gt;""),AND(GW5&gt;=GZ$11,GW5&lt;&gt;"",GY5&gt;=GZ$14,GY5&lt;&gt;""),AND(HR5&gt;=HU$11,HR5&lt;&gt;"",HT5&gt;=HU$14,HT5&lt;&gt;""),AND(IM5&gt;=IP$11,IM5&lt;&gt;"",IO5&gt;=IP$14,IO5&lt;&gt;""),AND(JH5&gt;=JK$11,JH5&lt;&gt;"",JJ5&gt;=JK$14,JJ5&lt;&gt;""),AND(KC5&gt;=KF$11,KC5&lt;&gt;"",KE5&gt;=KF$14,KE5&lt;&gt;""),AND(KX5&gt;=LA$11,KX5&lt;&gt;"",KZ5&gt;=LA$14,KZ5&lt;&gt;"")),"National Team","")))))</f>
        <v>National Team</v>
      </c>
      <c r="J5" s="15">
        <f>IF(MAX(AL5,BH5)&gt;0,MAX(AL5,BH5),"")</f>
        <v>125.39999999999999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66.099999999999994</v>
      </c>
      <c r="M5" s="15" t="str">
        <f>IF(L5="","",IF(AND(J5&lt;&gt;BH5,OR(L5=BG5,L5=BF5)),$AM$1,IF(OR(L5=AK5,L5=AJ5),$Q$1,"")))</f>
        <v>2018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28.5</v>
      </c>
      <c r="R5" s="63">
        <v>4.8</v>
      </c>
      <c r="S5" s="63">
        <v>0</v>
      </c>
      <c r="T5" s="63">
        <v>0.5</v>
      </c>
      <c r="U5" s="63">
        <v>27.5</v>
      </c>
      <c r="V5" s="63">
        <v>4.8</v>
      </c>
      <c r="W5" s="63">
        <v>0</v>
      </c>
      <c r="X5" s="63">
        <v>0</v>
      </c>
      <c r="Y5" s="63">
        <v>26.8</v>
      </c>
      <c r="Z5" s="63">
        <v>4.8</v>
      </c>
      <c r="AA5" s="63">
        <v>0.9</v>
      </c>
      <c r="AB5" s="63">
        <v>0</v>
      </c>
      <c r="AC5" s="63">
        <v>27.8</v>
      </c>
      <c r="AD5" s="63">
        <v>5.2</v>
      </c>
      <c r="AE5" s="63">
        <v>0</v>
      </c>
      <c r="AF5" s="63">
        <v>0</v>
      </c>
      <c r="AG5" s="74"/>
      <c r="AH5" s="12">
        <f>IF(SUM(R5,V5)&gt;0,SUM(R5,V5),"")</f>
        <v>9.6</v>
      </c>
      <c r="AI5" s="12">
        <f>IF(SUM(R5,V5,Z5,AD5)&gt;0,SUM(R5,V5,Z5,AD5),"")</f>
        <v>19.599999999999998</v>
      </c>
      <c r="AJ5" s="12">
        <f>IF(SUM(Q5:R5,T5:V5,X5)-SUM(S5,W5)&gt;0,SUM(Q5:R5,T5:V5,X5)-SUM(S5,W5),"")</f>
        <v>66.099999999999994</v>
      </c>
      <c r="AK5" s="12">
        <f>IF(SUM(Y5:Z5,AB5:AD5,AF5)-SUM(AA5,AE5)&gt;0,SUM(Y5:Z5,AB5:AD5,AF5)-SUM(AA5,AE5),"")</f>
        <v>63.70000000000001</v>
      </c>
      <c r="AL5" s="12"/>
      <c r="AM5" s="37">
        <v>26.6</v>
      </c>
      <c r="AN5" s="37">
        <v>4.8</v>
      </c>
      <c r="AO5" s="37">
        <v>0.9</v>
      </c>
      <c r="AP5" s="37">
        <v>0</v>
      </c>
      <c r="AQ5" s="37">
        <v>27.3</v>
      </c>
      <c r="AR5" s="37">
        <v>5.6</v>
      </c>
      <c r="AS5" s="37">
        <v>0</v>
      </c>
      <c r="AT5" s="37">
        <v>0</v>
      </c>
      <c r="AU5" s="37">
        <v>27.9</v>
      </c>
      <c r="AV5" s="37">
        <v>3.7</v>
      </c>
      <c r="AW5" s="37">
        <v>1.2</v>
      </c>
      <c r="AX5" s="37">
        <v>0</v>
      </c>
      <c r="AY5" s="37">
        <v>27.7</v>
      </c>
      <c r="AZ5" s="37">
        <v>4.8</v>
      </c>
      <c r="BA5" s="37">
        <v>0.9</v>
      </c>
      <c r="BB5" s="37">
        <v>0</v>
      </c>
      <c r="BC5" s="75"/>
      <c r="BD5" s="15">
        <f>IF(SUM(AN5,AR5)&gt;0,SUM(AN5,AR5),"")</f>
        <v>10.399999999999999</v>
      </c>
      <c r="BE5" s="15">
        <f>IF(SUM(AN5,AR5,AV5,AZ5)&gt;0,SUM(AN5,AR5,AV5,AZ5),"")</f>
        <v>18.899999999999999</v>
      </c>
      <c r="BF5" s="15">
        <f>IF(SUM(AM5:AN5,AP5:AR5,AT5)-SUM(AO5,AS5)&gt;0,SUM(AM5:AN5,AP5:AR5,AT5)-SUM(AO5,AS5),"")</f>
        <v>63.4</v>
      </c>
      <c r="BG5" s="15">
        <f>IF(SUM(AU5:AV5,AX5:AZ5,BB5)-SUM(AW5,BA5)&gt;0,SUM(AU5:AV5,AX5:AZ5,BB5)-SUM(AW5,BA5),"")</f>
        <v>61.999999999999993</v>
      </c>
      <c r="BH5" s="15">
        <f>IF(SUM(BF5,BG5)&gt;0,SUM(BF5,BG5),"")</f>
        <v>125.39999999999999</v>
      </c>
      <c r="BI5" s="24"/>
      <c r="BJ5" s="24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>
        <v>0</v>
      </c>
      <c r="BZ5" s="41">
        <v>0</v>
      </c>
      <c r="CA5" s="12" t="str">
        <f>IF(SUM(BL5,BP5)&gt;0,SUM(BL5,BP5),"")</f>
        <v/>
      </c>
      <c r="CB5" s="12" t="str">
        <f>IF(SUM(BL5,BP5,BT5,BX5)&gt;0,SUM(BL5,BP5,BT5,BX5),"")</f>
        <v/>
      </c>
      <c r="CC5" s="12"/>
      <c r="CD5" s="12"/>
      <c r="CE5" s="12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/>
      <c r="CX5" s="15"/>
      <c r="CY5" s="15"/>
      <c r="CZ5" s="15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/>
      <c r="DR5" s="12"/>
      <c r="DS5" s="12"/>
      <c r="DT5" s="12"/>
      <c r="DU5" s="12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/>
      <c r="EM5" s="15"/>
      <c r="EN5" s="15"/>
      <c r="EO5" s="15"/>
      <c r="EP5" s="15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/>
      <c r="FH5" s="12"/>
      <c r="FI5" s="12"/>
      <c r="FJ5" s="12"/>
      <c r="FK5" s="12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/>
      <c r="GC5" s="15"/>
      <c r="GD5" s="15"/>
      <c r="GE5" s="15"/>
      <c r="GF5" s="15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/>
      <c r="GX5" s="12"/>
      <c r="GY5" s="12"/>
      <c r="GZ5" s="12"/>
      <c r="HA5" s="12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/>
      <c r="HS5" s="15"/>
      <c r="HT5" s="15"/>
      <c r="HU5" s="15"/>
      <c r="HV5" s="15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/>
      <c r="IN5" s="12"/>
      <c r="IO5" s="12"/>
      <c r="IP5" s="12"/>
      <c r="IQ5" s="12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/>
      <c r="JI5" s="15"/>
      <c r="JJ5" s="15"/>
      <c r="JK5" s="15"/>
      <c r="JL5" s="15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/>
      <c r="KD5" s="12"/>
      <c r="KE5" s="12"/>
      <c r="KF5" s="12"/>
      <c r="KG5" s="12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8" si="6">IF($BC5="P",AM5,(Q5+AM5)/2)</f>
        <v>27.55</v>
      </c>
      <c r="LD5" s="63">
        <f t="shared" si="0"/>
        <v>4.8</v>
      </c>
      <c r="LE5" s="63">
        <f t="shared" si="0"/>
        <v>0.45</v>
      </c>
      <c r="LF5" s="63">
        <f t="shared" si="0"/>
        <v>0.25</v>
      </c>
      <c r="LG5" s="63">
        <f t="shared" si="0"/>
        <v>27.4</v>
      </c>
      <c r="LH5" s="63">
        <f t="shared" si="0"/>
        <v>5.1999999999999993</v>
      </c>
      <c r="LI5" s="63">
        <f t="shared" si="0"/>
        <v>0</v>
      </c>
      <c r="LJ5" s="63">
        <f t="shared" si="0"/>
        <v>0</v>
      </c>
      <c r="LK5" s="63">
        <f t="shared" si="0"/>
        <v>27.35</v>
      </c>
      <c r="LL5" s="63">
        <f t="shared" si="0"/>
        <v>4.25</v>
      </c>
      <c r="LM5" s="63">
        <f t="shared" si="0"/>
        <v>1.05</v>
      </c>
      <c r="LN5" s="63">
        <f t="shared" si="0"/>
        <v>0</v>
      </c>
      <c r="LO5" s="63">
        <f t="shared" si="0"/>
        <v>27.75</v>
      </c>
      <c r="LP5" s="63">
        <f t="shared" si="0"/>
        <v>5</v>
      </c>
      <c r="LQ5" s="63">
        <f t="shared" si="0"/>
        <v>0.45</v>
      </c>
      <c r="LR5" s="63">
        <f t="shared" si="0"/>
        <v>0</v>
      </c>
      <c r="LS5" s="74" t="s">
        <v>116</v>
      </c>
      <c r="LT5" s="12">
        <f t="shared" ref="LT5" si="7">IF(SUM(LD5,LH5)&gt;0,SUM(LD5,LH5),"")</f>
        <v>10</v>
      </c>
      <c r="LU5" s="12">
        <f t="shared" ref="LU5" si="8">IF(SUM(LD5,LH5,LL5,LP5)&gt;0,SUM(LD5,LH5,LL5,LP5),"")</f>
        <v>19.25</v>
      </c>
      <c r="LV5" s="12">
        <f t="shared" ref="LV5" si="9">IF(SUM(LC5:LD5,LF5:LH5,LJ5)-SUM(LE5,LI5)&gt;0,SUM(LC5:LD5,LF5:LH5,LJ5)-SUM(LE5,LI5),"")</f>
        <v>64.75</v>
      </c>
      <c r="LW5" s="12">
        <f t="shared" ref="LW5" si="10">IF(SUM(LK5:LL5,LN5:LP5,LR5)-SUM(LM5,LQ5)&gt;0,SUM(LK5:LL5,LN5:LP5,LR5)-SUM(LM5,LQ5),"")</f>
        <v>62.849999999999994</v>
      </c>
      <c r="LX5" s="12">
        <f t="shared" ref="LX5" si="11">IF(SUM(LV5,LW5)&gt;0,SUM(LV5,LW5),"")</f>
        <v>127.6</v>
      </c>
    </row>
    <row r="6" spans="1:336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121</v>
      </c>
      <c r="C6" s="5" t="s">
        <v>4</v>
      </c>
      <c r="D6" s="6">
        <v>2001</v>
      </c>
      <c r="E6" s="16">
        <f>SUM(J6:N6)</f>
        <v>188.1</v>
      </c>
      <c r="F6" s="4" t="str">
        <f>IF(OR(AND(AH6&gt;=AK$11,AJ6&gt;=AK$14,AJ6&lt;&gt;"",AG6=""),AND(BD6&gt;=BG$11,BF6&gt;=BG$14,BF6&lt;&gt;"",BC6=""),AND(CA6&gt;=CD$11,CC6&gt;=CD$14,CC6&lt;&gt;""),AND(CV6&gt;=CY$11,CX6&gt;=CY$14,CX6&lt;&gt;""),AND(DQ6&gt;=DT$11,DS6&gt;=DT$14,DS6&lt;&gt;""),AND(EL6&gt;=EO$11,EN6&gt;=EO$14,EN6&lt;&gt;""),AND(FG6&gt;=FJ$11,FI6&gt;=FJ$14,FI6&lt;&gt;""),AND(GB6&gt;=GE$11,GD6&gt;=GE$14,GD6&lt;&gt;""),AND(GW6&gt;=GZ$11,GY6&gt;=GZ$14,GY6&lt;&gt;""),AND(HR6&gt;=HU$11,HT6&gt;=HU$14,HT6&lt;&gt;""),AND(IM6&gt;=IP$11,IO6&gt;=IP$14,IO6&lt;&gt;""),AND(JH6&gt;=JK$11,JJ6&gt;=JK$14,JJ6&lt;&gt;""),AND(KC6&gt;=KF$11,KE6&gt;=KF$14,KE6&lt;&gt;""),AND(KX6&gt;=LA$11,KZ6&gt;=LA$14,KZ6&lt;&gt;"")),"P","")</f>
        <v>P</v>
      </c>
      <c r="G6" s="4" t="str">
        <f>IF(OR(AND(AH6&gt;=AK$12,AJ6&gt;=AK$15,AJ6&lt;&gt;"",AG6=""),AND(BD6&gt;=BG$12,BF6&gt;=BG$15,BF6&lt;&gt;"",BC6=""),AND(CA6&gt;=CD$12,CC6&gt;=CD$15,CC6&lt;&gt;""),AND(CV6&gt;=CY$12,CX6&gt;=CY$15,CX6&lt;&gt;""),AND(DQ6&gt;=DT$12,DS6&gt;=DT$15,DS6&lt;&gt;""),AND(EL6&gt;=EO$12,EN6&gt;=EO$15,EN6&lt;&gt;""),AND(FG6&gt;=FJ$12,FI6&gt;=FJ$15,FI6&lt;&gt;""),AND(GB6&gt;=GE$12,GD6&gt;=GE$15,GD6&lt;&gt;""),AND(GW6&gt;=GZ$12,GY6&gt;=GZ$15,GY6&lt;&gt;""),AND(HR6&gt;=HU$12,HT6&gt;=HU$15,HT6&lt;&gt;""),AND(IM6&gt;=IP$12,IO6&gt;=IP$15,IO6&lt;&gt;""),AND(JH6&gt;=JK$12,JJ6&gt;=JK$15,JJ6&lt;&gt;""),AND(KC6&gt;=KF$12,KE6&gt;=KF$15,KE6&lt;&gt;""),AND(KX6&gt;=LA$12,KZ6&gt;=LA$15,KZ6&lt;&gt;"")),"P","")</f>
        <v/>
      </c>
      <c r="H6" s="4" t="str">
        <f>IF(OR(AND(AJ6&gt;=AK$14,AJ6&lt;&gt;"",AG6=""),AND(BF6&gt;=BG$14,BF6&lt;&gt;"",BC6=""),AND(CC6&gt;=CD$14,CC6&lt;&gt;""),AND(CX6&gt;=CY$14,CX6&lt;&gt;""),AND(DS6&gt;=DT$14,DS6&lt;&gt;""),AND(EN6&gt;=EO$14,EN6&lt;&gt;""),AND(FI6&gt;=FJ$14,FI6&lt;&gt;""),AND(GD6&gt;=GE$14,GD6&lt;&gt;""),AND(GY6&gt;=GZ$14,GY6&lt;&gt;""),AND(HT6&gt;=HU$14,HT6&lt;&gt;""),AND(IO6&gt;=IP$14,IO6&lt;&gt;""),AND(JJ6&gt;=JK$14,JJ6&lt;&gt;""),AND(KE6&gt;=KF$14,KE6&lt;&gt;""),AND(KZ6&gt;=LA$14,KZ6&lt;&gt;"")),"P","")</f>
        <v>P</v>
      </c>
      <c r="I6" t="str">
        <f>IF(AND(H6="P",F6=""),"No DD",IF(OR(AND(AI6&gt;=AK$13,AI6&lt;&gt;"",AL6&gt;=AK$17,AL6&lt;&gt;"",AG6=""),AND(BE6&gt;=BG$13,BE6&lt;&gt;"",BH6&gt;=BG$17,BH6&lt;&gt;"",BC6=""),AND(CB6&gt;=CD$13,CB6&lt;&gt;"",CE6&gt;=CD$17,CE6&lt;&gt;""),AND(CW6&gt;=CY$13,CW6&lt;&gt;"",CZ6&gt;=CY$17,CZ6&lt;&gt;""),AND(DR6&gt;=DT$13,DR6&lt;&gt;"",DU6&gt;=DT$17,DU6&lt;&gt;""),AND(EM6&gt;=EO$13,EM6&lt;&gt;"",EP6&gt;=EO$17,EP6&lt;&gt;""),AND(FH6&gt;=FJ$13,FH6&lt;&gt;"",FK6&gt;=FJ$17,FK6&lt;&gt;""),AND(GC6&gt;=GE$13,GC6&lt;&gt;"",GF6&gt;=GE$17,GF6&lt;&gt;""),AND(GX6&gt;=GZ$13,GX6&lt;&gt;"",HA6&gt;=GZ$17,HA6&lt;&gt;""),AND(HS6&gt;=HU$13,HS6&lt;&gt;"",HV6&gt;=HU$17,HV6&lt;&gt;""),AND(IN6&gt;=IP$13,IN6&lt;&gt;"",IQ6&gt;=IP$17,IQ6&lt;&gt;""),AND(JI6&gt;=JK$13,JI6&lt;&gt;"",JL6&gt;=JK$17,JL6&lt;&gt;""),AND(KD6&gt;=KF$13,KD6&lt;&gt;"",KG6&gt;=KF$17,KG6&lt;&gt;""),AND(KY6&gt;=LA$13,KY6&lt;&gt;"",LB6&gt;=LA$17,LB6&lt;&gt;"")),"Merit",IF(OR(AND(AI6&gt;=AK$13,AI6&lt;&gt;"",AL6&gt;=AK$16,AL6&lt;&gt;"",AG6=""),AND(BE6&gt;=BG$13,BE6&lt;&gt;"",BH6&gt;=BG$16,BH6&lt;&gt;"",BC6=""),AND(CB6&gt;=CD$13,CB6&lt;&gt;"",CE6&gt;=CD$16,CE6&lt;&gt;""),AND(CW6&gt;=CY$13,CW6&lt;&gt;"",CZ6&gt;=CY$16,CZ6&lt;&gt;""),AND(DR6&gt;=DT$13,DR6&lt;&gt;"",DU6&gt;=DT$16,DU6&lt;&gt;""),AND(EM6&gt;=EO$13,EM6&lt;&gt;"",EP6&gt;=EO$16,EP6&lt;&gt;""),AND(FH6&gt;=FJ$13,FH6&lt;&gt;"",FK6&gt;=FJ$16,FK6&lt;&gt;""),AND(GC6&gt;=GE$13,GC6&lt;&gt;"",GF6&gt;=GE$16,GF6&lt;&gt;""),AND(GX6&gt;=GZ$13,GX6&lt;&gt;"",HA6&gt;=GZ$16,HA6&lt;&gt;""),AND(HS6&gt;=HU$13,HS6&lt;&gt;"",HV6&gt;=HU$16,HV6&lt;&gt;""),AND(IN6&gt;=IP$13,IN6&lt;&gt;"",IQ6&gt;=IP$16,IQ6&lt;&gt;""),AND(JI6&gt;=JK$13,JI6&lt;&gt;"",JL6&gt;=JK$16,JL6&lt;&gt;""),AND(KD6&gt;=KF$13,KD6&lt;&gt;"",KG6&gt;=KF$16,KG6&lt;&gt;""),AND(KY6&gt;=LA$13,KY6&lt;&gt;"",LB6&gt;=LA$16,LB6&lt;&gt;"")),"Excellence",IF(OR(AND(AH6&gt;=AK$12,AH6&lt;&gt;"",AJ6&gt;=AK$15,AJ6&lt;&gt;"",AG6=""),AND(BD6&gt;=BG$12,BD6&lt;&gt;"",BF6&gt;=BG$15,BF6&lt;&gt;"",BC6=""),AND(CA6&gt;=CD$12,CA6&lt;&gt;"",CC6&gt;=CD$15,CC6&lt;&gt;""),AND(CV6&gt;=CY$12,CV6&lt;&gt;"",CX6&gt;=CY$15,CX6&lt;&gt;""),AND(DQ6&gt;=DT$12,DQ6&lt;&gt;"",DS6&gt;=DT$15,DS6&lt;&gt;""),AND(EL6&gt;=EO$12,EL6&lt;&gt;"",EN6&gt;=EO$15,EN6&lt;&gt;""),AND(FG6&gt;=FJ$12,FG6&lt;&gt;"",FI6&gt;=FJ$15,FI6&lt;&gt;""),AND(GB6&gt;=GE$12,GB6&lt;&gt;"",GD6&gt;=GE$15,GD6&lt;&gt;""),AND(GW6&gt;=GZ$12,GW6&lt;&gt;"",GY6&gt;=GZ$15,GY6&lt;&gt;""),AND(HR6&gt;=HU$12,HR6&lt;&gt;"",HT6&gt;=HU$15,HT6&lt;&gt;""),AND(IM6&gt;=IP$12,IM6&lt;&gt;"",IO6&gt;=IP$15,IO6&lt;&gt;""),AND(JH6&gt;=JK$12,JH6&lt;&gt;"",JJ6&gt;=JK$15,JJ6&lt;&gt;""),AND(KC6&gt;=KF$12,KC6&lt;&gt;"",KE6&gt;=KF$15,KE6&lt;&gt;""),AND(KX6&gt;=LA$12,KX6&lt;&gt;"",KZ6&gt;=LA$15,KZ6&lt;&gt;"")),"Worlds Team",IF(OR(AND(AH6&gt;=AK$11,AH6&lt;&gt;"",AJ6&gt;=AK$14,AJ6&lt;&gt;"",AG6=""),AND(BD6&gt;=BG$11,BD6&lt;&gt;"",BF6&gt;=BG$14,BF6&lt;&gt;"",BC6=""),AND(CA6&gt;=CD$11,CA6&lt;&gt;"",CC6&gt;=CD$14,CC6&lt;&gt;""),AND(CV6&gt;=CY$11,CV6&lt;&gt;"",CX6&gt;=CY$14,CX6&lt;&gt;""),AND(DQ6&gt;=DT$11,DQ6&lt;&gt;"",DS6&gt;=DT$14,DS6&lt;&gt;""),AND(EL6&gt;=EO$11,EL6&lt;&gt;"",EN6&gt;=EO$14,EN6&lt;&gt;""),AND(FG6&gt;=FJ$11,FG6&lt;&gt;"",FI6&gt;=FJ$14,FI6&lt;&gt;""),AND(GB6&gt;=GE$11,GB6&lt;&gt;"",GD6&gt;=GE$14,GD6&lt;&gt;""),AND(GW6&gt;=GZ$11,GW6&lt;&gt;"",GY6&gt;=GZ$14,GY6&lt;&gt;""),AND(HR6&gt;=HU$11,HR6&lt;&gt;"",HT6&gt;=HU$14,HT6&lt;&gt;""),AND(IM6&gt;=IP$11,IM6&lt;&gt;"",IO6&gt;=IP$14,IO6&lt;&gt;""),AND(JH6&gt;=JK$11,JH6&lt;&gt;"",JJ6&gt;=JK$14,JJ6&lt;&gt;""),AND(KC6&gt;=KF$11,KC6&lt;&gt;"",KE6&gt;=KF$14,KE6&lt;&gt;""),AND(KX6&gt;=LA$11,KX6&lt;&gt;"",KZ6&gt;=LA$14,KZ6&lt;&gt;"")),"National Team","")))))</f>
        <v>National Team</v>
      </c>
      <c r="J6" s="15">
        <f>IF(MAX(AL6,BH6)&gt;0,MAX(AL6,BH6),"")</f>
        <v>121.7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66.399999999999991</v>
      </c>
      <c r="M6" s="15" t="str">
        <f>IF(L6="","",IF(AND(J6&lt;&gt;BH6,OR(L6=BG6,L6=BF6)),$AM$1,IF(OR(L6=AK6,L6=AJ6),$Q$1,"")))</f>
        <v>2018 Nationals</v>
      </c>
      <c r="N6" s="15" t="str">
        <f>IF(MAX(BI6:BJ6)&gt;0,MAX(BI6:BJ6),"")</f>
        <v/>
      </c>
      <c r="O6" s="25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63">
        <v>28.4</v>
      </c>
      <c r="R6" s="63">
        <v>5.2</v>
      </c>
      <c r="S6" s="63">
        <v>0</v>
      </c>
      <c r="T6" s="63">
        <v>0</v>
      </c>
      <c r="U6" s="63">
        <v>28</v>
      </c>
      <c r="V6" s="63">
        <v>5.2</v>
      </c>
      <c r="W6" s="63">
        <v>0.9</v>
      </c>
      <c r="X6" s="63">
        <v>0.5</v>
      </c>
      <c r="Y6" s="63">
        <v>28.2</v>
      </c>
      <c r="Z6" s="63">
        <v>4.4000000000000004</v>
      </c>
      <c r="AA6" s="63">
        <v>0</v>
      </c>
      <c r="AB6" s="63">
        <v>0</v>
      </c>
      <c r="AC6" s="63">
        <v>28.1</v>
      </c>
      <c r="AD6" s="63">
        <v>4</v>
      </c>
      <c r="AE6" s="63">
        <v>0</v>
      </c>
      <c r="AF6" s="63">
        <v>0</v>
      </c>
      <c r="AG6" s="74"/>
      <c r="AH6" s="12">
        <f>IF(SUM(R6,V6)&gt;0,SUM(R6,V6),"")</f>
        <v>10.4</v>
      </c>
      <c r="AI6" s="12">
        <f>IF(SUM(R6,V6,Z6,AD6)&gt;0,SUM(R6,V6,Z6,AD6),"")</f>
        <v>18.8</v>
      </c>
      <c r="AJ6" s="12">
        <f>IF(SUM(Q6:R6,T6:V6,X6)-SUM(S6,W6)&gt;0,SUM(Q6:R6,T6:V6,X6)-SUM(S6,W6),"")</f>
        <v>66.399999999999991</v>
      </c>
      <c r="AK6" s="12">
        <f>IF(SUM(Y6:Z6,AB6:AD6,AF6)-SUM(AA6,AE6)&gt;0,SUM(Y6:Z6,AB6:AD6,AF6)-SUM(AA6,AE6),"")</f>
        <v>64.7</v>
      </c>
      <c r="AL6" s="12"/>
      <c r="AM6" s="37">
        <v>28.2</v>
      </c>
      <c r="AN6" s="37">
        <v>6</v>
      </c>
      <c r="AO6" s="37">
        <v>0.3</v>
      </c>
      <c r="AP6" s="37">
        <v>0</v>
      </c>
      <c r="AQ6" s="37">
        <v>28.2</v>
      </c>
      <c r="AR6" s="37">
        <v>5.6</v>
      </c>
      <c r="AS6" s="37">
        <v>0</v>
      </c>
      <c r="AT6" s="37">
        <v>0</v>
      </c>
      <c r="AU6" s="37">
        <v>24.2</v>
      </c>
      <c r="AV6" s="37">
        <v>3</v>
      </c>
      <c r="AW6" s="37">
        <v>2.2000000000000002</v>
      </c>
      <c r="AX6" s="37">
        <v>0</v>
      </c>
      <c r="AY6" s="37">
        <v>28</v>
      </c>
      <c r="AZ6" s="37">
        <v>4</v>
      </c>
      <c r="BA6" s="37">
        <v>3</v>
      </c>
      <c r="BB6" s="37">
        <v>0</v>
      </c>
      <c r="BC6" s="75"/>
      <c r="BD6" s="15">
        <f>IF(SUM(AN6,AR6)&gt;0,SUM(AN6,AR6),"")</f>
        <v>11.6</v>
      </c>
      <c r="BE6" s="15">
        <f>IF(SUM(AN6,AR6,AV6,AZ6)&gt;0,SUM(AN6,AR6,AV6,AZ6),"")</f>
        <v>18.600000000000001</v>
      </c>
      <c r="BF6" s="15">
        <f>IF(SUM(AM6:AN6,AP6:AR6,AT6)-SUM(AO6,AS6)&gt;0,SUM(AM6:AN6,AP6:AR6,AT6)-SUM(AO6,AS6),"")</f>
        <v>67.7</v>
      </c>
      <c r="BG6" s="15">
        <f>IF(SUM(AU6:AV6,AX6:AZ6,BB6)-SUM(AW6,BA6)&gt;0,SUM(AU6:AV6,AX6:AZ6,BB6)-SUM(AW6,BA6),"")</f>
        <v>54</v>
      </c>
      <c r="BH6" s="15">
        <f>IF(SUM(BF6,BG6)&gt;0,SUM(BF6,BG6),"")</f>
        <v>121.7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>
        <v>0</v>
      </c>
      <c r="BZ6" s="41">
        <v>0</v>
      </c>
      <c r="CA6" s="12" t="str">
        <f>IF(SUM(BL6,BP6)&gt;0,SUM(BL6,BP6),"")</f>
        <v/>
      </c>
      <c r="CB6" s="12" t="str">
        <f>IF(SUM(BL6,BP6,BT6,BX6)&gt;0,SUM(BL6,BP6,BT6,BX6),"")</f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28.299999999999997</v>
      </c>
      <c r="LD6" s="63">
        <f t="shared" si="0"/>
        <v>5.6</v>
      </c>
      <c r="LE6" s="63">
        <f t="shared" si="0"/>
        <v>0.15</v>
      </c>
      <c r="LF6" s="63">
        <f t="shared" si="0"/>
        <v>0</v>
      </c>
      <c r="LG6" s="63">
        <f t="shared" si="0"/>
        <v>28.1</v>
      </c>
      <c r="LH6" s="63">
        <f t="shared" si="0"/>
        <v>5.4</v>
      </c>
      <c r="LI6" s="63">
        <f t="shared" si="0"/>
        <v>0.45</v>
      </c>
      <c r="LJ6" s="63">
        <f t="shared" si="0"/>
        <v>0.25</v>
      </c>
      <c r="LK6" s="63">
        <f t="shared" si="0"/>
        <v>26.2</v>
      </c>
      <c r="LL6" s="63">
        <f t="shared" si="0"/>
        <v>3.7</v>
      </c>
      <c r="LM6" s="63">
        <f t="shared" si="0"/>
        <v>1.1000000000000001</v>
      </c>
      <c r="LN6" s="63">
        <f t="shared" si="0"/>
        <v>0</v>
      </c>
      <c r="LO6" s="63">
        <f t="shared" si="0"/>
        <v>28.05</v>
      </c>
      <c r="LP6" s="63">
        <f t="shared" si="0"/>
        <v>4</v>
      </c>
      <c r="LQ6" s="63">
        <f t="shared" si="0"/>
        <v>1.5</v>
      </c>
      <c r="LR6" s="63">
        <f t="shared" si="0"/>
        <v>0</v>
      </c>
      <c r="LS6" s="74" t="s">
        <v>116</v>
      </c>
      <c r="LT6" s="12">
        <f t="shared" ref="LT6" si="12">IF(SUM(LD6,LH6)&gt;0,SUM(LD6,LH6),"")</f>
        <v>11</v>
      </c>
      <c r="LU6" s="12">
        <f t="shared" ref="LU6" si="13">IF(SUM(LD6,LH6,LL6,LP6)&gt;0,SUM(LD6,LH6,LL6,LP6),"")</f>
        <v>18.7</v>
      </c>
      <c r="LV6" s="12">
        <f t="shared" ref="LV6" si="14">IF(SUM(LC6:LD6,LF6:LH6,LJ6)-SUM(LE6,LI6)&gt;0,SUM(LC6:LD6,LF6:LH6,LJ6)-SUM(LE6,LI6),"")</f>
        <v>67.050000000000011</v>
      </c>
      <c r="LW6" s="12">
        <f t="shared" ref="LW6" si="15">IF(SUM(LK6:LL6,LN6:LP6,LR6)-SUM(LM6,LQ6)&gt;0,SUM(LK6:LL6,LN6:LP6,LR6)-SUM(LM6,LQ6),"")</f>
        <v>59.35</v>
      </c>
      <c r="LX6" s="12">
        <f t="shared" ref="LX6" si="16">IF(SUM(LV6,LW6)&gt;0,SUM(LV6,LW6),"")</f>
        <v>126.4</v>
      </c>
    </row>
    <row r="7" spans="1:336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124</v>
      </c>
      <c r="C7" s="5" t="s">
        <v>4</v>
      </c>
      <c r="D7" s="6">
        <v>2003</v>
      </c>
      <c r="E7" s="16">
        <f>SUM(J7:N7)</f>
        <v>181.29999999999998</v>
      </c>
      <c r="F7" s="4" t="str">
        <f>IF(OR(AND(AH7&gt;=AK$11,AJ7&gt;=AK$14,AJ7&lt;&gt;"",AG7=""),AND(BD7&gt;=BG$11,BF7&gt;=BG$14,BF7&lt;&gt;"",BC7=""),AND(CA7&gt;=CD$11,CC7&gt;=CD$14,CC7&lt;&gt;""),AND(CV7&gt;=CY$11,CX7&gt;=CY$14,CX7&lt;&gt;""),AND(DQ7&gt;=DT$11,DS7&gt;=DT$14,DS7&lt;&gt;""),AND(EL7&gt;=EO$11,EN7&gt;=EO$14,EN7&lt;&gt;""),AND(FG7&gt;=FJ$11,FI7&gt;=FJ$14,FI7&lt;&gt;""),AND(GB7&gt;=GE$11,GD7&gt;=GE$14,GD7&lt;&gt;""),AND(GW7&gt;=GZ$11,GY7&gt;=GZ$14,GY7&lt;&gt;""),AND(HR7&gt;=HU$11,HT7&gt;=HU$14,HT7&lt;&gt;""),AND(IM7&gt;=IP$11,IO7&gt;=IP$14,IO7&lt;&gt;""),AND(JH7&gt;=JK$11,JJ7&gt;=JK$14,JJ7&lt;&gt;""),AND(KC7&gt;=KF$11,KE7&gt;=KF$14,KE7&lt;&gt;""),AND(KX7&gt;=LA$11,KZ7&gt;=LA$14,KZ7&lt;&gt;"")),"P","")</f>
        <v>P</v>
      </c>
      <c r="G7" s="4" t="str">
        <f>IF(OR(AND(AH7&gt;=AK$12,AJ7&gt;=AK$15,AJ7&lt;&gt;"",AG7=""),AND(BD7&gt;=BG$12,BF7&gt;=BG$15,BF7&lt;&gt;"",BC7=""),AND(CA7&gt;=CD$12,CC7&gt;=CD$15,CC7&lt;&gt;""),AND(CV7&gt;=CY$12,CX7&gt;=CY$15,CX7&lt;&gt;""),AND(DQ7&gt;=DT$12,DS7&gt;=DT$15,DS7&lt;&gt;""),AND(EL7&gt;=EO$12,EN7&gt;=EO$15,EN7&lt;&gt;""),AND(FG7&gt;=FJ$12,FI7&gt;=FJ$15,FI7&lt;&gt;""),AND(GB7&gt;=GE$12,GD7&gt;=GE$15,GD7&lt;&gt;""),AND(GW7&gt;=GZ$12,GY7&gt;=GZ$15,GY7&lt;&gt;""),AND(HR7&gt;=HU$12,HT7&gt;=HU$15,HT7&lt;&gt;""),AND(IM7&gt;=IP$12,IO7&gt;=IP$15,IO7&lt;&gt;""),AND(JH7&gt;=JK$12,JJ7&gt;=JK$15,JJ7&lt;&gt;""),AND(KC7&gt;=KF$12,KE7&gt;=KF$15,KE7&lt;&gt;""),AND(KX7&gt;=LA$12,KZ7&gt;=LA$15,KZ7&lt;&gt;"")),"P","")</f>
        <v/>
      </c>
      <c r="H7" s="4" t="str">
        <f>IF(OR(AND(AJ7&gt;=AK$14,AJ7&lt;&gt;"",AG7=""),AND(BF7&gt;=BG$14,BF7&lt;&gt;"",BC7=""),AND(CC7&gt;=CD$14,CC7&lt;&gt;""),AND(CX7&gt;=CY$14,CX7&lt;&gt;""),AND(DS7&gt;=DT$14,DS7&lt;&gt;""),AND(EN7&gt;=EO$14,EN7&lt;&gt;""),AND(FI7&gt;=FJ$14,FI7&lt;&gt;""),AND(GD7&gt;=GE$14,GD7&lt;&gt;""),AND(GY7&gt;=GZ$14,GY7&lt;&gt;""),AND(HT7&gt;=HU$14,HT7&lt;&gt;""),AND(IO7&gt;=IP$14,IO7&lt;&gt;""),AND(JJ7&gt;=JK$14,JJ7&lt;&gt;""),AND(KE7&gt;=KF$14,KE7&lt;&gt;""),AND(KZ7&gt;=LA$14,KZ7&lt;&gt;"")),"P","")</f>
        <v>P</v>
      </c>
      <c r="I7" t="str">
        <f>IF(AND(H7="P",F7=""),"No DD",IF(OR(AND(AI7&gt;=AK$13,AI7&lt;&gt;"",AL7&gt;=AK$17,AL7&lt;&gt;"",AG7=""),AND(BE7&gt;=BG$13,BE7&lt;&gt;"",BH7&gt;=BG$17,BH7&lt;&gt;"",BC7=""),AND(CB7&gt;=CD$13,CB7&lt;&gt;"",CE7&gt;=CD$17,CE7&lt;&gt;""),AND(CW7&gt;=CY$13,CW7&lt;&gt;"",CZ7&gt;=CY$17,CZ7&lt;&gt;""),AND(DR7&gt;=DT$13,DR7&lt;&gt;"",DU7&gt;=DT$17,DU7&lt;&gt;""),AND(EM7&gt;=EO$13,EM7&lt;&gt;"",EP7&gt;=EO$17,EP7&lt;&gt;""),AND(FH7&gt;=FJ$13,FH7&lt;&gt;"",FK7&gt;=FJ$17,FK7&lt;&gt;""),AND(GC7&gt;=GE$13,GC7&lt;&gt;"",GF7&gt;=GE$17,GF7&lt;&gt;""),AND(GX7&gt;=GZ$13,GX7&lt;&gt;"",HA7&gt;=GZ$17,HA7&lt;&gt;""),AND(HS7&gt;=HU$13,HS7&lt;&gt;"",HV7&gt;=HU$17,HV7&lt;&gt;""),AND(IN7&gt;=IP$13,IN7&lt;&gt;"",IQ7&gt;=IP$17,IQ7&lt;&gt;""),AND(JI7&gt;=JK$13,JI7&lt;&gt;"",JL7&gt;=JK$17,JL7&lt;&gt;""),AND(KD7&gt;=KF$13,KD7&lt;&gt;"",KG7&gt;=KF$17,KG7&lt;&gt;""),AND(KY7&gt;=LA$13,KY7&lt;&gt;"",LB7&gt;=LA$17,LB7&lt;&gt;"")),"Merit",IF(OR(AND(AI7&gt;=AK$13,AI7&lt;&gt;"",AL7&gt;=AK$16,AL7&lt;&gt;"",AG7=""),AND(BE7&gt;=BG$13,BE7&lt;&gt;"",BH7&gt;=BG$16,BH7&lt;&gt;"",BC7=""),AND(CB7&gt;=CD$13,CB7&lt;&gt;"",CE7&gt;=CD$16,CE7&lt;&gt;""),AND(CW7&gt;=CY$13,CW7&lt;&gt;"",CZ7&gt;=CY$16,CZ7&lt;&gt;""),AND(DR7&gt;=DT$13,DR7&lt;&gt;"",DU7&gt;=DT$16,DU7&lt;&gt;""),AND(EM7&gt;=EO$13,EM7&lt;&gt;"",EP7&gt;=EO$16,EP7&lt;&gt;""),AND(FH7&gt;=FJ$13,FH7&lt;&gt;"",FK7&gt;=FJ$16,FK7&lt;&gt;""),AND(GC7&gt;=GE$13,GC7&lt;&gt;"",GF7&gt;=GE$16,GF7&lt;&gt;""),AND(GX7&gt;=GZ$13,GX7&lt;&gt;"",HA7&gt;=GZ$16,HA7&lt;&gt;""),AND(HS7&gt;=HU$13,HS7&lt;&gt;"",HV7&gt;=HU$16,HV7&lt;&gt;""),AND(IN7&gt;=IP$13,IN7&lt;&gt;"",IQ7&gt;=IP$16,IQ7&lt;&gt;""),AND(JI7&gt;=JK$13,JI7&lt;&gt;"",JL7&gt;=JK$16,JL7&lt;&gt;""),AND(KD7&gt;=KF$13,KD7&lt;&gt;"",KG7&gt;=KF$16,KG7&lt;&gt;""),AND(KY7&gt;=LA$13,KY7&lt;&gt;"",LB7&gt;=LA$16,LB7&lt;&gt;"")),"Excellence",IF(OR(AND(AH7&gt;=AK$12,AH7&lt;&gt;"",AJ7&gt;=AK$15,AJ7&lt;&gt;"",AG7=""),AND(BD7&gt;=BG$12,BD7&lt;&gt;"",BF7&gt;=BG$15,BF7&lt;&gt;"",BC7=""),AND(CA7&gt;=CD$12,CA7&lt;&gt;"",CC7&gt;=CD$15,CC7&lt;&gt;""),AND(CV7&gt;=CY$12,CV7&lt;&gt;"",CX7&gt;=CY$15,CX7&lt;&gt;""),AND(DQ7&gt;=DT$12,DQ7&lt;&gt;"",DS7&gt;=DT$15,DS7&lt;&gt;""),AND(EL7&gt;=EO$12,EL7&lt;&gt;"",EN7&gt;=EO$15,EN7&lt;&gt;""),AND(FG7&gt;=FJ$12,FG7&lt;&gt;"",FI7&gt;=FJ$15,FI7&lt;&gt;""),AND(GB7&gt;=GE$12,GB7&lt;&gt;"",GD7&gt;=GE$15,GD7&lt;&gt;""),AND(GW7&gt;=GZ$12,GW7&lt;&gt;"",GY7&gt;=GZ$15,GY7&lt;&gt;""),AND(HR7&gt;=HU$12,HR7&lt;&gt;"",HT7&gt;=HU$15,HT7&lt;&gt;""),AND(IM7&gt;=IP$12,IM7&lt;&gt;"",IO7&gt;=IP$15,IO7&lt;&gt;""),AND(JH7&gt;=JK$12,JH7&lt;&gt;"",JJ7&gt;=JK$15,JJ7&lt;&gt;""),AND(KC7&gt;=KF$12,KC7&lt;&gt;"",KE7&gt;=KF$15,KE7&lt;&gt;""),AND(KX7&gt;=LA$12,KX7&lt;&gt;"",KZ7&gt;=LA$15,KZ7&lt;&gt;"")),"Worlds Team",IF(OR(AND(AH7&gt;=AK$11,AH7&lt;&gt;"",AJ7&gt;=AK$14,AJ7&lt;&gt;"",AG7=""),AND(BD7&gt;=BG$11,BD7&lt;&gt;"",BF7&gt;=BG$14,BF7&lt;&gt;"",BC7=""),AND(CA7&gt;=CD$11,CA7&lt;&gt;"",CC7&gt;=CD$14,CC7&lt;&gt;""),AND(CV7&gt;=CY$11,CV7&lt;&gt;"",CX7&gt;=CY$14,CX7&lt;&gt;""),AND(DQ7&gt;=DT$11,DQ7&lt;&gt;"",DS7&gt;=DT$14,DS7&lt;&gt;""),AND(EL7&gt;=EO$11,EL7&lt;&gt;"",EN7&gt;=EO$14,EN7&lt;&gt;""),AND(FG7&gt;=FJ$11,FG7&lt;&gt;"",FI7&gt;=FJ$14,FI7&lt;&gt;""),AND(GB7&gt;=GE$11,GB7&lt;&gt;"",GD7&gt;=GE$14,GD7&lt;&gt;""),AND(GW7&gt;=GZ$11,GW7&lt;&gt;"",GY7&gt;=GZ$14,GY7&lt;&gt;""),AND(HR7&gt;=HU$11,HR7&lt;&gt;"",HT7&gt;=HU$14,HT7&lt;&gt;""),AND(IM7&gt;=IP$11,IM7&lt;&gt;"",IO7&gt;=IP$14,IO7&lt;&gt;""),AND(JH7&gt;=JK$11,JH7&lt;&gt;"",JJ7&gt;=JK$14,JJ7&lt;&gt;""),AND(KC7&gt;=KF$11,KC7&lt;&gt;"",KE7&gt;=KF$14,KE7&lt;&gt;""),AND(KX7&gt;=LA$11,KX7&lt;&gt;"",KZ7&gt;=LA$14,KZ7&lt;&gt;"")),"National Team","")))))</f>
        <v>National Team</v>
      </c>
      <c r="J7" s="15">
        <f>IF(MAX(AL7,BH7)&gt;0,MAX(AL7,BH7),"")</f>
        <v>118.99999999999999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62.300000000000004</v>
      </c>
      <c r="M7" s="15" t="str">
        <f>IF(L7="","",IF(AND(J7&lt;&gt;BH7,OR(L7=BG7,L7=BF7)),$AM$1,IF(OR(L7=AK7,L7=AJ7),$Q$1,"")))</f>
        <v>2018 Nationals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27.2</v>
      </c>
      <c r="R7" s="63">
        <v>4.8</v>
      </c>
      <c r="S7" s="63">
        <v>1.5</v>
      </c>
      <c r="T7" s="63">
        <v>0</v>
      </c>
      <c r="U7" s="63">
        <v>27.4</v>
      </c>
      <c r="V7" s="63">
        <v>4.8</v>
      </c>
      <c r="W7" s="63">
        <v>0.9</v>
      </c>
      <c r="X7" s="63">
        <v>0.5</v>
      </c>
      <c r="Y7" s="63">
        <v>28</v>
      </c>
      <c r="Z7" s="63">
        <v>1.3</v>
      </c>
      <c r="AA7" s="63">
        <v>4.5</v>
      </c>
      <c r="AB7" s="63">
        <v>0</v>
      </c>
      <c r="AC7" s="63">
        <v>27.3</v>
      </c>
      <c r="AD7" s="63">
        <v>3.7</v>
      </c>
      <c r="AE7" s="63">
        <v>0</v>
      </c>
      <c r="AF7" s="63">
        <v>0</v>
      </c>
      <c r="AG7" s="74"/>
      <c r="AH7" s="12">
        <f>IF(SUM(R7,V7)&gt;0,SUM(R7,V7),"")</f>
        <v>9.6</v>
      </c>
      <c r="AI7" s="12">
        <f>IF(SUM(R7,V7,Z7,AD7)&gt;0,SUM(R7,V7,Z7,AD7),"")</f>
        <v>14.600000000000001</v>
      </c>
      <c r="AJ7" s="12">
        <f>IF(SUM(Q7:R7,T7:V7,X7)-SUM(S7,W7)&gt;0,SUM(Q7:R7,T7:V7,X7)-SUM(S7,W7),"")</f>
        <v>62.300000000000004</v>
      </c>
      <c r="AK7" s="12">
        <f>IF(SUM(Y7:Z7,AB7:AD7,AF7)-SUM(AA7,AE7)&gt;0,SUM(Y7:Z7,AB7:AD7,AF7)-SUM(AA7,AE7),"")</f>
        <v>55.800000000000004</v>
      </c>
      <c r="AL7" s="12"/>
      <c r="AM7" s="37">
        <v>27.7</v>
      </c>
      <c r="AN7" s="37">
        <v>6</v>
      </c>
      <c r="AO7" s="37">
        <v>0.9</v>
      </c>
      <c r="AP7" s="37">
        <v>0</v>
      </c>
      <c r="AQ7" s="37">
        <v>28</v>
      </c>
      <c r="AR7" s="37">
        <v>4.8</v>
      </c>
      <c r="AS7" s="37">
        <v>0</v>
      </c>
      <c r="AT7" s="37">
        <v>0</v>
      </c>
      <c r="AU7" s="37">
        <v>24.7</v>
      </c>
      <c r="AV7" s="37">
        <v>3</v>
      </c>
      <c r="AW7" s="37">
        <v>1.9</v>
      </c>
      <c r="AX7" s="37">
        <v>0</v>
      </c>
      <c r="AY7" s="37">
        <v>26.9</v>
      </c>
      <c r="AZ7" s="37">
        <v>2.8</v>
      </c>
      <c r="BA7" s="37">
        <v>2.1</v>
      </c>
      <c r="BB7" s="37">
        <v>0</v>
      </c>
      <c r="BC7" s="75"/>
      <c r="BD7" s="15">
        <f>IF(SUM(AN7,AR7)&gt;0,SUM(AN7,AR7),"")</f>
        <v>10.8</v>
      </c>
      <c r="BE7" s="15">
        <f>IF(SUM(AN7,AR7,AV7,AZ7)&gt;0,SUM(AN7,AR7,AV7,AZ7),"")</f>
        <v>16.600000000000001</v>
      </c>
      <c r="BF7" s="15">
        <f>IF(SUM(AM7:AN7,AP7:AR7,AT7)-SUM(AO7,AS7)&gt;0,SUM(AM7:AN7,AP7:AR7,AT7)-SUM(AO7,AS7),"")</f>
        <v>65.599999999999994</v>
      </c>
      <c r="BG7" s="15">
        <f>IF(SUM(AU7:AV7,AX7:AZ7,BB7)-SUM(AW7,BA7)&gt;0,SUM(AU7:AV7,AX7:AZ7,BB7)-SUM(AW7,BA7),"")</f>
        <v>53.399999999999991</v>
      </c>
      <c r="BH7" s="15">
        <f>IF(SUM(BF7,BG7)&gt;0,SUM(BF7,BG7),"")</f>
        <v>118.99999999999999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>
        <v>0</v>
      </c>
      <c r="BZ7" s="41">
        <v>0</v>
      </c>
      <c r="CA7" s="12" t="str">
        <f>IF(SUM(BL7,BP7)&gt;0,SUM(BL7,BP7),"")</f>
        <v/>
      </c>
      <c r="CB7" s="12" t="str">
        <f>IF(SUM(BL7,BP7,BT7,BX7)&gt;0,SUM(BL7,BP7,BT7,BX7),"")</f>
        <v/>
      </c>
      <c r="CC7" s="12"/>
      <c r="CD7" s="12"/>
      <c r="CE7" s="12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/>
      <c r="CX7" s="15"/>
      <c r="CY7" s="15"/>
      <c r="CZ7" s="15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/>
      <c r="DR7" s="12"/>
      <c r="DS7" s="12"/>
      <c r="DT7" s="12"/>
      <c r="DU7" s="12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/>
      <c r="EM7" s="15"/>
      <c r="EN7" s="15"/>
      <c r="EO7" s="15"/>
      <c r="EP7" s="15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/>
      <c r="FH7" s="12"/>
      <c r="FI7" s="12"/>
      <c r="FJ7" s="12"/>
      <c r="FK7" s="1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/>
      <c r="GC7" s="15"/>
      <c r="GD7" s="15"/>
      <c r="GE7" s="15"/>
      <c r="GF7" s="15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/>
      <c r="GX7" s="12"/>
      <c r="GY7" s="12"/>
      <c r="GZ7" s="12"/>
      <c r="HA7" s="12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/>
      <c r="HS7" s="15"/>
      <c r="HT7" s="15"/>
      <c r="HU7" s="15"/>
      <c r="HV7" s="15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/>
      <c r="IN7" s="12"/>
      <c r="IO7" s="12"/>
      <c r="IP7" s="12"/>
      <c r="IQ7" s="12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/>
      <c r="JI7" s="15"/>
      <c r="JJ7" s="15"/>
      <c r="JK7" s="15"/>
      <c r="JL7" s="15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/>
      <c r="KD7" s="12"/>
      <c r="KE7" s="12"/>
      <c r="KF7" s="12"/>
      <c r="KG7" s="12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27.45</v>
      </c>
      <c r="LD7" s="63">
        <f t="shared" si="0"/>
        <v>5.4</v>
      </c>
      <c r="LE7" s="63">
        <f t="shared" si="0"/>
        <v>1.2</v>
      </c>
      <c r="LF7" s="63">
        <f t="shared" si="0"/>
        <v>0</v>
      </c>
      <c r="LG7" s="63">
        <f t="shared" si="0"/>
        <v>27.7</v>
      </c>
      <c r="LH7" s="63">
        <f t="shared" si="0"/>
        <v>4.8</v>
      </c>
      <c r="LI7" s="63">
        <f t="shared" si="0"/>
        <v>0.45</v>
      </c>
      <c r="LJ7" s="63">
        <f t="shared" si="0"/>
        <v>0.25</v>
      </c>
      <c r="LK7" s="63">
        <f t="shared" si="0"/>
        <v>26.35</v>
      </c>
      <c r="LL7" s="63">
        <f t="shared" si="0"/>
        <v>2.15</v>
      </c>
      <c r="LM7" s="63">
        <f t="shared" si="0"/>
        <v>3.2</v>
      </c>
      <c r="LN7" s="63">
        <f t="shared" si="0"/>
        <v>0</v>
      </c>
      <c r="LO7" s="63">
        <f t="shared" si="0"/>
        <v>27.1</v>
      </c>
      <c r="LP7" s="63">
        <f t="shared" si="0"/>
        <v>3.25</v>
      </c>
      <c r="LQ7" s="63">
        <f t="shared" si="0"/>
        <v>1.05</v>
      </c>
      <c r="LR7" s="63">
        <f t="shared" si="0"/>
        <v>0</v>
      </c>
      <c r="LS7" s="74" t="s">
        <v>116</v>
      </c>
      <c r="LT7" s="12">
        <f t="shared" ref="LT7" si="17">IF(SUM(LD7,LH7)&gt;0,SUM(LD7,LH7),"")</f>
        <v>10.199999999999999</v>
      </c>
      <c r="LU7" s="12">
        <f t="shared" ref="LU7" si="18">IF(SUM(LD7,LH7,LL7,LP7)&gt;0,SUM(LD7,LH7,LL7,LP7),"")</f>
        <v>15.6</v>
      </c>
      <c r="LV7" s="12">
        <f t="shared" ref="LV7" si="19">IF(SUM(LC7:LD7,LF7:LH7,LJ7)-SUM(LE7,LI7)&gt;0,SUM(LC7:LD7,LF7:LH7,LJ7)-SUM(LE7,LI7),"")</f>
        <v>63.949999999999996</v>
      </c>
      <c r="LW7" s="12">
        <f t="shared" ref="LW7" si="20">IF(SUM(LK7:LL7,LN7:LP7,LR7)-SUM(LM7,LQ7)&gt;0,SUM(LK7:LL7,LN7:LP7,LR7)-SUM(LM7,LQ7),"")</f>
        <v>54.6</v>
      </c>
      <c r="LX7" s="12">
        <f t="shared" ref="LX7" si="21">IF(SUM(LV7,LW7)&gt;0,SUM(LV7,LW7),"")</f>
        <v>118.55</v>
      </c>
    </row>
    <row r="8" spans="1:336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9" t="s">
        <v>94</v>
      </c>
      <c r="C8" s="5" t="s">
        <v>4</v>
      </c>
      <c r="D8" s="6">
        <v>2002</v>
      </c>
      <c r="E8" s="16">
        <f>SUM(J8:N8)</f>
        <v>120.1</v>
      </c>
      <c r="F8" s="4" t="str">
        <f>IF(OR(AND(AH8&gt;=AK$11,AJ8&gt;=AK$14,AJ8&lt;&gt;"",AG8=""),AND(BD8&gt;=BG$11,BF8&gt;=BG$14,BF8&lt;&gt;"",BC8=""),AND(CA8&gt;=CD$11,CC8&gt;=CD$14,CC8&lt;&gt;""),AND(CV8&gt;=CY$11,CX8&gt;=CY$14,CX8&lt;&gt;""),AND(DQ8&gt;=DT$11,DS8&gt;=DT$14,DS8&lt;&gt;""),AND(EL8&gt;=EO$11,EN8&gt;=EO$14,EN8&lt;&gt;""),AND(FG8&gt;=FJ$11,FI8&gt;=FJ$14,FI8&lt;&gt;""),AND(GB8&gt;=GE$11,GD8&gt;=GE$14,GD8&lt;&gt;""),AND(GW8&gt;=GZ$11,GY8&gt;=GZ$14,GY8&lt;&gt;""),AND(HR8&gt;=HU$11,HT8&gt;=HU$14,HT8&lt;&gt;""),AND(IM8&gt;=IP$11,IO8&gt;=IP$14,IO8&lt;&gt;""),AND(JH8&gt;=JK$11,JJ8&gt;=JK$14,JJ8&lt;&gt;""),AND(KC8&gt;=KF$11,KE8&gt;=KF$14,KE8&lt;&gt;""),AND(KX8&gt;=LA$11,KZ8&gt;=LA$14,KZ8&lt;&gt;"")),"P","")</f>
        <v>P</v>
      </c>
      <c r="G8" s="4" t="str">
        <f>IF(OR(AND(AH8&gt;=AK$12,AJ8&gt;=AK$15,AJ8&lt;&gt;"",AG8=""),AND(BD8&gt;=BG$12,BF8&gt;=BG$15,BF8&lt;&gt;"",BC8=""),AND(CA8&gt;=CD$12,CC8&gt;=CD$15,CC8&lt;&gt;""),AND(CV8&gt;=CY$12,CX8&gt;=CY$15,CX8&lt;&gt;""),AND(DQ8&gt;=DT$12,DS8&gt;=DT$15,DS8&lt;&gt;""),AND(EL8&gt;=EO$12,EN8&gt;=EO$15,EN8&lt;&gt;""),AND(FG8&gt;=FJ$12,FI8&gt;=FJ$15,FI8&lt;&gt;""),AND(GB8&gt;=GE$12,GD8&gt;=GE$15,GD8&lt;&gt;""),AND(GW8&gt;=GZ$12,GY8&gt;=GZ$15,GY8&lt;&gt;""),AND(HR8&gt;=HU$12,HT8&gt;=HU$15,HT8&lt;&gt;""),AND(IM8&gt;=IP$12,IO8&gt;=IP$15,IO8&lt;&gt;""),AND(JH8&gt;=JK$12,JJ8&gt;=JK$15,JJ8&lt;&gt;""),AND(KC8&gt;=KF$12,KE8&gt;=KF$15,KE8&lt;&gt;""),AND(KX8&gt;=LA$12,KZ8&gt;=LA$15,KZ8&lt;&gt;"")),"P","")</f>
        <v/>
      </c>
      <c r="H8" s="4" t="str">
        <f>IF(OR(AND(AJ8&gt;=AK$14,AJ8&lt;&gt;"",AG8=""),AND(BF8&gt;=BG$14,BF8&lt;&gt;"",BC8=""),AND(CC8&gt;=CD$14,CC8&lt;&gt;""),AND(CX8&gt;=CY$14,CX8&lt;&gt;""),AND(DS8&gt;=DT$14,DS8&lt;&gt;""),AND(EN8&gt;=EO$14,EN8&lt;&gt;""),AND(FI8&gt;=FJ$14,FI8&lt;&gt;""),AND(GD8&gt;=GE$14,GD8&lt;&gt;""),AND(GY8&gt;=GZ$14,GY8&lt;&gt;""),AND(HT8&gt;=HU$14,HT8&lt;&gt;""),AND(IO8&gt;=IP$14,IO8&lt;&gt;""),AND(JJ8&gt;=JK$14,JJ8&lt;&gt;""),AND(KE8&gt;=KF$14,KE8&lt;&gt;""),AND(KZ8&gt;=LA$14,KZ8&lt;&gt;"")),"P","")</f>
        <v>P</v>
      </c>
      <c r="I8" t="str">
        <f>IF(AND(H8="P",F8=""),"No DD",IF(OR(AND(AI8&gt;=AK$13,AI8&lt;&gt;"",AL8&gt;=AK$17,AL8&lt;&gt;"",AG8=""),AND(BE8&gt;=BG$13,BE8&lt;&gt;"",BH8&gt;=BG$17,BH8&lt;&gt;"",BC8=""),AND(CB8&gt;=CD$13,CB8&lt;&gt;"",CE8&gt;=CD$17,CE8&lt;&gt;""),AND(CW8&gt;=CY$13,CW8&lt;&gt;"",CZ8&gt;=CY$17,CZ8&lt;&gt;""),AND(DR8&gt;=DT$13,DR8&lt;&gt;"",DU8&gt;=DT$17,DU8&lt;&gt;""),AND(EM8&gt;=EO$13,EM8&lt;&gt;"",EP8&gt;=EO$17,EP8&lt;&gt;""),AND(FH8&gt;=FJ$13,FH8&lt;&gt;"",FK8&gt;=FJ$17,FK8&lt;&gt;""),AND(GC8&gt;=GE$13,GC8&lt;&gt;"",GF8&gt;=GE$17,GF8&lt;&gt;""),AND(GX8&gt;=GZ$13,GX8&lt;&gt;"",HA8&gt;=GZ$17,HA8&lt;&gt;""),AND(HS8&gt;=HU$13,HS8&lt;&gt;"",HV8&gt;=HU$17,HV8&lt;&gt;""),AND(IN8&gt;=IP$13,IN8&lt;&gt;"",IQ8&gt;=IP$17,IQ8&lt;&gt;""),AND(JI8&gt;=JK$13,JI8&lt;&gt;"",JL8&gt;=JK$17,JL8&lt;&gt;""),AND(KD8&gt;=KF$13,KD8&lt;&gt;"",KG8&gt;=KF$17,KG8&lt;&gt;""),AND(KY8&gt;=LA$13,KY8&lt;&gt;"",LB8&gt;=LA$17,LB8&lt;&gt;"")),"Merit",IF(OR(AND(AI8&gt;=AK$13,AI8&lt;&gt;"",AL8&gt;=AK$16,AL8&lt;&gt;"",AG8=""),AND(BE8&gt;=BG$13,BE8&lt;&gt;"",BH8&gt;=BG$16,BH8&lt;&gt;"",BC8=""),AND(CB8&gt;=CD$13,CB8&lt;&gt;"",CE8&gt;=CD$16,CE8&lt;&gt;""),AND(CW8&gt;=CY$13,CW8&lt;&gt;"",CZ8&gt;=CY$16,CZ8&lt;&gt;""),AND(DR8&gt;=DT$13,DR8&lt;&gt;"",DU8&gt;=DT$16,DU8&lt;&gt;""),AND(EM8&gt;=EO$13,EM8&lt;&gt;"",EP8&gt;=EO$16,EP8&lt;&gt;""),AND(FH8&gt;=FJ$13,FH8&lt;&gt;"",FK8&gt;=FJ$16,FK8&lt;&gt;""),AND(GC8&gt;=GE$13,GC8&lt;&gt;"",GF8&gt;=GE$16,GF8&lt;&gt;""),AND(GX8&gt;=GZ$13,GX8&lt;&gt;"",HA8&gt;=GZ$16,HA8&lt;&gt;""),AND(HS8&gt;=HU$13,HS8&lt;&gt;"",HV8&gt;=HU$16,HV8&lt;&gt;""),AND(IN8&gt;=IP$13,IN8&lt;&gt;"",IQ8&gt;=IP$16,IQ8&lt;&gt;""),AND(JI8&gt;=JK$13,JI8&lt;&gt;"",JL8&gt;=JK$16,JL8&lt;&gt;""),AND(KD8&gt;=KF$13,KD8&lt;&gt;"",KG8&gt;=KF$16,KG8&lt;&gt;""),AND(KY8&gt;=LA$13,KY8&lt;&gt;"",LB8&gt;=LA$16,LB8&lt;&gt;"")),"Excellence",IF(OR(AND(AH8&gt;=AK$12,AH8&lt;&gt;"",AJ8&gt;=AK$15,AJ8&lt;&gt;"",AG8=""),AND(BD8&gt;=BG$12,BD8&lt;&gt;"",BF8&gt;=BG$15,BF8&lt;&gt;"",BC8=""),AND(CA8&gt;=CD$12,CA8&lt;&gt;"",CC8&gt;=CD$15,CC8&lt;&gt;""),AND(CV8&gt;=CY$12,CV8&lt;&gt;"",CX8&gt;=CY$15,CX8&lt;&gt;""),AND(DQ8&gt;=DT$12,DQ8&lt;&gt;"",DS8&gt;=DT$15,DS8&lt;&gt;""),AND(EL8&gt;=EO$12,EL8&lt;&gt;"",EN8&gt;=EO$15,EN8&lt;&gt;""),AND(FG8&gt;=FJ$12,FG8&lt;&gt;"",FI8&gt;=FJ$15,FI8&lt;&gt;""),AND(GB8&gt;=GE$12,GB8&lt;&gt;"",GD8&gt;=GE$15,GD8&lt;&gt;""),AND(GW8&gt;=GZ$12,GW8&lt;&gt;"",GY8&gt;=GZ$15,GY8&lt;&gt;""),AND(HR8&gt;=HU$12,HR8&lt;&gt;"",HT8&gt;=HU$15,HT8&lt;&gt;""),AND(IM8&gt;=IP$12,IM8&lt;&gt;"",IO8&gt;=IP$15,IO8&lt;&gt;""),AND(JH8&gt;=JK$12,JH8&lt;&gt;"",JJ8&gt;=JK$15,JJ8&lt;&gt;""),AND(KC8&gt;=KF$12,KC8&lt;&gt;"",KE8&gt;=KF$15,KE8&lt;&gt;""),AND(KX8&gt;=LA$12,KX8&lt;&gt;"",KZ8&gt;=LA$15,KZ8&lt;&gt;"")),"Worlds Team",IF(OR(AND(AH8&gt;=AK$11,AH8&lt;&gt;"",AJ8&gt;=AK$14,AJ8&lt;&gt;"",AG8=""),AND(BD8&gt;=BG$11,BD8&lt;&gt;"",BF8&gt;=BG$14,BF8&lt;&gt;"",BC8=""),AND(CA8&gt;=CD$11,CA8&lt;&gt;"",CC8&gt;=CD$14,CC8&lt;&gt;""),AND(CV8&gt;=CY$11,CV8&lt;&gt;"",CX8&gt;=CY$14,CX8&lt;&gt;""),AND(DQ8&gt;=DT$11,DQ8&lt;&gt;"",DS8&gt;=DT$14,DS8&lt;&gt;""),AND(EL8&gt;=EO$11,EL8&lt;&gt;"",EN8&gt;=EO$14,EN8&lt;&gt;""),AND(FG8&gt;=FJ$11,FG8&lt;&gt;"",FI8&gt;=FJ$14,FI8&lt;&gt;""),AND(GB8&gt;=GE$11,GB8&lt;&gt;"",GD8&gt;=GE$14,GD8&lt;&gt;""),AND(GW8&gt;=GZ$11,GW8&lt;&gt;"",GY8&gt;=GZ$14,GY8&lt;&gt;""),AND(HR8&gt;=HU$11,HR8&lt;&gt;"",HT8&gt;=HU$14,HT8&lt;&gt;""),AND(IM8&gt;=IP$11,IM8&lt;&gt;"",IO8&gt;=IP$14,IO8&lt;&gt;""),AND(JH8&gt;=JK$11,JH8&lt;&gt;"",JJ8&gt;=JK$14,JJ8&lt;&gt;""),AND(KC8&gt;=KF$11,KC8&lt;&gt;"",KE8&gt;=KF$14,KE8&lt;&gt;""),AND(KX8&gt;=LA$11,KX8&lt;&gt;"",KZ8&gt;=LA$14,KZ8&lt;&gt;"")),"National Team","")))))</f>
        <v>National Team</v>
      </c>
      <c r="J8" s="15">
        <f>IF(MAX(AL8,BH8)&gt;0,MAX(AL8,BH8),"")</f>
        <v>120.1</v>
      </c>
      <c r="K8" s="15" t="str">
        <f>IF(J8="","",IF(J8=BH8,$AM$1,IF(J8=AL8,$Q$1,"")))</f>
        <v>2019 Elite Canada</v>
      </c>
      <c r="L8" s="15" t="str">
        <f>IF(J8=AL8,IF(MAX(BF8,BG8)&gt;0,MAX(BF8,BG8),""),IF(J8=BH8,IF(MAX(AJ8,AK8)&gt;0,MAX(AJ8,AK8),""),MAX(AJ8,AK8,BF8,BG8)))</f>
        <v/>
      </c>
      <c r="M8" s="15" t="str">
        <f>IF(L8="","",IF(AND(J8&lt;&gt;BH8,OR(L8=BG8,L8=BF8)),$AM$1,IF(OR(L8=AK8,L8=AJ8),$Q$1,"")))</f>
        <v/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74"/>
      <c r="AH8" s="12" t="str">
        <f>IF(SUM(R8,V8)&gt;0,SUM(R8,V8),"")</f>
        <v/>
      </c>
      <c r="AI8" s="12" t="str">
        <f>IF(SUM(R8,V8,Z8,AD8)&gt;0,SUM(R8,V8,Z8,AD8),"")</f>
        <v/>
      </c>
      <c r="AJ8" s="12" t="str">
        <f>IF(SUM(Q8:R8,T8:V8,X8)-SUM(S8,W8)&gt;0,SUM(Q8:R8,T8:V8,X8)-SUM(S8,W8),"")</f>
        <v/>
      </c>
      <c r="AK8" s="12" t="str">
        <f>IF(SUM(Y8:Z8,AB8:AD8,AF8)-SUM(AA8,AE8)&gt;0,SUM(Y8:Z8,AB8:AD8,AF8)-SUM(AA8,AE8),"")</f>
        <v/>
      </c>
      <c r="AL8" s="12"/>
      <c r="AM8" s="37">
        <v>28.5</v>
      </c>
      <c r="AN8" s="37">
        <v>5.2</v>
      </c>
      <c r="AO8" s="37">
        <v>0.9</v>
      </c>
      <c r="AP8" s="37">
        <v>0</v>
      </c>
      <c r="AQ8" s="37">
        <v>28.6</v>
      </c>
      <c r="AR8" s="37">
        <v>5.6</v>
      </c>
      <c r="AS8" s="37">
        <v>0</v>
      </c>
      <c r="AT8" s="37">
        <v>0</v>
      </c>
      <c r="AU8" s="37">
        <v>20.2</v>
      </c>
      <c r="AV8" s="37">
        <v>2.8</v>
      </c>
      <c r="AW8" s="37">
        <v>0</v>
      </c>
      <c r="AX8" s="37">
        <v>0</v>
      </c>
      <c r="AY8" s="37">
        <v>28.2</v>
      </c>
      <c r="AZ8" s="37">
        <v>3.4</v>
      </c>
      <c r="BA8" s="37">
        <v>1.5</v>
      </c>
      <c r="BB8" s="37">
        <v>0</v>
      </c>
      <c r="BC8" s="75"/>
      <c r="BD8" s="15">
        <f>IF(SUM(AN8,AR8)&gt;0,SUM(AN8,AR8),"")</f>
        <v>10.8</v>
      </c>
      <c r="BE8" s="15">
        <f>IF(SUM(AN8,AR8,AV8,AZ8)&gt;0,SUM(AN8,AR8,AV8,AZ8),"")</f>
        <v>17</v>
      </c>
      <c r="BF8" s="15">
        <f>IF(SUM(AM8:AN8,AP8:AR8,AT8)-SUM(AO8,AS8)&gt;0,SUM(AM8:AN8,AP8:AR8,AT8)-SUM(AO8,AS8),"")</f>
        <v>67</v>
      </c>
      <c r="BG8" s="15">
        <f>IF(SUM(AU8:AV8,AX8:AZ8,BB8)-SUM(AW8,BA8)&gt;0,SUM(AU8:AV8,AX8:AZ8,BB8)-SUM(AW8,BA8),"")</f>
        <v>53.1</v>
      </c>
      <c r="BH8" s="15">
        <f>IF(SUM(BF8,BG8)&gt;0,SUM(BF8,BG8),"")</f>
        <v>120.1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>
        <v>0</v>
      </c>
      <c r="BZ8" s="41">
        <v>0</v>
      </c>
      <c r="CA8" s="12" t="str">
        <f>IF(SUM(BL8,BP8)&gt;0,SUM(BL8,BP8),"")</f>
        <v/>
      </c>
      <c r="CB8" s="12" t="str">
        <f>IF(SUM(BL8,BP8,BT8,BX8)&gt;0,SUM(BL8,BP8,BT8,BX8),"")</f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14.25</v>
      </c>
      <c r="LD8" s="63">
        <f t="shared" si="0"/>
        <v>2.6</v>
      </c>
      <c r="LE8" s="63">
        <f t="shared" si="0"/>
        <v>0.45</v>
      </c>
      <c r="LF8" s="63">
        <f t="shared" si="0"/>
        <v>0</v>
      </c>
      <c r="LG8" s="63">
        <f t="shared" si="0"/>
        <v>14.3</v>
      </c>
      <c r="LH8" s="63">
        <f t="shared" si="0"/>
        <v>2.8</v>
      </c>
      <c r="LI8" s="63">
        <f t="shared" si="0"/>
        <v>0</v>
      </c>
      <c r="LJ8" s="63">
        <f t="shared" si="0"/>
        <v>0</v>
      </c>
      <c r="LK8" s="63">
        <f t="shared" si="0"/>
        <v>10.1</v>
      </c>
      <c r="LL8" s="63">
        <f t="shared" si="0"/>
        <v>1.4</v>
      </c>
      <c r="LM8" s="63">
        <f t="shared" si="0"/>
        <v>0</v>
      </c>
      <c r="LN8" s="63">
        <f t="shared" si="0"/>
        <v>0</v>
      </c>
      <c r="LO8" s="63">
        <f t="shared" si="0"/>
        <v>14.1</v>
      </c>
      <c r="LP8" s="63">
        <f t="shared" si="0"/>
        <v>1.7</v>
      </c>
      <c r="LQ8" s="63">
        <f t="shared" si="0"/>
        <v>0.75</v>
      </c>
      <c r="LR8" s="63">
        <f t="shared" si="0"/>
        <v>0</v>
      </c>
      <c r="LS8" s="74" t="s">
        <v>116</v>
      </c>
      <c r="LT8" s="12">
        <f t="shared" ref="LT8" si="22">IF(SUM(LD8,LH8)&gt;0,SUM(LD8,LH8),"")</f>
        <v>5.4</v>
      </c>
      <c r="LU8" s="12">
        <f t="shared" ref="LU8" si="23">IF(SUM(LD8,LH8,LL8,LP8)&gt;0,SUM(LD8,LH8,LL8,LP8),"")</f>
        <v>8.5</v>
      </c>
      <c r="LV8" s="12">
        <f t="shared" ref="LV8" si="24">IF(SUM(LC8:LD8,LF8:LH8,LJ8)-SUM(LE8,LI8)&gt;0,SUM(LC8:LD8,LF8:LH8,LJ8)-SUM(LE8,LI8),"")</f>
        <v>33.5</v>
      </c>
      <c r="LW8" s="12">
        <f t="shared" ref="LW8" si="25">IF(SUM(LK8:LL8,LN8:LP8,LR8)-SUM(LM8,LQ8)&gt;0,SUM(LK8:LL8,LN8:LP8,LR8)-SUM(LM8,LQ8),"")</f>
        <v>26.55</v>
      </c>
      <c r="LX8" s="12">
        <f t="shared" ref="LX8" si="26">IF(SUM(LV8,LW8)&gt;0,SUM(LV8,LW8),"")</f>
        <v>60.05</v>
      </c>
    </row>
    <row r="9" spans="1:336" s="47" customFormat="1" x14ac:dyDescent="0.2">
      <c r="A9" s="8"/>
      <c r="B9" s="9"/>
      <c r="C9" s="5"/>
      <c r="D9" s="8"/>
      <c r="E9" s="95"/>
      <c r="F9" s="96"/>
      <c r="G9" s="96"/>
      <c r="H9" s="96"/>
      <c r="J9" s="48"/>
      <c r="K9" s="48"/>
      <c r="L9" s="48"/>
      <c r="M9" s="48"/>
      <c r="N9" s="48"/>
      <c r="O9" s="97"/>
      <c r="P9" s="4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9"/>
      <c r="AH9" s="48"/>
      <c r="AI9" s="48"/>
      <c r="AJ9" s="48"/>
      <c r="AK9" s="48"/>
      <c r="AL9" s="48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99"/>
      <c r="BD9" s="48"/>
      <c r="BE9" s="48"/>
      <c r="BF9" s="48"/>
      <c r="BG9" s="48"/>
      <c r="BH9" s="48"/>
      <c r="BI9" s="48"/>
      <c r="BJ9" s="48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  <c r="BX9" s="101"/>
      <c r="BY9" s="101"/>
      <c r="BZ9" s="101"/>
      <c r="CA9" s="48"/>
      <c r="CB9" s="48"/>
      <c r="CC9" s="48"/>
      <c r="CD9" s="48"/>
      <c r="CE9" s="48"/>
      <c r="CF9" s="101"/>
      <c r="CG9" s="101"/>
      <c r="CH9" s="101"/>
      <c r="CI9" s="101"/>
      <c r="CJ9" s="101"/>
      <c r="CK9" s="101"/>
      <c r="CL9" s="101"/>
      <c r="CM9" s="101"/>
      <c r="CN9" s="101"/>
      <c r="CO9" s="101"/>
      <c r="CP9" s="101"/>
      <c r="CQ9" s="101"/>
      <c r="CR9" s="101"/>
      <c r="CS9" s="101"/>
      <c r="CT9" s="101"/>
      <c r="CU9" s="101"/>
      <c r="CV9" s="48"/>
      <c r="CW9" s="48"/>
      <c r="CX9" s="48"/>
      <c r="CY9" s="48"/>
      <c r="CZ9" s="48"/>
      <c r="DA9" s="101"/>
      <c r="DB9" s="101"/>
      <c r="DC9" s="101"/>
      <c r="DD9" s="101"/>
      <c r="DE9" s="101"/>
      <c r="DF9" s="101"/>
      <c r="DG9" s="101"/>
      <c r="DH9" s="101"/>
      <c r="DI9" s="101"/>
      <c r="DJ9" s="101"/>
      <c r="DK9" s="101"/>
      <c r="DL9" s="101"/>
      <c r="DM9" s="101"/>
      <c r="DN9" s="101"/>
      <c r="DO9" s="101"/>
      <c r="DP9" s="101"/>
      <c r="DQ9" s="48"/>
      <c r="DR9" s="48"/>
      <c r="DS9" s="48"/>
      <c r="DT9" s="48"/>
      <c r="DU9" s="48"/>
      <c r="DV9" s="101"/>
      <c r="DW9" s="101"/>
      <c r="DX9" s="101"/>
      <c r="DY9" s="101"/>
      <c r="DZ9" s="101"/>
      <c r="EA9" s="101"/>
      <c r="EB9" s="101"/>
      <c r="EC9" s="101"/>
      <c r="ED9" s="101"/>
      <c r="EE9" s="101"/>
      <c r="EF9" s="101"/>
      <c r="EG9" s="101"/>
      <c r="EH9" s="101"/>
      <c r="EI9" s="101"/>
      <c r="EJ9" s="101"/>
      <c r="EK9" s="101"/>
      <c r="EL9" s="48"/>
      <c r="EM9" s="48"/>
      <c r="EN9" s="48"/>
      <c r="EO9" s="48"/>
      <c r="EP9" s="48"/>
      <c r="EQ9" s="101"/>
      <c r="ER9" s="101"/>
      <c r="ES9" s="101"/>
      <c r="ET9" s="101"/>
      <c r="EU9" s="101"/>
      <c r="EV9" s="101"/>
      <c r="EW9" s="101"/>
      <c r="EX9" s="101"/>
      <c r="EY9" s="101"/>
      <c r="EZ9" s="101"/>
      <c r="FA9" s="101"/>
      <c r="FB9" s="101"/>
      <c r="FC9" s="101"/>
      <c r="FD9" s="101"/>
      <c r="FE9" s="101"/>
      <c r="FF9" s="101"/>
      <c r="FG9" s="48"/>
      <c r="FH9" s="48"/>
      <c r="FI9" s="48"/>
      <c r="FJ9" s="48"/>
      <c r="FK9" s="48"/>
      <c r="FL9" s="101"/>
      <c r="FM9" s="101"/>
      <c r="FN9" s="101"/>
      <c r="FO9" s="101"/>
      <c r="FP9" s="101"/>
      <c r="FQ9" s="101"/>
      <c r="FR9" s="101"/>
      <c r="FS9" s="101"/>
      <c r="FT9" s="101"/>
      <c r="FU9" s="101"/>
      <c r="FV9" s="101"/>
      <c r="FW9" s="101"/>
      <c r="FX9" s="101"/>
      <c r="FY9" s="101"/>
      <c r="FZ9" s="101"/>
      <c r="GA9" s="101"/>
      <c r="GB9" s="48"/>
      <c r="GC9" s="48"/>
      <c r="GD9" s="48"/>
      <c r="GE9" s="48"/>
      <c r="GF9" s="48"/>
      <c r="GG9" s="101"/>
      <c r="GH9" s="101"/>
      <c r="GI9" s="101"/>
      <c r="GJ9" s="101"/>
      <c r="GK9" s="101"/>
      <c r="GL9" s="101"/>
      <c r="GM9" s="101"/>
      <c r="GN9" s="101"/>
      <c r="GO9" s="101"/>
      <c r="GP9" s="101"/>
      <c r="GQ9" s="101"/>
      <c r="GR9" s="101"/>
      <c r="GS9" s="101"/>
      <c r="GT9" s="101"/>
      <c r="GU9" s="101"/>
      <c r="GV9" s="101"/>
      <c r="GW9" s="48"/>
      <c r="GX9" s="48"/>
      <c r="GY9" s="48"/>
      <c r="GZ9" s="48"/>
      <c r="HA9" s="48"/>
      <c r="HB9" s="101"/>
      <c r="HC9" s="101"/>
      <c r="HD9" s="101"/>
      <c r="HE9" s="101"/>
      <c r="HF9" s="101"/>
      <c r="HG9" s="101"/>
      <c r="HH9" s="101"/>
      <c r="HI9" s="101"/>
      <c r="HJ9" s="101"/>
      <c r="HK9" s="101"/>
      <c r="HL9" s="101"/>
      <c r="HM9" s="101"/>
      <c r="HN9" s="101"/>
      <c r="HO9" s="101"/>
      <c r="HP9" s="101"/>
      <c r="HQ9" s="101"/>
      <c r="HR9" s="48"/>
      <c r="HS9" s="48"/>
      <c r="HT9" s="48"/>
      <c r="HU9" s="48"/>
      <c r="HV9" s="48"/>
      <c r="HW9" s="101"/>
      <c r="HX9" s="101"/>
      <c r="HY9" s="101"/>
      <c r="HZ9" s="101"/>
      <c r="IA9" s="101"/>
      <c r="IB9" s="101"/>
      <c r="IC9" s="101"/>
      <c r="ID9" s="101"/>
      <c r="IE9" s="101"/>
      <c r="IF9" s="101"/>
      <c r="IG9" s="101"/>
      <c r="IH9" s="101"/>
      <c r="II9" s="101"/>
      <c r="IJ9" s="101"/>
      <c r="IK9" s="101"/>
      <c r="IL9" s="101"/>
      <c r="IM9" s="48"/>
      <c r="IN9" s="48"/>
      <c r="IO9" s="48"/>
      <c r="IP9" s="48"/>
      <c r="IQ9" s="48"/>
      <c r="IR9" s="101"/>
      <c r="IS9" s="101"/>
      <c r="IT9" s="101"/>
      <c r="IU9" s="101"/>
      <c r="IV9" s="101"/>
      <c r="IW9" s="101"/>
      <c r="IX9" s="101"/>
      <c r="IY9" s="101"/>
      <c r="IZ9" s="101"/>
      <c r="JA9" s="101"/>
      <c r="JB9" s="101"/>
      <c r="JC9" s="101"/>
      <c r="JD9" s="101"/>
      <c r="JE9" s="101"/>
      <c r="JF9" s="101"/>
      <c r="JG9" s="101"/>
      <c r="JH9" s="48"/>
      <c r="JI9" s="48"/>
      <c r="JJ9" s="48"/>
      <c r="JK9" s="48"/>
      <c r="JL9" s="48"/>
      <c r="JM9" s="101"/>
      <c r="JN9" s="101"/>
      <c r="JO9" s="101"/>
      <c r="JP9" s="101"/>
      <c r="JQ9" s="101"/>
      <c r="JR9" s="101"/>
      <c r="JS9" s="101"/>
      <c r="JT9" s="101"/>
      <c r="JU9" s="101"/>
      <c r="JV9" s="101"/>
      <c r="JW9" s="101"/>
      <c r="JX9" s="101"/>
      <c r="JY9" s="101"/>
      <c r="JZ9" s="101"/>
      <c r="KA9" s="101"/>
      <c r="KB9" s="101"/>
      <c r="KC9" s="48"/>
      <c r="KD9" s="48"/>
      <c r="KE9" s="48"/>
      <c r="KF9" s="48"/>
      <c r="KG9" s="48"/>
      <c r="KH9" s="101"/>
      <c r="KI9" s="101"/>
      <c r="KJ9" s="101"/>
      <c r="KK9" s="101"/>
      <c r="KL9" s="101"/>
      <c r="KM9" s="101"/>
      <c r="KN9" s="101"/>
      <c r="KO9" s="101"/>
      <c r="KP9" s="101"/>
      <c r="KQ9" s="101"/>
      <c r="KR9" s="101"/>
      <c r="KS9" s="101"/>
      <c r="KT9" s="101"/>
      <c r="KU9" s="101"/>
      <c r="KV9" s="101"/>
      <c r="KW9" s="101"/>
      <c r="KX9" s="48"/>
      <c r="KY9" s="48"/>
      <c r="KZ9" s="48"/>
      <c r="LA9" s="48"/>
      <c r="LB9" s="48"/>
    </row>
    <row r="10" spans="1:336" x14ac:dyDescent="0.2">
      <c r="AH10" s="48"/>
      <c r="AI10" s="48"/>
      <c r="BD10" s="48"/>
      <c r="BE10" s="48"/>
      <c r="CA10" s="48"/>
      <c r="CB10" s="48"/>
      <c r="CV10" s="48"/>
      <c r="CW10" s="48"/>
      <c r="DQ10" s="48"/>
      <c r="DR10" s="48"/>
      <c r="EL10" s="48"/>
      <c r="EM10" s="48"/>
      <c r="FG10" s="48"/>
      <c r="FH10" s="48"/>
      <c r="GB10" s="48"/>
      <c r="GC10" s="48"/>
      <c r="GW10" s="48"/>
      <c r="GX10" s="48"/>
      <c r="HR10" s="48"/>
      <c r="HS10" s="48"/>
      <c r="IM10" s="48"/>
      <c r="IN10" s="48"/>
      <c r="JH10" s="48"/>
      <c r="JI10" s="48"/>
      <c r="KC10" s="48"/>
      <c r="KD10" s="48"/>
      <c r="KX10" s="48"/>
      <c r="KY10" s="48"/>
    </row>
    <row r="11" spans="1:336" x14ac:dyDescent="0.2">
      <c r="B11" s="64" t="s">
        <v>51</v>
      </c>
      <c r="AH11" s="48"/>
      <c r="AI11" s="48"/>
      <c r="AK11" s="58">
        <v>9.6</v>
      </c>
      <c r="BD11" s="48"/>
      <c r="BE11" s="48"/>
      <c r="BG11" s="58">
        <v>10.4</v>
      </c>
      <c r="CA11" s="48"/>
      <c r="CB11" s="48"/>
      <c r="CD11" s="58">
        <v>11.6</v>
      </c>
      <c r="CV11" s="48"/>
      <c r="CW11" s="48"/>
      <c r="CY11" s="58">
        <v>10.4</v>
      </c>
      <c r="DQ11" s="48"/>
      <c r="DR11" s="48"/>
      <c r="DT11" s="58">
        <v>10.4</v>
      </c>
      <c r="EL11" s="48"/>
      <c r="EM11" s="48"/>
      <c r="EO11" s="58">
        <v>10.4</v>
      </c>
      <c r="FG11" s="48"/>
      <c r="FH11" s="48"/>
      <c r="FJ11" s="58">
        <v>10.4</v>
      </c>
      <c r="GB11" s="48"/>
      <c r="GC11" s="48"/>
      <c r="GE11" s="58">
        <v>10.4</v>
      </c>
      <c r="GW11" s="48"/>
      <c r="GX11" s="48"/>
      <c r="GZ11" s="58">
        <v>10.4</v>
      </c>
      <c r="HR11" s="48"/>
      <c r="HS11" s="48"/>
      <c r="HU11" s="58">
        <v>10.4</v>
      </c>
      <c r="IM11" s="48"/>
      <c r="IN11" s="48"/>
      <c r="IP11" s="58">
        <v>10.4</v>
      </c>
      <c r="JH11" s="48"/>
      <c r="JI11" s="48"/>
      <c r="JK11" s="58">
        <v>10.4</v>
      </c>
      <c r="KC11" s="48"/>
      <c r="KD11" s="48"/>
      <c r="KF11" s="58">
        <v>10.4</v>
      </c>
      <c r="KX11" s="48"/>
      <c r="KY11" s="48"/>
      <c r="LA11" s="58">
        <v>10.4</v>
      </c>
    </row>
    <row r="12" spans="1:336" hidden="1" x14ac:dyDescent="0.2">
      <c r="B12" s="90" t="s">
        <v>50</v>
      </c>
      <c r="AH12" s="48"/>
      <c r="AI12" s="48"/>
      <c r="AK12" s="92">
        <v>22</v>
      </c>
      <c r="BD12" s="48"/>
      <c r="BE12" s="48"/>
      <c r="BG12" s="92">
        <v>22</v>
      </c>
      <c r="CA12" s="48"/>
      <c r="CB12" s="48"/>
      <c r="CD12" s="92">
        <v>22</v>
      </c>
      <c r="CV12" s="48"/>
      <c r="CW12" s="48"/>
      <c r="CY12" s="92">
        <v>19.600000000000001</v>
      </c>
      <c r="DQ12" s="48"/>
      <c r="DR12" s="48"/>
      <c r="DT12" s="92">
        <v>19.600000000000001</v>
      </c>
      <c r="EL12" s="48"/>
      <c r="EM12" s="48"/>
      <c r="EO12" s="92">
        <v>19.600000000000001</v>
      </c>
      <c r="FG12" s="48"/>
      <c r="FH12" s="48"/>
      <c r="FJ12" s="92">
        <v>19.600000000000001</v>
      </c>
      <c r="GB12" s="48"/>
      <c r="GC12" s="48"/>
      <c r="GE12" s="92">
        <v>19.600000000000001</v>
      </c>
      <c r="GW12" s="48"/>
      <c r="GX12" s="48"/>
      <c r="GZ12" s="92">
        <v>19.600000000000001</v>
      </c>
      <c r="HR12" s="48"/>
      <c r="HS12" s="48"/>
      <c r="HU12" s="92">
        <v>19.600000000000001</v>
      </c>
      <c r="IM12" s="48"/>
      <c r="IN12" s="48"/>
      <c r="IP12" s="92">
        <v>19.600000000000001</v>
      </c>
      <c r="JH12" s="48"/>
      <c r="JI12" s="48"/>
      <c r="JK12" s="92">
        <v>19.600000000000001</v>
      </c>
      <c r="KC12" s="48"/>
      <c r="KD12" s="48"/>
      <c r="KF12" s="92">
        <v>19.600000000000001</v>
      </c>
      <c r="KX12" s="48"/>
      <c r="KY12" s="48"/>
      <c r="LA12" s="92">
        <v>19.600000000000001</v>
      </c>
    </row>
    <row r="13" spans="1:336" x14ac:dyDescent="0.2">
      <c r="A13" s="50"/>
      <c r="B13" s="91" t="s">
        <v>73</v>
      </c>
      <c r="C13" s="49"/>
      <c r="AK13" s="93">
        <v>22</v>
      </c>
      <c r="BG13" s="93">
        <v>19.600000000000001</v>
      </c>
      <c r="CD13" s="93">
        <v>22</v>
      </c>
      <c r="CY13" s="93">
        <v>19.600000000000001</v>
      </c>
      <c r="DT13" s="93">
        <v>19.600000000000001</v>
      </c>
      <c r="EO13" s="93">
        <v>19.600000000000001</v>
      </c>
      <c r="FJ13" s="93">
        <v>19.600000000000001</v>
      </c>
      <c r="GE13" s="93">
        <v>19.600000000000001</v>
      </c>
      <c r="GZ13" s="93">
        <v>19.600000000000001</v>
      </c>
      <c r="HU13" s="93">
        <v>19.600000000000001</v>
      </c>
      <c r="IP13" s="93">
        <v>19.600000000000001</v>
      </c>
      <c r="JK13" s="93">
        <v>19.600000000000001</v>
      </c>
      <c r="KF13" s="93">
        <v>19.600000000000001</v>
      </c>
      <c r="LA13" s="93">
        <v>19.600000000000001</v>
      </c>
    </row>
    <row r="14" spans="1:336" x14ac:dyDescent="0.2">
      <c r="A14" s="50"/>
      <c r="B14" s="65" t="s">
        <v>48</v>
      </c>
      <c r="C14" s="49"/>
      <c r="AK14" s="59">
        <v>66.099999999999994</v>
      </c>
      <c r="BG14" s="59">
        <v>65</v>
      </c>
      <c r="CD14" s="59">
        <v>66.099999999999994</v>
      </c>
      <c r="CY14" s="59">
        <v>65</v>
      </c>
      <c r="DT14" s="59">
        <v>65</v>
      </c>
      <c r="EO14" s="59">
        <v>65</v>
      </c>
      <c r="FJ14" s="59">
        <v>65</v>
      </c>
      <c r="GE14" s="59">
        <v>65</v>
      </c>
      <c r="GZ14" s="59">
        <v>65</v>
      </c>
      <c r="HU14" s="59">
        <v>65</v>
      </c>
      <c r="IP14" s="59">
        <v>65</v>
      </c>
      <c r="JK14" s="59">
        <v>65</v>
      </c>
      <c r="KF14" s="59">
        <v>65</v>
      </c>
      <c r="LA14" s="59">
        <v>65</v>
      </c>
    </row>
    <row r="15" spans="1:336" hidden="1" x14ac:dyDescent="0.2">
      <c r="A15" s="50"/>
      <c r="B15" s="66" t="s">
        <v>49</v>
      </c>
      <c r="C15" s="49"/>
      <c r="AH15" s="50"/>
      <c r="AI15" s="50"/>
      <c r="AK15" s="60">
        <v>132</v>
      </c>
      <c r="BD15" s="50"/>
      <c r="BE15" s="50"/>
      <c r="BG15" s="60">
        <v>132</v>
      </c>
      <c r="CA15" s="50"/>
      <c r="CB15" s="50"/>
      <c r="CD15" s="60">
        <v>132</v>
      </c>
      <c r="CV15" s="50"/>
      <c r="CW15" s="50"/>
      <c r="CY15" s="60">
        <v>130</v>
      </c>
      <c r="DQ15" s="50"/>
      <c r="DR15" s="50"/>
      <c r="DT15" s="60">
        <v>130</v>
      </c>
      <c r="EL15" s="50"/>
      <c r="EM15" s="50"/>
      <c r="EO15" s="60">
        <v>130</v>
      </c>
      <c r="FG15" s="50"/>
      <c r="FH15" s="50"/>
      <c r="FJ15" s="60">
        <v>130</v>
      </c>
      <c r="GB15" s="50"/>
      <c r="GC15" s="50"/>
      <c r="GE15" s="60">
        <v>130</v>
      </c>
      <c r="GW15" s="50"/>
      <c r="GX15" s="50"/>
      <c r="GZ15" s="60">
        <v>130</v>
      </c>
      <c r="HR15" s="50"/>
      <c r="HS15" s="50"/>
      <c r="HU15" s="60">
        <v>130</v>
      </c>
      <c r="IM15" s="50"/>
      <c r="IN15" s="50"/>
      <c r="IP15" s="60">
        <v>130</v>
      </c>
      <c r="JH15" s="50"/>
      <c r="JI15" s="50"/>
      <c r="JK15" s="60">
        <v>130</v>
      </c>
      <c r="KC15" s="50"/>
      <c r="KD15" s="50"/>
      <c r="KF15" s="60">
        <v>130</v>
      </c>
      <c r="KX15" s="50"/>
      <c r="KY15" s="50"/>
      <c r="LA15" s="60">
        <v>130</v>
      </c>
    </row>
    <row r="16" spans="1:336" x14ac:dyDescent="0.2">
      <c r="A16" s="50"/>
      <c r="B16" s="67" t="s">
        <v>67</v>
      </c>
      <c r="C16" s="49"/>
      <c r="AH16" s="50"/>
      <c r="AI16" s="50"/>
      <c r="AK16" s="61">
        <v>132</v>
      </c>
      <c r="BD16" s="50"/>
      <c r="BE16" s="50"/>
      <c r="BG16" s="61">
        <v>130</v>
      </c>
      <c r="CA16" s="50"/>
      <c r="CB16" s="50"/>
      <c r="CD16" s="61">
        <v>132</v>
      </c>
      <c r="CV16" s="50"/>
      <c r="CW16" s="50"/>
      <c r="CY16" s="61">
        <v>130</v>
      </c>
      <c r="DQ16" s="50"/>
      <c r="DR16" s="50"/>
      <c r="DT16" s="61">
        <v>130</v>
      </c>
      <c r="EL16" s="50"/>
      <c r="EM16" s="50"/>
      <c r="EO16" s="61">
        <v>130</v>
      </c>
      <c r="FG16" s="50"/>
      <c r="FH16" s="50"/>
      <c r="FJ16" s="61">
        <v>130</v>
      </c>
      <c r="GB16" s="50"/>
      <c r="GC16" s="50"/>
      <c r="GE16" s="61">
        <v>130</v>
      </c>
      <c r="GW16" s="50"/>
      <c r="GX16" s="50"/>
      <c r="GZ16" s="61">
        <v>130</v>
      </c>
      <c r="HR16" s="50"/>
      <c r="HS16" s="50"/>
      <c r="HU16" s="61">
        <v>130</v>
      </c>
      <c r="IM16" s="50"/>
      <c r="IN16" s="50"/>
      <c r="IP16" s="61">
        <v>130</v>
      </c>
      <c r="JH16" s="50"/>
      <c r="JI16" s="50"/>
      <c r="JK16" s="61">
        <v>130</v>
      </c>
      <c r="KC16" s="50"/>
      <c r="KD16" s="50"/>
      <c r="KF16" s="61">
        <v>130</v>
      </c>
      <c r="KX16" s="50"/>
      <c r="KY16" s="50"/>
      <c r="LA16" s="61">
        <v>130</v>
      </c>
    </row>
    <row r="17" spans="1:313" hidden="1" x14ac:dyDescent="0.2">
      <c r="A17" s="50"/>
      <c r="B17" s="68" t="s">
        <v>35</v>
      </c>
      <c r="C17" s="49"/>
      <c r="AH17" s="50"/>
      <c r="AI17" s="50"/>
      <c r="AK17" s="62">
        <v>1000</v>
      </c>
      <c r="BD17" s="50"/>
      <c r="BE17" s="50"/>
      <c r="BG17" s="62">
        <v>1000</v>
      </c>
      <c r="CA17" s="50"/>
      <c r="CB17" s="50"/>
      <c r="CD17" s="62">
        <v>1000</v>
      </c>
      <c r="CV17" s="50"/>
      <c r="CW17" s="50"/>
      <c r="CY17" s="62">
        <v>1000</v>
      </c>
      <c r="DQ17" s="50"/>
      <c r="DR17" s="50"/>
      <c r="DT17" s="62">
        <v>1000</v>
      </c>
      <c r="EL17" s="50"/>
      <c r="EM17" s="50"/>
      <c r="EO17" s="62">
        <v>1000</v>
      </c>
      <c r="FG17" s="50"/>
      <c r="FH17" s="50"/>
      <c r="FJ17" s="62">
        <v>1000</v>
      </c>
      <c r="GB17" s="50"/>
      <c r="GC17" s="50"/>
      <c r="GE17" s="62">
        <v>1000</v>
      </c>
      <c r="GW17" s="50"/>
      <c r="GX17" s="50"/>
      <c r="GZ17" s="62">
        <v>1000</v>
      </c>
      <c r="HR17" s="50"/>
      <c r="HS17" s="50"/>
      <c r="HU17" s="62">
        <v>1000</v>
      </c>
      <c r="IM17" s="50"/>
      <c r="IN17" s="50"/>
      <c r="IP17" s="62">
        <v>1000</v>
      </c>
      <c r="JH17" s="50"/>
      <c r="JI17" s="50"/>
      <c r="JK17" s="62">
        <v>1000</v>
      </c>
      <c r="KC17" s="50"/>
      <c r="KD17" s="50"/>
      <c r="KF17" s="62">
        <v>1000</v>
      </c>
      <c r="KX17" s="50"/>
      <c r="KY17" s="50"/>
      <c r="LA17" s="62">
        <v>1000</v>
      </c>
    </row>
    <row r="18" spans="1:313" x14ac:dyDescent="0.2">
      <c r="B18" s="76" t="s">
        <v>55</v>
      </c>
      <c r="C18" s="3"/>
      <c r="AH18" s="50"/>
      <c r="AI18" s="50"/>
      <c r="AK18" t="s">
        <v>72</v>
      </c>
      <c r="BD18" s="50"/>
      <c r="BE18" s="50"/>
      <c r="CA18" s="50"/>
      <c r="CB18" s="50"/>
      <c r="CC18" s="7"/>
      <c r="CD18" t="s">
        <v>72</v>
      </c>
      <c r="CV18" s="50"/>
      <c r="CW18" s="50"/>
      <c r="DQ18" s="50"/>
      <c r="DR18" s="50"/>
      <c r="EL18" s="50"/>
      <c r="EM18" s="50"/>
      <c r="FG18" s="50"/>
      <c r="FH18" s="50"/>
      <c r="GB18" s="50"/>
      <c r="GC18" s="50"/>
      <c r="GW18" s="50"/>
      <c r="GX18" s="50"/>
      <c r="HR18" s="50"/>
      <c r="HS18" s="50"/>
      <c r="IM18" s="50"/>
      <c r="IN18" s="50"/>
      <c r="JH18" s="50"/>
      <c r="JI18" s="50"/>
      <c r="JJ18" s="7"/>
      <c r="KC18" s="50"/>
      <c r="KD18" s="50"/>
      <c r="KX18" s="50"/>
      <c r="KY18" s="50"/>
    </row>
    <row r="19" spans="1:313" x14ac:dyDescent="0.2">
      <c r="A19" s="50"/>
      <c r="B19" s="50"/>
      <c r="C19" s="49"/>
      <c r="AH19" s="50"/>
      <c r="AI19" s="50"/>
      <c r="BD19" s="50"/>
      <c r="BE19" s="50"/>
      <c r="CA19" s="50"/>
      <c r="CB19" s="50"/>
      <c r="CV19" s="50"/>
      <c r="CW19" s="50"/>
      <c r="DQ19" s="50"/>
      <c r="DR19" s="50"/>
      <c r="EL19" s="50"/>
      <c r="EM19" s="50"/>
      <c r="FG19" s="50"/>
      <c r="FH19" s="50"/>
      <c r="GB19" s="50"/>
      <c r="GC19" s="50"/>
      <c r="GW19" s="50"/>
      <c r="GX19" s="50"/>
      <c r="HR19" s="50"/>
      <c r="HS19" s="50"/>
      <c r="IM19" s="50"/>
      <c r="IN19" s="50"/>
      <c r="JH19" s="50"/>
      <c r="JI19" s="50"/>
      <c r="KC19" s="50"/>
      <c r="KD19" s="50"/>
      <c r="KX19" s="50"/>
      <c r="KY19" s="50"/>
    </row>
    <row r="20" spans="1:313" x14ac:dyDescent="0.2">
      <c r="A20" s="50"/>
      <c r="B20" s="50"/>
      <c r="C20" s="49"/>
      <c r="AH20" s="50"/>
      <c r="AI20" s="50"/>
      <c r="BD20" s="50"/>
      <c r="BE20" s="50"/>
      <c r="CA20" s="50"/>
      <c r="CB20" s="50"/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KC20" s="50"/>
      <c r="KD20" s="50"/>
      <c r="KX20" s="50"/>
      <c r="KY20" s="50"/>
    </row>
    <row r="21" spans="1:313" x14ac:dyDescent="0.2">
      <c r="A21" s="50"/>
      <c r="B21" s="50"/>
      <c r="C21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8">
      <sortCondition descending="1" ref="F1:F14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9:I1048576">
    <cfRule type="containsText" dxfId="23" priority="55" operator="containsText" text="No DD">
      <formula>NOT(ISERROR(SEARCH("No DD",I9)))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9">
    <cfRule type="expression" dxfId="20" priority="78">
      <formula>IF($BC4&lt;&gt;"",1,0)</formula>
    </cfRule>
  </conditionalFormatting>
  <conditionalFormatting sqref="Q4:AL9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IF(AND(CC1&gt;=CD$15,CC1&lt;CD$16),1,0)</formula>
    </cfRule>
    <cfRule type="expression" dxfId="12" priority="11389">
      <formula>IF(AND(CC1&gt;=CD$14,CC1&lt;CD$15),1,0)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IF(AND(CE1&gt;=CD$17,CE1&lt;1000),1,0)</formula>
    </cfRule>
    <cfRule type="expression" dxfId="10" priority="11461">
      <formula>IF(AND(CE1&gt;=CD$16,CE1&lt;CD$17),1,0)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IF(AND(CB1&gt;=CD$13,CB1&lt;1000),1,0)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IF(AND(CA1&gt;=CD$12,CA1&lt;1000),1,0)</formula>
    </cfRule>
    <cfRule type="expression" dxfId="7" priority="11569">
      <formula>IF(AND(CA1&gt;=CD$11,CA1&lt;CD$12),1,0)</formula>
    </cfRule>
  </conditionalFormatting>
  <conditionalFormatting sqref="AH1:AH1048576 BD1:BD1048576">
    <cfRule type="expression" dxfId="6" priority="13048">
      <formula>IF(AND(AH1&gt;=AK$12,AH1&lt;1000,AG1=""),1,0)</formula>
    </cfRule>
    <cfRule type="expression" dxfId="5" priority="13049">
      <formula>IF(AND(AH1&gt;=AK$11,AH1&lt;AK$12,AG1=""),1,0)</formula>
    </cfRule>
  </conditionalFormatting>
  <conditionalFormatting sqref="BF1:BF1048576 AJ1:AJ1048576">
    <cfRule type="expression" dxfId="4" priority="13056">
      <formula>IF(AND(AJ1&gt;=AK$15,AJ1&lt;AK$16,AG1=""),1,0)</formula>
    </cfRule>
    <cfRule type="expression" dxfId="3" priority="13057">
      <formula>IF(AND(AJ1&gt;=AK$14,AJ1&lt;AK$15,AG1=""),1,0)</formula>
    </cfRule>
  </conditionalFormatting>
  <conditionalFormatting sqref="BH1:BH1048576 AL1:AL1048576">
    <cfRule type="expression" dxfId="2" priority="13064">
      <formula>IF(AND(AL1&gt;=AK$17,AL1&lt;1000,AG1=""),1,0)</formula>
    </cfRule>
    <cfRule type="expression" dxfId="1" priority="13065">
      <formula>IF(AND(AL1&gt;=AK$16,AL1&lt;AK$17,AG1=""),1,0)</formula>
    </cfRule>
  </conditionalFormatting>
  <conditionalFormatting sqref="AI1:AI1048576 BE1:BE1048576">
    <cfRule type="expression" dxfId="0" priority="13072">
      <formula>IF(AND(AI1&gt;=AK$13,AI1&lt;1000,AG1=""),1,0)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2019-07-24T18:35:34Z</dcterms:modified>
</cp:coreProperties>
</file>