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eam Canada Information/Team Canada Ranking Lists/Junior/"/>
    </mc:Choice>
  </mc:AlternateContent>
  <xr:revisionPtr revIDLastSave="0" documentId="13_ncr:1_{BBC2CA70-E5E8-7648-934D-70D901AA6F7E}" xr6:coauthVersionLast="32" xr6:coauthVersionMax="32" xr10:uidLastSave="{00000000-0000-0000-0000-000000000000}"/>
  <bookViews>
    <workbookView xWindow="0" yWindow="440" windowWidth="33600" windowHeight="20560" tabRatio="500" xr2:uid="{00000000-000D-0000-FFFF-FFFF00000000}"/>
  </bookViews>
  <sheets>
    <sheet name="Info" sheetId="11" r:id="rId1"/>
    <sheet name="TRA-M" sheetId="4" r:id="rId2"/>
    <sheet name="TRA-W" sheetId="2" r:id="rId3"/>
    <sheet name="TUM-M" sheetId="7" r:id="rId4"/>
    <sheet name="TUM-W" sheetId="8" r:id="rId5"/>
    <sheet name="DMT-M" sheetId="6" r:id="rId6"/>
    <sheet name="DMT-W" sheetId="5" r:id="rId7"/>
  </sheets>
  <definedNames>
    <definedName name="_xlnm._FilterDatabase" localSheetId="5" hidden="1">'DMT-M'!$A$1:$RE$3</definedName>
    <definedName name="_xlnm._FilterDatabase" localSheetId="6" hidden="1">'DMT-W'!$A$1:$RE$6</definedName>
    <definedName name="_xlnm._FilterDatabase" localSheetId="1" hidden="1">'TRA-M'!$A$1:$LZ$3</definedName>
    <definedName name="_xlnm._FilterDatabase" localSheetId="2" hidden="1">'TRA-W'!$A$1:$LZ$3</definedName>
    <definedName name="_xlnm._FilterDatabase" localSheetId="3" hidden="1">'TUM-M'!$A$1:$ND$3</definedName>
    <definedName name="_xlnm._FilterDatabase" localSheetId="4" hidden="1">'TUM-W'!$A$1:$ND$3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T23" i="4" l="1"/>
  <c r="LV21" i="2" l="1"/>
  <c r="LA21" i="2"/>
  <c r="KF21" i="2"/>
  <c r="JK21" i="2"/>
  <c r="IP21" i="2"/>
  <c r="HU21" i="2"/>
  <c r="GZ21" i="2"/>
  <c r="GE21" i="2"/>
  <c r="FJ21" i="2"/>
  <c r="EO21" i="2"/>
  <c r="DT21" i="2"/>
  <c r="LV23" i="4"/>
  <c r="LA23" i="4"/>
  <c r="KF23" i="4"/>
  <c r="JK23" i="4"/>
  <c r="IP23" i="4"/>
  <c r="HU23" i="4"/>
  <c r="GZ23" i="4"/>
  <c r="GE23" i="4"/>
  <c r="FJ23" i="4"/>
  <c r="EO23" i="4"/>
  <c r="JJ5" i="4" l="1"/>
  <c r="NC6" i="7" l="1"/>
  <c r="NA6" i="7"/>
  <c r="MZ6" i="7"/>
  <c r="MY6" i="7"/>
  <c r="MX6" i="7"/>
  <c r="MF6" i="7"/>
  <c r="MD6" i="7"/>
  <c r="MC6" i="7"/>
  <c r="MB6" i="7"/>
  <c r="MA6" i="7"/>
  <c r="LI6" i="7"/>
  <c r="LG6" i="7"/>
  <c r="LF6" i="7"/>
  <c r="LE6" i="7"/>
  <c r="LD6" i="7"/>
  <c r="KL6" i="7"/>
  <c r="KJ6" i="7"/>
  <c r="KI6" i="7"/>
  <c r="KH6" i="7"/>
  <c r="KG6" i="7"/>
  <c r="JO6" i="7"/>
  <c r="JM6" i="7"/>
  <c r="JL6" i="7"/>
  <c r="JK6" i="7"/>
  <c r="JJ6" i="7"/>
  <c r="IR6" i="7"/>
  <c r="IP6" i="7"/>
  <c r="IO6" i="7"/>
  <c r="IN6" i="7"/>
  <c r="IM6" i="7"/>
  <c r="HU6" i="7"/>
  <c r="HS6" i="7"/>
  <c r="HR6" i="7"/>
  <c r="HQ6" i="7"/>
  <c r="HP6" i="7"/>
  <c r="GX6" i="7"/>
  <c r="GV6" i="7"/>
  <c r="GU6" i="7"/>
  <c r="GW6" i="7" s="1"/>
  <c r="GY6" i="7" s="1"/>
  <c r="GT6" i="7"/>
  <c r="GS6" i="7"/>
  <c r="GA6" i="7"/>
  <c r="FY6" i="7"/>
  <c r="FX6" i="7"/>
  <c r="FW6" i="7"/>
  <c r="FV6" i="7"/>
  <c r="FD6" i="7"/>
  <c r="FB6" i="7"/>
  <c r="FA6" i="7"/>
  <c r="EZ6" i="7"/>
  <c r="EY6" i="7"/>
  <c r="EG6" i="7"/>
  <c r="EE6" i="7"/>
  <c r="ED6" i="7"/>
  <c r="EC6" i="7"/>
  <c r="EB6" i="7"/>
  <c r="DJ6" i="7"/>
  <c r="DH6" i="7"/>
  <c r="DG6" i="7"/>
  <c r="DF6" i="7"/>
  <c r="DE6" i="7"/>
  <c r="CJ6" i="7"/>
  <c r="CH6" i="7"/>
  <c r="CG6" i="7"/>
  <c r="CF6" i="7"/>
  <c r="CE6" i="7"/>
  <c r="BM6" i="7"/>
  <c r="BK6" i="7"/>
  <c r="BJ6" i="7"/>
  <c r="BI6" i="7"/>
  <c r="BH6" i="7"/>
  <c r="AP6" i="7"/>
  <c r="AN6" i="7"/>
  <c r="AM6" i="7"/>
  <c r="AL6" i="7"/>
  <c r="AK6" i="7"/>
  <c r="NC7" i="7"/>
  <c r="NA7" i="7"/>
  <c r="MZ7" i="7"/>
  <c r="MY7" i="7"/>
  <c r="MX7" i="7"/>
  <c r="MF7" i="7"/>
  <c r="MD7" i="7"/>
  <c r="MC7" i="7"/>
  <c r="MB7" i="7"/>
  <c r="MA7" i="7"/>
  <c r="LI7" i="7"/>
  <c r="LG7" i="7"/>
  <c r="LF7" i="7"/>
  <c r="LE7" i="7"/>
  <c r="LD7" i="7"/>
  <c r="KL7" i="7"/>
  <c r="KJ7" i="7"/>
  <c r="KI7" i="7"/>
  <c r="KH7" i="7"/>
  <c r="KG7" i="7"/>
  <c r="JO7" i="7"/>
  <c r="JM7" i="7"/>
  <c r="JL7" i="7"/>
  <c r="JK7" i="7"/>
  <c r="JJ7" i="7"/>
  <c r="IR7" i="7"/>
  <c r="IP7" i="7"/>
  <c r="IO7" i="7"/>
  <c r="IN7" i="7"/>
  <c r="IM7" i="7"/>
  <c r="HU7" i="7"/>
  <c r="HS7" i="7"/>
  <c r="HR7" i="7"/>
  <c r="HT7" i="7" s="1"/>
  <c r="HV7" i="7" s="1"/>
  <c r="HQ7" i="7"/>
  <c r="HP7" i="7"/>
  <c r="GX7" i="7"/>
  <c r="GV7" i="7"/>
  <c r="GU7" i="7"/>
  <c r="GT7" i="7"/>
  <c r="GS7" i="7"/>
  <c r="GA7" i="7"/>
  <c r="FY7" i="7"/>
  <c r="FX7" i="7"/>
  <c r="FW7" i="7"/>
  <c r="FV7" i="7"/>
  <c r="FD7" i="7"/>
  <c r="FB7" i="7"/>
  <c r="FA7" i="7"/>
  <c r="FC7" i="7" s="1"/>
  <c r="EZ7" i="7"/>
  <c r="EY7" i="7"/>
  <c r="EG7" i="7"/>
  <c r="EE7" i="7"/>
  <c r="ED7" i="7"/>
  <c r="EF7" i="7" s="1"/>
  <c r="EC7" i="7"/>
  <c r="EB7" i="7"/>
  <c r="DJ7" i="7"/>
  <c r="DH7" i="7"/>
  <c r="DG7" i="7"/>
  <c r="DF7" i="7"/>
  <c r="DE7" i="7"/>
  <c r="CJ7" i="7"/>
  <c r="CH7" i="7"/>
  <c r="CG7" i="7"/>
  <c r="CF7" i="7"/>
  <c r="CE7" i="7"/>
  <c r="BM7" i="7"/>
  <c r="BK7" i="7"/>
  <c r="BJ7" i="7"/>
  <c r="BI7" i="7"/>
  <c r="BH7" i="7"/>
  <c r="AP7" i="7"/>
  <c r="AN7" i="7"/>
  <c r="AM7" i="7"/>
  <c r="AL7" i="7"/>
  <c r="AK7" i="7"/>
  <c r="NC4" i="8"/>
  <c r="NA4" i="8"/>
  <c r="MZ4" i="8"/>
  <c r="MY4" i="8"/>
  <c r="MX4" i="8"/>
  <c r="MF4" i="8"/>
  <c r="MD4" i="8"/>
  <c r="MC4" i="8"/>
  <c r="MB4" i="8"/>
  <c r="MA4" i="8"/>
  <c r="LI4" i="8"/>
  <c r="LG4" i="8"/>
  <c r="LF4" i="8"/>
  <c r="LE4" i="8"/>
  <c r="LD4" i="8"/>
  <c r="KL4" i="8"/>
  <c r="KJ4" i="8"/>
  <c r="KI4" i="8"/>
  <c r="KH4" i="8"/>
  <c r="KG4" i="8"/>
  <c r="JO4" i="8"/>
  <c r="JM4" i="8"/>
  <c r="JL4" i="8"/>
  <c r="JK4" i="8"/>
  <c r="JJ4" i="8"/>
  <c r="IR4" i="8"/>
  <c r="IP4" i="8"/>
  <c r="IO4" i="8"/>
  <c r="IN4" i="8"/>
  <c r="IM4" i="8"/>
  <c r="HU4" i="8"/>
  <c r="HS4" i="8"/>
  <c r="HR4" i="8"/>
  <c r="HT4" i="8" s="1"/>
  <c r="HV4" i="8" s="1"/>
  <c r="HQ4" i="8"/>
  <c r="HP4" i="8"/>
  <c r="GX4" i="8"/>
  <c r="GV4" i="8"/>
  <c r="GU4" i="8"/>
  <c r="GW4" i="8" s="1"/>
  <c r="GT4" i="8"/>
  <c r="GS4" i="8"/>
  <c r="GA4" i="8"/>
  <c r="FY4" i="8"/>
  <c r="FX4" i="8"/>
  <c r="FW4" i="8"/>
  <c r="FV4" i="8"/>
  <c r="FD4" i="8"/>
  <c r="FB4" i="8"/>
  <c r="FA4" i="8"/>
  <c r="FC4" i="8" s="1"/>
  <c r="FE4" i="8" s="1"/>
  <c r="EZ4" i="8"/>
  <c r="EY4" i="8"/>
  <c r="EG4" i="8"/>
  <c r="EE4" i="8"/>
  <c r="ED4" i="8"/>
  <c r="EC4" i="8"/>
  <c r="EB4" i="8"/>
  <c r="DJ4" i="8"/>
  <c r="DH4" i="8"/>
  <c r="DG4" i="8"/>
  <c r="DF4" i="8"/>
  <c r="DE4" i="8"/>
  <c r="CJ4" i="8"/>
  <c r="CH4" i="8"/>
  <c r="CG4" i="8"/>
  <c r="CF4" i="8"/>
  <c r="CE4" i="8"/>
  <c r="BM4" i="8"/>
  <c r="BK4" i="8"/>
  <c r="BJ4" i="8"/>
  <c r="BI4" i="8"/>
  <c r="BH4" i="8"/>
  <c r="AP4" i="8"/>
  <c r="AN4" i="8"/>
  <c r="AM4" i="8"/>
  <c r="AL4" i="8"/>
  <c r="AK4" i="8"/>
  <c r="NC8" i="8"/>
  <c r="NA8" i="8"/>
  <c r="MZ8" i="8"/>
  <c r="NB8" i="8" s="1"/>
  <c r="MY8" i="8"/>
  <c r="MX8" i="8"/>
  <c r="MF8" i="8"/>
  <c r="MD8" i="8"/>
  <c r="MC8" i="8"/>
  <c r="MB8" i="8"/>
  <c r="MA8" i="8"/>
  <c r="LI8" i="8"/>
  <c r="LG8" i="8"/>
  <c r="LF8" i="8"/>
  <c r="LH8" i="8" s="1"/>
  <c r="LJ8" i="8" s="1"/>
  <c r="LE8" i="8"/>
  <c r="LD8" i="8"/>
  <c r="KL8" i="8"/>
  <c r="KJ8" i="8"/>
  <c r="KI8" i="8"/>
  <c r="KH8" i="8"/>
  <c r="KG8" i="8"/>
  <c r="JO8" i="8"/>
  <c r="JM8" i="8"/>
  <c r="JL8" i="8"/>
  <c r="JK8" i="8"/>
  <c r="JJ8" i="8"/>
  <c r="IR8" i="8"/>
  <c r="IP8" i="8"/>
  <c r="IO8" i="8"/>
  <c r="IN8" i="8"/>
  <c r="IM8" i="8"/>
  <c r="HU8" i="8"/>
  <c r="HS8" i="8"/>
  <c r="HR8" i="8"/>
  <c r="HQ8" i="8"/>
  <c r="HP8" i="8"/>
  <c r="GX8" i="8"/>
  <c r="GV8" i="8"/>
  <c r="GU8" i="8"/>
  <c r="GW8" i="8" s="1"/>
  <c r="GT8" i="8"/>
  <c r="GS8" i="8"/>
  <c r="GA8" i="8"/>
  <c r="FY8" i="8"/>
  <c r="FX8" i="8"/>
  <c r="FZ8" i="8" s="1"/>
  <c r="FW8" i="8"/>
  <c r="FV8" i="8"/>
  <c r="FD8" i="8"/>
  <c r="FB8" i="8"/>
  <c r="FA8" i="8"/>
  <c r="EZ8" i="8"/>
  <c r="EY8" i="8"/>
  <c r="EG8" i="8"/>
  <c r="EE8" i="8"/>
  <c r="ED8" i="8"/>
  <c r="EC8" i="8"/>
  <c r="EB8" i="8"/>
  <c r="DJ8" i="8"/>
  <c r="DH8" i="8"/>
  <c r="DG8" i="8"/>
  <c r="DF8" i="8"/>
  <c r="DE8" i="8"/>
  <c r="CJ8" i="8"/>
  <c r="CH8" i="8"/>
  <c r="CG8" i="8"/>
  <c r="CF8" i="8"/>
  <c r="CE8" i="8"/>
  <c r="BM8" i="8"/>
  <c r="BK8" i="8"/>
  <c r="BJ8" i="8"/>
  <c r="BI8" i="8"/>
  <c r="BH8" i="8"/>
  <c r="AP8" i="8"/>
  <c r="AN8" i="8"/>
  <c r="AM8" i="8"/>
  <c r="AL8" i="8"/>
  <c r="AK8" i="8"/>
  <c r="DA7" i="6"/>
  <c r="ME7" i="7" l="1"/>
  <c r="FZ6" i="7"/>
  <c r="GB6" i="7" s="1"/>
  <c r="NB6" i="7"/>
  <c r="ND6" i="7" s="1"/>
  <c r="ME6" i="7"/>
  <c r="MG6" i="7" s="1"/>
  <c r="NB7" i="7"/>
  <c r="ND7" i="7" s="1"/>
  <c r="IQ6" i="7"/>
  <c r="IS6" i="7" s="1"/>
  <c r="ME4" i="8"/>
  <c r="MG4" i="8" s="1"/>
  <c r="BL8" i="8"/>
  <c r="BN8" i="8" s="1"/>
  <c r="IQ8" i="8"/>
  <c r="IS8" i="8" s="1"/>
  <c r="GB8" i="8"/>
  <c r="ND8" i="8"/>
  <c r="GY4" i="8"/>
  <c r="DI8" i="8"/>
  <c r="DK8" i="8" s="1"/>
  <c r="KK8" i="8"/>
  <c r="KM8" i="8" s="1"/>
  <c r="DI4" i="8"/>
  <c r="DK4" i="8" s="1"/>
  <c r="EF4" i="8"/>
  <c r="EH4" i="8" s="1"/>
  <c r="LH4" i="8"/>
  <c r="LJ4" i="8" s="1"/>
  <c r="AO8" i="8"/>
  <c r="AQ8" i="8" s="1"/>
  <c r="HT8" i="8"/>
  <c r="HV8" i="8" s="1"/>
  <c r="DI7" i="7"/>
  <c r="DK7" i="7" s="1"/>
  <c r="KK7" i="7"/>
  <c r="KM7" i="7" s="1"/>
  <c r="EF6" i="7"/>
  <c r="EH6" i="7" s="1"/>
  <c r="LH6" i="7"/>
  <c r="LJ6" i="7" s="1"/>
  <c r="FE7" i="7"/>
  <c r="MG7" i="7"/>
  <c r="DI6" i="7"/>
  <c r="DK6" i="7" s="1"/>
  <c r="KK6" i="7"/>
  <c r="KM6" i="7" s="1"/>
  <c r="KK4" i="8"/>
  <c r="KM4" i="8" s="1"/>
  <c r="FC8" i="8"/>
  <c r="FE8" i="8" s="1"/>
  <c r="ME8" i="8"/>
  <c r="MG8" i="8" s="1"/>
  <c r="IQ4" i="8"/>
  <c r="IS4" i="8" s="1"/>
  <c r="FZ4" i="8"/>
  <c r="GB4" i="8" s="1"/>
  <c r="GY8" i="8"/>
  <c r="JN8" i="8"/>
  <c r="JP8" i="8" s="1"/>
  <c r="JN4" i="8"/>
  <c r="JP4" i="8" s="1"/>
  <c r="EF8" i="8"/>
  <c r="EH8" i="8" s="1"/>
  <c r="NB4" i="8"/>
  <c r="ND4" i="8" s="1"/>
  <c r="GW7" i="7"/>
  <c r="GY7" i="7" s="1"/>
  <c r="HT6" i="7"/>
  <c r="HV6" i="7" s="1"/>
  <c r="JN7" i="7"/>
  <c r="JP7" i="7" s="1"/>
  <c r="JN6" i="7"/>
  <c r="JP6" i="7" s="1"/>
  <c r="IQ7" i="7"/>
  <c r="IS7" i="7" s="1"/>
  <c r="LH7" i="7"/>
  <c r="LJ7" i="7" s="1"/>
  <c r="AO7" i="7"/>
  <c r="AQ7" i="7" s="1"/>
  <c r="EH7" i="7"/>
  <c r="FZ7" i="7"/>
  <c r="GB7" i="7" s="1"/>
  <c r="FC6" i="7"/>
  <c r="FE6" i="7" s="1"/>
  <c r="AO6" i="7"/>
  <c r="AQ6" i="7" s="1"/>
  <c r="P6" i="7"/>
  <c r="CN6" i="7" s="1"/>
  <c r="BL6" i="7"/>
  <c r="BN6" i="7" s="1"/>
  <c r="F6" i="7"/>
  <c r="BL7" i="7"/>
  <c r="BN7" i="7" s="1"/>
  <c r="CI6" i="7"/>
  <c r="CK6" i="7" s="1"/>
  <c r="G7" i="7"/>
  <c r="CI7" i="7"/>
  <c r="CK7" i="7" s="1"/>
  <c r="G6" i="7"/>
  <c r="P7" i="7"/>
  <c r="Q7" i="7" s="1"/>
  <c r="F7" i="7"/>
  <c r="AO4" i="8"/>
  <c r="P4" i="8"/>
  <c r="CN4" i="8" s="1"/>
  <c r="BL4" i="8"/>
  <c r="BN4" i="8" s="1"/>
  <c r="G4" i="8"/>
  <c r="CI4" i="8"/>
  <c r="CK4" i="8" s="1"/>
  <c r="CI8" i="8"/>
  <c r="CK8" i="8" s="1"/>
  <c r="F4" i="8"/>
  <c r="G8" i="8"/>
  <c r="P8" i="8"/>
  <c r="CN8" i="8" s="1"/>
  <c r="F8" i="8"/>
  <c r="Q8" i="8" l="1"/>
  <c r="H4" i="8"/>
  <c r="H7" i="7"/>
  <c r="CN7" i="7"/>
  <c r="AQ4" i="8"/>
  <c r="J8" i="8"/>
  <c r="K8" i="8" s="1"/>
  <c r="J4" i="8"/>
  <c r="L4" i="8" s="1"/>
  <c r="I6" i="7"/>
  <c r="J6" i="7"/>
  <c r="L6" i="7" s="1"/>
  <c r="H6" i="7"/>
  <c r="Q6" i="7"/>
  <c r="A6" i="7"/>
  <c r="J7" i="7"/>
  <c r="K7" i="7" s="1"/>
  <c r="I7" i="7"/>
  <c r="Q4" i="8"/>
  <c r="H8" i="8"/>
  <c r="A8" i="8" s="1"/>
  <c r="I4" i="8"/>
  <c r="I8" i="8"/>
  <c r="L8" i="8" l="1"/>
  <c r="N4" i="8"/>
  <c r="O4" i="8" s="1"/>
  <c r="N8" i="8"/>
  <c r="CM8" i="8" s="1"/>
  <c r="N6" i="7"/>
  <c r="O6" i="7" s="1"/>
  <c r="K6" i="7"/>
  <c r="K4" i="8"/>
  <c r="N7" i="7"/>
  <c r="O7" i="7" s="1"/>
  <c r="L7" i="7"/>
  <c r="M7" i="7" s="1"/>
  <c r="M6" i="7"/>
  <c r="CL6" i="7"/>
  <c r="M4" i="8"/>
  <c r="CL4" i="8"/>
  <c r="M8" i="8"/>
  <c r="CL8" i="8"/>
  <c r="CM4" i="8" l="1"/>
  <c r="O8" i="8"/>
  <c r="CM6" i="7"/>
  <c r="CM7" i="7"/>
  <c r="CL7" i="7"/>
  <c r="R6" i="7"/>
  <c r="R4" i="8"/>
  <c r="S4" i="8" s="1"/>
  <c r="R8" i="8"/>
  <c r="R7" i="7" l="1"/>
  <c r="E7" i="7" s="1"/>
  <c r="S6" i="7"/>
  <c r="T6" i="7"/>
  <c r="E6" i="7"/>
  <c r="E4" i="8"/>
  <c r="T4" i="8"/>
  <c r="T8" i="8"/>
  <c r="S8" i="8"/>
  <c r="E8" i="8"/>
  <c r="S7" i="7" l="1"/>
  <c r="T7" i="7"/>
  <c r="LY8" i="2"/>
  <c r="LW8" i="2"/>
  <c r="LV8" i="2"/>
  <c r="LX8" i="2" s="1"/>
  <c r="LU8" i="2"/>
  <c r="LD8" i="2"/>
  <c r="LB8" i="2"/>
  <c r="LA8" i="2"/>
  <c r="KZ8" i="2"/>
  <c r="KI8" i="2"/>
  <c r="KG8" i="2"/>
  <c r="KF8" i="2"/>
  <c r="KE8" i="2"/>
  <c r="JN8" i="2"/>
  <c r="JL8" i="2"/>
  <c r="JK8" i="2"/>
  <c r="JJ8" i="2"/>
  <c r="IS8" i="2"/>
  <c r="IQ8" i="2"/>
  <c r="IP8" i="2"/>
  <c r="IR8" i="2" s="1"/>
  <c r="IO8" i="2"/>
  <c r="HX8" i="2"/>
  <c r="HV8" i="2"/>
  <c r="HU8" i="2"/>
  <c r="HT8" i="2"/>
  <c r="HC8" i="2"/>
  <c r="HA8" i="2"/>
  <c r="GZ8" i="2"/>
  <c r="GY8" i="2"/>
  <c r="GH8" i="2"/>
  <c r="GF8" i="2"/>
  <c r="GE8" i="2"/>
  <c r="GD8" i="2"/>
  <c r="FM8" i="2"/>
  <c r="FK8" i="2"/>
  <c r="FJ8" i="2"/>
  <c r="FL8" i="2" s="1"/>
  <c r="FI8" i="2"/>
  <c r="ER8" i="2"/>
  <c r="EP8" i="2"/>
  <c r="EO8" i="2"/>
  <c r="EN8" i="2"/>
  <c r="DW8" i="2"/>
  <c r="DU8" i="2"/>
  <c r="DT8" i="2"/>
  <c r="DS8" i="2"/>
  <c r="DB8" i="2"/>
  <c r="CZ8" i="2"/>
  <c r="CY8" i="2"/>
  <c r="CX8" i="2"/>
  <c r="CD8" i="2"/>
  <c r="CB8" i="2"/>
  <c r="CA8" i="2"/>
  <c r="CC8" i="2" s="1"/>
  <c r="BZ8" i="2"/>
  <c r="BI8" i="2"/>
  <c r="BG8" i="2"/>
  <c r="BF8" i="2"/>
  <c r="BE8" i="2"/>
  <c r="AN8" i="2"/>
  <c r="AL8" i="2"/>
  <c r="AK8" i="2"/>
  <c r="AM8" i="2" s="1"/>
  <c r="AJ8" i="2"/>
  <c r="LY11" i="2"/>
  <c r="LW11" i="2"/>
  <c r="LV11" i="2"/>
  <c r="LU11" i="2"/>
  <c r="LD11" i="2"/>
  <c r="LB11" i="2"/>
  <c r="LA11" i="2"/>
  <c r="LC11" i="2" s="1"/>
  <c r="KZ11" i="2"/>
  <c r="KI11" i="2"/>
  <c r="KG11" i="2"/>
  <c r="KF11" i="2"/>
  <c r="KE11" i="2"/>
  <c r="JN11" i="2"/>
  <c r="JL11" i="2"/>
  <c r="JK11" i="2"/>
  <c r="JM11" i="2" s="1"/>
  <c r="JJ11" i="2"/>
  <c r="IS11" i="2"/>
  <c r="IQ11" i="2"/>
  <c r="IP11" i="2"/>
  <c r="IO11" i="2"/>
  <c r="HX11" i="2"/>
  <c r="HV11" i="2"/>
  <c r="HU11" i="2"/>
  <c r="HW11" i="2" s="1"/>
  <c r="HT11" i="2"/>
  <c r="HC11" i="2"/>
  <c r="HA11" i="2"/>
  <c r="GZ11" i="2"/>
  <c r="GY11" i="2"/>
  <c r="GH11" i="2"/>
  <c r="GF11" i="2"/>
  <c r="GE11" i="2"/>
  <c r="GG11" i="2" s="1"/>
  <c r="GD11" i="2"/>
  <c r="FM11" i="2"/>
  <c r="FK11" i="2"/>
  <c r="FJ11" i="2"/>
  <c r="FI11" i="2"/>
  <c r="ER11" i="2"/>
  <c r="EP11" i="2"/>
  <c r="EO11" i="2"/>
  <c r="EQ11" i="2" s="1"/>
  <c r="EN11" i="2"/>
  <c r="DW11" i="2"/>
  <c r="DU11" i="2"/>
  <c r="DT11" i="2"/>
  <c r="DS11" i="2"/>
  <c r="DB11" i="2"/>
  <c r="CZ11" i="2"/>
  <c r="CY11" i="2"/>
  <c r="DA11" i="2" s="1"/>
  <c r="CX11" i="2"/>
  <c r="CD11" i="2"/>
  <c r="CB11" i="2"/>
  <c r="CA11" i="2"/>
  <c r="BZ11" i="2"/>
  <c r="BI11" i="2"/>
  <c r="BG11" i="2"/>
  <c r="BF11" i="2"/>
  <c r="BE11" i="2"/>
  <c r="AN11" i="2"/>
  <c r="AL11" i="2"/>
  <c r="AK11" i="2"/>
  <c r="AJ11" i="2"/>
  <c r="LY7" i="2"/>
  <c r="LW7" i="2"/>
  <c r="LV7" i="2"/>
  <c r="LX7" i="2" s="1"/>
  <c r="LU7" i="2"/>
  <c r="LD7" i="2"/>
  <c r="LB7" i="2"/>
  <c r="LA7" i="2"/>
  <c r="KZ7" i="2"/>
  <c r="KI7" i="2"/>
  <c r="KG7" i="2"/>
  <c r="KF7" i="2"/>
  <c r="KE7" i="2"/>
  <c r="JN7" i="2"/>
  <c r="JL7" i="2"/>
  <c r="JK7" i="2"/>
  <c r="JJ7" i="2"/>
  <c r="IS7" i="2"/>
  <c r="IQ7" i="2"/>
  <c r="IP7" i="2"/>
  <c r="IR7" i="2" s="1"/>
  <c r="IO7" i="2"/>
  <c r="HX7" i="2"/>
  <c r="HV7" i="2"/>
  <c r="HU7" i="2"/>
  <c r="HT7" i="2"/>
  <c r="HC7" i="2"/>
  <c r="HA7" i="2"/>
  <c r="GZ7" i="2"/>
  <c r="GY7" i="2"/>
  <c r="GH7" i="2"/>
  <c r="GF7" i="2"/>
  <c r="GE7" i="2"/>
  <c r="GD7" i="2"/>
  <c r="FM7" i="2"/>
  <c r="FK7" i="2"/>
  <c r="FJ7" i="2"/>
  <c r="FL7" i="2" s="1"/>
  <c r="FI7" i="2"/>
  <c r="ER7" i="2"/>
  <c r="EP7" i="2"/>
  <c r="EO7" i="2"/>
  <c r="EN7" i="2"/>
  <c r="DW7" i="2"/>
  <c r="DU7" i="2"/>
  <c r="DT7" i="2"/>
  <c r="DS7" i="2"/>
  <c r="DB7" i="2"/>
  <c r="CZ7" i="2"/>
  <c r="CY7" i="2"/>
  <c r="CX7" i="2"/>
  <c r="CD7" i="2"/>
  <c r="CB7" i="2"/>
  <c r="CA7" i="2"/>
  <c r="CC7" i="2" s="1"/>
  <c r="BZ7" i="2"/>
  <c r="BI7" i="2"/>
  <c r="BG7" i="2"/>
  <c r="BF7" i="2"/>
  <c r="BE7" i="2"/>
  <c r="AN7" i="2"/>
  <c r="AL7" i="2"/>
  <c r="AK7" i="2"/>
  <c r="AM7" i="2" s="1"/>
  <c r="AJ7" i="2"/>
  <c r="LY12" i="2"/>
  <c r="LW12" i="2"/>
  <c r="LV12" i="2"/>
  <c r="LU12" i="2"/>
  <c r="LD12" i="2"/>
  <c r="LB12" i="2"/>
  <c r="LA12" i="2"/>
  <c r="LC12" i="2" s="1"/>
  <c r="KZ12" i="2"/>
  <c r="KI12" i="2"/>
  <c r="KG12" i="2"/>
  <c r="KF12" i="2"/>
  <c r="KE12" i="2"/>
  <c r="JN12" i="2"/>
  <c r="JL12" i="2"/>
  <c r="JK12" i="2"/>
  <c r="JM12" i="2" s="1"/>
  <c r="JJ12" i="2"/>
  <c r="IS12" i="2"/>
  <c r="IQ12" i="2"/>
  <c r="IP12" i="2"/>
  <c r="IO12" i="2"/>
  <c r="HX12" i="2"/>
  <c r="HV12" i="2"/>
  <c r="HU12" i="2"/>
  <c r="HW12" i="2" s="1"/>
  <c r="HT12" i="2"/>
  <c r="HC12" i="2"/>
  <c r="HA12" i="2"/>
  <c r="GZ12" i="2"/>
  <c r="GY12" i="2"/>
  <c r="GH12" i="2"/>
  <c r="GF12" i="2"/>
  <c r="GE12" i="2"/>
  <c r="GG12" i="2" s="1"/>
  <c r="GD12" i="2"/>
  <c r="FM12" i="2"/>
  <c r="FK12" i="2"/>
  <c r="FJ12" i="2"/>
  <c r="FI12" i="2"/>
  <c r="ER12" i="2"/>
  <c r="EP12" i="2"/>
  <c r="EO12" i="2"/>
  <c r="EQ12" i="2" s="1"/>
  <c r="EN12" i="2"/>
  <c r="DW12" i="2"/>
  <c r="DU12" i="2"/>
  <c r="DT12" i="2"/>
  <c r="DS12" i="2"/>
  <c r="DB12" i="2"/>
  <c r="CZ12" i="2"/>
  <c r="CY12" i="2"/>
  <c r="DA12" i="2" s="1"/>
  <c r="CX12" i="2"/>
  <c r="CD12" i="2"/>
  <c r="CB12" i="2"/>
  <c r="CA12" i="2"/>
  <c r="BZ12" i="2"/>
  <c r="BI12" i="2"/>
  <c r="BG12" i="2"/>
  <c r="BF12" i="2"/>
  <c r="BE12" i="2"/>
  <c r="AN12" i="2"/>
  <c r="AL12" i="2"/>
  <c r="AK12" i="2"/>
  <c r="AJ12" i="2"/>
  <c r="LY13" i="2"/>
  <c r="LW13" i="2"/>
  <c r="LV13" i="2"/>
  <c r="LX13" i="2" s="1"/>
  <c r="LU13" i="2"/>
  <c r="LD13" i="2"/>
  <c r="LB13" i="2"/>
  <c r="LA13" i="2"/>
  <c r="KZ13" i="2"/>
  <c r="KI13" i="2"/>
  <c r="KG13" i="2"/>
  <c r="KF13" i="2"/>
  <c r="KE13" i="2"/>
  <c r="JN13" i="2"/>
  <c r="JL13" i="2"/>
  <c r="JK13" i="2"/>
  <c r="JJ13" i="2"/>
  <c r="IS13" i="2"/>
  <c r="IQ13" i="2"/>
  <c r="IP13" i="2"/>
  <c r="IR13" i="2" s="1"/>
  <c r="IO13" i="2"/>
  <c r="HX13" i="2"/>
  <c r="HV13" i="2"/>
  <c r="HU13" i="2"/>
  <c r="HT13" i="2"/>
  <c r="HC13" i="2"/>
  <c r="HA13" i="2"/>
  <c r="GZ13" i="2"/>
  <c r="GY13" i="2"/>
  <c r="GH13" i="2"/>
  <c r="GF13" i="2"/>
  <c r="GE13" i="2"/>
  <c r="GD13" i="2"/>
  <c r="FM13" i="2"/>
  <c r="FK13" i="2"/>
  <c r="FJ13" i="2"/>
  <c r="FL13" i="2" s="1"/>
  <c r="FI13" i="2"/>
  <c r="ER13" i="2"/>
  <c r="EP13" i="2"/>
  <c r="EO13" i="2"/>
  <c r="EN13" i="2"/>
  <c r="DW13" i="2"/>
  <c r="DU13" i="2"/>
  <c r="DT13" i="2"/>
  <c r="DS13" i="2"/>
  <c r="DB13" i="2"/>
  <c r="CZ13" i="2"/>
  <c r="CY13" i="2"/>
  <c r="CX13" i="2"/>
  <c r="CD13" i="2"/>
  <c r="CB13" i="2"/>
  <c r="CA13" i="2"/>
  <c r="BZ13" i="2"/>
  <c r="BI13" i="2"/>
  <c r="BG13" i="2"/>
  <c r="BF13" i="2"/>
  <c r="BE13" i="2"/>
  <c r="AN13" i="2"/>
  <c r="AL13" i="2"/>
  <c r="AK13" i="2"/>
  <c r="AM13" i="2" s="1"/>
  <c r="AJ13" i="2"/>
  <c r="LY14" i="2"/>
  <c r="LW14" i="2"/>
  <c r="LV14" i="2"/>
  <c r="LU14" i="2"/>
  <c r="LD14" i="2"/>
  <c r="LB14" i="2"/>
  <c r="LA14" i="2"/>
  <c r="LC14" i="2" s="1"/>
  <c r="KZ14" i="2"/>
  <c r="KI14" i="2"/>
  <c r="KG14" i="2"/>
  <c r="KF14" i="2"/>
  <c r="KE14" i="2"/>
  <c r="JN14" i="2"/>
  <c r="JL14" i="2"/>
  <c r="JK14" i="2"/>
  <c r="JM14" i="2" s="1"/>
  <c r="JJ14" i="2"/>
  <c r="IS14" i="2"/>
  <c r="IQ14" i="2"/>
  <c r="IP14" i="2"/>
  <c r="IO14" i="2"/>
  <c r="HX14" i="2"/>
  <c r="HV14" i="2"/>
  <c r="HU14" i="2"/>
  <c r="HW14" i="2" s="1"/>
  <c r="HT14" i="2"/>
  <c r="HC14" i="2"/>
  <c r="HA14" i="2"/>
  <c r="GZ14" i="2"/>
  <c r="GY14" i="2"/>
  <c r="GH14" i="2"/>
  <c r="GF14" i="2"/>
  <c r="GE14" i="2"/>
  <c r="GG14" i="2" s="1"/>
  <c r="GD14" i="2"/>
  <c r="FM14" i="2"/>
  <c r="FK14" i="2"/>
  <c r="FJ14" i="2"/>
  <c r="FI14" i="2"/>
  <c r="ER14" i="2"/>
  <c r="EP14" i="2"/>
  <c r="EO14" i="2"/>
  <c r="EN14" i="2"/>
  <c r="DW14" i="2"/>
  <c r="DU14" i="2"/>
  <c r="DT14" i="2"/>
  <c r="DS14" i="2"/>
  <c r="DB14" i="2"/>
  <c r="CZ14" i="2"/>
  <c r="CY14" i="2"/>
  <c r="DA14" i="2" s="1"/>
  <c r="CX14" i="2"/>
  <c r="CD14" i="2"/>
  <c r="CB14" i="2"/>
  <c r="CA14" i="2"/>
  <c r="BZ14" i="2"/>
  <c r="BI14" i="2"/>
  <c r="BG14" i="2"/>
  <c r="BF14" i="2"/>
  <c r="BE14" i="2"/>
  <c r="AN14" i="2"/>
  <c r="AL14" i="2"/>
  <c r="AK14" i="2"/>
  <c r="AJ14" i="2"/>
  <c r="LY5" i="2"/>
  <c r="LW5" i="2"/>
  <c r="LV5" i="2"/>
  <c r="LX5" i="2" s="1"/>
  <c r="LU5" i="2"/>
  <c r="LD5" i="2"/>
  <c r="LB5" i="2"/>
  <c r="LA5" i="2"/>
  <c r="KZ5" i="2"/>
  <c r="KI5" i="2"/>
  <c r="KG5" i="2"/>
  <c r="KF5" i="2"/>
  <c r="KE5" i="2"/>
  <c r="JN5" i="2"/>
  <c r="JL5" i="2"/>
  <c r="JK5" i="2"/>
  <c r="JJ5" i="2"/>
  <c r="IS5" i="2"/>
  <c r="IQ5" i="2"/>
  <c r="IP5" i="2"/>
  <c r="IR5" i="2" s="1"/>
  <c r="IO5" i="2"/>
  <c r="HX5" i="2"/>
  <c r="HV5" i="2"/>
  <c r="HU5" i="2"/>
  <c r="HT5" i="2"/>
  <c r="HC5" i="2"/>
  <c r="HA5" i="2"/>
  <c r="GZ5" i="2"/>
  <c r="GY5" i="2"/>
  <c r="GH5" i="2"/>
  <c r="GF5" i="2"/>
  <c r="GE5" i="2"/>
  <c r="GD5" i="2"/>
  <c r="FM5" i="2"/>
  <c r="FK5" i="2"/>
  <c r="FJ5" i="2"/>
  <c r="FL5" i="2" s="1"/>
  <c r="FI5" i="2"/>
  <c r="ER5" i="2"/>
  <c r="EP5" i="2"/>
  <c r="EO5" i="2"/>
  <c r="EN5" i="2"/>
  <c r="DW5" i="2"/>
  <c r="DU5" i="2"/>
  <c r="DT5" i="2"/>
  <c r="DS5" i="2"/>
  <c r="DB5" i="2"/>
  <c r="CZ5" i="2"/>
  <c r="CY5" i="2"/>
  <c r="CX5" i="2"/>
  <c r="CD5" i="2"/>
  <c r="CB5" i="2"/>
  <c r="CA5" i="2"/>
  <c r="BZ5" i="2"/>
  <c r="BI5" i="2"/>
  <c r="BG5" i="2"/>
  <c r="BF5" i="2"/>
  <c r="BE5" i="2"/>
  <c r="AN5" i="2"/>
  <c r="AL5" i="2"/>
  <c r="AK5" i="2"/>
  <c r="AJ5" i="2"/>
  <c r="LY6" i="2"/>
  <c r="LW6" i="2"/>
  <c r="LV6" i="2"/>
  <c r="LU6" i="2"/>
  <c r="LD6" i="2"/>
  <c r="LB6" i="2"/>
  <c r="LA6" i="2"/>
  <c r="LC6" i="2" s="1"/>
  <c r="KZ6" i="2"/>
  <c r="KI6" i="2"/>
  <c r="KG6" i="2"/>
  <c r="KF6" i="2"/>
  <c r="KE6" i="2"/>
  <c r="JN6" i="2"/>
  <c r="JL6" i="2"/>
  <c r="JK6" i="2"/>
  <c r="JM6" i="2" s="1"/>
  <c r="JJ6" i="2"/>
  <c r="IS6" i="2"/>
  <c r="IQ6" i="2"/>
  <c r="IP6" i="2"/>
  <c r="IO6" i="2"/>
  <c r="HX6" i="2"/>
  <c r="HV6" i="2"/>
  <c r="HU6" i="2"/>
  <c r="HW6" i="2" s="1"/>
  <c r="HT6" i="2"/>
  <c r="HC6" i="2"/>
  <c r="HA6" i="2"/>
  <c r="GZ6" i="2"/>
  <c r="GY6" i="2"/>
  <c r="GH6" i="2"/>
  <c r="GF6" i="2"/>
  <c r="GE6" i="2"/>
  <c r="GG6" i="2" s="1"/>
  <c r="GD6" i="2"/>
  <c r="FM6" i="2"/>
  <c r="FK6" i="2"/>
  <c r="FJ6" i="2"/>
  <c r="FI6" i="2"/>
  <c r="ER6" i="2"/>
  <c r="EP6" i="2"/>
  <c r="EO6" i="2"/>
  <c r="EQ6" i="2" s="1"/>
  <c r="EN6" i="2"/>
  <c r="DW6" i="2"/>
  <c r="DU6" i="2"/>
  <c r="DT6" i="2"/>
  <c r="DS6" i="2"/>
  <c r="DB6" i="2"/>
  <c r="CZ6" i="2"/>
  <c r="CY6" i="2"/>
  <c r="DA6" i="2" s="1"/>
  <c r="CX6" i="2"/>
  <c r="CD6" i="2"/>
  <c r="CB6" i="2"/>
  <c r="CA6" i="2"/>
  <c r="BZ6" i="2"/>
  <c r="BI6" i="2"/>
  <c r="BG6" i="2"/>
  <c r="BF6" i="2"/>
  <c r="BE6" i="2"/>
  <c r="AN6" i="2"/>
  <c r="AL6" i="2"/>
  <c r="AK6" i="2"/>
  <c r="AJ6" i="2"/>
  <c r="G6" i="2" l="1"/>
  <c r="G14" i="2"/>
  <c r="G12" i="2"/>
  <c r="G11" i="2"/>
  <c r="FL6" i="2"/>
  <c r="FN6" i="2" s="1"/>
  <c r="IR6" i="2"/>
  <c r="IT6" i="2" s="1"/>
  <c r="LX6" i="2"/>
  <c r="LZ6" i="2" s="1"/>
  <c r="DA5" i="2"/>
  <c r="DC5" i="2" s="1"/>
  <c r="EQ5" i="2"/>
  <c r="ES5" i="2" s="1"/>
  <c r="GG5" i="2"/>
  <c r="GI5" i="2" s="1"/>
  <c r="HW5" i="2"/>
  <c r="HY5" i="2" s="1"/>
  <c r="JM5" i="2"/>
  <c r="JO5" i="2" s="1"/>
  <c r="LC5" i="2"/>
  <c r="LE5" i="2" s="1"/>
  <c r="AM14" i="2"/>
  <c r="AO14" i="2" s="1"/>
  <c r="FL14" i="2"/>
  <c r="FN14" i="2" s="1"/>
  <c r="IR14" i="2"/>
  <c r="IT14" i="2" s="1"/>
  <c r="LX14" i="2"/>
  <c r="LZ14" i="2" s="1"/>
  <c r="DA13" i="2"/>
  <c r="DC13" i="2" s="1"/>
  <c r="EQ13" i="2"/>
  <c r="ES13" i="2" s="1"/>
  <c r="GG13" i="2"/>
  <c r="GI13" i="2" s="1"/>
  <c r="HW13" i="2"/>
  <c r="HY13" i="2" s="1"/>
  <c r="JM13" i="2"/>
  <c r="JO13" i="2" s="1"/>
  <c r="LC13" i="2"/>
  <c r="LE13" i="2" s="1"/>
  <c r="FL12" i="2"/>
  <c r="FN12" i="2" s="1"/>
  <c r="IR12" i="2"/>
  <c r="IT12" i="2" s="1"/>
  <c r="LX12" i="2"/>
  <c r="LZ12" i="2" s="1"/>
  <c r="DA7" i="2"/>
  <c r="DC7" i="2" s="1"/>
  <c r="EQ7" i="2"/>
  <c r="ES7" i="2" s="1"/>
  <c r="GG7" i="2"/>
  <c r="GI7" i="2" s="1"/>
  <c r="HW7" i="2"/>
  <c r="HY7" i="2" s="1"/>
  <c r="JM7" i="2"/>
  <c r="JO7" i="2" s="1"/>
  <c r="LC7" i="2"/>
  <c r="LE7" i="2" s="1"/>
  <c r="FL11" i="2"/>
  <c r="FN11" i="2" s="1"/>
  <c r="IR11" i="2"/>
  <c r="IT11" i="2" s="1"/>
  <c r="LX11" i="2"/>
  <c r="LZ11" i="2" s="1"/>
  <c r="DA8" i="2"/>
  <c r="DC8" i="2" s="1"/>
  <c r="EQ8" i="2"/>
  <c r="ES8" i="2" s="1"/>
  <c r="GG8" i="2"/>
  <c r="GI8" i="2" s="1"/>
  <c r="HW8" i="2"/>
  <c r="HY8" i="2" s="1"/>
  <c r="JM8" i="2"/>
  <c r="JO8" i="2" s="1"/>
  <c r="LC8" i="2"/>
  <c r="LE8" i="2" s="1"/>
  <c r="BH14" i="2"/>
  <c r="BJ14" i="2" s="1"/>
  <c r="BH8" i="2"/>
  <c r="BJ8" i="2" s="1"/>
  <c r="BH11" i="2"/>
  <c r="BJ11" i="2" s="1"/>
  <c r="BH7" i="2"/>
  <c r="BJ7" i="2" s="1"/>
  <c r="BH12" i="2"/>
  <c r="BJ12" i="2" s="1"/>
  <c r="BH13" i="2"/>
  <c r="BJ13" i="2" s="1"/>
  <c r="BH6" i="2"/>
  <c r="BH5" i="2"/>
  <c r="BJ5" i="2" s="1"/>
  <c r="AM12" i="2"/>
  <c r="AM11" i="2"/>
  <c r="AO11" i="2" s="1"/>
  <c r="AM6" i="2"/>
  <c r="AO6" i="2" s="1"/>
  <c r="AM5" i="2"/>
  <c r="CC14" i="2"/>
  <c r="CE14" i="2" s="1"/>
  <c r="CC13" i="2"/>
  <c r="CE13" i="2" s="1"/>
  <c r="CC12" i="2"/>
  <c r="CE12" i="2" s="1"/>
  <c r="CC11" i="2"/>
  <c r="CE11" i="2" s="1"/>
  <c r="CC6" i="2"/>
  <c r="CE6" i="2" s="1"/>
  <c r="CC5" i="2"/>
  <c r="CE5" i="2" s="1"/>
  <c r="P13" i="2"/>
  <c r="CH13" i="2" s="1"/>
  <c r="P8" i="2"/>
  <c r="CH8" i="2" s="1"/>
  <c r="P7" i="2"/>
  <c r="CH7" i="2" s="1"/>
  <c r="DC6" i="2"/>
  <c r="GI6" i="2"/>
  <c r="JO6" i="2"/>
  <c r="FN5" i="2"/>
  <c r="LZ5" i="2"/>
  <c r="DC14" i="2"/>
  <c r="GI14" i="2"/>
  <c r="JO14" i="2"/>
  <c r="IT13" i="2"/>
  <c r="LZ13" i="2"/>
  <c r="DC12" i="2"/>
  <c r="ES12" i="2"/>
  <c r="HY12" i="2"/>
  <c r="JO12" i="2"/>
  <c r="LE12" i="2"/>
  <c r="CE7" i="2"/>
  <c r="FN7" i="2"/>
  <c r="IT7" i="2"/>
  <c r="LZ7" i="2"/>
  <c r="DC11" i="2"/>
  <c r="ES11" i="2"/>
  <c r="GI11" i="2"/>
  <c r="HY11" i="2"/>
  <c r="JO11" i="2"/>
  <c r="LE11" i="2"/>
  <c r="CE8" i="2"/>
  <c r="FN8" i="2"/>
  <c r="IT8" i="2"/>
  <c r="LZ8" i="2"/>
  <c r="ES6" i="2"/>
  <c r="HY6" i="2"/>
  <c r="LE6" i="2"/>
  <c r="IT5" i="2"/>
  <c r="HY14" i="2"/>
  <c r="LE14" i="2"/>
  <c r="FN13" i="2"/>
  <c r="GI12" i="2"/>
  <c r="HB6" i="2"/>
  <c r="HD6" i="2" s="1"/>
  <c r="HB14" i="2"/>
  <c r="HD14" i="2" s="1"/>
  <c r="KH14" i="2"/>
  <c r="KJ14" i="2" s="1"/>
  <c r="DV12" i="2"/>
  <c r="DX12" i="2" s="1"/>
  <c r="HB12" i="2"/>
  <c r="HD12" i="2" s="1"/>
  <c r="KH12" i="2"/>
  <c r="KJ12" i="2" s="1"/>
  <c r="DV11" i="2"/>
  <c r="DX11" i="2" s="1"/>
  <c r="HB11" i="2"/>
  <c r="HD11" i="2" s="1"/>
  <c r="KH11" i="2"/>
  <c r="KJ11" i="2" s="1"/>
  <c r="KH6" i="2"/>
  <c r="KJ6" i="2" s="1"/>
  <c r="P14" i="2"/>
  <c r="CH14" i="2" s="1"/>
  <c r="DV14" i="2"/>
  <c r="DX14" i="2" s="1"/>
  <c r="G5" i="2"/>
  <c r="F13" i="2"/>
  <c r="G7" i="2"/>
  <c r="G8" i="2"/>
  <c r="DV6" i="2"/>
  <c r="DX6" i="2" s="1"/>
  <c r="DV5" i="2"/>
  <c r="DX5" i="2" s="1"/>
  <c r="HB5" i="2"/>
  <c r="HD5" i="2" s="1"/>
  <c r="KH5" i="2"/>
  <c r="KJ5" i="2" s="1"/>
  <c r="EQ14" i="2"/>
  <c r="ES14" i="2" s="1"/>
  <c r="DV13" i="2"/>
  <c r="DX13" i="2" s="1"/>
  <c r="HB13" i="2"/>
  <c r="HD13" i="2" s="1"/>
  <c r="KH13" i="2"/>
  <c r="KJ13" i="2" s="1"/>
  <c r="DV7" i="2"/>
  <c r="DX7" i="2" s="1"/>
  <c r="HB7" i="2"/>
  <c r="HD7" i="2" s="1"/>
  <c r="KH7" i="2"/>
  <c r="KJ7" i="2" s="1"/>
  <c r="DV8" i="2"/>
  <c r="DX8" i="2" s="1"/>
  <c r="HB8" i="2"/>
  <c r="HD8" i="2" s="1"/>
  <c r="KH8" i="2"/>
  <c r="KJ8" i="2" s="1"/>
  <c r="P6" i="2"/>
  <c r="CH6" i="2" s="1"/>
  <c r="P5" i="2"/>
  <c r="CH5" i="2" s="1"/>
  <c r="P12" i="2"/>
  <c r="Q12" i="2" s="1"/>
  <c r="P11" i="2"/>
  <c r="CH11" i="2" s="1"/>
  <c r="H8" i="2"/>
  <c r="J8" i="2"/>
  <c r="AO8" i="2"/>
  <c r="F8" i="2"/>
  <c r="F11" i="2"/>
  <c r="AO7" i="2"/>
  <c r="F7" i="2"/>
  <c r="AO12" i="2"/>
  <c r="F12" i="2"/>
  <c r="AO13" i="2"/>
  <c r="G13" i="2"/>
  <c r="F14" i="2"/>
  <c r="F5" i="2"/>
  <c r="F6" i="2"/>
  <c r="LY12" i="4"/>
  <c r="LW12" i="4"/>
  <c r="LV12" i="4"/>
  <c r="LU12" i="4"/>
  <c r="LD12" i="4"/>
  <c r="LB12" i="4"/>
  <c r="LA12" i="4"/>
  <c r="LC12" i="4" s="1"/>
  <c r="KZ12" i="4"/>
  <c r="KI12" i="4"/>
  <c r="KG12" i="4"/>
  <c r="KF12" i="4"/>
  <c r="KE12" i="4"/>
  <c r="JN12" i="4"/>
  <c r="JL12" i="4"/>
  <c r="JK12" i="4"/>
  <c r="JM12" i="4" s="1"/>
  <c r="JJ12" i="4"/>
  <c r="IS12" i="4"/>
  <c r="IQ12" i="4"/>
  <c r="IP12" i="4"/>
  <c r="IO12" i="4"/>
  <c r="HX12" i="4"/>
  <c r="HV12" i="4"/>
  <c r="HU12" i="4"/>
  <c r="HW12" i="4" s="1"/>
  <c r="HT12" i="4"/>
  <c r="HC12" i="4"/>
  <c r="HA12" i="4"/>
  <c r="GZ12" i="4"/>
  <c r="GY12" i="4"/>
  <c r="GH12" i="4"/>
  <c r="GF12" i="4"/>
  <c r="GE12" i="4"/>
  <c r="GG12" i="4" s="1"/>
  <c r="GD12" i="4"/>
  <c r="FM12" i="4"/>
  <c r="FK12" i="4"/>
  <c r="FJ12" i="4"/>
  <c r="FI12" i="4"/>
  <c r="ER12" i="4"/>
  <c r="EP12" i="4"/>
  <c r="EO12" i="4"/>
  <c r="EQ12" i="4" s="1"/>
  <c r="EN12" i="4"/>
  <c r="DW12" i="4"/>
  <c r="DU12" i="4"/>
  <c r="DT12" i="4"/>
  <c r="DS12" i="4"/>
  <c r="DB12" i="4"/>
  <c r="CZ12" i="4"/>
  <c r="CY12" i="4"/>
  <c r="CX12" i="4"/>
  <c r="CD12" i="4"/>
  <c r="CB12" i="4"/>
  <c r="CA12" i="4"/>
  <c r="BZ12" i="4"/>
  <c r="BI12" i="4"/>
  <c r="BG12" i="4"/>
  <c r="BF12" i="4"/>
  <c r="BE12" i="4"/>
  <c r="AN12" i="4"/>
  <c r="AL12" i="4"/>
  <c r="AK12" i="4"/>
  <c r="AJ12" i="4"/>
  <c r="LY13" i="4"/>
  <c r="LW13" i="4"/>
  <c r="LV13" i="4"/>
  <c r="LU13" i="4"/>
  <c r="LD13" i="4"/>
  <c r="LB13" i="4"/>
  <c r="LA13" i="4"/>
  <c r="KZ13" i="4"/>
  <c r="KI13" i="4"/>
  <c r="KG13" i="4"/>
  <c r="KF13" i="4"/>
  <c r="KE13" i="4"/>
  <c r="JN13" i="4"/>
  <c r="JL13" i="4"/>
  <c r="JK13" i="4"/>
  <c r="JJ13" i="4"/>
  <c r="IS13" i="4"/>
  <c r="IQ13" i="4"/>
  <c r="IP13" i="4"/>
  <c r="IO13" i="4"/>
  <c r="HX13" i="4"/>
  <c r="HV13" i="4"/>
  <c r="HU13" i="4"/>
  <c r="HT13" i="4"/>
  <c r="HC13" i="4"/>
  <c r="HA13" i="4"/>
  <c r="GZ13" i="4"/>
  <c r="GY13" i="4"/>
  <c r="GH13" i="4"/>
  <c r="GF13" i="4"/>
  <c r="GE13" i="4"/>
  <c r="GD13" i="4"/>
  <c r="FM13" i="4"/>
  <c r="FK13" i="4"/>
  <c r="FJ13" i="4"/>
  <c r="FI13" i="4"/>
  <c r="ER13" i="4"/>
  <c r="EP13" i="4"/>
  <c r="EO13" i="4"/>
  <c r="EN13" i="4"/>
  <c r="DW13" i="4"/>
  <c r="DU13" i="4"/>
  <c r="DT13" i="4"/>
  <c r="DS13" i="4"/>
  <c r="DB13" i="4"/>
  <c r="CZ13" i="4"/>
  <c r="CY13" i="4"/>
  <c r="CX13" i="4"/>
  <c r="CD13" i="4"/>
  <c r="CB13" i="4"/>
  <c r="CA13" i="4"/>
  <c r="BZ13" i="4"/>
  <c r="BI13" i="4"/>
  <c r="BG13" i="4"/>
  <c r="BF13" i="4"/>
  <c r="BE13" i="4"/>
  <c r="AN13" i="4"/>
  <c r="AL13" i="4"/>
  <c r="AK13" i="4"/>
  <c r="AJ13" i="4"/>
  <c r="LY14" i="4"/>
  <c r="LW14" i="4"/>
  <c r="LV14" i="4"/>
  <c r="LU14" i="4"/>
  <c r="LD14" i="4"/>
  <c r="LB14" i="4"/>
  <c r="LA14" i="4"/>
  <c r="KZ14" i="4"/>
  <c r="KI14" i="4"/>
  <c r="KG14" i="4"/>
  <c r="KF14" i="4"/>
  <c r="KE14" i="4"/>
  <c r="JN14" i="4"/>
  <c r="JL14" i="4"/>
  <c r="JK14" i="4"/>
  <c r="JJ14" i="4"/>
  <c r="IS14" i="4"/>
  <c r="IQ14" i="4"/>
  <c r="IP14" i="4"/>
  <c r="IO14" i="4"/>
  <c r="HX14" i="4"/>
  <c r="HV14" i="4"/>
  <c r="HU14" i="4"/>
  <c r="HT14" i="4"/>
  <c r="HC14" i="4"/>
  <c r="HA14" i="4"/>
  <c r="GZ14" i="4"/>
  <c r="GY14" i="4"/>
  <c r="GH14" i="4"/>
  <c r="GF14" i="4"/>
  <c r="GE14" i="4"/>
  <c r="GD14" i="4"/>
  <c r="FM14" i="4"/>
  <c r="FK14" i="4"/>
  <c r="FJ14" i="4"/>
  <c r="FI14" i="4"/>
  <c r="ER14" i="4"/>
  <c r="EP14" i="4"/>
  <c r="EO14" i="4"/>
  <c r="EN14" i="4"/>
  <c r="DW14" i="4"/>
  <c r="DU14" i="4"/>
  <c r="DT14" i="4"/>
  <c r="DS14" i="4"/>
  <c r="DB14" i="4"/>
  <c r="CZ14" i="4"/>
  <c r="CY14" i="4"/>
  <c r="CX14" i="4"/>
  <c r="CD14" i="4"/>
  <c r="CB14" i="4"/>
  <c r="CA14" i="4"/>
  <c r="BZ14" i="4"/>
  <c r="BI14" i="4"/>
  <c r="BG14" i="4"/>
  <c r="BF14" i="4"/>
  <c r="BH14" i="4" s="1"/>
  <c r="BE14" i="4"/>
  <c r="AN14" i="4"/>
  <c r="AL14" i="4"/>
  <c r="AK14" i="4"/>
  <c r="AJ14" i="4"/>
  <c r="EQ14" i="4" l="1"/>
  <c r="GG14" i="4"/>
  <c r="HW14" i="4"/>
  <c r="LC14" i="4"/>
  <c r="LE14" i="4" s="1"/>
  <c r="AM13" i="4"/>
  <c r="AO13" i="4" s="1"/>
  <c r="CC13" i="4"/>
  <c r="CE13" i="4" s="1"/>
  <c r="FL13" i="4"/>
  <c r="FN13" i="4" s="1"/>
  <c r="LX13" i="4"/>
  <c r="LZ13" i="4" s="1"/>
  <c r="BH12" i="4"/>
  <c r="J6" i="2"/>
  <c r="K6" i="2" s="1"/>
  <c r="AM14" i="4"/>
  <c r="AO14" i="4" s="1"/>
  <c r="CC14" i="4"/>
  <c r="CE14" i="4" s="1"/>
  <c r="FL14" i="4"/>
  <c r="FN14" i="4" s="1"/>
  <c r="IR14" i="4"/>
  <c r="IT14" i="4" s="1"/>
  <c r="IR13" i="4"/>
  <c r="IT13" i="4" s="1"/>
  <c r="AM12" i="4"/>
  <c r="AO12" i="4" s="1"/>
  <c r="JM14" i="4"/>
  <c r="JO14" i="4" s="1"/>
  <c r="LX14" i="4"/>
  <c r="LZ14" i="4" s="1"/>
  <c r="BH13" i="4"/>
  <c r="DA13" i="4"/>
  <c r="DC13" i="4" s="1"/>
  <c r="EQ13" i="4"/>
  <c r="ES13" i="4" s="1"/>
  <c r="GG13" i="4"/>
  <c r="GI13" i="4" s="1"/>
  <c r="HW13" i="4"/>
  <c r="HY13" i="4" s="1"/>
  <c r="JM13" i="4"/>
  <c r="JO13" i="4" s="1"/>
  <c r="LC13" i="4"/>
  <c r="LE13" i="4" s="1"/>
  <c r="P14" i="4"/>
  <c r="Q14" i="4" s="1"/>
  <c r="BJ13" i="4"/>
  <c r="J14" i="2"/>
  <c r="K14" i="2" s="1"/>
  <c r="Q14" i="2"/>
  <c r="H5" i="2"/>
  <c r="H14" i="2"/>
  <c r="A14" i="2" s="1"/>
  <c r="H6" i="2"/>
  <c r="AO5" i="2"/>
  <c r="BJ6" i="2"/>
  <c r="J12" i="2"/>
  <c r="L12" i="2" s="1"/>
  <c r="H12" i="2"/>
  <c r="A12" i="2" s="1"/>
  <c r="H11" i="2"/>
  <c r="A11" i="2" s="1"/>
  <c r="J5" i="2"/>
  <c r="L5" i="2" s="1"/>
  <c r="H7" i="2"/>
  <c r="A7" i="2" s="1"/>
  <c r="J11" i="2"/>
  <c r="N11" i="2" s="1"/>
  <c r="J13" i="2"/>
  <c r="N13" i="2" s="1"/>
  <c r="H13" i="2"/>
  <c r="J7" i="2"/>
  <c r="N7" i="2" s="1"/>
  <c r="Q8" i="2"/>
  <c r="Q13" i="2"/>
  <c r="Q7" i="2"/>
  <c r="Q6" i="2"/>
  <c r="Q11" i="2"/>
  <c r="CH12" i="2"/>
  <c r="Q5" i="2"/>
  <c r="L8" i="2"/>
  <c r="N8" i="2"/>
  <c r="K8" i="2"/>
  <c r="L14" i="2"/>
  <c r="N14" i="2"/>
  <c r="L6" i="2"/>
  <c r="G12" i="4"/>
  <c r="CC12" i="4"/>
  <c r="CE12" i="4" s="1"/>
  <c r="FL12" i="4"/>
  <c r="FN12" i="4" s="1"/>
  <c r="IR12" i="4"/>
  <c r="IT12" i="4" s="1"/>
  <c r="LX12" i="4"/>
  <c r="LZ12" i="4" s="1"/>
  <c r="HB14" i="4"/>
  <c r="HD14" i="4" s="1"/>
  <c r="HB12" i="4"/>
  <c r="HD12" i="4" s="1"/>
  <c r="DV14" i="4"/>
  <c r="DX14" i="4" s="1"/>
  <c r="DV12" i="4"/>
  <c r="DX12" i="4" s="1"/>
  <c r="KH14" i="4"/>
  <c r="KJ14" i="4" s="1"/>
  <c r="GI14" i="4"/>
  <c r="LE12" i="4"/>
  <c r="KH12" i="4"/>
  <c r="KJ12" i="4" s="1"/>
  <c r="ES14" i="4"/>
  <c r="HY14" i="4"/>
  <c r="ES12" i="4"/>
  <c r="GI12" i="4"/>
  <c r="HY12" i="4"/>
  <c r="JO12" i="4"/>
  <c r="DV13" i="4"/>
  <c r="DX13" i="4" s="1"/>
  <c r="HB13" i="4"/>
  <c r="HD13" i="4" s="1"/>
  <c r="KH13" i="4"/>
  <c r="KJ13" i="4" s="1"/>
  <c r="DA14" i="4"/>
  <c r="DC14" i="4" s="1"/>
  <c r="DA12" i="4"/>
  <c r="DC12" i="4" s="1"/>
  <c r="G14" i="4"/>
  <c r="BJ14" i="4"/>
  <c r="F13" i="4"/>
  <c r="BJ12" i="4"/>
  <c r="P12" i="4"/>
  <c r="CH12" i="4" s="1"/>
  <c r="P13" i="4"/>
  <c r="CH13" i="4" s="1"/>
  <c r="F12" i="4"/>
  <c r="G13" i="4"/>
  <c r="F14" i="4"/>
  <c r="H14" i="4" l="1"/>
  <c r="N6" i="2"/>
  <c r="H13" i="4"/>
  <c r="J14" i="4"/>
  <c r="CH14" i="4"/>
  <c r="A13" i="4"/>
  <c r="J13" i="4"/>
  <c r="N13" i="4" s="1"/>
  <c r="H12" i="4"/>
  <c r="A12" i="4" s="1"/>
  <c r="N12" i="2"/>
  <c r="CG12" i="2" s="1"/>
  <c r="K12" i="2"/>
  <c r="N5" i="2"/>
  <c r="CG5" i="2" s="1"/>
  <c r="L7" i="2"/>
  <c r="CF7" i="2" s="1"/>
  <c r="K7" i="2"/>
  <c r="K11" i="2"/>
  <c r="L11" i="2"/>
  <c r="M11" i="2" s="1"/>
  <c r="L13" i="2"/>
  <c r="M13" i="2" s="1"/>
  <c r="K13" i="2"/>
  <c r="K5" i="2"/>
  <c r="J12" i="4"/>
  <c r="L12" i="4" s="1"/>
  <c r="CG8" i="2"/>
  <c r="O8" i="2"/>
  <c r="CF8" i="2"/>
  <c r="M8" i="2"/>
  <c r="CG11" i="2"/>
  <c r="O11" i="2"/>
  <c r="CG7" i="2"/>
  <c r="O7" i="2"/>
  <c r="CF12" i="2"/>
  <c r="M12" i="2"/>
  <c r="CG13" i="2"/>
  <c r="O13" i="2"/>
  <c r="CG14" i="2"/>
  <c r="O14" i="2"/>
  <c r="CF14" i="2"/>
  <c r="M14" i="2"/>
  <c r="CF5" i="2"/>
  <c r="M5" i="2"/>
  <c r="O6" i="2"/>
  <c r="CG6" i="2"/>
  <c r="CF6" i="2"/>
  <c r="M6" i="2"/>
  <c r="Q13" i="4"/>
  <c r="Q12" i="4"/>
  <c r="A14" i="4"/>
  <c r="L14" i="4"/>
  <c r="N14" i="4"/>
  <c r="K14" i="4"/>
  <c r="R14" i="2" l="1"/>
  <c r="L13" i="4"/>
  <c r="K13" i="4"/>
  <c r="O12" i="2"/>
  <c r="O5" i="2"/>
  <c r="M7" i="2"/>
  <c r="CF11" i="2"/>
  <c r="R11" i="2" s="1"/>
  <c r="N12" i="4"/>
  <c r="O12" i="4" s="1"/>
  <c r="K12" i="4"/>
  <c r="CF13" i="2"/>
  <c r="R13" i="2" s="1"/>
  <c r="R6" i="2"/>
  <c r="S6" i="2" s="1"/>
  <c r="E14" i="2"/>
  <c r="R8" i="2"/>
  <c r="R7" i="2"/>
  <c r="R12" i="2"/>
  <c r="S14" i="2"/>
  <c r="T14" i="2"/>
  <c r="R5" i="2"/>
  <c r="CF12" i="4"/>
  <c r="M12" i="4"/>
  <c r="CF13" i="4"/>
  <c r="M13" i="4"/>
  <c r="CG13" i="4"/>
  <c r="O13" i="4"/>
  <c r="CG14" i="4"/>
  <c r="O14" i="4"/>
  <c r="CF14" i="4"/>
  <c r="M14" i="4"/>
  <c r="CG12" i="4" l="1"/>
  <c r="E6" i="2"/>
  <c r="R12" i="4"/>
  <c r="S12" i="4" s="1"/>
  <c r="T6" i="2"/>
  <c r="R14" i="4"/>
  <c r="T14" i="4" s="1"/>
  <c r="E12" i="4"/>
  <c r="S8" i="2"/>
  <c r="T8" i="2"/>
  <c r="E8" i="2"/>
  <c r="S11" i="2"/>
  <c r="T11" i="2"/>
  <c r="E11" i="2"/>
  <c r="T7" i="2"/>
  <c r="S7" i="2"/>
  <c r="E7" i="2"/>
  <c r="T12" i="2"/>
  <c r="S12" i="2"/>
  <c r="E12" i="2"/>
  <c r="S13" i="2"/>
  <c r="T13" i="2"/>
  <c r="E13" i="2"/>
  <c r="S5" i="2"/>
  <c r="T5" i="2"/>
  <c r="E5" i="2"/>
  <c r="R13" i="4"/>
  <c r="T12" i="4" l="1"/>
  <c r="S14" i="4"/>
  <c r="E14" i="4"/>
  <c r="T13" i="4"/>
  <c r="S13" i="4"/>
  <c r="E13" i="4"/>
  <c r="CY23" i="4" l="1"/>
  <c r="CA23" i="4"/>
  <c r="BF23" i="4"/>
  <c r="AK23" i="4"/>
  <c r="CY21" i="2"/>
  <c r="CA21" i="2"/>
  <c r="BF21" i="2"/>
  <c r="AK21" i="2"/>
  <c r="I13" i="4" l="1"/>
  <c r="I12" i="4"/>
  <c r="I14" i="4"/>
  <c r="I13" i="2"/>
  <c r="I12" i="2"/>
  <c r="I14" i="2"/>
  <c r="I11" i="2"/>
  <c r="I8" i="2"/>
  <c r="I6" i="2"/>
  <c r="I7" i="2"/>
  <c r="I5" i="2"/>
  <c r="LU9" i="2"/>
  <c r="LU10" i="2"/>
  <c r="LU4" i="2"/>
  <c r="LU15" i="2"/>
  <c r="KE9" i="2"/>
  <c r="KE10" i="2"/>
  <c r="KE4" i="2"/>
  <c r="KE15" i="2"/>
  <c r="IO9" i="2"/>
  <c r="IO10" i="2"/>
  <c r="IO4" i="2"/>
  <c r="IO15" i="2"/>
  <c r="GY9" i="2"/>
  <c r="GY10" i="2"/>
  <c r="GY4" i="2"/>
  <c r="GY15" i="2"/>
  <c r="FI9" i="2"/>
  <c r="FI10" i="2"/>
  <c r="FI4" i="2"/>
  <c r="FI15" i="2"/>
  <c r="DS9" i="2"/>
  <c r="DS10" i="2"/>
  <c r="DS4" i="2"/>
  <c r="DS15" i="2"/>
  <c r="BE9" i="2"/>
  <c r="BE10" i="2"/>
  <c r="BE4" i="2"/>
  <c r="BE15" i="2"/>
  <c r="KZ9" i="2"/>
  <c r="KZ10" i="2"/>
  <c r="KZ4" i="2"/>
  <c r="KZ15" i="2"/>
  <c r="JJ9" i="2"/>
  <c r="JJ10" i="2"/>
  <c r="JJ4" i="2"/>
  <c r="JJ15" i="2"/>
  <c r="HT9" i="2"/>
  <c r="HT10" i="2"/>
  <c r="HT4" i="2"/>
  <c r="HT15" i="2"/>
  <c r="GD9" i="2"/>
  <c r="GD10" i="2"/>
  <c r="GD4" i="2"/>
  <c r="GD15" i="2"/>
  <c r="EN9" i="2"/>
  <c r="EN10" i="2"/>
  <c r="EN4" i="2"/>
  <c r="EN15" i="2"/>
  <c r="CX9" i="2"/>
  <c r="CX10" i="2"/>
  <c r="CX4" i="2"/>
  <c r="CX15" i="2"/>
  <c r="BZ9" i="2"/>
  <c r="BZ10" i="2"/>
  <c r="BZ4" i="2"/>
  <c r="BZ15" i="2"/>
  <c r="AJ9" i="2"/>
  <c r="AJ10" i="2"/>
  <c r="AJ4" i="2"/>
  <c r="AJ15" i="2"/>
  <c r="LU10" i="4"/>
  <c r="LU5" i="4"/>
  <c r="LU11" i="4"/>
  <c r="LU15" i="4"/>
  <c r="LU6" i="4"/>
  <c r="LU7" i="4"/>
  <c r="LU16" i="4"/>
  <c r="LU17" i="4"/>
  <c r="LU8" i="4"/>
  <c r="LU9" i="4"/>
  <c r="LU4" i="4"/>
  <c r="KZ10" i="4"/>
  <c r="KZ5" i="4"/>
  <c r="KZ11" i="4"/>
  <c r="KZ15" i="4"/>
  <c r="KZ6" i="4"/>
  <c r="KZ7" i="4"/>
  <c r="KZ16" i="4"/>
  <c r="KZ17" i="4"/>
  <c r="KZ8" i="4"/>
  <c r="KZ9" i="4"/>
  <c r="KZ4" i="4"/>
  <c r="KE10" i="4"/>
  <c r="KE5" i="4"/>
  <c r="KE11" i="4"/>
  <c r="KE15" i="4"/>
  <c r="KE6" i="4"/>
  <c r="KE7" i="4"/>
  <c r="KE16" i="4"/>
  <c r="KE17" i="4"/>
  <c r="KE8" i="4"/>
  <c r="KE9" i="4"/>
  <c r="KE4" i="4"/>
  <c r="JJ10" i="4"/>
  <c r="JJ11" i="4"/>
  <c r="JJ15" i="4"/>
  <c r="JJ6" i="4"/>
  <c r="JJ7" i="4"/>
  <c r="JJ16" i="4"/>
  <c r="JJ17" i="4"/>
  <c r="JJ8" i="4"/>
  <c r="JJ9" i="4"/>
  <c r="JJ4" i="4"/>
  <c r="IO10" i="4"/>
  <c r="IO5" i="4"/>
  <c r="IO11" i="4"/>
  <c r="IO15" i="4"/>
  <c r="IO6" i="4"/>
  <c r="IO7" i="4"/>
  <c r="IO16" i="4"/>
  <c r="IO17" i="4"/>
  <c r="IO8" i="4"/>
  <c r="IO9" i="4"/>
  <c r="IO4" i="4"/>
  <c r="HT10" i="4"/>
  <c r="HT5" i="4"/>
  <c r="HT11" i="4"/>
  <c r="HT15" i="4"/>
  <c r="HT6" i="4"/>
  <c r="HT7" i="4"/>
  <c r="HT16" i="4"/>
  <c r="HT17" i="4"/>
  <c r="HT8" i="4"/>
  <c r="HT9" i="4"/>
  <c r="HT4" i="4"/>
  <c r="GY10" i="4"/>
  <c r="GY5" i="4"/>
  <c r="GY11" i="4"/>
  <c r="GY15" i="4"/>
  <c r="GY6" i="4"/>
  <c r="GY7" i="4"/>
  <c r="GY16" i="4"/>
  <c r="GY17" i="4"/>
  <c r="GY8" i="4"/>
  <c r="GY9" i="4"/>
  <c r="GY4" i="4"/>
  <c r="GD10" i="4"/>
  <c r="GD5" i="4"/>
  <c r="GD11" i="4"/>
  <c r="GD15" i="4"/>
  <c r="GD6" i="4"/>
  <c r="GD7" i="4"/>
  <c r="GD16" i="4"/>
  <c r="GD17" i="4"/>
  <c r="GD8" i="4"/>
  <c r="GD9" i="4"/>
  <c r="GD4" i="4"/>
  <c r="FI10" i="4"/>
  <c r="FI5" i="4"/>
  <c r="FI11" i="4"/>
  <c r="FI15" i="4"/>
  <c r="FI6" i="4"/>
  <c r="FI7" i="4"/>
  <c r="FI16" i="4"/>
  <c r="FI17" i="4"/>
  <c r="FI8" i="4"/>
  <c r="FI9" i="4"/>
  <c r="FI4" i="4"/>
  <c r="EN10" i="4"/>
  <c r="EN5" i="4"/>
  <c r="EN11" i="4"/>
  <c r="EN15" i="4"/>
  <c r="EN6" i="4"/>
  <c r="EN7" i="4"/>
  <c r="EN16" i="4"/>
  <c r="EN17" i="4"/>
  <c r="EN8" i="4"/>
  <c r="EN9" i="4"/>
  <c r="EN4" i="4"/>
  <c r="DS10" i="4"/>
  <c r="DS5" i="4"/>
  <c r="DS11" i="4"/>
  <c r="DS15" i="4"/>
  <c r="DS6" i="4"/>
  <c r="DS7" i="4"/>
  <c r="DS16" i="4"/>
  <c r="DS17" i="4"/>
  <c r="DS8" i="4"/>
  <c r="DS9" i="4"/>
  <c r="DS4" i="4"/>
  <c r="CX10" i="4"/>
  <c r="CX5" i="4"/>
  <c r="CX11" i="4"/>
  <c r="CX15" i="4"/>
  <c r="CX6" i="4"/>
  <c r="CX7" i="4"/>
  <c r="CX16" i="4"/>
  <c r="CX17" i="4"/>
  <c r="CX8" i="4"/>
  <c r="CX9" i="4"/>
  <c r="CX4" i="4"/>
  <c r="BZ10" i="4"/>
  <c r="BZ5" i="4"/>
  <c r="BZ11" i="4"/>
  <c r="BZ15" i="4"/>
  <c r="BZ6" i="4"/>
  <c r="BZ7" i="4"/>
  <c r="BZ16" i="4"/>
  <c r="BZ17" i="4"/>
  <c r="BZ8" i="4"/>
  <c r="BZ9" i="4"/>
  <c r="BZ4" i="4"/>
  <c r="BE10" i="4"/>
  <c r="BE5" i="4"/>
  <c r="BE11" i="4"/>
  <c r="BE15" i="4"/>
  <c r="BE6" i="4"/>
  <c r="BE7" i="4"/>
  <c r="BE16" i="4"/>
  <c r="BE17" i="4"/>
  <c r="BE8" i="4"/>
  <c r="BE9" i="4"/>
  <c r="BE4" i="4"/>
  <c r="AJ10" i="4"/>
  <c r="AJ5" i="4"/>
  <c r="AJ11" i="4"/>
  <c r="AJ15" i="4"/>
  <c r="AJ6" i="4"/>
  <c r="AJ7" i="4"/>
  <c r="AJ16" i="4"/>
  <c r="AJ17" i="4"/>
  <c r="AJ8" i="4"/>
  <c r="AJ9" i="4"/>
  <c r="AJ4" i="4"/>
  <c r="RD13" i="6" l="1"/>
  <c r="RB13" i="6"/>
  <c r="RA13" i="6"/>
  <c r="RC13" i="6"/>
  <c r="RE13" i="6" s="1"/>
  <c r="QZ13" i="6"/>
  <c r="PZ13" i="6"/>
  <c r="PX13" i="6"/>
  <c r="PW13" i="6"/>
  <c r="PY13" i="6"/>
  <c r="PV13" i="6"/>
  <c r="OV13" i="6"/>
  <c r="OT13" i="6"/>
  <c r="OS13" i="6"/>
  <c r="OU13" i="6"/>
  <c r="OR13" i="6"/>
  <c r="NR13" i="6"/>
  <c r="NP13" i="6"/>
  <c r="NO13" i="6"/>
  <c r="NQ13" i="6"/>
  <c r="NN13" i="6"/>
  <c r="MN13" i="6"/>
  <c r="ML13" i="6"/>
  <c r="MK13" i="6"/>
  <c r="MM13" i="6"/>
  <c r="MJ13" i="6"/>
  <c r="LJ13" i="6"/>
  <c r="LH13" i="6"/>
  <c r="LG13" i="6"/>
  <c r="LI13" i="6"/>
  <c r="LF13" i="6"/>
  <c r="KF13" i="6"/>
  <c r="KD13" i="6"/>
  <c r="KC13" i="6"/>
  <c r="KE13" i="6"/>
  <c r="KB13" i="6"/>
  <c r="JB13" i="6"/>
  <c r="IZ13" i="6"/>
  <c r="IY13" i="6"/>
  <c r="JA13" i="6"/>
  <c r="IX13" i="6"/>
  <c r="HX13" i="6"/>
  <c r="HV13" i="6"/>
  <c r="HU13" i="6"/>
  <c r="HW13" i="6"/>
  <c r="HT13" i="6"/>
  <c r="GT13" i="6"/>
  <c r="GR13" i="6"/>
  <c r="GQ13" i="6"/>
  <c r="GS13" i="6"/>
  <c r="GP13" i="6"/>
  <c r="FP13" i="6"/>
  <c r="FN13" i="6"/>
  <c r="FM13" i="6"/>
  <c r="FO13" i="6"/>
  <c r="FL13" i="6"/>
  <c r="EL13" i="6"/>
  <c r="EJ13" i="6"/>
  <c r="EI13" i="6"/>
  <c r="EK13" i="6"/>
  <c r="EH13" i="6"/>
  <c r="DE13" i="6"/>
  <c r="DC13" i="6"/>
  <c r="DB13" i="6"/>
  <c r="DD13" i="6"/>
  <c r="DA13" i="6"/>
  <c r="CA13" i="6"/>
  <c r="BY13" i="6"/>
  <c r="BX13" i="6"/>
  <c r="BZ13" i="6"/>
  <c r="CB13" i="6" s="1"/>
  <c r="BW13" i="6"/>
  <c r="AW13" i="6"/>
  <c r="AU13" i="6"/>
  <c r="AT13" i="6"/>
  <c r="AV13" i="6"/>
  <c r="AS13" i="6"/>
  <c r="RD9" i="6"/>
  <c r="RB9" i="6"/>
  <c r="RA9" i="6"/>
  <c r="RC9" i="6"/>
  <c r="QZ9" i="6"/>
  <c r="PZ9" i="6"/>
  <c r="PX9" i="6"/>
  <c r="PW9" i="6"/>
  <c r="PY9" i="6"/>
  <c r="PV9" i="6"/>
  <c r="OV9" i="6"/>
  <c r="OT9" i="6"/>
  <c r="OS9" i="6"/>
  <c r="OU9" i="6"/>
  <c r="OR9" i="6"/>
  <c r="NR9" i="6"/>
  <c r="NP9" i="6"/>
  <c r="NO9" i="6"/>
  <c r="NQ9" i="6"/>
  <c r="NN9" i="6"/>
  <c r="MN9" i="6"/>
  <c r="ML9" i="6"/>
  <c r="MK9" i="6"/>
  <c r="MM9" i="6"/>
  <c r="MJ9" i="6"/>
  <c r="LJ9" i="6"/>
  <c r="LH9" i="6"/>
  <c r="LG9" i="6"/>
  <c r="LI9" i="6"/>
  <c r="LF9" i="6"/>
  <c r="KF9" i="6"/>
  <c r="KD9" i="6"/>
  <c r="KC9" i="6"/>
  <c r="KE9" i="6"/>
  <c r="KB9" i="6"/>
  <c r="JB9" i="6"/>
  <c r="IZ9" i="6"/>
  <c r="IY9" i="6"/>
  <c r="JA9" i="6"/>
  <c r="IX9" i="6"/>
  <c r="HX9" i="6"/>
  <c r="HV9" i="6"/>
  <c r="HU9" i="6"/>
  <c r="HW9" i="6"/>
  <c r="HT9" i="6"/>
  <c r="GT9" i="6"/>
  <c r="GR9" i="6"/>
  <c r="GQ9" i="6"/>
  <c r="GS9" i="6"/>
  <c r="GP9" i="6"/>
  <c r="FP9" i="6"/>
  <c r="FN9" i="6"/>
  <c r="FM9" i="6"/>
  <c r="FO9" i="6"/>
  <c r="FL9" i="6"/>
  <c r="EL9" i="6"/>
  <c r="EJ9" i="6"/>
  <c r="EI9" i="6"/>
  <c r="EK9" i="6"/>
  <c r="EH9" i="6"/>
  <c r="DE9" i="6"/>
  <c r="DC9" i="6"/>
  <c r="DB9" i="6"/>
  <c r="DD9" i="6"/>
  <c r="DA9" i="6"/>
  <c r="CA9" i="6"/>
  <c r="BY9" i="6"/>
  <c r="BX9" i="6"/>
  <c r="BZ9" i="6"/>
  <c r="BW9" i="6"/>
  <c r="AW9" i="6"/>
  <c r="AU9" i="6"/>
  <c r="AT9" i="6"/>
  <c r="AV9" i="6"/>
  <c r="AS9" i="6"/>
  <c r="LY17" i="4"/>
  <c r="LW17" i="4"/>
  <c r="LV17" i="4"/>
  <c r="LD17" i="4"/>
  <c r="LB17" i="4"/>
  <c r="LA17" i="4"/>
  <c r="LC17" i="4" s="1"/>
  <c r="KI17" i="4"/>
  <c r="KG17" i="4"/>
  <c r="KF17" i="4"/>
  <c r="JN17" i="4"/>
  <c r="JL17" i="4"/>
  <c r="JK17" i="4"/>
  <c r="JM17" i="4" s="1"/>
  <c r="IS17" i="4"/>
  <c r="IQ17" i="4"/>
  <c r="IP17" i="4"/>
  <c r="HX17" i="4"/>
  <c r="HV17" i="4"/>
  <c r="HU17" i="4"/>
  <c r="HC17" i="4"/>
  <c r="HA17" i="4"/>
  <c r="GZ17" i="4"/>
  <c r="GH17" i="4"/>
  <c r="GF17" i="4"/>
  <c r="GE17" i="4"/>
  <c r="FM17" i="4"/>
  <c r="FK17" i="4"/>
  <c r="FJ17" i="4"/>
  <c r="ER17" i="4"/>
  <c r="EP17" i="4"/>
  <c r="EO17" i="4"/>
  <c r="DW17" i="4"/>
  <c r="DU17" i="4"/>
  <c r="DT17" i="4"/>
  <c r="DB17" i="4"/>
  <c r="CZ17" i="4"/>
  <c r="CY17" i="4"/>
  <c r="DA17" i="4" s="1"/>
  <c r="CD17" i="4"/>
  <c r="CB17" i="4"/>
  <c r="CA17" i="4"/>
  <c r="BI17" i="4"/>
  <c r="BG17" i="4"/>
  <c r="BF17" i="4"/>
  <c r="AN17" i="4"/>
  <c r="AL17" i="4"/>
  <c r="AK17" i="4"/>
  <c r="HY13" i="6" l="1"/>
  <c r="EQ17" i="4"/>
  <c r="GG17" i="4"/>
  <c r="GI17" i="4" s="1"/>
  <c r="DC17" i="4"/>
  <c r="P17" i="4"/>
  <c r="Q17" i="4" s="1"/>
  <c r="BH17" i="4"/>
  <c r="BJ17" i="4" s="1"/>
  <c r="HW17" i="4"/>
  <c r="HY17" i="4" s="1"/>
  <c r="DF13" i="6"/>
  <c r="MO13" i="6"/>
  <c r="HY9" i="6"/>
  <c r="RE9" i="6"/>
  <c r="JC13" i="6"/>
  <c r="KG13" i="6"/>
  <c r="G9" i="6"/>
  <c r="EM9" i="6"/>
  <c r="FQ9" i="6"/>
  <c r="NS9" i="6"/>
  <c r="OW9" i="6"/>
  <c r="GU13" i="6"/>
  <c r="QA13" i="6"/>
  <c r="JO17" i="4"/>
  <c r="LE17" i="4"/>
  <c r="AX13" i="6"/>
  <c r="LK9" i="6"/>
  <c r="DF9" i="6"/>
  <c r="MO9" i="6"/>
  <c r="F13" i="6"/>
  <c r="I13" i="6" s="1"/>
  <c r="KG9" i="6"/>
  <c r="NS13" i="6"/>
  <c r="FQ13" i="6"/>
  <c r="OW13" i="6"/>
  <c r="GU9" i="6"/>
  <c r="QA9" i="6"/>
  <c r="P13" i="6"/>
  <c r="DI13" i="6" s="1"/>
  <c r="LK13" i="6"/>
  <c r="AX9" i="6"/>
  <c r="JC9" i="6"/>
  <c r="EM13" i="6"/>
  <c r="CB9" i="6"/>
  <c r="AM17" i="4"/>
  <c r="AO17" i="4" s="1"/>
  <c r="FL17" i="4"/>
  <c r="FN17" i="4" s="1"/>
  <c r="IR17" i="4"/>
  <c r="IT17" i="4" s="1"/>
  <c r="LX17" i="4"/>
  <c r="LZ17" i="4" s="1"/>
  <c r="H13" i="6"/>
  <c r="G13" i="6"/>
  <c r="J13" i="6"/>
  <c r="H9" i="6"/>
  <c r="J9" i="6"/>
  <c r="N9" i="6" s="1"/>
  <c r="O9" i="6" s="1"/>
  <c r="P9" i="6"/>
  <c r="DI9" i="6" s="1"/>
  <c r="F9" i="6"/>
  <c r="I9" i="6" s="1"/>
  <c r="HB17" i="4"/>
  <c r="HD17" i="4" s="1"/>
  <c r="KH17" i="4"/>
  <c r="KJ17" i="4" s="1"/>
  <c r="DV17" i="4"/>
  <c r="DX17" i="4" s="1"/>
  <c r="G17" i="4"/>
  <c r="ES17" i="4"/>
  <c r="CC17" i="4"/>
  <c r="CE17" i="4" s="1"/>
  <c r="F17" i="4"/>
  <c r="CH17" i="4" l="1"/>
  <c r="I17" i="4"/>
  <c r="DH9" i="6"/>
  <c r="Q9" i="6"/>
  <c r="Q13" i="6"/>
  <c r="N13" i="6"/>
  <c r="L13" i="6"/>
  <c r="K13" i="6"/>
  <c r="L9" i="6"/>
  <c r="DG9" i="6" s="1"/>
  <c r="K9" i="6"/>
  <c r="J17" i="4"/>
  <c r="N17" i="4" s="1"/>
  <c r="H17" i="4"/>
  <c r="R9" i="6" l="1"/>
  <c r="M9" i="6"/>
  <c r="E9" i="6" s="1"/>
  <c r="DG13" i="6"/>
  <c r="M13" i="6"/>
  <c r="DH13" i="6"/>
  <c r="O13" i="6"/>
  <c r="S9" i="6"/>
  <c r="T9" i="6"/>
  <c r="K17" i="4"/>
  <c r="L17" i="4"/>
  <c r="CF17" i="4" s="1"/>
  <c r="CG17" i="4"/>
  <c r="O17" i="4"/>
  <c r="OU5" i="6"/>
  <c r="OU6" i="6"/>
  <c r="OU7" i="6"/>
  <c r="OU10" i="6"/>
  <c r="OR5" i="6"/>
  <c r="MB6" i="8"/>
  <c r="MA6" i="8"/>
  <c r="LD5" i="7"/>
  <c r="M17" i="4" l="1"/>
  <c r="R13" i="6"/>
  <c r="R17" i="4"/>
  <c r="HA15" i="2"/>
  <c r="LA15" i="4"/>
  <c r="LA11" i="4"/>
  <c r="KF11" i="4"/>
  <c r="LA10" i="2"/>
  <c r="LB10" i="2"/>
  <c r="LB4" i="2"/>
  <c r="AV4" i="5"/>
  <c r="BZ4" i="5"/>
  <c r="DD4" i="5"/>
  <c r="AV5" i="5"/>
  <c r="BZ5" i="5"/>
  <c r="DD5" i="5"/>
  <c r="AS4" i="5"/>
  <c r="BW4" i="5"/>
  <c r="DA4" i="5"/>
  <c r="AS5" i="5"/>
  <c r="BW5" i="5"/>
  <c r="DA5" i="5"/>
  <c r="AV4" i="6"/>
  <c r="BZ4" i="6"/>
  <c r="DD4" i="6"/>
  <c r="AV5" i="6"/>
  <c r="BZ5" i="6"/>
  <c r="DD5" i="6"/>
  <c r="AV6" i="6"/>
  <c r="BZ6" i="6"/>
  <c r="DD6" i="6"/>
  <c r="AV7" i="6"/>
  <c r="BZ7" i="6"/>
  <c r="DD7" i="6"/>
  <c r="AV10" i="6"/>
  <c r="BZ10" i="6"/>
  <c r="DD10" i="6"/>
  <c r="AV14" i="6"/>
  <c r="BZ14" i="6"/>
  <c r="DD14" i="6"/>
  <c r="AV8" i="6"/>
  <c r="BZ8" i="6"/>
  <c r="DD8" i="6"/>
  <c r="AV12" i="6"/>
  <c r="BZ12" i="6"/>
  <c r="DD12" i="6"/>
  <c r="AV11" i="6"/>
  <c r="BZ11" i="6"/>
  <c r="DD11" i="6"/>
  <c r="AS4" i="6"/>
  <c r="BW4" i="6"/>
  <c r="DA4" i="6"/>
  <c r="AS5" i="6"/>
  <c r="BW5" i="6"/>
  <c r="DA5" i="6"/>
  <c r="AS6" i="6"/>
  <c r="BW6" i="6"/>
  <c r="DA6" i="6"/>
  <c r="AS7" i="6"/>
  <c r="BW7" i="6"/>
  <c r="AS10" i="6"/>
  <c r="BW10" i="6"/>
  <c r="DA10" i="6"/>
  <c r="AS14" i="6"/>
  <c r="BW14" i="6"/>
  <c r="DA14" i="6"/>
  <c r="AS8" i="6"/>
  <c r="BW8" i="6"/>
  <c r="DA8" i="6"/>
  <c r="AS12" i="6"/>
  <c r="BW12" i="6"/>
  <c r="DA12" i="6"/>
  <c r="AS11" i="6"/>
  <c r="BW11" i="6"/>
  <c r="DA11" i="6"/>
  <c r="AM7" i="8"/>
  <c r="AN7" i="8"/>
  <c r="BJ7" i="8"/>
  <c r="BK7" i="8"/>
  <c r="CG7" i="8"/>
  <c r="CH7" i="8"/>
  <c r="AM6" i="8"/>
  <c r="AN6" i="8"/>
  <c r="BJ6" i="8"/>
  <c r="BK6" i="8"/>
  <c r="CG6" i="8"/>
  <c r="CH6" i="8"/>
  <c r="AM5" i="8"/>
  <c r="AN5" i="8"/>
  <c r="BJ5" i="8"/>
  <c r="BK5" i="8"/>
  <c r="CG5" i="8"/>
  <c r="CH5" i="8"/>
  <c r="AM9" i="8"/>
  <c r="AN9" i="8"/>
  <c r="BJ9" i="8"/>
  <c r="BK9" i="8"/>
  <c r="CG9" i="8"/>
  <c r="CH9" i="8"/>
  <c r="AK7" i="8"/>
  <c r="AL7" i="8"/>
  <c r="BH7" i="8"/>
  <c r="BI7" i="8"/>
  <c r="CE7" i="8"/>
  <c r="CF7" i="8"/>
  <c r="AK6" i="8"/>
  <c r="AL6" i="8"/>
  <c r="BH6" i="8"/>
  <c r="BI6" i="8"/>
  <c r="CE6" i="8"/>
  <c r="CF6" i="8"/>
  <c r="AK5" i="8"/>
  <c r="AL5" i="8"/>
  <c r="BH5" i="8"/>
  <c r="BI5" i="8"/>
  <c r="CE5" i="8"/>
  <c r="CF5" i="8"/>
  <c r="AK9" i="8"/>
  <c r="AL9" i="8"/>
  <c r="BH9" i="8"/>
  <c r="BI9" i="8"/>
  <c r="CE9" i="8"/>
  <c r="CF9" i="8"/>
  <c r="AM4" i="7"/>
  <c r="AN4" i="7"/>
  <c r="BJ4" i="7"/>
  <c r="BK4" i="7"/>
  <c r="CG4" i="7"/>
  <c r="CH4" i="7"/>
  <c r="AM5" i="7"/>
  <c r="AN5" i="7"/>
  <c r="BJ5" i="7"/>
  <c r="BK5" i="7"/>
  <c r="CG5" i="7"/>
  <c r="CH5" i="7"/>
  <c r="AM8" i="7"/>
  <c r="AN8" i="7"/>
  <c r="BJ8" i="7"/>
  <c r="BK8" i="7"/>
  <c r="CG8" i="7"/>
  <c r="CH8" i="7"/>
  <c r="AK4" i="7"/>
  <c r="AL4" i="7"/>
  <c r="BH4" i="7"/>
  <c r="BI4" i="7"/>
  <c r="CE4" i="7"/>
  <c r="CF4" i="7"/>
  <c r="AK5" i="7"/>
  <c r="AL5" i="7"/>
  <c r="BH5" i="7"/>
  <c r="BI5" i="7"/>
  <c r="CE5" i="7"/>
  <c r="CF5" i="7"/>
  <c r="AK8" i="7"/>
  <c r="AL8" i="7"/>
  <c r="BH8" i="7"/>
  <c r="BI8" i="7"/>
  <c r="CE8" i="7"/>
  <c r="CF8" i="7"/>
  <c r="AK9" i="2"/>
  <c r="AL9" i="2"/>
  <c r="BF9" i="2"/>
  <c r="BG9" i="2"/>
  <c r="CA9" i="2"/>
  <c r="CB9" i="2"/>
  <c r="AK4" i="2"/>
  <c r="AL4" i="2"/>
  <c r="BF4" i="2"/>
  <c r="BG4" i="2"/>
  <c r="CA4" i="2"/>
  <c r="CB4" i="2"/>
  <c r="AK10" i="2"/>
  <c r="AL10" i="2"/>
  <c r="BF10" i="2"/>
  <c r="BG10" i="2"/>
  <c r="CA10" i="2"/>
  <c r="CB10" i="2"/>
  <c r="AK15" i="2"/>
  <c r="AL15" i="2"/>
  <c r="BF15" i="2"/>
  <c r="BG15" i="2"/>
  <c r="CA15" i="2"/>
  <c r="CB15" i="2"/>
  <c r="AK10" i="4"/>
  <c r="AL10" i="4"/>
  <c r="BF10" i="4"/>
  <c r="BG10" i="4"/>
  <c r="CA10" i="4"/>
  <c r="CB10" i="4"/>
  <c r="AK15" i="4"/>
  <c r="AL15" i="4"/>
  <c r="BF15" i="4"/>
  <c r="BG15" i="4"/>
  <c r="CA15" i="4"/>
  <c r="CB15" i="4"/>
  <c r="AK11" i="4"/>
  <c r="AL11" i="4"/>
  <c r="BF11" i="4"/>
  <c r="BG11" i="4"/>
  <c r="CA11" i="4"/>
  <c r="CB11" i="4"/>
  <c r="AK5" i="4"/>
  <c r="AL5" i="4"/>
  <c r="BF5" i="4"/>
  <c r="BG5" i="4"/>
  <c r="CA5" i="4"/>
  <c r="CB5" i="4"/>
  <c r="AK6" i="4"/>
  <c r="AL6" i="4"/>
  <c r="BF6" i="4"/>
  <c r="BG6" i="4"/>
  <c r="CA6" i="4"/>
  <c r="CB6" i="4"/>
  <c r="AL4" i="4"/>
  <c r="BF4" i="4"/>
  <c r="BG4" i="4"/>
  <c r="CA4" i="4"/>
  <c r="CB4" i="4"/>
  <c r="AK7" i="4"/>
  <c r="AL7" i="4"/>
  <c r="BF7" i="4"/>
  <c r="BG7" i="4"/>
  <c r="CA7" i="4"/>
  <c r="CB7" i="4"/>
  <c r="AK16" i="4"/>
  <c r="AL16" i="4"/>
  <c r="BF16" i="4"/>
  <c r="BG16" i="4"/>
  <c r="CA16" i="4"/>
  <c r="CB16" i="4"/>
  <c r="AK8" i="4"/>
  <c r="AL8" i="4"/>
  <c r="BF8" i="4"/>
  <c r="BG8" i="4"/>
  <c r="CA8" i="4"/>
  <c r="CB8" i="4"/>
  <c r="AK9" i="4"/>
  <c r="AL9" i="4"/>
  <c r="BF9" i="4"/>
  <c r="BG9" i="4"/>
  <c r="CA9" i="4"/>
  <c r="CB9" i="4"/>
  <c r="AK4" i="4"/>
  <c r="AN10" i="4"/>
  <c r="BI10" i="4"/>
  <c r="CD10" i="4"/>
  <c r="CY10" i="4"/>
  <c r="DT10" i="4"/>
  <c r="EO10" i="4"/>
  <c r="FJ10" i="4"/>
  <c r="GE10" i="4"/>
  <c r="GZ10" i="4"/>
  <c r="HU10" i="4"/>
  <c r="IP10" i="4"/>
  <c r="JK10" i="4"/>
  <c r="KF10" i="4"/>
  <c r="LA10" i="4"/>
  <c r="LV10" i="4"/>
  <c r="CZ10" i="4"/>
  <c r="DU10" i="4"/>
  <c r="EP10" i="4"/>
  <c r="FK10" i="4"/>
  <c r="GF10" i="4"/>
  <c r="HA10" i="4"/>
  <c r="HV10" i="4"/>
  <c r="IQ10" i="4"/>
  <c r="JL10" i="4"/>
  <c r="KG10" i="4"/>
  <c r="LB10" i="4"/>
  <c r="LW10" i="4"/>
  <c r="DB10" i="4"/>
  <c r="DW10" i="4"/>
  <c r="ER10" i="4"/>
  <c r="FM10" i="4"/>
  <c r="GH10" i="4"/>
  <c r="HC10" i="4"/>
  <c r="HX10" i="4"/>
  <c r="IS10" i="4"/>
  <c r="JN10" i="4"/>
  <c r="KI10" i="4"/>
  <c r="LD10" i="4"/>
  <c r="LY10" i="4"/>
  <c r="AN15" i="4"/>
  <c r="BI15" i="4"/>
  <c r="CD15" i="4"/>
  <c r="CY15" i="4"/>
  <c r="DT15" i="4"/>
  <c r="EO15" i="4"/>
  <c r="FJ15" i="4"/>
  <c r="GE15" i="4"/>
  <c r="GZ15" i="4"/>
  <c r="HU15" i="4"/>
  <c r="IP15" i="4"/>
  <c r="JK15" i="4"/>
  <c r="KF15" i="4"/>
  <c r="LV15" i="4"/>
  <c r="CZ15" i="4"/>
  <c r="DU15" i="4"/>
  <c r="EP15" i="4"/>
  <c r="FK15" i="4"/>
  <c r="GF15" i="4"/>
  <c r="HA15" i="4"/>
  <c r="HV15" i="4"/>
  <c r="IQ15" i="4"/>
  <c r="JL15" i="4"/>
  <c r="KG15" i="4"/>
  <c r="LB15" i="4"/>
  <c r="LW15" i="4"/>
  <c r="DB15" i="4"/>
  <c r="DW15" i="4"/>
  <c r="ER15" i="4"/>
  <c r="FM15" i="4"/>
  <c r="GH15" i="4"/>
  <c r="HC15" i="4"/>
  <c r="HX15" i="4"/>
  <c r="IS15" i="4"/>
  <c r="JN15" i="4"/>
  <c r="KI15" i="4"/>
  <c r="LD15" i="4"/>
  <c r="LY15" i="4"/>
  <c r="AN11" i="4"/>
  <c r="BI11" i="4"/>
  <c r="CD11" i="4"/>
  <c r="CY11" i="4"/>
  <c r="DT11" i="4"/>
  <c r="EO11" i="4"/>
  <c r="FJ11" i="4"/>
  <c r="GE11" i="4"/>
  <c r="GZ11" i="4"/>
  <c r="HU11" i="4"/>
  <c r="IP11" i="4"/>
  <c r="JK11" i="4"/>
  <c r="LV11" i="4"/>
  <c r="CZ11" i="4"/>
  <c r="DU11" i="4"/>
  <c r="EP11" i="4"/>
  <c r="FK11" i="4"/>
  <c r="GF11" i="4"/>
  <c r="HA11" i="4"/>
  <c r="HV11" i="4"/>
  <c r="IQ11" i="4"/>
  <c r="JL11" i="4"/>
  <c r="KG11" i="4"/>
  <c r="LB11" i="4"/>
  <c r="LW11" i="4"/>
  <c r="DB11" i="4"/>
  <c r="DW11" i="4"/>
  <c r="ER11" i="4"/>
  <c r="FM11" i="4"/>
  <c r="GH11" i="4"/>
  <c r="HC11" i="4"/>
  <c r="HX11" i="4"/>
  <c r="IS11" i="4"/>
  <c r="JN11" i="4"/>
  <c r="KI11" i="4"/>
  <c r="LD11" i="4"/>
  <c r="LY11" i="4"/>
  <c r="AN5" i="4"/>
  <c r="BI5" i="4"/>
  <c r="CD5" i="4"/>
  <c r="CY5" i="4"/>
  <c r="DT5" i="4"/>
  <c r="EO5" i="4"/>
  <c r="FJ5" i="4"/>
  <c r="GE5" i="4"/>
  <c r="GZ5" i="4"/>
  <c r="HU5" i="4"/>
  <c r="IP5" i="4"/>
  <c r="JK5" i="4"/>
  <c r="KF5" i="4"/>
  <c r="LA5" i="4"/>
  <c r="LV5" i="4"/>
  <c r="CZ5" i="4"/>
  <c r="DU5" i="4"/>
  <c r="EP5" i="4"/>
  <c r="FK5" i="4"/>
  <c r="GF5" i="4"/>
  <c r="HA5" i="4"/>
  <c r="HV5" i="4"/>
  <c r="IQ5" i="4"/>
  <c r="JL5" i="4"/>
  <c r="KG5" i="4"/>
  <c r="LB5" i="4"/>
  <c r="LW5" i="4"/>
  <c r="DB5" i="4"/>
  <c r="DW5" i="4"/>
  <c r="ER5" i="4"/>
  <c r="FM5" i="4"/>
  <c r="GH5" i="4"/>
  <c r="HC5" i="4"/>
  <c r="HX5" i="4"/>
  <c r="IS5" i="4"/>
  <c r="JN5" i="4"/>
  <c r="KI5" i="4"/>
  <c r="LD5" i="4"/>
  <c r="LY5" i="4"/>
  <c r="AN6" i="4"/>
  <c r="BI6" i="4"/>
  <c r="CD6" i="4"/>
  <c r="CY6" i="4"/>
  <c r="DT6" i="4"/>
  <c r="EO6" i="4"/>
  <c r="FJ6" i="4"/>
  <c r="GE6" i="4"/>
  <c r="GZ6" i="4"/>
  <c r="HU6" i="4"/>
  <c r="IP6" i="4"/>
  <c r="JK6" i="4"/>
  <c r="KF6" i="4"/>
  <c r="LA6" i="4"/>
  <c r="LV6" i="4"/>
  <c r="CZ6" i="4"/>
  <c r="DU6" i="4"/>
  <c r="EP6" i="4"/>
  <c r="FK6" i="4"/>
  <c r="GF6" i="4"/>
  <c r="HA6" i="4"/>
  <c r="HV6" i="4"/>
  <c r="IQ6" i="4"/>
  <c r="JL6" i="4"/>
  <c r="KG6" i="4"/>
  <c r="LB6" i="4"/>
  <c r="LW6" i="4"/>
  <c r="DB6" i="4"/>
  <c r="DW6" i="4"/>
  <c r="ER6" i="4"/>
  <c r="FM6" i="4"/>
  <c r="GH6" i="4"/>
  <c r="HC6" i="4"/>
  <c r="HX6" i="4"/>
  <c r="IS6" i="4"/>
  <c r="JN6" i="4"/>
  <c r="KI6" i="4"/>
  <c r="LD6" i="4"/>
  <c r="LY6" i="4"/>
  <c r="AN7" i="4"/>
  <c r="BI7" i="4"/>
  <c r="CD7" i="4"/>
  <c r="CY7" i="4"/>
  <c r="DT7" i="4"/>
  <c r="EO7" i="4"/>
  <c r="FJ7" i="4"/>
  <c r="GE7" i="4"/>
  <c r="GZ7" i="4"/>
  <c r="HU7" i="4"/>
  <c r="IP7" i="4"/>
  <c r="JK7" i="4"/>
  <c r="KF7" i="4"/>
  <c r="LA7" i="4"/>
  <c r="LV7" i="4"/>
  <c r="CZ7" i="4"/>
  <c r="DU7" i="4"/>
  <c r="EP7" i="4"/>
  <c r="FK7" i="4"/>
  <c r="GF7" i="4"/>
  <c r="HA7" i="4"/>
  <c r="HV7" i="4"/>
  <c r="IQ7" i="4"/>
  <c r="JL7" i="4"/>
  <c r="KG7" i="4"/>
  <c r="LB7" i="4"/>
  <c r="LW7" i="4"/>
  <c r="DB7" i="4"/>
  <c r="DW7" i="4"/>
  <c r="ER7" i="4"/>
  <c r="FM7" i="4"/>
  <c r="GH7" i="4"/>
  <c r="HC7" i="4"/>
  <c r="HX7" i="4"/>
  <c r="IS7" i="4"/>
  <c r="JN7" i="4"/>
  <c r="KI7" i="4"/>
  <c r="LD7" i="4"/>
  <c r="LY7" i="4"/>
  <c r="AN16" i="4"/>
  <c r="BI16" i="4"/>
  <c r="CD16" i="4"/>
  <c r="CY16" i="4"/>
  <c r="DT16" i="4"/>
  <c r="EO16" i="4"/>
  <c r="FJ16" i="4"/>
  <c r="GE16" i="4"/>
  <c r="GZ16" i="4"/>
  <c r="HU16" i="4"/>
  <c r="IP16" i="4"/>
  <c r="JK16" i="4"/>
  <c r="KF16" i="4"/>
  <c r="LA16" i="4"/>
  <c r="LV16" i="4"/>
  <c r="CZ16" i="4"/>
  <c r="DU16" i="4"/>
  <c r="EP16" i="4"/>
  <c r="FK16" i="4"/>
  <c r="GF16" i="4"/>
  <c r="HA16" i="4"/>
  <c r="HV16" i="4"/>
  <c r="IQ16" i="4"/>
  <c r="JL16" i="4"/>
  <c r="KG16" i="4"/>
  <c r="LB16" i="4"/>
  <c r="LW16" i="4"/>
  <c r="DB16" i="4"/>
  <c r="DW16" i="4"/>
  <c r="ER16" i="4"/>
  <c r="FM16" i="4"/>
  <c r="GH16" i="4"/>
  <c r="HC16" i="4"/>
  <c r="HX16" i="4"/>
  <c r="IS16" i="4"/>
  <c r="JN16" i="4"/>
  <c r="KI16" i="4"/>
  <c r="LD16" i="4"/>
  <c r="LY16" i="4"/>
  <c r="AN8" i="4"/>
  <c r="BI8" i="4"/>
  <c r="CD8" i="4"/>
  <c r="CY8" i="4"/>
  <c r="DT8" i="4"/>
  <c r="EO8" i="4"/>
  <c r="FJ8" i="4"/>
  <c r="GE8" i="4"/>
  <c r="GZ8" i="4"/>
  <c r="HU8" i="4"/>
  <c r="IP8" i="4"/>
  <c r="JK8" i="4"/>
  <c r="KF8" i="4"/>
  <c r="LA8" i="4"/>
  <c r="LV8" i="4"/>
  <c r="CZ8" i="4"/>
  <c r="DU8" i="4"/>
  <c r="EP8" i="4"/>
  <c r="FK8" i="4"/>
  <c r="GF8" i="4"/>
  <c r="HA8" i="4"/>
  <c r="HV8" i="4"/>
  <c r="IQ8" i="4"/>
  <c r="JL8" i="4"/>
  <c r="KG8" i="4"/>
  <c r="LB8" i="4"/>
  <c r="LW8" i="4"/>
  <c r="DB8" i="4"/>
  <c r="DW8" i="4"/>
  <c r="ER8" i="4"/>
  <c r="FM8" i="4"/>
  <c r="GH8" i="4"/>
  <c r="HC8" i="4"/>
  <c r="HX8" i="4"/>
  <c r="IS8" i="4"/>
  <c r="JN8" i="4"/>
  <c r="KI8" i="4"/>
  <c r="LD8" i="4"/>
  <c r="LY8" i="4"/>
  <c r="AN4" i="4"/>
  <c r="BI4" i="4"/>
  <c r="CD4" i="4"/>
  <c r="CY4" i="4"/>
  <c r="DT4" i="4"/>
  <c r="EO4" i="4"/>
  <c r="FJ4" i="4"/>
  <c r="GE4" i="4"/>
  <c r="GZ4" i="4"/>
  <c r="HU4" i="4"/>
  <c r="IP4" i="4"/>
  <c r="JK4" i="4"/>
  <c r="KF4" i="4"/>
  <c r="LA4" i="4"/>
  <c r="LV4" i="4"/>
  <c r="CZ4" i="4"/>
  <c r="DU4" i="4"/>
  <c r="EP4" i="4"/>
  <c r="FK4" i="4"/>
  <c r="GF4" i="4"/>
  <c r="HA4" i="4"/>
  <c r="HV4" i="4"/>
  <c r="IQ4" i="4"/>
  <c r="JL4" i="4"/>
  <c r="KG4" i="4"/>
  <c r="LB4" i="4"/>
  <c r="LW4" i="4"/>
  <c r="DB4" i="4"/>
  <c r="DW4" i="4"/>
  <c r="ER4" i="4"/>
  <c r="FM4" i="4"/>
  <c r="GH4" i="4"/>
  <c r="HC4" i="4"/>
  <c r="HX4" i="4"/>
  <c r="IS4" i="4"/>
  <c r="JN4" i="4"/>
  <c r="KI4" i="4"/>
  <c r="LD4" i="4"/>
  <c r="LY4" i="4"/>
  <c r="AN9" i="4"/>
  <c r="BI9" i="4"/>
  <c r="CD9" i="4"/>
  <c r="CY9" i="4"/>
  <c r="DT9" i="4"/>
  <c r="EO9" i="4"/>
  <c r="FJ9" i="4"/>
  <c r="GE9" i="4"/>
  <c r="GZ9" i="4"/>
  <c r="HU9" i="4"/>
  <c r="IP9" i="4"/>
  <c r="JK9" i="4"/>
  <c r="KF9" i="4"/>
  <c r="LA9" i="4"/>
  <c r="LV9" i="4"/>
  <c r="CZ9" i="4"/>
  <c r="DU9" i="4"/>
  <c r="EP9" i="4"/>
  <c r="FK9" i="4"/>
  <c r="GF9" i="4"/>
  <c r="HA9" i="4"/>
  <c r="HV9" i="4"/>
  <c r="IQ9" i="4"/>
  <c r="JL9" i="4"/>
  <c r="KG9" i="4"/>
  <c r="LB9" i="4"/>
  <c r="LW9" i="4"/>
  <c r="DB9" i="4"/>
  <c r="DW9" i="4"/>
  <c r="ER9" i="4"/>
  <c r="FM9" i="4"/>
  <c r="GH9" i="4"/>
  <c r="HC9" i="4"/>
  <c r="HX9" i="4"/>
  <c r="IS9" i="4"/>
  <c r="JN9" i="4"/>
  <c r="KI9" i="4"/>
  <c r="LD9" i="4"/>
  <c r="LY9" i="4"/>
  <c r="CY10" i="2"/>
  <c r="DT10" i="2"/>
  <c r="EO10" i="2"/>
  <c r="FJ10" i="2"/>
  <c r="GE10" i="2"/>
  <c r="GZ10" i="2"/>
  <c r="HU10" i="2"/>
  <c r="IP10" i="2"/>
  <c r="JK10" i="2"/>
  <c r="KF10" i="2"/>
  <c r="LV10" i="2"/>
  <c r="CZ10" i="2"/>
  <c r="DU10" i="2"/>
  <c r="EP10" i="2"/>
  <c r="FK10" i="2"/>
  <c r="GF10" i="2"/>
  <c r="HA10" i="2"/>
  <c r="HV10" i="2"/>
  <c r="IQ10" i="2"/>
  <c r="JL10" i="2"/>
  <c r="KG10" i="2"/>
  <c r="LW10" i="2"/>
  <c r="DB10" i="2"/>
  <c r="DW10" i="2"/>
  <c r="ER10" i="2"/>
  <c r="FM10" i="2"/>
  <c r="GH10" i="2"/>
  <c r="HC10" i="2"/>
  <c r="HX10" i="2"/>
  <c r="IS10" i="2"/>
  <c r="JN10" i="2"/>
  <c r="KI10" i="2"/>
  <c r="LD10" i="2"/>
  <c r="LY10" i="2"/>
  <c r="AN10" i="2"/>
  <c r="BI10" i="2"/>
  <c r="CD10" i="2"/>
  <c r="CY4" i="2"/>
  <c r="DT4" i="2"/>
  <c r="EO4" i="2"/>
  <c r="FJ4" i="2"/>
  <c r="GE4" i="2"/>
  <c r="GZ4" i="2"/>
  <c r="HU4" i="2"/>
  <c r="IP4" i="2"/>
  <c r="JK4" i="2"/>
  <c r="KF4" i="2"/>
  <c r="LA4" i="2"/>
  <c r="LV4" i="2"/>
  <c r="CZ4" i="2"/>
  <c r="DU4" i="2"/>
  <c r="EP4" i="2"/>
  <c r="FK4" i="2"/>
  <c r="GF4" i="2"/>
  <c r="HA4" i="2"/>
  <c r="HV4" i="2"/>
  <c r="IQ4" i="2"/>
  <c r="JL4" i="2"/>
  <c r="KG4" i="2"/>
  <c r="LW4" i="2"/>
  <c r="DB4" i="2"/>
  <c r="DW4" i="2"/>
  <c r="ER4" i="2"/>
  <c r="FM4" i="2"/>
  <c r="GH4" i="2"/>
  <c r="HC4" i="2"/>
  <c r="HX4" i="2"/>
  <c r="IS4" i="2"/>
  <c r="JN4" i="2"/>
  <c r="KI4" i="2"/>
  <c r="LD4" i="2"/>
  <c r="LY4" i="2"/>
  <c r="AN4" i="2"/>
  <c r="BI4" i="2"/>
  <c r="CD4" i="2"/>
  <c r="CY15" i="2"/>
  <c r="DT15" i="2"/>
  <c r="EO15" i="2"/>
  <c r="FJ15" i="2"/>
  <c r="GE15" i="2"/>
  <c r="GZ15" i="2"/>
  <c r="HU15" i="2"/>
  <c r="IP15" i="2"/>
  <c r="JK15" i="2"/>
  <c r="KF15" i="2"/>
  <c r="LA15" i="2"/>
  <c r="LV15" i="2"/>
  <c r="CZ15" i="2"/>
  <c r="DU15" i="2"/>
  <c r="EP15" i="2"/>
  <c r="FK15" i="2"/>
  <c r="GF15" i="2"/>
  <c r="HV15" i="2"/>
  <c r="IQ15" i="2"/>
  <c r="JL15" i="2"/>
  <c r="KG15" i="2"/>
  <c r="LB15" i="2"/>
  <c r="LW15" i="2"/>
  <c r="DB15" i="2"/>
  <c r="DW15" i="2"/>
  <c r="ER15" i="2"/>
  <c r="FM15" i="2"/>
  <c r="GH15" i="2"/>
  <c r="HC15" i="2"/>
  <c r="HX15" i="2"/>
  <c r="IS15" i="2"/>
  <c r="JN15" i="2"/>
  <c r="KI15" i="2"/>
  <c r="LD15" i="2"/>
  <c r="LY15" i="2"/>
  <c r="AN15" i="2"/>
  <c r="BI15" i="2"/>
  <c r="CD15" i="2"/>
  <c r="DB9" i="2"/>
  <c r="DW9" i="2"/>
  <c r="ER9" i="2"/>
  <c r="FM9" i="2"/>
  <c r="GH9" i="2"/>
  <c r="HC9" i="2"/>
  <c r="HX9" i="2"/>
  <c r="IS9" i="2"/>
  <c r="JN9" i="2"/>
  <c r="KI9" i="2"/>
  <c r="LD9" i="2"/>
  <c r="LY9" i="2"/>
  <c r="AN9" i="2"/>
  <c r="BI9" i="2"/>
  <c r="CD9" i="2"/>
  <c r="CZ9" i="2"/>
  <c r="DU9" i="2"/>
  <c r="EP9" i="2"/>
  <c r="FK9" i="2"/>
  <c r="GF9" i="2"/>
  <c r="HA9" i="2"/>
  <c r="HV9" i="2"/>
  <c r="IQ9" i="2"/>
  <c r="JL9" i="2"/>
  <c r="KG9" i="2"/>
  <c r="LB9" i="2"/>
  <c r="LW9" i="2"/>
  <c r="CY9" i="2"/>
  <c r="DT9" i="2"/>
  <c r="EO9" i="2"/>
  <c r="FJ9" i="2"/>
  <c r="GE9" i="2"/>
  <c r="GZ9" i="2"/>
  <c r="HU9" i="2"/>
  <c r="IP9" i="2"/>
  <c r="JK9" i="2"/>
  <c r="KF9" i="2"/>
  <c r="LA9" i="2"/>
  <c r="LV9" i="2"/>
  <c r="DG5" i="7"/>
  <c r="ED5" i="7"/>
  <c r="FA5" i="7"/>
  <c r="FX5" i="7"/>
  <c r="GU5" i="7"/>
  <c r="HR5" i="7"/>
  <c r="IO5" i="7"/>
  <c r="JL5" i="7"/>
  <c r="KI5" i="7"/>
  <c r="LF5" i="7"/>
  <c r="MC5" i="7"/>
  <c r="MZ5" i="7"/>
  <c r="DH5" i="7"/>
  <c r="EE5" i="7"/>
  <c r="FB5" i="7"/>
  <c r="FY5" i="7"/>
  <c r="GV5" i="7"/>
  <c r="HS5" i="7"/>
  <c r="IP5" i="7"/>
  <c r="JM5" i="7"/>
  <c r="KJ5" i="7"/>
  <c r="LG5" i="7"/>
  <c r="MD5" i="7"/>
  <c r="NA5" i="7"/>
  <c r="DJ5" i="7"/>
  <c r="EG5" i="7"/>
  <c r="FD5" i="7"/>
  <c r="GA5" i="7"/>
  <c r="GX5" i="7"/>
  <c r="HU5" i="7"/>
  <c r="IR5" i="7"/>
  <c r="JO5" i="7"/>
  <c r="KL5" i="7"/>
  <c r="LI5" i="7"/>
  <c r="MF5" i="7"/>
  <c r="NC5" i="7"/>
  <c r="AP5" i="7"/>
  <c r="BM5" i="7"/>
  <c r="CJ5" i="7"/>
  <c r="DG8" i="7"/>
  <c r="ED8" i="7"/>
  <c r="FA8" i="7"/>
  <c r="FX8" i="7"/>
  <c r="GU8" i="7"/>
  <c r="HR8" i="7"/>
  <c r="IO8" i="7"/>
  <c r="JL8" i="7"/>
  <c r="KI8" i="7"/>
  <c r="LF8" i="7"/>
  <c r="MC8" i="7"/>
  <c r="MZ8" i="7"/>
  <c r="DH8" i="7"/>
  <c r="EE8" i="7"/>
  <c r="FB8" i="7"/>
  <c r="FY8" i="7"/>
  <c r="GV8" i="7"/>
  <c r="HS8" i="7"/>
  <c r="IP8" i="7"/>
  <c r="JM8" i="7"/>
  <c r="KJ8" i="7"/>
  <c r="LG8" i="7"/>
  <c r="MD8" i="7"/>
  <c r="NA8" i="7"/>
  <c r="DJ8" i="7"/>
  <c r="EG8" i="7"/>
  <c r="FD8" i="7"/>
  <c r="GA8" i="7"/>
  <c r="GX8" i="7"/>
  <c r="HU8" i="7"/>
  <c r="IR8" i="7"/>
  <c r="JO8" i="7"/>
  <c r="KL8" i="7"/>
  <c r="LI8" i="7"/>
  <c r="MF8" i="7"/>
  <c r="NC8" i="7"/>
  <c r="AP8" i="7"/>
  <c r="BM8" i="7"/>
  <c r="CJ8" i="7"/>
  <c r="EG4" i="7"/>
  <c r="FD4" i="7"/>
  <c r="GA4" i="7"/>
  <c r="GX4" i="7"/>
  <c r="HU4" i="7"/>
  <c r="IR4" i="7"/>
  <c r="JO4" i="7"/>
  <c r="KL4" i="7"/>
  <c r="LI4" i="7"/>
  <c r="MF4" i="7"/>
  <c r="NC4" i="7"/>
  <c r="AP4" i="7"/>
  <c r="BM4" i="7"/>
  <c r="CJ4" i="7"/>
  <c r="DH4" i="7"/>
  <c r="EE4" i="7"/>
  <c r="FB4" i="7"/>
  <c r="FY4" i="7"/>
  <c r="GV4" i="7"/>
  <c r="HS4" i="7"/>
  <c r="IP4" i="7"/>
  <c r="JM4" i="7"/>
  <c r="KJ4" i="7"/>
  <c r="LG4" i="7"/>
  <c r="MD4" i="7"/>
  <c r="NA4" i="7"/>
  <c r="ED4" i="7"/>
  <c r="FA4" i="7"/>
  <c r="FX4" i="7"/>
  <c r="GU4" i="7"/>
  <c r="HR4" i="7"/>
  <c r="IO4" i="7"/>
  <c r="JL4" i="7"/>
  <c r="KI4" i="7"/>
  <c r="LF4" i="7"/>
  <c r="MC4" i="7"/>
  <c r="MZ4" i="7"/>
  <c r="DG6" i="8"/>
  <c r="ED6" i="8"/>
  <c r="FA6" i="8"/>
  <c r="FX6" i="8"/>
  <c r="GU6" i="8"/>
  <c r="HR6" i="8"/>
  <c r="IO6" i="8"/>
  <c r="JL6" i="8"/>
  <c r="KI6" i="8"/>
  <c r="LF6" i="8"/>
  <c r="MC6" i="8"/>
  <c r="MZ6" i="8"/>
  <c r="DH6" i="8"/>
  <c r="EE6" i="8"/>
  <c r="FB6" i="8"/>
  <c r="FY6" i="8"/>
  <c r="GV6" i="8"/>
  <c r="HS6" i="8"/>
  <c r="IP6" i="8"/>
  <c r="JM6" i="8"/>
  <c r="KJ6" i="8"/>
  <c r="LG6" i="8"/>
  <c r="MD6" i="8"/>
  <c r="NA6" i="8"/>
  <c r="DJ6" i="8"/>
  <c r="EG6" i="8"/>
  <c r="FD6" i="8"/>
  <c r="GA6" i="8"/>
  <c r="GX6" i="8"/>
  <c r="HU6" i="8"/>
  <c r="IR6" i="8"/>
  <c r="JO6" i="8"/>
  <c r="KL6" i="8"/>
  <c r="LI6" i="8"/>
  <c r="MF6" i="8"/>
  <c r="NC6" i="8"/>
  <c r="AP6" i="8"/>
  <c r="BM6" i="8"/>
  <c r="CJ6" i="8"/>
  <c r="DG5" i="8"/>
  <c r="ED5" i="8"/>
  <c r="FA5" i="8"/>
  <c r="FX5" i="8"/>
  <c r="GU5" i="8"/>
  <c r="HR5" i="8"/>
  <c r="IO5" i="8"/>
  <c r="JL5" i="8"/>
  <c r="KI5" i="8"/>
  <c r="LF5" i="8"/>
  <c r="MC5" i="8"/>
  <c r="MZ5" i="8"/>
  <c r="DH5" i="8"/>
  <c r="EE5" i="8"/>
  <c r="FB5" i="8"/>
  <c r="FY5" i="8"/>
  <c r="GV5" i="8"/>
  <c r="HS5" i="8"/>
  <c r="IP5" i="8"/>
  <c r="JM5" i="8"/>
  <c r="KJ5" i="8"/>
  <c r="LG5" i="8"/>
  <c r="MD5" i="8"/>
  <c r="NA5" i="8"/>
  <c r="DJ5" i="8"/>
  <c r="EG5" i="8"/>
  <c r="FD5" i="8"/>
  <c r="GA5" i="8"/>
  <c r="GX5" i="8"/>
  <c r="HU5" i="8"/>
  <c r="IR5" i="8"/>
  <c r="JO5" i="8"/>
  <c r="KL5" i="8"/>
  <c r="LI5" i="8"/>
  <c r="MF5" i="8"/>
  <c r="NC5" i="8"/>
  <c r="AP5" i="8"/>
  <c r="BM5" i="8"/>
  <c r="CJ5" i="8"/>
  <c r="DG9" i="8"/>
  <c r="ED9" i="8"/>
  <c r="FA9" i="8"/>
  <c r="FX9" i="8"/>
  <c r="GU9" i="8"/>
  <c r="HR9" i="8"/>
  <c r="IO9" i="8"/>
  <c r="JL9" i="8"/>
  <c r="KI9" i="8"/>
  <c r="LF9" i="8"/>
  <c r="MC9" i="8"/>
  <c r="MZ9" i="8"/>
  <c r="DH9" i="8"/>
  <c r="EE9" i="8"/>
  <c r="FB9" i="8"/>
  <c r="FY9" i="8"/>
  <c r="GV9" i="8"/>
  <c r="HS9" i="8"/>
  <c r="IP9" i="8"/>
  <c r="JM9" i="8"/>
  <c r="KJ9" i="8"/>
  <c r="LG9" i="8"/>
  <c r="MD9" i="8"/>
  <c r="NA9" i="8"/>
  <c r="DJ9" i="8"/>
  <c r="EG9" i="8"/>
  <c r="FD9" i="8"/>
  <c r="GA9" i="8"/>
  <c r="GX9" i="8"/>
  <c r="HU9" i="8"/>
  <c r="IR9" i="8"/>
  <c r="JO9" i="8"/>
  <c r="KL9" i="8"/>
  <c r="LI9" i="8"/>
  <c r="MF9" i="8"/>
  <c r="NC9" i="8"/>
  <c r="AP9" i="8"/>
  <c r="BM9" i="8"/>
  <c r="CJ9" i="8"/>
  <c r="DJ7" i="8"/>
  <c r="EG7" i="8"/>
  <c r="FD7" i="8"/>
  <c r="GA7" i="8"/>
  <c r="GX7" i="8"/>
  <c r="HU7" i="8"/>
  <c r="IR7" i="8"/>
  <c r="JO7" i="8"/>
  <c r="KL7" i="8"/>
  <c r="LI7" i="8"/>
  <c r="MF7" i="8"/>
  <c r="NC7" i="8"/>
  <c r="AP7" i="8"/>
  <c r="BM7" i="8"/>
  <c r="CJ7" i="8"/>
  <c r="DH7" i="8"/>
  <c r="EE7" i="8"/>
  <c r="FB7" i="8"/>
  <c r="FY7" i="8"/>
  <c r="GV7" i="8"/>
  <c r="HS7" i="8"/>
  <c r="IP7" i="8"/>
  <c r="JM7" i="8"/>
  <c r="KJ7" i="8"/>
  <c r="LG7" i="8"/>
  <c r="MD7" i="8"/>
  <c r="NA7" i="8"/>
  <c r="DG7" i="8"/>
  <c r="ED7" i="8"/>
  <c r="FA7" i="8"/>
  <c r="FX7" i="8"/>
  <c r="GU7" i="8"/>
  <c r="HR7" i="8"/>
  <c r="IO7" i="8"/>
  <c r="JL7" i="8"/>
  <c r="KI7" i="8"/>
  <c r="LF7" i="8"/>
  <c r="MC7" i="8"/>
  <c r="MZ7" i="8"/>
  <c r="EI5" i="6"/>
  <c r="FM5" i="6"/>
  <c r="GQ5" i="6"/>
  <c r="HU5" i="6"/>
  <c r="IY5" i="6"/>
  <c r="KC5" i="6"/>
  <c r="LG5" i="6"/>
  <c r="MK5" i="6"/>
  <c r="NO5" i="6"/>
  <c r="OS5" i="6"/>
  <c r="PW5" i="6"/>
  <c r="RA5" i="6"/>
  <c r="AT5" i="6"/>
  <c r="BX5" i="6"/>
  <c r="EJ5" i="6"/>
  <c r="FN5" i="6"/>
  <c r="GR5" i="6"/>
  <c r="HV5" i="6"/>
  <c r="IZ5" i="6"/>
  <c r="KD5" i="6"/>
  <c r="LH5" i="6"/>
  <c r="ML5" i="6"/>
  <c r="NP5" i="6"/>
  <c r="OT5" i="6"/>
  <c r="PX5" i="6"/>
  <c r="RB5" i="6"/>
  <c r="AU5" i="6"/>
  <c r="BY5" i="6"/>
  <c r="EL5" i="6"/>
  <c r="FP5" i="6"/>
  <c r="GT5" i="6"/>
  <c r="HX5" i="6"/>
  <c r="JB5" i="6"/>
  <c r="KF5" i="6"/>
  <c r="LJ5" i="6"/>
  <c r="MN5" i="6"/>
  <c r="OV5" i="6"/>
  <c r="OW5" i="6" s="1"/>
  <c r="PZ5" i="6"/>
  <c r="RD5" i="6"/>
  <c r="AW5" i="6"/>
  <c r="AX5" i="6" s="1"/>
  <c r="CA5" i="6"/>
  <c r="DE5" i="6"/>
  <c r="DF5" i="6" s="1"/>
  <c r="EI6" i="6"/>
  <c r="FM6" i="6"/>
  <c r="GQ6" i="6"/>
  <c r="HU6" i="6"/>
  <c r="IY6" i="6"/>
  <c r="KC6" i="6"/>
  <c r="LG6" i="6"/>
  <c r="MK6" i="6"/>
  <c r="NO6" i="6"/>
  <c r="OS6" i="6"/>
  <c r="PW6" i="6"/>
  <c r="RA6" i="6"/>
  <c r="AT6" i="6"/>
  <c r="DB6" i="6"/>
  <c r="EJ6" i="6"/>
  <c r="FN6" i="6"/>
  <c r="GR6" i="6"/>
  <c r="HV6" i="6"/>
  <c r="IZ6" i="6"/>
  <c r="KD6" i="6"/>
  <c r="LH6" i="6"/>
  <c r="ML6" i="6"/>
  <c r="NP6" i="6"/>
  <c r="OT6" i="6"/>
  <c r="PX6" i="6"/>
  <c r="RB6" i="6"/>
  <c r="AU6" i="6"/>
  <c r="DC6" i="6"/>
  <c r="EL6" i="6"/>
  <c r="FP6" i="6"/>
  <c r="GT6" i="6"/>
  <c r="HX6" i="6"/>
  <c r="JB6" i="6"/>
  <c r="KF6" i="6"/>
  <c r="LJ6" i="6"/>
  <c r="MN6" i="6"/>
  <c r="OV6" i="6"/>
  <c r="PZ6" i="6"/>
  <c r="RD6" i="6"/>
  <c r="AW6" i="6"/>
  <c r="CA6" i="6"/>
  <c r="DE6" i="6"/>
  <c r="EI7" i="6"/>
  <c r="FM7" i="6"/>
  <c r="GQ7" i="6"/>
  <c r="HU7" i="6"/>
  <c r="IY7" i="6"/>
  <c r="KC7" i="6"/>
  <c r="LG7" i="6"/>
  <c r="MK7" i="6"/>
  <c r="NO7" i="6"/>
  <c r="OS7" i="6"/>
  <c r="PW7" i="6"/>
  <c r="RA7" i="6"/>
  <c r="AT7" i="6"/>
  <c r="DB7" i="6"/>
  <c r="EJ7" i="6"/>
  <c r="FN7" i="6"/>
  <c r="GR7" i="6"/>
  <c r="HV7" i="6"/>
  <c r="IZ7" i="6"/>
  <c r="KD7" i="6"/>
  <c r="LH7" i="6"/>
  <c r="ML7" i="6"/>
  <c r="NP7" i="6"/>
  <c r="OT7" i="6"/>
  <c r="PX7" i="6"/>
  <c r="RB7" i="6"/>
  <c r="AU7" i="6"/>
  <c r="DC7" i="6"/>
  <c r="EL7" i="6"/>
  <c r="FP7" i="6"/>
  <c r="GT7" i="6"/>
  <c r="HX7" i="6"/>
  <c r="JB7" i="6"/>
  <c r="KF7" i="6"/>
  <c r="LJ7" i="6"/>
  <c r="MN7" i="6"/>
  <c r="OV7" i="6"/>
  <c r="PZ7" i="6"/>
  <c r="RD7" i="6"/>
  <c r="AW7" i="6"/>
  <c r="CA7" i="6"/>
  <c r="DE7" i="6"/>
  <c r="EI10" i="6"/>
  <c r="FM10" i="6"/>
  <c r="GQ10" i="6"/>
  <c r="HU10" i="6"/>
  <c r="IY10" i="6"/>
  <c r="KC10" i="6"/>
  <c r="LG10" i="6"/>
  <c r="MK10" i="6"/>
  <c r="NO10" i="6"/>
  <c r="OS10" i="6"/>
  <c r="PW10" i="6"/>
  <c r="RA10" i="6"/>
  <c r="AT10" i="6"/>
  <c r="DB10" i="6"/>
  <c r="EJ10" i="6"/>
  <c r="FN10" i="6"/>
  <c r="GR10" i="6"/>
  <c r="HV10" i="6"/>
  <c r="IZ10" i="6"/>
  <c r="KD10" i="6"/>
  <c r="LH10" i="6"/>
  <c r="ML10" i="6"/>
  <c r="NP10" i="6"/>
  <c r="OT10" i="6"/>
  <c r="PX10" i="6"/>
  <c r="RB10" i="6"/>
  <c r="AU10" i="6"/>
  <c r="DC10" i="6"/>
  <c r="EL10" i="6"/>
  <c r="FP10" i="6"/>
  <c r="GT10" i="6"/>
  <c r="HX10" i="6"/>
  <c r="JB10" i="6"/>
  <c r="KF10" i="6"/>
  <c r="LJ10" i="6"/>
  <c r="MN10" i="6"/>
  <c r="OV10" i="6"/>
  <c r="OW10" i="6" s="1"/>
  <c r="PZ10" i="6"/>
  <c r="RD10" i="6"/>
  <c r="AW10" i="6"/>
  <c r="CA10" i="6"/>
  <c r="DE10" i="6"/>
  <c r="EI14" i="6"/>
  <c r="FM14" i="6"/>
  <c r="GQ14" i="6"/>
  <c r="HU14" i="6"/>
  <c r="IY14" i="6"/>
  <c r="KC14" i="6"/>
  <c r="LG14" i="6"/>
  <c r="MK14" i="6"/>
  <c r="NO14" i="6"/>
  <c r="OS14" i="6"/>
  <c r="PW14" i="6"/>
  <c r="RA14" i="6"/>
  <c r="BX14" i="6"/>
  <c r="DB14" i="6"/>
  <c r="EJ14" i="6"/>
  <c r="FN14" i="6"/>
  <c r="GR14" i="6"/>
  <c r="HV14" i="6"/>
  <c r="IZ14" i="6"/>
  <c r="KD14" i="6"/>
  <c r="LH14" i="6"/>
  <c r="ML14" i="6"/>
  <c r="NP14" i="6"/>
  <c r="OT14" i="6"/>
  <c r="PX14" i="6"/>
  <c r="RB14" i="6"/>
  <c r="BY14" i="6"/>
  <c r="DC14" i="6"/>
  <c r="EL14" i="6"/>
  <c r="FP14" i="6"/>
  <c r="GT14" i="6"/>
  <c r="HX14" i="6"/>
  <c r="JB14" i="6"/>
  <c r="KF14" i="6"/>
  <c r="LJ14" i="6"/>
  <c r="MN14" i="6"/>
  <c r="OV14" i="6"/>
  <c r="PZ14" i="6"/>
  <c r="RD14" i="6"/>
  <c r="AW14" i="6"/>
  <c r="CA14" i="6"/>
  <c r="DE14" i="6"/>
  <c r="EI8" i="6"/>
  <c r="FM8" i="6"/>
  <c r="GQ8" i="6"/>
  <c r="HU8" i="6"/>
  <c r="IY8" i="6"/>
  <c r="KC8" i="6"/>
  <c r="LG8" i="6"/>
  <c r="MK8" i="6"/>
  <c r="NO8" i="6"/>
  <c r="OS8" i="6"/>
  <c r="PW8" i="6"/>
  <c r="RA8" i="6"/>
  <c r="AT8" i="6"/>
  <c r="BX8" i="6"/>
  <c r="EJ8" i="6"/>
  <c r="FN8" i="6"/>
  <c r="GR8" i="6"/>
  <c r="HV8" i="6"/>
  <c r="IZ8" i="6"/>
  <c r="KD8" i="6"/>
  <c r="LH8" i="6"/>
  <c r="ML8" i="6"/>
  <c r="NP8" i="6"/>
  <c r="OT8" i="6"/>
  <c r="PX8" i="6"/>
  <c r="RB8" i="6"/>
  <c r="AU8" i="6"/>
  <c r="BY8" i="6"/>
  <c r="EL8" i="6"/>
  <c r="FP8" i="6"/>
  <c r="GT8" i="6"/>
  <c r="HX8" i="6"/>
  <c r="JB8" i="6"/>
  <c r="KF8" i="6"/>
  <c r="LJ8" i="6"/>
  <c r="MN8" i="6"/>
  <c r="OV8" i="6"/>
  <c r="PZ8" i="6"/>
  <c r="RD8" i="6"/>
  <c r="AW8" i="6"/>
  <c r="CA8" i="6"/>
  <c r="DE8" i="6"/>
  <c r="DF8" i="6" s="1"/>
  <c r="EI12" i="6"/>
  <c r="FM12" i="6"/>
  <c r="GQ12" i="6"/>
  <c r="HU12" i="6"/>
  <c r="IY12" i="6"/>
  <c r="KC12" i="6"/>
  <c r="LG12" i="6"/>
  <c r="MK12" i="6"/>
  <c r="NO12" i="6"/>
  <c r="OS12" i="6"/>
  <c r="PW12" i="6"/>
  <c r="RA12" i="6"/>
  <c r="AT12" i="6"/>
  <c r="DB12" i="6"/>
  <c r="EJ12" i="6"/>
  <c r="FN12" i="6"/>
  <c r="GR12" i="6"/>
  <c r="HV12" i="6"/>
  <c r="IZ12" i="6"/>
  <c r="KD12" i="6"/>
  <c r="LH12" i="6"/>
  <c r="ML12" i="6"/>
  <c r="NP12" i="6"/>
  <c r="OT12" i="6"/>
  <c r="PX12" i="6"/>
  <c r="RB12" i="6"/>
  <c r="AU12" i="6"/>
  <c r="DC12" i="6"/>
  <c r="EL12" i="6"/>
  <c r="FP12" i="6"/>
  <c r="GT12" i="6"/>
  <c r="HX12" i="6"/>
  <c r="JB12" i="6"/>
  <c r="KF12" i="6"/>
  <c r="LJ12" i="6"/>
  <c r="MN12" i="6"/>
  <c r="OV12" i="6"/>
  <c r="PZ12" i="6"/>
  <c r="RD12" i="6"/>
  <c r="AW12" i="6"/>
  <c r="AX12" i="6" s="1"/>
  <c r="CA12" i="6"/>
  <c r="DE12" i="6"/>
  <c r="EI11" i="6"/>
  <c r="FM11" i="6"/>
  <c r="GQ11" i="6"/>
  <c r="HU11" i="6"/>
  <c r="IY11" i="6"/>
  <c r="KC11" i="6"/>
  <c r="LG11" i="6"/>
  <c r="MK11" i="6"/>
  <c r="NO11" i="6"/>
  <c r="OS11" i="6"/>
  <c r="PW11" i="6"/>
  <c r="RA11" i="6"/>
  <c r="AT11" i="6"/>
  <c r="DB11" i="6"/>
  <c r="EJ11" i="6"/>
  <c r="FN11" i="6"/>
  <c r="GR11" i="6"/>
  <c r="HV11" i="6"/>
  <c r="IZ11" i="6"/>
  <c r="KD11" i="6"/>
  <c r="LH11" i="6"/>
  <c r="ML11" i="6"/>
  <c r="NP11" i="6"/>
  <c r="OT11" i="6"/>
  <c r="PX11" i="6"/>
  <c r="RB11" i="6"/>
  <c r="AU11" i="6"/>
  <c r="DC11" i="6"/>
  <c r="EL11" i="6"/>
  <c r="FP11" i="6"/>
  <c r="GT11" i="6"/>
  <c r="HX11" i="6"/>
  <c r="JB11" i="6"/>
  <c r="KF11" i="6"/>
  <c r="LJ11" i="6"/>
  <c r="MN11" i="6"/>
  <c r="OV11" i="6"/>
  <c r="PZ11" i="6"/>
  <c r="RD11" i="6"/>
  <c r="AW11" i="6"/>
  <c r="CA11" i="6"/>
  <c r="DE11" i="6"/>
  <c r="EL4" i="6"/>
  <c r="FP4" i="6"/>
  <c r="GT4" i="6"/>
  <c r="HX4" i="6"/>
  <c r="JB4" i="6"/>
  <c r="KF4" i="6"/>
  <c r="LJ4" i="6"/>
  <c r="MN4" i="6"/>
  <c r="OV4" i="6"/>
  <c r="PZ4" i="6"/>
  <c r="RD4" i="6"/>
  <c r="AW4" i="6"/>
  <c r="CA4" i="6"/>
  <c r="DE4" i="6"/>
  <c r="EJ4" i="6"/>
  <c r="FN4" i="6"/>
  <c r="GR4" i="6"/>
  <c r="HV4" i="6"/>
  <c r="IZ4" i="6"/>
  <c r="KD4" i="6"/>
  <c r="LH4" i="6"/>
  <c r="ML4" i="6"/>
  <c r="NP4" i="6"/>
  <c r="OT4" i="6"/>
  <c r="PX4" i="6"/>
  <c r="RB4" i="6"/>
  <c r="AU4" i="6"/>
  <c r="BY4" i="6"/>
  <c r="EI4" i="6"/>
  <c r="FM4" i="6"/>
  <c r="GQ4" i="6"/>
  <c r="HU4" i="6"/>
  <c r="IY4" i="6"/>
  <c r="KC4" i="6"/>
  <c r="LG4" i="6"/>
  <c r="MK4" i="6"/>
  <c r="NO4" i="6"/>
  <c r="OS4" i="6"/>
  <c r="PW4" i="6"/>
  <c r="RA4" i="6"/>
  <c r="AT4" i="6"/>
  <c r="BX4" i="6"/>
  <c r="EL5" i="5"/>
  <c r="FP5" i="5"/>
  <c r="GT5" i="5"/>
  <c r="HX5" i="5"/>
  <c r="JB5" i="5"/>
  <c r="KF5" i="5"/>
  <c r="LJ5" i="5"/>
  <c r="MN5" i="5"/>
  <c r="OV5" i="5"/>
  <c r="PZ5" i="5"/>
  <c r="RD5" i="5"/>
  <c r="AW5" i="5"/>
  <c r="CA5" i="5"/>
  <c r="DE5" i="5"/>
  <c r="EL4" i="5"/>
  <c r="FP4" i="5"/>
  <c r="GT4" i="5"/>
  <c r="HX4" i="5"/>
  <c r="JB4" i="5"/>
  <c r="KF4" i="5"/>
  <c r="LJ4" i="5"/>
  <c r="MN4" i="5"/>
  <c r="OV4" i="5"/>
  <c r="PZ4" i="5"/>
  <c r="RD4" i="5"/>
  <c r="AW4" i="5"/>
  <c r="CA4" i="5"/>
  <c r="DE4" i="5"/>
  <c r="EJ5" i="5"/>
  <c r="FN5" i="5"/>
  <c r="GR5" i="5"/>
  <c r="HV5" i="5"/>
  <c r="IZ5" i="5"/>
  <c r="KD5" i="5"/>
  <c r="LH5" i="5"/>
  <c r="ML5" i="5"/>
  <c r="NP5" i="5"/>
  <c r="OT5" i="5"/>
  <c r="PX5" i="5"/>
  <c r="RB5" i="5"/>
  <c r="BY5" i="5"/>
  <c r="DC5" i="5"/>
  <c r="EJ4" i="5"/>
  <c r="FN4" i="5"/>
  <c r="GR4" i="5"/>
  <c r="HV4" i="5"/>
  <c r="IZ4" i="5"/>
  <c r="KD4" i="5"/>
  <c r="LH4" i="5"/>
  <c r="ML4" i="5"/>
  <c r="NP4" i="5"/>
  <c r="OT4" i="5"/>
  <c r="PX4" i="5"/>
  <c r="RB4" i="5"/>
  <c r="BY4" i="5"/>
  <c r="DC4" i="5"/>
  <c r="EI5" i="5"/>
  <c r="FM5" i="5"/>
  <c r="GQ5" i="5"/>
  <c r="HU5" i="5"/>
  <c r="IY5" i="5"/>
  <c r="KC5" i="5"/>
  <c r="LG5" i="5"/>
  <c r="MK5" i="5"/>
  <c r="NO5" i="5"/>
  <c r="OS5" i="5"/>
  <c r="PW5" i="5"/>
  <c r="RA5" i="5"/>
  <c r="BX5" i="5"/>
  <c r="DB5" i="5"/>
  <c r="EI4" i="5"/>
  <c r="FM4" i="5"/>
  <c r="GQ4" i="5"/>
  <c r="HU4" i="5"/>
  <c r="IY4" i="5"/>
  <c r="KC4" i="5"/>
  <c r="LG4" i="5"/>
  <c r="MK4" i="5"/>
  <c r="NO4" i="5"/>
  <c r="OS4" i="5"/>
  <c r="PW4" i="5"/>
  <c r="RA4" i="5"/>
  <c r="BX4" i="5"/>
  <c r="DB4" i="5"/>
  <c r="PY14" i="6"/>
  <c r="PY5" i="6"/>
  <c r="RC6" i="5"/>
  <c r="RD6" i="5"/>
  <c r="RB6" i="5"/>
  <c r="RA6" i="5"/>
  <c r="QZ6" i="5"/>
  <c r="PY6" i="5"/>
  <c r="PZ6" i="5"/>
  <c r="PX6" i="5"/>
  <c r="PW6" i="5"/>
  <c r="PV6" i="5"/>
  <c r="RC5" i="5"/>
  <c r="QZ5" i="5"/>
  <c r="PY5" i="5"/>
  <c r="PV5" i="5"/>
  <c r="RC4" i="5"/>
  <c r="QZ4" i="5"/>
  <c r="PY4" i="5"/>
  <c r="PV4" i="5"/>
  <c r="OU6" i="5"/>
  <c r="OV6" i="5"/>
  <c r="OT6" i="5"/>
  <c r="OS6" i="5"/>
  <c r="OR6" i="5"/>
  <c r="NQ6" i="5"/>
  <c r="NR6" i="5"/>
  <c r="NP6" i="5"/>
  <c r="NO6" i="5"/>
  <c r="NN6" i="5"/>
  <c r="OU5" i="5"/>
  <c r="OR5" i="5"/>
  <c r="NQ5" i="5"/>
  <c r="NR5" i="5"/>
  <c r="NN5" i="5"/>
  <c r="OU4" i="5"/>
  <c r="OR4" i="5"/>
  <c r="NQ4" i="5"/>
  <c r="NR4" i="5"/>
  <c r="NN4" i="5"/>
  <c r="MM6" i="5"/>
  <c r="MN6" i="5"/>
  <c r="ML6" i="5"/>
  <c r="MK6" i="5"/>
  <c r="MJ6" i="5"/>
  <c r="LI6" i="5"/>
  <c r="LJ6" i="5"/>
  <c r="LH6" i="5"/>
  <c r="LG6" i="5"/>
  <c r="LF6" i="5"/>
  <c r="MM5" i="5"/>
  <c r="MJ5" i="5"/>
  <c r="LI5" i="5"/>
  <c r="LF5" i="5"/>
  <c r="MM4" i="5"/>
  <c r="MJ4" i="5"/>
  <c r="LI4" i="5"/>
  <c r="LK4" i="5" s="1"/>
  <c r="LF4" i="5"/>
  <c r="KE5" i="5"/>
  <c r="KE6" i="5"/>
  <c r="KE4" i="5"/>
  <c r="KG4" i="5" s="1"/>
  <c r="JA5" i="5"/>
  <c r="JA6" i="5"/>
  <c r="JA4" i="5"/>
  <c r="HW5" i="5"/>
  <c r="HY5" i="5" s="1"/>
  <c r="HW6" i="5"/>
  <c r="HW4" i="5"/>
  <c r="GS4" i="5"/>
  <c r="GS5" i="5"/>
  <c r="FO5" i="5"/>
  <c r="FO4" i="5"/>
  <c r="EK5" i="5"/>
  <c r="EK4" i="5"/>
  <c r="RC10" i="6"/>
  <c r="QZ10" i="6"/>
  <c r="PY10" i="6"/>
  <c r="PV10" i="6"/>
  <c r="RC8" i="6"/>
  <c r="QZ8" i="6"/>
  <c r="PY8" i="6"/>
  <c r="PV8" i="6"/>
  <c r="RC6" i="6"/>
  <c r="QZ6" i="6"/>
  <c r="PY6" i="6"/>
  <c r="PV6" i="6"/>
  <c r="RC12" i="6"/>
  <c r="QZ12" i="6"/>
  <c r="PY12" i="6"/>
  <c r="PV12" i="6"/>
  <c r="RC11" i="6"/>
  <c r="QZ11" i="6"/>
  <c r="PY11" i="6"/>
  <c r="PV11" i="6"/>
  <c r="RC14" i="6"/>
  <c r="QZ14" i="6"/>
  <c r="PV14" i="6"/>
  <c r="RC7" i="6"/>
  <c r="QZ7" i="6"/>
  <c r="PY7" i="6"/>
  <c r="PV7" i="6"/>
  <c r="RC5" i="6"/>
  <c r="RE5" i="6" s="1"/>
  <c r="QZ5" i="6"/>
  <c r="PV5" i="6"/>
  <c r="RC4" i="6"/>
  <c r="QZ4" i="6"/>
  <c r="PY4" i="6"/>
  <c r="PV4" i="6"/>
  <c r="OR10" i="6"/>
  <c r="NQ10" i="6"/>
  <c r="NR10" i="6"/>
  <c r="NN10" i="6"/>
  <c r="OU8" i="6"/>
  <c r="OR8" i="6"/>
  <c r="NQ8" i="6"/>
  <c r="NR8" i="6"/>
  <c r="NN8" i="6"/>
  <c r="OW6" i="6"/>
  <c r="OR6" i="6"/>
  <c r="NQ6" i="6"/>
  <c r="NR6" i="6"/>
  <c r="NN6" i="6"/>
  <c r="OU12" i="6"/>
  <c r="OR12" i="6"/>
  <c r="NQ12" i="6"/>
  <c r="NR12" i="6"/>
  <c r="NN12" i="6"/>
  <c r="OU11" i="6"/>
  <c r="OR11" i="6"/>
  <c r="NQ11" i="6"/>
  <c r="NR11" i="6"/>
  <c r="NN11" i="6"/>
  <c r="OU14" i="6"/>
  <c r="OW14" i="6" s="1"/>
  <c r="OR14" i="6"/>
  <c r="NQ14" i="6"/>
  <c r="NR14" i="6"/>
  <c r="NN14" i="6"/>
  <c r="OR7" i="6"/>
  <c r="NQ7" i="6"/>
  <c r="NR7" i="6"/>
  <c r="NN7" i="6"/>
  <c r="NQ5" i="6"/>
  <c r="NR5" i="6"/>
  <c r="NN5" i="6"/>
  <c r="OU4" i="6"/>
  <c r="OR4" i="6"/>
  <c r="NQ4" i="6"/>
  <c r="NR4" i="6"/>
  <c r="NN4" i="6"/>
  <c r="MM10" i="6"/>
  <c r="MJ10" i="6"/>
  <c r="LI10" i="6"/>
  <c r="LF10" i="6"/>
  <c r="MM8" i="6"/>
  <c r="MJ8" i="6"/>
  <c r="LI8" i="6"/>
  <c r="LF8" i="6"/>
  <c r="MM6" i="6"/>
  <c r="MO6" i="6" s="1"/>
  <c r="MJ6" i="6"/>
  <c r="LI6" i="6"/>
  <c r="LF6" i="6"/>
  <c r="MM12" i="6"/>
  <c r="MJ12" i="6"/>
  <c r="LI12" i="6"/>
  <c r="LK12" i="6" s="1"/>
  <c r="LF12" i="6"/>
  <c r="MM11" i="6"/>
  <c r="MJ11" i="6"/>
  <c r="LI11" i="6"/>
  <c r="LF11" i="6"/>
  <c r="MM14" i="6"/>
  <c r="MJ14" i="6"/>
  <c r="LI14" i="6"/>
  <c r="LF14" i="6"/>
  <c r="MM7" i="6"/>
  <c r="MO7" i="6" s="1"/>
  <c r="MJ7" i="6"/>
  <c r="LI7" i="6"/>
  <c r="LF7" i="6"/>
  <c r="MM5" i="6"/>
  <c r="MJ5" i="6"/>
  <c r="LI5" i="6"/>
  <c r="LF5" i="6"/>
  <c r="MM4" i="6"/>
  <c r="MJ4" i="6"/>
  <c r="LI4" i="6"/>
  <c r="LF4" i="6"/>
  <c r="KE5" i="6"/>
  <c r="KE7" i="6"/>
  <c r="KE14" i="6"/>
  <c r="KE11" i="6"/>
  <c r="KE12" i="6"/>
  <c r="KE6" i="6"/>
  <c r="KE8" i="6"/>
  <c r="KE10" i="6"/>
  <c r="KE4" i="6"/>
  <c r="JA5" i="6"/>
  <c r="JA7" i="6"/>
  <c r="JA14" i="6"/>
  <c r="JA11" i="6"/>
  <c r="JA12" i="6"/>
  <c r="JA6" i="6"/>
  <c r="JA8" i="6"/>
  <c r="JA10" i="6"/>
  <c r="JC10" i="6" s="1"/>
  <c r="JA4" i="6"/>
  <c r="HW5" i="6"/>
  <c r="HW7" i="6"/>
  <c r="HW14" i="6"/>
  <c r="HY14" i="6" s="1"/>
  <c r="HW11" i="6"/>
  <c r="HW12" i="6"/>
  <c r="HW6" i="6"/>
  <c r="HW8" i="6"/>
  <c r="HW10" i="6"/>
  <c r="HW4" i="6"/>
  <c r="GS5" i="6"/>
  <c r="GU5" i="6" s="1"/>
  <c r="GS7" i="6"/>
  <c r="GS14" i="6"/>
  <c r="GS11" i="6"/>
  <c r="GS12" i="6"/>
  <c r="GS6" i="6"/>
  <c r="GS8" i="6"/>
  <c r="GS10" i="6"/>
  <c r="GS4" i="6"/>
  <c r="FO5" i="6"/>
  <c r="FQ5" i="6" s="1"/>
  <c r="FO7" i="6"/>
  <c r="FO14" i="6"/>
  <c r="FO11" i="6"/>
  <c r="FO12" i="6"/>
  <c r="FO6" i="6"/>
  <c r="FQ6" i="6" s="1"/>
  <c r="FO8" i="6"/>
  <c r="FO10" i="6"/>
  <c r="FO4" i="6"/>
  <c r="EK5" i="6"/>
  <c r="EK7" i="6"/>
  <c r="EK14" i="6"/>
  <c r="EK11" i="6"/>
  <c r="EK12" i="6"/>
  <c r="EK6" i="6"/>
  <c r="EM6" i="6" s="1"/>
  <c r="EK8" i="6"/>
  <c r="EM8" i="6" s="1"/>
  <c r="EK10" i="6"/>
  <c r="EK4" i="6"/>
  <c r="MY9" i="8"/>
  <c r="MX9" i="8"/>
  <c r="MB9" i="8"/>
  <c r="MA9" i="8"/>
  <c r="MY5" i="8"/>
  <c r="MX5" i="8"/>
  <c r="MB5" i="8"/>
  <c r="MA5" i="8"/>
  <c r="MY6" i="8"/>
  <c r="MX6" i="8"/>
  <c r="MY7" i="8"/>
  <c r="MX7" i="8"/>
  <c r="MB7" i="8"/>
  <c r="MA7" i="8"/>
  <c r="LE9" i="8"/>
  <c r="LD9" i="8"/>
  <c r="KH9" i="8"/>
  <c r="KG9" i="8"/>
  <c r="LE5" i="8"/>
  <c r="LD5" i="8"/>
  <c r="KH5" i="8"/>
  <c r="KG5" i="8"/>
  <c r="LE6" i="8"/>
  <c r="LD6" i="8"/>
  <c r="KH6" i="8"/>
  <c r="KG6" i="8"/>
  <c r="LE7" i="8"/>
  <c r="LD7" i="8"/>
  <c r="KH7" i="8"/>
  <c r="KG7" i="8"/>
  <c r="JK9" i="8"/>
  <c r="JJ9" i="8"/>
  <c r="IN9" i="8"/>
  <c r="IM9" i="8"/>
  <c r="JK5" i="8"/>
  <c r="JJ5" i="8"/>
  <c r="IN5" i="8"/>
  <c r="IM5" i="8"/>
  <c r="JK6" i="8"/>
  <c r="JJ6" i="8"/>
  <c r="IN6" i="8"/>
  <c r="IM6" i="8"/>
  <c r="JK7" i="8"/>
  <c r="JJ7" i="8"/>
  <c r="IN7" i="8"/>
  <c r="IM7" i="8"/>
  <c r="HQ9" i="8"/>
  <c r="HP9" i="8"/>
  <c r="GT9" i="8"/>
  <c r="GS9" i="8"/>
  <c r="HQ5" i="8"/>
  <c r="HP5" i="8"/>
  <c r="GT5" i="8"/>
  <c r="GS5" i="8"/>
  <c r="HQ6" i="8"/>
  <c r="HP6" i="8"/>
  <c r="GT6" i="8"/>
  <c r="GS6" i="8"/>
  <c r="HQ7" i="8"/>
  <c r="HP7" i="8"/>
  <c r="GT7" i="8"/>
  <c r="GS7" i="8"/>
  <c r="EY5" i="7"/>
  <c r="EZ5" i="7"/>
  <c r="FV5" i="7"/>
  <c r="FW5" i="7"/>
  <c r="GS5" i="7"/>
  <c r="GT5" i="7"/>
  <c r="HP5" i="7"/>
  <c r="HQ5" i="7"/>
  <c r="IM5" i="7"/>
  <c r="IN5" i="7"/>
  <c r="JJ5" i="7"/>
  <c r="JK5" i="7"/>
  <c r="KG5" i="7"/>
  <c r="KH5" i="7"/>
  <c r="LE5" i="7"/>
  <c r="MA5" i="7"/>
  <c r="MB5" i="7"/>
  <c r="MX5" i="7"/>
  <c r="MY5" i="7"/>
  <c r="EY8" i="7"/>
  <c r="EZ8" i="7"/>
  <c r="FV8" i="7"/>
  <c r="FW8" i="7"/>
  <c r="GS8" i="7"/>
  <c r="GT8" i="7"/>
  <c r="HP8" i="7"/>
  <c r="HQ8" i="7"/>
  <c r="IM8" i="7"/>
  <c r="IN8" i="7"/>
  <c r="JJ8" i="7"/>
  <c r="JK8" i="7"/>
  <c r="KG8" i="7"/>
  <c r="KH8" i="7"/>
  <c r="LD8" i="7"/>
  <c r="LE8" i="7"/>
  <c r="MA8" i="7"/>
  <c r="MB8" i="7"/>
  <c r="MX8" i="7"/>
  <c r="MY8" i="7"/>
  <c r="MY4" i="7"/>
  <c r="MX4" i="7"/>
  <c r="MB4" i="7"/>
  <c r="MA4" i="7"/>
  <c r="LE4" i="7"/>
  <c r="LD4" i="7"/>
  <c r="KH4" i="7"/>
  <c r="KG4" i="7"/>
  <c r="JK4" i="7"/>
  <c r="JJ4" i="7"/>
  <c r="IN4" i="7"/>
  <c r="IM4" i="7"/>
  <c r="HQ4" i="7"/>
  <c r="HP4" i="7"/>
  <c r="GT4" i="7"/>
  <c r="GS4" i="7"/>
  <c r="DG4" i="7"/>
  <c r="DB5" i="6"/>
  <c r="DC5" i="6"/>
  <c r="BX11" i="6"/>
  <c r="BY11" i="6"/>
  <c r="DB8" i="6"/>
  <c r="DC8" i="6"/>
  <c r="DB4" i="6"/>
  <c r="DC4" i="6"/>
  <c r="DJ4" i="7"/>
  <c r="HT5" i="5"/>
  <c r="IX5" i="5"/>
  <c r="KB5" i="5"/>
  <c r="HT6" i="5"/>
  <c r="HU6" i="5"/>
  <c r="HV6" i="5"/>
  <c r="HX6" i="5"/>
  <c r="IX6" i="5"/>
  <c r="IY6" i="5"/>
  <c r="IZ6" i="5"/>
  <c r="JB6" i="5"/>
  <c r="KB6" i="5"/>
  <c r="KC6" i="5"/>
  <c r="KD6" i="5"/>
  <c r="KF6" i="5"/>
  <c r="KB4" i="5"/>
  <c r="IX4" i="5"/>
  <c r="HT4" i="5"/>
  <c r="GP4" i="5"/>
  <c r="GP5" i="5"/>
  <c r="FL5" i="5"/>
  <c r="FL4" i="5"/>
  <c r="EH5" i="5"/>
  <c r="EH4" i="5"/>
  <c r="HT5" i="6"/>
  <c r="IX5" i="6"/>
  <c r="KB5" i="6"/>
  <c r="HT7" i="6"/>
  <c r="IX7" i="6"/>
  <c r="KB7" i="6"/>
  <c r="HT14" i="6"/>
  <c r="IX14" i="6"/>
  <c r="KB14" i="6"/>
  <c r="HT11" i="6"/>
  <c r="IX11" i="6"/>
  <c r="KB11" i="6"/>
  <c r="HT12" i="6"/>
  <c r="IX12" i="6"/>
  <c r="KB12" i="6"/>
  <c r="HT6" i="6"/>
  <c r="IX6" i="6"/>
  <c r="KB6" i="6"/>
  <c r="HT8" i="6"/>
  <c r="IX8" i="6"/>
  <c r="KB8" i="6"/>
  <c r="HT10" i="6"/>
  <c r="IX10" i="6"/>
  <c r="KB10" i="6"/>
  <c r="KB4" i="6"/>
  <c r="IX4" i="6"/>
  <c r="HT4" i="6"/>
  <c r="GP5" i="6"/>
  <c r="GP7" i="6"/>
  <c r="GP14" i="6"/>
  <c r="GP11" i="6"/>
  <c r="GP12" i="6"/>
  <c r="GP6" i="6"/>
  <c r="GP8" i="6"/>
  <c r="GP10" i="6"/>
  <c r="GP4" i="6"/>
  <c r="FL5" i="6"/>
  <c r="FL7" i="6"/>
  <c r="FL14" i="6"/>
  <c r="FL11" i="6"/>
  <c r="FL12" i="6"/>
  <c r="FL6" i="6"/>
  <c r="FL8" i="6"/>
  <c r="FL10" i="6"/>
  <c r="FL4" i="6"/>
  <c r="EH5" i="6"/>
  <c r="EH7" i="6"/>
  <c r="EH14" i="6"/>
  <c r="EH11" i="6"/>
  <c r="EH12" i="6"/>
  <c r="EH6" i="6"/>
  <c r="EH8" i="6"/>
  <c r="EH10" i="6"/>
  <c r="EH4" i="6"/>
  <c r="EY6" i="8"/>
  <c r="EZ6" i="8"/>
  <c r="FV6" i="8"/>
  <c r="FW6" i="8"/>
  <c r="EY5" i="8"/>
  <c r="EZ5" i="8"/>
  <c r="FV5" i="8"/>
  <c r="FW5" i="8"/>
  <c r="EY9" i="8"/>
  <c r="EZ9" i="8"/>
  <c r="FV9" i="8"/>
  <c r="FW9" i="8"/>
  <c r="FW7" i="8"/>
  <c r="FV7" i="8"/>
  <c r="EZ7" i="8"/>
  <c r="EY7" i="8"/>
  <c r="CB5" i="5"/>
  <c r="AT5" i="5"/>
  <c r="AU5" i="5"/>
  <c r="AU4" i="5"/>
  <c r="AT4" i="5"/>
  <c r="FW4" i="7"/>
  <c r="FV4" i="7"/>
  <c r="EZ4" i="7"/>
  <c r="EY4" i="7"/>
  <c r="BX7" i="6"/>
  <c r="BY7" i="6"/>
  <c r="BX12" i="6"/>
  <c r="BY12" i="6"/>
  <c r="BX6" i="6"/>
  <c r="BY6" i="6"/>
  <c r="BX10" i="6"/>
  <c r="BY10" i="6"/>
  <c r="CB10" i="6"/>
  <c r="AX10" i="6"/>
  <c r="AU14" i="6"/>
  <c r="AT14" i="6"/>
  <c r="DE7" i="8"/>
  <c r="EC9" i="8"/>
  <c r="EB9" i="8"/>
  <c r="EC5" i="8"/>
  <c r="EB5" i="8"/>
  <c r="EC6" i="8"/>
  <c r="EB6" i="8"/>
  <c r="EC7" i="8"/>
  <c r="EB7" i="8"/>
  <c r="EC8" i="7"/>
  <c r="EB8" i="7"/>
  <c r="EC5" i="7"/>
  <c r="EB5" i="7"/>
  <c r="EC4" i="7"/>
  <c r="EB4" i="7"/>
  <c r="DF9" i="8"/>
  <c r="DE9" i="8"/>
  <c r="DF5" i="8"/>
  <c r="DE5" i="8"/>
  <c r="DF6" i="8"/>
  <c r="DE6" i="8"/>
  <c r="DF7" i="8"/>
  <c r="DF8" i="7"/>
  <c r="DE8" i="7"/>
  <c r="DF5" i="7"/>
  <c r="DE5" i="7"/>
  <c r="DF4" i="7"/>
  <c r="DE4" i="7"/>
  <c r="QA6" i="6" l="1"/>
  <c r="LK7" i="6"/>
  <c r="GU14" i="6"/>
  <c r="FQ8" i="6"/>
  <c r="HY5" i="6"/>
  <c r="AX6" i="6"/>
  <c r="KG10" i="6"/>
  <c r="QA8" i="6"/>
  <c r="CB12" i="6"/>
  <c r="AX11" i="6"/>
  <c r="AX4" i="6"/>
  <c r="DF14" i="6"/>
  <c r="JC12" i="6"/>
  <c r="KG12" i="6"/>
  <c r="HY10" i="6"/>
  <c r="DF4" i="5"/>
  <c r="JC5" i="5"/>
  <c r="CB14" i="6"/>
  <c r="AX7" i="6"/>
  <c r="MO5" i="5"/>
  <c r="QA4" i="5"/>
  <c r="MO4" i="5"/>
  <c r="LK5" i="5"/>
  <c r="FQ4" i="5"/>
  <c r="JC4" i="5"/>
  <c r="AX4" i="5"/>
  <c r="OW4" i="5"/>
  <c r="DF7" i="6"/>
  <c r="LX6" i="4"/>
  <c r="LZ6" i="4" s="1"/>
  <c r="LC4" i="2"/>
  <c r="LE4" i="2" s="1"/>
  <c r="KG6" i="6"/>
  <c r="CB7" i="6"/>
  <c r="HY7" i="6"/>
  <c r="MO5" i="6"/>
  <c r="FQ10" i="6"/>
  <c r="HY4" i="5"/>
  <c r="DF4" i="6"/>
  <c r="LK8" i="6"/>
  <c r="MO14" i="6"/>
  <c r="JC4" i="6"/>
  <c r="LK11" i="6"/>
  <c r="CB4" i="6"/>
  <c r="AX8" i="6"/>
  <c r="HY12" i="6"/>
  <c r="GU11" i="6"/>
  <c r="GU10" i="6"/>
  <c r="FQ11" i="6"/>
  <c r="CB8" i="6"/>
  <c r="CB11" i="6"/>
  <c r="QA5" i="5"/>
  <c r="DF5" i="5"/>
  <c r="FQ5" i="5"/>
  <c r="GU5" i="5"/>
  <c r="RE5" i="5"/>
  <c r="OW8" i="6"/>
  <c r="RE14" i="6"/>
  <c r="CB5" i="6"/>
  <c r="KG4" i="6"/>
  <c r="MO12" i="6"/>
  <c r="RE11" i="6"/>
  <c r="HY11" i="6"/>
  <c r="JC11" i="6"/>
  <c r="EM14" i="6"/>
  <c r="AX14" i="6"/>
  <c r="DI5" i="7"/>
  <c r="DK5" i="7" s="1"/>
  <c r="GG10" i="2"/>
  <c r="GI10" i="2" s="1"/>
  <c r="DF12" i="6"/>
  <c r="HY4" i="6"/>
  <c r="MO8" i="6"/>
  <c r="FQ14" i="6"/>
  <c r="KG7" i="6"/>
  <c r="QA5" i="6"/>
  <c r="GU4" i="6"/>
  <c r="DF6" i="6"/>
  <c r="EM11" i="6"/>
  <c r="DF10" i="6"/>
  <c r="RE10" i="6"/>
  <c r="CB6" i="6"/>
  <c r="JC7" i="6"/>
  <c r="EM5" i="6"/>
  <c r="LK6" i="6"/>
  <c r="DF11" i="6"/>
  <c r="S13" i="6"/>
  <c r="T13" i="6"/>
  <c r="E13" i="6"/>
  <c r="GU4" i="5"/>
  <c r="LC15" i="2"/>
  <c r="LE15" i="2" s="1"/>
  <c r="T17" i="4"/>
  <c r="S17" i="4"/>
  <c r="E17" i="4"/>
  <c r="ME6" i="8"/>
  <c r="MG6" i="8" s="1"/>
  <c r="DA4" i="2"/>
  <c r="DC4" i="2" s="1"/>
  <c r="EQ15" i="2"/>
  <c r="ES15" i="2" s="1"/>
  <c r="EQ4" i="4"/>
  <c r="ES4" i="4" s="1"/>
  <c r="FL16" i="4"/>
  <c r="FN16" i="4" s="1"/>
  <c r="EQ7" i="4"/>
  <c r="ES7" i="4" s="1"/>
  <c r="DI9" i="8"/>
  <c r="DK9" i="8" s="1"/>
  <c r="CB4" i="5"/>
  <c r="EM4" i="6"/>
  <c r="GU12" i="6"/>
  <c r="KG5" i="5"/>
  <c r="EM4" i="5"/>
  <c r="J4" i="5"/>
  <c r="K4" i="5" s="1"/>
  <c r="EF5" i="7"/>
  <c r="EH5" i="7" s="1"/>
  <c r="G6" i="4"/>
  <c r="JC8" i="6"/>
  <c r="JC6" i="6"/>
  <c r="GU7" i="6"/>
  <c r="RE7" i="6"/>
  <c r="EM10" i="6"/>
  <c r="LK5" i="6"/>
  <c r="LK14" i="6"/>
  <c r="KG11" i="6"/>
  <c r="FQ12" i="6"/>
  <c r="F15" i="2"/>
  <c r="F4" i="2"/>
  <c r="JM9" i="2"/>
  <c r="JO9" i="2" s="1"/>
  <c r="G15" i="4"/>
  <c r="F9" i="4"/>
  <c r="G9" i="4"/>
  <c r="G7" i="4"/>
  <c r="F6" i="4"/>
  <c r="H5" i="5"/>
  <c r="RE4" i="5"/>
  <c r="F5" i="5"/>
  <c r="I5" i="5" s="1"/>
  <c r="G5" i="5"/>
  <c r="H4" i="5"/>
  <c r="AX5" i="5"/>
  <c r="F4" i="5"/>
  <c r="I4" i="5" s="1"/>
  <c r="G4" i="5"/>
  <c r="EM5" i="5"/>
  <c r="OW5" i="5"/>
  <c r="KG5" i="6"/>
  <c r="MO10" i="6"/>
  <c r="QA7" i="6"/>
  <c r="MO4" i="6"/>
  <c r="QA12" i="6"/>
  <c r="HY8" i="6"/>
  <c r="HY6" i="6"/>
  <c r="KG14" i="6"/>
  <c r="FQ7" i="6"/>
  <c r="G7" i="6"/>
  <c r="F7" i="6"/>
  <c r="I7" i="6" s="1"/>
  <c r="H14" i="6"/>
  <c r="G4" i="6"/>
  <c r="F4" i="6"/>
  <c r="I4" i="6" s="1"/>
  <c r="H6" i="6"/>
  <c r="F14" i="6"/>
  <c r="I14" i="6" s="1"/>
  <c r="G14" i="6"/>
  <c r="H12" i="6"/>
  <c r="G6" i="6"/>
  <c r="F6" i="6"/>
  <c r="I6" i="6" s="1"/>
  <c r="H10" i="6"/>
  <c r="RE4" i="6"/>
  <c r="GU8" i="6"/>
  <c r="JC14" i="6"/>
  <c r="GU6" i="6"/>
  <c r="F12" i="6"/>
  <c r="I12" i="6" s="1"/>
  <c r="G12" i="6"/>
  <c r="H11" i="6"/>
  <c r="H5" i="6"/>
  <c r="G10" i="6"/>
  <c r="F10" i="6"/>
  <c r="I10" i="6" s="1"/>
  <c r="H8" i="6"/>
  <c r="G11" i="6"/>
  <c r="F11" i="6"/>
  <c r="I11" i="6" s="1"/>
  <c r="G5" i="6"/>
  <c r="F5" i="6"/>
  <c r="I5" i="6" s="1"/>
  <c r="H7" i="6"/>
  <c r="OW11" i="6"/>
  <c r="F8" i="6"/>
  <c r="I8" i="6" s="1"/>
  <c r="G8" i="6"/>
  <c r="H4" i="6"/>
  <c r="CI6" i="8"/>
  <c r="CK6" i="8" s="1"/>
  <c r="BL7" i="8"/>
  <c r="BN7" i="8" s="1"/>
  <c r="F8" i="7"/>
  <c r="F5" i="7"/>
  <c r="F4" i="7"/>
  <c r="AO5" i="7"/>
  <c r="AQ5" i="7" s="1"/>
  <c r="ME5" i="7"/>
  <c r="MG5" i="7" s="1"/>
  <c r="G5" i="7"/>
  <c r="G4" i="7"/>
  <c r="G8" i="7"/>
  <c r="NB5" i="7"/>
  <c r="ND5" i="7" s="1"/>
  <c r="G9" i="2"/>
  <c r="G10" i="2"/>
  <c r="LX10" i="2"/>
  <c r="LZ10" i="2" s="1"/>
  <c r="KH10" i="2"/>
  <c r="KJ10" i="2" s="1"/>
  <c r="G15" i="2"/>
  <c r="G4" i="2"/>
  <c r="JM10" i="2"/>
  <c r="JO10" i="2" s="1"/>
  <c r="DA10" i="2"/>
  <c r="DC10" i="2" s="1"/>
  <c r="F9" i="2"/>
  <c r="F10" i="2"/>
  <c r="HB4" i="2"/>
  <c r="HD4" i="2" s="1"/>
  <c r="IR15" i="2"/>
  <c r="IT15" i="2" s="1"/>
  <c r="G16" i="4"/>
  <c r="G4" i="4"/>
  <c r="G10" i="4"/>
  <c r="F7" i="4"/>
  <c r="G11" i="4"/>
  <c r="FL15" i="4"/>
  <c r="FN15" i="4" s="1"/>
  <c r="EQ10" i="4"/>
  <c r="ES10" i="4" s="1"/>
  <c r="G8" i="4"/>
  <c r="GG11" i="4"/>
  <c r="GI11" i="4" s="1"/>
  <c r="DV10" i="4"/>
  <c r="DX10" i="4" s="1"/>
  <c r="G5" i="4"/>
  <c r="F5" i="4"/>
  <c r="KH7" i="4"/>
  <c r="KJ7" i="4" s="1"/>
  <c r="F11" i="4"/>
  <c r="FL7" i="4"/>
  <c r="FN7" i="4" s="1"/>
  <c r="HB5" i="4"/>
  <c r="HD5" i="4" s="1"/>
  <c r="F4" i="4"/>
  <c r="F8" i="4"/>
  <c r="F15" i="4"/>
  <c r="F16" i="4"/>
  <c r="F10" i="4"/>
  <c r="G5" i="8"/>
  <c r="F5" i="8"/>
  <c r="EF6" i="8"/>
  <c r="EH6" i="8" s="1"/>
  <c r="G9" i="8"/>
  <c r="F9" i="8"/>
  <c r="GW7" i="8"/>
  <c r="GY7" i="8" s="1"/>
  <c r="F6" i="8"/>
  <c r="G6" i="8"/>
  <c r="NB6" i="8"/>
  <c r="ND6" i="8" s="1"/>
  <c r="G7" i="8"/>
  <c r="F7" i="8"/>
  <c r="JC6" i="5"/>
  <c r="JC5" i="6"/>
  <c r="LK10" i="6"/>
  <c r="OW12" i="6"/>
  <c r="OW7" i="6"/>
  <c r="RE6" i="6"/>
  <c r="EM12" i="6"/>
  <c r="LK4" i="6"/>
  <c r="RE8" i="6"/>
  <c r="EM7" i="6"/>
  <c r="FZ8" i="7"/>
  <c r="GB8" i="7" s="1"/>
  <c r="KK5" i="7"/>
  <c r="KM5" i="7" s="1"/>
  <c r="GW5" i="7"/>
  <c r="GY5" i="7" s="1"/>
  <c r="GG4" i="4"/>
  <c r="GI4" i="4" s="1"/>
  <c r="JM4" i="4"/>
  <c r="JO4" i="4" s="1"/>
  <c r="DA4" i="4"/>
  <c r="DC4" i="4" s="1"/>
  <c r="HW8" i="4"/>
  <c r="HY8" i="4" s="1"/>
  <c r="HB16" i="4"/>
  <c r="HD16" i="4" s="1"/>
  <c r="DA7" i="4"/>
  <c r="DC7" i="4" s="1"/>
  <c r="LC5" i="4"/>
  <c r="LE5" i="4" s="1"/>
  <c r="KG8" i="6"/>
  <c r="MO11" i="6"/>
  <c r="QA10" i="6"/>
  <c r="FQ4" i="6"/>
  <c r="DI7" i="8"/>
  <c r="DK7" i="8" s="1"/>
  <c r="LH9" i="8"/>
  <c r="LJ9" i="8" s="1"/>
  <c r="KK5" i="8"/>
  <c r="KM5" i="8" s="1"/>
  <c r="FC6" i="8"/>
  <c r="FE6" i="8" s="1"/>
  <c r="AO8" i="7"/>
  <c r="BL4" i="7"/>
  <c r="BN4" i="7" s="1"/>
  <c r="ME8" i="7"/>
  <c r="MG8" i="7" s="1"/>
  <c r="HT4" i="7"/>
  <c r="HV4" i="7" s="1"/>
  <c r="KK4" i="7"/>
  <c r="KM4" i="7" s="1"/>
  <c r="FZ4" i="7"/>
  <c r="GB4" i="7" s="1"/>
  <c r="FL9" i="2"/>
  <c r="FN9" i="2" s="1"/>
  <c r="BH15" i="2"/>
  <c r="BJ15" i="2" s="1"/>
  <c r="CC4" i="2"/>
  <c r="CE4" i="2" s="1"/>
  <c r="BH9" i="2"/>
  <c r="BJ9" i="2" s="1"/>
  <c r="KH4" i="2"/>
  <c r="KJ4" i="2" s="1"/>
  <c r="DV4" i="2"/>
  <c r="DX4" i="2" s="1"/>
  <c r="GG4" i="2"/>
  <c r="GI4" i="2" s="1"/>
  <c r="JM4" i="2"/>
  <c r="JO4" i="2" s="1"/>
  <c r="FL10" i="2"/>
  <c r="FN10" i="2" s="1"/>
  <c r="IR10" i="2"/>
  <c r="IT10" i="2" s="1"/>
  <c r="AM15" i="2"/>
  <c r="GG9" i="2"/>
  <c r="GI9" i="2" s="1"/>
  <c r="DA9" i="2"/>
  <c r="DC9" i="2" s="1"/>
  <c r="HB15" i="2"/>
  <c r="HD15" i="2" s="1"/>
  <c r="KH15" i="2"/>
  <c r="KJ15" i="2" s="1"/>
  <c r="DV15" i="2"/>
  <c r="DX15" i="2" s="1"/>
  <c r="LX4" i="2"/>
  <c r="LZ4" i="2" s="1"/>
  <c r="FL4" i="2"/>
  <c r="FN4" i="2" s="1"/>
  <c r="IR4" i="2"/>
  <c r="IT4" i="2" s="1"/>
  <c r="LC10" i="2"/>
  <c r="LE10" i="2" s="1"/>
  <c r="EQ10" i="2"/>
  <c r="ES10" i="2" s="1"/>
  <c r="HW10" i="2"/>
  <c r="HY10" i="2" s="1"/>
  <c r="GG15" i="2"/>
  <c r="GI15" i="2" s="1"/>
  <c r="JM15" i="2"/>
  <c r="JO15" i="2" s="1"/>
  <c r="DA15" i="2"/>
  <c r="DC15" i="2" s="1"/>
  <c r="AM16" i="4"/>
  <c r="AO16" i="4" s="1"/>
  <c r="P15" i="4"/>
  <c r="Q15" i="4" s="1"/>
  <c r="CC16" i="4"/>
  <c r="CE16" i="4" s="1"/>
  <c r="BH7" i="4"/>
  <c r="BJ7" i="4" s="1"/>
  <c r="AM5" i="4"/>
  <c r="CC11" i="4"/>
  <c r="CE11" i="4" s="1"/>
  <c r="BH15" i="4"/>
  <c r="BJ15" i="4" s="1"/>
  <c r="AM10" i="4"/>
  <c r="AO10" i="4" s="1"/>
  <c r="HB8" i="4"/>
  <c r="HD8" i="4" s="1"/>
  <c r="FL8" i="4"/>
  <c r="FN8" i="4" s="1"/>
  <c r="JM6" i="4"/>
  <c r="JO6" i="4" s="1"/>
  <c r="HB11" i="4"/>
  <c r="HD11" i="4" s="1"/>
  <c r="GG15" i="4"/>
  <c r="GI15" i="4" s="1"/>
  <c r="RE6" i="5"/>
  <c r="HY6" i="5"/>
  <c r="P7" i="6"/>
  <c r="Q7" i="6" s="1"/>
  <c r="J12" i="6"/>
  <c r="K12" i="6" s="1"/>
  <c r="NS14" i="6"/>
  <c r="J11" i="6"/>
  <c r="P12" i="6"/>
  <c r="Q12" i="6" s="1"/>
  <c r="LH7" i="8"/>
  <c r="LJ7" i="8" s="1"/>
  <c r="EF7" i="8"/>
  <c r="EH7" i="8" s="1"/>
  <c r="NB9" i="8"/>
  <c r="ND9" i="8" s="1"/>
  <c r="FZ9" i="8"/>
  <c r="GB9" i="8" s="1"/>
  <c r="IQ5" i="8"/>
  <c r="IS5" i="8" s="1"/>
  <c r="ME5" i="8"/>
  <c r="MG5" i="8" s="1"/>
  <c r="FC5" i="8"/>
  <c r="FE5" i="8" s="1"/>
  <c r="KK7" i="8"/>
  <c r="KM7" i="8" s="1"/>
  <c r="IQ9" i="8"/>
  <c r="IS9" i="8" s="1"/>
  <c r="GW6" i="8"/>
  <c r="GY6" i="8" s="1"/>
  <c r="P9" i="8"/>
  <c r="CN9" i="8" s="1"/>
  <c r="ME9" i="8"/>
  <c r="MG9" i="8" s="1"/>
  <c r="FC9" i="8"/>
  <c r="FE9" i="8" s="1"/>
  <c r="EF5" i="8"/>
  <c r="EH5" i="8" s="1"/>
  <c r="JN7" i="8"/>
  <c r="JP7" i="8" s="1"/>
  <c r="NB7" i="8"/>
  <c r="ND7" i="8" s="1"/>
  <c r="FZ7" i="8"/>
  <c r="GB7" i="8" s="1"/>
  <c r="HT9" i="8"/>
  <c r="HV9" i="8" s="1"/>
  <c r="EF9" i="8"/>
  <c r="EH9" i="8" s="1"/>
  <c r="GW5" i="8"/>
  <c r="GY5" i="8" s="1"/>
  <c r="JN6" i="8"/>
  <c r="JP6" i="8" s="1"/>
  <c r="BL5" i="8"/>
  <c r="BN5" i="8" s="1"/>
  <c r="AO7" i="8"/>
  <c r="IQ7" i="8"/>
  <c r="IS7" i="8" s="1"/>
  <c r="FC7" i="8"/>
  <c r="FE7" i="8" s="1"/>
  <c r="AO6" i="8"/>
  <c r="JN9" i="8"/>
  <c r="JP9" i="8" s="1"/>
  <c r="BL9" i="8"/>
  <c r="BN9" i="8" s="1"/>
  <c r="AO5" i="8"/>
  <c r="IQ4" i="7"/>
  <c r="IS4" i="7" s="1"/>
  <c r="JN8" i="7"/>
  <c r="JP8" i="7" s="1"/>
  <c r="NB8" i="7"/>
  <c r="ND8" i="7" s="1"/>
  <c r="ME4" i="7"/>
  <c r="MG4" i="7" s="1"/>
  <c r="FC4" i="7"/>
  <c r="FE4" i="7" s="1"/>
  <c r="IQ8" i="7"/>
  <c r="IS8" i="7" s="1"/>
  <c r="FC8" i="7"/>
  <c r="FE8" i="7" s="1"/>
  <c r="LH4" i="7"/>
  <c r="LJ4" i="7" s="1"/>
  <c r="EF4" i="7"/>
  <c r="EH4" i="7" s="1"/>
  <c r="LH8" i="7"/>
  <c r="LJ8" i="7" s="1"/>
  <c r="EF8" i="7"/>
  <c r="EH8" i="7" s="1"/>
  <c r="IQ5" i="7"/>
  <c r="IS5" i="7" s="1"/>
  <c r="KK8" i="7"/>
  <c r="KM8" i="7" s="1"/>
  <c r="DI8" i="7"/>
  <c r="DK8" i="7" s="1"/>
  <c r="CI5" i="7"/>
  <c r="CK5" i="7" s="1"/>
  <c r="LC9" i="2"/>
  <c r="LE9" i="2" s="1"/>
  <c r="HW9" i="2"/>
  <c r="HY9" i="2" s="1"/>
  <c r="LX15" i="2"/>
  <c r="LZ15" i="2" s="1"/>
  <c r="HW4" i="2"/>
  <c r="HY4" i="2" s="1"/>
  <c r="HB10" i="2"/>
  <c r="HD10" i="2" s="1"/>
  <c r="HW15" i="2"/>
  <c r="HY15" i="2" s="1"/>
  <c r="AM10" i="2"/>
  <c r="CC9" i="2"/>
  <c r="CE9" i="2" s="1"/>
  <c r="HB9" i="4"/>
  <c r="HD9" i="4" s="1"/>
  <c r="KH9" i="4"/>
  <c r="KJ9" i="4" s="1"/>
  <c r="DV9" i="4"/>
  <c r="DX9" i="4" s="1"/>
  <c r="GG9" i="4"/>
  <c r="GI9" i="4" s="1"/>
  <c r="JM9" i="4"/>
  <c r="JO9" i="4" s="1"/>
  <c r="DA9" i="4"/>
  <c r="DC9" i="4" s="1"/>
  <c r="CC9" i="4"/>
  <c r="CE9" i="4" s="1"/>
  <c r="CC4" i="4"/>
  <c r="CE4" i="4" s="1"/>
  <c r="CC8" i="4"/>
  <c r="CE8" i="4" s="1"/>
  <c r="BH16" i="4"/>
  <c r="BJ16" i="4" s="1"/>
  <c r="AM7" i="4"/>
  <c r="IR6" i="4"/>
  <c r="IT6" i="4" s="1"/>
  <c r="HW5" i="4"/>
  <c r="HY5" i="4" s="1"/>
  <c r="IR4" i="4"/>
  <c r="IT4" i="4" s="1"/>
  <c r="LX4" i="4"/>
  <c r="LZ4" i="4" s="1"/>
  <c r="FL4" i="4"/>
  <c r="FN4" i="4" s="1"/>
  <c r="DV5" i="4"/>
  <c r="DX5" i="4" s="1"/>
  <c r="P5" i="4"/>
  <c r="Q5" i="4" s="1"/>
  <c r="IR11" i="4"/>
  <c r="IT11" i="4" s="1"/>
  <c r="HW15" i="4"/>
  <c r="HY15" i="4" s="1"/>
  <c r="HB10" i="4"/>
  <c r="HD10" i="4" s="1"/>
  <c r="LX9" i="4"/>
  <c r="LZ9" i="4" s="1"/>
  <c r="FL9" i="4"/>
  <c r="FN9" i="4" s="1"/>
  <c r="HW4" i="4"/>
  <c r="HY4" i="4" s="1"/>
  <c r="LC4" i="4"/>
  <c r="LE4" i="4" s="1"/>
  <c r="HB6" i="4"/>
  <c r="HD6" i="4" s="1"/>
  <c r="JM5" i="4"/>
  <c r="JO5" i="4" s="1"/>
  <c r="EQ11" i="4"/>
  <c r="ES11" i="4" s="1"/>
  <c r="DV15" i="4"/>
  <c r="DX15" i="4" s="1"/>
  <c r="GG10" i="4"/>
  <c r="GI10" i="4" s="1"/>
  <c r="JM10" i="4"/>
  <c r="JO10" i="4" s="1"/>
  <c r="DA10" i="4"/>
  <c r="DC10" i="4" s="1"/>
  <c r="BH10" i="4"/>
  <c r="BJ10" i="4" s="1"/>
  <c r="HW9" i="4"/>
  <c r="HY9" i="4" s="1"/>
  <c r="LC9" i="4"/>
  <c r="LE9" i="4" s="1"/>
  <c r="EQ9" i="4"/>
  <c r="ES9" i="4" s="1"/>
  <c r="HB4" i="4"/>
  <c r="HD4" i="4" s="1"/>
  <c r="KH4" i="4"/>
  <c r="KJ4" i="4" s="1"/>
  <c r="DV4" i="4"/>
  <c r="DX4" i="4" s="1"/>
  <c r="EQ16" i="4"/>
  <c r="ES16" i="4" s="1"/>
  <c r="HW16" i="4"/>
  <c r="HY16" i="4" s="1"/>
  <c r="P7" i="4"/>
  <c r="Q7" i="4" s="1"/>
  <c r="GG6" i="4"/>
  <c r="GI6" i="4" s="1"/>
  <c r="LX5" i="4"/>
  <c r="LZ5" i="4" s="1"/>
  <c r="J5" i="5"/>
  <c r="N5" i="5" s="1"/>
  <c r="LK6" i="5"/>
  <c r="NS4" i="5"/>
  <c r="NS6" i="5"/>
  <c r="QA6" i="5"/>
  <c r="KG6" i="5"/>
  <c r="OW6" i="5"/>
  <c r="MO6" i="5"/>
  <c r="NS5" i="5"/>
  <c r="NS11" i="6"/>
  <c r="J10" i="6"/>
  <c r="L10" i="6" s="1"/>
  <c r="J5" i="6"/>
  <c r="L5" i="6" s="1"/>
  <c r="RE12" i="6"/>
  <c r="QA11" i="6"/>
  <c r="QA14" i="6"/>
  <c r="OW4" i="6"/>
  <c r="NS12" i="6"/>
  <c r="NS6" i="6"/>
  <c r="NS5" i="6"/>
  <c r="NS8" i="6"/>
  <c r="NS4" i="6"/>
  <c r="QA4" i="6"/>
  <c r="J14" i="6"/>
  <c r="L14" i="6" s="1"/>
  <c r="J7" i="6"/>
  <c r="L7" i="6" s="1"/>
  <c r="J4" i="6"/>
  <c r="N4" i="6" s="1"/>
  <c r="NS10" i="6"/>
  <c r="J6" i="6"/>
  <c r="NS7" i="6"/>
  <c r="J8" i="6"/>
  <c r="HT7" i="8"/>
  <c r="HV7" i="8" s="1"/>
  <c r="LH6" i="8"/>
  <c r="LJ6" i="8" s="1"/>
  <c r="HT6" i="8"/>
  <c r="HV6" i="8" s="1"/>
  <c r="AO9" i="8"/>
  <c r="LH5" i="8"/>
  <c r="LJ5" i="8" s="1"/>
  <c r="HT5" i="8"/>
  <c r="HV5" i="8" s="1"/>
  <c r="P6" i="8"/>
  <c r="Q6" i="8" s="1"/>
  <c r="KK6" i="8"/>
  <c r="KM6" i="8" s="1"/>
  <c r="DI6" i="8"/>
  <c r="DK6" i="8" s="1"/>
  <c r="DI5" i="8"/>
  <c r="DK5" i="8" s="1"/>
  <c r="FZ6" i="8"/>
  <c r="GB6" i="8" s="1"/>
  <c r="ME7" i="8"/>
  <c r="MG7" i="8" s="1"/>
  <c r="KK9" i="8"/>
  <c r="KM9" i="8" s="1"/>
  <c r="GW9" i="8"/>
  <c r="GY9" i="8" s="1"/>
  <c r="JN5" i="8"/>
  <c r="JP5" i="8" s="1"/>
  <c r="NB5" i="8"/>
  <c r="ND5" i="8" s="1"/>
  <c r="FZ5" i="8"/>
  <c r="GB5" i="8" s="1"/>
  <c r="CI5" i="8"/>
  <c r="CK5" i="8" s="1"/>
  <c r="CI9" i="8"/>
  <c r="CK9" i="8" s="1"/>
  <c r="IQ6" i="8"/>
  <c r="IS6" i="8" s="1"/>
  <c r="CI7" i="8"/>
  <c r="CK7" i="8" s="1"/>
  <c r="P7" i="8"/>
  <c r="BL6" i="8"/>
  <c r="BN6" i="8" s="1"/>
  <c r="BL5" i="7"/>
  <c r="BN5" i="7" s="1"/>
  <c r="JN5" i="7"/>
  <c r="JP5" i="7" s="1"/>
  <c r="FZ5" i="7"/>
  <c r="GB5" i="7" s="1"/>
  <c r="HT8" i="7"/>
  <c r="HV8" i="7" s="1"/>
  <c r="FC5" i="7"/>
  <c r="FE5" i="7" s="1"/>
  <c r="CI8" i="7"/>
  <c r="CK8" i="7" s="1"/>
  <c r="GW4" i="7"/>
  <c r="GY4" i="7" s="1"/>
  <c r="JN4" i="7"/>
  <c r="JP4" i="7" s="1"/>
  <c r="GW8" i="7"/>
  <c r="GY8" i="7" s="1"/>
  <c r="HT5" i="7"/>
  <c r="HV5" i="7" s="1"/>
  <c r="LH5" i="7"/>
  <c r="LJ5" i="7" s="1"/>
  <c r="NB4" i="7"/>
  <c r="ND4" i="7" s="1"/>
  <c r="AO4" i="7"/>
  <c r="BL8" i="7"/>
  <c r="BN8" i="7" s="1"/>
  <c r="P5" i="7"/>
  <c r="Q5" i="7" s="1"/>
  <c r="DI4" i="7"/>
  <c r="DK4" i="7" s="1"/>
  <c r="CI4" i="7"/>
  <c r="CK4" i="7" s="1"/>
  <c r="P8" i="7"/>
  <c r="IR9" i="2"/>
  <c r="IT9" i="2" s="1"/>
  <c r="LX9" i="2"/>
  <c r="LZ9" i="2" s="1"/>
  <c r="P9" i="2"/>
  <c r="Q9" i="2" s="1"/>
  <c r="BH4" i="2"/>
  <c r="BJ4" i="2" s="1"/>
  <c r="EQ9" i="2"/>
  <c r="ES9" i="2" s="1"/>
  <c r="FL15" i="2"/>
  <c r="FN15" i="2" s="1"/>
  <c r="EQ4" i="2"/>
  <c r="ES4" i="2" s="1"/>
  <c r="DV10" i="2"/>
  <c r="DX10" i="2" s="1"/>
  <c r="HB9" i="2"/>
  <c r="HD9" i="2" s="1"/>
  <c r="KH9" i="2"/>
  <c r="KJ9" i="2" s="1"/>
  <c r="DV9" i="2"/>
  <c r="DX9" i="2" s="1"/>
  <c r="CC10" i="2"/>
  <c r="CE10" i="2" s="1"/>
  <c r="CC15" i="2"/>
  <c r="CE15" i="2" s="1"/>
  <c r="BH10" i="2"/>
  <c r="BJ10" i="2" s="1"/>
  <c r="AM9" i="2"/>
  <c r="P10" i="2"/>
  <c r="AM4" i="2"/>
  <c r="P15" i="2"/>
  <c r="P4" i="2"/>
  <c r="BH6" i="4"/>
  <c r="BJ6" i="4" s="1"/>
  <c r="GG16" i="4"/>
  <c r="GI16" i="4" s="1"/>
  <c r="LX7" i="4"/>
  <c r="LZ7" i="4" s="1"/>
  <c r="FL6" i="4"/>
  <c r="FN6" i="4" s="1"/>
  <c r="JM8" i="4"/>
  <c r="JO8" i="4" s="1"/>
  <c r="DA8" i="4"/>
  <c r="DC8" i="4" s="1"/>
  <c r="GG8" i="4"/>
  <c r="GI8" i="4" s="1"/>
  <c r="IR16" i="4"/>
  <c r="IT16" i="4" s="1"/>
  <c r="LX16" i="4"/>
  <c r="LZ16" i="4" s="1"/>
  <c r="HW7" i="4"/>
  <c r="HY7" i="4" s="1"/>
  <c r="LC7" i="4"/>
  <c r="LE7" i="4" s="1"/>
  <c r="HW6" i="4"/>
  <c r="HY6" i="4" s="1"/>
  <c r="LC6" i="4"/>
  <c r="LE6" i="4" s="1"/>
  <c r="EQ6" i="4"/>
  <c r="ES6" i="4" s="1"/>
  <c r="KH5" i="4"/>
  <c r="KJ5" i="4" s="1"/>
  <c r="JM11" i="4"/>
  <c r="JO11" i="4" s="1"/>
  <c r="DA11" i="4"/>
  <c r="DC11" i="4" s="1"/>
  <c r="LX15" i="4"/>
  <c r="LZ15" i="4" s="1"/>
  <c r="IR15" i="4"/>
  <c r="IT15" i="4" s="1"/>
  <c r="LC10" i="4"/>
  <c r="LE10" i="4" s="1"/>
  <c r="HW10" i="4"/>
  <c r="HY10" i="4" s="1"/>
  <c r="BH9" i="4"/>
  <c r="BJ9" i="4" s="1"/>
  <c r="KH11" i="4"/>
  <c r="KJ11" i="4" s="1"/>
  <c r="DA15" i="4"/>
  <c r="DC15" i="4" s="1"/>
  <c r="FL10" i="4"/>
  <c r="FN10" i="4" s="1"/>
  <c r="BH8" i="4"/>
  <c r="BJ8" i="4" s="1"/>
  <c r="IR8" i="4"/>
  <c r="IT8" i="4" s="1"/>
  <c r="LX8" i="4"/>
  <c r="LZ8" i="4" s="1"/>
  <c r="LC16" i="4"/>
  <c r="LE16" i="4" s="1"/>
  <c r="HB7" i="4"/>
  <c r="HD7" i="4" s="1"/>
  <c r="DV7" i="4"/>
  <c r="DX7" i="4" s="1"/>
  <c r="KH6" i="4"/>
  <c r="KJ6" i="4" s="1"/>
  <c r="DV6" i="4"/>
  <c r="DX6" i="4" s="1"/>
  <c r="GG5" i="4"/>
  <c r="GI5" i="4" s="1"/>
  <c r="DA5" i="4"/>
  <c r="DC5" i="4" s="1"/>
  <c r="LX11" i="4"/>
  <c r="LZ11" i="4" s="1"/>
  <c r="FL11" i="4"/>
  <c r="FN11" i="4" s="1"/>
  <c r="LC15" i="4"/>
  <c r="LE15" i="4" s="1"/>
  <c r="EQ15" i="4"/>
  <c r="ES15" i="4" s="1"/>
  <c r="CC7" i="4"/>
  <c r="CE7" i="4" s="1"/>
  <c r="EQ5" i="4"/>
  <c r="ES5" i="4" s="1"/>
  <c r="DV11" i="4"/>
  <c r="DX11" i="4" s="1"/>
  <c r="JM15" i="4"/>
  <c r="JO15" i="4" s="1"/>
  <c r="LX10" i="4"/>
  <c r="LZ10" i="4" s="1"/>
  <c r="IR10" i="4"/>
  <c r="IT10" i="4" s="1"/>
  <c r="BH11" i="4"/>
  <c r="BJ11" i="4" s="1"/>
  <c r="LC8" i="4"/>
  <c r="LE8" i="4" s="1"/>
  <c r="EQ8" i="4"/>
  <c r="ES8" i="4" s="1"/>
  <c r="KH16" i="4"/>
  <c r="KJ16" i="4" s="1"/>
  <c r="DV16" i="4"/>
  <c r="DX16" i="4" s="1"/>
  <c r="GG7" i="4"/>
  <c r="GI7" i="4" s="1"/>
  <c r="JM7" i="4"/>
  <c r="JO7" i="4" s="1"/>
  <c r="DA6" i="4"/>
  <c r="DC6" i="4" s="1"/>
  <c r="IR5" i="4"/>
  <c r="IT5" i="4" s="1"/>
  <c r="HW11" i="4"/>
  <c r="HY11" i="4" s="1"/>
  <c r="HB15" i="4"/>
  <c r="HD15" i="4" s="1"/>
  <c r="AM4" i="4"/>
  <c r="P10" i="4"/>
  <c r="CH10" i="4" s="1"/>
  <c r="AM15" i="4"/>
  <c r="KH8" i="4"/>
  <c r="KJ8" i="4" s="1"/>
  <c r="DV8" i="4"/>
  <c r="DX8" i="4" s="1"/>
  <c r="JM16" i="4"/>
  <c r="JO16" i="4" s="1"/>
  <c r="DA16" i="4"/>
  <c r="DC16" i="4" s="1"/>
  <c r="IR7" i="4"/>
  <c r="IT7" i="4" s="1"/>
  <c r="CC5" i="4"/>
  <c r="CE5" i="4" s="1"/>
  <c r="AM11" i="4"/>
  <c r="IR9" i="4"/>
  <c r="IT9" i="4" s="1"/>
  <c r="BH5" i="4"/>
  <c r="BJ5" i="4" s="1"/>
  <c r="FL5" i="4"/>
  <c r="FN5" i="4" s="1"/>
  <c r="LC11" i="4"/>
  <c r="LE11" i="4" s="1"/>
  <c r="KH15" i="4"/>
  <c r="KJ15" i="4" s="1"/>
  <c r="KH10" i="4"/>
  <c r="KJ10" i="4" s="1"/>
  <c r="P6" i="4"/>
  <c r="CH6" i="4" s="1"/>
  <c r="AM9" i="4"/>
  <c r="CC6" i="4"/>
  <c r="CE6" i="4" s="1"/>
  <c r="P11" i="4"/>
  <c r="CH11" i="4" s="1"/>
  <c r="AM8" i="4"/>
  <c r="CC10" i="4"/>
  <c r="CE10" i="4" s="1"/>
  <c r="P9" i="4"/>
  <c r="CH9" i="4" s="1"/>
  <c r="P4" i="4"/>
  <c r="Q4" i="4" s="1"/>
  <c r="P16" i="4"/>
  <c r="CH16" i="4" s="1"/>
  <c r="AM6" i="4"/>
  <c r="CC15" i="4"/>
  <c r="CE15" i="4" s="1"/>
  <c r="P8" i="6"/>
  <c r="P6" i="6"/>
  <c r="P4" i="7"/>
  <c r="P5" i="5"/>
  <c r="P11" i="6"/>
  <c r="P14" i="6"/>
  <c r="P5" i="6"/>
  <c r="P5" i="8"/>
  <c r="P4" i="5"/>
  <c r="P4" i="6"/>
  <c r="P10" i="6"/>
  <c r="BH4" i="4"/>
  <c r="BJ4" i="4" s="1"/>
  <c r="P8" i="4"/>
  <c r="A13" i="6" l="1"/>
  <c r="I6" i="8"/>
  <c r="I10" i="2"/>
  <c r="I9" i="2"/>
  <c r="I8" i="4"/>
  <c r="I9" i="8"/>
  <c r="I7" i="8"/>
  <c r="I5" i="8"/>
  <c r="I4" i="7"/>
  <c r="I5" i="7"/>
  <c r="I8" i="7"/>
  <c r="I4" i="2"/>
  <c r="I15" i="2"/>
  <c r="I4" i="4"/>
  <c r="I5" i="4"/>
  <c r="I6" i="4"/>
  <c r="I10" i="4"/>
  <c r="I7" i="4"/>
  <c r="I16" i="4"/>
  <c r="I11" i="4"/>
  <c r="I9" i="4"/>
  <c r="I15" i="4"/>
  <c r="A12" i="6"/>
  <c r="CH15" i="4"/>
  <c r="N4" i="5"/>
  <c r="L4" i="5"/>
  <c r="M4" i="5" s="1"/>
  <c r="A11" i="6"/>
  <c r="A10" i="6"/>
  <c r="CH7" i="4"/>
  <c r="A14" i="6"/>
  <c r="CH5" i="4"/>
  <c r="H11" i="4"/>
  <c r="H15" i="4"/>
  <c r="N12" i="6"/>
  <c r="DH12" i="6" s="1"/>
  <c r="H8" i="7"/>
  <c r="AQ8" i="7"/>
  <c r="H4" i="7"/>
  <c r="H5" i="7"/>
  <c r="H9" i="2"/>
  <c r="AO15" i="2"/>
  <c r="H15" i="2"/>
  <c r="AO4" i="2"/>
  <c r="H4" i="2"/>
  <c r="AO10" i="2"/>
  <c r="H10" i="2"/>
  <c r="AO4" i="4"/>
  <c r="H4" i="4"/>
  <c r="AO5" i="4"/>
  <c r="H5" i="4"/>
  <c r="H9" i="4"/>
  <c r="H6" i="4"/>
  <c r="H8" i="4"/>
  <c r="AO7" i="4"/>
  <c r="H7" i="4"/>
  <c r="H10" i="4"/>
  <c r="H16" i="4"/>
  <c r="AQ9" i="8"/>
  <c r="H9" i="8"/>
  <c r="A9" i="8" s="1"/>
  <c r="AQ7" i="8"/>
  <c r="H7" i="8"/>
  <c r="AQ6" i="8"/>
  <c r="H6" i="8"/>
  <c r="AQ5" i="8"/>
  <c r="H5" i="8"/>
  <c r="DI7" i="6"/>
  <c r="L12" i="6"/>
  <c r="DG12" i="6" s="1"/>
  <c r="Q9" i="8"/>
  <c r="N7" i="6"/>
  <c r="O7" i="6" s="1"/>
  <c r="L4" i="6"/>
  <c r="DG4" i="6" s="1"/>
  <c r="L11" i="6"/>
  <c r="M11" i="6" s="1"/>
  <c r="CN6" i="8"/>
  <c r="J16" i="4"/>
  <c r="N16" i="4" s="1"/>
  <c r="CG16" i="4" s="1"/>
  <c r="N5" i="6"/>
  <c r="DH5" i="6" s="1"/>
  <c r="N14" i="6"/>
  <c r="DH14" i="6" s="1"/>
  <c r="K11" i="6"/>
  <c r="K5" i="6"/>
  <c r="K10" i="6"/>
  <c r="N10" i="6"/>
  <c r="DH10" i="6" s="1"/>
  <c r="DI12" i="6"/>
  <c r="N11" i="6"/>
  <c r="DH11" i="6" s="1"/>
  <c r="J7" i="8"/>
  <c r="N7" i="8" s="1"/>
  <c r="J9" i="8"/>
  <c r="L9" i="8" s="1"/>
  <c r="CN5" i="7"/>
  <c r="J5" i="7"/>
  <c r="CH9" i="2"/>
  <c r="J10" i="2"/>
  <c r="L10" i="2" s="1"/>
  <c r="Q16" i="4"/>
  <c r="Q10" i="4"/>
  <c r="Q11" i="4"/>
  <c r="J9" i="4"/>
  <c r="N9" i="4" s="1"/>
  <c r="O5" i="5"/>
  <c r="DH5" i="5"/>
  <c r="K5" i="5"/>
  <c r="L5" i="5"/>
  <c r="DG5" i="5" s="1"/>
  <c r="DG14" i="6"/>
  <c r="M14" i="6"/>
  <c r="K8" i="6"/>
  <c r="DH4" i="6"/>
  <c r="O4" i="6"/>
  <c r="K6" i="6"/>
  <c r="L6" i="6"/>
  <c r="DG6" i="6" s="1"/>
  <c r="K4" i="6"/>
  <c r="DG5" i="6"/>
  <c r="M5" i="6"/>
  <c r="N6" i="6"/>
  <c r="L8" i="6"/>
  <c r="M8" i="6" s="1"/>
  <c r="K7" i="6"/>
  <c r="DG10" i="6"/>
  <c r="M10" i="6"/>
  <c r="K14" i="6"/>
  <c r="N8" i="6"/>
  <c r="J5" i="8"/>
  <c r="CN7" i="8"/>
  <c r="Q7" i="8"/>
  <c r="J6" i="8"/>
  <c r="CN8" i="7"/>
  <c r="Q8" i="7"/>
  <c r="J4" i="7"/>
  <c r="AQ4" i="7"/>
  <c r="J8" i="7"/>
  <c r="K8" i="7" s="1"/>
  <c r="CH10" i="2"/>
  <c r="Q10" i="2"/>
  <c r="CH4" i="2"/>
  <c r="Q4" i="2"/>
  <c r="J9" i="2"/>
  <c r="AO9" i="2"/>
  <c r="J15" i="2"/>
  <c r="N15" i="2" s="1"/>
  <c r="J4" i="2"/>
  <c r="CH15" i="2"/>
  <c r="Q15" i="2"/>
  <c r="J10" i="4"/>
  <c r="J6" i="4"/>
  <c r="K6" i="4" s="1"/>
  <c r="Q6" i="4"/>
  <c r="J15" i="4"/>
  <c r="N15" i="4" s="1"/>
  <c r="Q9" i="4"/>
  <c r="J7" i="4"/>
  <c r="AO6" i="4"/>
  <c r="AO15" i="4"/>
  <c r="J5" i="4"/>
  <c r="L5" i="4" s="1"/>
  <c r="J11" i="4"/>
  <c r="AO11" i="4"/>
  <c r="CH4" i="4"/>
  <c r="J8" i="4"/>
  <c r="AO8" i="4"/>
  <c r="AO9" i="4"/>
  <c r="J4" i="4"/>
  <c r="DI14" i="6"/>
  <c r="Q14" i="6"/>
  <c r="DI10" i="6"/>
  <c r="Q10" i="6"/>
  <c r="DI11" i="6"/>
  <c r="Q11" i="6"/>
  <c r="CN5" i="8"/>
  <c r="Q5" i="8"/>
  <c r="DI5" i="5"/>
  <c r="Q5" i="5"/>
  <c r="DI4" i="6"/>
  <c r="Q4" i="6"/>
  <c r="CH8" i="4"/>
  <c r="Q8" i="4"/>
  <c r="CN4" i="7"/>
  <c r="Q4" i="7"/>
  <c r="DI6" i="6"/>
  <c r="Q6" i="6"/>
  <c r="DI4" i="5"/>
  <c r="Q4" i="5"/>
  <c r="DG7" i="6"/>
  <c r="M7" i="6"/>
  <c r="DI8" i="6"/>
  <c r="Q8" i="6"/>
  <c r="DI5" i="6"/>
  <c r="Q5" i="6"/>
  <c r="A8" i="7" l="1"/>
  <c r="DG4" i="5"/>
  <c r="O10" i="6"/>
  <c r="O4" i="5"/>
  <c r="DH4" i="5"/>
  <c r="R4" i="5" s="1"/>
  <c r="M4" i="6"/>
  <c r="O12" i="6"/>
  <c r="DH7" i="6"/>
  <c r="R7" i="6" s="1"/>
  <c r="E7" i="6" s="1"/>
  <c r="O5" i="6"/>
  <c r="M12" i="6"/>
  <c r="N10" i="2"/>
  <c r="O10" i="2" s="1"/>
  <c r="L9" i="4"/>
  <c r="M9" i="4" s="1"/>
  <c r="K9" i="4"/>
  <c r="O16" i="4"/>
  <c r="K16" i="4"/>
  <c r="L16" i="4"/>
  <c r="DG11" i="6"/>
  <c r="R11" i="6" s="1"/>
  <c r="S11" i="6" s="1"/>
  <c r="K9" i="8"/>
  <c r="N9" i="8"/>
  <c r="O9" i="8" s="1"/>
  <c r="N6" i="4"/>
  <c r="CG6" i="4" s="1"/>
  <c r="L6" i="4"/>
  <c r="M6" i="4" s="1"/>
  <c r="O14" i="6"/>
  <c r="K7" i="8"/>
  <c r="L7" i="8"/>
  <c r="CL7" i="8" s="1"/>
  <c r="L5" i="7"/>
  <c r="M5" i="7" s="1"/>
  <c r="R5" i="5"/>
  <c r="S5" i="5" s="1"/>
  <c r="R4" i="6"/>
  <c r="N5" i="8"/>
  <c r="O5" i="8" s="1"/>
  <c r="K5" i="8"/>
  <c r="K5" i="7"/>
  <c r="K4" i="2"/>
  <c r="L4" i="2"/>
  <c r="CF4" i="2" s="1"/>
  <c r="K10" i="2"/>
  <c r="N4" i="2"/>
  <c r="O4" i="2" s="1"/>
  <c r="K5" i="4"/>
  <c r="M6" i="6"/>
  <c r="O11" i="6"/>
  <c r="DG8" i="6"/>
  <c r="R14" i="6"/>
  <c r="N5" i="7"/>
  <c r="CM5" i="7" s="1"/>
  <c r="K15" i="2"/>
  <c r="L15" i="2"/>
  <c r="CF15" i="2" s="1"/>
  <c r="L15" i="4"/>
  <c r="CF15" i="4" s="1"/>
  <c r="K15" i="4"/>
  <c r="N5" i="4"/>
  <c r="CG5" i="4" s="1"/>
  <c r="M5" i="5"/>
  <c r="DH8" i="6"/>
  <c r="O8" i="6"/>
  <c r="DH6" i="6"/>
  <c r="R6" i="6" s="1"/>
  <c r="O6" i="6"/>
  <c r="R10" i="6"/>
  <c r="T10" i="6" s="1"/>
  <c r="R5" i="6"/>
  <c r="S5" i="6" s="1"/>
  <c r="L5" i="8"/>
  <c r="M5" i="8" s="1"/>
  <c r="N6" i="8"/>
  <c r="K6" i="8"/>
  <c r="L6" i="8"/>
  <c r="L8" i="7"/>
  <c r="CL8" i="7" s="1"/>
  <c r="N8" i="7"/>
  <c r="CM8" i="7" s="1"/>
  <c r="L4" i="7"/>
  <c r="K4" i="7"/>
  <c r="N4" i="7"/>
  <c r="K9" i="2"/>
  <c r="L9" i="2"/>
  <c r="N9" i="2"/>
  <c r="N10" i="4"/>
  <c r="K10" i="4"/>
  <c r="K7" i="4"/>
  <c r="N7" i="4"/>
  <c r="L7" i="4"/>
  <c r="L10" i="4"/>
  <c r="M10" i="4" s="1"/>
  <c r="L8" i="4"/>
  <c r="N8" i="4"/>
  <c r="K8" i="4"/>
  <c r="L11" i="4"/>
  <c r="N11" i="4"/>
  <c r="K11" i="4"/>
  <c r="O15" i="4"/>
  <c r="CG15" i="4"/>
  <c r="O9" i="4"/>
  <c r="CG9" i="4"/>
  <c r="M10" i="2"/>
  <c r="CF10" i="2"/>
  <c r="CM7" i="8"/>
  <c r="O7" i="8"/>
  <c r="CL9" i="8"/>
  <c r="M9" i="8"/>
  <c r="CF5" i="4"/>
  <c r="M5" i="4"/>
  <c r="R12" i="6"/>
  <c r="CG15" i="2"/>
  <c r="O15" i="2"/>
  <c r="L4" i="4"/>
  <c r="N4" i="4"/>
  <c r="K4" i="4"/>
  <c r="E4" i="5" l="1"/>
  <c r="E4" i="6"/>
  <c r="CL5" i="7"/>
  <c r="R5" i="7" s="1"/>
  <c r="S5" i="7" s="1"/>
  <c r="CG10" i="2"/>
  <c r="R10" i="2" s="1"/>
  <c r="S10" i="2" s="1"/>
  <c r="CF9" i="4"/>
  <c r="R9" i="4" s="1"/>
  <c r="T4" i="5"/>
  <c r="S4" i="5"/>
  <c r="E5" i="5"/>
  <c r="E14" i="6"/>
  <c r="T7" i="6"/>
  <c r="S7" i="6"/>
  <c r="E12" i="6"/>
  <c r="CM9" i="8"/>
  <c r="R9" i="8" s="1"/>
  <c r="S9" i="8" s="1"/>
  <c r="M4" i="2"/>
  <c r="R8" i="6"/>
  <c r="E8" i="6" s="1"/>
  <c r="S14" i="6"/>
  <c r="M16" i="4"/>
  <c r="CF16" i="4"/>
  <c r="R16" i="4" s="1"/>
  <c r="T16" i="4" s="1"/>
  <c r="CF6" i="4"/>
  <c r="R6" i="4" s="1"/>
  <c r="O6" i="4"/>
  <c r="T5" i="5"/>
  <c r="T14" i="6"/>
  <c r="T4" i="6"/>
  <c r="S4" i="6"/>
  <c r="T5" i="6"/>
  <c r="O8" i="7"/>
  <c r="O5" i="7"/>
  <c r="M15" i="2"/>
  <c r="CM5" i="8"/>
  <c r="M7" i="8"/>
  <c r="E11" i="6"/>
  <c r="M15" i="4"/>
  <c r="CL5" i="8"/>
  <c r="CG4" i="2"/>
  <c r="R4" i="2" s="1"/>
  <c r="O5" i="4"/>
  <c r="T11" i="6"/>
  <c r="M8" i="7"/>
  <c r="S10" i="6"/>
  <c r="E10" i="6"/>
  <c r="E5" i="6"/>
  <c r="M6" i="8"/>
  <c r="CL6" i="8"/>
  <c r="O6" i="8"/>
  <c r="CM6" i="8"/>
  <c r="O4" i="7"/>
  <c r="CM4" i="7"/>
  <c r="CL4" i="7"/>
  <c r="M4" i="7"/>
  <c r="R8" i="7"/>
  <c r="S8" i="7" s="1"/>
  <c r="R15" i="2"/>
  <c r="CG9" i="2"/>
  <c r="O9" i="2"/>
  <c r="CF9" i="2"/>
  <c r="M9" i="2"/>
  <c r="M7" i="4"/>
  <c r="CF7" i="4"/>
  <c r="CG7" i="4"/>
  <c r="O7" i="4"/>
  <c r="CF10" i="4"/>
  <c r="O10" i="4"/>
  <c r="CG10" i="4"/>
  <c r="R5" i="4"/>
  <c r="T5" i="4" s="1"/>
  <c r="O11" i="4"/>
  <c r="CG11" i="4"/>
  <c r="M11" i="4"/>
  <c r="CF11" i="4"/>
  <c r="O8" i="4"/>
  <c r="CG8" i="4"/>
  <c r="M8" i="4"/>
  <c r="CF8" i="4"/>
  <c r="M4" i="4"/>
  <c r="CF4" i="4"/>
  <c r="T6" i="6"/>
  <c r="S6" i="6"/>
  <c r="E6" i="6"/>
  <c r="R7" i="8"/>
  <c r="R15" i="4"/>
  <c r="S12" i="6"/>
  <c r="T12" i="6"/>
  <c r="CG4" i="4"/>
  <c r="O4" i="4"/>
  <c r="A8" i="6" l="1"/>
  <c r="R5" i="8"/>
  <c r="S5" i="8" s="1"/>
  <c r="T8" i="6"/>
  <c r="A9" i="6"/>
  <c r="A6" i="6"/>
  <c r="A7" i="6"/>
  <c r="S8" i="6"/>
  <c r="E4" i="2"/>
  <c r="R4" i="7"/>
  <c r="E4" i="7" s="1"/>
  <c r="E15" i="2"/>
  <c r="E16" i="4"/>
  <c r="A4" i="5"/>
  <c r="A5" i="5"/>
  <c r="A4" i="6"/>
  <c r="A5" i="6"/>
  <c r="S16" i="4"/>
  <c r="E7" i="8"/>
  <c r="T5" i="7"/>
  <c r="S4" i="2"/>
  <c r="T4" i="2"/>
  <c r="E8" i="7"/>
  <c r="T8" i="7"/>
  <c r="S15" i="2"/>
  <c r="E5" i="7"/>
  <c r="T10" i="2"/>
  <c r="E5" i="4"/>
  <c r="T9" i="8"/>
  <c r="T5" i="8"/>
  <c r="E9" i="8"/>
  <c r="R6" i="8"/>
  <c r="T15" i="2"/>
  <c r="E10" i="2"/>
  <c r="R9" i="2"/>
  <c r="E9" i="2" s="1"/>
  <c r="R11" i="4"/>
  <c r="E11" i="4" s="1"/>
  <c r="R7" i="4"/>
  <c r="S5" i="4"/>
  <c r="R10" i="4"/>
  <c r="R8" i="4"/>
  <c r="T9" i="4"/>
  <c r="S9" i="4"/>
  <c r="E9" i="4"/>
  <c r="R4" i="4"/>
  <c r="E4" i="4" s="1"/>
  <c r="T15" i="4"/>
  <c r="S15" i="4"/>
  <c r="S6" i="4"/>
  <c r="T6" i="4"/>
  <c r="E6" i="4"/>
  <c r="T7" i="8"/>
  <c r="S7" i="8"/>
  <c r="E15" i="4"/>
  <c r="A7" i="7" l="1"/>
  <c r="E5" i="8"/>
  <c r="A8" i="2"/>
  <c r="A13" i="2"/>
  <c r="A6" i="2"/>
  <c r="A5" i="2"/>
  <c r="S4" i="7"/>
  <c r="T4" i="7"/>
  <c r="A5" i="7"/>
  <c r="A4" i="7"/>
  <c r="S11" i="4"/>
  <c r="T11" i="4"/>
  <c r="C32" i="11"/>
  <c r="D34" i="11"/>
  <c r="D35" i="11"/>
  <c r="C37" i="11"/>
  <c r="C35" i="11"/>
  <c r="C33" i="11"/>
  <c r="D36" i="11"/>
  <c r="D33" i="11"/>
  <c r="C34" i="11"/>
  <c r="D32" i="11"/>
  <c r="D37" i="11"/>
  <c r="C36" i="11"/>
  <c r="D28" i="11"/>
  <c r="S6" i="8"/>
  <c r="T6" i="8"/>
  <c r="E6" i="8"/>
  <c r="A7" i="8" s="1"/>
  <c r="S9" i="2"/>
  <c r="T9" i="2"/>
  <c r="E10" i="4"/>
  <c r="T10" i="4"/>
  <c r="S10" i="4"/>
  <c r="E7" i="4"/>
  <c r="T7" i="4"/>
  <c r="S7" i="4"/>
  <c r="S8" i="4"/>
  <c r="T8" i="4"/>
  <c r="E8" i="4"/>
  <c r="D27" i="11"/>
  <c r="C31" i="11"/>
  <c r="D31" i="11"/>
  <c r="D29" i="11"/>
  <c r="C30" i="11"/>
  <c r="D26" i="11"/>
  <c r="C27" i="11"/>
  <c r="C26" i="11"/>
  <c r="C28" i="11"/>
  <c r="C29" i="11"/>
  <c r="D30" i="11"/>
  <c r="T4" i="4"/>
  <c r="S4" i="4"/>
  <c r="A4" i="8" l="1"/>
  <c r="A8" i="4"/>
  <c r="A5" i="8"/>
  <c r="A6" i="8"/>
  <c r="A6" i="4"/>
  <c r="A4" i="2"/>
  <c r="A7" i="4"/>
  <c r="A11" i="4"/>
  <c r="A9" i="4"/>
  <c r="A17" i="4"/>
  <c r="A16" i="4"/>
  <c r="A5" i="4"/>
  <c r="A10" i="2"/>
  <c r="A4" i="4"/>
  <c r="A9" i="2"/>
  <c r="A15" i="2"/>
  <c r="A10" i="4"/>
  <c r="A15" i="4"/>
  <c r="C14" i="11"/>
  <c r="C18" i="11"/>
  <c r="D17" i="11"/>
  <c r="D19" i="11"/>
  <c r="D16" i="11"/>
  <c r="D15" i="11"/>
  <c r="C16" i="11"/>
  <c r="C19" i="11"/>
  <c r="D18" i="11"/>
  <c r="D14" i="11"/>
  <c r="C17" i="11"/>
  <c r="C15" i="11"/>
  <c r="C24" i="11" l="1"/>
  <c r="D25" i="11"/>
  <c r="C23" i="11"/>
  <c r="C21" i="11"/>
  <c r="D21" i="11"/>
  <c r="D22" i="11"/>
  <c r="D20" i="11"/>
  <c r="C22" i="11"/>
  <c r="D23" i="11"/>
  <c r="D24" i="11"/>
  <c r="C20" i="11"/>
  <c r="C25" i="11"/>
  <c r="C13" i="11"/>
  <c r="D12" i="11"/>
  <c r="C12" i="11"/>
  <c r="D9" i="11"/>
  <c r="C10" i="11"/>
  <c r="D13" i="11"/>
  <c r="D8" i="11"/>
  <c r="D10" i="11"/>
  <c r="C11" i="11"/>
  <c r="C8" i="11"/>
  <c r="D11" i="11"/>
  <c r="C9" i="11"/>
  <c r="C3" i="11"/>
  <c r="C4" i="11"/>
  <c r="D7" i="11"/>
  <c r="C6" i="11"/>
  <c r="D2" i="11"/>
  <c r="C5" i="11"/>
  <c r="D6" i="11"/>
  <c r="D5" i="11"/>
  <c r="D4" i="11"/>
  <c r="D3" i="11"/>
  <c r="C7" i="11"/>
  <c r="C2" i="11"/>
</calcChain>
</file>

<file path=xl/sharedStrings.xml><?xml version="1.0" encoding="utf-8"?>
<sst xmlns="http://schemas.openxmlformats.org/spreadsheetml/2006/main" count="2959" uniqueCount="126">
  <si>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</si>
  <si>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</si>
  <si>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</si>
  <si>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</si>
  <si>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</si>
  <si>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</si>
  <si>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</si>
  <si>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</si>
  <si>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</si>
  <si>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</si>
  <si>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</si>
  <si>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</si>
  <si>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</si>
  <si>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</si>
  <si>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</si>
  <si>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</si>
  <si>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</si>
  <si>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</si>
  <si>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</si>
  <si>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</si>
  <si>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</si>
  <si>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</si>
  <si>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</si>
  <si>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</si>
  <si>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</si>
  <si>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2017 Canada Cup</t>
  </si>
  <si>
    <t>2017 Nationals</t>
  </si>
  <si>
    <t>Funding Score</t>
  </si>
  <si>
    <t>Prelim DD</t>
  </si>
  <si>
    <t>Athlete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</si>
  <si>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</si>
  <si>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</si>
  <si>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</si>
  <si>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</si>
  <si>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</si>
  <si>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</si>
  <si>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</si>
  <si>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</si>
  <si>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</si>
  <si>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</si>
  <si>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Pass 1-2</t>
  </si>
  <si>
    <t>Pass 3-4</t>
  </si>
  <si>
    <t>CLARKE, Elias</t>
  </si>
  <si>
    <t>Best Pass 1</t>
  </si>
  <si>
    <t>Best Pass 2</t>
  </si>
  <si>
    <t>Final DD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</si>
  <si>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</si>
  <si>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</si>
  <si>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</si>
  <si>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</si>
  <si>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</si>
  <si>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</si>
  <si>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</si>
  <si>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</si>
  <si>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</si>
  <si>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</si>
  <si>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</si>
  <si>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</si>
  <si>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</si>
  <si>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</si>
  <si>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</si>
  <si>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2017 World Age Group Championships (Nov)</t>
  </si>
  <si>
    <t>National Team Score</t>
  </si>
  <si>
    <t>Worlds Team Score</t>
  </si>
  <si>
    <t>Worlds Team DD</t>
  </si>
  <si>
    <t>National Team DD</t>
  </si>
  <si>
    <t>2018 Canada Cup</t>
  </si>
  <si>
    <t>FOREST, Alexandra</t>
  </si>
  <si>
    <t>Optional DD</t>
  </si>
  <si>
    <t>Year of Birth</t>
  </si>
  <si>
    <t>CHARTIER, Jérémy</t>
  </si>
  <si>
    <t>DODD, Gavin</t>
  </si>
  <si>
    <t>DWYER, Kai</t>
  </si>
  <si>
    <t>NS</t>
  </si>
  <si>
    <t>JOHNSTON, David</t>
  </si>
  <si>
    <t>McLEAN, Declan</t>
  </si>
  <si>
    <t>MORGANTE, Emmett</t>
  </si>
  <si>
    <t>ARMSTRONG, Owen</t>
  </si>
  <si>
    <t>LAVALLÉE, Zachary</t>
  </si>
  <si>
    <t>AUBIN, Rémi</t>
  </si>
  <si>
    <t>PEDERSEN, Mitchel</t>
  </si>
  <si>
    <t>CARLSON, Roman</t>
  </si>
  <si>
    <t>MOULD, Blake</t>
  </si>
  <si>
    <t>RIENDEAU, Gabriel</t>
  </si>
  <si>
    <t>SEROUART, Guillaume</t>
  </si>
  <si>
    <t>YAZHEMSKY, Vanessa</t>
  </si>
  <si>
    <t>LANG, Allison</t>
  </si>
  <si>
    <t>BERTHIAUME, Sara-Jade</t>
  </si>
  <si>
    <t>ROSS, Éliane</t>
  </si>
  <si>
    <t>REDILLAS, Damian</t>
  </si>
  <si>
    <t>CAMIRAND, Jean-Philippe</t>
  </si>
  <si>
    <t>HECK, Megan</t>
  </si>
  <si>
    <t>KORBUT, Kendra</t>
  </si>
  <si>
    <t>JUBENVILLE, Alexandra</t>
  </si>
  <si>
    <t>BRENNER, Adin</t>
  </si>
  <si>
    <t>LUPISH, Kieran</t>
  </si>
  <si>
    <t>TROYAN, Artur</t>
  </si>
  <si>
    <t>MANCINI, Michael</t>
  </si>
  <si>
    <t>ZUREK, Nolan</t>
  </si>
  <si>
    <t>STANNARD, Adam</t>
  </si>
  <si>
    <t>DAWSON, David</t>
  </si>
  <si>
    <t>CHATEAUVERT, Emile</t>
  </si>
  <si>
    <t>YENDLEY, Jordyn</t>
  </si>
  <si>
    <t>KYFUIK, Mackenzie</t>
  </si>
  <si>
    <t>World Age Group Championships (Nov)</t>
  </si>
  <si>
    <t>DD was 17.5, adjusted to 13.2</t>
  </si>
  <si>
    <t>for spreadsheet compatibility</t>
  </si>
  <si>
    <t>YENDLEY, Jordan</t>
  </si>
  <si>
    <t>HARRIGAN, Jane</t>
  </si>
  <si>
    <t>BOUCHER, Alex</t>
  </si>
  <si>
    <t>CELENTANO, Jensen</t>
  </si>
  <si>
    <t>BERTHIAUME, Anouk</t>
  </si>
  <si>
    <t>CIRONE, Cristina</t>
  </si>
  <si>
    <t>BONHAM, Maja</t>
  </si>
  <si>
    <t>FLYNN, Gabby</t>
  </si>
  <si>
    <t>CHAU, Emma</t>
  </si>
  <si>
    <t>HARRISON, Emily</t>
  </si>
  <si>
    <t>FERNANDES, Antonio</t>
  </si>
  <si>
    <t>LAFRENIÈRE, Philippe</t>
  </si>
  <si>
    <t>Marit score was 105.1, adjusted</t>
  </si>
  <si>
    <t>to 57 for spreadsheet compatibility</t>
  </si>
  <si>
    <t>***2017 SCORES***</t>
  </si>
  <si>
    <t>2018 Pacific Rim (Apr)</t>
  </si>
  <si>
    <t>Pacific Rim Prelims</t>
  </si>
  <si>
    <t>Needs Pac Rim Finals</t>
  </si>
  <si>
    <t>Tuesday May 1,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</si>
</sst>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i/>
      <u/>
      <sz val="1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2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0" fillId="3" borderId="0" xfId="0" applyFill="1" applyAlignment="1">
      <alignment horizontal="center"/>
    </xf>
    <xf numFmtId="0" fontId="12" fillId="11" borderId="0" xfId="0" applyFont="1" applyFill="1"/>
    <xf numFmtId="0" fontId="12" fillId="12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2" fillId="0" borderId="0" xfId="0" applyNumberFormat="1" applyFont="1" applyFill="1" applyBorder="1"/>
    <xf numFmtId="164" fontId="0" fillId="0" borderId="0" xfId="0" applyNumberFormat="1" applyFill="1" applyBorder="1"/>
    <xf numFmtId="164" fontId="12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1" borderId="1" xfId="0" applyNumberFormat="1" applyFont="1" applyFill="1" applyBorder="1" applyProtection="1">
      <protection locked="0"/>
    </xf>
    <xf numFmtId="164" fontId="12" fillId="12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164" fontId="17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7" borderId="0" xfId="0" applyNumberFormat="1" applyFont="1" applyFill="1" applyProtection="1">
      <protection locked="0"/>
    </xf>
    <xf numFmtId="164" fontId="2" fillId="5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8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1" fillId="9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20" fillId="3" borderId="1" xfId="0" applyNumberFormat="1" applyFont="1" applyFill="1" applyBorder="1" applyProtection="1">
      <protection locked="0"/>
    </xf>
    <xf numFmtId="164" fontId="6" fillId="4" borderId="1" xfId="0" applyNumberFormat="1" applyFont="1" applyFill="1" applyBorder="1" applyProtection="1">
      <protection locked="0"/>
    </xf>
    <xf numFmtId="164" fontId="6" fillId="4" borderId="1" xfId="0" applyNumberFormat="1" applyFont="1" applyFill="1" applyBorder="1" applyAlignment="1" applyProtection="1">
      <alignment horizontal="left"/>
      <protection locked="0"/>
    </xf>
    <xf numFmtId="164" fontId="6" fillId="4" borderId="1" xfId="1" applyNumberFormat="1" applyFont="1" applyFill="1" applyBorder="1" applyAlignment="1" applyProtection="1">
      <alignment horizontal="left"/>
      <protection locked="0"/>
    </xf>
    <xf numFmtId="0" fontId="2" fillId="5" borderId="0" xfId="0" applyFont="1" applyFill="1" applyAlignment="1"/>
    <xf numFmtId="0" fontId="19" fillId="15" borderId="0" xfId="0" applyFont="1" applyFill="1" applyAlignment="1"/>
    <xf numFmtId="0" fontId="10" fillId="8" borderId="0" xfId="0" applyFont="1" applyFill="1" applyAlignment="1"/>
    <xf numFmtId="0" fontId="9" fillId="6" borderId="0" xfId="0" applyFont="1" applyFill="1" applyAlignment="1"/>
    <xf numFmtId="0" fontId="11" fillId="9" borderId="0" xfId="0" applyFont="1" applyFill="1" applyAlignment="1"/>
    <xf numFmtId="0" fontId="18" fillId="7" borderId="0" xfId="0" applyFont="1" applyFill="1" applyAlignment="1"/>
    <xf numFmtId="0" fontId="18" fillId="0" borderId="0" xfId="0" applyFont="1" applyFill="1" applyAlignment="1"/>
    <xf numFmtId="0" fontId="2" fillId="0" borderId="0" xfId="0" applyFont="1" applyFill="1" applyAlignment="1"/>
    <xf numFmtId="0" fontId="19" fillId="0" borderId="0" xfId="0" applyFont="1" applyFill="1" applyAlignment="1"/>
    <xf numFmtId="0" fontId="10" fillId="0" borderId="0" xfId="0" applyFont="1" applyFill="1" applyAlignment="1"/>
    <xf numFmtId="0" fontId="9" fillId="0" borderId="0" xfId="0" applyFont="1" applyFill="1" applyAlignment="1"/>
    <xf numFmtId="0" fontId="11" fillId="0" borderId="0" xfId="0" applyFont="1" applyFill="1" applyAlignment="1"/>
    <xf numFmtId="165" fontId="0" fillId="0" borderId="0" xfId="0" applyNumberFormat="1" applyAlignment="1">
      <alignment horizontal="left"/>
    </xf>
    <xf numFmtId="0" fontId="3" fillId="4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3" borderId="0" xfId="0" applyFont="1" applyFill="1" applyAlignment="1" applyProtection="1">
      <alignment horizontal="center"/>
      <protection locked="0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13" fillId="12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27"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FFD3D3"/>
      <color rgb="FFFFA300"/>
      <color rgb="FFE5C6FA"/>
      <color rgb="FFFF00FC"/>
      <color rgb="FFFFBFFF"/>
      <color rgb="FFFF6D7C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38</xdr:row>
          <xdr:rowOff>38100</xdr:rowOff>
        </xdr:from>
        <xdr:to>
          <xdr:col>0</xdr:col>
          <xdr:colOff>812800</xdr:colOff>
          <xdr:row>38</xdr:row>
          <xdr:rowOff>190500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800100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800100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47"/>
  <sheetViews>
    <sheetView tabSelected="1" workbookViewId="0"/>
  </sheetViews>
  <sheetFormatPr baseColWidth="10" defaultRowHeight="16"/>
  <cols>
    <col min="1" max="1" width="14.5" bestFit="1" customWidth="1"/>
    <col min="2" max="2" width="5.6640625" customWidth="1"/>
    <col min="3" max="3" width="35" bestFit="1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>
      <c r="A1" t="s">
        <v>52</v>
      </c>
      <c r="B1" t="s">
        <v>1</v>
      </c>
      <c r="C1" t="s">
        <v>54</v>
      </c>
      <c r="D1" t="s">
        <v>9</v>
      </c>
      <c r="E1" s="58"/>
      <c r="F1" s="58"/>
      <c r="J1" s="58"/>
      <c r="K1" s="58"/>
      <c r="L1" s="58"/>
    </row>
    <row r="2" spans="1:12">
      <c r="A2" s="11" t="s">
        <v>53</v>
      </c>
      <c r="B2" s="11">
        <v>1</v>
      </c>
      <c r="C2" s="11" t="str">
        <f>IF(B2&gt;MAX('TRA-M'!A:A),"",INDEX('TRA-M'!B:B,MATCH(B2,'TRA-M'!A:A)))</f>
        <v>CHARTIER, Jérémy</v>
      </c>
      <c r="D2" s="11" t="str">
        <f>IF(B2&gt;MAX('TRA-M'!A:A),"",IF(INDEX('TRA-M'!I:I,MATCH(B2,'TRA-M'!A:A))="","No DD",INDEX('TRA-M'!I:I,MATCH(B2,'TRA-M'!A:A))))</f>
        <v>Merit</v>
      </c>
      <c r="E2" s="30"/>
      <c r="F2" s="30"/>
    </row>
    <row r="3" spans="1:12">
      <c r="A3" s="11"/>
      <c r="B3" s="11">
        <v>2</v>
      </c>
      <c r="C3" s="11" t="str">
        <f>IF(B3&gt;MAX('TRA-M'!A:A),"",INDEX('TRA-M'!B:B,MATCH(B3,'TRA-M'!A:A)))</f>
        <v>DODD, Gavin</v>
      </c>
      <c r="D3" s="11" t="str">
        <f>IF(B3&gt;MAX('TRA-M'!A:A),"",IF(INDEX('TRA-M'!I:I,MATCH(B3,'TRA-M'!A:A))="","No DD",INDEX('TRA-M'!I:I,MATCH(B3,'TRA-M'!A:A))))</f>
        <v>National Team</v>
      </c>
      <c r="E3" s="30"/>
      <c r="F3" s="30"/>
    </row>
    <row r="4" spans="1:12">
      <c r="A4" s="11"/>
      <c r="B4" s="11">
        <v>3</v>
      </c>
      <c r="C4" s="11" t="str">
        <f>IF(B4&gt;MAX('TRA-M'!A:A),"",INDEX('TRA-M'!B:B,MATCH(B4,'TRA-M'!A:A)))</f>
        <v>JOHNSTON, David</v>
      </c>
      <c r="D4" s="11" t="str">
        <f>IF(B4&gt;MAX('TRA-M'!A:A),"",IF(INDEX('TRA-M'!I:I,MATCH(B4,'TRA-M'!A:A))="","No DD",INDEX('TRA-M'!I:I,MATCH(B4,'TRA-M'!A:A))))</f>
        <v>Funding</v>
      </c>
      <c r="E4" s="30"/>
      <c r="F4" s="30"/>
    </row>
    <row r="5" spans="1:12">
      <c r="A5" s="11"/>
      <c r="B5" s="11">
        <v>4</v>
      </c>
      <c r="C5" s="11" t="str">
        <f>IF(B5&gt;MAX('TRA-M'!A:A),"",INDEX('TRA-M'!B:B,MATCH(B5,'TRA-M'!A:A)))</f>
        <v>DWYER, Kai</v>
      </c>
      <c r="D5" s="11" t="str">
        <f>IF(B5&gt;MAX('TRA-M'!A:A),"",IF(INDEX('TRA-M'!I:I,MATCH(B5,'TRA-M'!A:A))="","No DD",INDEX('TRA-M'!I:I,MATCH(B5,'TRA-M'!A:A))))</f>
        <v>National Team</v>
      </c>
    </row>
    <row r="6" spans="1:12">
      <c r="A6" s="11"/>
      <c r="B6" s="11">
        <v>5</v>
      </c>
      <c r="C6" s="11" t="str">
        <f>IF(B6&gt;MAX('TRA-M'!A:A),"",INDEX('TRA-M'!B:B,MATCH(B6,'TRA-M'!A:A)))</f>
        <v>McLEAN, Declan</v>
      </c>
      <c r="D6" s="11" t="str">
        <f>IF(B6&gt;MAX('TRA-M'!A:A),"",IF(INDEX('TRA-M'!I:I,MATCH(B6,'TRA-M'!A:A))="","No DD",INDEX('TRA-M'!I:I,MATCH(B6,'TRA-M'!A:A))))</f>
        <v>No DD</v>
      </c>
    </row>
    <row r="7" spans="1:12">
      <c r="A7" s="11"/>
      <c r="B7" s="11">
        <v>6</v>
      </c>
      <c r="C7" s="11" t="str">
        <f>IF(B7&gt;MAX('TRA-M'!A:A),"",INDEX('TRA-M'!B:B,MATCH(B7,'TRA-M'!A:A)))</f>
        <v>PEDERSEN, Mitchel</v>
      </c>
      <c r="D7" s="11" t="str">
        <f>IF(B7&gt;MAX('TRA-M'!A:A),"",IF(INDEX('TRA-M'!I:I,MATCH(B7,'TRA-M'!A:A))="","No DD",INDEX('TRA-M'!I:I,MATCH(B7,'TRA-M'!A:A))))</f>
        <v>No DD</v>
      </c>
      <c r="G7" s="59"/>
    </row>
    <row r="8" spans="1:12">
      <c r="A8" s="14" t="s">
        <v>56</v>
      </c>
      <c r="B8" s="14">
        <v>1</v>
      </c>
      <c r="C8" s="14" t="str">
        <f>IF(B2&gt;MAX('TRA-W'!A:A),"",INDEX('TRA-W'!B:B,MATCH(B2,'TRA-W'!A:A)))</f>
        <v>BERTHIAUME, Sara-Jade</v>
      </c>
      <c r="D8" s="14" t="str">
        <f>IF(B2&gt;MAX('TRA-W'!A:A),"",IF(INDEX('TRA-W'!I:I,MATCH(B2,'TRA-W'!A:A))="","No DD",INDEX('TRA-W'!I:I,MATCH(B2,'TRA-W'!A:A))))</f>
        <v>No DD</v>
      </c>
    </row>
    <row r="9" spans="1:12">
      <c r="A9" s="14"/>
      <c r="B9" s="14">
        <v>2</v>
      </c>
      <c r="C9" s="14" t="str">
        <f>IF(B3&gt;MAX('TRA-W'!A:A),"",INDEX('TRA-W'!B:B,MATCH(B3,'TRA-W'!A:A)))</f>
        <v>YENDLEY, Jordan</v>
      </c>
      <c r="D9" s="14" t="str">
        <f>IF(B3&gt;MAX('TRA-W'!A:A),"",IF(INDEX('TRA-W'!I:I,MATCH(B3,'TRA-W'!A:A))="","No DD",INDEX('TRA-W'!I:I,MATCH(B3,'TRA-W'!A:A))))</f>
        <v>No DD</v>
      </c>
    </row>
    <row r="10" spans="1:12">
      <c r="A10" s="14"/>
      <c r="B10" s="14">
        <v>3</v>
      </c>
      <c r="C10" s="14" t="str">
        <f>IF(B4&gt;MAX('TRA-W'!A:A),"",INDEX('TRA-W'!B:B,MATCH(B4,'TRA-W'!A:A)))</f>
        <v>HARRIGAN, Jane</v>
      </c>
      <c r="D10" s="14" t="str">
        <f>IF(B4&gt;MAX('TRA-W'!A:A),"",IF(INDEX('TRA-W'!I:I,MATCH(B4,'TRA-W'!A:A))="","No DD",INDEX('TRA-W'!I:I,MATCH(B4,'TRA-W'!A:A))))</f>
        <v>No DD</v>
      </c>
    </row>
    <row r="11" spans="1:12">
      <c r="A11" s="14"/>
      <c r="B11" s="14">
        <v>4</v>
      </c>
      <c r="C11" s="14" t="str">
        <f>IF(B5&gt;MAX('TRA-W'!A:A),"",INDEX('TRA-W'!B:B,MATCH(B5,'TRA-W'!A:A)))</f>
        <v>BOUCHER, Alex</v>
      </c>
      <c r="D11" s="14" t="str">
        <f>IF(B5&gt;MAX('TRA-W'!A:A),"",IF(INDEX('TRA-W'!I:I,MATCH(B5,'TRA-W'!A:A))="","No DD",INDEX('TRA-W'!I:I,MATCH(B5,'TRA-W'!A:A))))</f>
        <v>No DD</v>
      </c>
    </row>
    <row r="12" spans="1:12">
      <c r="A12" s="14"/>
      <c r="B12" s="14">
        <v>5</v>
      </c>
      <c r="C12" s="14" t="str">
        <f>IF(B6&gt;MAX('TRA-W'!A:A),"",INDEX('TRA-W'!B:B,MATCH(B6,'TRA-W'!A:A)))</f>
        <v>BONHAM, Maja</v>
      </c>
      <c r="D12" s="14" t="str">
        <f>IF(B6&gt;MAX('TRA-W'!A:A),"",IF(INDEX('TRA-W'!I:I,MATCH(B6,'TRA-W'!A:A))="","No DD",INDEX('TRA-W'!I:I,MATCH(B6,'TRA-W'!A:A))))</f>
        <v>No DD</v>
      </c>
    </row>
    <row r="13" spans="1:12" hidden="1">
      <c r="A13" s="14"/>
      <c r="B13" s="14">
        <v>6</v>
      </c>
      <c r="C13" s="14" t="str">
        <f>IF(B7&gt;MAX('TRA-W'!A:A),"",INDEX('TRA-W'!B:B,MATCH(B7,'TRA-W'!A:A)))</f>
        <v/>
      </c>
      <c r="D13" s="14" t="str">
        <f>IF(B7&gt;MAX('TRA-W'!A:A),"",IF(INDEX('TRA-W'!I:I,MATCH(B7,'TRA-W'!A:A))="","No DD",INDEX('TRA-W'!I:I,MATCH(B7,'TRA-W'!A:A))))</f>
        <v/>
      </c>
    </row>
    <row r="14" spans="1:12">
      <c r="A14" s="11" t="s">
        <v>57</v>
      </c>
      <c r="B14" s="11">
        <v>1</v>
      </c>
      <c r="C14" s="11" t="str">
        <f>IF(B2&gt;MAX('TUM-M'!A:A),"",INDEX('TUM-M'!B:B,MATCH(B2,'TUM-M'!A:A)))</f>
        <v>REDILLAS, Damian</v>
      </c>
      <c r="D14" s="11" t="str">
        <f>IF(B2&gt;MAX('TUM-M'!A:A),"",IF(INDEX('TUM-M'!I:I,MATCH(B2,'TUM-M'!A:A))="","No DD",INDEX('TUM-M'!I:I,MATCH(B2,'TUM-M'!A:A))))</f>
        <v>National Team</v>
      </c>
    </row>
    <row r="15" spans="1:12">
      <c r="A15" s="11"/>
      <c r="B15" s="11">
        <v>2</v>
      </c>
      <c r="C15" s="11" t="str">
        <f>IF(B3&gt;MAX('TUM-M'!A:A),"",INDEX('TUM-M'!B:B,MATCH(B3,'TUM-M'!A:A)))</f>
        <v>CAMIRAND, Jean-Philippe</v>
      </c>
      <c r="D15" s="11" t="str">
        <f>IF(B3&gt;MAX('TUM-M'!A:A),"",IF(INDEX('TUM-M'!I:I,MATCH(B3,'TUM-M'!A:A))="","No DD",INDEX('TUM-M'!I:I,MATCH(B3,'TUM-M'!A:A))))</f>
        <v>No DD</v>
      </c>
    </row>
    <row r="16" spans="1:12">
      <c r="A16" s="11"/>
      <c r="B16" s="11">
        <v>3</v>
      </c>
      <c r="C16" s="11" t="str">
        <f>IF(B4&gt;MAX('TUM-M'!A:A),"",INDEX('TUM-M'!B:B,MATCH(B4,'TUM-M'!A:A)))</f>
        <v>FERNANDES, Antonio</v>
      </c>
      <c r="D16" s="11" t="str">
        <f>IF(B4&gt;MAX('TUM-M'!A:A),"",IF(INDEX('TUM-M'!I:I,MATCH(B4,'TUM-M'!A:A))="","No DD",INDEX('TUM-M'!I:I,MATCH(B4,'TUM-M'!A:A))))</f>
        <v>No DD</v>
      </c>
    </row>
    <row r="17" spans="1:4" hidden="1">
      <c r="A17" s="11"/>
      <c r="B17" s="11">
        <v>4</v>
      </c>
      <c r="C17" s="11" t="str">
        <f>IF(B5&gt;MAX('TUM-M'!A:A),"",INDEX('TUM-M'!B:B,MATCH(B5,'TUM-M'!A:A)))</f>
        <v/>
      </c>
      <c r="D17" s="11" t="str">
        <f>IF(B5&gt;MAX('TUM-M'!A:A),"",IF(INDEX('TUM-M'!I:I,MATCH(B5,'TUM-M'!A:A))="","No DD",INDEX('TUM-M'!I:I,MATCH(B5,'TUM-M'!A:A))))</f>
        <v/>
      </c>
    </row>
    <row r="18" spans="1:4" hidden="1">
      <c r="A18" s="11"/>
      <c r="B18" s="11">
        <v>5</v>
      </c>
      <c r="C18" s="11" t="str">
        <f>IF(B6&gt;MAX('TUM-M'!A:A),"",INDEX('TUM-M'!B:B,MATCH(B6,'TUM-M'!A:A)))</f>
        <v/>
      </c>
      <c r="D18" s="11" t="str">
        <f>IF(B6&gt;MAX('TUM-M'!A:A),"",IF(INDEX('TUM-M'!I:I,MATCH(B6,'TUM-M'!A:A))="","No DD",INDEX('TUM-M'!I:I,MATCH(B6,'TUM-M'!A:A))))</f>
        <v/>
      </c>
    </row>
    <row r="19" spans="1:4" hidden="1">
      <c r="A19" s="11"/>
      <c r="B19" s="11">
        <v>6</v>
      </c>
      <c r="C19" s="11" t="str">
        <f>IF(B7&gt;MAX('TUM-M'!A:A),"",INDEX('TUM-M'!B:B,MATCH(B7,'TUM-M'!A:A)))</f>
        <v/>
      </c>
      <c r="D19" s="11" t="str">
        <f>IF(B7&gt;MAX('TUM-M'!A:A),"",IF(INDEX('TUM-M'!I:I,MATCH(B7,'TUM-M'!A:A))="","No DD",INDEX('TUM-M'!I:I,MATCH(B7,'TUM-M'!A:A))))</f>
        <v/>
      </c>
    </row>
    <row r="20" spans="1:4">
      <c r="A20" s="14" t="s">
        <v>58</v>
      </c>
      <c r="B20" s="14">
        <v>1</v>
      </c>
      <c r="C20" s="14" t="str">
        <f>IF(B2&gt;MAX('TUM-W'!A:A),"",INDEX('TUM-W'!B:B,MATCH(B2,'TUM-W'!A:A)))</f>
        <v>HARRISON, Emily</v>
      </c>
      <c r="D20" s="14" t="str">
        <f>IF(B2&gt;MAX('TUM-W'!A:A),"",IF(INDEX('TUM-W'!I:I,MATCH(B2,'TUM-W'!A:A))="","No DD",INDEX('TUM-W'!I:I,MATCH(B2,'TUM-W'!A:A))))</f>
        <v>National Team</v>
      </c>
    </row>
    <row r="21" spans="1:4">
      <c r="A21" s="14"/>
      <c r="B21" s="14">
        <v>2</v>
      </c>
      <c r="C21" s="14" t="str">
        <f>IF(B3&gt;MAX('TUM-W'!A:A),"",INDEX('TUM-W'!B:B,MATCH(B3,'TUM-W'!A:A)))</f>
        <v>HECK, Megan</v>
      </c>
      <c r="D21" s="14" t="str">
        <f>IF(B3&gt;MAX('TUM-W'!A:A),"",IF(INDEX('TUM-W'!I:I,MATCH(B3,'TUM-W'!A:A))="","No DD",INDEX('TUM-W'!I:I,MATCH(B3,'TUM-W'!A:A))))</f>
        <v>No DD</v>
      </c>
    </row>
    <row r="22" spans="1:4">
      <c r="A22" s="14"/>
      <c r="B22" s="14">
        <v>3</v>
      </c>
      <c r="C22" s="14" t="str">
        <f>IF(B4&gt;MAX('TUM-W'!A:A),"",INDEX('TUM-W'!B:B,MATCH(B4,'TUM-W'!A:A)))</f>
        <v>KORBUT, Kendra</v>
      </c>
      <c r="D22" s="14" t="str">
        <f>IF(B4&gt;MAX('TUM-W'!A:A),"",IF(INDEX('TUM-W'!I:I,MATCH(B4,'TUM-W'!A:A))="","No DD",INDEX('TUM-W'!I:I,MATCH(B4,'TUM-W'!A:A))))</f>
        <v>No DD</v>
      </c>
    </row>
    <row r="23" spans="1:4" hidden="1">
      <c r="A23" s="14"/>
      <c r="B23" s="14">
        <v>4</v>
      </c>
      <c r="C23" s="14" t="str">
        <f>IF(B5&gt;MAX('TUM-W'!A:A),"",INDEX('TUM-W'!B:B,MATCH(B5,'TUM-W'!A:A)))</f>
        <v/>
      </c>
      <c r="D23" s="14" t="str">
        <f>IF(B5&gt;MAX('TUM-W'!A:A),"",IF(INDEX('TUM-W'!I:I,MATCH(B5,'TUM-W'!A:A))="","No DD",INDEX('TUM-W'!I:I,MATCH(B5,'TUM-W'!A:A))))</f>
        <v/>
      </c>
    </row>
    <row r="24" spans="1:4" hidden="1">
      <c r="A24" s="14"/>
      <c r="B24" s="14">
        <v>5</v>
      </c>
      <c r="C24" s="14" t="str">
        <f>IF(B6&gt;MAX('TUM-W'!A:A),"",INDEX('TUM-W'!B:B,MATCH(B6,'TUM-W'!A:A)))</f>
        <v/>
      </c>
      <c r="D24" s="14" t="str">
        <f>IF(B6&gt;MAX('TUM-W'!A:A),"",IF(INDEX('TUM-W'!I:I,MATCH(B6,'TUM-W'!A:A))="","No DD",INDEX('TUM-W'!I:I,MATCH(B6,'TUM-W'!A:A))))</f>
        <v/>
      </c>
    </row>
    <row r="25" spans="1:4" hidden="1">
      <c r="A25" s="14"/>
      <c r="B25" s="14">
        <v>6</v>
      </c>
      <c r="C25" s="14" t="str">
        <f>IF(B7&gt;MAX('TUM-W'!A:A),"",INDEX('TUM-W'!B:B,MATCH(B7,'TUM-W'!A:A)))</f>
        <v/>
      </c>
      <c r="D25" s="14" t="str">
        <f>IF(B7&gt;MAX('TUM-W'!A:A),"",IF(INDEX('TUM-W'!I:I,MATCH(B7,'TUM-W'!A:A))="","No DD",INDEX('TUM-W'!I:I,MATCH(B7,'TUM-W'!A:A))))</f>
        <v/>
      </c>
    </row>
    <row r="26" spans="1:4">
      <c r="A26" s="11" t="s">
        <v>59</v>
      </c>
      <c r="B26" s="11">
        <v>1</v>
      </c>
      <c r="C26" s="11" t="str">
        <f>IF(B2&gt;MAX('DMT-M'!A:A),"",INDEX('DMT-M'!B:B,MATCH(B2,'DMT-M'!A:A)))</f>
        <v>DODD, Gavin</v>
      </c>
      <c r="D26" s="11" t="str">
        <f>IF(B2&gt;MAX('DMT-M'!A:A),"",IF(INDEX('DMT-M'!I:I,MATCH(B2,'DMT-M'!A:A))="","No DD",INDEX('DMT-M'!I:I,MATCH(B2,'DMT-M'!A:A))))</f>
        <v>National Team</v>
      </c>
    </row>
    <row r="27" spans="1:4">
      <c r="A27" s="11"/>
      <c r="B27" s="11">
        <v>2</v>
      </c>
      <c r="C27" s="11" t="str">
        <f>IF(B3&gt;MAX('DMT-M'!A:A),"",INDEX('DMT-M'!B:B,MATCH(B3,'DMT-M'!A:A)))</f>
        <v>BRENNER, Adin</v>
      </c>
      <c r="D27" s="11" t="str">
        <f>IF(B3&gt;MAX('DMT-M'!A:A),"",IF(INDEX('DMT-M'!I:I,MATCH(B3,'DMT-M'!A:A))="","No DD",INDEX('DMT-M'!I:I,MATCH(B3,'DMT-M'!A:A))))</f>
        <v>National Team</v>
      </c>
    </row>
    <row r="28" spans="1:4">
      <c r="A28" s="11"/>
      <c r="B28" s="11">
        <v>3</v>
      </c>
      <c r="C28" s="11" t="str">
        <f>IF(B4&gt;MAX('DMT-M'!A:A),"",INDEX('DMT-M'!B:B,MATCH(B4,'DMT-M'!A:A)))</f>
        <v>LUPISH, Kieran</v>
      </c>
      <c r="D28" s="11" t="str">
        <f>IF(B4&gt;MAX('DMT-M'!A:A),"",IF(INDEX('DMT-M'!I:I,MATCH(B4,'DMT-M'!A:A))="","No DD",INDEX('DMT-M'!I:I,MATCH(B4,'DMT-M'!A:A))))</f>
        <v>National Team</v>
      </c>
    </row>
    <row r="29" spans="1:4">
      <c r="A29" s="11"/>
      <c r="B29" s="11">
        <v>4</v>
      </c>
      <c r="C29" s="11" t="str">
        <f>IF(B5&gt;MAX('DMT-M'!A:A),"",INDEX('DMT-M'!B:B,MATCH(B5,'DMT-M'!A:A)))</f>
        <v>ARMSTRONG, Owen</v>
      </c>
      <c r="D29" s="11" t="str">
        <f>IF(B5&gt;MAX('DMT-M'!A:A),"",IF(INDEX('DMT-M'!I:I,MATCH(B5,'DMT-M'!A:A))="","No DD",INDEX('DMT-M'!I:I,MATCH(B5,'DMT-M'!A:A))))</f>
        <v>No DD</v>
      </c>
    </row>
    <row r="30" spans="1:4" hidden="1">
      <c r="A30" s="11"/>
      <c r="B30" s="11">
        <v>5</v>
      </c>
      <c r="C30" s="11" t="str">
        <f>IF(B6&gt;MAX('DMT-M'!A:A),"",INDEX('DMT-M'!B:B,MATCH(B6,'DMT-M'!A:A)))</f>
        <v/>
      </c>
      <c r="D30" s="11" t="str">
        <f>IF(B6&gt;MAX('DMT-M'!A:A),"",IF(INDEX('DMT-M'!I:I,MATCH(B6,'DMT-M'!A:A))="","No DD",INDEX('DMT-M'!I:I,MATCH(B6,'DMT-M'!A:A))))</f>
        <v/>
      </c>
    </row>
    <row r="31" spans="1:4" hidden="1">
      <c r="A31" s="11"/>
      <c r="B31" s="11">
        <v>6</v>
      </c>
      <c r="C31" s="11" t="str">
        <f>IF(B7&gt;MAX('DMT-M'!A:A),"",INDEX('DMT-M'!B:B,MATCH(B7,'DMT-M'!A:A)))</f>
        <v/>
      </c>
      <c r="D31" s="11" t="str">
        <f>IF(B7&gt;MAX('DMT-M'!A:A),"",IF(INDEX('DMT-M'!I:I,MATCH(B7,'DMT-M'!A:A))="","No DD",INDEX('DMT-M'!I:I,MATCH(B7,'DMT-M'!A:A))))</f>
        <v/>
      </c>
    </row>
    <row r="32" spans="1:4">
      <c r="A32" s="14" t="s">
        <v>60</v>
      </c>
      <c r="B32" s="14">
        <v>1</v>
      </c>
      <c r="C32" s="14" t="str">
        <f>IF(B2&gt;MAX('DMT-W'!A:A),"",INDEX('DMT-W'!B:B,MATCH(B2,'DMT-W'!A:A)))</f>
        <v>YENDLEY, Jordyn</v>
      </c>
      <c r="D32" s="14" t="str">
        <f>IF(B2&gt;MAX('DMT-W'!A:A),"",IF(INDEX('DMT-W'!I:I,MATCH(B2,'DMT-W'!A:A))="","No DD",INDEX('DMT-W'!I:I,MATCH(B2,'DMT-W'!A:A))))</f>
        <v>National Team</v>
      </c>
    </row>
    <row r="33" spans="1:4">
      <c r="A33" s="14"/>
      <c r="B33" s="14">
        <v>2</v>
      </c>
      <c r="C33" s="14" t="str">
        <f>IF(B3&gt;MAX('DMT-W'!A:A),"",INDEX('DMT-W'!B:B,MATCH(B3,'DMT-W'!A:A)))</f>
        <v>KYFUIK, Mackenzie</v>
      </c>
      <c r="D33" s="14" t="str">
        <f>IF(B3&gt;MAX('DMT-W'!A:A),"",IF(INDEX('DMT-W'!I:I,MATCH(B3,'DMT-W'!A:A))="","No DD",INDEX('DMT-W'!I:I,MATCH(B3,'DMT-W'!A:A))))</f>
        <v>National Team</v>
      </c>
    </row>
    <row r="34" spans="1:4" hidden="1">
      <c r="A34" s="14"/>
      <c r="B34" s="14">
        <v>3</v>
      </c>
      <c r="C34" s="14" t="str">
        <f>IF(B4&gt;MAX('DMT-W'!A:A),"",INDEX('DMT-W'!B:B,MATCH(B4,'DMT-W'!A:A)))</f>
        <v/>
      </c>
      <c r="D34" s="14" t="str">
        <f>IF(B4&gt;MAX('DMT-W'!A:A),"",IF(INDEX('DMT-W'!I:I,MATCH(B4,'DMT-W'!A:A))="","No DD",INDEX('DMT-W'!I:I,MATCH(B4,'DMT-W'!A:A))))</f>
        <v/>
      </c>
    </row>
    <row r="35" spans="1:4" hidden="1">
      <c r="A35" s="14"/>
      <c r="B35" s="14">
        <v>4</v>
      </c>
      <c r="C35" s="14" t="str">
        <f>IF(B5&gt;MAX('DMT-W'!A:A),"",INDEX('DMT-W'!B:B,MATCH(B5,'DMT-W'!A:A)))</f>
        <v/>
      </c>
      <c r="D35" s="14" t="str">
        <f>IF(B5&gt;MAX('DMT-W'!A:A),"",IF(INDEX('DMT-W'!I:I,MATCH(B5,'DMT-W'!A:A))="","No DD",INDEX('DMT-W'!I:I,MATCH(B5,'DMT-W'!A:A))))</f>
        <v/>
      </c>
    </row>
    <row r="36" spans="1:4" hidden="1">
      <c r="A36" s="14"/>
      <c r="B36" s="14">
        <v>5</v>
      </c>
      <c r="C36" s="14" t="str">
        <f>IF(B6&gt;MAX('DMT-W'!A:A),"",INDEX('DMT-W'!B:B,MATCH(B6,'DMT-W'!A:A)))</f>
        <v/>
      </c>
      <c r="D36" s="14" t="str">
        <f>IF(B6&gt;MAX('DMT-W'!A:A),"",IF(INDEX('DMT-W'!I:I,MATCH(B6,'DMT-W'!A:A))="","No DD",INDEX('DMT-W'!I:I,MATCH(B6,'DMT-W'!A:A))))</f>
        <v/>
      </c>
    </row>
    <row r="37" spans="1:4" hidden="1">
      <c r="A37" s="14"/>
      <c r="B37" s="14">
        <v>6</v>
      </c>
      <c r="C37" s="14" t="str">
        <f>IF(B7&gt;MAX('DMT-W'!A:A),"",INDEX('DMT-W'!B:B,MATCH(B7,'DMT-W'!A:A)))</f>
        <v/>
      </c>
      <c r="D37" s="14" t="str">
        <f>IF(B7&gt;MAX('DMT-W'!A:A),"",IF(INDEX('DMT-W'!I:I,MATCH(B7,'DMT-W'!A:A))="","No DD",INDEX('DMT-W'!I:I,MATCH(B7,'DMT-W'!A:A))))</f>
        <v/>
      </c>
    </row>
    <row r="39" spans="1:4">
      <c r="B39" s="58" t="s">
        <v>51</v>
      </c>
    </row>
    <row r="40" spans="1:4">
      <c r="B40" s="58" t="s">
        <v>49</v>
      </c>
    </row>
    <row r="41" spans="1:4">
      <c r="B41" s="58" t="s">
        <v>50</v>
      </c>
    </row>
    <row r="42" spans="1:4">
      <c r="A42" t="s">
        <v>55</v>
      </c>
      <c r="B42" s="95" t="s">
        <v>125</v>
      </c>
      <c r="C42" s="95"/>
    </row>
    <row r="43" spans="1:4">
      <c r="B43" s="58" t="s">
        <v>123</v>
      </c>
    </row>
    <row r="44" spans="1:4">
      <c r="B44" s="58" t="s">
        <v>124</v>
      </c>
    </row>
    <row r="45" spans="1:4">
      <c r="B45" s="58"/>
    </row>
    <row r="46" spans="1:4">
      <c r="B46" s="58"/>
    </row>
    <row r="47" spans="1:4">
      <c r="B47" s="58"/>
    </row>
  </sheetData>
  <sheetProtection formatCells="0" formatColumns="0" formatRows="0"/>
  <mergeCells count="1">
    <mergeCell ref="B42:C42"/>
  </mergeCells>
  <conditionalFormatting sqref="D2:D37">
    <cfRule type="containsText" dxfId="126" priority="1" operator="containsText" text="No DD">
      <formula>NOT(ISERROR(SEARCH("No DD",D2)))</formula>
    </cfRule>
    <cfRule type="containsText" dxfId="125" priority="4" operator="containsText" text="Merit">
      <formula>NOT(ISERROR(SEARCH("Merit",D2)))</formula>
    </cfRule>
    <cfRule type="containsText" dxfId="124" priority="5" operator="containsText" text="Funding">
      <formula>NOT(ISERROR(SEARCH("Funding",D2)))</formula>
    </cfRule>
    <cfRule type="containsText" dxfId="123" priority="6" operator="containsText" text="Worlds Team">
      <formula>NOT(ISERROR(SEARCH("Worlds Team",D2)))</formula>
    </cfRule>
    <cfRule type="containsText" dxfId="122" priority="7" operator="containsText" text="National Team">
      <formula>NOT(ISERROR(SEARCH("National Team",D2)))</formula>
    </cfRule>
  </conditionalFormatting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25400</xdr:colOff>
                    <xdr:row>38</xdr:row>
                    <xdr:rowOff>38100</xdr:rowOff>
                  </from>
                  <to>
                    <xdr:col>0</xdr:col>
                    <xdr:colOff>812800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800100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800100</xdr:colOff>
                    <xdr:row>40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Z4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4.6640625" hidden="1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9.5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6" max="86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38" width="10.83203125" customWidth="1"/>
  </cols>
  <sheetData>
    <row r="1" spans="1:338">
      <c r="A1" s="100" t="s">
        <v>1</v>
      </c>
      <c r="B1" s="100" t="s">
        <v>29</v>
      </c>
      <c r="C1" s="100" t="s">
        <v>0</v>
      </c>
      <c r="D1" s="100" t="s">
        <v>69</v>
      </c>
      <c r="E1" s="100" t="s">
        <v>2</v>
      </c>
      <c r="F1" s="101" t="s">
        <v>65</v>
      </c>
      <c r="G1" s="101" t="s">
        <v>64</v>
      </c>
      <c r="H1" s="100" t="s">
        <v>8</v>
      </c>
      <c r="I1" s="100" t="s">
        <v>9</v>
      </c>
      <c r="J1" s="102" t="s">
        <v>10</v>
      </c>
      <c r="K1" s="102" t="s">
        <v>46</v>
      </c>
      <c r="L1" s="102" t="s">
        <v>11</v>
      </c>
      <c r="M1" s="102" t="s">
        <v>46</v>
      </c>
      <c r="N1" s="102" t="s">
        <v>12</v>
      </c>
      <c r="O1" s="102" t="s">
        <v>46</v>
      </c>
      <c r="P1" s="102" t="s">
        <v>13</v>
      </c>
      <c r="Q1" s="102" t="s">
        <v>46</v>
      </c>
      <c r="R1" s="103" t="s">
        <v>14</v>
      </c>
      <c r="S1" s="102" t="s">
        <v>47</v>
      </c>
      <c r="T1" s="102" t="s">
        <v>46</v>
      </c>
      <c r="U1" s="97" t="s">
        <v>25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6" t="s">
        <v>26</v>
      </c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7" t="s">
        <v>66</v>
      </c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104" t="s">
        <v>14</v>
      </c>
      <c r="CG1" s="104"/>
      <c r="CH1" s="104"/>
      <c r="CI1" s="97" t="s">
        <v>61</v>
      </c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6" t="s">
        <v>122</v>
      </c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6"/>
      <c r="EU1" s="96"/>
      <c r="EV1" s="96"/>
      <c r="EW1" s="96"/>
      <c r="EX1" s="96"/>
      <c r="EY1" s="96"/>
      <c r="EZ1" s="96"/>
      <c r="FA1" s="96"/>
      <c r="FB1" s="96"/>
      <c r="FC1" s="96"/>
      <c r="FD1" s="96"/>
      <c r="FE1" s="96"/>
      <c r="FF1" s="96"/>
      <c r="FG1" s="96"/>
      <c r="FH1" s="96"/>
      <c r="FI1" s="96"/>
      <c r="FJ1" s="96"/>
      <c r="FK1" s="96"/>
      <c r="FL1" s="96"/>
      <c r="FM1" s="96"/>
      <c r="FN1" s="96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7"/>
      <c r="GG1" s="97"/>
      <c r="GH1" s="97"/>
      <c r="GI1" s="97"/>
      <c r="GJ1" s="96"/>
      <c r="GK1" s="96"/>
      <c r="GL1" s="96"/>
      <c r="GM1" s="96"/>
      <c r="GN1" s="96"/>
      <c r="GO1" s="96"/>
      <c r="GP1" s="96"/>
      <c r="GQ1" s="96"/>
      <c r="GR1" s="96"/>
      <c r="GS1" s="96"/>
      <c r="GT1" s="96"/>
      <c r="GU1" s="96"/>
      <c r="GV1" s="96"/>
      <c r="GW1" s="96"/>
      <c r="GX1" s="96"/>
      <c r="GY1" s="96"/>
      <c r="GZ1" s="96"/>
      <c r="HA1" s="96"/>
      <c r="HB1" s="96"/>
      <c r="HC1" s="96"/>
      <c r="HD1" s="96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  <c r="HY1" s="97"/>
      <c r="HZ1" s="96"/>
      <c r="IA1" s="96"/>
      <c r="IB1" s="96"/>
      <c r="IC1" s="96"/>
      <c r="ID1" s="96"/>
      <c r="IE1" s="96"/>
      <c r="IF1" s="96"/>
      <c r="IG1" s="96"/>
      <c r="IH1" s="96"/>
      <c r="II1" s="96"/>
      <c r="IJ1" s="96"/>
      <c r="IK1" s="96"/>
      <c r="IL1" s="96"/>
      <c r="IM1" s="96"/>
      <c r="IN1" s="96"/>
      <c r="IO1" s="96"/>
      <c r="IP1" s="96"/>
      <c r="IQ1" s="96"/>
      <c r="IR1" s="96"/>
      <c r="IS1" s="96"/>
      <c r="IT1" s="96"/>
      <c r="IU1" s="97"/>
      <c r="IV1" s="97"/>
      <c r="IW1" s="97"/>
      <c r="IX1" s="97"/>
      <c r="IY1" s="97"/>
      <c r="IZ1" s="97"/>
      <c r="JA1" s="97"/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6"/>
      <c r="JQ1" s="96"/>
      <c r="JR1" s="96"/>
      <c r="JS1" s="96"/>
      <c r="JT1" s="96"/>
      <c r="JU1" s="96"/>
      <c r="JV1" s="96"/>
      <c r="JW1" s="96"/>
      <c r="JX1" s="96"/>
      <c r="JY1" s="96"/>
      <c r="JZ1" s="96"/>
      <c r="KA1" s="96"/>
      <c r="KB1" s="96"/>
      <c r="KC1" s="96"/>
      <c r="KD1" s="96"/>
      <c r="KE1" s="96"/>
      <c r="KF1" s="96"/>
      <c r="KG1" s="96"/>
      <c r="KH1" s="96"/>
      <c r="KI1" s="96"/>
      <c r="KJ1" s="96"/>
      <c r="KK1" s="97"/>
      <c r="KL1" s="97"/>
      <c r="KM1" s="97"/>
      <c r="KN1" s="97"/>
      <c r="KO1" s="97"/>
      <c r="KP1" s="97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6"/>
      <c r="LG1" s="96"/>
      <c r="LH1" s="96"/>
      <c r="LI1" s="96"/>
      <c r="LJ1" s="96"/>
      <c r="LK1" s="96"/>
      <c r="LL1" s="96"/>
      <c r="LM1" s="96"/>
      <c r="LN1" s="96"/>
      <c r="LO1" s="96"/>
      <c r="LP1" s="96"/>
      <c r="LQ1" s="96"/>
      <c r="LR1" s="96"/>
      <c r="LS1" s="96"/>
      <c r="LT1" s="96"/>
      <c r="LU1" s="96"/>
      <c r="LV1" s="96"/>
      <c r="LW1" s="96"/>
      <c r="LX1" s="96"/>
      <c r="LY1" s="96"/>
      <c r="LZ1" s="96"/>
    </row>
    <row r="2" spans="1:338">
      <c r="A2" s="100"/>
      <c r="B2" s="100"/>
      <c r="C2" s="100"/>
      <c r="D2" s="100"/>
      <c r="E2" s="100"/>
      <c r="F2" s="101"/>
      <c r="G2" s="101"/>
      <c r="H2" s="100"/>
      <c r="I2" s="100"/>
      <c r="J2" s="102"/>
      <c r="K2" s="102"/>
      <c r="L2" s="102"/>
      <c r="M2" s="102"/>
      <c r="N2" s="102"/>
      <c r="O2" s="102"/>
      <c r="P2" s="102"/>
      <c r="Q2" s="102"/>
      <c r="R2" s="103"/>
      <c r="S2" s="102"/>
      <c r="T2" s="102"/>
      <c r="U2" s="99" t="s">
        <v>19</v>
      </c>
      <c r="V2" s="99"/>
      <c r="W2" s="99"/>
      <c r="X2" s="99"/>
      <c r="Y2" s="99"/>
      <c r="Z2" s="99" t="s">
        <v>20</v>
      </c>
      <c r="AA2" s="99"/>
      <c r="AB2" s="99"/>
      <c r="AC2" s="99"/>
      <c r="AD2" s="99"/>
      <c r="AE2" s="99" t="s">
        <v>23</v>
      </c>
      <c r="AF2" s="99"/>
      <c r="AG2" s="99"/>
      <c r="AH2" s="99"/>
      <c r="AI2" s="99"/>
      <c r="AJ2" s="39" t="s">
        <v>68</v>
      </c>
      <c r="AK2" s="10" t="s">
        <v>21</v>
      </c>
      <c r="AL2" s="10" t="s">
        <v>22</v>
      </c>
      <c r="AM2" s="10" t="s">
        <v>24</v>
      </c>
      <c r="AN2" s="10" t="s">
        <v>23</v>
      </c>
      <c r="AO2" s="10" t="s">
        <v>18</v>
      </c>
      <c r="AP2" s="98" t="s">
        <v>19</v>
      </c>
      <c r="AQ2" s="98"/>
      <c r="AR2" s="98"/>
      <c r="AS2" s="98"/>
      <c r="AT2" s="98"/>
      <c r="AU2" s="98" t="s">
        <v>20</v>
      </c>
      <c r="AV2" s="98"/>
      <c r="AW2" s="98"/>
      <c r="AX2" s="98"/>
      <c r="AY2" s="98"/>
      <c r="AZ2" s="98" t="s">
        <v>23</v>
      </c>
      <c r="BA2" s="98"/>
      <c r="BB2" s="98"/>
      <c r="BC2" s="98"/>
      <c r="BD2" s="98"/>
      <c r="BE2" s="40" t="s">
        <v>68</v>
      </c>
      <c r="BF2" s="13" t="s">
        <v>21</v>
      </c>
      <c r="BG2" s="13" t="s">
        <v>22</v>
      </c>
      <c r="BH2" s="13" t="s">
        <v>24</v>
      </c>
      <c r="BI2" s="13" t="s">
        <v>23</v>
      </c>
      <c r="BJ2" s="13" t="s">
        <v>18</v>
      </c>
      <c r="BK2" s="99" t="s">
        <v>19</v>
      </c>
      <c r="BL2" s="99"/>
      <c r="BM2" s="99"/>
      <c r="BN2" s="99"/>
      <c r="BO2" s="99"/>
      <c r="BP2" s="99" t="s">
        <v>20</v>
      </c>
      <c r="BQ2" s="99"/>
      <c r="BR2" s="99"/>
      <c r="BS2" s="99"/>
      <c r="BT2" s="99"/>
      <c r="BU2" s="99" t="s">
        <v>23</v>
      </c>
      <c r="BV2" s="99"/>
      <c r="BW2" s="99"/>
      <c r="BX2" s="99"/>
      <c r="BY2" s="99"/>
      <c r="BZ2" s="39" t="s">
        <v>68</v>
      </c>
      <c r="CA2" s="10" t="s">
        <v>21</v>
      </c>
      <c r="CB2" s="10" t="s">
        <v>22</v>
      </c>
      <c r="CC2" s="10" t="s">
        <v>24</v>
      </c>
      <c r="CD2" s="10" t="s">
        <v>23</v>
      </c>
      <c r="CE2" s="10" t="s">
        <v>18</v>
      </c>
      <c r="CF2" s="26" t="s">
        <v>21</v>
      </c>
      <c r="CG2" s="26" t="s">
        <v>22</v>
      </c>
      <c r="CH2" s="26" t="s">
        <v>23</v>
      </c>
      <c r="CI2" s="99" t="s">
        <v>19</v>
      </c>
      <c r="CJ2" s="99"/>
      <c r="CK2" s="99"/>
      <c r="CL2" s="99"/>
      <c r="CM2" s="99"/>
      <c r="CN2" s="99" t="s">
        <v>20</v>
      </c>
      <c r="CO2" s="99"/>
      <c r="CP2" s="99"/>
      <c r="CQ2" s="99"/>
      <c r="CR2" s="99"/>
      <c r="CS2" s="99" t="s">
        <v>23</v>
      </c>
      <c r="CT2" s="99"/>
      <c r="CU2" s="99"/>
      <c r="CV2" s="99"/>
      <c r="CW2" s="99"/>
      <c r="CX2" s="39" t="s">
        <v>68</v>
      </c>
      <c r="CY2" s="10" t="s">
        <v>21</v>
      </c>
      <c r="CZ2" s="10" t="s">
        <v>22</v>
      </c>
      <c r="DA2" s="10" t="s">
        <v>24</v>
      </c>
      <c r="DB2" s="10" t="s">
        <v>23</v>
      </c>
      <c r="DC2" s="10" t="s">
        <v>18</v>
      </c>
      <c r="DD2" s="98" t="s">
        <v>19</v>
      </c>
      <c r="DE2" s="98"/>
      <c r="DF2" s="98"/>
      <c r="DG2" s="98"/>
      <c r="DH2" s="98"/>
      <c r="DI2" s="98" t="s">
        <v>20</v>
      </c>
      <c r="DJ2" s="98"/>
      <c r="DK2" s="98"/>
      <c r="DL2" s="98"/>
      <c r="DM2" s="98"/>
      <c r="DN2" s="98" t="s">
        <v>23</v>
      </c>
      <c r="DO2" s="98"/>
      <c r="DP2" s="98"/>
      <c r="DQ2" s="98"/>
      <c r="DR2" s="98"/>
      <c r="DS2" s="40" t="s">
        <v>68</v>
      </c>
      <c r="DT2" s="13" t="s">
        <v>21</v>
      </c>
      <c r="DU2" s="13" t="s">
        <v>22</v>
      </c>
      <c r="DV2" s="13" t="s">
        <v>24</v>
      </c>
      <c r="DW2" s="13" t="s">
        <v>23</v>
      </c>
      <c r="DX2" s="13" t="s">
        <v>18</v>
      </c>
      <c r="DY2" s="99" t="s">
        <v>19</v>
      </c>
      <c r="DZ2" s="99"/>
      <c r="EA2" s="99"/>
      <c r="EB2" s="99"/>
      <c r="EC2" s="99"/>
      <c r="ED2" s="99" t="s">
        <v>20</v>
      </c>
      <c r="EE2" s="99"/>
      <c r="EF2" s="99"/>
      <c r="EG2" s="99"/>
      <c r="EH2" s="99"/>
      <c r="EI2" s="99" t="s">
        <v>23</v>
      </c>
      <c r="EJ2" s="99"/>
      <c r="EK2" s="99"/>
      <c r="EL2" s="99"/>
      <c r="EM2" s="99"/>
      <c r="EN2" s="78" t="s">
        <v>68</v>
      </c>
      <c r="EO2" s="10" t="s">
        <v>21</v>
      </c>
      <c r="EP2" s="10" t="s">
        <v>22</v>
      </c>
      <c r="EQ2" s="10" t="s">
        <v>24</v>
      </c>
      <c r="ER2" s="10" t="s">
        <v>23</v>
      </c>
      <c r="ES2" s="10" t="s">
        <v>18</v>
      </c>
      <c r="ET2" s="98" t="s">
        <v>19</v>
      </c>
      <c r="EU2" s="98"/>
      <c r="EV2" s="98"/>
      <c r="EW2" s="98"/>
      <c r="EX2" s="98"/>
      <c r="EY2" s="98" t="s">
        <v>20</v>
      </c>
      <c r="EZ2" s="98"/>
      <c r="FA2" s="98"/>
      <c r="FB2" s="98"/>
      <c r="FC2" s="98"/>
      <c r="FD2" s="98" t="s">
        <v>23</v>
      </c>
      <c r="FE2" s="98"/>
      <c r="FF2" s="98"/>
      <c r="FG2" s="98"/>
      <c r="FH2" s="98"/>
      <c r="FI2" s="77" t="s">
        <v>68</v>
      </c>
      <c r="FJ2" s="13" t="s">
        <v>21</v>
      </c>
      <c r="FK2" s="13" t="s">
        <v>22</v>
      </c>
      <c r="FL2" s="13" t="s">
        <v>24</v>
      </c>
      <c r="FM2" s="13" t="s">
        <v>23</v>
      </c>
      <c r="FN2" s="13" t="s">
        <v>18</v>
      </c>
      <c r="FO2" s="99" t="s">
        <v>19</v>
      </c>
      <c r="FP2" s="99"/>
      <c r="FQ2" s="99"/>
      <c r="FR2" s="99"/>
      <c r="FS2" s="99"/>
      <c r="FT2" s="99" t="s">
        <v>20</v>
      </c>
      <c r="FU2" s="99"/>
      <c r="FV2" s="99"/>
      <c r="FW2" s="99"/>
      <c r="FX2" s="99"/>
      <c r="FY2" s="99" t="s">
        <v>23</v>
      </c>
      <c r="FZ2" s="99"/>
      <c r="GA2" s="99"/>
      <c r="GB2" s="99"/>
      <c r="GC2" s="99"/>
      <c r="GD2" s="78" t="s">
        <v>68</v>
      </c>
      <c r="GE2" s="10" t="s">
        <v>21</v>
      </c>
      <c r="GF2" s="10" t="s">
        <v>22</v>
      </c>
      <c r="GG2" s="10" t="s">
        <v>24</v>
      </c>
      <c r="GH2" s="10" t="s">
        <v>23</v>
      </c>
      <c r="GI2" s="10" t="s">
        <v>18</v>
      </c>
      <c r="GJ2" s="98" t="s">
        <v>19</v>
      </c>
      <c r="GK2" s="98"/>
      <c r="GL2" s="98"/>
      <c r="GM2" s="98"/>
      <c r="GN2" s="98"/>
      <c r="GO2" s="98" t="s">
        <v>20</v>
      </c>
      <c r="GP2" s="98"/>
      <c r="GQ2" s="98"/>
      <c r="GR2" s="98"/>
      <c r="GS2" s="98"/>
      <c r="GT2" s="98" t="s">
        <v>23</v>
      </c>
      <c r="GU2" s="98"/>
      <c r="GV2" s="98"/>
      <c r="GW2" s="98"/>
      <c r="GX2" s="98"/>
      <c r="GY2" s="77" t="s">
        <v>68</v>
      </c>
      <c r="GZ2" s="13" t="s">
        <v>21</v>
      </c>
      <c r="HA2" s="13" t="s">
        <v>22</v>
      </c>
      <c r="HB2" s="13" t="s">
        <v>24</v>
      </c>
      <c r="HC2" s="13" t="s">
        <v>23</v>
      </c>
      <c r="HD2" s="13" t="s">
        <v>18</v>
      </c>
      <c r="HE2" s="99" t="s">
        <v>19</v>
      </c>
      <c r="HF2" s="99"/>
      <c r="HG2" s="99"/>
      <c r="HH2" s="99"/>
      <c r="HI2" s="99"/>
      <c r="HJ2" s="99" t="s">
        <v>20</v>
      </c>
      <c r="HK2" s="99"/>
      <c r="HL2" s="99"/>
      <c r="HM2" s="99"/>
      <c r="HN2" s="99"/>
      <c r="HO2" s="99" t="s">
        <v>23</v>
      </c>
      <c r="HP2" s="99"/>
      <c r="HQ2" s="99"/>
      <c r="HR2" s="99"/>
      <c r="HS2" s="99"/>
      <c r="HT2" s="78" t="s">
        <v>68</v>
      </c>
      <c r="HU2" s="10" t="s">
        <v>21</v>
      </c>
      <c r="HV2" s="10" t="s">
        <v>22</v>
      </c>
      <c r="HW2" s="10" t="s">
        <v>24</v>
      </c>
      <c r="HX2" s="10" t="s">
        <v>23</v>
      </c>
      <c r="HY2" s="10" t="s">
        <v>18</v>
      </c>
      <c r="HZ2" s="98" t="s">
        <v>19</v>
      </c>
      <c r="IA2" s="98"/>
      <c r="IB2" s="98"/>
      <c r="IC2" s="98"/>
      <c r="ID2" s="98"/>
      <c r="IE2" s="98" t="s">
        <v>20</v>
      </c>
      <c r="IF2" s="98"/>
      <c r="IG2" s="98"/>
      <c r="IH2" s="98"/>
      <c r="II2" s="98"/>
      <c r="IJ2" s="98" t="s">
        <v>23</v>
      </c>
      <c r="IK2" s="98"/>
      <c r="IL2" s="98"/>
      <c r="IM2" s="98"/>
      <c r="IN2" s="98"/>
      <c r="IO2" s="77" t="s">
        <v>68</v>
      </c>
      <c r="IP2" s="13" t="s">
        <v>21</v>
      </c>
      <c r="IQ2" s="13" t="s">
        <v>22</v>
      </c>
      <c r="IR2" s="13" t="s">
        <v>24</v>
      </c>
      <c r="IS2" s="13" t="s">
        <v>23</v>
      </c>
      <c r="IT2" s="13" t="s">
        <v>18</v>
      </c>
      <c r="IU2" s="99" t="s">
        <v>19</v>
      </c>
      <c r="IV2" s="99"/>
      <c r="IW2" s="99"/>
      <c r="IX2" s="99"/>
      <c r="IY2" s="99"/>
      <c r="IZ2" s="99" t="s">
        <v>20</v>
      </c>
      <c r="JA2" s="99"/>
      <c r="JB2" s="99"/>
      <c r="JC2" s="99"/>
      <c r="JD2" s="99"/>
      <c r="JE2" s="99" t="s">
        <v>23</v>
      </c>
      <c r="JF2" s="99"/>
      <c r="JG2" s="99"/>
      <c r="JH2" s="99"/>
      <c r="JI2" s="99"/>
      <c r="JJ2" s="78" t="s">
        <v>68</v>
      </c>
      <c r="JK2" s="10" t="s">
        <v>21</v>
      </c>
      <c r="JL2" s="10" t="s">
        <v>22</v>
      </c>
      <c r="JM2" s="10" t="s">
        <v>24</v>
      </c>
      <c r="JN2" s="10" t="s">
        <v>23</v>
      </c>
      <c r="JO2" s="10" t="s">
        <v>18</v>
      </c>
      <c r="JP2" s="98" t="s">
        <v>19</v>
      </c>
      <c r="JQ2" s="98"/>
      <c r="JR2" s="98"/>
      <c r="JS2" s="98"/>
      <c r="JT2" s="98"/>
      <c r="JU2" s="98" t="s">
        <v>20</v>
      </c>
      <c r="JV2" s="98"/>
      <c r="JW2" s="98"/>
      <c r="JX2" s="98"/>
      <c r="JY2" s="98"/>
      <c r="JZ2" s="98" t="s">
        <v>23</v>
      </c>
      <c r="KA2" s="98"/>
      <c r="KB2" s="98"/>
      <c r="KC2" s="98"/>
      <c r="KD2" s="98"/>
      <c r="KE2" s="77" t="s">
        <v>68</v>
      </c>
      <c r="KF2" s="13" t="s">
        <v>21</v>
      </c>
      <c r="KG2" s="13" t="s">
        <v>22</v>
      </c>
      <c r="KH2" s="13" t="s">
        <v>24</v>
      </c>
      <c r="KI2" s="13" t="s">
        <v>23</v>
      </c>
      <c r="KJ2" s="13" t="s">
        <v>18</v>
      </c>
      <c r="KK2" s="99" t="s">
        <v>19</v>
      </c>
      <c r="KL2" s="99"/>
      <c r="KM2" s="99"/>
      <c r="KN2" s="99"/>
      <c r="KO2" s="99"/>
      <c r="KP2" s="99" t="s">
        <v>20</v>
      </c>
      <c r="KQ2" s="99"/>
      <c r="KR2" s="99"/>
      <c r="KS2" s="99"/>
      <c r="KT2" s="99"/>
      <c r="KU2" s="99" t="s">
        <v>23</v>
      </c>
      <c r="KV2" s="99"/>
      <c r="KW2" s="99"/>
      <c r="KX2" s="99"/>
      <c r="KY2" s="99"/>
      <c r="KZ2" s="78" t="s">
        <v>68</v>
      </c>
      <c r="LA2" s="10" t="s">
        <v>21</v>
      </c>
      <c r="LB2" s="10" t="s">
        <v>22</v>
      </c>
      <c r="LC2" s="10" t="s">
        <v>24</v>
      </c>
      <c r="LD2" s="10" t="s">
        <v>23</v>
      </c>
      <c r="LE2" s="10" t="s">
        <v>18</v>
      </c>
      <c r="LF2" s="98" t="s">
        <v>19</v>
      </c>
      <c r="LG2" s="98"/>
      <c r="LH2" s="98"/>
      <c r="LI2" s="98"/>
      <c r="LJ2" s="98"/>
      <c r="LK2" s="98" t="s">
        <v>20</v>
      </c>
      <c r="LL2" s="98"/>
      <c r="LM2" s="98"/>
      <c r="LN2" s="98"/>
      <c r="LO2" s="98"/>
      <c r="LP2" s="98" t="s">
        <v>23</v>
      </c>
      <c r="LQ2" s="98"/>
      <c r="LR2" s="98"/>
      <c r="LS2" s="98"/>
      <c r="LT2" s="98"/>
      <c r="LU2" s="77" t="s">
        <v>68</v>
      </c>
      <c r="LV2" s="13" t="s">
        <v>21</v>
      </c>
      <c r="LW2" s="13" t="s">
        <v>22</v>
      </c>
      <c r="LX2" s="13" t="s">
        <v>24</v>
      </c>
      <c r="LY2" s="13" t="s">
        <v>23</v>
      </c>
      <c r="LZ2" s="13" t="s">
        <v>18</v>
      </c>
    </row>
    <row r="3" spans="1:338">
      <c r="A3" s="100"/>
      <c r="B3" s="100"/>
      <c r="C3" s="100"/>
      <c r="D3" s="100"/>
      <c r="E3" s="100"/>
      <c r="F3" s="101"/>
      <c r="G3" s="101"/>
      <c r="H3" s="100"/>
      <c r="I3" s="100"/>
      <c r="J3" s="102"/>
      <c r="K3" s="102"/>
      <c r="L3" s="102"/>
      <c r="M3" s="102"/>
      <c r="N3" s="102"/>
      <c r="O3" s="102"/>
      <c r="P3" s="102"/>
      <c r="Q3" s="102"/>
      <c r="R3" s="103"/>
      <c r="S3" s="102"/>
      <c r="T3" s="102"/>
      <c r="U3" s="39" t="s">
        <v>15</v>
      </c>
      <c r="V3" s="39" t="s">
        <v>16</v>
      </c>
      <c r="W3" s="39" t="s">
        <v>7</v>
      </c>
      <c r="X3" s="39" t="s">
        <v>17</v>
      </c>
      <c r="Y3" s="55" t="s">
        <v>33</v>
      </c>
      <c r="Z3" s="39" t="s">
        <v>15</v>
      </c>
      <c r="AA3" s="39" t="s">
        <v>16</v>
      </c>
      <c r="AB3" s="39" t="s">
        <v>7</v>
      </c>
      <c r="AC3" s="39" t="s">
        <v>17</v>
      </c>
      <c r="AD3" s="55" t="s">
        <v>33</v>
      </c>
      <c r="AE3" s="39" t="s">
        <v>15</v>
      </c>
      <c r="AF3" s="39" t="s">
        <v>16</v>
      </c>
      <c r="AG3" s="39" t="s">
        <v>7</v>
      </c>
      <c r="AH3" s="39" t="s">
        <v>17</v>
      </c>
      <c r="AI3" s="55" t="s">
        <v>33</v>
      </c>
      <c r="AJ3" s="11"/>
      <c r="AK3" s="10"/>
      <c r="AL3" s="10"/>
      <c r="AM3" s="10"/>
      <c r="AN3" s="11"/>
      <c r="AO3" s="11"/>
      <c r="AP3" s="40" t="s">
        <v>15</v>
      </c>
      <c r="AQ3" s="40" t="s">
        <v>16</v>
      </c>
      <c r="AR3" s="40" t="s">
        <v>7</v>
      </c>
      <c r="AS3" s="40" t="s">
        <v>17</v>
      </c>
      <c r="AT3" s="56" t="s">
        <v>33</v>
      </c>
      <c r="AU3" s="40" t="s">
        <v>15</v>
      </c>
      <c r="AV3" s="40" t="s">
        <v>16</v>
      </c>
      <c r="AW3" s="40" t="s">
        <v>7</v>
      </c>
      <c r="AX3" s="40" t="s">
        <v>17</v>
      </c>
      <c r="AY3" s="56" t="s">
        <v>33</v>
      </c>
      <c r="AZ3" s="40" t="s">
        <v>15</v>
      </c>
      <c r="BA3" s="40" t="s">
        <v>16</v>
      </c>
      <c r="BB3" s="40" t="s">
        <v>7</v>
      </c>
      <c r="BC3" s="56" t="s">
        <v>17</v>
      </c>
      <c r="BD3" s="40" t="s">
        <v>33</v>
      </c>
      <c r="BE3" s="14"/>
      <c r="BF3" s="13"/>
      <c r="BG3" s="13"/>
      <c r="BH3" s="13"/>
      <c r="BI3" s="14"/>
      <c r="BJ3" s="14"/>
      <c r="BK3" s="39" t="s">
        <v>15</v>
      </c>
      <c r="BL3" s="39" t="s">
        <v>16</v>
      </c>
      <c r="BM3" s="39" t="s">
        <v>7</v>
      </c>
      <c r="BN3" s="39" t="s">
        <v>17</v>
      </c>
      <c r="BO3" s="55" t="s">
        <v>33</v>
      </c>
      <c r="BP3" s="39" t="s">
        <v>15</v>
      </c>
      <c r="BQ3" s="39" t="s">
        <v>16</v>
      </c>
      <c r="BR3" s="39" t="s">
        <v>7</v>
      </c>
      <c r="BS3" s="39" t="s">
        <v>17</v>
      </c>
      <c r="BT3" s="55" t="s">
        <v>33</v>
      </c>
      <c r="BU3" s="39" t="s">
        <v>15</v>
      </c>
      <c r="BV3" s="39" t="s">
        <v>16</v>
      </c>
      <c r="BW3" s="39" t="s">
        <v>7</v>
      </c>
      <c r="BX3" s="39" t="s">
        <v>17</v>
      </c>
      <c r="BY3" s="55" t="s">
        <v>33</v>
      </c>
      <c r="BZ3" s="11"/>
      <c r="CA3" s="10"/>
      <c r="CB3" s="10"/>
      <c r="CC3" s="10"/>
      <c r="CD3" s="11"/>
      <c r="CE3" s="11"/>
      <c r="CF3" s="27"/>
      <c r="CG3" s="27"/>
      <c r="CH3" s="27"/>
      <c r="CI3" s="39" t="s">
        <v>15</v>
      </c>
      <c r="CJ3" s="39" t="s">
        <v>16</v>
      </c>
      <c r="CK3" s="39" t="s">
        <v>7</v>
      </c>
      <c r="CL3" s="39" t="s">
        <v>17</v>
      </c>
      <c r="CM3" s="55" t="s">
        <v>33</v>
      </c>
      <c r="CN3" s="39" t="s">
        <v>15</v>
      </c>
      <c r="CO3" s="39" t="s">
        <v>16</v>
      </c>
      <c r="CP3" s="39" t="s">
        <v>7</v>
      </c>
      <c r="CQ3" s="39" t="s">
        <v>17</v>
      </c>
      <c r="CR3" s="55" t="s">
        <v>33</v>
      </c>
      <c r="CS3" s="39" t="s">
        <v>15</v>
      </c>
      <c r="CT3" s="39" t="s">
        <v>16</v>
      </c>
      <c r="CU3" s="39" t="s">
        <v>7</v>
      </c>
      <c r="CV3" s="39" t="s">
        <v>17</v>
      </c>
      <c r="CW3" s="55" t="s">
        <v>33</v>
      </c>
      <c r="CX3" s="11"/>
      <c r="CY3" s="10"/>
      <c r="CZ3" s="10"/>
      <c r="DA3" s="10"/>
      <c r="DB3" s="11"/>
      <c r="DC3" s="11"/>
      <c r="DD3" s="40" t="s">
        <v>15</v>
      </c>
      <c r="DE3" s="40" t="s">
        <v>16</v>
      </c>
      <c r="DF3" s="40" t="s">
        <v>7</v>
      </c>
      <c r="DG3" s="40" t="s">
        <v>17</v>
      </c>
      <c r="DH3" s="56" t="s">
        <v>33</v>
      </c>
      <c r="DI3" s="40" t="s">
        <v>15</v>
      </c>
      <c r="DJ3" s="40" t="s">
        <v>16</v>
      </c>
      <c r="DK3" s="40" t="s">
        <v>7</v>
      </c>
      <c r="DL3" s="40" t="s">
        <v>17</v>
      </c>
      <c r="DM3" s="56" t="s">
        <v>33</v>
      </c>
      <c r="DN3" s="40" t="s">
        <v>15</v>
      </c>
      <c r="DO3" s="40" t="s">
        <v>16</v>
      </c>
      <c r="DP3" s="40" t="s">
        <v>7</v>
      </c>
      <c r="DQ3" s="40" t="s">
        <v>17</v>
      </c>
      <c r="DR3" s="57" t="s">
        <v>33</v>
      </c>
      <c r="DS3" s="14"/>
      <c r="DT3" s="13"/>
      <c r="DU3" s="13"/>
      <c r="DV3" s="13"/>
      <c r="DW3" s="14"/>
      <c r="DX3" s="14"/>
      <c r="DY3" s="39" t="s">
        <v>15</v>
      </c>
      <c r="DZ3" s="39" t="s">
        <v>16</v>
      </c>
      <c r="EA3" s="39" t="s">
        <v>7</v>
      </c>
      <c r="EB3" s="39" t="s">
        <v>17</v>
      </c>
      <c r="EC3" s="55" t="s">
        <v>33</v>
      </c>
      <c r="ED3" s="39" t="s">
        <v>15</v>
      </c>
      <c r="EE3" s="39" t="s">
        <v>16</v>
      </c>
      <c r="EF3" s="39" t="s">
        <v>7</v>
      </c>
      <c r="EG3" s="39" t="s">
        <v>17</v>
      </c>
      <c r="EH3" s="55" t="s">
        <v>33</v>
      </c>
      <c r="EI3" s="39" t="s">
        <v>15</v>
      </c>
      <c r="EJ3" s="39" t="s">
        <v>16</v>
      </c>
      <c r="EK3" s="39" t="s">
        <v>7</v>
      </c>
      <c r="EL3" s="39" t="s">
        <v>17</v>
      </c>
      <c r="EM3" s="55" t="s">
        <v>33</v>
      </c>
      <c r="EN3" s="11"/>
      <c r="EO3" s="10"/>
      <c r="EP3" s="10"/>
      <c r="EQ3" s="10"/>
      <c r="ER3" s="11"/>
      <c r="ES3" s="11"/>
      <c r="ET3" s="40" t="s">
        <v>15</v>
      </c>
      <c r="EU3" s="40" t="s">
        <v>16</v>
      </c>
      <c r="EV3" s="40" t="s">
        <v>7</v>
      </c>
      <c r="EW3" s="40" t="s">
        <v>17</v>
      </c>
      <c r="EX3" s="56" t="s">
        <v>33</v>
      </c>
      <c r="EY3" s="40" t="s">
        <v>15</v>
      </c>
      <c r="EZ3" s="40" t="s">
        <v>16</v>
      </c>
      <c r="FA3" s="40" t="s">
        <v>7</v>
      </c>
      <c r="FB3" s="40" t="s">
        <v>17</v>
      </c>
      <c r="FC3" s="56" t="s">
        <v>33</v>
      </c>
      <c r="FD3" s="40" t="s">
        <v>15</v>
      </c>
      <c r="FE3" s="40" t="s">
        <v>16</v>
      </c>
      <c r="FF3" s="40" t="s">
        <v>7</v>
      </c>
      <c r="FG3" s="40" t="s">
        <v>17</v>
      </c>
      <c r="FH3" s="56" t="s">
        <v>33</v>
      </c>
      <c r="FI3" s="14"/>
      <c r="FJ3" s="13"/>
      <c r="FK3" s="13"/>
      <c r="FL3" s="13"/>
      <c r="FM3" s="14"/>
      <c r="FN3" s="14"/>
      <c r="FO3" s="39" t="s">
        <v>15</v>
      </c>
      <c r="FP3" s="39" t="s">
        <v>16</v>
      </c>
      <c r="FQ3" s="39" t="s">
        <v>7</v>
      </c>
      <c r="FR3" s="39" t="s">
        <v>17</v>
      </c>
      <c r="FS3" s="55" t="s">
        <v>33</v>
      </c>
      <c r="FT3" s="39" t="s">
        <v>15</v>
      </c>
      <c r="FU3" s="39" t="s">
        <v>16</v>
      </c>
      <c r="FV3" s="39" t="s">
        <v>7</v>
      </c>
      <c r="FW3" s="39" t="s">
        <v>17</v>
      </c>
      <c r="FX3" s="55" t="s">
        <v>33</v>
      </c>
      <c r="FY3" s="39" t="s">
        <v>15</v>
      </c>
      <c r="FZ3" s="39" t="s">
        <v>16</v>
      </c>
      <c r="GA3" s="39" t="s">
        <v>7</v>
      </c>
      <c r="GB3" s="39" t="s">
        <v>17</v>
      </c>
      <c r="GC3" s="55" t="s">
        <v>33</v>
      </c>
      <c r="GD3" s="11"/>
      <c r="GE3" s="10"/>
      <c r="GF3" s="10"/>
      <c r="GG3" s="10"/>
      <c r="GH3" s="11"/>
      <c r="GI3" s="11"/>
      <c r="GJ3" s="40" t="s">
        <v>15</v>
      </c>
      <c r="GK3" s="40" t="s">
        <v>16</v>
      </c>
      <c r="GL3" s="40" t="s">
        <v>7</v>
      </c>
      <c r="GM3" s="40" t="s">
        <v>17</v>
      </c>
      <c r="GN3" s="56" t="s">
        <v>33</v>
      </c>
      <c r="GO3" s="40" t="s">
        <v>15</v>
      </c>
      <c r="GP3" s="40" t="s">
        <v>16</v>
      </c>
      <c r="GQ3" s="40" t="s">
        <v>7</v>
      </c>
      <c r="GR3" s="40" t="s">
        <v>17</v>
      </c>
      <c r="GS3" s="56" t="s">
        <v>33</v>
      </c>
      <c r="GT3" s="40" t="s">
        <v>15</v>
      </c>
      <c r="GU3" s="40" t="s">
        <v>16</v>
      </c>
      <c r="GV3" s="40" t="s">
        <v>7</v>
      </c>
      <c r="GW3" s="40" t="s">
        <v>17</v>
      </c>
      <c r="GX3" s="56" t="s">
        <v>33</v>
      </c>
      <c r="GY3" s="14"/>
      <c r="GZ3" s="13"/>
      <c r="HA3" s="13"/>
      <c r="HB3" s="13"/>
      <c r="HC3" s="14"/>
      <c r="HD3" s="14"/>
      <c r="HE3" s="39" t="s">
        <v>15</v>
      </c>
      <c r="HF3" s="39" t="s">
        <v>16</v>
      </c>
      <c r="HG3" s="39" t="s">
        <v>7</v>
      </c>
      <c r="HH3" s="39" t="s">
        <v>17</v>
      </c>
      <c r="HI3" s="55" t="s">
        <v>33</v>
      </c>
      <c r="HJ3" s="39" t="s">
        <v>15</v>
      </c>
      <c r="HK3" s="39" t="s">
        <v>16</v>
      </c>
      <c r="HL3" s="39" t="s">
        <v>7</v>
      </c>
      <c r="HM3" s="39" t="s">
        <v>17</v>
      </c>
      <c r="HN3" s="55" t="s">
        <v>33</v>
      </c>
      <c r="HO3" s="39" t="s">
        <v>15</v>
      </c>
      <c r="HP3" s="39" t="s">
        <v>16</v>
      </c>
      <c r="HQ3" s="39" t="s">
        <v>7</v>
      </c>
      <c r="HR3" s="39" t="s">
        <v>17</v>
      </c>
      <c r="HS3" s="55" t="s">
        <v>33</v>
      </c>
      <c r="HT3" s="11"/>
      <c r="HU3" s="10"/>
      <c r="HV3" s="10"/>
      <c r="HW3" s="10"/>
      <c r="HX3" s="11"/>
      <c r="HY3" s="11"/>
      <c r="HZ3" s="40" t="s">
        <v>15</v>
      </c>
      <c r="IA3" s="40" t="s">
        <v>16</v>
      </c>
      <c r="IB3" s="40" t="s">
        <v>7</v>
      </c>
      <c r="IC3" s="40" t="s">
        <v>17</v>
      </c>
      <c r="ID3" s="56" t="s">
        <v>33</v>
      </c>
      <c r="IE3" s="40" t="s">
        <v>15</v>
      </c>
      <c r="IF3" s="40" t="s">
        <v>16</v>
      </c>
      <c r="IG3" s="40" t="s">
        <v>7</v>
      </c>
      <c r="IH3" s="40" t="s">
        <v>17</v>
      </c>
      <c r="II3" s="56" t="s">
        <v>33</v>
      </c>
      <c r="IJ3" s="40" t="s">
        <v>15</v>
      </c>
      <c r="IK3" s="40" t="s">
        <v>16</v>
      </c>
      <c r="IL3" s="40" t="s">
        <v>7</v>
      </c>
      <c r="IM3" s="40" t="s">
        <v>17</v>
      </c>
      <c r="IN3" s="56" t="s">
        <v>33</v>
      </c>
      <c r="IO3" s="14"/>
      <c r="IP3" s="13"/>
      <c r="IQ3" s="13"/>
      <c r="IR3" s="13"/>
      <c r="IS3" s="14"/>
      <c r="IT3" s="14"/>
      <c r="IU3" s="39" t="s">
        <v>15</v>
      </c>
      <c r="IV3" s="39" t="s">
        <v>16</v>
      </c>
      <c r="IW3" s="39" t="s">
        <v>7</v>
      </c>
      <c r="IX3" s="39" t="s">
        <v>17</v>
      </c>
      <c r="IY3" s="55" t="s">
        <v>33</v>
      </c>
      <c r="IZ3" s="39" t="s">
        <v>15</v>
      </c>
      <c r="JA3" s="39" t="s">
        <v>16</v>
      </c>
      <c r="JB3" s="39" t="s">
        <v>7</v>
      </c>
      <c r="JC3" s="39" t="s">
        <v>17</v>
      </c>
      <c r="JD3" s="55" t="s">
        <v>33</v>
      </c>
      <c r="JE3" s="39" t="s">
        <v>15</v>
      </c>
      <c r="JF3" s="39" t="s">
        <v>16</v>
      </c>
      <c r="JG3" s="39" t="s">
        <v>7</v>
      </c>
      <c r="JH3" s="39" t="s">
        <v>17</v>
      </c>
      <c r="JI3" s="55" t="s">
        <v>33</v>
      </c>
      <c r="JJ3" s="11"/>
      <c r="JK3" s="10"/>
      <c r="JL3" s="10"/>
      <c r="JM3" s="10"/>
      <c r="JN3" s="11"/>
      <c r="JO3" s="11"/>
      <c r="JP3" s="40" t="s">
        <v>15</v>
      </c>
      <c r="JQ3" s="40" t="s">
        <v>16</v>
      </c>
      <c r="JR3" s="40" t="s">
        <v>7</v>
      </c>
      <c r="JS3" s="40" t="s">
        <v>17</v>
      </c>
      <c r="JT3" s="56" t="s">
        <v>33</v>
      </c>
      <c r="JU3" s="40" t="s">
        <v>15</v>
      </c>
      <c r="JV3" s="40" t="s">
        <v>16</v>
      </c>
      <c r="JW3" s="40" t="s">
        <v>7</v>
      </c>
      <c r="JX3" s="40" t="s">
        <v>17</v>
      </c>
      <c r="JY3" s="56" t="s">
        <v>33</v>
      </c>
      <c r="JZ3" s="40" t="s">
        <v>15</v>
      </c>
      <c r="KA3" s="40" t="s">
        <v>16</v>
      </c>
      <c r="KB3" s="40" t="s">
        <v>7</v>
      </c>
      <c r="KC3" s="40" t="s">
        <v>17</v>
      </c>
      <c r="KD3" s="56" t="s">
        <v>33</v>
      </c>
      <c r="KE3" s="14"/>
      <c r="KF3" s="13"/>
      <c r="KG3" s="13"/>
      <c r="KH3" s="13"/>
      <c r="KI3" s="14"/>
      <c r="KJ3" s="14"/>
      <c r="KK3" s="39" t="s">
        <v>15</v>
      </c>
      <c r="KL3" s="39" t="s">
        <v>16</v>
      </c>
      <c r="KM3" s="39" t="s">
        <v>7</v>
      </c>
      <c r="KN3" s="39" t="s">
        <v>17</v>
      </c>
      <c r="KO3" s="55" t="s">
        <v>33</v>
      </c>
      <c r="KP3" s="39" t="s">
        <v>15</v>
      </c>
      <c r="KQ3" s="39" t="s">
        <v>16</v>
      </c>
      <c r="KR3" s="39" t="s">
        <v>7</v>
      </c>
      <c r="KS3" s="39" t="s">
        <v>17</v>
      </c>
      <c r="KT3" s="55" t="s">
        <v>33</v>
      </c>
      <c r="KU3" s="39" t="s">
        <v>15</v>
      </c>
      <c r="KV3" s="39" t="s">
        <v>16</v>
      </c>
      <c r="KW3" s="39" t="s">
        <v>7</v>
      </c>
      <c r="KX3" s="39" t="s">
        <v>17</v>
      </c>
      <c r="KY3" s="55" t="s">
        <v>33</v>
      </c>
      <c r="KZ3" s="11"/>
      <c r="LA3" s="10"/>
      <c r="LB3" s="10"/>
      <c r="LC3" s="10"/>
      <c r="LD3" s="11"/>
      <c r="LE3" s="11"/>
      <c r="LF3" s="40" t="s">
        <v>15</v>
      </c>
      <c r="LG3" s="40" t="s">
        <v>16</v>
      </c>
      <c r="LH3" s="40" t="s">
        <v>7</v>
      </c>
      <c r="LI3" s="40" t="s">
        <v>17</v>
      </c>
      <c r="LJ3" s="56" t="s">
        <v>33</v>
      </c>
      <c r="LK3" s="40" t="s">
        <v>15</v>
      </c>
      <c r="LL3" s="40" t="s">
        <v>16</v>
      </c>
      <c r="LM3" s="40" t="s">
        <v>7</v>
      </c>
      <c r="LN3" s="40" t="s">
        <v>17</v>
      </c>
      <c r="LO3" s="56" t="s">
        <v>33</v>
      </c>
      <c r="LP3" s="40" t="s">
        <v>15</v>
      </c>
      <c r="LQ3" s="40" t="s">
        <v>16</v>
      </c>
      <c r="LR3" s="40" t="s">
        <v>7</v>
      </c>
      <c r="LS3" s="40" t="s">
        <v>17</v>
      </c>
      <c r="LT3" s="56" t="s">
        <v>33</v>
      </c>
      <c r="LU3" s="14"/>
      <c r="LV3" s="13"/>
      <c r="LW3" s="13"/>
      <c r="LX3" s="13"/>
      <c r="LY3" s="14"/>
      <c r="LZ3" s="14"/>
    </row>
    <row r="4" spans="1:338">
      <c r="A4" s="6">
        <f>IF(AND(F4="P",H4="P"),SUMPRODUCT((F$4:F$17="P")*(H$4:H$17="P")*(E$4:E$17&gt;E4))+1,IF(H4="P",SUMPRODUCT((F$4:F$17="")*(H$4:H$17="P")*(E$4:E$17&gt;E4))+1+SUMPRODUCT((F$4:F$17="P")*(H$4:H$17="P")),""))</f>
        <v>1</v>
      </c>
      <c r="B4" s="9" t="s">
        <v>70</v>
      </c>
      <c r="C4" s="5" t="s">
        <v>6</v>
      </c>
      <c r="D4" s="6">
        <v>2001</v>
      </c>
      <c r="E4" s="16">
        <f>SUM(J4:R4)</f>
        <v>273.90125</v>
      </c>
      <c r="F4" s="4" t="str">
        <f>IF(OR(AND($AJ4&gt;=$AK$20,NOT($AJ4="")),AND($BE4&gt;=$BF$20,NOT($BE4="")),AND($BZ4&gt;=$CA$20,NOT($BZ4=""))),"P","")</f>
        <v>P</v>
      </c>
      <c r="G4" s="4" t="str">
        <f>IF(OR(AND($AJ4&gt;=$AK$21,NOT($AJ4="")),AND($BE4&gt;=$BF$21,NOT($BE4="")),AND($BZ4&gt;=$CA$21,NOT($BZ4=""))),"P","")</f>
        <v/>
      </c>
      <c r="H4" s="4" t="str">
        <f>IF(OR(AND($AM4&gt;=$AK$22,NOT($AM4="")),AND($BH4&gt;=$BF$22,NOT($BH4="")),AND($CC4&gt;=$CA$22,NOT($CC4=""))),"P","")</f>
        <v>P</v>
      </c>
      <c r="I4" t="str">
        <f>IF(AND(F4="P",OR(AND($AL4&gt;$AK$25,NOT($AL4="")),AND($AN4&gt;$AK$25,NOT($AN4="")),AND($BG4&gt;$BF$25,NOT($BG4="")),AND($BI4&gt;$BF$25,NOT($BI4="")),AND($CB4&gt;$CA$25,NOT($CB4="")),AND($CD4&gt;$CA$25,NOT($CD4="")))),"Merit",IF(AND(F4="P",OR(AND($AM4&gt;$AK$24,NOT($AM4="")),AND($BH4&gt;$BF$24,NOT($BH4="")),AND($CC4&gt;$CA$24,NOT($CC4="")))),"Funding",IF(AND(F4="P",OR(AND($AM4&gt;$AK$23,NOT($AM4="")),AND($BH4&gt;$BF$23,NOT($BH4="")),AND($CC4&gt;$CA$23,NOT($CC4="")))),"Worlds Team",IF(AND(F4="P",OR(AND($AM4&gt;$AK$22,NOT($AM4="")),AND($BH4&gt;$BF$22,NOT($BH4="")),AND($CC4&gt;$CA$22,NOT($CC4="")))),"National Team",""))))</f>
        <v>Merit</v>
      </c>
      <c r="J4" s="15">
        <f>MAX(AM4,BH4,CC4)</f>
        <v>108.35125000000001</v>
      </c>
      <c r="K4" s="15" t="str">
        <f>IF(J4=CC4,$BK$1,IF(J4=BH4,$AP$1,IF(J4=AM4,$U$1,"")))</f>
        <v>2017 Nationals</v>
      </c>
      <c r="L4" s="15">
        <f>IF($J4=$AM4,MAX(BF4,CA4),IF($J4=$BH4,MAX(AK4,CA4),MAX(AK4,BF4)))</f>
        <v>50.8</v>
      </c>
      <c r="M4" s="15" t="str">
        <f>IF(L4=CA4,$BK$1,IF(L4=BF4,$AP$1,IF(L4=AK4,$U$1,"")))</f>
        <v>2018 Canada Cup</v>
      </c>
      <c r="N4" s="15">
        <f>IF($J4=$AM4,MAX(BG4,CB4),IF($J4=$BH4,MAX(AL4,CB4),MAX(AL4,BG4)))</f>
        <v>57.7</v>
      </c>
      <c r="O4" s="15" t="str">
        <f>IF(N4=CB4,$BK$1,IF(N4=BG4,$AP$1,IF(N4=AL4,$U$1,"")))</f>
        <v>2017 Canada Cup</v>
      </c>
      <c r="P4" s="15">
        <f>MAX(AN4,BI4,CD4)</f>
        <v>45.846249999999998</v>
      </c>
      <c r="Q4" s="15" t="str">
        <f>IF(P4=CD4,$BK$1,IF(P4=BI4,$AP$1,IF(P4=AN4,$U$1,"")))</f>
        <v>2017 Nationals</v>
      </c>
      <c r="R4" s="15">
        <f>IF(MAX(CF4,CG4,CH4)&gt;0,MAX(CF4,CG4,CH4),"")</f>
        <v>11.203749999999999</v>
      </c>
      <c r="S4" s="29" t="str">
        <f>IF(R4="","",IF(R4=CF4,"(Vol 1)",IF(R4=CG4,"(Vol 2)",IF(R4=CH4,"(Final)"))))</f>
        <v>(Final)</v>
      </c>
      <c r="T4" s="15" t="str">
        <f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>2017 World Age Group Championships (Nov)</v>
      </c>
      <c r="U4" s="54">
        <v>27.700000000000003</v>
      </c>
      <c r="V4" s="54">
        <v>3</v>
      </c>
      <c r="W4" s="54">
        <v>2.2000000000000002</v>
      </c>
      <c r="X4" s="54">
        <v>17.427500000000002</v>
      </c>
      <c r="Y4" s="54">
        <v>0</v>
      </c>
      <c r="Z4" s="54">
        <v>25.85</v>
      </c>
      <c r="AA4" s="54">
        <v>1</v>
      </c>
      <c r="AB4" s="54">
        <v>14.100000000000001</v>
      </c>
      <c r="AC4" s="54">
        <v>16.75</v>
      </c>
      <c r="AD4" s="54">
        <v>0</v>
      </c>
      <c r="AE4" s="54">
        <v>15.399999999999999</v>
      </c>
      <c r="AF4" s="54">
        <v>0.6</v>
      </c>
      <c r="AG4" s="54">
        <v>8.6</v>
      </c>
      <c r="AH4" s="54">
        <v>10.207500000000001</v>
      </c>
      <c r="AI4" s="54">
        <v>0</v>
      </c>
      <c r="AJ4" s="12">
        <f>IF(SUM(AB4)&gt;0,SUM(AB4),"")</f>
        <v>14.100000000000001</v>
      </c>
      <c r="AK4" s="12">
        <f>IF(SUM(U4:X4)-Y4&gt;0,SUM(U4:X4)-Y4,"")</f>
        <v>50.327500000000008</v>
      </c>
      <c r="AL4" s="12">
        <f>IF(SUM(Z4:AC4)-AD4&gt;0,SUM(Z4:AC4)-AD4,"")</f>
        <v>57.7</v>
      </c>
      <c r="AM4" s="12">
        <f>IF(SUM(AK4:AL4)&gt;0,SUM(AK4:AL4),"")</f>
        <v>108.0275</v>
      </c>
      <c r="AN4" s="12">
        <f>IF(SUM(AE4:AH4)-AI4&gt;0,SUM(AE4:AH4)-AI4,"")</f>
        <v>34.807499999999997</v>
      </c>
      <c r="AO4" s="12">
        <f>IF(SUM(AM4,AN4)&gt;0,SUM(AM4,AN4),"")</f>
        <v>142.83500000000001</v>
      </c>
      <c r="AP4" s="53">
        <v>27.900000000000002</v>
      </c>
      <c r="AQ4" s="53">
        <v>3</v>
      </c>
      <c r="AR4" s="53">
        <v>2.2000000000000002</v>
      </c>
      <c r="AS4" s="53">
        <v>17.491250000000001</v>
      </c>
      <c r="AT4" s="53">
        <v>0</v>
      </c>
      <c r="AU4" s="53">
        <v>26.024999999999999</v>
      </c>
      <c r="AV4" s="53">
        <v>1</v>
      </c>
      <c r="AW4" s="53">
        <v>13.950000000000001</v>
      </c>
      <c r="AX4" s="53">
        <v>16.785</v>
      </c>
      <c r="AY4" s="53">
        <v>0</v>
      </c>
      <c r="AZ4" s="53">
        <v>20.299999999999997</v>
      </c>
      <c r="BA4" s="53">
        <v>0.8</v>
      </c>
      <c r="BB4" s="53">
        <v>11.2</v>
      </c>
      <c r="BC4" s="53">
        <v>13.546250000000001</v>
      </c>
      <c r="BD4" s="53">
        <v>0</v>
      </c>
      <c r="BE4" s="15">
        <f>IF(SUM(AW4)&gt;0,SUM(AW4),"")</f>
        <v>13.950000000000001</v>
      </c>
      <c r="BF4" s="15">
        <f>IF(SUM(AP4:AS4)-AT4&gt;0,SUM(AP4:AS4)-AT4,"")</f>
        <v>50.591250000000002</v>
      </c>
      <c r="BG4" s="15">
        <f>IF(SUM(AU4:AX4)-AY4&gt;0,SUM(AU4:AX4)-AY4,"")</f>
        <v>57.760000000000005</v>
      </c>
      <c r="BH4" s="15">
        <f>IF(SUM(BF4:BG4)&gt;0,SUM(BF4:BG4),"")</f>
        <v>108.35125000000001</v>
      </c>
      <c r="BI4" s="15">
        <f>IF(SUM(AZ4:BC4)-BD4&gt;0,SUM(AZ4:BC4)-BD4,"")</f>
        <v>45.846249999999998</v>
      </c>
      <c r="BJ4" s="15">
        <f>IF(SUM(BH4,BI4)&gt;0,SUM(BH4,BI4),"")</f>
        <v>154.19749999999999</v>
      </c>
      <c r="BK4" s="76">
        <v>18.100000000000001</v>
      </c>
      <c r="BL4" s="76">
        <v>9</v>
      </c>
      <c r="BM4" s="76">
        <v>5.9</v>
      </c>
      <c r="BN4" s="76">
        <v>17.8</v>
      </c>
      <c r="BO4" s="76">
        <v>0</v>
      </c>
      <c r="BP4" s="76">
        <v>5.4</v>
      </c>
      <c r="BQ4" s="76">
        <v>2.6</v>
      </c>
      <c r="BR4" s="76">
        <v>5.0999999999999996</v>
      </c>
      <c r="BS4" s="76">
        <v>5.2649999999999997</v>
      </c>
      <c r="BT4" s="76">
        <v>0</v>
      </c>
      <c r="BU4" s="76">
        <v>1.9</v>
      </c>
      <c r="BV4" s="76">
        <v>1</v>
      </c>
      <c r="BW4" s="76">
        <v>2</v>
      </c>
      <c r="BX4" s="76">
        <v>1.82</v>
      </c>
      <c r="BY4" s="76">
        <v>0</v>
      </c>
      <c r="BZ4" s="12">
        <f>IF(SUM(BR4)&gt;0,SUM(BR4),"")</f>
        <v>5.0999999999999996</v>
      </c>
      <c r="CA4" s="12">
        <f>IF(SUM(BK4:BN4)-BO4&gt;0,SUM(BK4:BN4)-BO4,"")</f>
        <v>50.8</v>
      </c>
      <c r="CB4" s="12">
        <f>IF(SUM(BP4:BS4)-BT4&gt;0,SUM(BP4:BS4)-BT4,"")</f>
        <v>18.364999999999998</v>
      </c>
      <c r="CC4" s="12">
        <f>IF(SUM(CA4:CB4)&gt;0,SUM(CA4:CB4),"")</f>
        <v>69.164999999999992</v>
      </c>
      <c r="CD4" s="12">
        <f>IF(SUM(BU4:BX4)-BY4&gt;0,SUM(BU4:BX4)-BY4,"")</f>
        <v>6.7200000000000006</v>
      </c>
      <c r="CE4" s="12">
        <f>IF(SUM(CC4,CD4)&gt;0,SUM(CC4,CD4),"")</f>
        <v>75.884999999999991</v>
      </c>
      <c r="CF4" s="28" t="str">
        <f>IF(MAX(CY4,DT4,EO4,FJ4,GE4,GZ4,HU4,IP4,JK4,KF4,LA4,LV4)-L4&gt;0.001,MAX(CY4,DT4,EO4,FJ4,GE4,GZ4,HU4,IP4,JK4,KF4,LA4,LV4)-L4,"")</f>
        <v/>
      </c>
      <c r="CG4" s="28" t="str">
        <f>IF(MAX(CZ4,DU4,EP4,FK4,GF4,HA4,HV4,IQ4,JL4,KG4,LB4,LW4)-N4&gt;0.001,MAX(CZ4,DU4,EP4,FK4,GF4,HA4,HV4,IQ4,JL4,KG4,LB4,LW4)-N4,"")</f>
        <v/>
      </c>
      <c r="CH4" s="28">
        <f>IF(MAX(DB4,DW4,ER4,FM4,GH4,HC4,HX4,IS4,JN4,KI4,LD4,LY4)-P4&gt;0.001,MAX(DB4,DW4,ER4,FM4,GH4,HC4,HX4,IS4,JN4,KI4,LD4,LY4)-P4,"")</f>
        <v>11.203749999999999</v>
      </c>
      <c r="CI4" s="45">
        <v>18.2</v>
      </c>
      <c r="CJ4" s="45">
        <v>9.25</v>
      </c>
      <c r="CK4" s="45">
        <v>0</v>
      </c>
      <c r="CL4" s="45">
        <v>18.114999999999998</v>
      </c>
      <c r="CM4" s="45">
        <v>0</v>
      </c>
      <c r="CN4" s="45">
        <v>16.5</v>
      </c>
      <c r="CO4" s="45">
        <v>8.6</v>
      </c>
      <c r="CP4" s="45">
        <v>14</v>
      </c>
      <c r="CQ4" s="45">
        <v>17.114999999999998</v>
      </c>
      <c r="CR4" s="45">
        <v>0</v>
      </c>
      <c r="CS4" s="45">
        <v>16.600000000000001</v>
      </c>
      <c r="CT4" s="45">
        <v>8.9</v>
      </c>
      <c r="CU4" s="45">
        <v>14.4</v>
      </c>
      <c r="CV4" s="45">
        <v>17.149999999999999</v>
      </c>
      <c r="CW4" s="45">
        <v>0</v>
      </c>
      <c r="CX4" s="12">
        <f>IF(SUM(CP4)&gt;0,SUM(CP4),"")</f>
        <v>14</v>
      </c>
      <c r="CY4" s="12">
        <f>IF(SUM(CI4:CL4)-CM4&gt;0,SUM(CI4:CL4)-CM4,"")</f>
        <v>45.564999999999998</v>
      </c>
      <c r="CZ4" s="12">
        <f>IF(SUM(CN4:CQ4)-CR4&gt;0,SUM(CN4:CQ4)-CR4,"")</f>
        <v>56.215000000000003</v>
      </c>
      <c r="DA4" s="12">
        <f>IF(SUM(CY4:CZ4)&gt;0,SUM(CY4:CZ4),"")</f>
        <v>101.78</v>
      </c>
      <c r="DB4" s="12">
        <f>IF(SUM(CS4:CV4)-CW4&gt;0,SUM(CS4:CV4)-CW4,"")</f>
        <v>57.05</v>
      </c>
      <c r="DC4" s="12">
        <f>IF(SUM(DA4,DB4)&gt;0,SUM(DA4,DB4),"")</f>
        <v>158.82999999999998</v>
      </c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15" t="str">
        <f>IF(SUM(DK4)&gt;0,SUM(DK4),"")</f>
        <v/>
      </c>
      <c r="DT4" s="15" t="str">
        <f>IF(SUM(DD4:DG4)-DH4&gt;0,SUM(DD4:DG4)-DH4,"")</f>
        <v/>
      </c>
      <c r="DU4" s="15" t="str">
        <f>IF(SUM(DI4:DL4)-DM4&gt;0,SUM(DI4:DL4)-DM4,"")</f>
        <v/>
      </c>
      <c r="DV4" s="15" t="str">
        <f>IF(SUM(DT4:DU4)&gt;0,SUM(DT4:DU4),"")</f>
        <v/>
      </c>
      <c r="DW4" s="15" t="str">
        <f>IF(SUM(DN4:DQ4)-DR4&gt;0,SUM(DN4:DQ4)-DR4,"")</f>
        <v/>
      </c>
      <c r="DX4" s="15" t="str">
        <f>IF(SUM(DV4,DW4)&gt;0,SUM(DV4,DW4),"")</f>
        <v/>
      </c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12" t="str">
        <f>IF(SUM(EF4)&gt;0,SUM(EF4),"")</f>
        <v/>
      </c>
      <c r="EO4" s="12" t="str">
        <f>IF(SUM(DY4:EB4)-EC4&gt;0,SUM(DY4:EB4)-EC4,"")</f>
        <v/>
      </c>
      <c r="EP4" s="12" t="str">
        <f>IF(SUM(ED4:EG4)-EH4&gt;0,SUM(ED4:EG4)-EH4,"")</f>
        <v/>
      </c>
      <c r="EQ4" s="12" t="str">
        <f>IF(SUM(EO4:EP4)&gt;0,SUM(EO4:EP4),"")</f>
        <v/>
      </c>
      <c r="ER4" s="12" t="str">
        <f>IF(SUM(EI4:EL4)-EM4&gt;0,SUM(EI4:EL4)-EM4,"")</f>
        <v/>
      </c>
      <c r="ES4" s="12" t="str">
        <f>IF(SUM(EQ4,ER4)&gt;0,SUM(EQ4,ER4),"")</f>
        <v/>
      </c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46"/>
      <c r="FH4" s="46"/>
      <c r="FI4" s="15" t="str">
        <f>IF(SUM(FA4)&gt;0,SUM(FA4),"")</f>
        <v/>
      </c>
      <c r="FJ4" s="15" t="str">
        <f>IF(SUM(ET4:EW4)-EX4&gt;0,SUM(ET4:EW4)-EX4,"")</f>
        <v/>
      </c>
      <c r="FK4" s="15" t="str">
        <f>IF(SUM(EY4:FB4)-FC4&gt;0,SUM(EY4:FB4)-FC4,"")</f>
        <v/>
      </c>
      <c r="FL4" s="15" t="str">
        <f>IF(SUM(FJ4:FK4)&gt;0,SUM(FJ4:FK4),"")</f>
        <v/>
      </c>
      <c r="FM4" s="15" t="str">
        <f>IF(SUM(FD4:FG4)-FH4&gt;0,SUM(FD4:FG4)-FH4,"")</f>
        <v/>
      </c>
      <c r="FN4" s="15" t="str">
        <f>IF(SUM(FL4,FM4)&gt;0,SUM(FL4,FM4),"")</f>
        <v/>
      </c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45"/>
      <c r="GC4" s="45"/>
      <c r="GD4" s="12" t="str">
        <f>IF(SUM(FV4)&gt;0,SUM(FV4),"")</f>
        <v/>
      </c>
      <c r="GE4" s="12" t="str">
        <f>IF(SUM(FO4:FR4)-FS4&gt;0,SUM(FO4:FR4)-FS4,"")</f>
        <v/>
      </c>
      <c r="GF4" s="12" t="str">
        <f>IF(SUM(FT4:FW4)-FX4&gt;0,SUM(FT4:FW4)-FX4,"")</f>
        <v/>
      </c>
      <c r="GG4" s="12" t="str">
        <f>IF(SUM(GE4:GF4)&gt;0,SUM(GE4:GF4),"")</f>
        <v/>
      </c>
      <c r="GH4" s="12" t="str">
        <f>IF(SUM(FY4:GB4)-GC4&gt;0,SUM(FY4:GB4)-GC4,"")</f>
        <v/>
      </c>
      <c r="GI4" s="12" t="str">
        <f>IF(SUM(GG4,GH4)&gt;0,SUM(GG4,GH4),"")</f>
        <v/>
      </c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46"/>
      <c r="GX4" s="46"/>
      <c r="GY4" s="15" t="str">
        <f>IF(SUM(GQ4)&gt;0,SUM(GQ4),"")</f>
        <v/>
      </c>
      <c r="GZ4" s="15" t="str">
        <f>IF(SUM(GJ4:GM4)-GN4&gt;0,SUM(GJ4:GM4)-GN4,"")</f>
        <v/>
      </c>
      <c r="HA4" s="15" t="str">
        <f>IF(SUM(GO4:GR4)-GS4&gt;0,SUM(GO4:GR4)-GS4,"")</f>
        <v/>
      </c>
      <c r="HB4" s="15" t="str">
        <f>IF(SUM(GZ4:HA4)&gt;0,SUM(GZ4:HA4),"")</f>
        <v/>
      </c>
      <c r="HC4" s="15" t="str">
        <f>IF(SUM(GT4:GW4)-GX4&gt;0,SUM(GT4:GW4)-GX4,"")</f>
        <v/>
      </c>
      <c r="HD4" s="15" t="str">
        <f>IF(SUM(HB4,HC4)&gt;0,SUM(HB4,HC4),"")</f>
        <v/>
      </c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45"/>
      <c r="HS4" s="45"/>
      <c r="HT4" s="12" t="str">
        <f>IF(SUM(HL4)&gt;0,SUM(HL4),"")</f>
        <v/>
      </c>
      <c r="HU4" s="12" t="str">
        <f>IF(SUM(HE4:HH4)-HI4&gt;0,SUM(HE4:HH4)-HI4,"")</f>
        <v/>
      </c>
      <c r="HV4" s="12" t="str">
        <f>IF(SUM(HJ4:HM4)-HN4&gt;0,SUM(HJ4:HM4)-HN4,"")</f>
        <v/>
      </c>
      <c r="HW4" s="12" t="str">
        <f>IF(SUM(HU4:HV4)&gt;0,SUM(HU4:HV4),"")</f>
        <v/>
      </c>
      <c r="HX4" s="12" t="str">
        <f>IF(SUM(HO4:HR4)-HS4&gt;0,SUM(HO4:HR4)-HS4,"")</f>
        <v/>
      </c>
      <c r="HY4" s="12" t="str">
        <f>IF(SUM(HW4,HX4)&gt;0,SUM(HW4,HX4),"")</f>
        <v/>
      </c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46"/>
      <c r="IN4" s="46"/>
      <c r="IO4" s="15" t="str">
        <f>IF(SUM(IG4)&gt;0,SUM(IG4),"")</f>
        <v/>
      </c>
      <c r="IP4" s="15" t="str">
        <f>IF(SUM(HZ4:IC4)-ID4&gt;0,SUM(HZ4:IC4)-ID4,"")</f>
        <v/>
      </c>
      <c r="IQ4" s="15" t="str">
        <f>IF(SUM(IE4:IH4)-II4&gt;0,SUM(IE4:IH4)-II4,"")</f>
        <v/>
      </c>
      <c r="IR4" s="15" t="str">
        <f>IF(SUM(IP4:IQ4)&gt;0,SUM(IP4:IQ4),"")</f>
        <v/>
      </c>
      <c r="IS4" s="15" t="str">
        <f>IF(SUM(IJ4:IM4)-IN4&gt;0,SUM(IJ4:IM4)-IN4,"")</f>
        <v/>
      </c>
      <c r="IT4" s="15" t="str">
        <f>IF(SUM(IR4,IS4)&gt;0,SUM(IR4,IS4),"")</f>
        <v/>
      </c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45"/>
      <c r="JI4" s="45"/>
      <c r="JJ4" s="12" t="str">
        <f>IF(SUM(JB4)&gt;0,SUM(JB4),"")</f>
        <v/>
      </c>
      <c r="JK4" s="12" t="str">
        <f>IF(SUM(IU4:IX4)-IY4&gt;0,SUM(IU4:IX4)-IY4,"")</f>
        <v/>
      </c>
      <c r="JL4" s="12" t="str">
        <f>IF(SUM(IZ4:JC4)-JD4&gt;0,SUM(IZ4:JC4)-JD4,"")</f>
        <v/>
      </c>
      <c r="JM4" s="12" t="str">
        <f>IF(SUM(JK4:JL4)&gt;0,SUM(JK4:JL4),"")</f>
        <v/>
      </c>
      <c r="JN4" s="12" t="str">
        <f>IF(SUM(JE4:JH4)-JI4&gt;0,SUM(JE4:JH4)-JI4,"")</f>
        <v/>
      </c>
      <c r="JO4" s="12" t="str">
        <f>IF(SUM(JM4,JN4)&gt;0,SUM(JM4,JN4),"")</f>
        <v/>
      </c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46"/>
      <c r="KD4" s="46"/>
      <c r="KE4" s="15" t="str">
        <f>IF(SUM(JW4)&gt;0,SUM(JW4),"")</f>
        <v/>
      </c>
      <c r="KF4" s="15" t="str">
        <f>IF(SUM(JP4:JS4)-JT4&gt;0,SUM(JP4:JS4)-JT4,"")</f>
        <v/>
      </c>
      <c r="KG4" s="15" t="str">
        <f>IF(SUM(JU4:JX4)-JY4&gt;0,SUM(JU4:JX4)-JY4,"")</f>
        <v/>
      </c>
      <c r="KH4" s="15" t="str">
        <f>IF(SUM(KF4:KG4)&gt;0,SUM(KF4:KG4),"")</f>
        <v/>
      </c>
      <c r="KI4" s="15" t="str">
        <f>IF(SUM(JZ4:KC4)-KD4&gt;0,SUM(JZ4:KC4)-KD4,"")</f>
        <v/>
      </c>
      <c r="KJ4" s="15" t="str">
        <f>IF(SUM(KH4,KI4)&gt;0,SUM(KH4,KI4),"")</f>
        <v/>
      </c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45"/>
      <c r="KY4" s="45"/>
      <c r="KZ4" s="12" t="str">
        <f>IF(SUM(KR4)&gt;0,SUM(KR4),"")</f>
        <v/>
      </c>
      <c r="LA4" s="12" t="str">
        <f>IF(SUM(KK4:KN4)-KO4&gt;0,SUM(KK4:KN4)-KO4,"")</f>
        <v/>
      </c>
      <c r="LB4" s="12" t="str">
        <f>IF(SUM(KP4:KS4)-KT4&gt;0,SUM(KP4:KS4)-KT4,"")</f>
        <v/>
      </c>
      <c r="LC4" s="12" t="str">
        <f>IF(SUM(LA4:LB4)&gt;0,SUM(LA4:LB4),"")</f>
        <v/>
      </c>
      <c r="LD4" s="12" t="str">
        <f>IF(SUM(KU4:KX4)-KY4&gt;0,SUM(KU4:KX4)-KY4,"")</f>
        <v/>
      </c>
      <c r="LE4" s="12" t="str">
        <f>IF(SUM(LC4,LD4)&gt;0,SUM(LC4,LD4),"")</f>
        <v/>
      </c>
      <c r="LF4" s="46"/>
      <c r="LG4" s="46"/>
      <c r="LH4" s="46"/>
      <c r="LI4" s="46"/>
      <c r="LJ4" s="46"/>
      <c r="LK4" s="46"/>
      <c r="LL4" s="46"/>
      <c r="LM4" s="46"/>
      <c r="LN4" s="46"/>
      <c r="LO4" s="46"/>
      <c r="LP4" s="46"/>
      <c r="LQ4" s="46"/>
      <c r="LR4" s="46"/>
      <c r="LS4" s="46"/>
      <c r="LT4" s="46"/>
      <c r="LU4" s="15" t="str">
        <f>IF(SUM(LM4)&gt;0,SUM(LM4),"")</f>
        <v/>
      </c>
      <c r="LV4" s="15" t="str">
        <f>IF(SUM(LF4:LI4)-LJ4&gt;0,SUM(LF4:LI4)-LJ4,"")</f>
        <v/>
      </c>
      <c r="LW4" s="15" t="str">
        <f>IF(SUM(LK4:LN4)-LO4&gt;0,SUM(LK4:LN4)-LO4,"")</f>
        <v/>
      </c>
      <c r="LX4" s="15" t="str">
        <f>IF(SUM(LV4:LW4)&gt;0,SUM(LV4:LW4),"")</f>
        <v/>
      </c>
      <c r="LY4" s="15" t="str">
        <f>IF(SUM(LP4:LS4)-LT4&gt;0,SUM(LP4:LS4)-LT4,"")</f>
        <v/>
      </c>
      <c r="LZ4" s="15" t="str">
        <f>IF(SUM(LX4,LY4)&gt;0,SUM(LX4,LY4),"")</f>
        <v/>
      </c>
    </row>
    <row r="5" spans="1:338">
      <c r="A5" s="6">
        <f>IF(AND(F5="P",H5="P"),SUMPRODUCT((F$4:F$17="P")*(H$4:H$17="P")*(E$4:E$17&gt;E5))+1,IF(H5="P",SUMPRODUCT((F$4:F$17="")*(H$4:H$17="P")*(E$4:E$17&gt;E5))+1+SUMPRODUCT((F$4:F$17="P")*(H$4:H$17="P")),""))</f>
        <v>2</v>
      </c>
      <c r="B5" s="7" t="s">
        <v>71</v>
      </c>
      <c r="C5" s="8" t="s">
        <v>5</v>
      </c>
      <c r="D5" s="6">
        <v>2003</v>
      </c>
      <c r="E5" s="16">
        <f>SUM(J5:R5)</f>
        <v>253.32500000000002</v>
      </c>
      <c r="F5" s="4" t="str">
        <f>IF(OR(AND($AJ5&gt;=$AK$20,NOT($AJ5="")),AND($BE5&gt;=$BF$20,NOT($BE5="")),AND($BZ5&gt;=$CA$20,NOT($BZ5=""))),"P","")</f>
        <v>P</v>
      </c>
      <c r="G5" s="4" t="str">
        <f>IF(OR(AND($AJ5&gt;=$AK$21,NOT($AJ5="")),AND($BE5&gt;=$BF$21,NOT($BE5="")),AND($BZ5&gt;=$CA$21,NOT($BZ5=""))),"P","")</f>
        <v/>
      </c>
      <c r="H5" s="4" t="str">
        <f>IF(OR(AND($AM5&gt;=$AK$22,NOT($AM5="")),AND($BH5&gt;=$BF$22,NOT($BH5="")),AND($CC5&gt;=$CA$22,NOT($CC5=""))),"P","")</f>
        <v>P</v>
      </c>
      <c r="I5" t="str">
        <f>IF(AND(F5="P",OR(AND($AL5&gt;$AK$25,NOT($AL5="")),AND($AN5&gt;$AK$25,NOT($AN5="")),AND($BG5&gt;$BF$25,NOT($BG5="")),AND($BI5&gt;$BF$25,NOT($BI5="")),AND($CB5&gt;$CA$25,NOT($CB5="")),AND($CD5&gt;$CA$25,NOT($CD5="")))),"Merit",IF(AND(F5="P",OR(AND($AM5&gt;$AK$24,NOT($AM5="")),AND($BH5&gt;$BF$24,NOT($BH5="")),AND($CC5&gt;$CA$24,NOT($CC5="")))),"Funding",IF(AND(F5="P",OR(AND($AM5&gt;$AK$23,NOT($AM5="")),AND($BH5&gt;$BF$23,NOT($BH5="")),AND($CC5&gt;$CA$23,NOT($CC5="")))),"Worlds Team",IF(AND(F5="P",OR(AND($AM5&gt;$AK$22,NOT($AM5="")),AND($BH5&gt;$BF$22,NOT($BH5="")),AND($CC5&gt;$CA$22,NOT($CC5="")))),"National Team",""))))</f>
        <v>National Team</v>
      </c>
      <c r="J5" s="15">
        <f>MAX(AM5,BH5,CC5)</f>
        <v>100.735</v>
      </c>
      <c r="K5" s="15" t="str">
        <f>IF(J5=CC5,$BK$1,IF(J5=BH5,$AP$1,IF(J5=AM5,$U$1,"")))</f>
        <v>2017 Nationals</v>
      </c>
      <c r="L5" s="15">
        <f>IF($J5=$AM5,MAX(BF5,CA5),IF($J5=$BH5,MAX(AK5,CA5),MAX(AK5,BF5)))</f>
        <v>45.26</v>
      </c>
      <c r="M5" s="15" t="str">
        <f>IF(L5=CA5,$BK$1,IF(L5=BF5,$AP$1,IF(L5=AK5,$U$1,"")))</f>
        <v>2018 Canada Cup</v>
      </c>
      <c r="N5" s="15">
        <f>IF($J5=$AM5,MAX(BG5,CB5),IF($J5=$BH5,MAX(AL5,CB5),MAX(AL5,BG5)))</f>
        <v>52.335000000000001</v>
      </c>
      <c r="O5" s="15" t="str">
        <f>IF(N5=CB5,$BK$1,IF(N5=BG5,$AP$1,IF(N5=AL5,$U$1,"")))</f>
        <v>2017 Canada Cup</v>
      </c>
      <c r="P5" s="15">
        <f>MAX(AN5,BI5,CD5)</f>
        <v>54.410000000000004</v>
      </c>
      <c r="Q5" s="15" t="str">
        <f>IF(P5=CD5,$BK$1,IF(P5=BI5,$AP$1,IF(P5=AN5,$U$1,"")))</f>
        <v>2017 Nationals</v>
      </c>
      <c r="R5" s="15">
        <f>IF(MAX(CF5,CG5,CH5)&gt;0,MAX(CF5,CG5,CH5),"")</f>
        <v>0.58500000000000085</v>
      </c>
      <c r="S5" s="29" t="str">
        <f>IF(R5="","",IF(R5=CF5,"(Vol 1)",IF(R5=CG5,"(Vol 2)",IF(R5=CH5,"(Final)"))))</f>
        <v>(Vol 2)</v>
      </c>
      <c r="T5" s="15" t="str">
        <f>IF(R5="","",IF(R5=CF5,IF(R5+L5=LV5,$LF$1,IF(R5+L5=LA5,$KK$1,IF(R5+L5=KF5,$JP$1,IF(R5+L5=JK5,$IU$1,IF(R5+L5=IP5,$HZ$1,IF(R5+L5=HU5,$HE$1,IF(R5+L5=GZ5,$GJ$1,IF(R5+L5=GE5,$FO$1,IF(R5+L5=FJ5,$ET$1,IF(R5+L5=EO5,$DY$1,IF(R5+L5=DT5,$DD$1,IF(R5+L5=CY5,$CI$1)))))))))))),IF(R5=CG5,IF(R5+N5=LW5,$LF$1,IF(R5+N5=LB5,$KK$1,IF(R5+N5=KG5,$JP$1,IF(R5+N5=JL5,$IU$1,IF(R5+N5=IQ5,$HZ$1,IF(R5+N5=HV5,$HE$1,IF(R5+N5=HA5,$GJ$1,IF(R5+N5=GF5,$FO$1,IF(R5+N5=FK5,$ET$1,IF(R5+N5=EP5,$DY$1,IF(R5+N5=DU5,$DD$1,IF(R5+N5=CZ5,$CI$1)))))))))))),IF(R5=CH5,IF(R5+P5=LY5,$LF$1,IF(R5+P5=LD5,$KK$1,IF(R5+P5=KI5,$JP$1,IF(R5+P5=JN5,$IU$1,IF(R5+P5=IS5,$HZ$1,IF(R5+P5=HX5,$HE$1,IF(R5+P5=HC5,$GJ$1,IF(R5+P5=GH5,$FO$1,IF(R5+P5=FM5,$ET$1,IF(R5+P5=ER5,$DY$1,IF(R5+P5=DW5,$DD$1,IF(R5+P5=DB5,$CI$1))))))))))))))))</f>
        <v>2017 World Age Group Championships (Nov)</v>
      </c>
      <c r="U5" s="76">
        <v>3.8</v>
      </c>
      <c r="V5" s="76">
        <v>2</v>
      </c>
      <c r="W5" s="76">
        <v>0</v>
      </c>
      <c r="X5" s="76">
        <v>3.2650000000000001</v>
      </c>
      <c r="Y5" s="76">
        <v>0</v>
      </c>
      <c r="Z5" s="76">
        <v>15.3</v>
      </c>
      <c r="AA5" s="76">
        <v>9</v>
      </c>
      <c r="AB5" s="76">
        <v>13.1</v>
      </c>
      <c r="AC5" s="76">
        <v>14.935</v>
      </c>
      <c r="AD5" s="76">
        <v>0</v>
      </c>
      <c r="AE5" s="76"/>
      <c r="AF5" s="76"/>
      <c r="AG5" s="76"/>
      <c r="AH5" s="76"/>
      <c r="AI5" s="76"/>
      <c r="AJ5" s="12">
        <f>IF(SUM(AB5)&gt;0,SUM(AB5),"")</f>
        <v>13.1</v>
      </c>
      <c r="AK5" s="12">
        <f>IF(SUM(U5:X5)-Y5&gt;0,SUM(U5:X5)-Y5,"")</f>
        <v>9.0649999999999995</v>
      </c>
      <c r="AL5" s="12">
        <f>IF(SUM(Z5:AC5)-AD5&gt;0,SUM(Z5:AC5)-AD5,"")</f>
        <v>52.335000000000001</v>
      </c>
      <c r="AM5" s="12">
        <f>IF(SUM(AK5:AL5)&gt;0,SUM(AK5:AL5),"")</f>
        <v>61.4</v>
      </c>
      <c r="AN5" s="12" t="str">
        <f>IF(SUM(AE5:AH5)-AI5&gt;0,SUM(AE5:AH5)-AI5,"")</f>
        <v/>
      </c>
      <c r="AO5" s="12">
        <f>IF(SUM(AM5,AN5)&gt;0,SUM(AM5,AN5),"")</f>
        <v>61.4</v>
      </c>
      <c r="AP5" s="80">
        <v>18.100000000000001</v>
      </c>
      <c r="AQ5" s="80">
        <v>9.1</v>
      </c>
      <c r="AR5" s="80">
        <v>4.5</v>
      </c>
      <c r="AS5" s="80">
        <v>14.75</v>
      </c>
      <c r="AT5" s="80">
        <v>0</v>
      </c>
      <c r="AU5" s="80">
        <v>16.399999999999999</v>
      </c>
      <c r="AV5" s="80">
        <v>9.4</v>
      </c>
      <c r="AW5" s="80">
        <v>13.7</v>
      </c>
      <c r="AX5" s="80">
        <v>14.785</v>
      </c>
      <c r="AY5" s="80">
        <v>0</v>
      </c>
      <c r="AZ5" s="80">
        <v>16.600000000000001</v>
      </c>
      <c r="BA5" s="80">
        <v>9.6999999999999993</v>
      </c>
      <c r="BB5" s="80">
        <v>13.3</v>
      </c>
      <c r="BC5" s="80">
        <v>14.81</v>
      </c>
      <c r="BD5" s="80">
        <v>0</v>
      </c>
      <c r="BE5" s="15">
        <f>IF(SUM(AW5)&gt;0,SUM(AW5),"")</f>
        <v>13.7</v>
      </c>
      <c r="BF5" s="15">
        <f>IF(SUM(AP5:AS5)-AT5&gt;0,SUM(AP5:AS5)-AT5,"")</f>
        <v>46.45</v>
      </c>
      <c r="BG5" s="15">
        <f>IF(SUM(AU5:AX5)-AY5&gt;0,SUM(AU5:AX5)-AY5,"")</f>
        <v>54.284999999999997</v>
      </c>
      <c r="BH5" s="15">
        <f>IF(SUM(BF5:BG5)&gt;0,SUM(BF5:BG5),"")</f>
        <v>100.735</v>
      </c>
      <c r="BI5" s="15">
        <f>IF(SUM(AZ5:BC5)-BD5&gt;0,SUM(AZ5:BC5)-BD5,"")</f>
        <v>54.410000000000004</v>
      </c>
      <c r="BJ5" s="15">
        <f>IF(SUM(BH5,BI5)&gt;0,SUM(BH5,BI5),"")</f>
        <v>155.14500000000001</v>
      </c>
      <c r="BK5" s="76">
        <v>16.3</v>
      </c>
      <c r="BL5" s="76">
        <v>8.9499999999999993</v>
      </c>
      <c r="BM5" s="76">
        <v>5.2</v>
      </c>
      <c r="BN5" s="76">
        <v>14.81</v>
      </c>
      <c r="BO5" s="76">
        <v>0</v>
      </c>
      <c r="BP5" s="76">
        <v>14.9</v>
      </c>
      <c r="BQ5" s="76">
        <v>9.15</v>
      </c>
      <c r="BR5" s="76">
        <v>13.7</v>
      </c>
      <c r="BS5" s="76">
        <v>14.525</v>
      </c>
      <c r="BT5" s="76">
        <v>0</v>
      </c>
      <c r="BU5" s="76">
        <v>15.4</v>
      </c>
      <c r="BV5" s="76">
        <v>9.1</v>
      </c>
      <c r="BW5" s="76">
        <v>13.7</v>
      </c>
      <c r="BX5" s="76">
        <v>14.535</v>
      </c>
      <c r="BY5" s="76">
        <v>0</v>
      </c>
      <c r="BZ5" s="12">
        <f>IF(SUM(BR5)&gt;0,SUM(BR5),"")</f>
        <v>13.7</v>
      </c>
      <c r="CA5" s="12">
        <f>IF(SUM(BK5:BN5)-BO5&gt;0,SUM(BK5:BN5)-BO5,"")</f>
        <v>45.26</v>
      </c>
      <c r="CB5" s="12">
        <f>IF(SUM(BP5:BS5)-BT5&gt;0,SUM(BP5:BS5)-BT5,"")</f>
        <v>52.274999999999999</v>
      </c>
      <c r="CC5" s="12">
        <f>IF(SUM(CA5:CB5)&gt;0,SUM(CA5:CB5),"")</f>
        <v>97.534999999999997</v>
      </c>
      <c r="CD5" s="12">
        <f>IF(SUM(BU5:BX5)-BY5&gt;0,SUM(BU5:BX5)-BY5,"")</f>
        <v>52.734999999999999</v>
      </c>
      <c r="CE5" s="12">
        <f>IF(SUM(CC5,CD5)&gt;0,SUM(CC5,CD5),"")</f>
        <v>150.26999999999998</v>
      </c>
      <c r="CF5" s="28" t="str">
        <f>IF(MAX(CY5,DT5,EO5,FJ5,GE5,GZ5,HU5,IP5,JK5,KF5,LA5,LV5)-L5&gt;0.001,MAX(CY5,DT5,EO5,FJ5,GE5,GZ5,HU5,IP5,JK5,KF5,LA5,LV5)-L5,"")</f>
        <v/>
      </c>
      <c r="CG5" s="28">
        <f>IF(MAX(CZ5,DU5,EP5,FK5,GF5,HA5,HV5,IQ5,JL5,KG5,LB5,LW5)-N5&gt;0.001,MAX(CZ5,DU5,EP5,FK5,GF5,HA5,HV5,IQ5,JL5,KG5,LB5,LW5)-N5,"")</f>
        <v>0.58500000000000085</v>
      </c>
      <c r="CH5" s="28" t="str">
        <f>IF(MAX(DB5,DW5,ER5,FM5,GH5,HC5,HX5,IS5,JN5,KI5,LD5,LY5)-P5&gt;0.001,MAX(DB5,DW5,ER5,FM5,GH5,HC5,HX5,IS5,JN5,KI5,LD5,LY5)-P5,"")</f>
        <v/>
      </c>
      <c r="CI5" s="45">
        <v>16.7</v>
      </c>
      <c r="CJ5" s="45">
        <v>9.1999999999999993</v>
      </c>
      <c r="CK5" s="45">
        <v>0</v>
      </c>
      <c r="CL5" s="45">
        <v>14.66</v>
      </c>
      <c r="CM5" s="45">
        <v>0</v>
      </c>
      <c r="CN5" s="45">
        <v>15.2</v>
      </c>
      <c r="CO5" s="45">
        <v>9.75</v>
      </c>
      <c r="CP5" s="45">
        <v>13.3</v>
      </c>
      <c r="CQ5" s="45">
        <v>14.67</v>
      </c>
      <c r="CR5" s="45">
        <v>0</v>
      </c>
      <c r="CS5" s="45"/>
      <c r="CT5" s="45"/>
      <c r="CU5" s="45"/>
      <c r="CV5" s="45"/>
      <c r="CW5" s="45"/>
      <c r="CX5" s="12">
        <f>IF(SUM(CP5)&gt;0,SUM(CP5),"")</f>
        <v>13.3</v>
      </c>
      <c r="CY5" s="12">
        <f>IF(SUM(CI5:CL5)-CM5&gt;0,SUM(CI5:CL5)-CM5,"")</f>
        <v>40.56</v>
      </c>
      <c r="CZ5" s="12">
        <f>IF(SUM(CN5:CQ5)-CR5&gt;0,SUM(CN5:CQ5)-CR5,"")</f>
        <v>52.92</v>
      </c>
      <c r="DA5" s="12">
        <f>IF(SUM(CY5:CZ5)&gt;0,SUM(CY5:CZ5),"")</f>
        <v>93.48</v>
      </c>
      <c r="DB5" s="12" t="str">
        <f>IF(SUM(CS5:CV5)-CW5&gt;0,SUM(CS5:CV5)-CW5,"")</f>
        <v/>
      </c>
      <c r="DC5" s="12">
        <f>IF(SUM(DA5,DB5)&gt;0,SUM(DA5,DB5),"")</f>
        <v>93.48</v>
      </c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15" t="str">
        <f>IF(SUM(DK5)&gt;0,SUM(DK5),"")</f>
        <v/>
      </c>
      <c r="DT5" s="15" t="str">
        <f>IF(SUM(DD5:DG5)-DH5&gt;0,SUM(DD5:DG5)-DH5,"")</f>
        <v/>
      </c>
      <c r="DU5" s="15" t="str">
        <f>IF(SUM(DI5:DL5)-DM5&gt;0,SUM(DI5:DL5)-DM5,"")</f>
        <v/>
      </c>
      <c r="DV5" s="15" t="str">
        <f>IF(SUM(DT5:DU5)&gt;0,SUM(DT5:DU5),"")</f>
        <v/>
      </c>
      <c r="DW5" s="15" t="str">
        <f>IF(SUM(DN5:DQ5)-DR5&gt;0,SUM(DN5:DQ5)-DR5,"")</f>
        <v/>
      </c>
      <c r="DX5" s="15" t="str">
        <f>IF(SUM(DV5,DW5)&gt;0,SUM(DV5,DW5),"")</f>
        <v/>
      </c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45"/>
      <c r="EM5" s="45"/>
      <c r="EN5" s="12" t="str">
        <f>IF(SUM(EF5)&gt;0,SUM(EF5),"")</f>
        <v/>
      </c>
      <c r="EO5" s="12" t="str">
        <f>IF(SUM(DY5:EB5)-EC5&gt;0,SUM(DY5:EB5)-EC5,"")</f>
        <v/>
      </c>
      <c r="EP5" s="12" t="str">
        <f>IF(SUM(ED5:EG5)-EH5&gt;0,SUM(ED5:EG5)-EH5,"")</f>
        <v/>
      </c>
      <c r="EQ5" s="12" t="str">
        <f>IF(SUM(EO5:EP5)&gt;0,SUM(EO5:EP5),"")</f>
        <v/>
      </c>
      <c r="ER5" s="12" t="str">
        <f>IF(SUM(EI5:EL5)-EM5&gt;0,SUM(EI5:EL5)-EM5,"")</f>
        <v/>
      </c>
      <c r="ES5" s="12" t="str">
        <f>IF(SUM(EQ5,ER5)&gt;0,SUM(EQ5,ER5),"")</f>
        <v/>
      </c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15" t="str">
        <f>IF(SUM(FA5)&gt;0,SUM(FA5),"")</f>
        <v/>
      </c>
      <c r="FJ5" s="15" t="str">
        <f>IF(SUM(ET5:EW5)-EX5&gt;0,SUM(ET5:EW5)-EX5,"")</f>
        <v/>
      </c>
      <c r="FK5" s="15" t="str">
        <f>IF(SUM(EY5:FB5)-FC5&gt;0,SUM(EY5:FB5)-FC5,"")</f>
        <v/>
      </c>
      <c r="FL5" s="15" t="str">
        <f>IF(SUM(FJ5:FK5)&gt;0,SUM(FJ5:FK5),"")</f>
        <v/>
      </c>
      <c r="FM5" s="15" t="str">
        <f>IF(SUM(FD5:FG5)-FH5&gt;0,SUM(FD5:FG5)-FH5,"")</f>
        <v/>
      </c>
      <c r="FN5" s="15" t="str">
        <f>IF(SUM(FL5,FM5)&gt;0,SUM(FL5,FM5),"")</f>
        <v/>
      </c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45"/>
      <c r="GC5" s="45"/>
      <c r="GD5" s="12" t="str">
        <f>IF(SUM(FV5)&gt;0,SUM(FV5),"")</f>
        <v/>
      </c>
      <c r="GE5" s="12" t="str">
        <f>IF(SUM(FO5:FR5)-FS5&gt;0,SUM(FO5:FR5)-FS5,"")</f>
        <v/>
      </c>
      <c r="GF5" s="12" t="str">
        <f>IF(SUM(FT5:FW5)-FX5&gt;0,SUM(FT5:FW5)-FX5,"")</f>
        <v/>
      </c>
      <c r="GG5" s="12" t="str">
        <f>IF(SUM(GE5:GF5)&gt;0,SUM(GE5:GF5),"")</f>
        <v/>
      </c>
      <c r="GH5" s="12" t="str">
        <f>IF(SUM(FY5:GB5)-GC5&gt;0,SUM(FY5:GB5)-GC5,"")</f>
        <v/>
      </c>
      <c r="GI5" s="12" t="str">
        <f>IF(SUM(GG5,GH5)&gt;0,SUM(GG5,GH5),"")</f>
        <v/>
      </c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15" t="str">
        <f>IF(SUM(GQ5)&gt;0,SUM(GQ5),"")</f>
        <v/>
      </c>
      <c r="GZ5" s="15" t="str">
        <f>IF(SUM(GJ5:GM5)-GN5&gt;0,SUM(GJ5:GM5)-GN5,"")</f>
        <v/>
      </c>
      <c r="HA5" s="15" t="str">
        <f>IF(SUM(GO5:GR5)-GS5&gt;0,SUM(GO5:GR5)-GS5,"")</f>
        <v/>
      </c>
      <c r="HB5" s="15" t="str">
        <f>IF(SUM(GZ5:HA5)&gt;0,SUM(GZ5:HA5),"")</f>
        <v/>
      </c>
      <c r="HC5" s="15" t="str">
        <f>IF(SUM(GT5:GW5)-GX5&gt;0,SUM(GT5:GW5)-GX5,"")</f>
        <v/>
      </c>
      <c r="HD5" s="15" t="str">
        <f>IF(SUM(HB5,HC5)&gt;0,SUM(HB5,HC5),"")</f>
        <v/>
      </c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45"/>
      <c r="HS5" s="45"/>
      <c r="HT5" s="12" t="str">
        <f>IF(SUM(HL5)&gt;0,SUM(HL5),"")</f>
        <v/>
      </c>
      <c r="HU5" s="12" t="str">
        <f>IF(SUM(HE5:HH5)-HI5&gt;0,SUM(HE5:HH5)-HI5,"")</f>
        <v/>
      </c>
      <c r="HV5" s="12" t="str">
        <f>IF(SUM(HJ5:HM5)-HN5&gt;0,SUM(HJ5:HM5)-HN5,"")</f>
        <v/>
      </c>
      <c r="HW5" s="12" t="str">
        <f>IF(SUM(HU5:HV5)&gt;0,SUM(HU5:HV5),"")</f>
        <v/>
      </c>
      <c r="HX5" s="12" t="str">
        <f>IF(SUM(HO5:HR5)-HS5&gt;0,SUM(HO5:HR5)-HS5,"")</f>
        <v/>
      </c>
      <c r="HY5" s="12" t="str">
        <f>IF(SUM(HW5,HX5)&gt;0,SUM(HW5,HX5),"")</f>
        <v/>
      </c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15" t="str">
        <f>IF(SUM(IG5)&gt;0,SUM(IG5),"")</f>
        <v/>
      </c>
      <c r="IP5" s="15" t="str">
        <f>IF(SUM(HZ5:IC5)-ID5&gt;0,SUM(HZ5:IC5)-ID5,"")</f>
        <v/>
      </c>
      <c r="IQ5" s="15" t="str">
        <f>IF(SUM(IE5:IH5)-II5&gt;0,SUM(IE5:IH5)-II5,"")</f>
        <v/>
      </c>
      <c r="IR5" s="15" t="str">
        <f>IF(SUM(IP5:IQ5)&gt;0,SUM(IP5:IQ5),"")</f>
        <v/>
      </c>
      <c r="IS5" s="15" t="str">
        <f>IF(SUM(IJ5:IM5)-IN5&gt;0,SUM(IJ5:IM5)-IN5,"")</f>
        <v/>
      </c>
      <c r="IT5" s="15" t="str">
        <f>IF(SUM(IR5,IS5)&gt;0,SUM(IR5,IS5),"")</f>
        <v/>
      </c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45"/>
      <c r="JI5" s="45"/>
      <c r="JJ5" s="12" t="str">
        <f>IF(SUM(JB5)&gt;0,SUM(JB5),"")</f>
        <v/>
      </c>
      <c r="JK5" s="12" t="str">
        <f>IF(SUM(IU5:IX5)-IY5&gt;0,SUM(IU5:IX5)-IY5,"")</f>
        <v/>
      </c>
      <c r="JL5" s="12" t="str">
        <f>IF(SUM(IZ5:JC5)-JD5&gt;0,SUM(IZ5:JC5)-JD5,"")</f>
        <v/>
      </c>
      <c r="JM5" s="12" t="str">
        <f>IF(SUM(JK5:JL5)&gt;0,SUM(JK5:JL5),"")</f>
        <v/>
      </c>
      <c r="JN5" s="12" t="str">
        <f>IF(SUM(JE5:JH5)-JI5&gt;0,SUM(JE5:JH5)-JI5,"")</f>
        <v/>
      </c>
      <c r="JO5" s="12" t="str">
        <f>IF(SUM(JM5,JN5)&gt;0,SUM(JM5,JN5),"")</f>
        <v/>
      </c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46"/>
      <c r="KD5" s="46"/>
      <c r="KE5" s="15" t="str">
        <f>IF(SUM(JW5)&gt;0,SUM(JW5),"")</f>
        <v/>
      </c>
      <c r="KF5" s="15" t="str">
        <f>IF(SUM(JP5:JS5)-JT5&gt;0,SUM(JP5:JS5)-JT5,"")</f>
        <v/>
      </c>
      <c r="KG5" s="15" t="str">
        <f>IF(SUM(JU5:JX5)-JY5&gt;0,SUM(JU5:JX5)-JY5,"")</f>
        <v/>
      </c>
      <c r="KH5" s="15" t="str">
        <f>IF(SUM(KF5:KG5)&gt;0,SUM(KF5:KG5),"")</f>
        <v/>
      </c>
      <c r="KI5" s="15" t="str">
        <f>IF(SUM(JZ5:KC5)-KD5&gt;0,SUM(JZ5:KC5)-KD5,"")</f>
        <v/>
      </c>
      <c r="KJ5" s="15" t="str">
        <f>IF(SUM(KH5,KI5)&gt;0,SUM(KH5,KI5),"")</f>
        <v/>
      </c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45"/>
      <c r="KY5" s="45"/>
      <c r="KZ5" s="12" t="str">
        <f>IF(SUM(KR5)&gt;0,SUM(KR5),"")</f>
        <v/>
      </c>
      <c r="LA5" s="12" t="str">
        <f>IF(SUM(KK5:KN5)-KO5&gt;0,SUM(KK5:KN5)-KO5,"")</f>
        <v/>
      </c>
      <c r="LB5" s="12" t="str">
        <f>IF(SUM(KP5:KS5)-KT5&gt;0,SUM(KP5:KS5)-KT5,"")</f>
        <v/>
      </c>
      <c r="LC5" s="12" t="str">
        <f>IF(SUM(LA5:LB5)&gt;0,SUM(LA5:LB5),"")</f>
        <v/>
      </c>
      <c r="LD5" s="12" t="str">
        <f>IF(SUM(KU5:KX5)-KY5&gt;0,SUM(KU5:KX5)-KY5,"")</f>
        <v/>
      </c>
      <c r="LE5" s="12" t="str">
        <f>IF(SUM(LC5,LD5)&gt;0,SUM(LC5,LD5),"")</f>
        <v/>
      </c>
      <c r="LF5" s="46"/>
      <c r="LG5" s="46"/>
      <c r="LH5" s="46"/>
      <c r="LI5" s="46"/>
      <c r="LJ5" s="46"/>
      <c r="LK5" s="46"/>
      <c r="LL5" s="46"/>
      <c r="LM5" s="46"/>
      <c r="LN5" s="46"/>
      <c r="LO5" s="46"/>
      <c r="LP5" s="46"/>
      <c r="LQ5" s="46"/>
      <c r="LR5" s="46"/>
      <c r="LS5" s="46"/>
      <c r="LT5" s="46"/>
      <c r="LU5" s="15" t="str">
        <f>IF(SUM(LM5)&gt;0,SUM(LM5),"")</f>
        <v/>
      </c>
      <c r="LV5" s="15" t="str">
        <f>IF(SUM(LF5:LI5)-LJ5&gt;0,SUM(LF5:LI5)-LJ5,"")</f>
        <v/>
      </c>
      <c r="LW5" s="15" t="str">
        <f>IF(SUM(LK5:LN5)-LO5&gt;0,SUM(LK5:LN5)-LO5,"")</f>
        <v/>
      </c>
      <c r="LX5" s="15" t="str">
        <f>IF(SUM(LV5:LW5)&gt;0,SUM(LV5:LW5),"")</f>
        <v/>
      </c>
      <c r="LY5" s="15" t="str">
        <f>IF(SUM(LP5:LS5)-LT5&gt;0,SUM(LP5:LS5)-LT5,"")</f>
        <v/>
      </c>
      <c r="LZ5" s="15" t="str">
        <f>IF(SUM(LX5,LY5)&gt;0,SUM(LX5,LY5),"")</f>
        <v/>
      </c>
    </row>
    <row r="6" spans="1:338">
      <c r="A6" s="6">
        <f>IF(AND(F6="P",H6="P"),SUMPRODUCT((F$4:F$17="P")*(H$4:H$17="P")*(E$4:E$17&gt;E6))+1,IF(H6="P",SUMPRODUCT((F$4:F$17="")*(H$4:H$17="P")*(E$4:E$17&gt;E6))+1+SUMPRODUCT((F$4:F$17="P")*(H$4:H$17="P")),""))</f>
        <v>3</v>
      </c>
      <c r="B6" s="7" t="s">
        <v>74</v>
      </c>
      <c r="C6" s="8" t="s">
        <v>3</v>
      </c>
      <c r="D6" s="6">
        <v>2000</v>
      </c>
      <c r="E6" s="16">
        <f>SUM(J6:R6)</f>
        <v>248.08500000000004</v>
      </c>
      <c r="F6" s="4" t="str">
        <f>IF(OR(AND($AJ6&gt;=$AK$20,NOT($AJ6="")),AND($BE6&gt;=$BF$20,NOT($BE6="")),AND($BZ6&gt;=$CA$20,NOT($BZ6=""))),"P","")</f>
        <v>P</v>
      </c>
      <c r="G6" s="4" t="str">
        <f>IF(OR(AND($AJ6&gt;=$AK$21,NOT($AJ6="")),AND($BE6&gt;=$BF$21,NOT($BE6="")),AND($BZ6&gt;=$CA$21,NOT($BZ6=""))),"P","")</f>
        <v/>
      </c>
      <c r="H6" s="4" t="str">
        <f>IF(OR(AND($AM6&gt;=$AK$22,NOT($AM6="")),AND($BH6&gt;=$BF$22,NOT($BH6="")),AND($CC6&gt;=$CA$22,NOT($CC6=""))),"P","")</f>
        <v>P</v>
      </c>
      <c r="I6" t="str">
        <f>IF(AND(F6="P",OR(AND($AL6&gt;$AK$25,NOT($AL6="")),AND($AN6&gt;$AK$25,NOT($AN6="")),AND($BG6&gt;$BF$25,NOT($BG6="")),AND($BI6&gt;$BF$25,NOT($BI6="")),AND($CB6&gt;$CA$25,NOT($CB6="")),AND($CD6&gt;$CA$25,NOT($CD6="")))),"Merit",IF(AND(F6="P",OR(AND($AM6&gt;$AK$24,NOT($AM6="")),AND($BH6&gt;$BF$24,NOT($BH6="")),AND($CC6&gt;$CA$24,NOT($CC6="")))),"Funding",IF(AND(F6="P",OR(AND($AM6&gt;$AK$23,NOT($AM6="")),AND($BH6&gt;$BF$23,NOT($BH6="")),AND($CC6&gt;$CA$23,NOT($CC6="")))),"Worlds Team",IF(AND(F6="P",OR(AND($AM6&gt;$AK$22,NOT($AM6="")),AND($BH6&gt;$BF$22,NOT($BH6="")),AND($CC6&gt;$CA$22,NOT($CC6="")))),"National Team",""))))</f>
        <v>Funding</v>
      </c>
      <c r="J6" s="15">
        <f>MAX(AM6,BH6,CC6)</f>
        <v>101.27000000000001</v>
      </c>
      <c r="K6" s="15" t="str">
        <f>IF(J6=CC6,$BK$1,IF(J6=BH6,$AP$1,IF(J6=AM6,$U$1,"")))</f>
        <v>2017 Nationals</v>
      </c>
      <c r="L6" s="15">
        <f>IF($J6=$AM6,MAX(BF6,CA6),IF($J6=$BH6,MAX(AK6,CA6),MAX(AK6,BF6)))</f>
        <v>47.325000000000003</v>
      </c>
      <c r="M6" s="15" t="str">
        <f>IF(L6=CA6,$BK$1,IF(L6=BF6,$AP$1,IF(L6=AK6,$U$1,"")))</f>
        <v>2018 Canada Cup</v>
      </c>
      <c r="N6" s="15">
        <f>IF($J6=$AM6,MAX(BG6,CB6),IF($J6=$BH6,MAX(AL6,CB6),MAX(AL6,BG6)))</f>
        <v>52.279999999999994</v>
      </c>
      <c r="O6" s="15" t="str">
        <f>IF(N6=CB6,$BK$1,IF(N6=BG6,$AP$1,IF(N6=AL6,$U$1,"")))</f>
        <v>2017 Canada Cup</v>
      </c>
      <c r="P6" s="15">
        <f>MAX(AN6,BI6,CD6)</f>
        <v>47.21</v>
      </c>
      <c r="Q6" s="15" t="str">
        <f>IF(P6=CD6,$BK$1,IF(P6=BI6,$AP$1,IF(P6=AN6,$U$1,"")))</f>
        <v>2018 Canada Cup</v>
      </c>
      <c r="R6" s="15" t="str">
        <f>IF(MAX(CF6,CG6,CH6)&gt;0,MAX(CF6,CG6,CH6),"")</f>
        <v/>
      </c>
      <c r="S6" s="29" t="str">
        <f>IF(R6="","",IF(R6=CF6,"(Vol 1)",IF(R6=CG6,"(Vol 2)",IF(R6=CH6,"(Final)"))))</f>
        <v/>
      </c>
      <c r="T6" s="15" t="str">
        <f>IF(R6="","",IF(R6=CF6,IF(R6+L6=LV6,$LF$1,IF(R6+L6=LA6,$KK$1,IF(R6+L6=KF6,$JP$1,IF(R6+L6=JK6,$IU$1,IF(R6+L6=IP6,$HZ$1,IF(R6+L6=HU6,$HE$1,IF(R6+L6=GZ6,$GJ$1,IF(R6+L6=GE6,$FO$1,IF(R6+L6=FJ6,$ET$1,IF(R6+L6=EO6,$DY$1,IF(R6+L6=DT6,$DD$1,IF(R6+L6=CY6,$CI$1)))))))))))),IF(R6=CG6,IF(R6+N6=LW6,$LF$1,IF(R6+N6=LB6,$KK$1,IF(R6+N6=KG6,$JP$1,IF(R6+N6=JL6,$IU$1,IF(R6+N6=IQ6,$HZ$1,IF(R6+N6=HV6,$HE$1,IF(R6+N6=HA6,$GJ$1,IF(R6+N6=GF6,$FO$1,IF(R6+N6=FK6,$ET$1,IF(R6+N6=EP6,$DY$1,IF(R6+N6=DU6,$DD$1,IF(R6+N6=CZ6,$CI$1)))))))))))),IF(R6=CH6,IF(R6+P6=LY6,$LF$1,IF(R6+P6=LD6,$KK$1,IF(R6+P6=KI6,$JP$1,IF(R6+P6=JN6,$IU$1,IF(R6+P6=IS6,$HZ$1,IF(R6+P6=HX6,$HE$1,IF(R6+P6=HC6,$GJ$1,IF(R6+P6=GH6,$FO$1,IF(R6+P6=FM6,$ET$1,IF(R6+P6=ER6,$DY$1,IF(R6+P6=DW6,$DD$1,IF(R6+P6=DB6,$CI$1))))))))))))))))</f>
        <v/>
      </c>
      <c r="U6" s="76">
        <v>15.1</v>
      </c>
      <c r="V6" s="76">
        <v>9.1999999999999993</v>
      </c>
      <c r="W6" s="76">
        <v>4.5999999999999996</v>
      </c>
      <c r="X6" s="76">
        <v>16.649999999999999</v>
      </c>
      <c r="Y6" s="76">
        <v>0</v>
      </c>
      <c r="Z6" s="76">
        <v>13.8</v>
      </c>
      <c r="AA6" s="76">
        <v>9.1</v>
      </c>
      <c r="AB6" s="76">
        <v>13.2</v>
      </c>
      <c r="AC6" s="76">
        <v>16.18</v>
      </c>
      <c r="AD6" s="76">
        <v>0</v>
      </c>
      <c r="AE6" s="76">
        <v>4.8</v>
      </c>
      <c r="AF6" s="76">
        <v>2.8</v>
      </c>
      <c r="AG6" s="76">
        <v>4.5999999999999996</v>
      </c>
      <c r="AH6" s="76">
        <v>5.0999999999999996</v>
      </c>
      <c r="AI6" s="76">
        <v>0</v>
      </c>
      <c r="AJ6" s="12">
        <f>IF(SUM(AB6)&gt;0,SUM(AB6),"")</f>
        <v>13.2</v>
      </c>
      <c r="AK6" s="12">
        <f>IF(SUM(U6:X6)-Y6&gt;0,SUM(U6:X6)-Y6,"")</f>
        <v>45.55</v>
      </c>
      <c r="AL6" s="12">
        <f>IF(SUM(Z6:AC6)-AD6&gt;0,SUM(Z6:AC6)-AD6,"")</f>
        <v>52.279999999999994</v>
      </c>
      <c r="AM6" s="12">
        <f>IF(SUM(AK6:AL6)&gt;0,SUM(AK6:AL6),"")</f>
        <v>97.829999999999984</v>
      </c>
      <c r="AN6" s="12">
        <f>IF(SUM(AE6:AH6)-AI6&gt;0,SUM(AE6:AH6)-AI6,"")</f>
        <v>17.299999999999997</v>
      </c>
      <c r="AO6" s="12">
        <f>IF(SUM(AM6,AN6)&gt;0,SUM(AM6,AN6),"")</f>
        <v>115.12999999999998</v>
      </c>
      <c r="AP6" s="80">
        <v>16.3</v>
      </c>
      <c r="AQ6" s="80">
        <v>9.3000000000000007</v>
      </c>
      <c r="AR6" s="80">
        <v>4.8</v>
      </c>
      <c r="AS6" s="80">
        <v>16.315000000000001</v>
      </c>
      <c r="AT6" s="80">
        <v>0</v>
      </c>
      <c r="AU6" s="80">
        <v>16.100000000000001</v>
      </c>
      <c r="AV6" s="80">
        <v>9.5</v>
      </c>
      <c r="AW6" s="80">
        <v>13.3</v>
      </c>
      <c r="AX6" s="80">
        <v>15.654999999999999</v>
      </c>
      <c r="AY6" s="80">
        <v>0</v>
      </c>
      <c r="AZ6" s="80">
        <v>3.3</v>
      </c>
      <c r="BA6" s="80">
        <v>1.8</v>
      </c>
      <c r="BB6" s="80">
        <v>3.1</v>
      </c>
      <c r="BC6" s="80">
        <v>3.335</v>
      </c>
      <c r="BD6" s="80">
        <v>0</v>
      </c>
      <c r="BE6" s="15">
        <f>IF(SUM(AW6)&gt;0,SUM(AW6),"")</f>
        <v>13.3</v>
      </c>
      <c r="BF6" s="15">
        <f>IF(SUM(AP6:AS6)-AT6&gt;0,SUM(AP6:AS6)-AT6,"")</f>
        <v>46.715000000000003</v>
      </c>
      <c r="BG6" s="15">
        <f>IF(SUM(AU6:AX6)-AY6&gt;0,SUM(AU6:AX6)-AY6,"")</f>
        <v>54.555000000000007</v>
      </c>
      <c r="BH6" s="15">
        <f>IF(SUM(BF6:BG6)&gt;0,SUM(BF6:BG6),"")</f>
        <v>101.27000000000001</v>
      </c>
      <c r="BI6" s="15">
        <f>IF(SUM(AZ6:BC6)-BD6&gt;0,SUM(AZ6:BC6)-BD6,"")</f>
        <v>11.535</v>
      </c>
      <c r="BJ6" s="15">
        <f>IF(SUM(BH6,BI6)&gt;0,SUM(BH6,BI6),"")</f>
        <v>112.80500000000001</v>
      </c>
      <c r="BK6" s="76">
        <v>15.6</v>
      </c>
      <c r="BL6" s="76">
        <v>9.35</v>
      </c>
      <c r="BM6" s="76">
        <v>5.8</v>
      </c>
      <c r="BN6" s="76">
        <v>16.574999999999999</v>
      </c>
      <c r="BO6" s="76">
        <v>0</v>
      </c>
      <c r="BP6" s="76">
        <v>12.4</v>
      </c>
      <c r="BQ6" s="76">
        <v>8.6</v>
      </c>
      <c r="BR6" s="76">
        <v>14.2</v>
      </c>
      <c r="BS6" s="76">
        <v>15.54</v>
      </c>
      <c r="BT6" s="76">
        <v>0</v>
      </c>
      <c r="BU6" s="76">
        <v>12.7</v>
      </c>
      <c r="BV6" s="76">
        <v>8.6</v>
      </c>
      <c r="BW6" s="76">
        <v>12.6</v>
      </c>
      <c r="BX6" s="76">
        <v>15.31</v>
      </c>
      <c r="BY6" s="76">
        <v>2</v>
      </c>
      <c r="BZ6" s="12">
        <f>IF(SUM(BR6)&gt;0,SUM(BR6),"")</f>
        <v>14.2</v>
      </c>
      <c r="CA6" s="12">
        <f>IF(SUM(BK6:BN6)-BO6&gt;0,SUM(BK6:BN6)-BO6,"")</f>
        <v>47.325000000000003</v>
      </c>
      <c r="CB6" s="12">
        <f>IF(SUM(BP6:BS6)-BT6&gt;0,SUM(BP6:BS6)-BT6,"")</f>
        <v>50.74</v>
      </c>
      <c r="CC6" s="12">
        <f>IF(SUM(CA6:CB6)&gt;0,SUM(CA6:CB6),"")</f>
        <v>98.064999999999998</v>
      </c>
      <c r="CD6" s="12">
        <f>IF(SUM(BU6:BX6)-BY6&gt;0,SUM(BU6:BX6)-BY6,"")</f>
        <v>47.21</v>
      </c>
      <c r="CE6" s="12">
        <f>IF(SUM(CC6,CD6)&gt;0,SUM(CC6,CD6),"")</f>
        <v>145.27500000000001</v>
      </c>
      <c r="CF6" s="28" t="str">
        <f>IF(MAX(CY6,DT6,EO6,FJ6,GE6,GZ6,HU6,IP6,JK6,KF6,LA6,LV6)-L6&gt;0.001,MAX(CY6,DT6,EO6,FJ6,GE6,GZ6,HU6,IP6,JK6,KF6,LA6,LV6)-L6,"")</f>
        <v/>
      </c>
      <c r="CG6" s="28" t="str">
        <f>IF(MAX(CZ6,DU6,EP6,FK6,GF6,HA6,HV6,IQ6,JL6,KG6,LB6,LW6)-N6&gt;0.001,MAX(CZ6,DU6,EP6,FK6,GF6,HA6,HV6,IQ6,JL6,KG6,LB6,LW6)-N6,"")</f>
        <v/>
      </c>
      <c r="CH6" s="28" t="str">
        <f>IF(MAX(DB6,DW6,ER6,FM6,GH6,HC6,HX6,IS6,JN6,KI6,LD6,LY6)-P6&gt;0.001,MAX(DB6,DW6,ER6,FM6,GH6,HC6,HX6,IS6,JN6,KI6,LD6,LY6)-P6,"")</f>
        <v/>
      </c>
      <c r="CI6" s="45">
        <v>15.9</v>
      </c>
      <c r="CJ6" s="45">
        <v>9.75</v>
      </c>
      <c r="CK6" s="45">
        <v>0</v>
      </c>
      <c r="CL6" s="45">
        <v>17.885000000000002</v>
      </c>
      <c r="CM6" s="45">
        <v>0</v>
      </c>
      <c r="CN6" s="45">
        <v>2.7</v>
      </c>
      <c r="CO6" s="45">
        <v>1.7</v>
      </c>
      <c r="CP6" s="45">
        <v>3.1</v>
      </c>
      <c r="CQ6" s="45">
        <v>3.48</v>
      </c>
      <c r="CR6" s="45">
        <v>0</v>
      </c>
      <c r="CS6" s="45"/>
      <c r="CT6" s="45"/>
      <c r="CU6" s="45"/>
      <c r="CV6" s="45"/>
      <c r="CW6" s="45"/>
      <c r="CX6" s="12">
        <f>IF(SUM(CP6)&gt;0,SUM(CP6),"")</f>
        <v>3.1</v>
      </c>
      <c r="CY6" s="12">
        <f>IF(SUM(CI6:CL6)-CM6&gt;0,SUM(CI6:CL6)-CM6,"")</f>
        <v>43.534999999999997</v>
      </c>
      <c r="CZ6" s="12">
        <f>IF(SUM(CN6:CQ6)-CR6&gt;0,SUM(CN6:CQ6)-CR6,"")</f>
        <v>10.98</v>
      </c>
      <c r="DA6" s="12">
        <f>IF(SUM(CY6:CZ6)&gt;0,SUM(CY6:CZ6),"")</f>
        <v>54.515000000000001</v>
      </c>
      <c r="DB6" s="12" t="str">
        <f>IF(SUM(CS6:CV6)-CW6&gt;0,SUM(CS6:CV6)-CW6,"")</f>
        <v/>
      </c>
      <c r="DC6" s="12">
        <f>IF(SUM(DA6,DB6)&gt;0,SUM(DA6,DB6),"")</f>
        <v>54.515000000000001</v>
      </c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15" t="str">
        <f>IF(SUM(DK6)&gt;0,SUM(DK6),"")</f>
        <v/>
      </c>
      <c r="DT6" s="15" t="str">
        <f>IF(SUM(DD6:DG6)-DH6&gt;0,SUM(DD6:DG6)-DH6,"")</f>
        <v/>
      </c>
      <c r="DU6" s="15" t="str">
        <f>IF(SUM(DI6:DL6)-DM6&gt;0,SUM(DI6:DL6)-DM6,"")</f>
        <v/>
      </c>
      <c r="DV6" s="15" t="str">
        <f>IF(SUM(DT6:DU6)&gt;0,SUM(DT6:DU6),"")</f>
        <v/>
      </c>
      <c r="DW6" s="15" t="str">
        <f>IF(SUM(DN6:DQ6)-DR6&gt;0,SUM(DN6:DQ6)-DR6,"")</f>
        <v/>
      </c>
      <c r="DX6" s="15" t="str">
        <f>IF(SUM(DV6,DW6)&gt;0,SUM(DV6,DW6),"")</f>
        <v/>
      </c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45"/>
      <c r="EM6" s="45"/>
      <c r="EN6" s="12" t="str">
        <f>IF(SUM(EF6)&gt;0,SUM(EF6),"")</f>
        <v/>
      </c>
      <c r="EO6" s="12" t="str">
        <f>IF(SUM(DY6:EB6)-EC6&gt;0,SUM(DY6:EB6)-EC6,"")</f>
        <v/>
      </c>
      <c r="EP6" s="12" t="str">
        <f>IF(SUM(ED6:EG6)-EH6&gt;0,SUM(ED6:EG6)-EH6,"")</f>
        <v/>
      </c>
      <c r="EQ6" s="12" t="str">
        <f>IF(SUM(EO6:EP6)&gt;0,SUM(EO6:EP6),"")</f>
        <v/>
      </c>
      <c r="ER6" s="12" t="str">
        <f>IF(SUM(EI6:EL6)-EM6&gt;0,SUM(EI6:EL6)-EM6,"")</f>
        <v/>
      </c>
      <c r="ES6" s="12" t="str">
        <f>IF(SUM(EQ6,ER6)&gt;0,SUM(EQ6,ER6),"")</f>
        <v/>
      </c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46"/>
      <c r="FH6" s="46"/>
      <c r="FI6" s="15" t="str">
        <f>IF(SUM(FA6)&gt;0,SUM(FA6),"")</f>
        <v/>
      </c>
      <c r="FJ6" s="15" t="str">
        <f>IF(SUM(ET6:EW6)-EX6&gt;0,SUM(ET6:EW6)-EX6,"")</f>
        <v/>
      </c>
      <c r="FK6" s="15" t="str">
        <f>IF(SUM(EY6:FB6)-FC6&gt;0,SUM(EY6:FB6)-FC6,"")</f>
        <v/>
      </c>
      <c r="FL6" s="15" t="str">
        <f>IF(SUM(FJ6:FK6)&gt;0,SUM(FJ6:FK6),"")</f>
        <v/>
      </c>
      <c r="FM6" s="15" t="str">
        <f>IF(SUM(FD6:FG6)-FH6&gt;0,SUM(FD6:FG6)-FH6,"")</f>
        <v/>
      </c>
      <c r="FN6" s="15" t="str">
        <f>IF(SUM(FL6,FM6)&gt;0,SUM(FL6,FM6),"")</f>
        <v/>
      </c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45"/>
      <c r="GC6" s="45"/>
      <c r="GD6" s="12" t="str">
        <f>IF(SUM(FV6)&gt;0,SUM(FV6),"")</f>
        <v/>
      </c>
      <c r="GE6" s="12" t="str">
        <f>IF(SUM(FO6:FR6)-FS6&gt;0,SUM(FO6:FR6)-FS6,"")</f>
        <v/>
      </c>
      <c r="GF6" s="12" t="str">
        <f>IF(SUM(FT6:FW6)-FX6&gt;0,SUM(FT6:FW6)-FX6,"")</f>
        <v/>
      </c>
      <c r="GG6" s="12" t="str">
        <f>IF(SUM(GE6:GF6)&gt;0,SUM(GE6:GF6),"")</f>
        <v/>
      </c>
      <c r="GH6" s="12" t="str">
        <f>IF(SUM(FY6:GB6)-GC6&gt;0,SUM(FY6:GB6)-GC6,"")</f>
        <v/>
      </c>
      <c r="GI6" s="12" t="str">
        <f>IF(SUM(GG6,GH6)&gt;0,SUM(GG6,GH6),"")</f>
        <v/>
      </c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15" t="str">
        <f>IF(SUM(GQ6)&gt;0,SUM(GQ6),"")</f>
        <v/>
      </c>
      <c r="GZ6" s="15" t="str">
        <f>IF(SUM(GJ6:GM6)-GN6&gt;0,SUM(GJ6:GM6)-GN6,"")</f>
        <v/>
      </c>
      <c r="HA6" s="15" t="str">
        <f>IF(SUM(GO6:GR6)-GS6&gt;0,SUM(GO6:GR6)-GS6,"")</f>
        <v/>
      </c>
      <c r="HB6" s="15" t="str">
        <f>IF(SUM(GZ6:HA6)&gt;0,SUM(GZ6:HA6),"")</f>
        <v/>
      </c>
      <c r="HC6" s="15" t="str">
        <f>IF(SUM(GT6:GW6)-GX6&gt;0,SUM(GT6:GW6)-GX6,"")</f>
        <v/>
      </c>
      <c r="HD6" s="15" t="str">
        <f>IF(SUM(HB6,HC6)&gt;0,SUM(HB6,HC6),"")</f>
        <v/>
      </c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45"/>
      <c r="HS6" s="45"/>
      <c r="HT6" s="12" t="str">
        <f>IF(SUM(HL6)&gt;0,SUM(HL6),"")</f>
        <v/>
      </c>
      <c r="HU6" s="12" t="str">
        <f>IF(SUM(HE6:HH6)-HI6&gt;0,SUM(HE6:HH6)-HI6,"")</f>
        <v/>
      </c>
      <c r="HV6" s="12" t="str">
        <f>IF(SUM(HJ6:HM6)-HN6&gt;0,SUM(HJ6:HM6)-HN6,"")</f>
        <v/>
      </c>
      <c r="HW6" s="12" t="str">
        <f>IF(SUM(HU6:HV6)&gt;0,SUM(HU6:HV6),"")</f>
        <v/>
      </c>
      <c r="HX6" s="12" t="str">
        <f>IF(SUM(HO6:HR6)-HS6&gt;0,SUM(HO6:HR6)-HS6,"")</f>
        <v/>
      </c>
      <c r="HY6" s="12" t="str">
        <f>IF(SUM(HW6,HX6)&gt;0,SUM(HW6,HX6),"")</f>
        <v/>
      </c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15" t="str">
        <f>IF(SUM(IG6)&gt;0,SUM(IG6),"")</f>
        <v/>
      </c>
      <c r="IP6" s="15" t="str">
        <f>IF(SUM(HZ6:IC6)-ID6&gt;0,SUM(HZ6:IC6)-ID6,"")</f>
        <v/>
      </c>
      <c r="IQ6" s="15" t="str">
        <f>IF(SUM(IE6:IH6)-II6&gt;0,SUM(IE6:IH6)-II6,"")</f>
        <v/>
      </c>
      <c r="IR6" s="15" t="str">
        <f>IF(SUM(IP6:IQ6)&gt;0,SUM(IP6:IQ6),"")</f>
        <v/>
      </c>
      <c r="IS6" s="15" t="str">
        <f>IF(SUM(IJ6:IM6)-IN6&gt;0,SUM(IJ6:IM6)-IN6,"")</f>
        <v/>
      </c>
      <c r="IT6" s="15" t="str">
        <f>IF(SUM(IR6,IS6)&gt;0,SUM(IR6,IS6),"")</f>
        <v/>
      </c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45"/>
      <c r="JI6" s="45"/>
      <c r="JJ6" s="12" t="str">
        <f>IF(SUM(JB6)&gt;0,SUM(JB6),"")</f>
        <v/>
      </c>
      <c r="JK6" s="12" t="str">
        <f>IF(SUM(IU6:IX6)-IY6&gt;0,SUM(IU6:IX6)-IY6,"")</f>
        <v/>
      </c>
      <c r="JL6" s="12" t="str">
        <f>IF(SUM(IZ6:JC6)-JD6&gt;0,SUM(IZ6:JC6)-JD6,"")</f>
        <v/>
      </c>
      <c r="JM6" s="12" t="str">
        <f>IF(SUM(JK6:JL6)&gt;0,SUM(JK6:JL6),"")</f>
        <v/>
      </c>
      <c r="JN6" s="12" t="str">
        <f>IF(SUM(JE6:JH6)-JI6&gt;0,SUM(JE6:JH6)-JI6,"")</f>
        <v/>
      </c>
      <c r="JO6" s="12" t="str">
        <f>IF(SUM(JM6,JN6)&gt;0,SUM(JM6,JN6),"")</f>
        <v/>
      </c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46"/>
      <c r="KD6" s="46"/>
      <c r="KE6" s="15" t="str">
        <f>IF(SUM(JW6)&gt;0,SUM(JW6),"")</f>
        <v/>
      </c>
      <c r="KF6" s="15" t="str">
        <f>IF(SUM(JP6:JS6)-JT6&gt;0,SUM(JP6:JS6)-JT6,"")</f>
        <v/>
      </c>
      <c r="KG6" s="15" t="str">
        <f>IF(SUM(JU6:JX6)-JY6&gt;0,SUM(JU6:JX6)-JY6,"")</f>
        <v/>
      </c>
      <c r="KH6" s="15" t="str">
        <f>IF(SUM(KF6:KG6)&gt;0,SUM(KF6:KG6),"")</f>
        <v/>
      </c>
      <c r="KI6" s="15" t="str">
        <f>IF(SUM(JZ6:KC6)-KD6&gt;0,SUM(JZ6:KC6)-KD6,"")</f>
        <v/>
      </c>
      <c r="KJ6" s="15" t="str">
        <f>IF(SUM(KH6,KI6)&gt;0,SUM(KH6,KI6),"")</f>
        <v/>
      </c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45"/>
      <c r="KY6" s="45"/>
      <c r="KZ6" s="12" t="str">
        <f>IF(SUM(KR6)&gt;0,SUM(KR6),"")</f>
        <v/>
      </c>
      <c r="LA6" s="12" t="str">
        <f>IF(SUM(KK6:KN6)-KO6&gt;0,SUM(KK6:KN6)-KO6,"")</f>
        <v/>
      </c>
      <c r="LB6" s="12" t="str">
        <f>IF(SUM(KP6:KS6)-KT6&gt;0,SUM(KP6:KS6)-KT6,"")</f>
        <v/>
      </c>
      <c r="LC6" s="12" t="str">
        <f>IF(SUM(LA6:LB6)&gt;0,SUM(LA6:LB6),"")</f>
        <v/>
      </c>
      <c r="LD6" s="12" t="str">
        <f>IF(SUM(KU6:KX6)-KY6&gt;0,SUM(KU6:KX6)-KY6,"")</f>
        <v/>
      </c>
      <c r="LE6" s="12" t="str">
        <f>IF(SUM(LC6,LD6)&gt;0,SUM(LC6,LD6),"")</f>
        <v/>
      </c>
      <c r="LF6" s="46"/>
      <c r="LG6" s="46"/>
      <c r="LH6" s="46"/>
      <c r="LI6" s="46"/>
      <c r="LJ6" s="46"/>
      <c r="LK6" s="46"/>
      <c r="LL6" s="46"/>
      <c r="LM6" s="46"/>
      <c r="LN6" s="46"/>
      <c r="LO6" s="46"/>
      <c r="LP6" s="46"/>
      <c r="LQ6" s="46"/>
      <c r="LR6" s="46"/>
      <c r="LS6" s="46"/>
      <c r="LT6" s="46"/>
      <c r="LU6" s="15" t="str">
        <f>IF(SUM(LM6)&gt;0,SUM(LM6),"")</f>
        <v/>
      </c>
      <c r="LV6" s="15" t="str">
        <f>IF(SUM(LF6:LI6)-LJ6&gt;0,SUM(LF6:LI6)-LJ6,"")</f>
        <v/>
      </c>
      <c r="LW6" s="15" t="str">
        <f>IF(SUM(LK6:LN6)-LO6&gt;0,SUM(LK6:LN6)-LO6,"")</f>
        <v/>
      </c>
      <c r="LX6" s="15" t="str">
        <f>IF(SUM(LV6:LW6)&gt;0,SUM(LV6:LW6),"")</f>
        <v/>
      </c>
      <c r="LY6" s="15" t="str">
        <f>IF(SUM(LP6:LS6)-LT6&gt;0,SUM(LP6:LS6)-LT6,"")</f>
        <v/>
      </c>
      <c r="LZ6" s="15" t="str">
        <f>IF(SUM(LX6,LY6)&gt;0,SUM(LX6,LY6),"")</f>
        <v/>
      </c>
    </row>
    <row r="7" spans="1:338">
      <c r="A7" s="6">
        <f>IF(AND(F7="P",H7="P"),SUMPRODUCT((F$4:F$17="P")*(H$4:H$17="P")*(E$4:E$17&gt;E7))+1,IF(H7="P",SUMPRODUCT((F$4:F$17="")*(H$4:H$17="P")*(E$4:E$17&gt;E7))+1+SUMPRODUCT((F$4:F$17="P")*(H$4:H$17="P")),""))</f>
        <v>4</v>
      </c>
      <c r="B7" s="9" t="s">
        <v>72</v>
      </c>
      <c r="C7" s="5" t="s">
        <v>73</v>
      </c>
      <c r="D7" s="31">
        <v>2001</v>
      </c>
      <c r="E7" s="16">
        <f>SUM(J7:R7)</f>
        <v>246.05500000000001</v>
      </c>
      <c r="F7" s="4" t="str">
        <f>IF(OR(AND($AJ7&gt;=$AK$20,NOT($AJ7="")),AND($BE7&gt;=$BF$20,NOT($BE7="")),AND($BZ7&gt;=$CA$20,NOT($BZ7=""))),"P","")</f>
        <v>P</v>
      </c>
      <c r="G7" s="4" t="str">
        <f>IF(OR(AND($AJ7&gt;=$AK$21,NOT($AJ7="")),AND($BE7&gt;=$BF$21,NOT($BE7="")),AND($BZ7&gt;=$CA$21,NOT($BZ7=""))),"P","")</f>
        <v/>
      </c>
      <c r="H7" s="4" t="str">
        <f>IF(OR(AND($AM7&gt;=$AK$22,NOT($AM7="")),AND($BH7&gt;=$BF$22,NOT($BH7="")),AND($CC7&gt;=$CA$22,NOT($CC7=""))),"P","")</f>
        <v>P</v>
      </c>
      <c r="I7" t="str">
        <f>IF(AND(F7="P",OR(AND($AL7&gt;$AK$25,NOT($AL7="")),AND($AN7&gt;$AK$25,NOT($AN7="")),AND($BG7&gt;$BF$25,NOT($BG7="")),AND($BI7&gt;$BF$25,NOT($BI7="")),AND($CB7&gt;$CA$25,NOT($CB7="")),AND($CD7&gt;$CA$25,NOT($CD7="")))),"Merit",IF(AND(F7="P",OR(AND($AM7&gt;$AK$24,NOT($AM7="")),AND($BH7&gt;$BF$24,NOT($BH7="")),AND($CC7&gt;$CA$24,NOT($CC7="")))),"Funding",IF(AND(F7="P",OR(AND($AM7&gt;$AK$23,NOT($AM7="")),AND($BH7&gt;$BF$23,NOT($BH7="")),AND($CC7&gt;$CA$23,NOT($CC7="")))),"Worlds Team",IF(AND(F7="P",OR(AND($AM7&gt;$AK$22,NOT($AM7="")),AND($BH7&gt;$BF$22,NOT($BH7="")),AND($CC7&gt;$CA$22,NOT($CC7="")))),"National Team",""))))</f>
        <v>National Team</v>
      </c>
      <c r="J7" s="15">
        <f>MAX(AM7,BH7,CC7)</f>
        <v>97.814999999999998</v>
      </c>
      <c r="K7" s="15" t="str">
        <f>IF(J7=CC7,$BK$1,IF(J7=BH7,$AP$1,IF(J7=AM7,$U$1,"")))</f>
        <v>2017 Nationals</v>
      </c>
      <c r="L7" s="15">
        <f>IF($J7=$AM7,MAX(BF7,CA7),IF($J7=$BH7,MAX(AK7,CA7),MAX(AK7,BF7)))</f>
        <v>46.984999999999999</v>
      </c>
      <c r="M7" s="15" t="str">
        <f>IF(L7=CA7,$BK$1,IF(L7=BF7,$AP$1,IF(L7=AK7,$U$1,"")))</f>
        <v>2017 Canada Cup</v>
      </c>
      <c r="N7" s="15">
        <f>IF($J7=$AM7,MAX(BG7,CB7),IF($J7=$BH7,MAX(AL7,CB7),MAX(AL7,BG7)))</f>
        <v>50.08</v>
      </c>
      <c r="O7" s="15" t="str">
        <f>IF(N7=CB7,$BK$1,IF(N7=BG7,$AP$1,IF(N7=AL7,$U$1,"")))</f>
        <v>2018 Canada Cup</v>
      </c>
      <c r="P7" s="15">
        <f>MAX(AN7,BI7,CD7)</f>
        <v>51.174999999999997</v>
      </c>
      <c r="Q7" s="15" t="str">
        <f>IF(P7=CD7,$BK$1,IF(P7=BI7,$AP$1,IF(P7=AN7,$U$1,"")))</f>
        <v>2018 Canada Cup</v>
      </c>
      <c r="R7" s="15" t="str">
        <f>IF(MAX(CF7,CG7,CH7)&gt;0,MAX(CF7,CG7,CH7),"")</f>
        <v/>
      </c>
      <c r="S7" s="29" t="str">
        <f>IF(R7="","",IF(R7=CF7,"(Vol 1)",IF(R7=CG7,"(Vol 2)",IF(R7=CH7,"(Final)"))))</f>
        <v/>
      </c>
      <c r="T7" s="15" t="str">
        <f>IF(R7="","",IF(R7=CF7,IF(R7+L7=LV7,$LF$1,IF(R7+L7=LA7,$KK$1,IF(R7+L7=KF7,$JP$1,IF(R7+L7=JK7,$IU$1,IF(R7+L7=IP7,$HZ$1,IF(R7+L7=HU7,$HE$1,IF(R7+L7=GZ7,$GJ$1,IF(R7+L7=GE7,$FO$1,IF(R7+L7=FJ7,$ET$1,IF(R7+L7=EO7,$DY$1,IF(R7+L7=DT7,$DD$1,IF(R7+L7=CY7,$CI$1)))))))))))),IF(R7=CG7,IF(R7+N7=LW7,$LF$1,IF(R7+N7=LB7,$KK$1,IF(R7+N7=KG7,$JP$1,IF(R7+N7=JL7,$IU$1,IF(R7+N7=IQ7,$HZ$1,IF(R7+N7=HV7,$HE$1,IF(R7+N7=HA7,$GJ$1,IF(R7+N7=GF7,$FO$1,IF(R7+N7=FK7,$ET$1,IF(R7+N7=EP7,$DY$1,IF(R7+N7=DU7,$DD$1,IF(R7+N7=CZ7,$CI$1)))))))))))),IF(R7=CH7,IF(R7+P7=LY7,$LF$1,IF(R7+P7=LD7,$KK$1,IF(R7+P7=KI7,$JP$1,IF(R7+P7=JN7,$IU$1,IF(R7+P7=IS7,$HZ$1,IF(R7+P7=HX7,$HE$1,IF(R7+P7=HC7,$GJ$1,IF(R7+P7=GH7,$FO$1,IF(R7+P7=FM7,$ET$1,IF(R7+P7=ER7,$DY$1,IF(R7+P7=DW7,$DD$1,IF(R7+P7=DB7,$CI$1))))))))))))))))</f>
        <v/>
      </c>
      <c r="U7" s="52">
        <v>16.399999999999999</v>
      </c>
      <c r="V7" s="52">
        <v>9.6</v>
      </c>
      <c r="W7" s="52">
        <v>4.8</v>
      </c>
      <c r="X7" s="52">
        <v>16.184999999999999</v>
      </c>
      <c r="Y7" s="52">
        <v>0</v>
      </c>
      <c r="Z7" s="52">
        <v>5.4</v>
      </c>
      <c r="AA7" s="52">
        <v>3.75</v>
      </c>
      <c r="AB7" s="52">
        <v>5.8</v>
      </c>
      <c r="AC7" s="52">
        <v>6.65</v>
      </c>
      <c r="AD7" s="52">
        <v>0</v>
      </c>
      <c r="AE7" s="52"/>
      <c r="AF7" s="52"/>
      <c r="AG7" s="52"/>
      <c r="AH7" s="52"/>
      <c r="AI7" s="52"/>
      <c r="AJ7" s="12">
        <f>IF(SUM(AB7)&gt;0,SUM(AB7),"")</f>
        <v>5.8</v>
      </c>
      <c r="AK7" s="12">
        <f>IF(SUM(U7:X7)-Y7&gt;0,SUM(U7:X7)-Y7,"")</f>
        <v>46.984999999999999</v>
      </c>
      <c r="AL7" s="12">
        <f>IF(SUM(Z7:AC7)-AD7&gt;0,SUM(Z7:AC7)-AD7,"")</f>
        <v>21.6</v>
      </c>
      <c r="AM7" s="12">
        <f>IF(SUM(AK7:AL7)&gt;0,SUM(AK7:AL7),"")</f>
        <v>68.585000000000008</v>
      </c>
      <c r="AN7" s="12" t="str">
        <f>IF(SUM(AE7:AH7)-AI7&gt;0,SUM(AE7:AH7)-AI7,"")</f>
        <v/>
      </c>
      <c r="AO7" s="12">
        <f>IF(SUM(AM7,AN7)&gt;0,SUM(AM7,AN7),"")</f>
        <v>68.585000000000008</v>
      </c>
      <c r="AP7" s="80">
        <v>16.5</v>
      </c>
      <c r="AQ7" s="80">
        <v>9.1999999999999993</v>
      </c>
      <c r="AR7" s="80">
        <v>4.8</v>
      </c>
      <c r="AS7" s="80">
        <v>16.059999999999999</v>
      </c>
      <c r="AT7" s="80">
        <v>0</v>
      </c>
      <c r="AU7" s="80">
        <v>13.6</v>
      </c>
      <c r="AV7" s="80">
        <v>8.6</v>
      </c>
      <c r="AW7" s="80">
        <v>13.3</v>
      </c>
      <c r="AX7" s="80">
        <v>15.755000000000001</v>
      </c>
      <c r="AY7" s="80">
        <v>0</v>
      </c>
      <c r="AZ7" s="80">
        <v>14.4</v>
      </c>
      <c r="BA7" s="80">
        <v>8.5</v>
      </c>
      <c r="BB7" s="80">
        <v>12.6</v>
      </c>
      <c r="BC7" s="80">
        <v>15.455</v>
      </c>
      <c r="BD7" s="80">
        <v>0</v>
      </c>
      <c r="BE7" s="15">
        <f>IF(SUM(AW7)&gt;0,SUM(AW7),"")</f>
        <v>13.3</v>
      </c>
      <c r="BF7" s="15">
        <f>IF(SUM(AP7:AS7)-AT7&gt;0,SUM(AP7:AS7)-AT7,"")</f>
        <v>46.56</v>
      </c>
      <c r="BG7" s="15">
        <f>IF(SUM(AU7:AX7)-AY7&gt;0,SUM(AU7:AX7)-AY7,"")</f>
        <v>51.255000000000003</v>
      </c>
      <c r="BH7" s="15">
        <f>IF(SUM(BF7:BG7)&gt;0,SUM(BF7:BG7),"")</f>
        <v>97.814999999999998</v>
      </c>
      <c r="BI7" s="15">
        <f>IF(SUM(AZ7:BC7)-BD7&gt;0,SUM(AZ7:BC7)-BD7,"")</f>
        <v>50.954999999999998</v>
      </c>
      <c r="BJ7" s="15">
        <f>IF(SUM(BH7,BI7)&gt;0,SUM(BH7,BI7),"")</f>
        <v>148.76999999999998</v>
      </c>
      <c r="BK7" s="52">
        <v>16.2</v>
      </c>
      <c r="BL7" s="52">
        <v>9.3000000000000007</v>
      </c>
      <c r="BM7" s="52">
        <v>5.4</v>
      </c>
      <c r="BN7" s="52">
        <v>15.994999999999999</v>
      </c>
      <c r="BO7" s="52">
        <v>0</v>
      </c>
      <c r="BP7" s="52">
        <v>13.4</v>
      </c>
      <c r="BQ7" s="52">
        <v>8.65</v>
      </c>
      <c r="BR7" s="52">
        <v>12.7</v>
      </c>
      <c r="BS7" s="52">
        <v>15.33</v>
      </c>
      <c r="BT7" s="52">
        <v>0</v>
      </c>
      <c r="BU7" s="52">
        <v>13.9</v>
      </c>
      <c r="BV7" s="52">
        <v>8.75</v>
      </c>
      <c r="BW7" s="52">
        <v>12.9</v>
      </c>
      <c r="BX7" s="52">
        <v>15.625</v>
      </c>
      <c r="BY7" s="52">
        <v>0</v>
      </c>
      <c r="BZ7" s="12">
        <f>IF(SUM(BR7)&gt;0,SUM(BR7),"")</f>
        <v>12.7</v>
      </c>
      <c r="CA7" s="12">
        <f>IF(SUM(BK7:BN7)-BO7&gt;0,SUM(BK7:BN7)-BO7,"")</f>
        <v>46.894999999999996</v>
      </c>
      <c r="CB7" s="12">
        <f>IF(SUM(BP7:BS7)-BT7&gt;0,SUM(BP7:BS7)-BT7,"")</f>
        <v>50.08</v>
      </c>
      <c r="CC7" s="12">
        <f>IF(SUM(CA7:CB7)&gt;0,SUM(CA7:CB7),"")</f>
        <v>96.974999999999994</v>
      </c>
      <c r="CD7" s="12">
        <f>IF(SUM(BU7:BX7)-BY7&gt;0,SUM(BU7:BX7)-BY7,"")</f>
        <v>51.174999999999997</v>
      </c>
      <c r="CE7" s="12">
        <f>IF(SUM(CC7,CD7)&gt;0,SUM(CC7,CD7),"")</f>
        <v>148.14999999999998</v>
      </c>
      <c r="CF7" s="28" t="str">
        <f>IF(MAX(CY7,DT7,EO7,FJ7,GE7,GZ7,HU7,IP7,JK7,KF7,LA7,LV7)-L7&gt;0.001,MAX(CY7,DT7,EO7,FJ7,GE7,GZ7,HU7,IP7,JK7,KF7,LA7,LV7)-L7,"")</f>
        <v/>
      </c>
      <c r="CG7" s="28" t="str">
        <f>IF(MAX(CZ7,DU7,EP7,FK7,GF7,HA7,HV7,IQ7,JL7,KG7,LB7,LW7)-N7&gt;0.001,MAX(CZ7,DU7,EP7,FK7,GF7,HA7,HV7,IQ7,JL7,KG7,LB7,LW7)-N7,"")</f>
        <v/>
      </c>
      <c r="CH7" s="28" t="str">
        <f>IF(MAX(DB7,DW7,ER7,FM7,GH7,HC7,HX7,IS7,JN7,KI7,LD7,LY7)-P7&gt;0.001,MAX(DB7,DW7,ER7,FM7,GH7,HC7,HX7,IS7,JN7,KI7,LD7,LY7)-P7,"")</f>
        <v/>
      </c>
      <c r="CI7" s="45">
        <v>16.5</v>
      </c>
      <c r="CJ7" s="45">
        <v>9.65</v>
      </c>
      <c r="CK7" s="45">
        <v>0</v>
      </c>
      <c r="CL7" s="45">
        <v>17.045000000000002</v>
      </c>
      <c r="CM7" s="45">
        <v>0</v>
      </c>
      <c r="CN7" s="45">
        <v>12.6</v>
      </c>
      <c r="CO7" s="45">
        <v>9.3000000000000007</v>
      </c>
      <c r="CP7" s="45">
        <v>11.7</v>
      </c>
      <c r="CQ7" s="45">
        <v>15.795</v>
      </c>
      <c r="CR7" s="45">
        <v>0</v>
      </c>
      <c r="CS7" s="45"/>
      <c r="CT7" s="45"/>
      <c r="CU7" s="45"/>
      <c r="CV7" s="45"/>
      <c r="CW7" s="45"/>
      <c r="CX7" s="12">
        <f>IF(SUM(CP7)&gt;0,SUM(CP7),"")</f>
        <v>11.7</v>
      </c>
      <c r="CY7" s="12">
        <f>IF(SUM(CI7:CL7)-CM7&gt;0,SUM(CI7:CL7)-CM7,"")</f>
        <v>43.195</v>
      </c>
      <c r="CZ7" s="12">
        <f>IF(SUM(CN7:CQ7)-CR7&gt;0,SUM(CN7:CQ7)-CR7,"")</f>
        <v>49.394999999999996</v>
      </c>
      <c r="DA7" s="12">
        <f>IF(SUM(CY7:CZ7)&gt;0,SUM(CY7:CZ7),"")</f>
        <v>92.59</v>
      </c>
      <c r="DB7" s="12" t="str">
        <f>IF(SUM(CS7:CV7)-CW7&gt;0,SUM(CS7:CV7)-CW7,"")</f>
        <v/>
      </c>
      <c r="DC7" s="12">
        <f>IF(SUM(DA7,DB7)&gt;0,SUM(DA7,DB7),"")</f>
        <v>92.59</v>
      </c>
      <c r="DD7" s="46">
        <v>17.5</v>
      </c>
      <c r="DE7" s="46">
        <v>0</v>
      </c>
      <c r="DF7" s="46">
        <v>9.1</v>
      </c>
      <c r="DG7" s="46">
        <v>17.074999999999999</v>
      </c>
      <c r="DH7" s="46">
        <v>0</v>
      </c>
      <c r="DI7" s="46">
        <v>11.4</v>
      </c>
      <c r="DJ7" s="46">
        <v>10.8</v>
      </c>
      <c r="DK7" s="46">
        <v>7.35</v>
      </c>
      <c r="DL7" s="46">
        <v>13.09</v>
      </c>
      <c r="DM7" s="46">
        <v>0</v>
      </c>
      <c r="DN7" s="46"/>
      <c r="DO7" s="46"/>
      <c r="DP7" s="46"/>
      <c r="DQ7" s="46"/>
      <c r="DR7" s="46"/>
      <c r="DS7" s="15">
        <f>IF(SUM(DK7)&gt;0,SUM(DK7),"")</f>
        <v>7.35</v>
      </c>
      <c r="DT7" s="15">
        <f>IF(SUM(DD7:DG7)-DH7&gt;0,SUM(DD7:DG7)-DH7,"")</f>
        <v>43.674999999999997</v>
      </c>
      <c r="DU7" s="15">
        <f>IF(SUM(DI7:DL7)-DM7&gt;0,SUM(DI7:DL7)-DM7,"")</f>
        <v>42.64</v>
      </c>
      <c r="DV7" s="15">
        <f>IF(SUM(DT7:DU7)&gt;0,SUM(DT7:DU7),"")</f>
        <v>86.314999999999998</v>
      </c>
      <c r="DW7" s="15" t="str">
        <f>IF(SUM(DN7:DQ7)-DR7&gt;0,SUM(DN7:DQ7)-DR7,"")</f>
        <v/>
      </c>
      <c r="DX7" s="15">
        <f>IF(SUM(DV7,DW7)&gt;0,SUM(DV7,DW7),"")</f>
        <v>86.314999999999998</v>
      </c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45"/>
      <c r="EM7" s="45"/>
      <c r="EN7" s="12" t="str">
        <f>IF(SUM(EF7)&gt;0,SUM(EF7),"")</f>
        <v/>
      </c>
      <c r="EO7" s="12" t="str">
        <f>IF(SUM(DY7:EB7)-EC7&gt;0,SUM(DY7:EB7)-EC7,"")</f>
        <v/>
      </c>
      <c r="EP7" s="12" t="str">
        <f>IF(SUM(ED7:EG7)-EH7&gt;0,SUM(ED7:EG7)-EH7,"")</f>
        <v/>
      </c>
      <c r="EQ7" s="12" t="str">
        <f>IF(SUM(EO7:EP7)&gt;0,SUM(EO7:EP7),"")</f>
        <v/>
      </c>
      <c r="ER7" s="12" t="str">
        <f>IF(SUM(EI7:EL7)-EM7&gt;0,SUM(EI7:EL7)-EM7,"")</f>
        <v/>
      </c>
      <c r="ES7" s="12" t="str">
        <f>IF(SUM(EQ7,ER7)&gt;0,SUM(EQ7,ER7),"")</f>
        <v/>
      </c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15" t="str">
        <f>IF(SUM(FA7)&gt;0,SUM(FA7),"")</f>
        <v/>
      </c>
      <c r="FJ7" s="15" t="str">
        <f>IF(SUM(ET7:EW7)-EX7&gt;0,SUM(ET7:EW7)-EX7,"")</f>
        <v/>
      </c>
      <c r="FK7" s="15" t="str">
        <f>IF(SUM(EY7:FB7)-FC7&gt;0,SUM(EY7:FB7)-FC7,"")</f>
        <v/>
      </c>
      <c r="FL7" s="15" t="str">
        <f>IF(SUM(FJ7:FK7)&gt;0,SUM(FJ7:FK7),"")</f>
        <v/>
      </c>
      <c r="FM7" s="15" t="str">
        <f>IF(SUM(FD7:FG7)-FH7&gt;0,SUM(FD7:FG7)-FH7,"")</f>
        <v/>
      </c>
      <c r="FN7" s="15" t="str">
        <f>IF(SUM(FL7,FM7)&gt;0,SUM(FL7,FM7),"")</f>
        <v/>
      </c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45"/>
      <c r="GC7" s="45"/>
      <c r="GD7" s="12" t="str">
        <f>IF(SUM(FV7)&gt;0,SUM(FV7),"")</f>
        <v/>
      </c>
      <c r="GE7" s="12" t="str">
        <f>IF(SUM(FO7:FR7)-FS7&gt;0,SUM(FO7:FR7)-FS7,"")</f>
        <v/>
      </c>
      <c r="GF7" s="12" t="str">
        <f>IF(SUM(FT7:FW7)-FX7&gt;0,SUM(FT7:FW7)-FX7,"")</f>
        <v/>
      </c>
      <c r="GG7" s="12" t="str">
        <f>IF(SUM(GE7:GF7)&gt;0,SUM(GE7:GF7),"")</f>
        <v/>
      </c>
      <c r="GH7" s="12" t="str">
        <f>IF(SUM(FY7:GB7)-GC7&gt;0,SUM(FY7:GB7)-GC7,"")</f>
        <v/>
      </c>
      <c r="GI7" s="12" t="str">
        <f>IF(SUM(GG7,GH7)&gt;0,SUM(GG7,GH7),"")</f>
        <v/>
      </c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15" t="str">
        <f>IF(SUM(GQ7)&gt;0,SUM(GQ7),"")</f>
        <v/>
      </c>
      <c r="GZ7" s="15" t="str">
        <f>IF(SUM(GJ7:GM7)-GN7&gt;0,SUM(GJ7:GM7)-GN7,"")</f>
        <v/>
      </c>
      <c r="HA7" s="15" t="str">
        <f>IF(SUM(GO7:GR7)-GS7&gt;0,SUM(GO7:GR7)-GS7,"")</f>
        <v/>
      </c>
      <c r="HB7" s="15" t="str">
        <f>IF(SUM(GZ7:HA7)&gt;0,SUM(GZ7:HA7),"")</f>
        <v/>
      </c>
      <c r="HC7" s="15" t="str">
        <f>IF(SUM(GT7:GW7)-GX7&gt;0,SUM(GT7:GW7)-GX7,"")</f>
        <v/>
      </c>
      <c r="HD7" s="15" t="str">
        <f>IF(SUM(HB7,HC7)&gt;0,SUM(HB7,HC7),"")</f>
        <v/>
      </c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45"/>
      <c r="HS7" s="45"/>
      <c r="HT7" s="12" t="str">
        <f>IF(SUM(HL7)&gt;0,SUM(HL7),"")</f>
        <v/>
      </c>
      <c r="HU7" s="12" t="str">
        <f>IF(SUM(HE7:HH7)-HI7&gt;0,SUM(HE7:HH7)-HI7,"")</f>
        <v/>
      </c>
      <c r="HV7" s="12" t="str">
        <f>IF(SUM(HJ7:HM7)-HN7&gt;0,SUM(HJ7:HM7)-HN7,"")</f>
        <v/>
      </c>
      <c r="HW7" s="12" t="str">
        <f>IF(SUM(HU7:HV7)&gt;0,SUM(HU7:HV7),"")</f>
        <v/>
      </c>
      <c r="HX7" s="12" t="str">
        <f>IF(SUM(HO7:HR7)-HS7&gt;0,SUM(HO7:HR7)-HS7,"")</f>
        <v/>
      </c>
      <c r="HY7" s="12" t="str">
        <f>IF(SUM(HW7,HX7)&gt;0,SUM(HW7,HX7),"")</f>
        <v/>
      </c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15" t="str">
        <f>IF(SUM(IG7)&gt;0,SUM(IG7),"")</f>
        <v/>
      </c>
      <c r="IP7" s="15" t="str">
        <f>IF(SUM(HZ7:IC7)-ID7&gt;0,SUM(HZ7:IC7)-ID7,"")</f>
        <v/>
      </c>
      <c r="IQ7" s="15" t="str">
        <f>IF(SUM(IE7:IH7)-II7&gt;0,SUM(IE7:IH7)-II7,"")</f>
        <v/>
      </c>
      <c r="IR7" s="15" t="str">
        <f>IF(SUM(IP7:IQ7)&gt;0,SUM(IP7:IQ7),"")</f>
        <v/>
      </c>
      <c r="IS7" s="15" t="str">
        <f>IF(SUM(IJ7:IM7)-IN7&gt;0,SUM(IJ7:IM7)-IN7,"")</f>
        <v/>
      </c>
      <c r="IT7" s="15" t="str">
        <f>IF(SUM(IR7,IS7)&gt;0,SUM(IR7,IS7),"")</f>
        <v/>
      </c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45"/>
      <c r="JI7" s="45"/>
      <c r="JJ7" s="12" t="str">
        <f>IF(SUM(JB7)&gt;0,SUM(JB7),"")</f>
        <v/>
      </c>
      <c r="JK7" s="12" t="str">
        <f>IF(SUM(IU7:IX7)-IY7&gt;0,SUM(IU7:IX7)-IY7,"")</f>
        <v/>
      </c>
      <c r="JL7" s="12" t="str">
        <f>IF(SUM(IZ7:JC7)-JD7&gt;0,SUM(IZ7:JC7)-JD7,"")</f>
        <v/>
      </c>
      <c r="JM7" s="12" t="str">
        <f>IF(SUM(JK7:JL7)&gt;0,SUM(JK7:JL7),"")</f>
        <v/>
      </c>
      <c r="JN7" s="12" t="str">
        <f>IF(SUM(JE7:JH7)-JI7&gt;0,SUM(JE7:JH7)-JI7,"")</f>
        <v/>
      </c>
      <c r="JO7" s="12" t="str">
        <f>IF(SUM(JM7,JN7)&gt;0,SUM(JM7,JN7),"")</f>
        <v/>
      </c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46"/>
      <c r="KD7" s="46"/>
      <c r="KE7" s="15" t="str">
        <f>IF(SUM(JW7)&gt;0,SUM(JW7),"")</f>
        <v/>
      </c>
      <c r="KF7" s="15" t="str">
        <f>IF(SUM(JP7:JS7)-JT7&gt;0,SUM(JP7:JS7)-JT7,"")</f>
        <v/>
      </c>
      <c r="KG7" s="15" t="str">
        <f>IF(SUM(JU7:JX7)-JY7&gt;0,SUM(JU7:JX7)-JY7,"")</f>
        <v/>
      </c>
      <c r="KH7" s="15" t="str">
        <f>IF(SUM(KF7:KG7)&gt;0,SUM(KF7:KG7),"")</f>
        <v/>
      </c>
      <c r="KI7" s="15" t="str">
        <f>IF(SUM(JZ7:KC7)-KD7&gt;0,SUM(JZ7:KC7)-KD7,"")</f>
        <v/>
      </c>
      <c r="KJ7" s="15" t="str">
        <f>IF(SUM(KH7,KI7)&gt;0,SUM(KH7,KI7),"")</f>
        <v/>
      </c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45"/>
      <c r="KY7" s="45"/>
      <c r="KZ7" s="12" t="str">
        <f>IF(SUM(KR7)&gt;0,SUM(KR7),"")</f>
        <v/>
      </c>
      <c r="LA7" s="12" t="str">
        <f>IF(SUM(KK7:KN7)-KO7&gt;0,SUM(KK7:KN7)-KO7,"")</f>
        <v/>
      </c>
      <c r="LB7" s="12" t="str">
        <f>IF(SUM(KP7:KS7)-KT7&gt;0,SUM(KP7:KS7)-KT7,"")</f>
        <v/>
      </c>
      <c r="LC7" s="12" t="str">
        <f>IF(SUM(LA7:LB7)&gt;0,SUM(LA7:LB7),"")</f>
        <v/>
      </c>
      <c r="LD7" s="12" t="str">
        <f>IF(SUM(KU7:KX7)-KY7&gt;0,SUM(KU7:KX7)-KY7,"")</f>
        <v/>
      </c>
      <c r="LE7" s="12" t="str">
        <f>IF(SUM(LC7,LD7)&gt;0,SUM(LC7,LD7),"")</f>
        <v/>
      </c>
      <c r="LF7" s="46"/>
      <c r="LG7" s="46"/>
      <c r="LH7" s="46"/>
      <c r="LI7" s="46"/>
      <c r="LJ7" s="46"/>
      <c r="LK7" s="46"/>
      <c r="LL7" s="46"/>
      <c r="LM7" s="46"/>
      <c r="LN7" s="46"/>
      <c r="LO7" s="46"/>
      <c r="LP7" s="46"/>
      <c r="LQ7" s="46"/>
      <c r="LR7" s="46"/>
      <c r="LS7" s="46"/>
      <c r="LT7" s="46"/>
      <c r="LU7" s="15" t="str">
        <f>IF(SUM(LM7)&gt;0,SUM(LM7),"")</f>
        <v/>
      </c>
      <c r="LV7" s="15" t="str">
        <f>IF(SUM(LF7:LI7)-LJ7&gt;0,SUM(LF7:LI7)-LJ7,"")</f>
        <v/>
      </c>
      <c r="LW7" s="15" t="str">
        <f>IF(SUM(LK7:LN7)-LO7&gt;0,SUM(LK7:LN7)-LO7,"")</f>
        <v/>
      </c>
      <c r="LX7" s="15" t="str">
        <f>IF(SUM(LV7:LW7)&gt;0,SUM(LV7:LW7),"")</f>
        <v/>
      </c>
      <c r="LY7" s="15" t="str">
        <f>IF(SUM(LP7:LS7)-LT7&gt;0,SUM(LP7:LS7)-LT7,"")</f>
        <v/>
      </c>
      <c r="LZ7" s="15" t="str">
        <f>IF(SUM(LX7,LY7)&gt;0,SUM(LX7,LY7),"")</f>
        <v/>
      </c>
    </row>
    <row r="8" spans="1:338">
      <c r="A8" s="6">
        <f>IF(AND(F8="P",H8="P"),SUMPRODUCT((F$4:F$17="P")*(H$4:H$17="P")*(E$4:E$17&gt;E8))+1,IF(H8="P",SUMPRODUCT((F$4:F$17="")*(H$4:H$17="P")*(E$4:E$17&gt;E8))+1+SUMPRODUCT((F$4:F$17="P")*(H$4:H$17="P")),""))</f>
        <v>5</v>
      </c>
      <c r="B8" s="7" t="s">
        <v>75</v>
      </c>
      <c r="C8" s="8" t="s">
        <v>5</v>
      </c>
      <c r="D8" s="31">
        <v>2001</v>
      </c>
      <c r="E8" s="16">
        <f>SUM(J8:R8)</f>
        <v>250.40000000000003</v>
      </c>
      <c r="F8" s="4" t="str">
        <f>IF(OR(AND($AJ8&gt;=$AK$20,NOT($AJ8="")),AND($BE8&gt;=$BF$20,NOT($BE8="")),AND($BZ8&gt;=$CA$20,NOT($BZ8=""))),"P","")</f>
        <v/>
      </c>
      <c r="G8" s="4" t="str">
        <f>IF(OR(AND($AJ8&gt;=$AK$21,NOT($AJ8="")),AND($BE8&gt;=$BF$21,NOT($BE8="")),AND($BZ8&gt;=$CA$21,NOT($BZ8=""))),"P","")</f>
        <v/>
      </c>
      <c r="H8" s="4" t="str">
        <f>IF(OR(AND($AM8&gt;=$AK$22,NOT($AM8="")),AND($BH8&gt;=$BF$22,NOT($BH8="")),AND($CC8&gt;=$CA$22,NOT($CC8=""))),"P","")</f>
        <v>P</v>
      </c>
      <c r="I8" t="str">
        <f>IF(AND(F8="P",OR(AND($AL8&gt;$AK$25,NOT($AL8="")),AND($AN8&gt;$AK$25,NOT($AN8="")),AND($BG8&gt;$BF$25,NOT($BG8="")),AND($BI8&gt;$BF$25,NOT($BI8="")),AND($CB8&gt;$CA$25,NOT($CB8="")),AND($CD8&gt;$CA$25,NOT($CD8="")))),"Merit",IF(AND(F8="P",OR(AND($AM8&gt;$AK$24,NOT($AM8="")),AND($BH8&gt;$BF$24,NOT($BH8="")),AND($CC8&gt;$CA$24,NOT($CC8="")))),"Funding",IF(AND(F8="P",OR(AND($AM8&gt;$AK$23,NOT($AM8="")),AND($BH8&gt;$BF$23,NOT($BH8="")),AND($CC8&gt;$CA$23,NOT($CC8="")))),"Worlds Team",IF(AND(F8="P",OR(AND($AM8&gt;$AK$22,NOT($AM8="")),AND($BH8&gt;$BF$22,NOT($BH8="")),AND($CC8&gt;$CA$22,NOT($CC8="")))),"National Team",""))))</f>
        <v/>
      </c>
      <c r="J8" s="15">
        <f>MAX(AM8,BH8,CC8)</f>
        <v>100.21000000000001</v>
      </c>
      <c r="K8" s="15" t="str">
        <f>IF(J8=CC8,$BK$1,IF(J8=BH8,$AP$1,IF(J8=AM8,$U$1,"")))</f>
        <v>2017 Canada Cup</v>
      </c>
      <c r="L8" s="15">
        <f>IF($J8=$AM8,MAX(BF8,CA8),IF($J8=$BH8,MAX(AK8,CA8),MAX(AK8,BF8)))</f>
        <v>46.515000000000001</v>
      </c>
      <c r="M8" s="15" t="str">
        <f>IF(L8=CA8,$BK$1,IF(L8=BF8,$AP$1,IF(L8=AK8,$U$1,"")))</f>
        <v>2018 Canada Cup</v>
      </c>
      <c r="N8" s="15">
        <f>IF($J8=$AM8,MAX(BG8,CB8),IF($J8=$BH8,MAX(AL8,CB8),MAX(AL8,BG8)))</f>
        <v>49.23</v>
      </c>
      <c r="O8" s="15" t="str">
        <f>IF(N8=CB8,$BK$1,IF(N8=BG8,$AP$1,IF(N8=AL8,$U$1,"")))</f>
        <v>2017 Nationals</v>
      </c>
      <c r="P8" s="15">
        <f>MAX(AN8,BI8,CD8)</f>
        <v>52.64</v>
      </c>
      <c r="Q8" s="15" t="str">
        <f>IF(P8=CD8,$BK$1,IF(P8=BI8,$AP$1,IF(P8=AN8,$U$1,"")))</f>
        <v>2017 Nationals</v>
      </c>
      <c r="R8" s="15">
        <f>IF(MAX(CF8,CG8,CH8)&gt;0,MAX(CF8,CG8,CH8),"")</f>
        <v>1.8049999999999997</v>
      </c>
      <c r="S8" s="29" t="str">
        <f>IF(R8="","",IF(R8=CF8,"(Vol 1)",IF(R8=CG8,"(Vol 2)",IF(R8=CH8,"(Final)"))))</f>
        <v>(Vol 2)</v>
      </c>
      <c r="T8" s="15" t="str">
        <f>IF(R8="","",IF(R8=CF8,IF(R8+L8=LV8,$LF$1,IF(R8+L8=LA8,$KK$1,IF(R8+L8=KF8,$JP$1,IF(R8+L8=JK8,$IU$1,IF(R8+L8=IP8,$HZ$1,IF(R8+L8=HU8,$HE$1,IF(R8+L8=GZ8,$GJ$1,IF(R8+L8=GE8,$FO$1,IF(R8+L8=FJ8,$ET$1,IF(R8+L8=EO8,$DY$1,IF(R8+L8=DT8,$DD$1,IF(R8+L8=CY8,$CI$1)))))))))))),IF(R8=CG8,IF(R8+N8=LW8,$LF$1,IF(R8+N8=LB8,$KK$1,IF(R8+N8=KG8,$JP$1,IF(R8+N8=JL8,$IU$1,IF(R8+N8=IQ8,$HZ$1,IF(R8+N8=HV8,$HE$1,IF(R8+N8=HA8,$GJ$1,IF(R8+N8=GF8,$FO$1,IF(R8+N8=FK8,$ET$1,IF(R8+N8=EP8,$DY$1,IF(R8+N8=DU8,$DD$1,IF(R8+N8=CZ8,$CI$1)))))))))))),IF(R8=CH8,IF(R8+P8=LY8,$LF$1,IF(R8+P8=LD8,$KK$1,IF(R8+P8=KI8,$JP$1,IF(R8+P8=JN8,$IU$1,IF(R8+P8=IS8,$HZ$1,IF(R8+P8=HX8,$HE$1,IF(R8+P8=HC8,$GJ$1,IF(R8+P8=GH8,$FO$1,IF(R8+P8=FM8,$ET$1,IF(R8+P8=ER8,$DY$1,IF(R8+P8=DW8,$DD$1,IF(R8+P8=DB8,$CI$1))))))))))))))))</f>
        <v>2018 Pacific Rim (Apr)</v>
      </c>
      <c r="U8" s="76">
        <v>17.2</v>
      </c>
      <c r="V8" s="76">
        <v>9.6</v>
      </c>
      <c r="W8" s="76">
        <v>3.8</v>
      </c>
      <c r="X8" s="76">
        <v>16.895</v>
      </c>
      <c r="Y8" s="76">
        <v>0</v>
      </c>
      <c r="Z8" s="76">
        <v>15.5</v>
      </c>
      <c r="AA8" s="76">
        <v>8.9</v>
      </c>
      <c r="AB8" s="76">
        <v>12.1</v>
      </c>
      <c r="AC8" s="76">
        <v>16.215</v>
      </c>
      <c r="AD8" s="76">
        <v>0</v>
      </c>
      <c r="AE8" s="76">
        <v>7</v>
      </c>
      <c r="AF8" s="76">
        <v>4.5</v>
      </c>
      <c r="AG8" s="76">
        <v>6.7</v>
      </c>
      <c r="AH8" s="76">
        <v>8.48</v>
      </c>
      <c r="AI8" s="76">
        <v>0</v>
      </c>
      <c r="AJ8" s="12">
        <f>IF(SUM(AB8)&gt;0,SUM(AB8),"")</f>
        <v>12.1</v>
      </c>
      <c r="AK8" s="12">
        <f>IF(SUM(U8:X8)-Y8&gt;0,SUM(U8:X8)-Y8,"")</f>
        <v>47.494999999999997</v>
      </c>
      <c r="AL8" s="12">
        <f>IF(SUM(Z8:AC8)-AD8&gt;0,SUM(Z8:AC8)-AD8,"")</f>
        <v>52.715000000000003</v>
      </c>
      <c r="AM8" s="12">
        <f>IF(SUM(AK8:AL8)&gt;0,SUM(AK8:AL8),"")</f>
        <v>100.21000000000001</v>
      </c>
      <c r="AN8" s="12">
        <f>IF(SUM(AE8:AH8)-AI8&gt;0,SUM(AE8:AH8)-AI8,"")</f>
        <v>26.68</v>
      </c>
      <c r="AO8" s="12">
        <f>IF(SUM(AM8,AN8)&gt;0,SUM(AM8,AN8),"")</f>
        <v>126.89000000000001</v>
      </c>
      <c r="AP8" s="80">
        <v>16.8</v>
      </c>
      <c r="AQ8" s="80">
        <v>9.1999999999999993</v>
      </c>
      <c r="AR8" s="80">
        <v>3.4</v>
      </c>
      <c r="AS8" s="80">
        <v>16.484999999999999</v>
      </c>
      <c r="AT8" s="80">
        <v>0</v>
      </c>
      <c r="AU8" s="80">
        <v>13</v>
      </c>
      <c r="AV8" s="80">
        <v>8.8000000000000007</v>
      </c>
      <c r="AW8" s="80">
        <v>12</v>
      </c>
      <c r="AX8" s="80">
        <v>15.43</v>
      </c>
      <c r="AY8" s="80">
        <v>0</v>
      </c>
      <c r="AZ8" s="80">
        <v>15.1</v>
      </c>
      <c r="BA8" s="80">
        <v>9.5</v>
      </c>
      <c r="BB8" s="80">
        <v>12.7</v>
      </c>
      <c r="BC8" s="80">
        <v>15.34</v>
      </c>
      <c r="BD8" s="80">
        <v>0</v>
      </c>
      <c r="BE8" s="15">
        <f>IF(SUM(AW8)&gt;0,SUM(AW8),"")</f>
        <v>12</v>
      </c>
      <c r="BF8" s="15">
        <f>IF(SUM(AP8:AS8)-AT8&gt;0,SUM(AP8:AS8)-AT8,"")</f>
        <v>45.884999999999998</v>
      </c>
      <c r="BG8" s="15">
        <f>IF(SUM(AU8:AX8)-AY8&gt;0,SUM(AU8:AX8)-AY8,"")</f>
        <v>49.23</v>
      </c>
      <c r="BH8" s="15">
        <f>IF(SUM(BF8:BG8)&gt;0,SUM(BF8:BG8),"")</f>
        <v>95.114999999999995</v>
      </c>
      <c r="BI8" s="15">
        <f>IF(SUM(AZ8:BC8)-BD8&gt;0,SUM(AZ8:BC8)-BD8,"")</f>
        <v>52.64</v>
      </c>
      <c r="BJ8" s="15">
        <f>IF(SUM(BH8,BI8)&gt;0,SUM(BH8,BI8),"")</f>
        <v>147.755</v>
      </c>
      <c r="BK8" s="76">
        <v>16.899999999999999</v>
      </c>
      <c r="BL8" s="76">
        <v>9.35</v>
      </c>
      <c r="BM8" s="76">
        <v>3.4</v>
      </c>
      <c r="BN8" s="76">
        <v>16.864999999999998</v>
      </c>
      <c r="BO8" s="76">
        <v>0</v>
      </c>
      <c r="BP8" s="76">
        <v>1.6</v>
      </c>
      <c r="BQ8" s="76">
        <v>0.8</v>
      </c>
      <c r="BR8" s="76">
        <v>1.7</v>
      </c>
      <c r="BS8" s="76">
        <v>1.6950000000000001</v>
      </c>
      <c r="BT8" s="76">
        <v>0</v>
      </c>
      <c r="BU8" s="76"/>
      <c r="BV8" s="76"/>
      <c r="BW8" s="76"/>
      <c r="BX8" s="76"/>
      <c r="BY8" s="76"/>
      <c r="BZ8" s="12">
        <f>IF(SUM(BR8)&gt;0,SUM(BR8),"")</f>
        <v>1.7</v>
      </c>
      <c r="CA8" s="12">
        <f>IF(SUM(BK8:BN8)-BO8&gt;0,SUM(BK8:BN8)-BO8,"")</f>
        <v>46.515000000000001</v>
      </c>
      <c r="CB8" s="12">
        <f>IF(SUM(BP8:BS8)-BT8&gt;0,SUM(BP8:BS8)-BT8,"")</f>
        <v>5.7950000000000008</v>
      </c>
      <c r="CC8" s="12">
        <f>IF(SUM(CA8:CB8)&gt;0,SUM(CA8:CB8),"")</f>
        <v>52.31</v>
      </c>
      <c r="CD8" s="12" t="str">
        <f>IF(SUM(BU8:BX8)-BY8&gt;0,SUM(BU8:BX8)-BY8,"")</f>
        <v/>
      </c>
      <c r="CE8" s="12">
        <f>IF(SUM(CC8,CD8)&gt;0,SUM(CC8,CD8),"")</f>
        <v>52.31</v>
      </c>
      <c r="CF8" s="28" t="str">
        <f>IF(MAX(CY8,DT8,EO8,FJ8,GE8,GZ8,HU8,IP8,JK8,KF8,LA8,LV8)-L8&gt;0.001,MAX(CY8,DT8,EO8,FJ8,GE8,GZ8,HU8,IP8,JK8,KF8,LA8,LV8)-L8,"")</f>
        <v/>
      </c>
      <c r="CG8" s="28">
        <f>IF(MAX(CZ8,DU8,EP8,FK8,GF8,HA8,HV8,IQ8,JL8,KG8,LB8,LW8)-N8&gt;0.001,MAX(CZ8,DU8,EP8,FK8,GF8,HA8,HV8,IQ8,JL8,KG8,LB8,LW8)-N8,"")</f>
        <v>1.8049999999999997</v>
      </c>
      <c r="CH8" s="28" t="str">
        <f>IF(MAX(DB8,DW8,ER8,FM8,GH8,HC8,HX8,IS8,JN8,KI8,LD8,LY8)-P8&gt;0.001,MAX(DB8,DW8,ER8,FM8,GH8,HC8,HX8,IS8,JN8,KI8,LD8,LY8)-P8,"")</f>
        <v/>
      </c>
      <c r="CI8" s="45">
        <v>16</v>
      </c>
      <c r="CJ8" s="45">
        <v>9.15</v>
      </c>
      <c r="CK8" s="45">
        <v>0</v>
      </c>
      <c r="CL8" s="45">
        <v>16.765000000000001</v>
      </c>
      <c r="CM8" s="45">
        <v>0</v>
      </c>
      <c r="CN8" s="45">
        <v>12.8</v>
      </c>
      <c r="CO8" s="45">
        <v>9.25</v>
      </c>
      <c r="CP8" s="45">
        <v>12.2</v>
      </c>
      <c r="CQ8" s="45">
        <v>16.329999999999998</v>
      </c>
      <c r="CR8" s="45">
        <v>0</v>
      </c>
      <c r="CS8" s="45"/>
      <c r="CT8" s="45"/>
      <c r="CU8" s="45"/>
      <c r="CV8" s="45"/>
      <c r="CW8" s="45"/>
      <c r="CX8" s="12">
        <f>IF(SUM(CP8)&gt;0,SUM(CP8),"")</f>
        <v>12.2</v>
      </c>
      <c r="CY8" s="12">
        <f>IF(SUM(CI8:CL8)-CM8&gt;0,SUM(CI8:CL8)-CM8,"")</f>
        <v>41.914999999999999</v>
      </c>
      <c r="CZ8" s="12">
        <f>IF(SUM(CN8:CQ8)-CR8&gt;0,SUM(CN8:CQ8)-CR8,"")</f>
        <v>50.58</v>
      </c>
      <c r="DA8" s="12">
        <f>IF(SUM(CY8:CZ8)&gt;0,SUM(CY8:CZ8),"")</f>
        <v>92.495000000000005</v>
      </c>
      <c r="DB8" s="12" t="str">
        <f>IF(SUM(CS8:CV8)-CW8&gt;0,SUM(CS8:CV8)-CW8,"")</f>
        <v/>
      </c>
      <c r="DC8" s="12">
        <f>IF(SUM(DA8,DB8)&gt;0,SUM(DA8,DB8),"")</f>
        <v>92.495000000000005</v>
      </c>
      <c r="DD8" s="46">
        <v>17.2</v>
      </c>
      <c r="DE8" s="46">
        <v>0</v>
      </c>
      <c r="DF8" s="46">
        <v>9.3000000000000007</v>
      </c>
      <c r="DG8" s="46">
        <v>16.670000000000002</v>
      </c>
      <c r="DH8" s="46">
        <v>0</v>
      </c>
      <c r="DI8" s="46">
        <v>13.6</v>
      </c>
      <c r="DJ8" s="46">
        <v>12.8</v>
      </c>
      <c r="DK8" s="46">
        <v>9.5</v>
      </c>
      <c r="DL8" s="46">
        <v>15.135</v>
      </c>
      <c r="DM8" s="46">
        <v>0</v>
      </c>
      <c r="DN8" s="46"/>
      <c r="DO8" s="46"/>
      <c r="DP8" s="46"/>
      <c r="DQ8" s="46"/>
      <c r="DR8" s="46"/>
      <c r="DS8" s="15">
        <f>IF(SUM(DK8)&gt;0,SUM(DK8),"")</f>
        <v>9.5</v>
      </c>
      <c r="DT8" s="15">
        <f>IF(SUM(DD8:DG8)-DH8&gt;0,SUM(DD8:DG8)-DH8,"")</f>
        <v>43.17</v>
      </c>
      <c r="DU8" s="15">
        <f>IF(SUM(DI8:DL8)-DM8&gt;0,SUM(DI8:DL8)-DM8,"")</f>
        <v>51.034999999999997</v>
      </c>
      <c r="DV8" s="15">
        <f>IF(SUM(DT8:DU8)&gt;0,SUM(DT8:DU8),"")</f>
        <v>94.204999999999998</v>
      </c>
      <c r="DW8" s="15" t="str">
        <f>IF(SUM(DN8:DQ8)-DR8&gt;0,SUM(DN8:DQ8)-DR8,"")</f>
        <v/>
      </c>
      <c r="DX8" s="15">
        <f>IF(SUM(DV8,DW8)&gt;0,SUM(DV8,DW8),"")</f>
        <v>94.204999999999998</v>
      </c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45"/>
      <c r="EM8" s="45"/>
      <c r="EN8" s="12" t="str">
        <f>IF(SUM(EF8)&gt;0,SUM(EF8),"")</f>
        <v/>
      </c>
      <c r="EO8" s="12" t="str">
        <f>IF(SUM(DY8:EB8)-EC8&gt;0,SUM(DY8:EB8)-EC8,"")</f>
        <v/>
      </c>
      <c r="EP8" s="12" t="str">
        <f>IF(SUM(ED8:EG8)-EH8&gt;0,SUM(ED8:EG8)-EH8,"")</f>
        <v/>
      </c>
      <c r="EQ8" s="12" t="str">
        <f>IF(SUM(EO8:EP8)&gt;0,SUM(EO8:EP8),"")</f>
        <v/>
      </c>
      <c r="ER8" s="12" t="str">
        <f>IF(SUM(EI8:EL8)-EM8&gt;0,SUM(EI8:EL8)-EM8,"")</f>
        <v/>
      </c>
      <c r="ES8" s="12" t="str">
        <f>IF(SUM(EQ8,ER8)&gt;0,SUM(EQ8,ER8),"")</f>
        <v/>
      </c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15" t="str">
        <f>IF(SUM(FA8)&gt;0,SUM(FA8),"")</f>
        <v/>
      </c>
      <c r="FJ8" s="15" t="str">
        <f>IF(SUM(ET8:EW8)-EX8&gt;0,SUM(ET8:EW8)-EX8,"")</f>
        <v/>
      </c>
      <c r="FK8" s="15" t="str">
        <f>IF(SUM(EY8:FB8)-FC8&gt;0,SUM(EY8:FB8)-FC8,"")</f>
        <v/>
      </c>
      <c r="FL8" s="15" t="str">
        <f>IF(SUM(FJ8:FK8)&gt;0,SUM(FJ8:FK8),"")</f>
        <v/>
      </c>
      <c r="FM8" s="15" t="str">
        <f>IF(SUM(FD8:FG8)-FH8&gt;0,SUM(FD8:FG8)-FH8,"")</f>
        <v/>
      </c>
      <c r="FN8" s="15" t="str">
        <f>IF(SUM(FL8,FM8)&gt;0,SUM(FL8,FM8),"")</f>
        <v/>
      </c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45"/>
      <c r="GC8" s="45"/>
      <c r="GD8" s="12" t="str">
        <f>IF(SUM(FV8)&gt;0,SUM(FV8),"")</f>
        <v/>
      </c>
      <c r="GE8" s="12" t="str">
        <f>IF(SUM(FO8:FR8)-FS8&gt;0,SUM(FO8:FR8)-FS8,"")</f>
        <v/>
      </c>
      <c r="GF8" s="12" t="str">
        <f>IF(SUM(FT8:FW8)-FX8&gt;0,SUM(FT8:FW8)-FX8,"")</f>
        <v/>
      </c>
      <c r="GG8" s="12" t="str">
        <f>IF(SUM(GE8:GF8)&gt;0,SUM(GE8:GF8),"")</f>
        <v/>
      </c>
      <c r="GH8" s="12" t="str">
        <f>IF(SUM(FY8:GB8)-GC8&gt;0,SUM(FY8:GB8)-GC8,"")</f>
        <v/>
      </c>
      <c r="GI8" s="12" t="str">
        <f>IF(SUM(GG8,GH8)&gt;0,SUM(GG8,GH8),"")</f>
        <v/>
      </c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15" t="str">
        <f>IF(SUM(GQ8)&gt;0,SUM(GQ8),"")</f>
        <v/>
      </c>
      <c r="GZ8" s="15" t="str">
        <f>IF(SUM(GJ8:GM8)-GN8&gt;0,SUM(GJ8:GM8)-GN8,"")</f>
        <v/>
      </c>
      <c r="HA8" s="15" t="str">
        <f>IF(SUM(GO8:GR8)-GS8&gt;0,SUM(GO8:GR8)-GS8,"")</f>
        <v/>
      </c>
      <c r="HB8" s="15" t="str">
        <f>IF(SUM(GZ8:HA8)&gt;0,SUM(GZ8:HA8),"")</f>
        <v/>
      </c>
      <c r="HC8" s="15" t="str">
        <f>IF(SUM(GT8:GW8)-GX8&gt;0,SUM(GT8:GW8)-GX8,"")</f>
        <v/>
      </c>
      <c r="HD8" s="15" t="str">
        <f>IF(SUM(HB8,HC8)&gt;0,SUM(HB8,HC8),"")</f>
        <v/>
      </c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45"/>
      <c r="HS8" s="45"/>
      <c r="HT8" s="12" t="str">
        <f>IF(SUM(HL8)&gt;0,SUM(HL8),"")</f>
        <v/>
      </c>
      <c r="HU8" s="12" t="str">
        <f>IF(SUM(HE8:HH8)-HI8&gt;0,SUM(HE8:HH8)-HI8,"")</f>
        <v/>
      </c>
      <c r="HV8" s="12" t="str">
        <f>IF(SUM(HJ8:HM8)-HN8&gt;0,SUM(HJ8:HM8)-HN8,"")</f>
        <v/>
      </c>
      <c r="HW8" s="12" t="str">
        <f>IF(SUM(HU8:HV8)&gt;0,SUM(HU8:HV8),"")</f>
        <v/>
      </c>
      <c r="HX8" s="12" t="str">
        <f>IF(SUM(HO8:HR8)-HS8&gt;0,SUM(HO8:HR8)-HS8,"")</f>
        <v/>
      </c>
      <c r="HY8" s="12" t="str">
        <f>IF(SUM(HW8,HX8)&gt;0,SUM(HW8,HX8),"")</f>
        <v/>
      </c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15" t="str">
        <f>IF(SUM(IG8)&gt;0,SUM(IG8),"")</f>
        <v/>
      </c>
      <c r="IP8" s="15" t="str">
        <f>IF(SUM(HZ8:IC8)-ID8&gt;0,SUM(HZ8:IC8)-ID8,"")</f>
        <v/>
      </c>
      <c r="IQ8" s="15" t="str">
        <f>IF(SUM(IE8:IH8)-II8&gt;0,SUM(IE8:IH8)-II8,"")</f>
        <v/>
      </c>
      <c r="IR8" s="15" t="str">
        <f>IF(SUM(IP8:IQ8)&gt;0,SUM(IP8:IQ8),"")</f>
        <v/>
      </c>
      <c r="IS8" s="15" t="str">
        <f>IF(SUM(IJ8:IM8)-IN8&gt;0,SUM(IJ8:IM8)-IN8,"")</f>
        <v/>
      </c>
      <c r="IT8" s="15" t="str">
        <f>IF(SUM(IR8,IS8)&gt;0,SUM(IR8,IS8),"")</f>
        <v/>
      </c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45"/>
      <c r="JI8" s="45"/>
      <c r="JJ8" s="12" t="str">
        <f>IF(SUM(JB8)&gt;0,SUM(JB8),"")</f>
        <v/>
      </c>
      <c r="JK8" s="12" t="str">
        <f>IF(SUM(IU8:IX8)-IY8&gt;0,SUM(IU8:IX8)-IY8,"")</f>
        <v/>
      </c>
      <c r="JL8" s="12" t="str">
        <f>IF(SUM(IZ8:JC8)-JD8&gt;0,SUM(IZ8:JC8)-JD8,"")</f>
        <v/>
      </c>
      <c r="JM8" s="12" t="str">
        <f>IF(SUM(JK8:JL8)&gt;0,SUM(JK8:JL8),"")</f>
        <v/>
      </c>
      <c r="JN8" s="12" t="str">
        <f>IF(SUM(JE8:JH8)-JI8&gt;0,SUM(JE8:JH8)-JI8,"")</f>
        <v/>
      </c>
      <c r="JO8" s="12" t="str">
        <f>IF(SUM(JM8,JN8)&gt;0,SUM(JM8,JN8),"")</f>
        <v/>
      </c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46"/>
      <c r="KD8" s="46"/>
      <c r="KE8" s="15" t="str">
        <f>IF(SUM(JW8)&gt;0,SUM(JW8),"")</f>
        <v/>
      </c>
      <c r="KF8" s="15" t="str">
        <f>IF(SUM(JP8:JS8)-JT8&gt;0,SUM(JP8:JS8)-JT8,"")</f>
        <v/>
      </c>
      <c r="KG8" s="15" t="str">
        <f>IF(SUM(JU8:JX8)-JY8&gt;0,SUM(JU8:JX8)-JY8,"")</f>
        <v/>
      </c>
      <c r="KH8" s="15" t="str">
        <f>IF(SUM(KF8:KG8)&gt;0,SUM(KF8:KG8),"")</f>
        <v/>
      </c>
      <c r="KI8" s="15" t="str">
        <f>IF(SUM(JZ8:KC8)-KD8&gt;0,SUM(JZ8:KC8)-KD8,"")</f>
        <v/>
      </c>
      <c r="KJ8" s="15" t="str">
        <f>IF(SUM(KH8,KI8)&gt;0,SUM(KH8,KI8),"")</f>
        <v/>
      </c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45"/>
      <c r="KY8" s="45"/>
      <c r="KZ8" s="12" t="str">
        <f>IF(SUM(KR8)&gt;0,SUM(KR8),"")</f>
        <v/>
      </c>
      <c r="LA8" s="12" t="str">
        <f>IF(SUM(KK8:KN8)-KO8&gt;0,SUM(KK8:KN8)-KO8,"")</f>
        <v/>
      </c>
      <c r="LB8" s="12" t="str">
        <f>IF(SUM(KP8:KS8)-KT8&gt;0,SUM(KP8:KS8)-KT8,"")</f>
        <v/>
      </c>
      <c r="LC8" s="12" t="str">
        <f>IF(SUM(LA8:LB8)&gt;0,SUM(LA8:LB8),"")</f>
        <v/>
      </c>
      <c r="LD8" s="12" t="str">
        <f>IF(SUM(KU8:KX8)-KY8&gt;0,SUM(KU8:KX8)-KY8,"")</f>
        <v/>
      </c>
      <c r="LE8" s="12" t="str">
        <f>IF(SUM(LC8,LD8)&gt;0,SUM(LC8,LD8),"")</f>
        <v/>
      </c>
      <c r="LF8" s="46"/>
      <c r="LG8" s="46"/>
      <c r="LH8" s="46"/>
      <c r="LI8" s="46"/>
      <c r="LJ8" s="46"/>
      <c r="LK8" s="46"/>
      <c r="LL8" s="46"/>
      <c r="LM8" s="46"/>
      <c r="LN8" s="46"/>
      <c r="LO8" s="46"/>
      <c r="LP8" s="46"/>
      <c r="LQ8" s="46"/>
      <c r="LR8" s="46"/>
      <c r="LS8" s="46"/>
      <c r="LT8" s="46"/>
      <c r="LU8" s="15" t="str">
        <f>IF(SUM(LM8)&gt;0,SUM(LM8),"")</f>
        <v/>
      </c>
      <c r="LV8" s="15" t="str">
        <f>IF(SUM(LF8:LI8)-LJ8&gt;0,SUM(LF8:LI8)-LJ8,"")</f>
        <v/>
      </c>
      <c r="LW8" s="15" t="str">
        <f>IF(SUM(LK8:LN8)-LO8&gt;0,SUM(LK8:LN8)-LO8,"")</f>
        <v/>
      </c>
      <c r="LX8" s="15" t="str">
        <f>IF(SUM(LV8:LW8)&gt;0,SUM(LV8:LW8),"")</f>
        <v/>
      </c>
      <c r="LY8" s="15" t="str">
        <f>IF(SUM(LP8:LS8)-LT8&gt;0,SUM(LP8:LS8)-LT8,"")</f>
        <v/>
      </c>
      <c r="LZ8" s="15" t="str">
        <f>IF(SUM(LX8,LY8)&gt;0,SUM(LX8,LY8),"")</f>
        <v/>
      </c>
    </row>
    <row r="9" spans="1:338">
      <c r="A9" s="6">
        <f>IF(AND(F9="P",H9="P"),SUMPRODUCT((F$4:F$17="P")*(H$4:H$17="P")*(E$4:E$17&gt;E9))+1,IF(H9="P",SUMPRODUCT((F$4:F$17="")*(H$4:H$17="P")*(E$4:E$17&gt;E9))+1+SUMPRODUCT((F$4:F$17="P")*(H$4:H$17="P")),""))</f>
        <v>6</v>
      </c>
      <c r="B9" s="9" t="s">
        <v>80</v>
      </c>
      <c r="C9" s="5" t="s">
        <v>4</v>
      </c>
      <c r="D9" s="8">
        <v>2002</v>
      </c>
      <c r="E9" s="16">
        <f>SUM(J9:R9)</f>
        <v>245.35500000000002</v>
      </c>
      <c r="F9" s="4" t="str">
        <f>IF(OR(AND($AJ9&gt;=$AK$20,NOT($AJ9="")),AND($BE9&gt;=$BF$20,NOT($BE9="")),AND($BZ9&gt;=$CA$20,NOT($BZ9=""))),"P","")</f>
        <v/>
      </c>
      <c r="G9" s="4" t="str">
        <f>IF(OR(AND($AJ9&gt;=$AK$21,NOT($AJ9="")),AND($BE9&gt;=$BF$21,NOT($BE9="")),AND($BZ9&gt;=$CA$21,NOT($BZ9=""))),"P","")</f>
        <v/>
      </c>
      <c r="H9" s="4" t="str">
        <f>IF(OR(AND($AM9&gt;=$AK$22,NOT($AM9="")),AND($BH9&gt;=$BF$22,NOT($BH9="")),AND($CC9&gt;=$CA$22,NOT($CC9=""))),"P","")</f>
        <v>P</v>
      </c>
      <c r="I9" t="str">
        <f>IF(AND(F9="P",OR(AND($AL9&gt;$AK$25,NOT($AL9="")),AND($AN9&gt;$AK$25,NOT($AN9="")),AND($BG9&gt;$BF$25,NOT($BG9="")),AND($BI9&gt;$BF$25,NOT($BI9="")),AND($CB9&gt;$CA$25,NOT($CB9="")),AND($CD9&gt;$CA$25,NOT($CD9="")))),"Merit",IF(AND(F9="P",OR(AND($AM9&gt;$AK$24,NOT($AM9="")),AND($BH9&gt;$BF$24,NOT($BH9="")),AND($CC9&gt;$CA$24,NOT($CC9="")))),"Funding",IF(AND(F9="P",OR(AND($AM9&gt;$AK$23,NOT($AM9="")),AND($BH9&gt;$BF$23,NOT($BH9="")),AND($CC9&gt;$CA$23,NOT($CC9="")))),"Worlds Team",IF(AND(F9="P",OR(AND($AM9&gt;$AK$22,NOT($AM9="")),AND($BH9&gt;$BF$22,NOT($BH9="")),AND($CC9&gt;$CA$22,NOT($CC9="")))),"National Team",""))))</f>
        <v/>
      </c>
      <c r="J9" s="15">
        <f>MAX(AM9,BH9,CC9)</f>
        <v>98.3</v>
      </c>
      <c r="K9" s="15" t="str">
        <f>IF(J9=CC9,$BK$1,IF(J9=BH9,$AP$1,IF(J9=AM9,$U$1,"")))</f>
        <v>2017 Canada Cup</v>
      </c>
      <c r="L9" s="15">
        <f>IF($J9=$AM9,MAX(BF9,CA9),IF($J9=$BH9,MAX(AK9,CA9),MAX(AK9,BF9)))</f>
        <v>42.99</v>
      </c>
      <c r="M9" s="15" t="str">
        <f>IF(L9=CA9,$BK$1,IF(L9=BF9,$AP$1,IF(L9=AK9,$U$1,"")))</f>
        <v>2017 Nationals</v>
      </c>
      <c r="N9" s="15">
        <f>IF($J9=$AM9,MAX(BG9,CB9),IF($J9=$BH9,MAX(AL9,CB9),MAX(AL9,BG9)))</f>
        <v>50.555</v>
      </c>
      <c r="O9" s="15" t="str">
        <f>IF(N9=CB9,$BK$1,IF(N9=BG9,$AP$1,IF(N9=AL9,$U$1,"")))</f>
        <v>2018 Canada Cup</v>
      </c>
      <c r="P9" s="15">
        <f>MAX(AN9,BI9,CD9)</f>
        <v>53.510000000000005</v>
      </c>
      <c r="Q9" s="15" t="str">
        <f>IF(P9=CD9,$BK$1,IF(P9=BI9,$AP$1,IF(P9=AN9,$U$1,"")))</f>
        <v>2018 Canada Cup</v>
      </c>
      <c r="R9" s="15" t="str">
        <f>IF(MAX(CF9,CG9,CH9)&gt;0,MAX(CF9,CG9,CH9),"")</f>
        <v/>
      </c>
      <c r="S9" s="29" t="str">
        <f>IF(R9="","",IF(R9=CF9,"(Vol 1)",IF(R9=CG9,"(Vol 2)",IF(R9=CH9,"(Final)"))))</f>
        <v/>
      </c>
      <c r="T9" s="15" t="str">
        <f>IF(R9="","",IF(R9=CF9,IF(R9+L9=LV9,$LF$1,IF(R9+L9=LA9,$KK$1,IF(R9+L9=KF9,$JP$1,IF(R9+L9=JK9,$IU$1,IF(R9+L9=IP9,$HZ$1,IF(R9+L9=HU9,$HE$1,IF(R9+L9=GZ9,$GJ$1,IF(R9+L9=GE9,$FO$1,IF(R9+L9=FJ9,$ET$1,IF(R9+L9=EO9,$DY$1,IF(R9+L9=DT9,$DD$1,IF(R9+L9=CY9,$CI$1)))))))))))),IF(R9=CG9,IF(R9+N9=LW9,$LF$1,IF(R9+N9=LB9,$KK$1,IF(R9+N9=KG9,$JP$1,IF(R9+N9=JL9,$IU$1,IF(R9+N9=IQ9,$HZ$1,IF(R9+N9=HV9,$HE$1,IF(R9+N9=HA9,$GJ$1,IF(R9+N9=GF9,$FO$1,IF(R9+N9=FK9,$ET$1,IF(R9+N9=EP9,$DY$1,IF(R9+N9=DU9,$DD$1,IF(R9+N9=CZ9,$CI$1)))))))))))),IF(R9=CH9,IF(R9+P9=LY9,$LF$1,IF(R9+P9=LD9,$KK$1,IF(R9+P9=KI9,$JP$1,IF(R9+P9=JN9,$IU$1,IF(R9+P9=IS9,$HZ$1,IF(R9+P9=HX9,$HE$1,IF(R9+P9=HC9,$GJ$1,IF(R9+P9=GH9,$FO$1,IF(R9+P9=FM9,$ET$1,IF(R9+P9=ER9,$DY$1,IF(R9+P9=DW9,$DD$1,IF(R9+P9=DB9,$CI$1))))))))))))))))</f>
        <v/>
      </c>
      <c r="U9" s="76">
        <v>17.2</v>
      </c>
      <c r="V9" s="76">
        <v>9.3000000000000007</v>
      </c>
      <c r="W9" s="76">
        <v>4.3</v>
      </c>
      <c r="X9" s="76">
        <v>15.654999999999999</v>
      </c>
      <c r="Y9" s="76">
        <v>0</v>
      </c>
      <c r="Z9" s="76">
        <v>16</v>
      </c>
      <c r="AA9" s="76">
        <v>9.3000000000000007</v>
      </c>
      <c r="AB9" s="76">
        <v>11.2</v>
      </c>
      <c r="AC9" s="76">
        <v>15.345000000000001</v>
      </c>
      <c r="AD9" s="76">
        <v>0</v>
      </c>
      <c r="AE9" s="76">
        <v>13.5</v>
      </c>
      <c r="AF9" s="76">
        <v>7.9</v>
      </c>
      <c r="AG9" s="76">
        <v>9.8000000000000007</v>
      </c>
      <c r="AH9" s="76">
        <v>13.695</v>
      </c>
      <c r="AI9" s="76">
        <v>0</v>
      </c>
      <c r="AJ9" s="12">
        <f>IF(SUM(AB9)&gt;0,SUM(AB9),"")</f>
        <v>11.2</v>
      </c>
      <c r="AK9" s="12">
        <f>IF(SUM(U9:X9)-Y9&gt;0,SUM(U9:X9)-Y9,"")</f>
        <v>46.454999999999998</v>
      </c>
      <c r="AL9" s="12">
        <f>IF(SUM(Z9:AC9)-AD9&gt;0,SUM(Z9:AC9)-AD9,"")</f>
        <v>51.844999999999999</v>
      </c>
      <c r="AM9" s="12">
        <f>IF(SUM(AK9:AL9)&gt;0,SUM(AK9:AL9),"")</f>
        <v>98.3</v>
      </c>
      <c r="AN9" s="12">
        <f>IF(SUM(AE9:AH9)-AI9&gt;0,SUM(AE9:AH9)-AI9,"")</f>
        <v>44.894999999999996</v>
      </c>
      <c r="AO9" s="12">
        <f>IF(SUM(AM9,AN9)&gt;0,SUM(AM9,AN9),"")</f>
        <v>143.19499999999999</v>
      </c>
      <c r="AP9" s="80">
        <v>16</v>
      </c>
      <c r="AQ9" s="80">
        <v>8.8000000000000007</v>
      </c>
      <c r="AR9" s="80">
        <v>3.6</v>
      </c>
      <c r="AS9" s="80">
        <v>14.59</v>
      </c>
      <c r="AT9" s="80">
        <v>0</v>
      </c>
      <c r="AU9" s="80">
        <v>13.5</v>
      </c>
      <c r="AV9" s="80">
        <v>9</v>
      </c>
      <c r="AW9" s="80">
        <v>10.5</v>
      </c>
      <c r="AX9" s="80">
        <v>14.54</v>
      </c>
      <c r="AY9" s="80">
        <v>0</v>
      </c>
      <c r="AZ9" s="80">
        <v>15.2</v>
      </c>
      <c r="BA9" s="80">
        <v>9.4</v>
      </c>
      <c r="BB9" s="80">
        <v>10.9</v>
      </c>
      <c r="BC9" s="80">
        <v>14.845000000000001</v>
      </c>
      <c r="BD9" s="80">
        <v>0</v>
      </c>
      <c r="BE9" s="15">
        <f>IF(SUM(AW9)&gt;0,SUM(AW9),"")</f>
        <v>10.5</v>
      </c>
      <c r="BF9" s="15">
        <f>IF(SUM(AP9:AS9)-AT9&gt;0,SUM(AP9:AS9)-AT9,"")</f>
        <v>42.99</v>
      </c>
      <c r="BG9" s="15">
        <f>IF(SUM(AU9:AX9)-AY9&gt;0,SUM(AU9:AX9)-AY9,"")</f>
        <v>47.54</v>
      </c>
      <c r="BH9" s="15">
        <f>IF(SUM(BF9:BG9)&gt;0,SUM(BF9:BG9),"")</f>
        <v>90.53</v>
      </c>
      <c r="BI9" s="15">
        <f>IF(SUM(AZ9:BC9)-BD9&gt;0,SUM(AZ9:BC9)-BD9,"")</f>
        <v>50.344999999999999</v>
      </c>
      <c r="BJ9" s="15">
        <f>IF(SUM(BH9,BI9)&gt;0,SUM(BH9,BI9),"")</f>
        <v>140.875</v>
      </c>
      <c r="BK9" s="76">
        <v>8.1</v>
      </c>
      <c r="BL9" s="76">
        <v>4.5999999999999996</v>
      </c>
      <c r="BM9" s="76">
        <v>2.2999999999999998</v>
      </c>
      <c r="BN9" s="76">
        <v>8.3149999999999995</v>
      </c>
      <c r="BO9" s="76">
        <v>0</v>
      </c>
      <c r="BP9" s="76">
        <v>13.4</v>
      </c>
      <c r="BQ9" s="76">
        <v>8.6999999999999993</v>
      </c>
      <c r="BR9" s="76">
        <v>12.9</v>
      </c>
      <c r="BS9" s="76">
        <v>15.555</v>
      </c>
      <c r="BT9" s="76">
        <v>0</v>
      </c>
      <c r="BU9" s="76">
        <v>16</v>
      </c>
      <c r="BV9" s="76">
        <v>8.8000000000000007</v>
      </c>
      <c r="BW9" s="76">
        <v>12.7</v>
      </c>
      <c r="BX9" s="76">
        <v>16.010000000000002</v>
      </c>
      <c r="BY9" s="76">
        <v>0</v>
      </c>
      <c r="BZ9" s="12">
        <f>IF(SUM(BR9)&gt;0,SUM(BR9),"")</f>
        <v>12.9</v>
      </c>
      <c r="CA9" s="12">
        <f>IF(SUM(BK9:BN9)-BO9&gt;0,SUM(BK9:BN9)-BO9,"")</f>
        <v>23.314999999999998</v>
      </c>
      <c r="CB9" s="12">
        <f>IF(SUM(BP9:BS9)-BT9&gt;0,SUM(BP9:BS9)-BT9,"")</f>
        <v>50.555</v>
      </c>
      <c r="CC9" s="12">
        <f>IF(SUM(CA9:CB9)&gt;0,SUM(CA9:CB9),"")</f>
        <v>73.87</v>
      </c>
      <c r="CD9" s="12">
        <f>IF(SUM(BU9:BX9)-BY9&gt;0,SUM(BU9:BX9)-BY9,"")</f>
        <v>53.510000000000005</v>
      </c>
      <c r="CE9" s="12">
        <f>IF(SUM(CC9,CD9)&gt;0,SUM(CC9,CD9),"")</f>
        <v>127.38000000000001</v>
      </c>
      <c r="CF9" s="28" t="str">
        <f>IF(MAX(CY9,DT9,EO9,FJ9,GE9,GZ9,HU9,IP9,JK9,KF9,LA9,LV9)-L9&gt;0.001,MAX(CY9,DT9,EO9,FJ9,GE9,GZ9,HU9,IP9,JK9,KF9,LA9,LV9)-L9,"")</f>
        <v/>
      </c>
      <c r="CG9" s="28" t="str">
        <f>IF(MAX(CZ9,DU9,EP9,FK9,GF9,HA9,HV9,IQ9,JL9,KG9,LB9,LW9)-N9&gt;0.001,MAX(CZ9,DU9,EP9,FK9,GF9,HA9,HV9,IQ9,JL9,KG9,LB9,LW9)-N9,"")</f>
        <v/>
      </c>
      <c r="CH9" s="28" t="str">
        <f>IF(MAX(DB9,DW9,ER9,FM9,GH9,HC9,HX9,IS9,JN9,KI9,LD9,LY9)-P9&gt;0.001,MAX(DB9,DW9,ER9,FM9,GH9,HC9,HX9,IS9,JN9,KI9,LD9,LY9)-P9,"")</f>
        <v/>
      </c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12" t="str">
        <f>IF(SUM(CP9)&gt;0,SUM(CP9),"")</f>
        <v/>
      </c>
      <c r="CY9" s="12" t="str">
        <f>IF(SUM(CI9:CL9)-CM9&gt;0,SUM(CI9:CL9)-CM9,"")</f>
        <v/>
      </c>
      <c r="CZ9" s="12" t="str">
        <f>IF(SUM(CN9:CQ9)-CR9&gt;0,SUM(CN9:CQ9)-CR9,"")</f>
        <v/>
      </c>
      <c r="DA9" s="12" t="str">
        <f>IF(SUM(CY9:CZ9)&gt;0,SUM(CY9:CZ9),"")</f>
        <v/>
      </c>
      <c r="DB9" s="12" t="str">
        <f>IF(SUM(CS9:CV9)-CW9&gt;0,SUM(CS9:CV9)-CW9,"")</f>
        <v/>
      </c>
      <c r="DC9" s="12" t="str">
        <f>IF(SUM(DA9,DB9)&gt;0,SUM(DA9,DB9),"")</f>
        <v/>
      </c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15" t="str">
        <f>IF(SUM(DK9)&gt;0,SUM(DK9),"")</f>
        <v/>
      </c>
      <c r="DT9" s="15" t="str">
        <f>IF(SUM(DD9:DG9)-DH9&gt;0,SUM(DD9:DG9)-DH9,"")</f>
        <v/>
      </c>
      <c r="DU9" s="15" t="str">
        <f>IF(SUM(DI9:DL9)-DM9&gt;0,SUM(DI9:DL9)-DM9,"")</f>
        <v/>
      </c>
      <c r="DV9" s="15" t="str">
        <f>IF(SUM(DT9:DU9)&gt;0,SUM(DT9:DU9),"")</f>
        <v/>
      </c>
      <c r="DW9" s="15" t="str">
        <f>IF(SUM(DN9:DQ9)-DR9&gt;0,SUM(DN9:DQ9)-DR9,"")</f>
        <v/>
      </c>
      <c r="DX9" s="15" t="str">
        <f>IF(SUM(DV9,DW9)&gt;0,SUM(DV9,DW9),"")</f>
        <v/>
      </c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45"/>
      <c r="EM9" s="45"/>
      <c r="EN9" s="12" t="str">
        <f>IF(SUM(EF9)&gt;0,SUM(EF9),"")</f>
        <v/>
      </c>
      <c r="EO9" s="12" t="str">
        <f>IF(SUM(DY9:EB9)-EC9&gt;0,SUM(DY9:EB9)-EC9,"")</f>
        <v/>
      </c>
      <c r="EP9" s="12" t="str">
        <f>IF(SUM(ED9:EG9)-EH9&gt;0,SUM(ED9:EG9)-EH9,"")</f>
        <v/>
      </c>
      <c r="EQ9" s="12" t="str">
        <f>IF(SUM(EO9:EP9)&gt;0,SUM(EO9:EP9),"")</f>
        <v/>
      </c>
      <c r="ER9" s="12" t="str">
        <f>IF(SUM(EI9:EL9)-EM9&gt;0,SUM(EI9:EL9)-EM9,"")</f>
        <v/>
      </c>
      <c r="ES9" s="12" t="str">
        <f>IF(SUM(EQ9,ER9)&gt;0,SUM(EQ9,ER9),"")</f>
        <v/>
      </c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15" t="str">
        <f>IF(SUM(FA9)&gt;0,SUM(FA9),"")</f>
        <v/>
      </c>
      <c r="FJ9" s="15" t="str">
        <f>IF(SUM(ET9:EW9)-EX9&gt;0,SUM(ET9:EW9)-EX9,"")</f>
        <v/>
      </c>
      <c r="FK9" s="15" t="str">
        <f>IF(SUM(EY9:FB9)-FC9&gt;0,SUM(EY9:FB9)-FC9,"")</f>
        <v/>
      </c>
      <c r="FL9" s="15" t="str">
        <f>IF(SUM(FJ9:FK9)&gt;0,SUM(FJ9:FK9),"")</f>
        <v/>
      </c>
      <c r="FM9" s="15" t="str">
        <f>IF(SUM(FD9:FG9)-FH9&gt;0,SUM(FD9:FG9)-FH9,"")</f>
        <v/>
      </c>
      <c r="FN9" s="15" t="str">
        <f>IF(SUM(FL9,FM9)&gt;0,SUM(FL9,FM9),"")</f>
        <v/>
      </c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45"/>
      <c r="GC9" s="45"/>
      <c r="GD9" s="12" t="str">
        <f>IF(SUM(FV9)&gt;0,SUM(FV9),"")</f>
        <v/>
      </c>
      <c r="GE9" s="12" t="str">
        <f>IF(SUM(FO9:FR9)-FS9&gt;0,SUM(FO9:FR9)-FS9,"")</f>
        <v/>
      </c>
      <c r="GF9" s="12" t="str">
        <f>IF(SUM(FT9:FW9)-FX9&gt;0,SUM(FT9:FW9)-FX9,"")</f>
        <v/>
      </c>
      <c r="GG9" s="12" t="str">
        <f>IF(SUM(GE9:GF9)&gt;0,SUM(GE9:GF9),"")</f>
        <v/>
      </c>
      <c r="GH9" s="12" t="str">
        <f>IF(SUM(FY9:GB9)-GC9&gt;0,SUM(FY9:GB9)-GC9,"")</f>
        <v/>
      </c>
      <c r="GI9" s="12" t="str">
        <f>IF(SUM(GG9,GH9)&gt;0,SUM(GG9,GH9),"")</f>
        <v/>
      </c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15" t="str">
        <f>IF(SUM(GQ9)&gt;0,SUM(GQ9),"")</f>
        <v/>
      </c>
      <c r="GZ9" s="15" t="str">
        <f>IF(SUM(GJ9:GM9)-GN9&gt;0,SUM(GJ9:GM9)-GN9,"")</f>
        <v/>
      </c>
      <c r="HA9" s="15" t="str">
        <f>IF(SUM(GO9:GR9)-GS9&gt;0,SUM(GO9:GR9)-GS9,"")</f>
        <v/>
      </c>
      <c r="HB9" s="15" t="str">
        <f>IF(SUM(GZ9:HA9)&gt;0,SUM(GZ9:HA9),"")</f>
        <v/>
      </c>
      <c r="HC9" s="15" t="str">
        <f>IF(SUM(GT9:GW9)-GX9&gt;0,SUM(GT9:GW9)-GX9,"")</f>
        <v/>
      </c>
      <c r="HD9" s="15" t="str">
        <f>IF(SUM(HB9,HC9)&gt;0,SUM(HB9,HC9),"")</f>
        <v/>
      </c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45"/>
      <c r="HS9" s="45"/>
      <c r="HT9" s="12" t="str">
        <f>IF(SUM(HL9)&gt;0,SUM(HL9),"")</f>
        <v/>
      </c>
      <c r="HU9" s="12" t="str">
        <f>IF(SUM(HE9:HH9)-HI9&gt;0,SUM(HE9:HH9)-HI9,"")</f>
        <v/>
      </c>
      <c r="HV9" s="12" t="str">
        <f>IF(SUM(HJ9:HM9)-HN9&gt;0,SUM(HJ9:HM9)-HN9,"")</f>
        <v/>
      </c>
      <c r="HW9" s="12" t="str">
        <f>IF(SUM(HU9:HV9)&gt;0,SUM(HU9:HV9),"")</f>
        <v/>
      </c>
      <c r="HX9" s="12" t="str">
        <f>IF(SUM(HO9:HR9)-HS9&gt;0,SUM(HO9:HR9)-HS9,"")</f>
        <v/>
      </c>
      <c r="HY9" s="12" t="str">
        <f>IF(SUM(HW9,HX9)&gt;0,SUM(HW9,HX9),"")</f>
        <v/>
      </c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15" t="str">
        <f>IF(SUM(IG9)&gt;0,SUM(IG9),"")</f>
        <v/>
      </c>
      <c r="IP9" s="15" t="str">
        <f>IF(SUM(HZ9:IC9)-ID9&gt;0,SUM(HZ9:IC9)-ID9,"")</f>
        <v/>
      </c>
      <c r="IQ9" s="15" t="str">
        <f>IF(SUM(IE9:IH9)-II9&gt;0,SUM(IE9:IH9)-II9,"")</f>
        <v/>
      </c>
      <c r="IR9" s="15" t="str">
        <f>IF(SUM(IP9:IQ9)&gt;0,SUM(IP9:IQ9),"")</f>
        <v/>
      </c>
      <c r="IS9" s="15" t="str">
        <f>IF(SUM(IJ9:IM9)-IN9&gt;0,SUM(IJ9:IM9)-IN9,"")</f>
        <v/>
      </c>
      <c r="IT9" s="15" t="str">
        <f>IF(SUM(IR9,IS9)&gt;0,SUM(IR9,IS9),"")</f>
        <v/>
      </c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45"/>
      <c r="JI9" s="45"/>
      <c r="JJ9" s="12" t="str">
        <f>IF(SUM(JB9)&gt;0,SUM(JB9),"")</f>
        <v/>
      </c>
      <c r="JK9" s="12" t="str">
        <f>IF(SUM(IU9:IX9)-IY9&gt;0,SUM(IU9:IX9)-IY9,"")</f>
        <v/>
      </c>
      <c r="JL9" s="12" t="str">
        <f>IF(SUM(IZ9:JC9)-JD9&gt;0,SUM(IZ9:JC9)-JD9,"")</f>
        <v/>
      </c>
      <c r="JM9" s="12" t="str">
        <f>IF(SUM(JK9:JL9)&gt;0,SUM(JK9:JL9),"")</f>
        <v/>
      </c>
      <c r="JN9" s="12" t="str">
        <f>IF(SUM(JE9:JH9)-JI9&gt;0,SUM(JE9:JH9)-JI9,"")</f>
        <v/>
      </c>
      <c r="JO9" s="12" t="str">
        <f>IF(SUM(JM9,JN9)&gt;0,SUM(JM9,JN9),"")</f>
        <v/>
      </c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46"/>
      <c r="KD9" s="46"/>
      <c r="KE9" s="15" t="str">
        <f>IF(SUM(JW9)&gt;0,SUM(JW9),"")</f>
        <v/>
      </c>
      <c r="KF9" s="15" t="str">
        <f>IF(SUM(JP9:JS9)-JT9&gt;0,SUM(JP9:JS9)-JT9,"")</f>
        <v/>
      </c>
      <c r="KG9" s="15" t="str">
        <f>IF(SUM(JU9:JX9)-JY9&gt;0,SUM(JU9:JX9)-JY9,"")</f>
        <v/>
      </c>
      <c r="KH9" s="15" t="str">
        <f>IF(SUM(KF9:KG9)&gt;0,SUM(KF9:KG9),"")</f>
        <v/>
      </c>
      <c r="KI9" s="15" t="str">
        <f>IF(SUM(JZ9:KC9)-KD9&gt;0,SUM(JZ9:KC9)-KD9,"")</f>
        <v/>
      </c>
      <c r="KJ9" s="15" t="str">
        <f>IF(SUM(KH9,KI9)&gt;0,SUM(KH9,KI9),"")</f>
        <v/>
      </c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45"/>
      <c r="KY9" s="45"/>
      <c r="KZ9" s="12" t="str">
        <f>IF(SUM(KR9)&gt;0,SUM(KR9),"")</f>
        <v/>
      </c>
      <c r="LA9" s="12" t="str">
        <f>IF(SUM(KK9:KN9)-KO9&gt;0,SUM(KK9:KN9)-KO9,"")</f>
        <v/>
      </c>
      <c r="LB9" s="12" t="str">
        <f>IF(SUM(KP9:KS9)-KT9&gt;0,SUM(KP9:KS9)-KT9,"")</f>
        <v/>
      </c>
      <c r="LC9" s="12" t="str">
        <f>IF(SUM(LA9:LB9)&gt;0,SUM(LA9:LB9),"")</f>
        <v/>
      </c>
      <c r="LD9" s="12" t="str">
        <f>IF(SUM(KU9:KX9)-KY9&gt;0,SUM(KU9:KX9)-KY9,"")</f>
        <v/>
      </c>
      <c r="LE9" s="12" t="str">
        <f>IF(SUM(LC9,LD9)&gt;0,SUM(LC9,LD9),"")</f>
        <v/>
      </c>
      <c r="LF9" s="46"/>
      <c r="LG9" s="46"/>
      <c r="LH9" s="46"/>
      <c r="LI9" s="46"/>
      <c r="LJ9" s="46"/>
      <c r="LK9" s="46"/>
      <c r="LL9" s="46"/>
      <c r="LM9" s="46"/>
      <c r="LN9" s="46"/>
      <c r="LO9" s="46"/>
      <c r="LP9" s="46"/>
      <c r="LQ9" s="46"/>
      <c r="LR9" s="46"/>
      <c r="LS9" s="46"/>
      <c r="LT9" s="46"/>
      <c r="LU9" s="15" t="str">
        <f>IF(SUM(LM9)&gt;0,SUM(LM9),"")</f>
        <v/>
      </c>
      <c r="LV9" s="15" t="str">
        <f>IF(SUM(LF9:LI9)-LJ9&gt;0,SUM(LF9:LI9)-LJ9,"")</f>
        <v/>
      </c>
      <c r="LW9" s="15" t="str">
        <f>IF(SUM(LK9:LN9)-LO9&gt;0,SUM(LK9:LN9)-LO9,"")</f>
        <v/>
      </c>
      <c r="LX9" s="15" t="str">
        <f>IF(SUM(LV9:LW9)&gt;0,SUM(LV9:LW9),"")</f>
        <v/>
      </c>
      <c r="LY9" s="15" t="str">
        <f>IF(SUM(LP9:LS9)-LT9&gt;0,SUM(LP9:LS9)-LT9,"")</f>
        <v/>
      </c>
      <c r="LZ9" s="15" t="str">
        <f>IF(SUM(LX9,LY9)&gt;0,SUM(LX9,LY9),"")</f>
        <v/>
      </c>
    </row>
    <row r="10" spans="1:338">
      <c r="A10" s="6" t="str">
        <f>IF(AND(F10="P",H10="P"),SUMPRODUCT((F$4:F$17="P")*(H$4:H$17="P")*(E$4:E$17&gt;E10))+1,IF(H10="P",SUMPRODUCT((F$4:F$17="")*(H$4:H$17="P")*(E$4:E$17&gt;E10))+1+SUMPRODUCT((F$4:F$17="P")*(H$4:H$17="P")),""))</f>
        <v/>
      </c>
      <c r="B10" s="9" t="s">
        <v>81</v>
      </c>
      <c r="C10" s="5" t="s">
        <v>4</v>
      </c>
      <c r="D10" s="6">
        <v>2002</v>
      </c>
      <c r="E10" s="16">
        <f>SUM(J10:R10)</f>
        <v>243.72499999999999</v>
      </c>
      <c r="F10" s="4" t="str">
        <f>IF(OR(AND($AJ10&gt;=$AK$20,NOT($AJ10="")),AND($BE10&gt;=$BF$20,NOT($BE10="")),AND($BZ10&gt;=$CA$20,NOT($BZ10=""))),"P","")</f>
        <v/>
      </c>
      <c r="G10" s="4" t="str">
        <f>IF(OR(AND($AJ10&gt;=$AK$21,NOT($AJ10="")),AND($BE10&gt;=$BF$21,NOT($BE10="")),AND($BZ10&gt;=$CA$21,NOT($BZ10=""))),"P","")</f>
        <v/>
      </c>
      <c r="H10" s="4" t="str">
        <f>IF(OR(AND($AM10&gt;=$AK$22,NOT($AM10="")),AND($BH10&gt;=$BF$22,NOT($BH10="")),AND($CC10&gt;=$CA$22,NOT($CC10=""))),"P","")</f>
        <v/>
      </c>
      <c r="I10" t="str">
        <f>IF(AND(F10="P",OR(AND($AL10&gt;$AK$25,NOT($AL10="")),AND($AN10&gt;$AK$25,NOT($AN10="")),AND($BG10&gt;$BF$25,NOT($BG10="")),AND($BI10&gt;$BF$25,NOT($BI10="")),AND($CB10&gt;$CA$25,NOT($CB10="")),AND($CD10&gt;$CA$25,NOT($CD10="")))),"Merit",IF(AND(F10="P",OR(AND($AM10&gt;$AK$24,NOT($AM10="")),AND($BH10&gt;$BF$24,NOT($BH10="")),AND($CC10&gt;$CA$24,NOT($CC10="")))),"Funding",IF(AND(F10="P",OR(AND($AM10&gt;$AK$23,NOT($AM10="")),AND($BH10&gt;$BF$23,NOT($BH10="")),AND($CC10&gt;$CA$23,NOT($CC10="")))),"Worlds Team",IF(AND(F10="P",OR(AND($AM10&gt;$AK$22,NOT($AM10="")),AND($BH10&gt;$BF$22,NOT($BH10="")),AND($CC10&gt;$CA$22,NOT($CC10="")))),"National Team",""))))</f>
        <v/>
      </c>
      <c r="J10" s="15">
        <f>MAX(AM10,BH10,CC10)</f>
        <v>96.655000000000001</v>
      </c>
      <c r="K10" s="15" t="str">
        <f>IF(J10=CC10,$BK$1,IF(J10=BH10,$AP$1,IF(J10=AM10,$U$1,"")))</f>
        <v>2018 Canada Cup</v>
      </c>
      <c r="L10" s="15">
        <f>IF($J10=$AM10,MAX(BF10,CA10),IF($J10=$BH10,MAX(AK10,CA10),MAX(AK10,BF10)))</f>
        <v>42.43</v>
      </c>
      <c r="M10" s="15" t="str">
        <f>IF(L10=CA10,$BK$1,IF(L10=BF10,$AP$1,IF(L10=AK10,$U$1,"")))</f>
        <v>2017 Canada Cup</v>
      </c>
      <c r="N10" s="15">
        <f>IF($J10=$AM10,MAX(BG10,CB10),IF($J10=$BH10,MAX(AL10,CB10),MAX(AL10,BG10)))</f>
        <v>51.255000000000003</v>
      </c>
      <c r="O10" s="15" t="str">
        <f>IF(N10=CB10,$BK$1,IF(N10=BG10,$AP$1,IF(N10=AL10,$U$1,"")))</f>
        <v>2017 Canada Cup</v>
      </c>
      <c r="P10" s="15">
        <f>MAX(AN10,BI10,CD10)</f>
        <v>53.384999999999998</v>
      </c>
      <c r="Q10" s="15" t="str">
        <f>IF(P10=CD10,$BK$1,IF(P10=BI10,$AP$1,IF(P10=AN10,$U$1,"")))</f>
        <v>2018 Canada Cup</v>
      </c>
      <c r="R10" s="15" t="str">
        <f>IF(MAX(CF10,CG10,CH10)&gt;0,MAX(CF10,CG10,CH10),"")</f>
        <v/>
      </c>
      <c r="S10" s="29" t="str">
        <f>IF(R10="","",IF(R10=CF10,"(Vol 1)",IF(R10=CG10,"(Vol 2)",IF(R10=CH10,"(Final)"))))</f>
        <v/>
      </c>
      <c r="T10" s="15" t="str">
        <f>IF(R10="","",IF(R10=CF10,IF(R10+L10=LV10,$LF$1,IF(R10+L10=LA10,$KK$1,IF(R10+L10=KF10,$JP$1,IF(R10+L10=JK10,$IU$1,IF(R10+L10=IP10,$HZ$1,IF(R10+L10=HU10,$HE$1,IF(R10+L10=GZ10,$GJ$1,IF(R10+L10=GE10,$FO$1,IF(R10+L10=FJ10,$ET$1,IF(R10+L10=EO10,$DY$1,IF(R10+L10=DT10,$DD$1,IF(R10+L10=CY10,$CI$1)))))))))))),IF(R10=CG10,IF(R10+N10=LW10,$LF$1,IF(R10+N10=LB10,$KK$1,IF(R10+N10=KG10,$JP$1,IF(R10+N10=JL10,$IU$1,IF(R10+N10=IQ10,$HZ$1,IF(R10+N10=HV10,$HE$1,IF(R10+N10=HA10,$GJ$1,IF(R10+N10=GF10,$FO$1,IF(R10+N10=FK10,$ET$1,IF(R10+N10=EP10,$DY$1,IF(R10+N10=DU10,$DD$1,IF(R10+N10=CZ10,$CI$1)))))))))))),IF(R10=CH10,IF(R10+P10=LY10,$LF$1,IF(R10+P10=LD10,$KK$1,IF(R10+P10=KI10,$JP$1,IF(R10+P10=JN10,$IU$1,IF(R10+P10=IS10,$HZ$1,IF(R10+P10=HX10,$HE$1,IF(R10+P10=HC10,$GJ$1,IF(R10+P10=GH10,$FO$1,IF(R10+P10=FM10,$ET$1,IF(R10+P10=ER10,$DY$1,IF(R10+P10=DW10,$DD$1,IF(R10+P10=DB10,$CI$1))))))))))))))))</f>
        <v/>
      </c>
      <c r="U10" s="76">
        <v>17.7</v>
      </c>
      <c r="V10" s="76">
        <v>8.5</v>
      </c>
      <c r="W10" s="76">
        <v>2.4</v>
      </c>
      <c r="X10" s="76">
        <v>13.83</v>
      </c>
      <c r="Y10" s="76">
        <v>0</v>
      </c>
      <c r="Z10" s="76">
        <v>16.100000000000001</v>
      </c>
      <c r="AA10" s="76">
        <v>9.4</v>
      </c>
      <c r="AB10" s="76">
        <v>10.7</v>
      </c>
      <c r="AC10" s="76">
        <v>15.055</v>
      </c>
      <c r="AD10" s="76">
        <v>0</v>
      </c>
      <c r="AE10" s="76">
        <v>10.199999999999999</v>
      </c>
      <c r="AF10" s="76">
        <v>5.4</v>
      </c>
      <c r="AG10" s="76">
        <v>6.9</v>
      </c>
      <c r="AH10" s="76">
        <v>9.18</v>
      </c>
      <c r="AI10" s="76">
        <v>0</v>
      </c>
      <c r="AJ10" s="12">
        <f>IF(SUM(AB10)&gt;0,SUM(AB10),"")</f>
        <v>10.7</v>
      </c>
      <c r="AK10" s="12">
        <f>IF(SUM(U10:X10)-Y10&gt;0,SUM(U10:X10)-Y10,"")</f>
        <v>42.43</v>
      </c>
      <c r="AL10" s="12">
        <f>IF(SUM(Z10:AC10)-AD10&gt;0,SUM(Z10:AC10)-AD10,"")</f>
        <v>51.255000000000003</v>
      </c>
      <c r="AM10" s="12">
        <f>IF(SUM(AK10:AL10)&gt;0,SUM(AK10:AL10),"")</f>
        <v>93.685000000000002</v>
      </c>
      <c r="AN10" s="12">
        <f>IF(SUM(AE10:AH10)-AI10&gt;0,SUM(AE10:AH10)-AI10,"")</f>
        <v>31.68</v>
      </c>
      <c r="AO10" s="12">
        <f>IF(SUM(AM10,AN10)&gt;0,SUM(AM10,AN10),"")</f>
        <v>125.36500000000001</v>
      </c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15" t="str">
        <f>IF(SUM(AW10)&gt;0,SUM(AW10),"")</f>
        <v/>
      </c>
      <c r="BF10" s="15" t="str">
        <f>IF(SUM(AP10:AS10)-AT10&gt;0,SUM(AP10:AS10)-AT10,"")</f>
        <v/>
      </c>
      <c r="BG10" s="15" t="str">
        <f>IF(SUM(AU10:AX10)-AY10&gt;0,SUM(AU10:AX10)-AY10,"")</f>
        <v/>
      </c>
      <c r="BH10" s="15" t="str">
        <f>IF(SUM(BF10:BG10)&gt;0,SUM(BF10:BG10),"")</f>
        <v/>
      </c>
      <c r="BI10" s="15" t="str">
        <f>IF(SUM(AZ10:BC10)-BD10&gt;0,SUM(AZ10:BC10)-BD10,"")</f>
        <v/>
      </c>
      <c r="BJ10" s="15" t="str">
        <f>IF(SUM(BH10,BI10)&gt;0,SUM(BH10,BI10),"")</f>
        <v/>
      </c>
      <c r="BK10" s="76">
        <v>16</v>
      </c>
      <c r="BL10" s="76">
        <v>9.1</v>
      </c>
      <c r="BM10" s="76">
        <v>3.8</v>
      </c>
      <c r="BN10" s="76">
        <v>15.955</v>
      </c>
      <c r="BO10" s="76">
        <v>0</v>
      </c>
      <c r="BP10" s="76">
        <v>15.7</v>
      </c>
      <c r="BQ10" s="76">
        <v>9.35</v>
      </c>
      <c r="BR10" s="76">
        <v>11.2</v>
      </c>
      <c r="BS10" s="76">
        <v>15.55</v>
      </c>
      <c r="BT10" s="76">
        <v>0</v>
      </c>
      <c r="BU10" s="76">
        <v>17.100000000000001</v>
      </c>
      <c r="BV10" s="76">
        <v>9.1999999999999993</v>
      </c>
      <c r="BW10" s="76">
        <v>11.2</v>
      </c>
      <c r="BX10" s="76">
        <v>15.885</v>
      </c>
      <c r="BY10" s="76">
        <v>0</v>
      </c>
      <c r="BZ10" s="12">
        <f>IF(SUM(BR10)&gt;0,SUM(BR10),"")</f>
        <v>11.2</v>
      </c>
      <c r="CA10" s="12">
        <f>IF(SUM(BK10:BN10)-BO10&gt;0,SUM(BK10:BN10)-BO10,"")</f>
        <v>44.855000000000004</v>
      </c>
      <c r="CB10" s="12">
        <f>IF(SUM(BP10:BS10)-BT10&gt;0,SUM(BP10:BS10)-BT10,"")</f>
        <v>51.8</v>
      </c>
      <c r="CC10" s="12">
        <f>IF(SUM(CA10:CB10)&gt;0,SUM(CA10:CB10),"")</f>
        <v>96.655000000000001</v>
      </c>
      <c r="CD10" s="12">
        <f>IF(SUM(BU10:BX10)-BY10&gt;0,SUM(BU10:BX10)-BY10,"")</f>
        <v>53.384999999999998</v>
      </c>
      <c r="CE10" s="12">
        <f>IF(SUM(CC10,CD10)&gt;0,SUM(CC10,CD10),"")</f>
        <v>150.04</v>
      </c>
      <c r="CF10" s="28" t="str">
        <f>IF(MAX(CY10,DT10,EO10,FJ10,GE10,GZ10,HU10,IP10,JK10,KF10,LA10,LV10)-L10&gt;0.001,MAX(CY10,DT10,EO10,FJ10,GE10,GZ10,HU10,IP10,JK10,KF10,LA10,LV10)-L10,"")</f>
        <v/>
      </c>
      <c r="CG10" s="28" t="str">
        <f>IF(MAX(CZ10,DU10,EP10,FK10,GF10,HA10,HV10,IQ10,JL10,KG10,LB10,LW10)-N10&gt;0.001,MAX(CZ10,DU10,EP10,FK10,GF10,HA10,HV10,IQ10,JL10,KG10,LB10,LW10)-N10,"")</f>
        <v/>
      </c>
      <c r="CH10" s="28" t="str">
        <f>IF(MAX(DB10,DW10,ER10,FM10,GH10,HC10,HX10,IS10,JN10,KI10,LD10,LY10)-P10&gt;0.001,MAX(DB10,DW10,ER10,FM10,GH10,HC10,HX10,IS10,JN10,KI10,LD10,LY10)-P10,"")</f>
        <v/>
      </c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12" t="str">
        <f>IF(SUM(CP10)&gt;0,SUM(CP10),"")</f>
        <v/>
      </c>
      <c r="CY10" s="12" t="str">
        <f>IF(SUM(CI10:CL10)-CM10&gt;0,SUM(CI10:CL10)-CM10,"")</f>
        <v/>
      </c>
      <c r="CZ10" s="12" t="str">
        <f>IF(SUM(CN10:CQ10)-CR10&gt;0,SUM(CN10:CQ10)-CR10,"")</f>
        <v/>
      </c>
      <c r="DA10" s="12" t="str">
        <f>IF(SUM(CY10:CZ10)&gt;0,SUM(CY10:CZ10),"")</f>
        <v/>
      </c>
      <c r="DB10" s="12" t="str">
        <f>IF(SUM(CS10:CV10)-CW10&gt;0,SUM(CS10:CV10)-CW10,"")</f>
        <v/>
      </c>
      <c r="DC10" s="12" t="str">
        <f>IF(SUM(DA10,DB10)&gt;0,SUM(DA10,DB10),"")</f>
        <v/>
      </c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15" t="str">
        <f>IF(SUM(DK10)&gt;0,SUM(DK10),"")</f>
        <v/>
      </c>
      <c r="DT10" s="15" t="str">
        <f>IF(SUM(DD10:DG10)-DH10&gt;0,SUM(DD10:DG10)-DH10,"")</f>
        <v/>
      </c>
      <c r="DU10" s="15" t="str">
        <f>IF(SUM(DI10:DL10)-DM10&gt;0,SUM(DI10:DL10)-DM10,"")</f>
        <v/>
      </c>
      <c r="DV10" s="15" t="str">
        <f>IF(SUM(DT10:DU10)&gt;0,SUM(DT10:DU10),"")</f>
        <v/>
      </c>
      <c r="DW10" s="15" t="str">
        <f>IF(SUM(DN10:DQ10)-DR10&gt;0,SUM(DN10:DQ10)-DR10,"")</f>
        <v/>
      </c>
      <c r="DX10" s="15" t="str">
        <f>IF(SUM(DV10,DW10)&gt;0,SUM(DV10,DW10),"")</f>
        <v/>
      </c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45"/>
      <c r="EM10" s="45"/>
      <c r="EN10" s="12" t="str">
        <f>IF(SUM(EF10)&gt;0,SUM(EF10),"")</f>
        <v/>
      </c>
      <c r="EO10" s="12" t="str">
        <f>IF(SUM(DY10:EB10)-EC10&gt;0,SUM(DY10:EB10)-EC10,"")</f>
        <v/>
      </c>
      <c r="EP10" s="12" t="str">
        <f>IF(SUM(ED10:EG10)-EH10&gt;0,SUM(ED10:EG10)-EH10,"")</f>
        <v/>
      </c>
      <c r="EQ10" s="12" t="str">
        <f>IF(SUM(EO10:EP10)&gt;0,SUM(EO10:EP10),"")</f>
        <v/>
      </c>
      <c r="ER10" s="12" t="str">
        <f>IF(SUM(EI10:EL10)-EM10&gt;0,SUM(EI10:EL10)-EM10,"")</f>
        <v/>
      </c>
      <c r="ES10" s="12" t="str">
        <f>IF(SUM(EQ10,ER10)&gt;0,SUM(EQ10,ER10),"")</f>
        <v/>
      </c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15" t="str">
        <f>IF(SUM(FA10)&gt;0,SUM(FA10),"")</f>
        <v/>
      </c>
      <c r="FJ10" s="15" t="str">
        <f>IF(SUM(ET10:EW10)-EX10&gt;0,SUM(ET10:EW10)-EX10,"")</f>
        <v/>
      </c>
      <c r="FK10" s="15" t="str">
        <f>IF(SUM(EY10:FB10)-FC10&gt;0,SUM(EY10:FB10)-FC10,"")</f>
        <v/>
      </c>
      <c r="FL10" s="15" t="str">
        <f>IF(SUM(FJ10:FK10)&gt;0,SUM(FJ10:FK10),"")</f>
        <v/>
      </c>
      <c r="FM10" s="15" t="str">
        <f>IF(SUM(FD10:FG10)-FH10&gt;0,SUM(FD10:FG10)-FH10,"")</f>
        <v/>
      </c>
      <c r="FN10" s="15" t="str">
        <f>IF(SUM(FL10,FM10)&gt;0,SUM(FL10,FM10),"")</f>
        <v/>
      </c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45"/>
      <c r="GC10" s="45"/>
      <c r="GD10" s="12" t="str">
        <f>IF(SUM(FV10)&gt;0,SUM(FV10),"")</f>
        <v/>
      </c>
      <c r="GE10" s="12" t="str">
        <f>IF(SUM(FO10:FR10)-FS10&gt;0,SUM(FO10:FR10)-FS10,"")</f>
        <v/>
      </c>
      <c r="GF10" s="12" t="str">
        <f>IF(SUM(FT10:FW10)-FX10&gt;0,SUM(FT10:FW10)-FX10,"")</f>
        <v/>
      </c>
      <c r="GG10" s="12" t="str">
        <f>IF(SUM(GE10:GF10)&gt;0,SUM(GE10:GF10),"")</f>
        <v/>
      </c>
      <c r="GH10" s="12" t="str">
        <f>IF(SUM(FY10:GB10)-GC10&gt;0,SUM(FY10:GB10)-GC10,"")</f>
        <v/>
      </c>
      <c r="GI10" s="12" t="str">
        <f>IF(SUM(GG10,GH10)&gt;0,SUM(GG10,GH10),"")</f>
        <v/>
      </c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15" t="str">
        <f>IF(SUM(GQ10)&gt;0,SUM(GQ10),"")</f>
        <v/>
      </c>
      <c r="GZ10" s="15" t="str">
        <f>IF(SUM(GJ10:GM10)-GN10&gt;0,SUM(GJ10:GM10)-GN10,"")</f>
        <v/>
      </c>
      <c r="HA10" s="15" t="str">
        <f>IF(SUM(GO10:GR10)-GS10&gt;0,SUM(GO10:GR10)-GS10,"")</f>
        <v/>
      </c>
      <c r="HB10" s="15" t="str">
        <f>IF(SUM(GZ10:HA10)&gt;0,SUM(GZ10:HA10),"")</f>
        <v/>
      </c>
      <c r="HC10" s="15" t="str">
        <f>IF(SUM(GT10:GW10)-GX10&gt;0,SUM(GT10:GW10)-GX10,"")</f>
        <v/>
      </c>
      <c r="HD10" s="15" t="str">
        <f>IF(SUM(HB10,HC10)&gt;0,SUM(HB10,HC10),"")</f>
        <v/>
      </c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45"/>
      <c r="HS10" s="45"/>
      <c r="HT10" s="12" t="str">
        <f>IF(SUM(HL10)&gt;0,SUM(HL10),"")</f>
        <v/>
      </c>
      <c r="HU10" s="12" t="str">
        <f>IF(SUM(HE10:HH10)-HI10&gt;0,SUM(HE10:HH10)-HI10,"")</f>
        <v/>
      </c>
      <c r="HV10" s="12" t="str">
        <f>IF(SUM(HJ10:HM10)-HN10&gt;0,SUM(HJ10:HM10)-HN10,"")</f>
        <v/>
      </c>
      <c r="HW10" s="12" t="str">
        <f>IF(SUM(HU10:HV10)&gt;0,SUM(HU10:HV10),"")</f>
        <v/>
      </c>
      <c r="HX10" s="12" t="str">
        <f>IF(SUM(HO10:HR10)-HS10&gt;0,SUM(HO10:HR10)-HS10,"")</f>
        <v/>
      </c>
      <c r="HY10" s="12" t="str">
        <f>IF(SUM(HW10,HX10)&gt;0,SUM(HW10,HX10),"")</f>
        <v/>
      </c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15" t="str">
        <f>IF(SUM(IG10)&gt;0,SUM(IG10),"")</f>
        <v/>
      </c>
      <c r="IP10" s="15" t="str">
        <f>IF(SUM(HZ10:IC10)-ID10&gt;0,SUM(HZ10:IC10)-ID10,"")</f>
        <v/>
      </c>
      <c r="IQ10" s="15" t="str">
        <f>IF(SUM(IE10:IH10)-II10&gt;0,SUM(IE10:IH10)-II10,"")</f>
        <v/>
      </c>
      <c r="IR10" s="15" t="str">
        <f>IF(SUM(IP10:IQ10)&gt;0,SUM(IP10:IQ10),"")</f>
        <v/>
      </c>
      <c r="IS10" s="15" t="str">
        <f>IF(SUM(IJ10:IM10)-IN10&gt;0,SUM(IJ10:IM10)-IN10,"")</f>
        <v/>
      </c>
      <c r="IT10" s="15" t="str">
        <f>IF(SUM(IR10,IS10)&gt;0,SUM(IR10,IS10),"")</f>
        <v/>
      </c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45"/>
      <c r="JI10" s="45"/>
      <c r="JJ10" s="12" t="str">
        <f>IF(SUM(JB10)&gt;0,SUM(JB10),"")</f>
        <v/>
      </c>
      <c r="JK10" s="12" t="str">
        <f>IF(SUM(IU10:IX10)-IY10&gt;0,SUM(IU10:IX10)-IY10,"")</f>
        <v/>
      </c>
      <c r="JL10" s="12" t="str">
        <f>IF(SUM(IZ10:JC10)-JD10&gt;0,SUM(IZ10:JC10)-JD10,"")</f>
        <v/>
      </c>
      <c r="JM10" s="12" t="str">
        <f>IF(SUM(JK10:JL10)&gt;0,SUM(JK10:JL10),"")</f>
        <v/>
      </c>
      <c r="JN10" s="12" t="str">
        <f>IF(SUM(JE10:JH10)-JI10&gt;0,SUM(JE10:JH10)-JI10,"")</f>
        <v/>
      </c>
      <c r="JO10" s="12" t="str">
        <f>IF(SUM(JM10,JN10)&gt;0,SUM(JM10,JN10),"")</f>
        <v/>
      </c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46"/>
      <c r="KD10" s="46"/>
      <c r="KE10" s="15" t="str">
        <f>IF(SUM(JW10)&gt;0,SUM(JW10),"")</f>
        <v/>
      </c>
      <c r="KF10" s="15" t="str">
        <f>IF(SUM(JP10:JS10)-JT10&gt;0,SUM(JP10:JS10)-JT10,"")</f>
        <v/>
      </c>
      <c r="KG10" s="15" t="str">
        <f>IF(SUM(JU10:JX10)-JY10&gt;0,SUM(JU10:JX10)-JY10,"")</f>
        <v/>
      </c>
      <c r="KH10" s="15" t="str">
        <f>IF(SUM(KF10:KG10)&gt;0,SUM(KF10:KG10),"")</f>
        <v/>
      </c>
      <c r="KI10" s="15" t="str">
        <f>IF(SUM(JZ10:KC10)-KD10&gt;0,SUM(JZ10:KC10)-KD10,"")</f>
        <v/>
      </c>
      <c r="KJ10" s="15" t="str">
        <f>IF(SUM(KH10,KI10)&gt;0,SUM(KH10,KI10),"")</f>
        <v/>
      </c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45"/>
      <c r="KY10" s="45"/>
      <c r="KZ10" s="12" t="str">
        <f>IF(SUM(KR10)&gt;0,SUM(KR10),"")</f>
        <v/>
      </c>
      <c r="LA10" s="12" t="str">
        <f>IF(SUM(KK10:KN10)-KO10&gt;0,SUM(KK10:KN10)-KO10,"")</f>
        <v/>
      </c>
      <c r="LB10" s="12" t="str">
        <f>IF(SUM(KP10:KS10)-KT10&gt;0,SUM(KP10:KS10)-KT10,"")</f>
        <v/>
      </c>
      <c r="LC10" s="12" t="str">
        <f>IF(SUM(LA10:LB10)&gt;0,SUM(LA10:LB10),"")</f>
        <v/>
      </c>
      <c r="LD10" s="12" t="str">
        <f>IF(SUM(KU10:KX10)-KY10&gt;0,SUM(KU10:KX10)-KY10,"")</f>
        <v/>
      </c>
      <c r="LE10" s="12" t="str">
        <f>IF(SUM(LC10,LD10)&gt;0,SUM(LC10,LD10),"")</f>
        <v/>
      </c>
      <c r="LF10" s="46"/>
      <c r="LG10" s="46"/>
      <c r="LH10" s="46"/>
      <c r="LI10" s="46"/>
      <c r="LJ10" s="46"/>
      <c r="LK10" s="46"/>
      <c r="LL10" s="46"/>
      <c r="LM10" s="46"/>
      <c r="LN10" s="46"/>
      <c r="LO10" s="46"/>
      <c r="LP10" s="46"/>
      <c r="LQ10" s="46"/>
      <c r="LR10" s="46"/>
      <c r="LS10" s="46"/>
      <c r="LT10" s="46"/>
      <c r="LU10" s="15" t="str">
        <f>IF(SUM(LM10)&gt;0,SUM(LM10),"")</f>
        <v/>
      </c>
      <c r="LV10" s="15" t="str">
        <f>IF(SUM(LF10:LI10)-LJ10&gt;0,SUM(LF10:LI10)-LJ10,"")</f>
        <v/>
      </c>
      <c r="LW10" s="15" t="str">
        <f>IF(SUM(LK10:LN10)-LO10&gt;0,SUM(LK10:LN10)-LO10,"")</f>
        <v/>
      </c>
      <c r="LX10" s="15" t="str">
        <f>IF(SUM(LV10:LW10)&gt;0,SUM(LV10:LW10),"")</f>
        <v/>
      </c>
      <c r="LY10" s="15" t="str">
        <f>IF(SUM(LP10:LS10)-LT10&gt;0,SUM(LP10:LS10)-LT10,"")</f>
        <v/>
      </c>
      <c r="LZ10" s="15" t="str">
        <f>IF(SUM(LX10,LY10)&gt;0,SUM(LX10,LY10),"")</f>
        <v/>
      </c>
    </row>
    <row r="11" spans="1:338">
      <c r="A11" s="6" t="str">
        <f>IF(AND(F11="P",H11="P"),SUMPRODUCT((F$4:F$17="P")*(H$4:H$17="P")*(E$4:E$17&gt;E11))+1,IF(H11="P",SUMPRODUCT((F$4:F$17="")*(H$4:H$17="P")*(E$4:E$17&gt;E11))+1+SUMPRODUCT((F$4:F$17="P")*(H$4:H$17="P")),""))</f>
        <v/>
      </c>
      <c r="B11" s="9" t="s">
        <v>76</v>
      </c>
      <c r="C11" s="5" t="s">
        <v>3</v>
      </c>
      <c r="D11" s="31">
        <v>2000</v>
      </c>
      <c r="E11" s="16">
        <f>SUM(J11:R11)</f>
        <v>240.95999999999998</v>
      </c>
      <c r="F11" s="4" t="str">
        <f>IF(OR(AND($AJ11&gt;=$AK$20,NOT($AJ11="")),AND($BE11&gt;=$BF$20,NOT($BE11="")),AND($BZ11&gt;=$CA$20,NOT($BZ11=""))),"P","")</f>
        <v/>
      </c>
      <c r="G11" s="4" t="str">
        <f>IF(OR(AND($AJ11&gt;=$AK$21,NOT($AJ11="")),AND($BE11&gt;=$BF$21,NOT($BE11="")),AND($BZ11&gt;=$CA$21,NOT($BZ11=""))),"P","")</f>
        <v/>
      </c>
      <c r="H11" s="4" t="str">
        <f>IF(OR(AND($AM11&gt;=$AK$22,NOT($AM11="")),AND($BH11&gt;=$BF$22,NOT($BH11="")),AND($CC11&gt;=$CA$22,NOT($CC11=""))),"P","")</f>
        <v/>
      </c>
      <c r="I11" t="str">
        <f>IF(AND(F11="P",OR(AND($AL11&gt;$AK$25,NOT($AL11="")),AND($AN11&gt;$AK$25,NOT($AN11="")),AND($BG11&gt;$BF$25,NOT($BG11="")),AND($BI11&gt;$BF$25,NOT($BI11="")),AND($CB11&gt;$CA$25,NOT($CB11="")),AND($CD11&gt;$CA$25,NOT($CD11="")))),"Merit",IF(AND(F11="P",OR(AND($AM11&gt;$AK$24,NOT($AM11="")),AND($BH11&gt;$BF$24,NOT($BH11="")),AND($CC11&gt;$CA$24,NOT($CC11="")))),"Funding",IF(AND(F11="P",OR(AND($AM11&gt;$AK$23,NOT($AM11="")),AND($BH11&gt;$BF$23,NOT($BH11="")),AND($CC11&gt;$CA$23,NOT($CC11="")))),"Worlds Team",IF(AND(F11="P",OR(AND($AM11&gt;$AK$22,NOT($AM11="")),AND($BH11&gt;$BF$22,NOT($BH11="")),AND($CC11&gt;$CA$22,NOT($CC11="")))),"National Team",""))))</f>
        <v/>
      </c>
      <c r="J11" s="15">
        <f>MAX(AM11,BH11,CC11)</f>
        <v>94.399999999999991</v>
      </c>
      <c r="K11" s="15" t="str">
        <f>IF(J11=CC11,$BK$1,IF(J11=BH11,$AP$1,IF(J11=AM11,$U$1,"")))</f>
        <v>2017 Canada Cup</v>
      </c>
      <c r="L11" s="15">
        <f>IF($J11=$AM11,MAX(BF11,CA11),IF($J11=$BH11,MAX(AK11,CA11),MAX(AK11,BF11)))</f>
        <v>44.905000000000001</v>
      </c>
      <c r="M11" s="15" t="str">
        <f>IF(L11=CA11,$BK$1,IF(L11=BF11,$AP$1,IF(L11=AK11,$U$1,"")))</f>
        <v>2017 Nationals</v>
      </c>
      <c r="N11" s="15">
        <f>IF($J11=$AM11,MAX(BG11,CB11),IF($J11=$BH11,MAX(AL11,CB11),MAX(AL11,BG11)))</f>
        <v>51.325000000000003</v>
      </c>
      <c r="O11" s="15" t="str">
        <f>IF(N11=CB11,$BK$1,IF(N11=BG11,$AP$1,IF(N11=AL11,$U$1,"")))</f>
        <v>2018 Canada Cup</v>
      </c>
      <c r="P11" s="15">
        <f>MAX(AN11,BI11,CD11)</f>
        <v>50.33</v>
      </c>
      <c r="Q11" s="15" t="str">
        <f>IF(P11=CD11,$BK$1,IF(P11=BI11,$AP$1,IF(P11=AN11,$U$1,"")))</f>
        <v>2017 Canada Cup</v>
      </c>
      <c r="R11" s="15" t="str">
        <f>IF(MAX(CF11,CG11,CH11)&gt;0,MAX(CF11,CG11,CH11),"")</f>
        <v/>
      </c>
      <c r="S11" s="29" t="str">
        <f>IF(R11="","",IF(R11=CF11,"(Vol 1)",IF(R11=CG11,"(Vol 2)",IF(R11=CH11,"(Final)"))))</f>
        <v/>
      </c>
      <c r="T11" s="15" t="str">
        <f>IF(R11="","",IF(R11=CF11,IF(R11+L11=LV11,$LF$1,IF(R11+L11=LA11,$KK$1,IF(R11+L11=KF11,$JP$1,IF(R11+L11=JK11,$IU$1,IF(R11+L11=IP11,$HZ$1,IF(R11+L11=HU11,$HE$1,IF(R11+L11=GZ11,$GJ$1,IF(R11+L11=GE11,$FO$1,IF(R11+L11=FJ11,$ET$1,IF(R11+L11=EO11,$DY$1,IF(R11+L11=DT11,$DD$1,IF(R11+L11=CY11,$CI$1)))))))))))),IF(R11=CG11,IF(R11+N11=LW11,$LF$1,IF(R11+N11=LB11,$KK$1,IF(R11+N11=KG11,$JP$1,IF(R11+N11=JL11,$IU$1,IF(R11+N11=IQ11,$HZ$1,IF(R11+N11=HV11,$HE$1,IF(R11+N11=HA11,$GJ$1,IF(R11+N11=GF11,$FO$1,IF(R11+N11=FK11,$ET$1,IF(R11+N11=EP11,$DY$1,IF(R11+N11=DU11,$DD$1,IF(R11+N11=CZ11,$CI$1)))))))))))),IF(R11=CH11,IF(R11+P11=LY11,$LF$1,IF(R11+P11=LD11,$KK$1,IF(R11+P11=KI11,$JP$1,IF(R11+P11=JN11,$IU$1,IF(R11+P11=IS11,$HZ$1,IF(R11+P11=HX11,$HE$1,IF(R11+P11=HC11,$GJ$1,IF(R11+P11=GH11,$FO$1,IF(R11+P11=FM11,$ET$1,IF(R11+P11=ER11,$DY$1,IF(R11+P11=DW11,$DD$1,IF(R11+P11=DB11,$CI$1))))))))))))))))</f>
        <v/>
      </c>
      <c r="U11" s="76">
        <v>15.4</v>
      </c>
      <c r="V11" s="76">
        <v>9.1</v>
      </c>
      <c r="W11" s="76">
        <v>4</v>
      </c>
      <c r="X11" s="76">
        <v>15.785</v>
      </c>
      <c r="Y11" s="76">
        <v>0</v>
      </c>
      <c r="Z11" s="76">
        <v>13</v>
      </c>
      <c r="AA11" s="76">
        <v>9.1999999999999993</v>
      </c>
      <c r="AB11" s="76">
        <v>12.7</v>
      </c>
      <c r="AC11" s="76">
        <v>15.215</v>
      </c>
      <c r="AD11" s="76">
        <v>0</v>
      </c>
      <c r="AE11" s="76">
        <v>13.9</v>
      </c>
      <c r="AF11" s="76">
        <v>9.1</v>
      </c>
      <c r="AG11" s="76">
        <v>12.9</v>
      </c>
      <c r="AH11" s="76">
        <v>14.43</v>
      </c>
      <c r="AI11" s="76">
        <v>0</v>
      </c>
      <c r="AJ11" s="12">
        <f>IF(SUM(AB11)&gt;0,SUM(AB11),"")</f>
        <v>12.7</v>
      </c>
      <c r="AK11" s="12">
        <f>IF(SUM(U11:X11)-Y11&gt;0,SUM(U11:X11)-Y11,"")</f>
        <v>44.284999999999997</v>
      </c>
      <c r="AL11" s="12">
        <f>IF(SUM(Z11:AC11)-AD11&gt;0,SUM(Z11:AC11)-AD11,"")</f>
        <v>50.114999999999995</v>
      </c>
      <c r="AM11" s="12">
        <f>IF(SUM(AK11:AL11)&gt;0,SUM(AK11:AL11),"")</f>
        <v>94.399999999999991</v>
      </c>
      <c r="AN11" s="12">
        <f>IF(SUM(AE11:AH11)-AI11&gt;0,SUM(AE11:AH11)-AI11,"")</f>
        <v>50.33</v>
      </c>
      <c r="AO11" s="12">
        <f>IF(SUM(AM11,AN11)&gt;0,SUM(AM11,AN11),"")</f>
        <v>144.72999999999999</v>
      </c>
      <c r="AP11" s="80">
        <v>15.4</v>
      </c>
      <c r="AQ11" s="80">
        <v>9.1</v>
      </c>
      <c r="AR11" s="80">
        <v>4.4000000000000004</v>
      </c>
      <c r="AS11" s="80">
        <v>16.004999999999999</v>
      </c>
      <c r="AT11" s="80">
        <v>0</v>
      </c>
      <c r="AU11" s="80">
        <v>12.8</v>
      </c>
      <c r="AV11" s="80">
        <v>8.4</v>
      </c>
      <c r="AW11" s="80">
        <v>12.1</v>
      </c>
      <c r="AX11" s="80">
        <v>14.56</v>
      </c>
      <c r="AY11" s="80">
        <v>0</v>
      </c>
      <c r="AZ11" s="80">
        <v>4.5</v>
      </c>
      <c r="BA11" s="80">
        <v>2.7</v>
      </c>
      <c r="BB11" s="80">
        <v>4.4000000000000004</v>
      </c>
      <c r="BC11" s="80">
        <v>5.0149999999999997</v>
      </c>
      <c r="BD11" s="80">
        <v>0</v>
      </c>
      <c r="BE11" s="15">
        <f>IF(SUM(AW11)&gt;0,SUM(AW11),"")</f>
        <v>12.1</v>
      </c>
      <c r="BF11" s="15">
        <f>IF(SUM(AP11:AS11)-AT11&gt;0,SUM(AP11:AS11)-AT11,"")</f>
        <v>44.905000000000001</v>
      </c>
      <c r="BG11" s="15">
        <f>IF(SUM(AU11:AX11)-AY11&gt;0,SUM(AU11:AX11)-AY11,"")</f>
        <v>47.860000000000007</v>
      </c>
      <c r="BH11" s="15">
        <f>IF(SUM(BF11:BG11)&gt;0,SUM(BF11:BG11),"")</f>
        <v>92.765000000000015</v>
      </c>
      <c r="BI11" s="15">
        <f>IF(SUM(AZ11:BC11)-BD11&gt;0,SUM(AZ11:BC11)-BD11,"")</f>
        <v>16.615000000000002</v>
      </c>
      <c r="BJ11" s="15">
        <f>IF(SUM(BH11,BI11)&gt;0,SUM(BH11,BI11),"")</f>
        <v>109.38000000000002</v>
      </c>
      <c r="BK11" s="76">
        <v>8.3000000000000007</v>
      </c>
      <c r="BL11" s="76">
        <v>4.3499999999999996</v>
      </c>
      <c r="BM11" s="76">
        <v>0.7</v>
      </c>
      <c r="BN11" s="76">
        <v>8.2200000000000006</v>
      </c>
      <c r="BO11" s="76">
        <v>0</v>
      </c>
      <c r="BP11" s="76">
        <v>14.7</v>
      </c>
      <c r="BQ11" s="76">
        <v>9.0500000000000007</v>
      </c>
      <c r="BR11" s="76">
        <v>13.1</v>
      </c>
      <c r="BS11" s="76">
        <v>14.675000000000001</v>
      </c>
      <c r="BT11" s="76">
        <v>0.2</v>
      </c>
      <c r="BU11" s="76">
        <v>12.8</v>
      </c>
      <c r="BV11" s="76">
        <v>8.75</v>
      </c>
      <c r="BW11" s="76">
        <v>13.7</v>
      </c>
      <c r="BX11" s="76">
        <v>14.56</v>
      </c>
      <c r="BY11" s="76">
        <v>0</v>
      </c>
      <c r="BZ11" s="12">
        <f>IF(SUM(BR11)&gt;0,SUM(BR11),"")</f>
        <v>13.1</v>
      </c>
      <c r="CA11" s="12">
        <f>IF(SUM(BK11:BN11)-BO11&gt;0,SUM(BK11:BN11)-BO11,"")</f>
        <v>21.57</v>
      </c>
      <c r="CB11" s="12">
        <f>IF(SUM(BP11:BS11)-BT11&gt;0,SUM(BP11:BS11)-BT11,"")</f>
        <v>51.325000000000003</v>
      </c>
      <c r="CC11" s="12">
        <f>IF(SUM(CA11:CB11)&gt;0,SUM(CA11:CB11),"")</f>
        <v>72.89500000000001</v>
      </c>
      <c r="CD11" s="12">
        <f>IF(SUM(BU11:BX11)-BY11&gt;0,SUM(BU11:BX11)-BY11,"")</f>
        <v>49.81</v>
      </c>
      <c r="CE11" s="12">
        <f>IF(SUM(CC11,CD11)&gt;0,SUM(CC11,CD11),"")</f>
        <v>122.70500000000001</v>
      </c>
      <c r="CF11" s="28" t="str">
        <f>IF(MAX(CY11,DT11,EO11,FJ11,GE11,GZ11,HU11,IP11,JK11,KF11,LA11,LV11)-L11&gt;0.001,MAX(CY11,DT11,EO11,FJ11,GE11,GZ11,HU11,IP11,JK11,KF11,LA11,LV11)-L11,"")</f>
        <v/>
      </c>
      <c r="CG11" s="28" t="str">
        <f>IF(MAX(CZ11,DU11,EP11,FK11,GF11,HA11,HV11,IQ11,JL11,KG11,LB11,LW11)-N11&gt;0.001,MAX(CZ11,DU11,EP11,FK11,GF11,HA11,HV11,IQ11,JL11,KG11,LB11,LW11)-N11,"")</f>
        <v/>
      </c>
      <c r="CH11" s="28" t="str">
        <f>IF(MAX(DB11,DW11,ER11,FM11,GH11,HC11,HX11,IS11,JN11,KI11,LD11,LY11)-P11&gt;0.001,MAX(DB11,DW11,ER11,FM11,GH11,HC11,HX11,IS11,JN11,KI11,LD11,LY11)-P11,"")</f>
        <v/>
      </c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  <c r="CX11" s="12" t="str">
        <f>IF(SUM(CP11)&gt;0,SUM(CP11),"")</f>
        <v/>
      </c>
      <c r="CY11" s="12" t="str">
        <f>IF(SUM(CI11:CL11)-CM11&gt;0,SUM(CI11:CL11)-CM11,"")</f>
        <v/>
      </c>
      <c r="CZ11" s="12" t="str">
        <f>IF(SUM(CN11:CQ11)-CR11&gt;0,SUM(CN11:CQ11)-CR11,"")</f>
        <v/>
      </c>
      <c r="DA11" s="12" t="str">
        <f>IF(SUM(CY11:CZ11)&gt;0,SUM(CY11:CZ11),"")</f>
        <v/>
      </c>
      <c r="DB11" s="12" t="str">
        <f>IF(SUM(CS11:CV11)-CW11&gt;0,SUM(CS11:CV11)-CW11,"")</f>
        <v/>
      </c>
      <c r="DC11" s="12" t="str">
        <f>IF(SUM(DA11,DB11)&gt;0,SUM(DA11,DB11),"")</f>
        <v/>
      </c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15" t="str">
        <f>IF(SUM(DK11)&gt;0,SUM(DK11),"")</f>
        <v/>
      </c>
      <c r="DT11" s="15" t="str">
        <f>IF(SUM(DD11:DG11)-DH11&gt;0,SUM(DD11:DG11)-DH11,"")</f>
        <v/>
      </c>
      <c r="DU11" s="15" t="str">
        <f>IF(SUM(DI11:DL11)-DM11&gt;0,SUM(DI11:DL11)-DM11,"")</f>
        <v/>
      </c>
      <c r="DV11" s="15" t="str">
        <f>IF(SUM(DT11:DU11)&gt;0,SUM(DT11:DU11),"")</f>
        <v/>
      </c>
      <c r="DW11" s="15" t="str">
        <f>IF(SUM(DN11:DQ11)-DR11&gt;0,SUM(DN11:DQ11)-DR11,"")</f>
        <v/>
      </c>
      <c r="DX11" s="15" t="str">
        <f>IF(SUM(DV11,DW11)&gt;0,SUM(DV11,DW11),"")</f>
        <v/>
      </c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45"/>
      <c r="EM11" s="45"/>
      <c r="EN11" s="12" t="str">
        <f>IF(SUM(EF11)&gt;0,SUM(EF11),"")</f>
        <v/>
      </c>
      <c r="EO11" s="12" t="str">
        <f>IF(SUM(DY11:EB11)-EC11&gt;0,SUM(DY11:EB11)-EC11,"")</f>
        <v/>
      </c>
      <c r="EP11" s="12" t="str">
        <f>IF(SUM(ED11:EG11)-EH11&gt;0,SUM(ED11:EG11)-EH11,"")</f>
        <v/>
      </c>
      <c r="EQ11" s="12" t="str">
        <f>IF(SUM(EO11:EP11)&gt;0,SUM(EO11:EP11),"")</f>
        <v/>
      </c>
      <c r="ER11" s="12" t="str">
        <f>IF(SUM(EI11:EL11)-EM11&gt;0,SUM(EI11:EL11)-EM11,"")</f>
        <v/>
      </c>
      <c r="ES11" s="12" t="str">
        <f>IF(SUM(EQ11,ER11)&gt;0,SUM(EQ11,ER11),"")</f>
        <v/>
      </c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15" t="str">
        <f>IF(SUM(FA11)&gt;0,SUM(FA11),"")</f>
        <v/>
      </c>
      <c r="FJ11" s="15" t="str">
        <f>IF(SUM(ET11:EW11)-EX11&gt;0,SUM(ET11:EW11)-EX11,"")</f>
        <v/>
      </c>
      <c r="FK11" s="15" t="str">
        <f>IF(SUM(EY11:FB11)-FC11&gt;0,SUM(EY11:FB11)-FC11,"")</f>
        <v/>
      </c>
      <c r="FL11" s="15" t="str">
        <f>IF(SUM(FJ11:FK11)&gt;0,SUM(FJ11:FK11),"")</f>
        <v/>
      </c>
      <c r="FM11" s="15" t="str">
        <f>IF(SUM(FD11:FG11)-FH11&gt;0,SUM(FD11:FG11)-FH11,"")</f>
        <v/>
      </c>
      <c r="FN11" s="15" t="str">
        <f>IF(SUM(FL11,FM11)&gt;0,SUM(FL11,FM11),"")</f>
        <v/>
      </c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45"/>
      <c r="GC11" s="45"/>
      <c r="GD11" s="12" t="str">
        <f>IF(SUM(FV11)&gt;0,SUM(FV11),"")</f>
        <v/>
      </c>
      <c r="GE11" s="12" t="str">
        <f>IF(SUM(FO11:FR11)-FS11&gt;0,SUM(FO11:FR11)-FS11,"")</f>
        <v/>
      </c>
      <c r="GF11" s="12" t="str">
        <f>IF(SUM(FT11:FW11)-FX11&gt;0,SUM(FT11:FW11)-FX11,"")</f>
        <v/>
      </c>
      <c r="GG11" s="12" t="str">
        <f>IF(SUM(GE11:GF11)&gt;0,SUM(GE11:GF11),"")</f>
        <v/>
      </c>
      <c r="GH11" s="12" t="str">
        <f>IF(SUM(FY11:GB11)-GC11&gt;0,SUM(FY11:GB11)-GC11,"")</f>
        <v/>
      </c>
      <c r="GI11" s="12" t="str">
        <f>IF(SUM(GG11,GH11)&gt;0,SUM(GG11,GH11),"")</f>
        <v/>
      </c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15" t="str">
        <f>IF(SUM(GQ11)&gt;0,SUM(GQ11),"")</f>
        <v/>
      </c>
      <c r="GZ11" s="15" t="str">
        <f>IF(SUM(GJ11:GM11)-GN11&gt;0,SUM(GJ11:GM11)-GN11,"")</f>
        <v/>
      </c>
      <c r="HA11" s="15" t="str">
        <f>IF(SUM(GO11:GR11)-GS11&gt;0,SUM(GO11:GR11)-GS11,"")</f>
        <v/>
      </c>
      <c r="HB11" s="15" t="str">
        <f>IF(SUM(GZ11:HA11)&gt;0,SUM(GZ11:HA11),"")</f>
        <v/>
      </c>
      <c r="HC11" s="15" t="str">
        <f>IF(SUM(GT11:GW11)-GX11&gt;0,SUM(GT11:GW11)-GX11,"")</f>
        <v/>
      </c>
      <c r="HD11" s="15" t="str">
        <f>IF(SUM(HB11,HC11)&gt;0,SUM(HB11,HC11),"")</f>
        <v/>
      </c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45"/>
      <c r="HS11" s="45"/>
      <c r="HT11" s="12" t="str">
        <f>IF(SUM(HL11)&gt;0,SUM(HL11),"")</f>
        <v/>
      </c>
      <c r="HU11" s="12" t="str">
        <f>IF(SUM(HE11:HH11)-HI11&gt;0,SUM(HE11:HH11)-HI11,"")</f>
        <v/>
      </c>
      <c r="HV11" s="12" t="str">
        <f>IF(SUM(HJ11:HM11)-HN11&gt;0,SUM(HJ11:HM11)-HN11,"")</f>
        <v/>
      </c>
      <c r="HW11" s="12" t="str">
        <f>IF(SUM(HU11:HV11)&gt;0,SUM(HU11:HV11),"")</f>
        <v/>
      </c>
      <c r="HX11" s="12" t="str">
        <f>IF(SUM(HO11:HR11)-HS11&gt;0,SUM(HO11:HR11)-HS11,"")</f>
        <v/>
      </c>
      <c r="HY11" s="12" t="str">
        <f>IF(SUM(HW11,HX11)&gt;0,SUM(HW11,HX11),"")</f>
        <v/>
      </c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15" t="str">
        <f>IF(SUM(IG11)&gt;0,SUM(IG11),"")</f>
        <v/>
      </c>
      <c r="IP11" s="15" t="str">
        <f>IF(SUM(HZ11:IC11)-ID11&gt;0,SUM(HZ11:IC11)-ID11,"")</f>
        <v/>
      </c>
      <c r="IQ11" s="15" t="str">
        <f>IF(SUM(IE11:IH11)-II11&gt;0,SUM(IE11:IH11)-II11,"")</f>
        <v/>
      </c>
      <c r="IR11" s="15" t="str">
        <f>IF(SUM(IP11:IQ11)&gt;0,SUM(IP11:IQ11),"")</f>
        <v/>
      </c>
      <c r="IS11" s="15" t="str">
        <f>IF(SUM(IJ11:IM11)-IN11&gt;0,SUM(IJ11:IM11)-IN11,"")</f>
        <v/>
      </c>
      <c r="IT11" s="15" t="str">
        <f>IF(SUM(IR11,IS11)&gt;0,SUM(IR11,IS11),"")</f>
        <v/>
      </c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45"/>
      <c r="JI11" s="45"/>
      <c r="JJ11" s="12" t="str">
        <f>IF(SUM(JB11)&gt;0,SUM(JB11),"")</f>
        <v/>
      </c>
      <c r="JK11" s="12" t="str">
        <f>IF(SUM(IU11:IX11)-IY11&gt;0,SUM(IU11:IX11)-IY11,"")</f>
        <v/>
      </c>
      <c r="JL11" s="12" t="str">
        <f>IF(SUM(IZ11:JC11)-JD11&gt;0,SUM(IZ11:JC11)-JD11,"")</f>
        <v/>
      </c>
      <c r="JM11" s="12" t="str">
        <f>IF(SUM(JK11:JL11)&gt;0,SUM(JK11:JL11),"")</f>
        <v/>
      </c>
      <c r="JN11" s="12" t="str">
        <f>IF(SUM(JE11:JH11)-JI11&gt;0,SUM(JE11:JH11)-JI11,"")</f>
        <v/>
      </c>
      <c r="JO11" s="12" t="str">
        <f>IF(SUM(JM11,JN11)&gt;0,SUM(JM11,JN11),"")</f>
        <v/>
      </c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46"/>
      <c r="KD11" s="46"/>
      <c r="KE11" s="15" t="str">
        <f>IF(SUM(JW11)&gt;0,SUM(JW11),"")</f>
        <v/>
      </c>
      <c r="KF11" s="15" t="str">
        <f>IF(SUM(JP11:JS11)-JT11&gt;0,SUM(JP11:JS11)-JT11,"")</f>
        <v/>
      </c>
      <c r="KG11" s="15" t="str">
        <f>IF(SUM(JU11:JX11)-JY11&gt;0,SUM(JU11:JX11)-JY11,"")</f>
        <v/>
      </c>
      <c r="KH11" s="15" t="str">
        <f>IF(SUM(KF11:KG11)&gt;0,SUM(KF11:KG11),"")</f>
        <v/>
      </c>
      <c r="KI11" s="15" t="str">
        <f>IF(SUM(JZ11:KC11)-KD11&gt;0,SUM(JZ11:KC11)-KD11,"")</f>
        <v/>
      </c>
      <c r="KJ11" s="15" t="str">
        <f>IF(SUM(KH11,KI11)&gt;0,SUM(KH11,KI11),"")</f>
        <v/>
      </c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45"/>
      <c r="KY11" s="45"/>
      <c r="KZ11" s="12" t="str">
        <f>IF(SUM(KR11)&gt;0,SUM(KR11),"")</f>
        <v/>
      </c>
      <c r="LA11" s="12" t="str">
        <f>IF(SUM(KK11:KN11)-KO11&gt;0,SUM(KK11:KN11)-KO11,"")</f>
        <v/>
      </c>
      <c r="LB11" s="12" t="str">
        <f>IF(SUM(KP11:KS11)-KT11&gt;0,SUM(KP11:KS11)-KT11,"")</f>
        <v/>
      </c>
      <c r="LC11" s="12" t="str">
        <f>IF(SUM(LA11:LB11)&gt;0,SUM(LA11:LB11),"")</f>
        <v/>
      </c>
      <c r="LD11" s="12" t="str">
        <f>IF(SUM(KU11:KX11)-KY11&gt;0,SUM(KU11:KX11)-KY11,"")</f>
        <v/>
      </c>
      <c r="LE11" s="12" t="str">
        <f>IF(SUM(LC11,LD11)&gt;0,SUM(LC11,LD11),"")</f>
        <v/>
      </c>
      <c r="LF11" s="46"/>
      <c r="LG11" s="46"/>
      <c r="LH11" s="46"/>
      <c r="LI11" s="46"/>
      <c r="LJ11" s="46"/>
      <c r="LK11" s="46"/>
      <c r="LL11" s="46"/>
      <c r="LM11" s="46"/>
      <c r="LN11" s="46"/>
      <c r="LO11" s="46"/>
      <c r="LP11" s="46"/>
      <c r="LQ11" s="46"/>
      <c r="LR11" s="46"/>
      <c r="LS11" s="46"/>
      <c r="LT11" s="46"/>
      <c r="LU11" s="15" t="str">
        <f>IF(SUM(LM11)&gt;0,SUM(LM11),"")</f>
        <v/>
      </c>
      <c r="LV11" s="15" t="str">
        <f>IF(SUM(LF11:LI11)-LJ11&gt;0,SUM(LF11:LI11)-LJ11,"")</f>
        <v/>
      </c>
      <c r="LW11" s="15" t="str">
        <f>IF(SUM(LK11:LN11)-LO11&gt;0,SUM(LK11:LN11)-LO11,"")</f>
        <v/>
      </c>
      <c r="LX11" s="15" t="str">
        <f>IF(SUM(LV11:LW11)&gt;0,SUM(LV11:LW11),"")</f>
        <v/>
      </c>
      <c r="LY11" s="15" t="str">
        <f>IF(SUM(LP11:LS11)-LT11&gt;0,SUM(LP11:LS11)-LT11,"")</f>
        <v/>
      </c>
      <c r="LZ11" s="15" t="str">
        <f>IF(SUM(LX11,LY11)&gt;0,SUM(LX11,LY11),"")</f>
        <v/>
      </c>
    </row>
    <row r="12" spans="1:338">
      <c r="A12" s="6" t="str">
        <f>IF(AND(F12="P",H12="P"),SUMPRODUCT((F$4:F$17="P")*(H$4:H$17="P")*(E$4:E$17&gt;E12))+1,IF(H12="P",SUMPRODUCT((F$4:F$17="")*(H$4:H$17="P")*(E$4:E$17&gt;E12))+1+SUMPRODUCT((F$4:F$17="P")*(H$4:H$17="P")),""))</f>
        <v/>
      </c>
      <c r="B12" s="9" t="s">
        <v>77</v>
      </c>
      <c r="C12" s="5" t="s">
        <v>5</v>
      </c>
      <c r="D12" s="31">
        <v>2001</v>
      </c>
      <c r="E12" s="16">
        <f>SUM(J12:R12)</f>
        <v>240.86999999999998</v>
      </c>
      <c r="F12" s="4" t="str">
        <f>IF(OR(AND($AJ12&gt;=$AK$20,NOT($AJ12="")),AND($BE12&gt;=$BF$20,NOT($BE12="")),AND($BZ12&gt;=$CA$20,NOT($BZ12=""))),"P","")</f>
        <v/>
      </c>
      <c r="G12" s="4" t="str">
        <f>IF(OR(AND($AJ12&gt;=$AK$21,NOT($AJ12="")),AND($BE12&gt;=$BF$21,NOT($BE12="")),AND($BZ12&gt;=$CA$21,NOT($BZ12=""))),"P","")</f>
        <v/>
      </c>
      <c r="H12" s="4" t="str">
        <f>IF(OR(AND($AM12&gt;=$AK$22,NOT($AM12="")),AND($BH12&gt;=$BF$22,NOT($BH12="")),AND($CC12&gt;=$CA$22,NOT($CC12=""))),"P","")</f>
        <v/>
      </c>
      <c r="I12" t="str">
        <f>IF(AND(F12="P",OR(AND($AL12&gt;$AK$25,NOT($AL12="")),AND($AN12&gt;$AK$25,NOT($AN12="")),AND($BG12&gt;$BF$25,NOT($BG12="")),AND($BI12&gt;$BF$25,NOT($BI12="")),AND($CB12&gt;$CA$25,NOT($CB12="")),AND($CD12&gt;$CA$25,NOT($CD12="")))),"Merit",IF(AND(F12="P",OR(AND($AM12&gt;$AK$24,NOT($AM12="")),AND($BH12&gt;$BF$24,NOT($BH12="")),AND($CC12&gt;$CA$24,NOT($CC12="")))),"Funding",IF(AND(F12="P",OR(AND($AM12&gt;$AK$23,NOT($AM12="")),AND($BH12&gt;$BF$23,NOT($BH12="")),AND($CC12&gt;$CA$23,NOT($CC12="")))),"Worlds Team",IF(AND(F12="P",OR(AND($AM12&gt;$AK$22,NOT($AM12="")),AND($BH12&gt;$BF$22,NOT($BH12="")),AND($CC12&gt;$CA$22,NOT($CC12="")))),"National Team",""))))</f>
        <v/>
      </c>
      <c r="J12" s="15">
        <f>MAX(AM12,BH12,CC12)</f>
        <v>95.199999999999989</v>
      </c>
      <c r="K12" s="15" t="str">
        <f>IF(J12=CC12,$BK$1,IF(J12=BH12,$AP$1,IF(J12=AM12,$U$1,"")))</f>
        <v>2017 Nationals</v>
      </c>
      <c r="L12" s="15">
        <f>IF($J12=$AM12,MAX(BF12,CA12),IF($J12=$BH12,MAX(AK12,CA12),MAX(AK12,BF12)))</f>
        <v>44.57</v>
      </c>
      <c r="M12" s="15" t="str">
        <f>IF(L12=CA12,$BK$1,IF(L12=BF12,$AP$1,IF(L12=AK12,$U$1,"")))</f>
        <v>2018 Canada Cup</v>
      </c>
      <c r="N12" s="15">
        <f>IF($J12=$AM12,MAX(BG12,CB12),IF($J12=$BH12,MAX(AL12,CB12),MAX(AL12,BG12)))</f>
        <v>50.724999999999994</v>
      </c>
      <c r="O12" s="15" t="str">
        <f>IF(N12=CB12,$BK$1,IF(N12=BG12,$AP$1,IF(N12=AL12,$U$1,"")))</f>
        <v>2017 Canada Cup</v>
      </c>
      <c r="P12" s="15">
        <f>MAX(AN12,BI12,CD12)</f>
        <v>50.375000000000007</v>
      </c>
      <c r="Q12" s="15" t="str">
        <f>IF(P12=CD12,$BK$1,IF(P12=BI12,$AP$1,IF(P12=AN12,$U$1,"")))</f>
        <v>2017 Nationals</v>
      </c>
      <c r="R12" s="15" t="str">
        <f>IF(MAX(CF12,CG12,CH12)&gt;0,MAX(CF12,CG12,CH12),"")</f>
        <v/>
      </c>
      <c r="S12" s="29" t="str">
        <f>IF(R12="","",IF(R12=CF12,"(Vol 1)",IF(R12=CG12,"(Vol 2)",IF(R12=CH12,"(Final)"))))</f>
        <v/>
      </c>
      <c r="T12" s="15" t="str">
        <f>IF(R12="","",IF(R12=CF12,IF(R12+L12=LV12,$LF$1,IF(R12+L12=LA12,$KK$1,IF(R12+L12=KF12,$JP$1,IF(R12+L12=JK12,$IU$1,IF(R12+L12=IP12,$HZ$1,IF(R12+L12=HU12,$HE$1,IF(R12+L12=GZ12,$GJ$1,IF(R12+L12=GE12,$FO$1,IF(R12+L12=FJ12,$ET$1,IF(R12+L12=EO12,$DY$1,IF(R12+L12=DT12,$DD$1,IF(R12+L12=CY12,$CI$1)))))))))))),IF(R12=CG12,IF(R12+N12=LW12,$LF$1,IF(R12+N12=LB12,$KK$1,IF(R12+N12=KG12,$JP$1,IF(R12+N12=JL12,$IU$1,IF(R12+N12=IQ12,$HZ$1,IF(R12+N12=HV12,$HE$1,IF(R12+N12=HA12,$GJ$1,IF(R12+N12=GF12,$FO$1,IF(R12+N12=FK12,$ET$1,IF(R12+N12=EP12,$DY$1,IF(R12+N12=DU12,$DD$1,IF(R12+N12=CZ12,$CI$1)))))))))))),IF(R12=CH12,IF(R12+P12=LY12,$LF$1,IF(R12+P12=LD12,$KK$1,IF(R12+P12=KI12,$JP$1,IF(R12+P12=JN12,$IU$1,IF(R12+P12=IS12,$HZ$1,IF(R12+P12=HX12,$HE$1,IF(R12+P12=HC12,$GJ$1,IF(R12+P12=GH12,$FO$1,IF(R12+P12=FM12,$ET$1,IF(R12+P12=ER12,$DY$1,IF(R12+P12=DW12,$DD$1,IF(R12+P12=DB12,$CI$1))))))))))))))))</f>
        <v/>
      </c>
      <c r="U12" s="76">
        <v>14.7</v>
      </c>
      <c r="V12" s="76">
        <v>8.6999999999999993</v>
      </c>
      <c r="W12" s="76">
        <v>2.7</v>
      </c>
      <c r="X12" s="76">
        <v>14.225</v>
      </c>
      <c r="Y12" s="76">
        <v>0</v>
      </c>
      <c r="Z12" s="76">
        <v>14.3</v>
      </c>
      <c r="AA12" s="76">
        <v>9.5</v>
      </c>
      <c r="AB12" s="76">
        <v>12</v>
      </c>
      <c r="AC12" s="76">
        <v>14.925000000000001</v>
      </c>
      <c r="AD12" s="76">
        <v>0</v>
      </c>
      <c r="AE12" s="76">
        <v>14.1</v>
      </c>
      <c r="AF12" s="76">
        <v>9</v>
      </c>
      <c r="AG12" s="76">
        <v>12</v>
      </c>
      <c r="AH12" s="76">
        <v>14.96</v>
      </c>
      <c r="AI12" s="76">
        <v>0</v>
      </c>
      <c r="AJ12" s="12">
        <f>IF(SUM(AB12)&gt;0,SUM(AB12),"")</f>
        <v>12</v>
      </c>
      <c r="AK12" s="12">
        <f>IF(SUM(U12:X12)-Y12&gt;0,SUM(U12:X12)-Y12,"")</f>
        <v>40.324999999999996</v>
      </c>
      <c r="AL12" s="12">
        <f>IF(SUM(Z12:AC12)-AD12&gt;0,SUM(Z12:AC12)-AD12,"")</f>
        <v>50.724999999999994</v>
      </c>
      <c r="AM12" s="12">
        <f>IF(SUM(AK12:AL12)&gt;0,SUM(AK12:AL12),"")</f>
        <v>91.049999999999983</v>
      </c>
      <c r="AN12" s="12">
        <f>IF(SUM(AE12:AH12)-AI12&gt;0,SUM(AE12:AH12)-AI12,"")</f>
        <v>50.06</v>
      </c>
      <c r="AO12" s="12">
        <f>IF(SUM(AM12,AN12)&gt;0,SUM(AM12,AN12),"")</f>
        <v>141.10999999999999</v>
      </c>
      <c r="AP12" s="80">
        <v>17.3</v>
      </c>
      <c r="AQ12" s="80">
        <v>9.6</v>
      </c>
      <c r="AR12" s="80">
        <v>3.6</v>
      </c>
      <c r="AS12" s="80">
        <v>14.675000000000001</v>
      </c>
      <c r="AT12" s="80">
        <v>0</v>
      </c>
      <c r="AU12" s="80">
        <v>14.9</v>
      </c>
      <c r="AV12" s="80">
        <v>9.1</v>
      </c>
      <c r="AW12" s="80">
        <v>12</v>
      </c>
      <c r="AX12" s="80">
        <v>14.025</v>
      </c>
      <c r="AY12" s="80">
        <v>0</v>
      </c>
      <c r="AZ12" s="80">
        <v>15</v>
      </c>
      <c r="BA12" s="80">
        <v>9.6</v>
      </c>
      <c r="BB12" s="80">
        <v>11.3</v>
      </c>
      <c r="BC12" s="80">
        <v>14.475</v>
      </c>
      <c r="BD12" s="80">
        <v>0</v>
      </c>
      <c r="BE12" s="15">
        <f>IF(SUM(AW12)&gt;0,SUM(AW12),"")</f>
        <v>12</v>
      </c>
      <c r="BF12" s="15">
        <f>IF(SUM(AP12:AS12)-AT12&gt;0,SUM(AP12:AS12)-AT12,"")</f>
        <v>45.174999999999997</v>
      </c>
      <c r="BG12" s="15">
        <f>IF(SUM(AU12:AX12)-AY12&gt;0,SUM(AU12:AX12)-AY12,"")</f>
        <v>50.024999999999999</v>
      </c>
      <c r="BH12" s="15">
        <f>IF(SUM(BF12:BG12)&gt;0,SUM(BF12:BG12),"")</f>
        <v>95.199999999999989</v>
      </c>
      <c r="BI12" s="15">
        <f>IF(SUM(AZ12:BC12)-BD12&gt;0,SUM(AZ12:BC12)-BD12,"")</f>
        <v>50.375000000000007</v>
      </c>
      <c r="BJ12" s="15">
        <f>IF(SUM(BH12,BI12)&gt;0,SUM(BH12,BI12),"")</f>
        <v>145.57499999999999</v>
      </c>
      <c r="BK12" s="76">
        <v>15.2</v>
      </c>
      <c r="BL12" s="76">
        <v>9.75</v>
      </c>
      <c r="BM12" s="76">
        <v>4.5</v>
      </c>
      <c r="BN12" s="76">
        <v>15.12</v>
      </c>
      <c r="BO12" s="76">
        <v>0</v>
      </c>
      <c r="BP12" s="76">
        <v>11.9</v>
      </c>
      <c r="BQ12" s="76">
        <v>8.8000000000000007</v>
      </c>
      <c r="BR12" s="76">
        <v>11.5</v>
      </c>
      <c r="BS12" s="76">
        <v>14.39</v>
      </c>
      <c r="BT12" s="76">
        <v>0</v>
      </c>
      <c r="BU12" s="76">
        <v>13.8</v>
      </c>
      <c r="BV12" s="76">
        <v>9.15</v>
      </c>
      <c r="BW12" s="76">
        <v>12.7</v>
      </c>
      <c r="BX12" s="76">
        <v>14.255000000000001</v>
      </c>
      <c r="BY12" s="76">
        <v>0</v>
      </c>
      <c r="BZ12" s="12">
        <f>IF(SUM(BR12)&gt;0,SUM(BR12),"")</f>
        <v>11.5</v>
      </c>
      <c r="CA12" s="12">
        <f>IF(SUM(BK12:BN12)-BO12&gt;0,SUM(BK12:BN12)-BO12,"")</f>
        <v>44.57</v>
      </c>
      <c r="CB12" s="12">
        <f>IF(SUM(BP12:BS12)-BT12&gt;0,SUM(BP12:BS12)-BT12,"")</f>
        <v>46.59</v>
      </c>
      <c r="CC12" s="12">
        <f>IF(SUM(CA12:CB12)&gt;0,SUM(CA12:CB12),"")</f>
        <v>91.16</v>
      </c>
      <c r="CD12" s="12">
        <f>IF(SUM(BU12:BX12)-BY12&gt;0,SUM(BU12:BX12)-BY12,"")</f>
        <v>49.905000000000008</v>
      </c>
      <c r="CE12" s="12">
        <f>IF(SUM(CC12,CD12)&gt;0,SUM(CC12,CD12),"")</f>
        <v>141.065</v>
      </c>
      <c r="CF12" s="28" t="str">
        <f>IF(MAX(CY12,DT12,EO12,FJ12,GE12,GZ12,HU12,IP12,JK12,KF12,LA12,LV12)-L12&gt;0.001,MAX(CY12,DT12,EO12,FJ12,GE12,GZ12,HU12,IP12,JK12,KF12,LA12,LV12)-L12,"")</f>
        <v/>
      </c>
      <c r="CG12" s="28" t="str">
        <f>IF(MAX(CZ12,DU12,EP12,FK12,GF12,HA12,HV12,IQ12,JL12,KG12,LB12,LW12)-N12&gt;0.001,MAX(CZ12,DU12,EP12,FK12,GF12,HA12,HV12,IQ12,JL12,KG12,LB12,LW12)-N12,"")</f>
        <v/>
      </c>
      <c r="CH12" s="28" t="str">
        <f>IF(MAX(DB12,DW12,ER12,FM12,GH12,HC12,HX12,IS12,JN12,KI12,LD12,LY12)-P12&gt;0.001,MAX(DB12,DW12,ER12,FM12,GH12,HC12,HX12,IS12,JN12,KI12,LD12,LY12)-P12,"")</f>
        <v/>
      </c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12" t="str">
        <f>IF(SUM(CP12)&gt;0,SUM(CP12),"")</f>
        <v/>
      </c>
      <c r="CY12" s="12" t="str">
        <f>IF(SUM(CI12:CL12)-CM12&gt;0,SUM(CI12:CL12)-CM12,"")</f>
        <v/>
      </c>
      <c r="CZ12" s="12" t="str">
        <f>IF(SUM(CN12:CQ12)-CR12&gt;0,SUM(CN12:CQ12)-CR12,"")</f>
        <v/>
      </c>
      <c r="DA12" s="12" t="str">
        <f>IF(SUM(CY12:CZ12)&gt;0,SUM(CY12:CZ12),"")</f>
        <v/>
      </c>
      <c r="DB12" s="12" t="str">
        <f>IF(SUM(CS12:CV12)-CW12&gt;0,SUM(CS12:CV12)-CW12,"")</f>
        <v/>
      </c>
      <c r="DC12" s="12" t="str">
        <f>IF(SUM(DA12,DB12)&gt;0,SUM(DA12,DB12),"")</f>
        <v/>
      </c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15" t="str">
        <f>IF(SUM(DK12)&gt;0,SUM(DK12),"")</f>
        <v/>
      </c>
      <c r="DT12" s="15" t="str">
        <f>IF(SUM(DD12:DG12)-DH12&gt;0,SUM(DD12:DG12)-DH12,"")</f>
        <v/>
      </c>
      <c r="DU12" s="15" t="str">
        <f>IF(SUM(DI12:DL12)-DM12&gt;0,SUM(DI12:DL12)-DM12,"")</f>
        <v/>
      </c>
      <c r="DV12" s="15" t="str">
        <f>IF(SUM(DT12:DU12)&gt;0,SUM(DT12:DU12),"")</f>
        <v/>
      </c>
      <c r="DW12" s="15" t="str">
        <f>IF(SUM(DN12:DQ12)-DR12&gt;0,SUM(DN12:DQ12)-DR12,"")</f>
        <v/>
      </c>
      <c r="DX12" s="15" t="str">
        <f>IF(SUM(DV12,DW12)&gt;0,SUM(DV12,DW12),"")</f>
        <v/>
      </c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12" t="str">
        <f>IF(SUM(EF12)&gt;0,SUM(EF12),"")</f>
        <v/>
      </c>
      <c r="EO12" s="12" t="str">
        <f>IF(SUM(DY12:EB12)-EC12&gt;0,SUM(DY12:EB12)-EC12,"")</f>
        <v/>
      </c>
      <c r="EP12" s="12" t="str">
        <f>IF(SUM(ED12:EG12)-EH12&gt;0,SUM(ED12:EG12)-EH12,"")</f>
        <v/>
      </c>
      <c r="EQ12" s="12" t="str">
        <f>IF(SUM(EO12:EP12)&gt;0,SUM(EO12:EP12),"")</f>
        <v/>
      </c>
      <c r="ER12" s="12" t="str">
        <f>IF(SUM(EI12:EL12)-EM12&gt;0,SUM(EI12:EL12)-EM12,"")</f>
        <v/>
      </c>
      <c r="ES12" s="12" t="str">
        <f>IF(SUM(EQ12,ER12)&gt;0,SUM(EQ12,ER12),"")</f>
        <v/>
      </c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15" t="str">
        <f>IF(SUM(FA12)&gt;0,SUM(FA12),"")</f>
        <v/>
      </c>
      <c r="FJ12" s="15" t="str">
        <f>IF(SUM(ET12:EW12)-EX12&gt;0,SUM(ET12:EW12)-EX12,"")</f>
        <v/>
      </c>
      <c r="FK12" s="15" t="str">
        <f>IF(SUM(EY12:FB12)-FC12&gt;0,SUM(EY12:FB12)-FC12,"")</f>
        <v/>
      </c>
      <c r="FL12" s="15" t="str">
        <f>IF(SUM(FJ12:FK12)&gt;0,SUM(FJ12:FK12),"")</f>
        <v/>
      </c>
      <c r="FM12" s="15" t="str">
        <f>IF(SUM(FD12:FG12)-FH12&gt;0,SUM(FD12:FG12)-FH12,"")</f>
        <v/>
      </c>
      <c r="FN12" s="15" t="str">
        <f>IF(SUM(FL12,FM12)&gt;0,SUM(FL12,FM12),"")</f>
        <v/>
      </c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12" t="str">
        <f>IF(SUM(FV12)&gt;0,SUM(FV12),"")</f>
        <v/>
      </c>
      <c r="GE12" s="12" t="str">
        <f>IF(SUM(FO12:FR12)-FS12&gt;0,SUM(FO12:FR12)-FS12,"")</f>
        <v/>
      </c>
      <c r="GF12" s="12" t="str">
        <f>IF(SUM(FT12:FW12)-FX12&gt;0,SUM(FT12:FW12)-FX12,"")</f>
        <v/>
      </c>
      <c r="GG12" s="12" t="str">
        <f>IF(SUM(GE12:GF12)&gt;0,SUM(GE12:GF12),"")</f>
        <v/>
      </c>
      <c r="GH12" s="12" t="str">
        <f>IF(SUM(FY12:GB12)-GC12&gt;0,SUM(FY12:GB12)-GC12,"")</f>
        <v/>
      </c>
      <c r="GI12" s="12" t="str">
        <f>IF(SUM(GG12,GH12)&gt;0,SUM(GG12,GH12),"")</f>
        <v/>
      </c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15" t="str">
        <f>IF(SUM(GQ12)&gt;0,SUM(GQ12),"")</f>
        <v/>
      </c>
      <c r="GZ12" s="15" t="str">
        <f>IF(SUM(GJ12:GM12)-GN12&gt;0,SUM(GJ12:GM12)-GN12,"")</f>
        <v/>
      </c>
      <c r="HA12" s="15" t="str">
        <f>IF(SUM(GO12:GR12)-GS12&gt;0,SUM(GO12:GR12)-GS12,"")</f>
        <v/>
      </c>
      <c r="HB12" s="15" t="str">
        <f>IF(SUM(GZ12:HA12)&gt;0,SUM(GZ12:HA12),"")</f>
        <v/>
      </c>
      <c r="HC12" s="15" t="str">
        <f>IF(SUM(GT12:GW12)-GX12&gt;0,SUM(GT12:GW12)-GX12,"")</f>
        <v/>
      </c>
      <c r="HD12" s="15" t="str">
        <f>IF(SUM(HB12,HC12)&gt;0,SUM(HB12,HC12),"")</f>
        <v/>
      </c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12" t="str">
        <f>IF(SUM(HL12)&gt;0,SUM(HL12),"")</f>
        <v/>
      </c>
      <c r="HU12" s="12" t="str">
        <f>IF(SUM(HE12:HH12)-HI12&gt;0,SUM(HE12:HH12)-HI12,"")</f>
        <v/>
      </c>
      <c r="HV12" s="12" t="str">
        <f>IF(SUM(HJ12:HM12)-HN12&gt;0,SUM(HJ12:HM12)-HN12,"")</f>
        <v/>
      </c>
      <c r="HW12" s="12" t="str">
        <f>IF(SUM(HU12:HV12)&gt;0,SUM(HU12:HV12),"")</f>
        <v/>
      </c>
      <c r="HX12" s="12" t="str">
        <f>IF(SUM(HO12:HR12)-HS12&gt;0,SUM(HO12:HR12)-HS12,"")</f>
        <v/>
      </c>
      <c r="HY12" s="12" t="str">
        <f>IF(SUM(HW12,HX12)&gt;0,SUM(HW12,HX12),"")</f>
        <v/>
      </c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15" t="str">
        <f>IF(SUM(IG12)&gt;0,SUM(IG12),"")</f>
        <v/>
      </c>
      <c r="IP12" s="15" t="str">
        <f>IF(SUM(HZ12:IC12)-ID12&gt;0,SUM(HZ12:IC12)-ID12,"")</f>
        <v/>
      </c>
      <c r="IQ12" s="15" t="str">
        <f>IF(SUM(IE12:IH12)-II12&gt;0,SUM(IE12:IH12)-II12,"")</f>
        <v/>
      </c>
      <c r="IR12" s="15" t="str">
        <f>IF(SUM(IP12:IQ12)&gt;0,SUM(IP12:IQ12),"")</f>
        <v/>
      </c>
      <c r="IS12" s="15" t="str">
        <f>IF(SUM(IJ12:IM12)-IN12&gt;0,SUM(IJ12:IM12)-IN12,"")</f>
        <v/>
      </c>
      <c r="IT12" s="15" t="str">
        <f>IF(SUM(IR12,IS12)&gt;0,SUM(IR12,IS12),"")</f>
        <v/>
      </c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12" t="str">
        <f>IF(SUM(JB12)&gt;0,SUM(JB12),"")</f>
        <v/>
      </c>
      <c r="JK12" s="12" t="str">
        <f>IF(SUM(IU12:IX12)-IY12&gt;0,SUM(IU12:IX12)-IY12,"")</f>
        <v/>
      </c>
      <c r="JL12" s="12" t="str">
        <f>IF(SUM(IZ12:JC12)-JD12&gt;0,SUM(IZ12:JC12)-JD12,"")</f>
        <v/>
      </c>
      <c r="JM12" s="12" t="str">
        <f>IF(SUM(JK12:JL12)&gt;0,SUM(JK12:JL12),"")</f>
        <v/>
      </c>
      <c r="JN12" s="12" t="str">
        <f>IF(SUM(JE12:JH12)-JI12&gt;0,SUM(JE12:JH12)-JI12,"")</f>
        <v/>
      </c>
      <c r="JO12" s="12" t="str">
        <f>IF(SUM(JM12,JN12)&gt;0,SUM(JM12,JN12),"")</f>
        <v/>
      </c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46"/>
      <c r="KD12" s="46"/>
      <c r="KE12" s="15" t="str">
        <f>IF(SUM(JW12)&gt;0,SUM(JW12),"")</f>
        <v/>
      </c>
      <c r="KF12" s="15" t="str">
        <f>IF(SUM(JP12:JS12)-JT12&gt;0,SUM(JP12:JS12)-JT12,"")</f>
        <v/>
      </c>
      <c r="KG12" s="15" t="str">
        <f>IF(SUM(JU12:JX12)-JY12&gt;0,SUM(JU12:JX12)-JY12,"")</f>
        <v/>
      </c>
      <c r="KH12" s="15" t="str">
        <f>IF(SUM(KF12:KG12)&gt;0,SUM(KF12:KG12),"")</f>
        <v/>
      </c>
      <c r="KI12" s="15" t="str">
        <f>IF(SUM(JZ12:KC12)-KD12&gt;0,SUM(JZ12:KC12)-KD12,"")</f>
        <v/>
      </c>
      <c r="KJ12" s="15" t="str">
        <f>IF(SUM(KH12,KI12)&gt;0,SUM(KH12,KI12),"")</f>
        <v/>
      </c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12" t="str">
        <f>IF(SUM(KR12)&gt;0,SUM(KR12),"")</f>
        <v/>
      </c>
      <c r="LA12" s="12" t="str">
        <f>IF(SUM(KK12:KN12)-KO12&gt;0,SUM(KK12:KN12)-KO12,"")</f>
        <v/>
      </c>
      <c r="LB12" s="12" t="str">
        <f>IF(SUM(KP12:KS12)-KT12&gt;0,SUM(KP12:KS12)-KT12,"")</f>
        <v/>
      </c>
      <c r="LC12" s="12" t="str">
        <f>IF(SUM(LA12:LB12)&gt;0,SUM(LA12:LB12),"")</f>
        <v/>
      </c>
      <c r="LD12" s="12" t="str">
        <f>IF(SUM(KU12:KX12)-KY12&gt;0,SUM(KU12:KX12)-KY12,"")</f>
        <v/>
      </c>
      <c r="LE12" s="12" t="str">
        <f>IF(SUM(LC12,LD12)&gt;0,SUM(LC12,LD12),"")</f>
        <v/>
      </c>
      <c r="LF12" s="46"/>
      <c r="LG12" s="46"/>
      <c r="LH12" s="46"/>
      <c r="LI12" s="46"/>
      <c r="LJ12" s="46"/>
      <c r="LK12" s="46"/>
      <c r="LL12" s="46"/>
      <c r="LM12" s="46"/>
      <c r="LN12" s="46"/>
      <c r="LO12" s="46"/>
      <c r="LP12" s="46"/>
      <c r="LQ12" s="46"/>
      <c r="LR12" s="46"/>
      <c r="LS12" s="46"/>
      <c r="LT12" s="46"/>
      <c r="LU12" s="15" t="str">
        <f>IF(SUM(LM12)&gt;0,SUM(LM12),"")</f>
        <v/>
      </c>
      <c r="LV12" s="15" t="str">
        <f>IF(SUM(LF12:LI12)-LJ12&gt;0,SUM(LF12:LI12)-LJ12,"")</f>
        <v/>
      </c>
      <c r="LW12" s="15" t="str">
        <f>IF(SUM(LK12:LN12)-LO12&gt;0,SUM(LK12:LN12)-LO12,"")</f>
        <v/>
      </c>
      <c r="LX12" s="15" t="str">
        <f>IF(SUM(LV12:LW12)&gt;0,SUM(LV12:LW12),"")</f>
        <v/>
      </c>
      <c r="LY12" s="15" t="str">
        <f>IF(SUM(LP12:LS12)-LT12&gt;0,SUM(LP12:LS12)-LT12,"")</f>
        <v/>
      </c>
      <c r="LZ12" s="15" t="str">
        <f>IF(SUM(LX12,LY12)&gt;0,SUM(LX12,LY12),"")</f>
        <v/>
      </c>
    </row>
    <row r="13" spans="1:338">
      <c r="A13" s="6" t="str">
        <f>IF(AND(F13="P",H13="P"),SUMPRODUCT((F$4:F$17="P")*(H$4:H$17="P")*(E$4:E$17&gt;E13))+1,IF(H13="P",SUMPRODUCT((F$4:F$17="")*(H$4:H$17="P")*(E$4:E$17&gt;E13))+1+SUMPRODUCT((F$4:F$17="P")*(H$4:H$17="P")),""))</f>
        <v/>
      </c>
      <c r="B13" s="9" t="s">
        <v>82</v>
      </c>
      <c r="C13" s="5" t="s">
        <v>5</v>
      </c>
      <c r="D13" s="31">
        <v>2001</v>
      </c>
      <c r="E13" s="16">
        <f>SUM(J13:R13)</f>
        <v>239.29500000000002</v>
      </c>
      <c r="F13" s="4" t="str">
        <f>IF(OR(AND($AJ13&gt;=$AK$20,NOT($AJ13="")),AND($BE13&gt;=$BF$20,NOT($BE13="")),AND($BZ13&gt;=$CA$20,NOT($BZ13=""))),"P","")</f>
        <v/>
      </c>
      <c r="G13" s="4" t="str">
        <f>IF(OR(AND($AJ13&gt;=$AK$21,NOT($AJ13="")),AND($BE13&gt;=$BF$21,NOT($BE13="")),AND($BZ13&gt;=$CA$21,NOT($BZ13=""))),"P","")</f>
        <v/>
      </c>
      <c r="H13" s="4" t="str">
        <f>IF(OR(AND($AM13&gt;=$AK$22,NOT($AM13="")),AND($BH13&gt;=$BF$22,NOT($BH13="")),AND($CC13&gt;=$CA$22,NOT($CC13=""))),"P","")</f>
        <v/>
      </c>
      <c r="I13" t="str">
        <f>IF(AND(F13="P",OR(AND($AL13&gt;$AK$25,NOT($AL13="")),AND($AN13&gt;$AK$25,NOT($AN13="")),AND($BG13&gt;$BF$25,NOT($BG13="")),AND($BI13&gt;$BF$25,NOT($BI13="")),AND($CB13&gt;$CA$25,NOT($CB13="")),AND($CD13&gt;$CA$25,NOT($CD13="")))),"Merit",IF(AND(F13="P",OR(AND($AM13&gt;$AK$24,NOT($AM13="")),AND($BH13&gt;$BF$24,NOT($BH13="")),AND($CC13&gt;$CA$24,NOT($CC13="")))),"Funding",IF(AND(F13="P",OR(AND($AM13&gt;$AK$23,NOT($AM13="")),AND($BH13&gt;$BF$23,NOT($BH13="")),AND($CC13&gt;$CA$23,NOT($CC13="")))),"Worlds Team",IF(AND(F13="P",OR(AND($AM13&gt;$AK$22,NOT($AM13="")),AND($BH13&gt;$BF$22,NOT($BH13="")),AND($CC13&gt;$CA$22,NOT($CC13="")))),"National Team",""))))</f>
        <v/>
      </c>
      <c r="J13" s="15">
        <f>MAX(AM13,BH13,CC13)</f>
        <v>95.24</v>
      </c>
      <c r="K13" s="15" t="str">
        <f>IF(J13=CC13,$BK$1,IF(J13=BH13,$AP$1,IF(J13=AM13,$U$1,"")))</f>
        <v>2017 Nationals</v>
      </c>
      <c r="L13" s="15">
        <f>IF($J13=$AM13,MAX(BF13,CA13),IF($J13=$BH13,MAX(AK13,CA13),MAX(AK13,BF13)))</f>
        <v>41.255000000000003</v>
      </c>
      <c r="M13" s="15" t="str">
        <f>IF(L13=CA13,$BK$1,IF(L13=BF13,$AP$1,IF(L13=AK13,$U$1,"")))</f>
        <v>2017 Canada Cup</v>
      </c>
      <c r="N13" s="15">
        <f>IF($J13=$AM13,MAX(BG13,CB13),IF($J13=$BH13,MAX(AL13,CB13),MAX(AL13,BG13)))</f>
        <v>50.600000000000009</v>
      </c>
      <c r="O13" s="15" t="str">
        <f>IF(N13=CB13,$BK$1,IF(N13=BG13,$AP$1,IF(N13=AL13,$U$1,"")))</f>
        <v>2017 Canada Cup</v>
      </c>
      <c r="P13" s="15">
        <f>MAX(AN13,BI13,CD13)</f>
        <v>52.2</v>
      </c>
      <c r="Q13" s="15" t="str">
        <f>IF(P13=CD13,$BK$1,IF(P13=BI13,$AP$1,IF(P13=AN13,$U$1,"")))</f>
        <v>2018 Canada Cup</v>
      </c>
      <c r="R13" s="15" t="str">
        <f>IF(MAX(CF13,CG13,CH13)&gt;0,MAX(CF13,CG13,CH13),"")</f>
        <v/>
      </c>
      <c r="S13" s="29" t="str">
        <f>IF(R13="","",IF(R13=CF13,"(Vol 1)",IF(R13=CG13,"(Vol 2)",IF(R13=CH13,"(Final)"))))</f>
        <v/>
      </c>
      <c r="T13" s="15" t="str">
        <f>IF(R13="","",IF(R13=CF13,IF(R13+L13=LV13,$LF$1,IF(R13+L13=LA13,$KK$1,IF(R13+L13=KF13,$JP$1,IF(R13+L13=JK13,$IU$1,IF(R13+L13=IP13,$HZ$1,IF(R13+L13=HU13,$HE$1,IF(R13+L13=GZ13,$GJ$1,IF(R13+L13=GE13,$FO$1,IF(R13+L13=FJ13,$ET$1,IF(R13+L13=EO13,$DY$1,IF(R13+L13=DT13,$DD$1,IF(R13+L13=CY13,$CI$1)))))))))))),IF(R13=CG13,IF(R13+N13=LW13,$LF$1,IF(R13+N13=LB13,$KK$1,IF(R13+N13=KG13,$JP$1,IF(R13+N13=JL13,$IU$1,IF(R13+N13=IQ13,$HZ$1,IF(R13+N13=HV13,$HE$1,IF(R13+N13=HA13,$GJ$1,IF(R13+N13=GF13,$FO$1,IF(R13+N13=FK13,$ET$1,IF(R13+N13=EP13,$DY$1,IF(R13+N13=DU13,$DD$1,IF(R13+N13=CZ13,$CI$1)))))))))))),IF(R13=CH13,IF(R13+P13=LY13,$LF$1,IF(R13+P13=LD13,$KK$1,IF(R13+P13=KI13,$JP$1,IF(R13+P13=JN13,$IU$1,IF(R13+P13=IS13,$HZ$1,IF(R13+P13=HX13,$HE$1,IF(R13+P13=HC13,$GJ$1,IF(R13+P13=GH13,$FO$1,IF(R13+P13=FM13,$ET$1,IF(R13+P13=ER13,$DY$1,IF(R13+P13=DW13,$DD$1,IF(R13+P13=DB13,$CI$1))))))))))))))))</f>
        <v/>
      </c>
      <c r="U13" s="76">
        <v>12.9</v>
      </c>
      <c r="V13" s="76">
        <v>8.9</v>
      </c>
      <c r="W13" s="76">
        <v>4.3</v>
      </c>
      <c r="X13" s="76">
        <v>15.154999999999999</v>
      </c>
      <c r="Y13" s="76">
        <v>0</v>
      </c>
      <c r="Z13" s="76">
        <v>15.1</v>
      </c>
      <c r="AA13" s="76">
        <v>9.5</v>
      </c>
      <c r="AB13" s="76">
        <v>10.8</v>
      </c>
      <c r="AC13" s="76">
        <v>15.2</v>
      </c>
      <c r="AD13" s="76">
        <v>0</v>
      </c>
      <c r="AE13" s="76">
        <v>14.1</v>
      </c>
      <c r="AF13" s="76">
        <v>9</v>
      </c>
      <c r="AG13" s="76">
        <v>10.7</v>
      </c>
      <c r="AH13" s="76">
        <v>14.94</v>
      </c>
      <c r="AI13" s="76">
        <v>0</v>
      </c>
      <c r="AJ13" s="12">
        <f>IF(SUM(AB13)&gt;0,SUM(AB13),"")</f>
        <v>10.8</v>
      </c>
      <c r="AK13" s="12">
        <f>IF(SUM(U13:X13)-Y13&gt;0,SUM(U13:X13)-Y13,"")</f>
        <v>41.255000000000003</v>
      </c>
      <c r="AL13" s="12">
        <f>IF(SUM(Z13:AC13)-AD13&gt;0,SUM(Z13:AC13)-AD13,"")</f>
        <v>50.600000000000009</v>
      </c>
      <c r="AM13" s="12">
        <f>IF(SUM(AK13:AL13)&gt;0,SUM(AK13:AL13),"")</f>
        <v>91.855000000000018</v>
      </c>
      <c r="AN13" s="12">
        <f>IF(SUM(AE13:AH13)-AI13&gt;0,SUM(AE13:AH13)-AI13,"")</f>
        <v>48.739999999999995</v>
      </c>
      <c r="AO13" s="12">
        <f>IF(SUM(AM13,AN13)&gt;0,SUM(AM13,AN13),"")</f>
        <v>140.59500000000003</v>
      </c>
      <c r="AP13" s="80">
        <v>15.1</v>
      </c>
      <c r="AQ13" s="80">
        <v>9.3000000000000007</v>
      </c>
      <c r="AR13" s="80">
        <v>4.0999999999999996</v>
      </c>
      <c r="AS13" s="80">
        <v>14.94</v>
      </c>
      <c r="AT13" s="80">
        <v>0</v>
      </c>
      <c r="AU13" s="80">
        <v>15.6</v>
      </c>
      <c r="AV13" s="80">
        <v>9.5</v>
      </c>
      <c r="AW13" s="80">
        <v>11.7</v>
      </c>
      <c r="AX13" s="80">
        <v>15</v>
      </c>
      <c r="AY13" s="80">
        <v>0</v>
      </c>
      <c r="AZ13" s="80">
        <v>15.2</v>
      </c>
      <c r="BA13" s="80">
        <v>9.3000000000000007</v>
      </c>
      <c r="BB13" s="80">
        <v>11.7</v>
      </c>
      <c r="BC13" s="80">
        <v>14.78</v>
      </c>
      <c r="BD13" s="80"/>
      <c r="BE13" s="15">
        <f>IF(SUM(AW13)&gt;0,SUM(AW13),"")</f>
        <v>11.7</v>
      </c>
      <c r="BF13" s="15">
        <f>IF(SUM(AP13:AS13)-AT13&gt;0,SUM(AP13:AS13)-AT13,"")</f>
        <v>43.44</v>
      </c>
      <c r="BG13" s="15">
        <f>IF(SUM(AU13:AX13)-AY13&gt;0,SUM(AU13:AX13)-AY13,"")</f>
        <v>51.8</v>
      </c>
      <c r="BH13" s="15">
        <f>IF(SUM(BF13:BG13)&gt;0,SUM(BF13:BG13),"")</f>
        <v>95.24</v>
      </c>
      <c r="BI13" s="15">
        <f>IF(SUM(AZ13:BC13)-BD13&gt;0,SUM(AZ13:BC13)-BD13,"")</f>
        <v>50.980000000000004</v>
      </c>
      <c r="BJ13" s="15">
        <f>IF(SUM(BH13,BI13)&gt;0,SUM(BH13,BI13),"")</f>
        <v>146.22</v>
      </c>
      <c r="BK13" s="76">
        <v>15</v>
      </c>
      <c r="BL13" s="76">
        <v>8.4499999999999993</v>
      </c>
      <c r="BM13" s="76">
        <v>2.9</v>
      </c>
      <c r="BN13" s="76">
        <v>13.734999999999999</v>
      </c>
      <c r="BO13" s="76">
        <v>0</v>
      </c>
      <c r="BP13" s="76">
        <v>13</v>
      </c>
      <c r="BQ13" s="76">
        <v>8.6</v>
      </c>
      <c r="BR13" s="76">
        <v>11.7</v>
      </c>
      <c r="BS13" s="76">
        <v>14.61</v>
      </c>
      <c r="BT13" s="76">
        <v>0</v>
      </c>
      <c r="BU13" s="76">
        <v>14.4</v>
      </c>
      <c r="BV13" s="76">
        <v>9</v>
      </c>
      <c r="BW13" s="76">
        <v>14</v>
      </c>
      <c r="BX13" s="76">
        <v>14.8</v>
      </c>
      <c r="BY13" s="76">
        <v>0</v>
      </c>
      <c r="BZ13" s="12">
        <f>IF(SUM(BR13)&gt;0,SUM(BR13),"")</f>
        <v>11.7</v>
      </c>
      <c r="CA13" s="12">
        <f>IF(SUM(BK13:BN13)-BO13&gt;0,SUM(BK13:BN13)-BO13,"")</f>
        <v>40.084999999999994</v>
      </c>
      <c r="CB13" s="12">
        <f>IF(SUM(BP13:BS13)-BT13&gt;0,SUM(BP13:BS13)-BT13,"")</f>
        <v>47.91</v>
      </c>
      <c r="CC13" s="12">
        <f>IF(SUM(CA13:CB13)&gt;0,SUM(CA13:CB13),"")</f>
        <v>87.99499999999999</v>
      </c>
      <c r="CD13" s="12">
        <f>IF(SUM(BU13:BX13)-BY13&gt;0,SUM(BU13:BX13)-BY13,"")</f>
        <v>52.2</v>
      </c>
      <c r="CE13" s="12">
        <f>IF(SUM(CC13,CD13)&gt;0,SUM(CC13,CD13),"")</f>
        <v>140.19499999999999</v>
      </c>
      <c r="CF13" s="28" t="str">
        <f>IF(MAX(CY13,DT13,EO13,FJ13,GE13,GZ13,HU13,IP13,JK13,KF13,LA13,LV13)-L13&gt;0.001,MAX(CY13,DT13,EO13,FJ13,GE13,GZ13,HU13,IP13,JK13,KF13,LA13,LV13)-L13,"")</f>
        <v/>
      </c>
      <c r="CG13" s="28" t="str">
        <f>IF(MAX(CZ13,DU13,EP13,FK13,GF13,HA13,HV13,IQ13,JL13,KG13,LB13,LW13)-N13&gt;0.001,MAX(CZ13,DU13,EP13,FK13,GF13,HA13,HV13,IQ13,JL13,KG13,LB13,LW13)-N13,"")</f>
        <v/>
      </c>
      <c r="CH13" s="28" t="str">
        <f>IF(MAX(DB13,DW13,ER13,FM13,GH13,HC13,HX13,IS13,JN13,KI13,LD13,LY13)-P13&gt;0.001,MAX(DB13,DW13,ER13,FM13,GH13,HC13,HX13,IS13,JN13,KI13,LD13,LY13)-P13,"")</f>
        <v/>
      </c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12" t="str">
        <f>IF(SUM(CP13)&gt;0,SUM(CP13),"")</f>
        <v/>
      </c>
      <c r="CY13" s="12" t="str">
        <f>IF(SUM(CI13:CL13)-CM13&gt;0,SUM(CI13:CL13)-CM13,"")</f>
        <v/>
      </c>
      <c r="CZ13" s="12" t="str">
        <f>IF(SUM(CN13:CQ13)-CR13&gt;0,SUM(CN13:CQ13)-CR13,"")</f>
        <v/>
      </c>
      <c r="DA13" s="12" t="str">
        <f>IF(SUM(CY13:CZ13)&gt;0,SUM(CY13:CZ13),"")</f>
        <v/>
      </c>
      <c r="DB13" s="12" t="str">
        <f>IF(SUM(CS13:CV13)-CW13&gt;0,SUM(CS13:CV13)-CW13,"")</f>
        <v/>
      </c>
      <c r="DC13" s="12" t="str">
        <f>IF(SUM(DA13,DB13)&gt;0,SUM(DA13,DB13),"")</f>
        <v/>
      </c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15" t="str">
        <f>IF(SUM(DK13)&gt;0,SUM(DK13),"")</f>
        <v/>
      </c>
      <c r="DT13" s="15" t="str">
        <f>IF(SUM(DD13:DG13)-DH13&gt;0,SUM(DD13:DG13)-DH13,"")</f>
        <v/>
      </c>
      <c r="DU13" s="15" t="str">
        <f>IF(SUM(DI13:DL13)-DM13&gt;0,SUM(DI13:DL13)-DM13,"")</f>
        <v/>
      </c>
      <c r="DV13" s="15" t="str">
        <f>IF(SUM(DT13:DU13)&gt;0,SUM(DT13:DU13),"")</f>
        <v/>
      </c>
      <c r="DW13" s="15" t="str">
        <f>IF(SUM(DN13:DQ13)-DR13&gt;0,SUM(DN13:DQ13)-DR13,"")</f>
        <v/>
      </c>
      <c r="DX13" s="15" t="str">
        <f>IF(SUM(DV13,DW13)&gt;0,SUM(DV13,DW13),"")</f>
        <v/>
      </c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12" t="str">
        <f>IF(SUM(EF13)&gt;0,SUM(EF13),"")</f>
        <v/>
      </c>
      <c r="EO13" s="12" t="str">
        <f>IF(SUM(DY13:EB13)-EC13&gt;0,SUM(DY13:EB13)-EC13,"")</f>
        <v/>
      </c>
      <c r="EP13" s="12" t="str">
        <f>IF(SUM(ED13:EG13)-EH13&gt;0,SUM(ED13:EG13)-EH13,"")</f>
        <v/>
      </c>
      <c r="EQ13" s="12" t="str">
        <f>IF(SUM(EO13:EP13)&gt;0,SUM(EO13:EP13),"")</f>
        <v/>
      </c>
      <c r="ER13" s="12" t="str">
        <f>IF(SUM(EI13:EL13)-EM13&gt;0,SUM(EI13:EL13)-EM13,"")</f>
        <v/>
      </c>
      <c r="ES13" s="12" t="str">
        <f>IF(SUM(EQ13,ER13)&gt;0,SUM(EQ13,ER13),"")</f>
        <v/>
      </c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15" t="str">
        <f>IF(SUM(FA13)&gt;0,SUM(FA13),"")</f>
        <v/>
      </c>
      <c r="FJ13" s="15" t="str">
        <f>IF(SUM(ET13:EW13)-EX13&gt;0,SUM(ET13:EW13)-EX13,"")</f>
        <v/>
      </c>
      <c r="FK13" s="15" t="str">
        <f>IF(SUM(EY13:FB13)-FC13&gt;0,SUM(EY13:FB13)-FC13,"")</f>
        <v/>
      </c>
      <c r="FL13" s="15" t="str">
        <f>IF(SUM(FJ13:FK13)&gt;0,SUM(FJ13:FK13),"")</f>
        <v/>
      </c>
      <c r="FM13" s="15" t="str">
        <f>IF(SUM(FD13:FG13)-FH13&gt;0,SUM(FD13:FG13)-FH13,"")</f>
        <v/>
      </c>
      <c r="FN13" s="15" t="str">
        <f>IF(SUM(FL13,FM13)&gt;0,SUM(FL13,FM13),"")</f>
        <v/>
      </c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12" t="str">
        <f>IF(SUM(FV13)&gt;0,SUM(FV13),"")</f>
        <v/>
      </c>
      <c r="GE13" s="12" t="str">
        <f>IF(SUM(FO13:FR13)-FS13&gt;0,SUM(FO13:FR13)-FS13,"")</f>
        <v/>
      </c>
      <c r="GF13" s="12" t="str">
        <f>IF(SUM(FT13:FW13)-FX13&gt;0,SUM(FT13:FW13)-FX13,"")</f>
        <v/>
      </c>
      <c r="GG13" s="12" t="str">
        <f>IF(SUM(GE13:GF13)&gt;0,SUM(GE13:GF13),"")</f>
        <v/>
      </c>
      <c r="GH13" s="12" t="str">
        <f>IF(SUM(FY13:GB13)-GC13&gt;0,SUM(FY13:GB13)-GC13,"")</f>
        <v/>
      </c>
      <c r="GI13" s="12" t="str">
        <f>IF(SUM(GG13,GH13)&gt;0,SUM(GG13,GH13),"")</f>
        <v/>
      </c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15" t="str">
        <f>IF(SUM(GQ13)&gt;0,SUM(GQ13),"")</f>
        <v/>
      </c>
      <c r="GZ13" s="15" t="str">
        <f>IF(SUM(GJ13:GM13)-GN13&gt;0,SUM(GJ13:GM13)-GN13,"")</f>
        <v/>
      </c>
      <c r="HA13" s="15" t="str">
        <f>IF(SUM(GO13:GR13)-GS13&gt;0,SUM(GO13:GR13)-GS13,"")</f>
        <v/>
      </c>
      <c r="HB13" s="15" t="str">
        <f>IF(SUM(GZ13:HA13)&gt;0,SUM(GZ13:HA13),"")</f>
        <v/>
      </c>
      <c r="HC13" s="15" t="str">
        <f>IF(SUM(GT13:GW13)-GX13&gt;0,SUM(GT13:GW13)-GX13,"")</f>
        <v/>
      </c>
      <c r="HD13" s="15" t="str">
        <f>IF(SUM(HB13,HC13)&gt;0,SUM(HB13,HC13),"")</f>
        <v/>
      </c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12" t="str">
        <f>IF(SUM(HL13)&gt;0,SUM(HL13),"")</f>
        <v/>
      </c>
      <c r="HU13" s="12" t="str">
        <f>IF(SUM(HE13:HH13)-HI13&gt;0,SUM(HE13:HH13)-HI13,"")</f>
        <v/>
      </c>
      <c r="HV13" s="12" t="str">
        <f>IF(SUM(HJ13:HM13)-HN13&gt;0,SUM(HJ13:HM13)-HN13,"")</f>
        <v/>
      </c>
      <c r="HW13" s="12" t="str">
        <f>IF(SUM(HU13:HV13)&gt;0,SUM(HU13:HV13),"")</f>
        <v/>
      </c>
      <c r="HX13" s="12" t="str">
        <f>IF(SUM(HO13:HR13)-HS13&gt;0,SUM(HO13:HR13)-HS13,"")</f>
        <v/>
      </c>
      <c r="HY13" s="12" t="str">
        <f>IF(SUM(HW13,HX13)&gt;0,SUM(HW13,HX13),"")</f>
        <v/>
      </c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15" t="str">
        <f>IF(SUM(IG13)&gt;0,SUM(IG13),"")</f>
        <v/>
      </c>
      <c r="IP13" s="15" t="str">
        <f>IF(SUM(HZ13:IC13)-ID13&gt;0,SUM(HZ13:IC13)-ID13,"")</f>
        <v/>
      </c>
      <c r="IQ13" s="15" t="str">
        <f>IF(SUM(IE13:IH13)-II13&gt;0,SUM(IE13:IH13)-II13,"")</f>
        <v/>
      </c>
      <c r="IR13" s="15" t="str">
        <f>IF(SUM(IP13:IQ13)&gt;0,SUM(IP13:IQ13),"")</f>
        <v/>
      </c>
      <c r="IS13" s="15" t="str">
        <f>IF(SUM(IJ13:IM13)-IN13&gt;0,SUM(IJ13:IM13)-IN13,"")</f>
        <v/>
      </c>
      <c r="IT13" s="15" t="str">
        <f>IF(SUM(IR13,IS13)&gt;0,SUM(IR13,IS13),"")</f>
        <v/>
      </c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12" t="str">
        <f>IF(SUM(JB13)&gt;0,SUM(JB13),"")</f>
        <v/>
      </c>
      <c r="JK13" s="12" t="str">
        <f>IF(SUM(IU13:IX13)-IY13&gt;0,SUM(IU13:IX13)-IY13,"")</f>
        <v/>
      </c>
      <c r="JL13" s="12" t="str">
        <f>IF(SUM(IZ13:JC13)-JD13&gt;0,SUM(IZ13:JC13)-JD13,"")</f>
        <v/>
      </c>
      <c r="JM13" s="12" t="str">
        <f>IF(SUM(JK13:JL13)&gt;0,SUM(JK13:JL13),"")</f>
        <v/>
      </c>
      <c r="JN13" s="12" t="str">
        <f>IF(SUM(JE13:JH13)-JI13&gt;0,SUM(JE13:JH13)-JI13,"")</f>
        <v/>
      </c>
      <c r="JO13" s="12" t="str">
        <f>IF(SUM(JM13,JN13)&gt;0,SUM(JM13,JN13),"")</f>
        <v/>
      </c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15" t="str">
        <f>IF(SUM(JW13)&gt;0,SUM(JW13),"")</f>
        <v/>
      </c>
      <c r="KF13" s="15" t="str">
        <f>IF(SUM(JP13:JS13)-JT13&gt;0,SUM(JP13:JS13)-JT13,"")</f>
        <v/>
      </c>
      <c r="KG13" s="15" t="str">
        <f>IF(SUM(JU13:JX13)-JY13&gt;0,SUM(JU13:JX13)-JY13,"")</f>
        <v/>
      </c>
      <c r="KH13" s="15" t="str">
        <f>IF(SUM(KF13:KG13)&gt;0,SUM(KF13:KG13),"")</f>
        <v/>
      </c>
      <c r="KI13" s="15" t="str">
        <f>IF(SUM(JZ13:KC13)-KD13&gt;0,SUM(JZ13:KC13)-KD13,"")</f>
        <v/>
      </c>
      <c r="KJ13" s="15" t="str">
        <f>IF(SUM(KH13,KI13)&gt;0,SUM(KH13,KI13),"")</f>
        <v/>
      </c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12" t="str">
        <f>IF(SUM(KR13)&gt;0,SUM(KR13),"")</f>
        <v/>
      </c>
      <c r="LA13" s="12" t="str">
        <f>IF(SUM(KK13:KN13)-KO13&gt;0,SUM(KK13:KN13)-KO13,"")</f>
        <v/>
      </c>
      <c r="LB13" s="12" t="str">
        <f>IF(SUM(KP13:KS13)-KT13&gt;0,SUM(KP13:KS13)-KT13,"")</f>
        <v/>
      </c>
      <c r="LC13" s="12" t="str">
        <f>IF(SUM(LA13:LB13)&gt;0,SUM(LA13:LB13),"")</f>
        <v/>
      </c>
      <c r="LD13" s="12" t="str">
        <f>IF(SUM(KU13:KX13)-KY13&gt;0,SUM(KU13:KX13)-KY13,"")</f>
        <v/>
      </c>
      <c r="LE13" s="12" t="str">
        <f>IF(SUM(LC13,LD13)&gt;0,SUM(LC13,LD13),"")</f>
        <v/>
      </c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15" t="str">
        <f>IF(SUM(LM13)&gt;0,SUM(LM13),"")</f>
        <v/>
      </c>
      <c r="LV13" s="15" t="str">
        <f>IF(SUM(LF13:LI13)-LJ13&gt;0,SUM(LF13:LI13)-LJ13,"")</f>
        <v/>
      </c>
      <c r="LW13" s="15" t="str">
        <f>IF(SUM(LK13:LN13)-LO13&gt;0,SUM(LK13:LN13)-LO13,"")</f>
        <v/>
      </c>
      <c r="LX13" s="15" t="str">
        <f>IF(SUM(LV13:LW13)&gt;0,SUM(LV13:LW13),"")</f>
        <v/>
      </c>
      <c r="LY13" s="15" t="str">
        <f>IF(SUM(LP13:LS13)-LT13&gt;0,SUM(LP13:LS13)-LT13,"")</f>
        <v/>
      </c>
      <c r="LZ13" s="15" t="str">
        <f>IF(SUM(LX13,LY13)&gt;0,SUM(LX13,LY13),"")</f>
        <v/>
      </c>
    </row>
    <row r="14" spans="1:338">
      <c r="A14" s="6" t="str">
        <f>IF(AND(F14="P",H14="P"),SUMPRODUCT((F$4:F$17="P")*(H$4:H$17="P")*(E$4:E$17&gt;E14))+1,IF(H14="P",SUMPRODUCT((F$4:F$17="")*(H$4:H$17="P")*(E$4:E$17&gt;E14))+1+SUMPRODUCT((F$4:F$17="P")*(H$4:H$17="P")),""))</f>
        <v/>
      </c>
      <c r="B14" s="9" t="s">
        <v>79</v>
      </c>
      <c r="C14" s="5" t="s">
        <v>6</v>
      </c>
      <c r="D14" s="31">
        <v>2001</v>
      </c>
      <c r="E14" s="16">
        <f>SUM(J14:R14)</f>
        <v>226.035</v>
      </c>
      <c r="F14" s="4" t="str">
        <f>IF(OR(AND($AJ14&gt;=$AK$20,NOT($AJ14="")),AND($BE14&gt;=$BF$20,NOT($BE14="")),AND($BZ14&gt;=$CA$20,NOT($BZ14=""))),"P","")</f>
        <v/>
      </c>
      <c r="G14" s="4" t="str">
        <f>IF(OR(AND($AJ14&gt;=$AK$21,NOT($AJ14="")),AND($BE14&gt;=$BF$21,NOT($BE14="")),AND($BZ14&gt;=$CA$21,NOT($BZ14=""))),"P","")</f>
        <v/>
      </c>
      <c r="H14" s="4" t="str">
        <f>IF(OR(AND($AM14&gt;=$AK$22,NOT($AM14="")),AND($BH14&gt;=$BF$22,NOT($BH14="")),AND($CC14&gt;=$CA$22,NOT($CC14=""))),"P","")</f>
        <v/>
      </c>
      <c r="I14" t="str">
        <f>IF(AND(F14="P",OR(AND($AL14&gt;$AK$25,NOT($AL14="")),AND($AN14&gt;$AK$25,NOT($AN14="")),AND($BG14&gt;$BF$25,NOT($BG14="")),AND($BI14&gt;$BF$25,NOT($BI14="")),AND($CB14&gt;$CA$25,NOT($CB14="")),AND($CD14&gt;$CA$25,NOT($CD14="")))),"Merit",IF(AND(F14="P",OR(AND($AM14&gt;$AK$24,NOT($AM14="")),AND($BH14&gt;$BF$24,NOT($BH14="")),AND($CC14&gt;$CA$24,NOT($CC14="")))),"Funding",IF(AND(F14="P",OR(AND($AM14&gt;$AK$23,NOT($AM14="")),AND($BH14&gt;$BF$23,NOT($BH14="")),AND($CC14&gt;$CA$23,NOT($CC14="")))),"Worlds Team",IF(AND(F14="P",OR(AND($AM14&gt;$AK$22,NOT($AM14="")),AND($BH14&gt;$BF$22,NOT($BH14="")),AND($CC14&gt;$CA$22,NOT($CC14="")))),"National Team",""))))</f>
        <v/>
      </c>
      <c r="J14" s="15">
        <f>MAX(AM14,BH14,CC14)</f>
        <v>73.084999999999994</v>
      </c>
      <c r="K14" s="15" t="str">
        <f>IF(J14=CC14,$BK$1,IF(J14=BH14,$AP$1,IF(J14=AM14,$U$1,"")))</f>
        <v>2017 Canada Cup</v>
      </c>
      <c r="L14" s="15">
        <f>IF($J14=$AM14,MAX(BF14,CA14),IF($J14=$BH14,MAX(AK14,CA14),MAX(AK14,BF14)))</f>
        <v>48.125</v>
      </c>
      <c r="M14" s="15" t="str">
        <f>IF(L14=CA14,$BK$1,IF(L14=BF14,$AP$1,IF(L14=AK14,$U$1,"")))</f>
        <v>2017 Nationals</v>
      </c>
      <c r="N14" s="15">
        <f>IF($J14=$AM14,MAX(BG14,CB14),IF($J14=$BH14,MAX(AL14,CB14),MAX(AL14,BG14)))</f>
        <v>52.71</v>
      </c>
      <c r="O14" s="15" t="str">
        <f>IF(N14=CB14,$BK$1,IF(N14=BG14,$AP$1,IF(N14=AL14,$U$1,"")))</f>
        <v>2018 Canada Cup</v>
      </c>
      <c r="P14" s="15">
        <f>MAX(AN14,BI14,CD14)</f>
        <v>52.115000000000002</v>
      </c>
      <c r="Q14" s="15" t="str">
        <f>IF(P14=CD14,$BK$1,IF(P14=BI14,$AP$1,IF(P14=AN14,$U$1,"")))</f>
        <v>2018 Canada Cup</v>
      </c>
      <c r="R14" s="15" t="str">
        <f>IF(MAX(CF14,CG14,CH14)&gt;0,MAX(CF14,CG14,CH14),"")</f>
        <v/>
      </c>
      <c r="S14" s="29" t="str">
        <f>IF(R14="","",IF(R14=CF14,"(Vol 1)",IF(R14=CG14,"(Vol 2)",IF(R14=CH14,"(Final)"))))</f>
        <v/>
      </c>
      <c r="T14" s="15" t="str">
        <f>IF(R14="","",IF(R14=CF14,IF(R14+L14=LV14,$LF$1,IF(R14+L14=LA14,$KK$1,IF(R14+L14=KF14,$JP$1,IF(R14+L14=JK14,$IU$1,IF(R14+L14=IP14,$HZ$1,IF(R14+L14=HU14,$HE$1,IF(R14+L14=GZ14,$GJ$1,IF(R14+L14=GE14,$FO$1,IF(R14+L14=FJ14,$ET$1,IF(R14+L14=EO14,$DY$1,IF(R14+L14=DT14,$DD$1,IF(R14+L14=CY14,$CI$1)))))))))))),IF(R14=CG14,IF(R14+N14=LW14,$LF$1,IF(R14+N14=LB14,$KK$1,IF(R14+N14=KG14,$JP$1,IF(R14+N14=JL14,$IU$1,IF(R14+N14=IQ14,$HZ$1,IF(R14+N14=HV14,$HE$1,IF(R14+N14=HA14,$GJ$1,IF(R14+N14=GF14,$FO$1,IF(R14+N14=FK14,$ET$1,IF(R14+N14=EP14,$DY$1,IF(R14+N14=DU14,$DD$1,IF(R14+N14=CZ14,$CI$1)))))))))))),IF(R14=CH14,IF(R14+P14=LY14,$LF$1,IF(R14+P14=LD14,$KK$1,IF(R14+P14=KI14,$JP$1,IF(R14+P14=JN14,$IU$1,IF(R14+P14=IS14,$HZ$1,IF(R14+P14=HX14,$HE$1,IF(R14+P14=HC14,$GJ$1,IF(R14+P14=GH14,$FO$1,IF(R14+P14=FM14,$ET$1,IF(R14+P14=ER14,$DY$1,IF(R14+P14=DW14,$DD$1,IF(R14+P14=DB14,$CI$1))))))))))))))))</f>
        <v/>
      </c>
      <c r="U14" s="76">
        <v>16.399999999999999</v>
      </c>
      <c r="V14" s="76">
        <v>9.3000000000000007</v>
      </c>
      <c r="W14" s="76">
        <v>4.0999999999999996</v>
      </c>
      <c r="X14" s="76">
        <v>16.274999999999999</v>
      </c>
      <c r="Y14" s="76">
        <v>0</v>
      </c>
      <c r="Z14" s="76">
        <v>7.5</v>
      </c>
      <c r="AA14" s="76">
        <v>5.5</v>
      </c>
      <c r="AB14" s="76">
        <v>4.9000000000000004</v>
      </c>
      <c r="AC14" s="76">
        <v>9.11</v>
      </c>
      <c r="AD14" s="76">
        <v>0</v>
      </c>
      <c r="AE14" s="76"/>
      <c r="AF14" s="76"/>
      <c r="AG14" s="76"/>
      <c r="AH14" s="76"/>
      <c r="AI14" s="79"/>
      <c r="AJ14" s="12">
        <f>IF(SUM(AB14)&gt;0,SUM(AB14),"")</f>
        <v>4.9000000000000004</v>
      </c>
      <c r="AK14" s="12">
        <f>IF(SUM(U14:X14)-Y14&gt;0,SUM(U14:X14)-Y14,"")</f>
        <v>46.074999999999996</v>
      </c>
      <c r="AL14" s="12">
        <f>IF(SUM(Z14:AC14)-AD14&gt;0,SUM(Z14:AC14)-AD14,"")</f>
        <v>27.009999999999998</v>
      </c>
      <c r="AM14" s="12">
        <f>IF(SUM(AK14:AL14)&gt;0,SUM(AK14:AL14),"")</f>
        <v>73.084999999999994</v>
      </c>
      <c r="AN14" s="12" t="str">
        <f>IF(SUM(AE14:AH14)-AI14&gt;0,SUM(AE14:AH14)-AI14,"")</f>
        <v/>
      </c>
      <c r="AO14" s="12">
        <f>IF(SUM(AM14,AN14)&gt;0,SUM(AM14,AN14),"")</f>
        <v>73.084999999999994</v>
      </c>
      <c r="AP14" s="80">
        <v>17.3</v>
      </c>
      <c r="AQ14" s="80">
        <v>9.1999999999999993</v>
      </c>
      <c r="AR14" s="80">
        <v>5.2</v>
      </c>
      <c r="AS14" s="80">
        <v>16.425000000000001</v>
      </c>
      <c r="AT14" s="80">
        <v>0</v>
      </c>
      <c r="AU14" s="80">
        <v>3.2</v>
      </c>
      <c r="AV14" s="80">
        <v>1.8</v>
      </c>
      <c r="AW14" s="80">
        <v>3.4</v>
      </c>
      <c r="AX14" s="80">
        <v>3.2450000000000001</v>
      </c>
      <c r="AY14" s="80">
        <v>0</v>
      </c>
      <c r="AZ14" s="80"/>
      <c r="BA14" s="80"/>
      <c r="BB14" s="80"/>
      <c r="BC14" s="80"/>
      <c r="BD14" s="80"/>
      <c r="BE14" s="15">
        <f>IF(SUM(AW14)&gt;0,SUM(AW14),"")</f>
        <v>3.4</v>
      </c>
      <c r="BF14" s="15">
        <f>IF(SUM(AP14:AS14)-AT14&gt;0,SUM(AP14:AS14)-AT14,"")</f>
        <v>48.125</v>
      </c>
      <c r="BG14" s="15">
        <f>IF(SUM(AU14:AX14)-AY14&gt;0,SUM(AU14:AX14)-AY14,"")</f>
        <v>11.645</v>
      </c>
      <c r="BH14" s="15">
        <f>IF(SUM(BF14:BG14)&gt;0,SUM(BF14:BG14),"")</f>
        <v>59.769999999999996</v>
      </c>
      <c r="BI14" s="15" t="str">
        <f>IF(SUM(AZ14:BC14)-BD14&gt;0,SUM(AZ14:BC14)-BD14,"")</f>
        <v/>
      </c>
      <c r="BJ14" s="15">
        <f>IF(SUM(BH14,BI14)&gt;0,SUM(BH14,BI14),"")</f>
        <v>59.769999999999996</v>
      </c>
      <c r="BK14" s="76">
        <v>3.3</v>
      </c>
      <c r="BL14" s="76">
        <v>1.95</v>
      </c>
      <c r="BM14" s="76">
        <v>0.7</v>
      </c>
      <c r="BN14" s="76">
        <v>3.55</v>
      </c>
      <c r="BO14" s="76">
        <v>0</v>
      </c>
      <c r="BP14" s="76">
        <v>14.3</v>
      </c>
      <c r="BQ14" s="76">
        <v>8.9499999999999993</v>
      </c>
      <c r="BR14" s="76">
        <v>13.1</v>
      </c>
      <c r="BS14" s="76">
        <v>16.36</v>
      </c>
      <c r="BT14" s="76">
        <v>0</v>
      </c>
      <c r="BU14" s="76">
        <v>14.3</v>
      </c>
      <c r="BV14" s="76">
        <v>8.6999999999999993</v>
      </c>
      <c r="BW14" s="76">
        <v>13.2</v>
      </c>
      <c r="BX14" s="76">
        <v>15.914999999999999</v>
      </c>
      <c r="BY14" s="76">
        <v>0</v>
      </c>
      <c r="BZ14" s="12">
        <f>IF(SUM(BR14)&gt;0,SUM(BR14),"")</f>
        <v>13.1</v>
      </c>
      <c r="CA14" s="12">
        <f>IF(SUM(BK14:BN14)-BO14&gt;0,SUM(BK14:BN14)-BO14,"")</f>
        <v>9.5</v>
      </c>
      <c r="CB14" s="12">
        <f>IF(SUM(BP14:BS14)-BT14&gt;0,SUM(BP14:BS14)-BT14,"")</f>
        <v>52.71</v>
      </c>
      <c r="CC14" s="12">
        <f>IF(SUM(CA14:CB14)&gt;0,SUM(CA14:CB14),"")</f>
        <v>62.21</v>
      </c>
      <c r="CD14" s="12">
        <f>IF(SUM(BU14:BX14)-BY14&gt;0,SUM(BU14:BX14)-BY14,"")</f>
        <v>52.115000000000002</v>
      </c>
      <c r="CE14" s="12">
        <f>IF(SUM(CC14,CD14)&gt;0,SUM(CC14,CD14),"")</f>
        <v>114.325</v>
      </c>
      <c r="CF14" s="28" t="str">
        <f>IF(MAX(CY14,DT14,EO14,FJ14,GE14,GZ14,HU14,IP14,JK14,KF14,LA14,LV14)-L14&gt;0.001,MAX(CY14,DT14,EO14,FJ14,GE14,GZ14,HU14,IP14,JK14,KF14,LA14,LV14)-L14,"")</f>
        <v/>
      </c>
      <c r="CG14" s="28" t="str">
        <f>IF(MAX(CZ14,DU14,EP14,FK14,GF14,HA14,HV14,IQ14,JL14,KG14,LB14,LW14)-N14&gt;0.001,MAX(CZ14,DU14,EP14,FK14,GF14,HA14,HV14,IQ14,JL14,KG14,LB14,LW14)-N14,"")</f>
        <v/>
      </c>
      <c r="CH14" s="28" t="str">
        <f>IF(MAX(DB14,DW14,ER14,FM14,GH14,HC14,HX14,IS14,JN14,KI14,LD14,LY14)-P14&gt;0.001,MAX(DB14,DW14,ER14,FM14,GH14,HC14,HX14,IS14,JN14,KI14,LD14,LY14)-P14,"")</f>
        <v/>
      </c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12" t="str">
        <f>IF(SUM(CP14)&gt;0,SUM(CP14),"")</f>
        <v/>
      </c>
      <c r="CY14" s="12" t="str">
        <f>IF(SUM(CI14:CL14)-CM14&gt;0,SUM(CI14:CL14)-CM14,"")</f>
        <v/>
      </c>
      <c r="CZ14" s="12" t="str">
        <f>IF(SUM(CN14:CQ14)-CR14&gt;0,SUM(CN14:CQ14)-CR14,"")</f>
        <v/>
      </c>
      <c r="DA14" s="12" t="str">
        <f>IF(SUM(CY14:CZ14)&gt;0,SUM(CY14:CZ14),"")</f>
        <v/>
      </c>
      <c r="DB14" s="12" t="str">
        <f>IF(SUM(CS14:CV14)-CW14&gt;0,SUM(CS14:CV14)-CW14,"")</f>
        <v/>
      </c>
      <c r="DC14" s="12" t="str">
        <f>IF(SUM(DA14,DB14)&gt;0,SUM(DA14,DB14),"")</f>
        <v/>
      </c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15" t="str">
        <f>IF(SUM(DK14)&gt;0,SUM(DK14),"")</f>
        <v/>
      </c>
      <c r="DT14" s="15" t="str">
        <f>IF(SUM(DD14:DG14)-DH14&gt;0,SUM(DD14:DG14)-DH14,"")</f>
        <v/>
      </c>
      <c r="DU14" s="15" t="str">
        <f>IF(SUM(DI14:DL14)-DM14&gt;0,SUM(DI14:DL14)-DM14,"")</f>
        <v/>
      </c>
      <c r="DV14" s="15" t="str">
        <f>IF(SUM(DT14:DU14)&gt;0,SUM(DT14:DU14),"")</f>
        <v/>
      </c>
      <c r="DW14" s="15" t="str">
        <f>IF(SUM(DN14:DQ14)-DR14&gt;0,SUM(DN14:DQ14)-DR14,"")</f>
        <v/>
      </c>
      <c r="DX14" s="15" t="str">
        <f>IF(SUM(DV14,DW14)&gt;0,SUM(DV14,DW14),"")</f>
        <v/>
      </c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45"/>
      <c r="EM14" s="45"/>
      <c r="EN14" s="12" t="str">
        <f>IF(SUM(EF14)&gt;0,SUM(EF14),"")</f>
        <v/>
      </c>
      <c r="EO14" s="12" t="str">
        <f>IF(SUM(DY14:EB14)-EC14&gt;0,SUM(DY14:EB14)-EC14,"")</f>
        <v/>
      </c>
      <c r="EP14" s="12" t="str">
        <f>IF(SUM(ED14:EG14)-EH14&gt;0,SUM(ED14:EG14)-EH14,"")</f>
        <v/>
      </c>
      <c r="EQ14" s="12" t="str">
        <f>IF(SUM(EO14:EP14)&gt;0,SUM(EO14:EP14),"")</f>
        <v/>
      </c>
      <c r="ER14" s="12" t="str">
        <f>IF(SUM(EI14:EL14)-EM14&gt;0,SUM(EI14:EL14)-EM14,"")</f>
        <v/>
      </c>
      <c r="ES14" s="12" t="str">
        <f>IF(SUM(EQ14,ER14)&gt;0,SUM(EQ14,ER14),"")</f>
        <v/>
      </c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15" t="str">
        <f>IF(SUM(FA14)&gt;0,SUM(FA14),"")</f>
        <v/>
      </c>
      <c r="FJ14" s="15" t="str">
        <f>IF(SUM(ET14:EW14)-EX14&gt;0,SUM(ET14:EW14)-EX14,"")</f>
        <v/>
      </c>
      <c r="FK14" s="15" t="str">
        <f>IF(SUM(EY14:FB14)-FC14&gt;0,SUM(EY14:FB14)-FC14,"")</f>
        <v/>
      </c>
      <c r="FL14" s="15" t="str">
        <f>IF(SUM(FJ14:FK14)&gt;0,SUM(FJ14:FK14),"")</f>
        <v/>
      </c>
      <c r="FM14" s="15" t="str">
        <f>IF(SUM(FD14:FG14)-FH14&gt;0,SUM(FD14:FG14)-FH14,"")</f>
        <v/>
      </c>
      <c r="FN14" s="15" t="str">
        <f>IF(SUM(FL14,FM14)&gt;0,SUM(FL14,FM14),"")</f>
        <v/>
      </c>
      <c r="FO14" s="45"/>
      <c r="FP14" s="45"/>
      <c r="FQ14" s="45"/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45"/>
      <c r="GC14" s="45"/>
      <c r="GD14" s="12" t="str">
        <f>IF(SUM(FV14)&gt;0,SUM(FV14),"")</f>
        <v/>
      </c>
      <c r="GE14" s="12" t="str">
        <f>IF(SUM(FO14:FR14)-FS14&gt;0,SUM(FO14:FR14)-FS14,"")</f>
        <v/>
      </c>
      <c r="GF14" s="12" t="str">
        <f>IF(SUM(FT14:FW14)-FX14&gt;0,SUM(FT14:FW14)-FX14,"")</f>
        <v/>
      </c>
      <c r="GG14" s="12" t="str">
        <f>IF(SUM(GE14:GF14)&gt;0,SUM(GE14:GF14),"")</f>
        <v/>
      </c>
      <c r="GH14" s="12" t="str">
        <f>IF(SUM(FY14:GB14)-GC14&gt;0,SUM(FY14:GB14)-GC14,"")</f>
        <v/>
      </c>
      <c r="GI14" s="12" t="str">
        <f>IF(SUM(GG14,GH14)&gt;0,SUM(GG14,GH14),"")</f>
        <v/>
      </c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15" t="str">
        <f>IF(SUM(GQ14)&gt;0,SUM(GQ14),"")</f>
        <v/>
      </c>
      <c r="GZ14" s="15" t="str">
        <f>IF(SUM(GJ14:GM14)-GN14&gt;0,SUM(GJ14:GM14)-GN14,"")</f>
        <v/>
      </c>
      <c r="HA14" s="15" t="str">
        <f>IF(SUM(GO14:GR14)-GS14&gt;0,SUM(GO14:GR14)-GS14,"")</f>
        <v/>
      </c>
      <c r="HB14" s="15" t="str">
        <f>IF(SUM(GZ14:HA14)&gt;0,SUM(GZ14:HA14),"")</f>
        <v/>
      </c>
      <c r="HC14" s="15" t="str">
        <f>IF(SUM(GT14:GW14)-GX14&gt;0,SUM(GT14:GW14)-GX14,"")</f>
        <v/>
      </c>
      <c r="HD14" s="15" t="str">
        <f>IF(SUM(HB14,HC14)&gt;0,SUM(HB14,HC14),"")</f>
        <v/>
      </c>
      <c r="HE14" s="45"/>
      <c r="HF14" s="45"/>
      <c r="HG14" s="45"/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45"/>
      <c r="HS14" s="45"/>
      <c r="HT14" s="12" t="str">
        <f>IF(SUM(HL14)&gt;0,SUM(HL14),"")</f>
        <v/>
      </c>
      <c r="HU14" s="12" t="str">
        <f>IF(SUM(HE14:HH14)-HI14&gt;0,SUM(HE14:HH14)-HI14,"")</f>
        <v/>
      </c>
      <c r="HV14" s="12" t="str">
        <f>IF(SUM(HJ14:HM14)-HN14&gt;0,SUM(HJ14:HM14)-HN14,"")</f>
        <v/>
      </c>
      <c r="HW14" s="12" t="str">
        <f>IF(SUM(HU14:HV14)&gt;0,SUM(HU14:HV14),"")</f>
        <v/>
      </c>
      <c r="HX14" s="12" t="str">
        <f>IF(SUM(HO14:HR14)-HS14&gt;0,SUM(HO14:HR14)-HS14,"")</f>
        <v/>
      </c>
      <c r="HY14" s="12" t="str">
        <f>IF(SUM(HW14,HX14)&gt;0,SUM(HW14,HX14),"")</f>
        <v/>
      </c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15" t="str">
        <f>IF(SUM(IG14)&gt;0,SUM(IG14),"")</f>
        <v/>
      </c>
      <c r="IP14" s="15" t="str">
        <f>IF(SUM(HZ14:IC14)-ID14&gt;0,SUM(HZ14:IC14)-ID14,"")</f>
        <v/>
      </c>
      <c r="IQ14" s="15" t="str">
        <f>IF(SUM(IE14:IH14)-II14&gt;0,SUM(IE14:IH14)-II14,"")</f>
        <v/>
      </c>
      <c r="IR14" s="15" t="str">
        <f>IF(SUM(IP14:IQ14)&gt;0,SUM(IP14:IQ14),"")</f>
        <v/>
      </c>
      <c r="IS14" s="15" t="str">
        <f>IF(SUM(IJ14:IM14)-IN14&gt;0,SUM(IJ14:IM14)-IN14,"")</f>
        <v/>
      </c>
      <c r="IT14" s="15" t="str">
        <f>IF(SUM(IR14,IS14)&gt;0,SUM(IR14,IS14),"")</f>
        <v/>
      </c>
      <c r="IU14" s="45"/>
      <c r="IV14" s="45"/>
      <c r="IW14" s="45"/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45"/>
      <c r="JI14" s="45"/>
      <c r="JJ14" s="12" t="str">
        <f>IF(SUM(JB14)&gt;0,SUM(JB14),"")</f>
        <v/>
      </c>
      <c r="JK14" s="12" t="str">
        <f>IF(SUM(IU14:IX14)-IY14&gt;0,SUM(IU14:IX14)-IY14,"")</f>
        <v/>
      </c>
      <c r="JL14" s="12" t="str">
        <f>IF(SUM(IZ14:JC14)-JD14&gt;0,SUM(IZ14:JC14)-JD14,"")</f>
        <v/>
      </c>
      <c r="JM14" s="12" t="str">
        <f>IF(SUM(JK14:JL14)&gt;0,SUM(JK14:JL14),"")</f>
        <v/>
      </c>
      <c r="JN14" s="12" t="str">
        <f>IF(SUM(JE14:JH14)-JI14&gt;0,SUM(JE14:JH14)-JI14,"")</f>
        <v/>
      </c>
      <c r="JO14" s="12" t="str">
        <f>IF(SUM(JM14,JN14)&gt;0,SUM(JM14,JN14),"")</f>
        <v/>
      </c>
      <c r="JP14" s="46"/>
      <c r="JQ14" s="46"/>
      <c r="JR14" s="46"/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46"/>
      <c r="KD14" s="46"/>
      <c r="KE14" s="15" t="str">
        <f>IF(SUM(JW14)&gt;0,SUM(JW14),"")</f>
        <v/>
      </c>
      <c r="KF14" s="15" t="str">
        <f>IF(SUM(JP14:JS14)-JT14&gt;0,SUM(JP14:JS14)-JT14,"")</f>
        <v/>
      </c>
      <c r="KG14" s="15" t="str">
        <f>IF(SUM(JU14:JX14)-JY14&gt;0,SUM(JU14:JX14)-JY14,"")</f>
        <v/>
      </c>
      <c r="KH14" s="15" t="str">
        <f>IF(SUM(KF14:KG14)&gt;0,SUM(KF14:KG14),"")</f>
        <v/>
      </c>
      <c r="KI14" s="15" t="str">
        <f>IF(SUM(JZ14:KC14)-KD14&gt;0,SUM(JZ14:KC14)-KD14,"")</f>
        <v/>
      </c>
      <c r="KJ14" s="15" t="str">
        <f>IF(SUM(KH14,KI14)&gt;0,SUM(KH14,KI14),"")</f>
        <v/>
      </c>
      <c r="KK14" s="45"/>
      <c r="KL14" s="45"/>
      <c r="KM14" s="45"/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45"/>
      <c r="KY14" s="45"/>
      <c r="KZ14" s="12" t="str">
        <f>IF(SUM(KR14)&gt;0,SUM(KR14),"")</f>
        <v/>
      </c>
      <c r="LA14" s="12" t="str">
        <f>IF(SUM(KK14:KN14)-KO14&gt;0,SUM(KK14:KN14)-KO14,"")</f>
        <v/>
      </c>
      <c r="LB14" s="12" t="str">
        <f>IF(SUM(KP14:KS14)-KT14&gt;0,SUM(KP14:KS14)-KT14,"")</f>
        <v/>
      </c>
      <c r="LC14" s="12" t="str">
        <f>IF(SUM(LA14:LB14)&gt;0,SUM(LA14:LB14),"")</f>
        <v/>
      </c>
      <c r="LD14" s="12" t="str">
        <f>IF(SUM(KU14:KX14)-KY14&gt;0,SUM(KU14:KX14)-KY14,"")</f>
        <v/>
      </c>
      <c r="LE14" s="12" t="str">
        <f>IF(SUM(LC14,LD14)&gt;0,SUM(LC14,LD14),"")</f>
        <v/>
      </c>
      <c r="LF14" s="46"/>
      <c r="LG14" s="46"/>
      <c r="LH14" s="46"/>
      <c r="LI14" s="46"/>
      <c r="LJ14" s="46"/>
      <c r="LK14" s="46"/>
      <c r="LL14" s="46"/>
      <c r="LM14" s="46"/>
      <c r="LN14" s="46"/>
      <c r="LO14" s="46"/>
      <c r="LP14" s="46"/>
      <c r="LQ14" s="46"/>
      <c r="LR14" s="46"/>
      <c r="LS14" s="46"/>
      <c r="LT14" s="46"/>
      <c r="LU14" s="15" t="str">
        <f>IF(SUM(LM14)&gt;0,SUM(LM14),"")</f>
        <v/>
      </c>
      <c r="LV14" s="15" t="str">
        <f>IF(SUM(LF14:LI14)-LJ14&gt;0,SUM(LF14:LI14)-LJ14,"")</f>
        <v/>
      </c>
      <c r="LW14" s="15" t="str">
        <f>IF(SUM(LK14:LN14)-LO14&gt;0,SUM(LK14:LN14)-LO14,"")</f>
        <v/>
      </c>
      <c r="LX14" s="15" t="str">
        <f>IF(SUM(LV14:LW14)&gt;0,SUM(LV14:LW14),"")</f>
        <v/>
      </c>
      <c r="LY14" s="15" t="str">
        <f>IF(SUM(LP14:LS14)-LT14&gt;0,SUM(LP14:LS14)-LT14,"")</f>
        <v/>
      </c>
      <c r="LZ14" s="15" t="str">
        <f>IF(SUM(LX14,LY14)&gt;0,SUM(LX14,LY14),"")</f>
        <v/>
      </c>
    </row>
    <row r="15" spans="1:338">
      <c r="A15" s="6" t="str">
        <f>IF(AND(F15="P",H15="P"),SUMPRODUCT((F$4:F$17="P")*(H$4:H$17="P")*(E$4:E$17&gt;E15))+1,IF(H15="P",SUMPRODUCT((F$4:F$17="")*(H$4:H$17="P")*(E$4:E$17&gt;E15))+1+SUMPRODUCT((F$4:F$17="P")*(H$4:H$17="P")),""))</f>
        <v/>
      </c>
      <c r="B15" s="9" t="s">
        <v>78</v>
      </c>
      <c r="C15" s="5" t="s">
        <v>6</v>
      </c>
      <c r="D15" s="31">
        <v>2000</v>
      </c>
      <c r="E15" s="16">
        <f>SUM(J15:R15)</f>
        <v>148.536</v>
      </c>
      <c r="F15" s="4" t="str">
        <f>IF(OR(AND($AJ15&gt;=$AK$20,NOT($AJ15="")),AND($BE15&gt;=$BF$20,NOT($BE15="")),AND($BZ15&gt;=$CA$20,NOT($BZ15=""))),"P","")</f>
        <v/>
      </c>
      <c r="G15" s="4" t="str">
        <f>IF(OR(AND($AJ15&gt;=$AK$21,NOT($AJ15="")),AND($BE15&gt;=$BF$21,NOT($BE15="")),AND($BZ15&gt;=$CA$21,NOT($BZ15=""))),"P","")</f>
        <v/>
      </c>
      <c r="H15" s="4" t="str">
        <f>IF(OR(AND($AM15&gt;=$AK$22,NOT($AM15="")),AND($BH15&gt;=$BF$22,NOT($BH15="")),AND($CC15&gt;=$CA$22,NOT($CC15=""))),"P","")</f>
        <v/>
      </c>
      <c r="I15" t="str">
        <f>IF(AND(F15="P",OR(AND($AL15&gt;$AK$25,NOT($AL15="")),AND($AN15&gt;$AK$25,NOT($AN15="")),AND($BG15&gt;$BF$25,NOT($BG15="")),AND($BI15&gt;$BF$25,NOT($BI15="")),AND($CB15&gt;$CA$25,NOT($CB15="")),AND($CD15&gt;$CA$25,NOT($CD15="")))),"Merit",IF(AND(F15="P",OR(AND($AM15&gt;$AK$24,NOT($AM15="")),AND($BH15&gt;$BF$24,NOT($BH15="")),AND($CC15&gt;$CA$24,NOT($CC15="")))),"Funding",IF(AND(F15="P",OR(AND($AM15&gt;$AK$23,NOT($AM15="")),AND($BH15&gt;$BF$23,NOT($BH15="")),AND($CC15&gt;$CA$23,NOT($CC15="")))),"Worlds Team",IF(AND(F15="P",OR(AND($AM15&gt;$AK$22,NOT($AM15="")),AND($BH15&gt;$BF$22,NOT($BH15="")),AND($CC15&gt;$CA$22,NOT($CC15="")))),"National Team",""))))</f>
        <v/>
      </c>
      <c r="J15" s="15">
        <f>MAX(AM15,BH15,CC15)</f>
        <v>97.218000000000004</v>
      </c>
      <c r="K15" s="15" t="str">
        <f>IF(J15=CC15,$BK$1,IF(J15=BH15,$AP$1,IF(J15=AM15,$U$1,"")))</f>
        <v>2017 Canada Cup</v>
      </c>
      <c r="L15" s="15">
        <f>IF($J15=$AM15,MAX(BF15,CA15),IF($J15=$BH15,MAX(AK15,CA15),MAX(AK15,BF15)))</f>
        <v>0</v>
      </c>
      <c r="M15" s="15" t="str">
        <f>IF(L15=CA15,$BK$1,IF(L15=BF15,$AP$1,IF(L15=AK15,$U$1,"")))</f>
        <v/>
      </c>
      <c r="N15" s="15">
        <f>IF($J15=$AM15,MAX(BG15,CB15),IF($J15=$BH15,MAX(AL15,CB15),MAX(AL15,BG15)))</f>
        <v>0</v>
      </c>
      <c r="O15" s="15" t="str">
        <f>IF(N15=CB15,$BK$1,IF(N15=BG15,$AP$1,IF(N15=AL15,$U$1,"")))</f>
        <v/>
      </c>
      <c r="P15" s="15">
        <f>MAX(AN15,BI15,CD15)</f>
        <v>51.317999999999998</v>
      </c>
      <c r="Q15" s="15" t="str">
        <f>IF(P15=CD15,$BK$1,IF(P15=BI15,$AP$1,IF(P15=AN15,$U$1,"")))</f>
        <v>2017 Canada Cup</v>
      </c>
      <c r="R15" s="15" t="str">
        <f>IF(MAX(CF15,CG15,CH15)&gt;0,MAX(CF15,CG15,CH15),"")</f>
        <v/>
      </c>
      <c r="S15" s="29" t="str">
        <f>IF(R15="","",IF(R15=CF15,"(Vol 1)",IF(R15=CG15,"(Vol 2)",IF(R15=CH15,"(Final)"))))</f>
        <v/>
      </c>
      <c r="T15" s="15" t="str">
        <f>IF(R15="","",IF(R15=CF15,IF(R15+L15=LV15,$LF$1,IF(R15+L15=LA15,$KK$1,IF(R15+L15=KF15,$JP$1,IF(R15+L15=JK15,$IU$1,IF(R15+L15=IP15,$HZ$1,IF(R15+L15=HU15,$HE$1,IF(R15+L15=GZ15,$GJ$1,IF(R15+L15=GE15,$FO$1,IF(R15+L15=FJ15,$ET$1,IF(R15+L15=EO15,$DY$1,IF(R15+L15=DT15,$DD$1,IF(R15+L15=CY15,$CI$1)))))))))))),IF(R15=CG15,IF(R15+N15=LW15,$LF$1,IF(R15+N15=LB15,$KK$1,IF(R15+N15=KG15,$JP$1,IF(R15+N15=JL15,$IU$1,IF(R15+N15=IQ15,$HZ$1,IF(R15+N15=HV15,$HE$1,IF(R15+N15=HA15,$GJ$1,IF(R15+N15=GF15,$FO$1,IF(R15+N15=FK15,$ET$1,IF(R15+N15=EP15,$DY$1,IF(R15+N15=DU15,$DD$1,IF(R15+N15=CZ15,$CI$1)))))))))))),IF(R15=CH15,IF(R15+P15=LY15,$LF$1,IF(R15+P15=LD15,$KK$1,IF(R15+P15=KI15,$JP$1,IF(R15+P15=JN15,$IU$1,IF(R15+P15=IS15,$HZ$1,IF(R15+P15=HX15,$HE$1,IF(R15+P15=HC15,$GJ$1,IF(R15+P15=GH15,$FO$1,IF(R15+P15=FM15,$ET$1,IF(R15+P15=ER15,$DY$1,IF(R15+P15=DW15,$DD$1,IF(R15+P15=DB15,$CI$1))))))))))))))))</f>
        <v/>
      </c>
      <c r="U15" s="54">
        <v>27.9</v>
      </c>
      <c r="V15" s="54">
        <v>3</v>
      </c>
      <c r="W15" s="54">
        <v>0</v>
      </c>
      <c r="X15" s="54">
        <v>15.89</v>
      </c>
      <c r="Y15" s="54">
        <v>0</v>
      </c>
      <c r="Z15" s="54">
        <v>34.450000000000003</v>
      </c>
      <c r="AA15" s="54">
        <v>1</v>
      </c>
      <c r="AB15" s="54">
        <v>0</v>
      </c>
      <c r="AC15" s="54">
        <v>14.978</v>
      </c>
      <c r="AD15" s="54">
        <v>0</v>
      </c>
      <c r="AE15" s="54">
        <v>35.35</v>
      </c>
      <c r="AF15" s="54">
        <v>1</v>
      </c>
      <c r="AG15" s="54">
        <v>0</v>
      </c>
      <c r="AH15" s="54">
        <v>14.968</v>
      </c>
      <c r="AI15" s="54">
        <v>0</v>
      </c>
      <c r="AJ15" s="12" t="str">
        <f>IF(SUM(AB15)&gt;0,SUM(AB15),"")</f>
        <v/>
      </c>
      <c r="AK15" s="12">
        <f>IF(SUM(U15:X15)-Y15&gt;0,SUM(U15:X15)-Y15,"")</f>
        <v>46.79</v>
      </c>
      <c r="AL15" s="12">
        <f>IF(SUM(Z15:AC15)-AD15&gt;0,SUM(Z15:AC15)-AD15,"")</f>
        <v>50.428000000000004</v>
      </c>
      <c r="AM15" s="12">
        <f>IF(SUM(AK15:AL15)&gt;0,SUM(AK15:AL15),"")</f>
        <v>97.218000000000004</v>
      </c>
      <c r="AN15" s="12">
        <f>IF(SUM(AE15:AH15)-AI15&gt;0,SUM(AE15:AH15)-AI15,"")</f>
        <v>51.317999999999998</v>
      </c>
      <c r="AO15" s="12">
        <f>IF(SUM(AM15,AN15)&gt;0,SUM(AM15,AN15),"")</f>
        <v>148.536</v>
      </c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15" t="str">
        <f>IF(SUM(AW15)&gt;0,SUM(AW15),"")</f>
        <v/>
      </c>
      <c r="BF15" s="15" t="str">
        <f>IF(SUM(AP15:AS15)-AT15&gt;0,SUM(AP15:AS15)-AT15,"")</f>
        <v/>
      </c>
      <c r="BG15" s="15" t="str">
        <f>IF(SUM(AU15:AX15)-AY15&gt;0,SUM(AU15:AX15)-AY15,"")</f>
        <v/>
      </c>
      <c r="BH15" s="15" t="str">
        <f>IF(SUM(BF15:BG15)&gt;0,SUM(BF15:BG15),"")</f>
        <v/>
      </c>
      <c r="BI15" s="15" t="str">
        <f>IF(SUM(AZ15:BC15)-BD15&gt;0,SUM(AZ15:BC15)-BD15,"")</f>
        <v/>
      </c>
      <c r="BJ15" s="15" t="str">
        <f>IF(SUM(BH15,BI15)&gt;0,SUM(BH15,BI15),"")</f>
        <v/>
      </c>
      <c r="BK15" s="76"/>
      <c r="BL15" s="76"/>
      <c r="BM15" s="76"/>
      <c r="BN15" s="76"/>
      <c r="BO15" s="76"/>
      <c r="BP15" s="76"/>
      <c r="BQ15" s="76"/>
      <c r="BR15" s="76"/>
      <c r="BS15" s="76"/>
      <c r="BT15" s="76"/>
      <c r="BU15" s="76"/>
      <c r="BV15" s="76"/>
      <c r="BW15" s="76"/>
      <c r="BX15" s="76"/>
      <c r="BY15" s="76"/>
      <c r="BZ15" s="12" t="str">
        <f>IF(SUM(BR15)&gt;0,SUM(BR15),"")</f>
        <v/>
      </c>
      <c r="CA15" s="12" t="str">
        <f>IF(SUM(BK15:BN15)-BO15&gt;0,SUM(BK15:BN15)-BO15,"")</f>
        <v/>
      </c>
      <c r="CB15" s="12" t="str">
        <f>IF(SUM(BP15:BS15)-BT15&gt;0,SUM(BP15:BS15)-BT15,"")</f>
        <v/>
      </c>
      <c r="CC15" s="12" t="str">
        <f>IF(SUM(CA15:CB15)&gt;0,SUM(CA15:CB15),"")</f>
        <v/>
      </c>
      <c r="CD15" s="12" t="str">
        <f>IF(SUM(BU15:BX15)-BY15&gt;0,SUM(BU15:BX15)-BY15,"")</f>
        <v/>
      </c>
      <c r="CE15" s="12" t="str">
        <f>IF(SUM(CC15,CD15)&gt;0,SUM(CC15,CD15),"")</f>
        <v/>
      </c>
      <c r="CF15" s="28" t="str">
        <f>IF(MAX(CY15,DT15,EO15,FJ15,GE15,GZ15,HU15,IP15,JK15,KF15,LA15,LV15)-L15&gt;0.001,MAX(CY15,DT15,EO15,FJ15,GE15,GZ15,HU15,IP15,JK15,KF15,LA15,LV15)-L15,"")</f>
        <v/>
      </c>
      <c r="CG15" s="28" t="str">
        <f>IF(MAX(CZ15,DU15,EP15,FK15,GF15,HA15,HV15,IQ15,JL15,KG15,LB15,LW15)-N15&gt;0.001,MAX(CZ15,DU15,EP15,FK15,GF15,HA15,HV15,IQ15,JL15,KG15,LB15,LW15)-N15,"")</f>
        <v/>
      </c>
      <c r="CH15" s="28" t="str">
        <f>IF(MAX(DB15,DW15,ER15,FM15,GH15,HC15,HX15,IS15,JN15,KI15,LD15,LY15)-P15&gt;0.001,MAX(DB15,DW15,ER15,FM15,GH15,HC15,HX15,IS15,JN15,KI15,LD15,LY15)-P15,"")</f>
        <v/>
      </c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12" t="str">
        <f>IF(SUM(CP15)&gt;0,SUM(CP15),"")</f>
        <v/>
      </c>
      <c r="CY15" s="12" t="str">
        <f>IF(SUM(CI15:CL15)-CM15&gt;0,SUM(CI15:CL15)-CM15,"")</f>
        <v/>
      </c>
      <c r="CZ15" s="12" t="str">
        <f>IF(SUM(CN15:CQ15)-CR15&gt;0,SUM(CN15:CQ15)-CR15,"")</f>
        <v/>
      </c>
      <c r="DA15" s="12" t="str">
        <f>IF(SUM(CY15:CZ15)&gt;0,SUM(CY15:CZ15),"")</f>
        <v/>
      </c>
      <c r="DB15" s="12" t="str">
        <f>IF(SUM(CS15:CV15)-CW15&gt;0,SUM(CS15:CV15)-CW15,"")</f>
        <v/>
      </c>
      <c r="DC15" s="12" t="str">
        <f>IF(SUM(DA15,DB15)&gt;0,SUM(DA15,DB15),"")</f>
        <v/>
      </c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15" t="str">
        <f>IF(SUM(DK15)&gt;0,SUM(DK15),"")</f>
        <v/>
      </c>
      <c r="DT15" s="15" t="str">
        <f>IF(SUM(DD15:DG15)-DH15&gt;0,SUM(DD15:DG15)-DH15,"")</f>
        <v/>
      </c>
      <c r="DU15" s="15" t="str">
        <f>IF(SUM(DI15:DL15)-DM15&gt;0,SUM(DI15:DL15)-DM15,"")</f>
        <v/>
      </c>
      <c r="DV15" s="15" t="str">
        <f>IF(SUM(DT15:DU15)&gt;0,SUM(DT15:DU15),"")</f>
        <v/>
      </c>
      <c r="DW15" s="15" t="str">
        <f>IF(SUM(DN15:DQ15)-DR15&gt;0,SUM(DN15:DQ15)-DR15,"")</f>
        <v/>
      </c>
      <c r="DX15" s="15" t="str">
        <f>IF(SUM(DV15,DW15)&gt;0,SUM(DV15,DW15),"")</f>
        <v/>
      </c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45"/>
      <c r="EM15" s="45"/>
      <c r="EN15" s="12" t="str">
        <f>IF(SUM(EF15)&gt;0,SUM(EF15),"")</f>
        <v/>
      </c>
      <c r="EO15" s="12" t="str">
        <f>IF(SUM(DY15:EB15)-EC15&gt;0,SUM(DY15:EB15)-EC15,"")</f>
        <v/>
      </c>
      <c r="EP15" s="12" t="str">
        <f>IF(SUM(ED15:EG15)-EH15&gt;0,SUM(ED15:EG15)-EH15,"")</f>
        <v/>
      </c>
      <c r="EQ15" s="12" t="str">
        <f>IF(SUM(EO15:EP15)&gt;0,SUM(EO15:EP15),"")</f>
        <v/>
      </c>
      <c r="ER15" s="12" t="str">
        <f>IF(SUM(EI15:EL15)-EM15&gt;0,SUM(EI15:EL15)-EM15,"")</f>
        <v/>
      </c>
      <c r="ES15" s="12" t="str">
        <f>IF(SUM(EQ15,ER15)&gt;0,SUM(EQ15,ER15),"")</f>
        <v/>
      </c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15" t="str">
        <f>IF(SUM(FA15)&gt;0,SUM(FA15),"")</f>
        <v/>
      </c>
      <c r="FJ15" s="15" t="str">
        <f>IF(SUM(ET15:EW15)-EX15&gt;0,SUM(ET15:EW15)-EX15,"")</f>
        <v/>
      </c>
      <c r="FK15" s="15" t="str">
        <f>IF(SUM(EY15:FB15)-FC15&gt;0,SUM(EY15:FB15)-FC15,"")</f>
        <v/>
      </c>
      <c r="FL15" s="15" t="str">
        <f>IF(SUM(FJ15:FK15)&gt;0,SUM(FJ15:FK15),"")</f>
        <v/>
      </c>
      <c r="FM15" s="15" t="str">
        <f>IF(SUM(FD15:FG15)-FH15&gt;0,SUM(FD15:FG15)-FH15,"")</f>
        <v/>
      </c>
      <c r="FN15" s="15" t="str">
        <f>IF(SUM(FL15,FM15)&gt;0,SUM(FL15,FM15),"")</f>
        <v/>
      </c>
      <c r="FO15" s="45"/>
      <c r="FP15" s="45"/>
      <c r="FQ15" s="45"/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45"/>
      <c r="GC15" s="45"/>
      <c r="GD15" s="12" t="str">
        <f>IF(SUM(FV15)&gt;0,SUM(FV15),"")</f>
        <v/>
      </c>
      <c r="GE15" s="12" t="str">
        <f>IF(SUM(FO15:FR15)-FS15&gt;0,SUM(FO15:FR15)-FS15,"")</f>
        <v/>
      </c>
      <c r="GF15" s="12" t="str">
        <f>IF(SUM(FT15:FW15)-FX15&gt;0,SUM(FT15:FW15)-FX15,"")</f>
        <v/>
      </c>
      <c r="GG15" s="12" t="str">
        <f>IF(SUM(GE15:GF15)&gt;0,SUM(GE15:GF15),"")</f>
        <v/>
      </c>
      <c r="GH15" s="12" t="str">
        <f>IF(SUM(FY15:GB15)-GC15&gt;0,SUM(FY15:GB15)-GC15,"")</f>
        <v/>
      </c>
      <c r="GI15" s="12" t="str">
        <f>IF(SUM(GG15,GH15)&gt;0,SUM(GG15,GH15),"")</f>
        <v/>
      </c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15" t="str">
        <f>IF(SUM(GQ15)&gt;0,SUM(GQ15),"")</f>
        <v/>
      </c>
      <c r="GZ15" s="15" t="str">
        <f>IF(SUM(GJ15:GM15)-GN15&gt;0,SUM(GJ15:GM15)-GN15,"")</f>
        <v/>
      </c>
      <c r="HA15" s="15" t="str">
        <f>IF(SUM(GO15:GR15)-GS15&gt;0,SUM(GO15:GR15)-GS15,"")</f>
        <v/>
      </c>
      <c r="HB15" s="15" t="str">
        <f>IF(SUM(GZ15:HA15)&gt;0,SUM(GZ15:HA15),"")</f>
        <v/>
      </c>
      <c r="HC15" s="15" t="str">
        <f>IF(SUM(GT15:GW15)-GX15&gt;0,SUM(GT15:GW15)-GX15,"")</f>
        <v/>
      </c>
      <c r="HD15" s="15" t="str">
        <f>IF(SUM(HB15,HC15)&gt;0,SUM(HB15,HC15),"")</f>
        <v/>
      </c>
      <c r="HE15" s="45"/>
      <c r="HF15" s="45"/>
      <c r="HG15" s="45"/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45"/>
      <c r="HS15" s="45"/>
      <c r="HT15" s="12" t="str">
        <f>IF(SUM(HL15)&gt;0,SUM(HL15),"")</f>
        <v/>
      </c>
      <c r="HU15" s="12" t="str">
        <f>IF(SUM(HE15:HH15)-HI15&gt;0,SUM(HE15:HH15)-HI15,"")</f>
        <v/>
      </c>
      <c r="HV15" s="12" t="str">
        <f>IF(SUM(HJ15:HM15)-HN15&gt;0,SUM(HJ15:HM15)-HN15,"")</f>
        <v/>
      </c>
      <c r="HW15" s="12" t="str">
        <f>IF(SUM(HU15:HV15)&gt;0,SUM(HU15:HV15),"")</f>
        <v/>
      </c>
      <c r="HX15" s="12" t="str">
        <f>IF(SUM(HO15:HR15)-HS15&gt;0,SUM(HO15:HR15)-HS15,"")</f>
        <v/>
      </c>
      <c r="HY15" s="12" t="str">
        <f>IF(SUM(HW15,HX15)&gt;0,SUM(HW15,HX15),"")</f>
        <v/>
      </c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15" t="str">
        <f>IF(SUM(IG15)&gt;0,SUM(IG15),"")</f>
        <v/>
      </c>
      <c r="IP15" s="15" t="str">
        <f>IF(SUM(HZ15:IC15)-ID15&gt;0,SUM(HZ15:IC15)-ID15,"")</f>
        <v/>
      </c>
      <c r="IQ15" s="15" t="str">
        <f>IF(SUM(IE15:IH15)-II15&gt;0,SUM(IE15:IH15)-II15,"")</f>
        <v/>
      </c>
      <c r="IR15" s="15" t="str">
        <f>IF(SUM(IP15:IQ15)&gt;0,SUM(IP15:IQ15),"")</f>
        <v/>
      </c>
      <c r="IS15" s="15" t="str">
        <f>IF(SUM(IJ15:IM15)-IN15&gt;0,SUM(IJ15:IM15)-IN15,"")</f>
        <v/>
      </c>
      <c r="IT15" s="15" t="str">
        <f>IF(SUM(IR15,IS15)&gt;0,SUM(IR15,IS15),"")</f>
        <v/>
      </c>
      <c r="IU15" s="45"/>
      <c r="IV15" s="45"/>
      <c r="IW15" s="45"/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45"/>
      <c r="JI15" s="45"/>
      <c r="JJ15" s="12" t="str">
        <f>IF(SUM(JB15)&gt;0,SUM(JB15),"")</f>
        <v/>
      </c>
      <c r="JK15" s="12" t="str">
        <f>IF(SUM(IU15:IX15)-IY15&gt;0,SUM(IU15:IX15)-IY15,"")</f>
        <v/>
      </c>
      <c r="JL15" s="12" t="str">
        <f>IF(SUM(IZ15:JC15)-JD15&gt;0,SUM(IZ15:JC15)-JD15,"")</f>
        <v/>
      </c>
      <c r="JM15" s="12" t="str">
        <f>IF(SUM(JK15:JL15)&gt;0,SUM(JK15:JL15),"")</f>
        <v/>
      </c>
      <c r="JN15" s="12" t="str">
        <f>IF(SUM(JE15:JH15)-JI15&gt;0,SUM(JE15:JH15)-JI15,"")</f>
        <v/>
      </c>
      <c r="JO15" s="12" t="str">
        <f>IF(SUM(JM15,JN15)&gt;0,SUM(JM15,JN15),"")</f>
        <v/>
      </c>
      <c r="JP15" s="46"/>
      <c r="JQ15" s="46"/>
      <c r="JR15" s="46"/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46"/>
      <c r="KD15" s="46"/>
      <c r="KE15" s="15" t="str">
        <f>IF(SUM(JW15)&gt;0,SUM(JW15),"")</f>
        <v/>
      </c>
      <c r="KF15" s="15" t="str">
        <f>IF(SUM(JP15:JS15)-JT15&gt;0,SUM(JP15:JS15)-JT15,"")</f>
        <v/>
      </c>
      <c r="KG15" s="15" t="str">
        <f>IF(SUM(JU15:JX15)-JY15&gt;0,SUM(JU15:JX15)-JY15,"")</f>
        <v/>
      </c>
      <c r="KH15" s="15" t="str">
        <f>IF(SUM(KF15:KG15)&gt;0,SUM(KF15:KG15),"")</f>
        <v/>
      </c>
      <c r="KI15" s="15" t="str">
        <f>IF(SUM(JZ15:KC15)-KD15&gt;0,SUM(JZ15:KC15)-KD15,"")</f>
        <v/>
      </c>
      <c r="KJ15" s="15" t="str">
        <f>IF(SUM(KH15,KI15)&gt;0,SUM(KH15,KI15),"")</f>
        <v/>
      </c>
      <c r="KK15" s="45"/>
      <c r="KL15" s="45"/>
      <c r="KM15" s="45"/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45"/>
      <c r="KY15" s="45"/>
      <c r="KZ15" s="12" t="str">
        <f>IF(SUM(KR15)&gt;0,SUM(KR15),"")</f>
        <v/>
      </c>
      <c r="LA15" s="12" t="str">
        <f>IF(SUM(KK15:KN15)-KO15&gt;0,SUM(KK15:KN15)-KO15,"")</f>
        <v/>
      </c>
      <c r="LB15" s="12" t="str">
        <f>IF(SUM(KP15:KS15)-KT15&gt;0,SUM(KP15:KS15)-KT15,"")</f>
        <v/>
      </c>
      <c r="LC15" s="12" t="str">
        <f>IF(SUM(LA15:LB15)&gt;0,SUM(LA15:LB15),"")</f>
        <v/>
      </c>
      <c r="LD15" s="12" t="str">
        <f>IF(SUM(KU15:KX15)-KY15&gt;0,SUM(KU15:KX15)-KY15,"")</f>
        <v/>
      </c>
      <c r="LE15" s="12" t="str">
        <f>IF(SUM(LC15,LD15)&gt;0,SUM(LC15,LD15),"")</f>
        <v/>
      </c>
      <c r="LF15" s="46"/>
      <c r="LG15" s="46"/>
      <c r="LH15" s="46"/>
      <c r="LI15" s="46"/>
      <c r="LJ15" s="46"/>
      <c r="LK15" s="46"/>
      <c r="LL15" s="46"/>
      <c r="LM15" s="46"/>
      <c r="LN15" s="46"/>
      <c r="LO15" s="46"/>
      <c r="LP15" s="46"/>
      <c r="LQ15" s="46"/>
      <c r="LR15" s="46"/>
      <c r="LS15" s="46"/>
      <c r="LT15" s="46"/>
      <c r="LU15" s="15" t="str">
        <f>IF(SUM(LM15)&gt;0,SUM(LM15),"")</f>
        <v/>
      </c>
      <c r="LV15" s="15" t="str">
        <f>IF(SUM(LF15:LI15)-LJ15&gt;0,SUM(LF15:LI15)-LJ15,"")</f>
        <v/>
      </c>
      <c r="LW15" s="15" t="str">
        <f>IF(SUM(LK15:LN15)-LO15&gt;0,SUM(LK15:LN15)-LO15,"")</f>
        <v/>
      </c>
      <c r="LX15" s="15" t="str">
        <f>IF(SUM(LV15:LW15)&gt;0,SUM(LV15:LW15),"")</f>
        <v/>
      </c>
      <c r="LY15" s="15" t="str">
        <f>IF(SUM(LP15:LS15)-LT15&gt;0,SUM(LP15:LS15)-LT15,"")</f>
        <v/>
      </c>
      <c r="LZ15" s="15" t="str">
        <f>IF(SUM(LX15,LY15)&gt;0,SUM(LX15,LY15),"")</f>
        <v/>
      </c>
    </row>
    <row r="16" spans="1:338">
      <c r="A16" s="6" t="str">
        <f>IF(AND(F16="P",H16="P"),SUMPRODUCT((F$4:F$17="P")*(H$4:H$17="P")*(E$4:E$17&gt;E16))+1,IF(H16="P",SUMPRODUCT((F$4:F$17="")*(H$4:H$17="P")*(E$4:E$17&gt;E16))+1+SUMPRODUCT((F$4:F$17="P")*(H$4:H$17="P")),""))</f>
        <v/>
      </c>
      <c r="B16" s="7" t="s">
        <v>83</v>
      </c>
      <c r="C16" s="8" t="s">
        <v>3</v>
      </c>
      <c r="D16" s="31">
        <v>2001</v>
      </c>
      <c r="E16" s="16">
        <f>SUM(J16:R16)</f>
        <v>59.685000000000002</v>
      </c>
      <c r="F16" s="4" t="str">
        <f>IF(OR(AND($AJ16&gt;=$AK$20,NOT($AJ16="")),AND($BE16&gt;=$BF$20,NOT($BE16="")),AND($BZ16&gt;=$CA$20,NOT($BZ16=""))),"P","")</f>
        <v/>
      </c>
      <c r="G16" s="4" t="str">
        <f>IF(OR(AND($AJ16&gt;=$AK$21,NOT($AJ16="")),AND($BE16&gt;=$BF$21,NOT($BE16="")),AND($BZ16&gt;=$CA$21,NOT($BZ16=""))),"P","")</f>
        <v/>
      </c>
      <c r="H16" s="4" t="str">
        <f>IF(OR(AND($AM16&gt;=$AK$22,NOT($AM16="")),AND($BH16&gt;=$BF$22,NOT($BH16="")),AND($CC16&gt;=$CA$22,NOT($CC16=""))),"P","")</f>
        <v/>
      </c>
      <c r="I16" t="str">
        <f>IF(AND(F16="P",OR(AND($AL16&gt;$AK$25,NOT($AL16="")),AND($AN16&gt;$AK$25,NOT($AN16="")),AND($BG16&gt;$BF$25,NOT($BG16="")),AND($BI16&gt;$BF$25,NOT($BI16="")),AND($CB16&gt;$CA$25,NOT($CB16="")),AND($CD16&gt;$CA$25,NOT($CD16="")))),"Merit",IF(AND(F16="P",OR(AND($AM16&gt;$AK$24,NOT($AM16="")),AND($BH16&gt;$BF$24,NOT($BH16="")),AND($CC16&gt;$CA$24,NOT($CC16="")))),"Funding",IF(AND(F16="P",OR(AND($AM16&gt;$AK$23,NOT($AM16="")),AND($BH16&gt;$BF$23,NOT($BH16="")),AND($CC16&gt;$CA$23,NOT($CC16="")))),"Worlds Team",IF(AND(F16="P",OR(AND($AM16&gt;$AK$22,NOT($AM16="")),AND($BH16&gt;$BF$22,NOT($BH16="")),AND($CC16&gt;$CA$22,NOT($CC16="")))),"National Team",""))))</f>
        <v/>
      </c>
      <c r="J16" s="15">
        <f>MAX(AM16,BH16,CC16)</f>
        <v>59.685000000000002</v>
      </c>
      <c r="K16" s="15" t="str">
        <f>IF(J16=CC16,$BK$1,IF(J16=BH16,$AP$1,IF(J16=AM16,$U$1,"")))</f>
        <v>2018 Canada Cup</v>
      </c>
      <c r="L16" s="15">
        <f>IF($J16=$AM16,MAX(BF16,CA16),IF($J16=$BH16,MAX(AK16,CA16),MAX(AK16,BF16)))</f>
        <v>0</v>
      </c>
      <c r="M16" s="15" t="str">
        <f>IF(L16=CA16,$BK$1,IF(L16=BF16,$AP$1,IF(L16=AK16,$U$1,"")))</f>
        <v/>
      </c>
      <c r="N16" s="15">
        <f>IF($J16=$AM16,MAX(BG16,CB16),IF($J16=$BH16,MAX(AL16,CB16),MAX(AL16,BG16)))</f>
        <v>0</v>
      </c>
      <c r="O16" s="15" t="str">
        <f>IF(N16=CB16,$BK$1,IF(N16=BG16,$AP$1,IF(N16=AL16,$U$1,"")))</f>
        <v/>
      </c>
      <c r="P16" s="15">
        <f>MAX(AN16,BI16,CD16)</f>
        <v>0</v>
      </c>
      <c r="Q16" s="15" t="str">
        <f>IF(P16=CD16,$BK$1,IF(P16=BI16,$AP$1,IF(P16=AN16,$U$1,"")))</f>
        <v/>
      </c>
      <c r="R16" s="15" t="str">
        <f>IF(MAX(CF16,CG16,CH16)&gt;0,MAX(CF16,CG16,CH16),"")</f>
        <v/>
      </c>
      <c r="S16" s="29" t="str">
        <f>IF(R16="","",IF(R16=CF16,"(Vol 1)",IF(R16=CG16,"(Vol 2)",IF(R16=CH16,"(Final)"))))</f>
        <v/>
      </c>
      <c r="T16" s="15" t="str">
        <f>IF(R16="","",IF(R16=CF16,IF(R16+L16=LV16,$LF$1,IF(R16+L16=LA16,$KK$1,IF(R16+L16=KF16,$JP$1,IF(R16+L16=JK16,$IU$1,IF(R16+L16=IP16,$HZ$1,IF(R16+L16=HU16,$HE$1,IF(R16+L16=GZ16,$GJ$1,IF(R16+L16=GE16,$FO$1,IF(R16+L16=FJ16,$ET$1,IF(R16+L16=EO16,$DY$1,IF(R16+L16=DT16,$DD$1,IF(R16+L16=CY16,$CI$1)))))))))))),IF(R16=CG16,IF(R16+N16=LW16,$LF$1,IF(R16+N16=LB16,$KK$1,IF(R16+N16=KG16,$JP$1,IF(R16+N16=JL16,$IU$1,IF(R16+N16=IQ16,$HZ$1,IF(R16+N16=HV16,$HE$1,IF(R16+N16=HA16,$GJ$1,IF(R16+N16=GF16,$FO$1,IF(R16+N16=FK16,$ET$1,IF(R16+N16=EP16,$DY$1,IF(R16+N16=DU16,$DD$1,IF(R16+N16=CZ16,$CI$1)))))))))))),IF(R16=CH16,IF(R16+P16=LY16,$LF$1,IF(R16+P16=LD16,$KK$1,IF(R16+P16=KI16,$JP$1,IF(R16+P16=JN16,$IU$1,IF(R16+P16=IS16,$HZ$1,IF(R16+P16=HX16,$HE$1,IF(R16+P16=HC16,$GJ$1,IF(R16+P16=GH16,$FO$1,IF(R16+P16=FM16,$ET$1,IF(R16+P16=ER16,$DY$1,IF(R16+P16=DW16,$DD$1,IF(R16+P16=DB16,$CI$1))))))))))))))))</f>
        <v/>
      </c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9"/>
      <c r="AJ16" s="12" t="str">
        <f>IF(SUM(AB16)&gt;0,SUM(AB16),"")</f>
        <v/>
      </c>
      <c r="AK16" s="12" t="str">
        <f>IF(SUM(U16:X16)-Y16&gt;0,SUM(U16:X16)-Y16,"")</f>
        <v/>
      </c>
      <c r="AL16" s="12" t="str">
        <f>IF(SUM(Z16:AC16)-AD16&gt;0,SUM(Z16:AC16)-AD16,"")</f>
        <v/>
      </c>
      <c r="AM16" s="12" t="str">
        <f>IF(SUM(AK16:AL16)&gt;0,SUM(AK16:AL16),"")</f>
        <v/>
      </c>
      <c r="AN16" s="12" t="str">
        <f>IF(SUM(AE16:AH16)-AI16&gt;0,SUM(AE16:AH16)-AI16,"")</f>
        <v/>
      </c>
      <c r="AO16" s="12" t="str">
        <f>IF(SUM(AM16,AN16)&gt;0,SUM(AM16,AN16),"")</f>
        <v/>
      </c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15" t="str">
        <f>IF(SUM(AW16)&gt;0,SUM(AW16),"")</f>
        <v/>
      </c>
      <c r="BF16" s="15" t="str">
        <f>IF(SUM(AP16:AS16)-AT16&gt;0,SUM(AP16:AS16)-AT16,"")</f>
        <v/>
      </c>
      <c r="BG16" s="15" t="str">
        <f>IF(SUM(AU16:AX16)-AY16&gt;0,SUM(AU16:AX16)-AY16,"")</f>
        <v/>
      </c>
      <c r="BH16" s="15" t="str">
        <f>IF(SUM(BF16:BG16)&gt;0,SUM(BF16:BG16),"")</f>
        <v/>
      </c>
      <c r="BI16" s="15" t="str">
        <f>IF(SUM(AZ16:BC16)-BD16&gt;0,SUM(AZ16:BC16)-BD16,"")</f>
        <v/>
      </c>
      <c r="BJ16" s="15" t="str">
        <f>IF(SUM(BH16,BI16)&gt;0,SUM(BH16,BI16),"")</f>
        <v/>
      </c>
      <c r="BK16" s="76">
        <v>15.6</v>
      </c>
      <c r="BL16" s="76">
        <v>9.1999999999999993</v>
      </c>
      <c r="BM16" s="76">
        <v>3.6</v>
      </c>
      <c r="BN16" s="76">
        <v>15.904999999999999</v>
      </c>
      <c r="BO16" s="76">
        <v>0</v>
      </c>
      <c r="BP16" s="76">
        <v>4.4000000000000004</v>
      </c>
      <c r="BQ16" s="76">
        <v>2.5499999999999998</v>
      </c>
      <c r="BR16" s="76">
        <v>3.6</v>
      </c>
      <c r="BS16" s="76">
        <v>4.83</v>
      </c>
      <c r="BT16" s="76">
        <v>0</v>
      </c>
      <c r="BU16" s="76"/>
      <c r="BV16" s="76"/>
      <c r="BW16" s="76"/>
      <c r="BX16" s="76"/>
      <c r="BY16" s="76"/>
      <c r="BZ16" s="12">
        <f>IF(SUM(BR16)&gt;0,SUM(BR16),"")</f>
        <v>3.6</v>
      </c>
      <c r="CA16" s="12">
        <f>IF(SUM(BK16:BN16)-BO16&gt;0,SUM(BK16:BN16)-BO16,"")</f>
        <v>44.305</v>
      </c>
      <c r="CB16" s="12">
        <f>IF(SUM(BP16:BS16)-BT16&gt;0,SUM(BP16:BS16)-BT16,"")</f>
        <v>15.38</v>
      </c>
      <c r="CC16" s="12">
        <f>IF(SUM(CA16:CB16)&gt;0,SUM(CA16:CB16),"")</f>
        <v>59.685000000000002</v>
      </c>
      <c r="CD16" s="12" t="str">
        <f>IF(SUM(BU16:BX16)-BY16&gt;0,SUM(BU16:BX16)-BY16,"")</f>
        <v/>
      </c>
      <c r="CE16" s="12">
        <f>IF(SUM(CC16,CD16)&gt;0,SUM(CC16,CD16),"")</f>
        <v>59.685000000000002</v>
      </c>
      <c r="CF16" s="28" t="str">
        <f>IF(MAX(CY16,DT16,EO16,FJ16,GE16,GZ16,HU16,IP16,JK16,KF16,LA16,LV16)-L16&gt;0.001,MAX(CY16,DT16,EO16,FJ16,GE16,GZ16,HU16,IP16,JK16,KF16,LA16,LV16)-L16,"")</f>
        <v/>
      </c>
      <c r="CG16" s="28" t="str">
        <f>IF(MAX(CZ16,DU16,EP16,FK16,GF16,HA16,HV16,IQ16,JL16,KG16,LB16,LW16)-N16&gt;0.001,MAX(CZ16,DU16,EP16,FK16,GF16,HA16,HV16,IQ16,JL16,KG16,LB16,LW16)-N16,"")</f>
        <v/>
      </c>
      <c r="CH16" s="28" t="str">
        <f>IF(MAX(DB16,DW16,ER16,FM16,GH16,HC16,HX16,IS16,JN16,KI16,LD16,LY16)-P16&gt;0.001,MAX(DB16,DW16,ER16,FM16,GH16,HC16,HX16,IS16,JN16,KI16,LD16,LY16)-P16,"")</f>
        <v/>
      </c>
      <c r="CI16" s="45"/>
      <c r="CJ16" s="45"/>
      <c r="CK16" s="45"/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12" t="str">
        <f>IF(SUM(CP16)&gt;0,SUM(CP16),"")</f>
        <v/>
      </c>
      <c r="CY16" s="12" t="str">
        <f>IF(SUM(CI16:CL16)-CM16&gt;0,SUM(CI16:CL16)-CM16,"")</f>
        <v/>
      </c>
      <c r="CZ16" s="12" t="str">
        <f>IF(SUM(CN16:CQ16)-CR16&gt;0,SUM(CN16:CQ16)-CR16,"")</f>
        <v/>
      </c>
      <c r="DA16" s="12" t="str">
        <f>IF(SUM(CY16:CZ16)&gt;0,SUM(CY16:CZ16),"")</f>
        <v/>
      </c>
      <c r="DB16" s="12" t="str">
        <f>IF(SUM(CS16:CV16)-CW16&gt;0,SUM(CS16:CV16)-CW16,"")</f>
        <v/>
      </c>
      <c r="DC16" s="12" t="str">
        <f>IF(SUM(DA16,DB16)&gt;0,SUM(DA16,DB16),"")</f>
        <v/>
      </c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15" t="str">
        <f>IF(SUM(DK16)&gt;0,SUM(DK16),"")</f>
        <v/>
      </c>
      <c r="DT16" s="15" t="str">
        <f>IF(SUM(DD16:DG16)-DH16&gt;0,SUM(DD16:DG16)-DH16,"")</f>
        <v/>
      </c>
      <c r="DU16" s="15" t="str">
        <f>IF(SUM(DI16:DL16)-DM16&gt;0,SUM(DI16:DL16)-DM16,"")</f>
        <v/>
      </c>
      <c r="DV16" s="15" t="str">
        <f>IF(SUM(DT16:DU16)&gt;0,SUM(DT16:DU16),"")</f>
        <v/>
      </c>
      <c r="DW16" s="15" t="str">
        <f>IF(SUM(DN16:DQ16)-DR16&gt;0,SUM(DN16:DQ16)-DR16,"")</f>
        <v/>
      </c>
      <c r="DX16" s="15" t="str">
        <f>IF(SUM(DV16,DW16)&gt;0,SUM(DV16,DW16),"")</f>
        <v/>
      </c>
      <c r="DY16" s="45"/>
      <c r="DZ16" s="45"/>
      <c r="EA16" s="45"/>
      <c r="EB16" s="45"/>
      <c r="EC16" s="45"/>
      <c r="ED16" s="45"/>
      <c r="EE16" s="45"/>
      <c r="EF16" s="45"/>
      <c r="EG16" s="45"/>
      <c r="EH16" s="45"/>
      <c r="EI16" s="45"/>
      <c r="EJ16" s="45"/>
      <c r="EK16" s="45"/>
      <c r="EL16" s="45"/>
      <c r="EM16" s="45"/>
      <c r="EN16" s="12" t="str">
        <f>IF(SUM(EF16)&gt;0,SUM(EF16),"")</f>
        <v/>
      </c>
      <c r="EO16" s="12" t="str">
        <f>IF(SUM(DY16:EB16)-EC16&gt;0,SUM(DY16:EB16)-EC16,"")</f>
        <v/>
      </c>
      <c r="EP16" s="12" t="str">
        <f>IF(SUM(ED16:EG16)-EH16&gt;0,SUM(ED16:EG16)-EH16,"")</f>
        <v/>
      </c>
      <c r="EQ16" s="12" t="str">
        <f>IF(SUM(EO16:EP16)&gt;0,SUM(EO16:EP16),"")</f>
        <v/>
      </c>
      <c r="ER16" s="12" t="str">
        <f>IF(SUM(EI16:EL16)-EM16&gt;0,SUM(EI16:EL16)-EM16,"")</f>
        <v/>
      </c>
      <c r="ES16" s="12" t="str">
        <f>IF(SUM(EQ16,ER16)&gt;0,SUM(EQ16,ER16),"")</f>
        <v/>
      </c>
      <c r="ET16" s="46"/>
      <c r="EU16" s="46"/>
      <c r="EV16" s="46"/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15" t="str">
        <f>IF(SUM(FA16)&gt;0,SUM(FA16),"")</f>
        <v/>
      </c>
      <c r="FJ16" s="15" t="str">
        <f>IF(SUM(ET16:EW16)-EX16&gt;0,SUM(ET16:EW16)-EX16,"")</f>
        <v/>
      </c>
      <c r="FK16" s="15" t="str">
        <f>IF(SUM(EY16:FB16)-FC16&gt;0,SUM(EY16:FB16)-FC16,"")</f>
        <v/>
      </c>
      <c r="FL16" s="15" t="str">
        <f>IF(SUM(FJ16:FK16)&gt;0,SUM(FJ16:FK16),"")</f>
        <v/>
      </c>
      <c r="FM16" s="15" t="str">
        <f>IF(SUM(FD16:FG16)-FH16&gt;0,SUM(FD16:FG16)-FH16,"")</f>
        <v/>
      </c>
      <c r="FN16" s="15" t="str">
        <f>IF(SUM(FL16,FM16)&gt;0,SUM(FL16,FM16),"")</f>
        <v/>
      </c>
      <c r="FO16" s="45"/>
      <c r="FP16" s="45"/>
      <c r="FQ16" s="45"/>
      <c r="FR16" s="45"/>
      <c r="FS16" s="45"/>
      <c r="FT16" s="45"/>
      <c r="FU16" s="45"/>
      <c r="FV16" s="45"/>
      <c r="FW16" s="45"/>
      <c r="FX16" s="45"/>
      <c r="FY16" s="45"/>
      <c r="FZ16" s="45"/>
      <c r="GA16" s="45"/>
      <c r="GB16" s="45"/>
      <c r="GC16" s="45"/>
      <c r="GD16" s="12" t="str">
        <f>IF(SUM(FV16)&gt;0,SUM(FV16),"")</f>
        <v/>
      </c>
      <c r="GE16" s="12" t="str">
        <f>IF(SUM(FO16:FR16)-FS16&gt;0,SUM(FO16:FR16)-FS16,"")</f>
        <v/>
      </c>
      <c r="GF16" s="12" t="str">
        <f>IF(SUM(FT16:FW16)-FX16&gt;0,SUM(FT16:FW16)-FX16,"")</f>
        <v/>
      </c>
      <c r="GG16" s="12" t="str">
        <f>IF(SUM(GE16:GF16)&gt;0,SUM(GE16:GF16),"")</f>
        <v/>
      </c>
      <c r="GH16" s="12" t="str">
        <f>IF(SUM(FY16:GB16)-GC16&gt;0,SUM(FY16:GB16)-GC16,"")</f>
        <v/>
      </c>
      <c r="GI16" s="12" t="str">
        <f>IF(SUM(GG16,GH16)&gt;0,SUM(GG16,GH16),"")</f>
        <v/>
      </c>
      <c r="GJ16" s="46"/>
      <c r="GK16" s="46"/>
      <c r="GL16" s="46"/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15" t="str">
        <f>IF(SUM(GQ16)&gt;0,SUM(GQ16),"")</f>
        <v/>
      </c>
      <c r="GZ16" s="15" t="str">
        <f>IF(SUM(GJ16:GM16)-GN16&gt;0,SUM(GJ16:GM16)-GN16,"")</f>
        <v/>
      </c>
      <c r="HA16" s="15" t="str">
        <f>IF(SUM(GO16:GR16)-GS16&gt;0,SUM(GO16:GR16)-GS16,"")</f>
        <v/>
      </c>
      <c r="HB16" s="15" t="str">
        <f>IF(SUM(GZ16:HA16)&gt;0,SUM(GZ16:HA16),"")</f>
        <v/>
      </c>
      <c r="HC16" s="15" t="str">
        <f>IF(SUM(GT16:GW16)-GX16&gt;0,SUM(GT16:GW16)-GX16,"")</f>
        <v/>
      </c>
      <c r="HD16" s="15" t="str">
        <f>IF(SUM(HB16,HC16)&gt;0,SUM(HB16,HC16),"")</f>
        <v/>
      </c>
      <c r="HE16" s="45"/>
      <c r="HF16" s="45"/>
      <c r="HG16" s="45"/>
      <c r="HH16" s="45"/>
      <c r="HI16" s="45"/>
      <c r="HJ16" s="45"/>
      <c r="HK16" s="45"/>
      <c r="HL16" s="45"/>
      <c r="HM16" s="45"/>
      <c r="HN16" s="45"/>
      <c r="HO16" s="45"/>
      <c r="HP16" s="45"/>
      <c r="HQ16" s="45"/>
      <c r="HR16" s="45"/>
      <c r="HS16" s="45"/>
      <c r="HT16" s="12" t="str">
        <f>IF(SUM(HL16)&gt;0,SUM(HL16),"")</f>
        <v/>
      </c>
      <c r="HU16" s="12" t="str">
        <f>IF(SUM(HE16:HH16)-HI16&gt;0,SUM(HE16:HH16)-HI16,"")</f>
        <v/>
      </c>
      <c r="HV16" s="12" t="str">
        <f>IF(SUM(HJ16:HM16)-HN16&gt;0,SUM(HJ16:HM16)-HN16,"")</f>
        <v/>
      </c>
      <c r="HW16" s="12" t="str">
        <f>IF(SUM(HU16:HV16)&gt;0,SUM(HU16:HV16),"")</f>
        <v/>
      </c>
      <c r="HX16" s="12" t="str">
        <f>IF(SUM(HO16:HR16)-HS16&gt;0,SUM(HO16:HR16)-HS16,"")</f>
        <v/>
      </c>
      <c r="HY16" s="12" t="str">
        <f>IF(SUM(HW16,HX16)&gt;0,SUM(HW16,HX16),"")</f>
        <v/>
      </c>
      <c r="HZ16" s="46"/>
      <c r="IA16" s="46"/>
      <c r="IB16" s="46"/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15" t="str">
        <f>IF(SUM(IG16)&gt;0,SUM(IG16),"")</f>
        <v/>
      </c>
      <c r="IP16" s="15" t="str">
        <f>IF(SUM(HZ16:IC16)-ID16&gt;0,SUM(HZ16:IC16)-ID16,"")</f>
        <v/>
      </c>
      <c r="IQ16" s="15" t="str">
        <f>IF(SUM(IE16:IH16)-II16&gt;0,SUM(IE16:IH16)-II16,"")</f>
        <v/>
      </c>
      <c r="IR16" s="15" t="str">
        <f>IF(SUM(IP16:IQ16)&gt;0,SUM(IP16:IQ16),"")</f>
        <v/>
      </c>
      <c r="IS16" s="15" t="str">
        <f>IF(SUM(IJ16:IM16)-IN16&gt;0,SUM(IJ16:IM16)-IN16,"")</f>
        <v/>
      </c>
      <c r="IT16" s="15" t="str">
        <f>IF(SUM(IR16,IS16)&gt;0,SUM(IR16,IS16),"")</f>
        <v/>
      </c>
      <c r="IU16" s="45"/>
      <c r="IV16" s="45"/>
      <c r="IW16" s="45"/>
      <c r="IX16" s="45"/>
      <c r="IY16" s="45"/>
      <c r="IZ16" s="45"/>
      <c r="JA16" s="45"/>
      <c r="JB16" s="45"/>
      <c r="JC16" s="45"/>
      <c r="JD16" s="45"/>
      <c r="JE16" s="45"/>
      <c r="JF16" s="45"/>
      <c r="JG16" s="45"/>
      <c r="JH16" s="45"/>
      <c r="JI16" s="45"/>
      <c r="JJ16" s="12" t="str">
        <f>IF(SUM(JB16)&gt;0,SUM(JB16),"")</f>
        <v/>
      </c>
      <c r="JK16" s="12" t="str">
        <f>IF(SUM(IU16:IX16)-IY16&gt;0,SUM(IU16:IX16)-IY16,"")</f>
        <v/>
      </c>
      <c r="JL16" s="12" t="str">
        <f>IF(SUM(IZ16:JC16)-JD16&gt;0,SUM(IZ16:JC16)-JD16,"")</f>
        <v/>
      </c>
      <c r="JM16" s="12" t="str">
        <f>IF(SUM(JK16:JL16)&gt;0,SUM(JK16:JL16),"")</f>
        <v/>
      </c>
      <c r="JN16" s="12" t="str">
        <f>IF(SUM(JE16:JH16)-JI16&gt;0,SUM(JE16:JH16)-JI16,"")</f>
        <v/>
      </c>
      <c r="JO16" s="12" t="str">
        <f>IF(SUM(JM16,JN16)&gt;0,SUM(JM16,JN16),"")</f>
        <v/>
      </c>
      <c r="JP16" s="46"/>
      <c r="JQ16" s="46"/>
      <c r="JR16" s="46"/>
      <c r="JS16" s="46"/>
      <c r="JT16" s="46"/>
      <c r="JU16" s="46"/>
      <c r="JV16" s="46"/>
      <c r="JW16" s="46"/>
      <c r="JX16" s="46"/>
      <c r="JY16" s="46"/>
      <c r="JZ16" s="46"/>
      <c r="KA16" s="46"/>
      <c r="KB16" s="46"/>
      <c r="KC16" s="46"/>
      <c r="KD16" s="46"/>
      <c r="KE16" s="15" t="str">
        <f>IF(SUM(JW16)&gt;0,SUM(JW16),"")</f>
        <v/>
      </c>
      <c r="KF16" s="15" t="str">
        <f>IF(SUM(JP16:JS16)-JT16&gt;0,SUM(JP16:JS16)-JT16,"")</f>
        <v/>
      </c>
      <c r="KG16" s="15" t="str">
        <f>IF(SUM(JU16:JX16)-JY16&gt;0,SUM(JU16:JX16)-JY16,"")</f>
        <v/>
      </c>
      <c r="KH16" s="15" t="str">
        <f>IF(SUM(KF16:KG16)&gt;0,SUM(KF16:KG16),"")</f>
        <v/>
      </c>
      <c r="KI16" s="15" t="str">
        <f>IF(SUM(JZ16:KC16)-KD16&gt;0,SUM(JZ16:KC16)-KD16,"")</f>
        <v/>
      </c>
      <c r="KJ16" s="15" t="str">
        <f>IF(SUM(KH16,KI16)&gt;0,SUM(KH16,KI16),"")</f>
        <v/>
      </c>
      <c r="KK16" s="45"/>
      <c r="KL16" s="45"/>
      <c r="KM16" s="45"/>
      <c r="KN16" s="45"/>
      <c r="KO16" s="45"/>
      <c r="KP16" s="45"/>
      <c r="KQ16" s="45"/>
      <c r="KR16" s="45"/>
      <c r="KS16" s="45"/>
      <c r="KT16" s="45"/>
      <c r="KU16" s="45"/>
      <c r="KV16" s="45"/>
      <c r="KW16" s="45"/>
      <c r="KX16" s="45"/>
      <c r="KY16" s="45"/>
      <c r="KZ16" s="12" t="str">
        <f>IF(SUM(KR16)&gt;0,SUM(KR16),"")</f>
        <v/>
      </c>
      <c r="LA16" s="12" t="str">
        <f>IF(SUM(KK16:KN16)-KO16&gt;0,SUM(KK16:KN16)-KO16,"")</f>
        <v/>
      </c>
      <c r="LB16" s="12" t="str">
        <f>IF(SUM(KP16:KS16)-KT16&gt;0,SUM(KP16:KS16)-KT16,"")</f>
        <v/>
      </c>
      <c r="LC16" s="12" t="str">
        <f>IF(SUM(LA16:LB16)&gt;0,SUM(LA16:LB16),"")</f>
        <v/>
      </c>
      <c r="LD16" s="12" t="str">
        <f>IF(SUM(KU16:KX16)-KY16&gt;0,SUM(KU16:KX16)-KY16,"")</f>
        <v/>
      </c>
      <c r="LE16" s="12" t="str">
        <f>IF(SUM(LC16,LD16)&gt;0,SUM(LC16,LD16),"")</f>
        <v/>
      </c>
      <c r="LF16" s="46"/>
      <c r="LG16" s="46"/>
      <c r="LH16" s="46"/>
      <c r="LI16" s="46"/>
      <c r="LJ16" s="46"/>
      <c r="LK16" s="46"/>
      <c r="LL16" s="46"/>
      <c r="LM16" s="46"/>
      <c r="LN16" s="46"/>
      <c r="LO16" s="46"/>
      <c r="LP16" s="46"/>
      <c r="LQ16" s="46"/>
      <c r="LR16" s="46"/>
      <c r="LS16" s="46"/>
      <c r="LT16" s="46"/>
      <c r="LU16" s="15" t="str">
        <f>IF(SUM(LM16)&gt;0,SUM(LM16),"")</f>
        <v/>
      </c>
      <c r="LV16" s="15" t="str">
        <f>IF(SUM(LF16:LI16)-LJ16&gt;0,SUM(LF16:LI16)-LJ16,"")</f>
        <v/>
      </c>
      <c r="LW16" s="15" t="str">
        <f>IF(SUM(LK16:LN16)-LO16&gt;0,SUM(LK16:LN16)-LO16,"")</f>
        <v/>
      </c>
      <c r="LX16" s="15" t="str">
        <f>IF(SUM(LV16:LW16)&gt;0,SUM(LV16:LW16),"")</f>
        <v/>
      </c>
      <c r="LY16" s="15" t="str">
        <f>IF(SUM(LP16:LS16)-LT16&gt;0,SUM(LP16:LS16)-LT16,"")</f>
        <v/>
      </c>
      <c r="LZ16" s="15" t="str">
        <f>IF(SUM(LX16,LY16)&gt;0,SUM(LX16,LY16),"")</f>
        <v/>
      </c>
    </row>
    <row r="17" spans="1:338">
      <c r="A17" s="6" t="str">
        <f>IF(AND(F17="P",H17="P"),SUMPRODUCT((F$4:F$17="P")*(H$4:H$17="P")*(E$4:E$17&gt;E17))+1,IF(H17="P",SUMPRODUCT((F$4:F$17="")*(H$4:H$17="P")*(E$4:E$17&gt;E17))+1+SUMPRODUCT((F$4:F$17="P")*(H$4:H$17="P")),""))</f>
        <v/>
      </c>
      <c r="B17" s="7" t="s">
        <v>84</v>
      </c>
      <c r="C17" s="8" t="s">
        <v>6</v>
      </c>
      <c r="D17" s="31">
        <v>2000</v>
      </c>
      <c r="E17" s="16">
        <f>SUM(J17:R17)</f>
        <v>37.69</v>
      </c>
      <c r="F17" s="4" t="str">
        <f>IF(OR(AND($AJ17&gt;=$AK$20,NOT($AJ17="")),AND($BE17&gt;=$BF$20,NOT($BE17="")),AND($BZ17&gt;=$CA$20,NOT($BZ17=""))),"P","")</f>
        <v/>
      </c>
      <c r="G17" s="4" t="str">
        <f>IF(OR(AND($AJ17&gt;=$AK$21,NOT($AJ17="")),AND($BE17&gt;=$BF$21,NOT($BE17="")),AND($BZ17&gt;=$CA$21,NOT($BZ17=""))),"P","")</f>
        <v/>
      </c>
      <c r="H17" s="4" t="str">
        <f>IF(OR(AND($AM17&gt;=$AK$22,NOT($AM17="")),AND($BH17&gt;=$BF$22,NOT($BH17="")),AND($CC17&gt;=$CA$22,NOT($CC17=""))),"P","")</f>
        <v/>
      </c>
      <c r="I17" t="str">
        <f>IF(AND(F17="P",OR(AND($AL17&gt;$AK$25,NOT($AL17="")),AND($AN17&gt;$AK$25,NOT($AN17="")),AND($BG17&gt;$BF$25,NOT($BG17="")),AND($BI17&gt;$BF$25,NOT($BI17="")),AND($CB17&gt;$CA$25,NOT($CB17="")),AND($CD17&gt;$CA$25,NOT($CD17="")))),"Merit",IF(AND(F17="P",OR(AND($AM17&gt;$AK$24,NOT($AM17="")),AND($BH17&gt;$BF$24,NOT($BH17="")),AND($CC17&gt;$CA$24,NOT($CC17="")))),"Funding",IF(AND(F17="P",OR(AND($AM17&gt;$AK$23,NOT($AM17="")),AND($BH17&gt;$BF$23,NOT($BH17="")),AND($CC17&gt;$CA$23,NOT($CC17="")))),"Worlds Team",IF(AND(F17="P",OR(AND($AM17&gt;$AK$22,NOT($AM17="")),AND($BH17&gt;$BF$22,NOT($BH17="")),AND($CC17&gt;$CA$22,NOT($CC17="")))),"National Team",""))))</f>
        <v/>
      </c>
      <c r="J17" s="15">
        <f>MAX(AM17,BH17,CC17)</f>
        <v>37.69</v>
      </c>
      <c r="K17" s="15" t="str">
        <f>IF(J17=CC17,$BK$1,IF(J17=BH17,$AP$1,IF(J17=AM17,$U$1,"")))</f>
        <v>2018 Canada Cup</v>
      </c>
      <c r="L17" s="15">
        <f>IF($J17=$AM17,MAX(BF17,CA17),IF($J17=$BH17,MAX(AK17,CA17),MAX(AK17,BF17)))</f>
        <v>0</v>
      </c>
      <c r="M17" s="15" t="str">
        <f>IF(L17=CA17,$BK$1,IF(L17=BF17,$AP$1,IF(L17=AK17,$U$1,"")))</f>
        <v/>
      </c>
      <c r="N17" s="15">
        <f>IF($J17=$AM17,MAX(BG17,CB17),IF($J17=$BH17,MAX(AL17,CB17),MAX(AL17,BG17)))</f>
        <v>0</v>
      </c>
      <c r="O17" s="15" t="str">
        <f>IF(N17=CB17,$BK$1,IF(N17=BG17,$AP$1,IF(N17=AL17,$U$1,"")))</f>
        <v/>
      </c>
      <c r="P17" s="15">
        <f>MAX(AN17,BI17,CD17)</f>
        <v>0</v>
      </c>
      <c r="Q17" s="15" t="str">
        <f>IF(P17=CD17,$BK$1,IF(P17=BI17,$AP$1,IF(P17=AN17,$U$1,"")))</f>
        <v/>
      </c>
      <c r="R17" s="15" t="str">
        <f>IF(MAX(CF17,CG17,CH17)&gt;0,MAX(CF17,CG17,CH17),"")</f>
        <v/>
      </c>
      <c r="S17" s="29" t="str">
        <f>IF(R17="","",IF(R17=CF17,"(Vol 1)",IF(R17=CG17,"(Vol 2)",IF(R17=CH17,"(Final)"))))</f>
        <v/>
      </c>
      <c r="T17" s="15" t="str">
        <f>IF(R17="","",IF(R17=CF17,IF(R17+L17=LV17,$LF$1,IF(R17+L17=LA17,$KK$1,IF(R17+L17=KF17,$JP$1,IF(R17+L17=JK17,$IU$1,IF(R17+L17=IP17,$HZ$1,IF(R17+L17=HU17,$HE$1,IF(R17+L17=GZ17,$GJ$1,IF(R17+L17=GE17,$FO$1,IF(R17+L17=FJ17,$ET$1,IF(R17+L17=EO17,$DY$1,IF(R17+L17=DT17,$DD$1,IF(R17+L17=CY17,$CI$1)))))))))))),IF(R17=CG17,IF(R17+N17=LW17,$LF$1,IF(R17+N17=LB17,$KK$1,IF(R17+N17=KG17,$JP$1,IF(R17+N17=JL17,$IU$1,IF(R17+N17=IQ17,$HZ$1,IF(R17+N17=HV17,$HE$1,IF(R17+N17=HA17,$GJ$1,IF(R17+N17=GF17,$FO$1,IF(R17+N17=FK17,$ET$1,IF(R17+N17=EP17,$DY$1,IF(R17+N17=DU17,$DD$1,IF(R17+N17=CZ17,$CI$1)))))))))))),IF(R17=CH17,IF(R17+P17=LY17,$LF$1,IF(R17+P17=LD17,$KK$1,IF(R17+P17=KI17,$JP$1,IF(R17+P17=JN17,$IU$1,IF(R17+P17=IS17,$HZ$1,IF(R17+P17=HX17,$HE$1,IF(R17+P17=HC17,$GJ$1,IF(R17+P17=GH17,$FO$1,IF(R17+P17=FM17,$ET$1,IF(R17+P17=ER17,$DY$1,IF(R17+P17=DW17,$DD$1,IF(R17+P17=DB17,$CI$1))))))))))))))))</f>
        <v/>
      </c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9"/>
      <c r="AJ17" s="12" t="str">
        <f>IF(SUM(AB17)&gt;0,SUM(AB17),"")</f>
        <v/>
      </c>
      <c r="AK17" s="12" t="str">
        <f>IF(SUM(U17:X17)-Y17&gt;0,SUM(U17:X17)-Y17,"")</f>
        <v/>
      </c>
      <c r="AL17" s="12" t="str">
        <f>IF(SUM(Z17:AC17)-AD17&gt;0,SUM(Z17:AC17)-AD17,"")</f>
        <v/>
      </c>
      <c r="AM17" s="12" t="str">
        <f>IF(SUM(AK17:AL17)&gt;0,SUM(AK17:AL17),"")</f>
        <v/>
      </c>
      <c r="AN17" s="12" t="str">
        <f>IF(SUM(AE17:AH17)-AI17&gt;0,SUM(AE17:AH17)-AI17,"")</f>
        <v/>
      </c>
      <c r="AO17" s="12" t="str">
        <f>IF(SUM(AM17,AN17)&gt;0,SUM(AM17,AN17),"")</f>
        <v/>
      </c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15" t="str">
        <f>IF(SUM(AW17)&gt;0,SUM(AW17),"")</f>
        <v/>
      </c>
      <c r="BF17" s="15" t="str">
        <f>IF(SUM(AP17:AS17)-AT17&gt;0,SUM(AP17:AS17)-AT17,"")</f>
        <v/>
      </c>
      <c r="BG17" s="15" t="str">
        <f>IF(SUM(AU17:AX17)-AY17&gt;0,SUM(AU17:AX17)-AY17,"")</f>
        <v/>
      </c>
      <c r="BH17" s="15" t="str">
        <f>IF(SUM(BF17:BG17)&gt;0,SUM(BF17:BG17),"")</f>
        <v/>
      </c>
      <c r="BI17" s="15" t="str">
        <f>IF(SUM(AZ17:BC17)-BD17&gt;0,SUM(AZ17:BC17)-BD17,"")</f>
        <v/>
      </c>
      <c r="BJ17" s="15" t="str">
        <f>IF(SUM(BH17,BI17)&gt;0,SUM(BH17,BI17),"")</f>
        <v/>
      </c>
      <c r="BK17" s="76">
        <v>10.1</v>
      </c>
      <c r="BL17" s="76">
        <v>5.3</v>
      </c>
      <c r="BM17" s="76">
        <v>1.2</v>
      </c>
      <c r="BN17" s="76">
        <v>10.355</v>
      </c>
      <c r="BO17" s="76">
        <v>0</v>
      </c>
      <c r="BP17" s="76">
        <v>2.9</v>
      </c>
      <c r="BQ17" s="76">
        <v>1.6</v>
      </c>
      <c r="BR17" s="76">
        <v>2.7</v>
      </c>
      <c r="BS17" s="76">
        <v>3.5350000000000001</v>
      </c>
      <c r="BT17" s="76">
        <v>0</v>
      </c>
      <c r="BU17" s="76"/>
      <c r="BV17" s="76"/>
      <c r="BW17" s="76"/>
      <c r="BX17" s="76"/>
      <c r="BY17" s="76"/>
      <c r="BZ17" s="12">
        <f>IF(SUM(BR17)&gt;0,SUM(BR17),"")</f>
        <v>2.7</v>
      </c>
      <c r="CA17" s="12">
        <f>IF(SUM(BK17:BN17)-BO17&gt;0,SUM(BK17:BN17)-BO17,"")</f>
        <v>26.954999999999998</v>
      </c>
      <c r="CB17" s="12">
        <f>IF(SUM(BP17:BS17)-BT17&gt;0,SUM(BP17:BS17)-BT17,"")</f>
        <v>10.734999999999999</v>
      </c>
      <c r="CC17" s="12">
        <f>IF(SUM(CA17:CB17)&gt;0,SUM(CA17:CB17),"")</f>
        <v>37.69</v>
      </c>
      <c r="CD17" s="12" t="str">
        <f>IF(SUM(BU17:BX17)-BY17&gt;0,SUM(BU17:BX17)-BY17,"")</f>
        <v/>
      </c>
      <c r="CE17" s="12">
        <f>IF(SUM(CC17,CD17)&gt;0,SUM(CC17,CD17),"")</f>
        <v>37.69</v>
      </c>
      <c r="CF17" s="28" t="str">
        <f>IF(MAX(CY17,DT17,EO17,FJ17,GE17,GZ17,HU17,IP17,JK17,KF17,LA17,LV17)-L17&gt;0.001,MAX(CY17,DT17,EO17,FJ17,GE17,GZ17,HU17,IP17,JK17,KF17,LA17,LV17)-L17,"")</f>
        <v/>
      </c>
      <c r="CG17" s="28" t="str">
        <f>IF(MAX(CZ17,DU17,EP17,FK17,GF17,HA17,HV17,IQ17,JL17,KG17,LB17,LW17)-N17&gt;0.001,MAX(CZ17,DU17,EP17,FK17,GF17,HA17,HV17,IQ17,JL17,KG17,LB17,LW17)-N17,"")</f>
        <v/>
      </c>
      <c r="CH17" s="28" t="str">
        <f>IF(MAX(DB17,DW17,ER17,FM17,GH17,HC17,HX17,IS17,JN17,KI17,LD17,LY17)-P17&gt;0.001,MAX(DB17,DW17,ER17,FM17,GH17,HC17,HX17,IS17,JN17,KI17,LD17,LY17)-P17,"")</f>
        <v/>
      </c>
      <c r="CI17" s="45"/>
      <c r="CJ17" s="45"/>
      <c r="CK17" s="45"/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12" t="str">
        <f>IF(SUM(CP17)&gt;0,SUM(CP17),"")</f>
        <v/>
      </c>
      <c r="CY17" s="12" t="str">
        <f>IF(SUM(CI17:CL17)-CM17&gt;0,SUM(CI17:CL17)-CM17,"")</f>
        <v/>
      </c>
      <c r="CZ17" s="12" t="str">
        <f>IF(SUM(CN17:CQ17)-CR17&gt;0,SUM(CN17:CQ17)-CR17,"")</f>
        <v/>
      </c>
      <c r="DA17" s="12" t="str">
        <f>IF(SUM(CY17:CZ17)&gt;0,SUM(CY17:CZ17),"")</f>
        <v/>
      </c>
      <c r="DB17" s="12" t="str">
        <f>IF(SUM(CS17:CV17)-CW17&gt;0,SUM(CS17:CV17)-CW17,"")</f>
        <v/>
      </c>
      <c r="DC17" s="12" t="str">
        <f>IF(SUM(DA17,DB17)&gt;0,SUM(DA17,DB17),"")</f>
        <v/>
      </c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15" t="str">
        <f>IF(SUM(DK17)&gt;0,SUM(DK17),"")</f>
        <v/>
      </c>
      <c r="DT17" s="15" t="str">
        <f>IF(SUM(DD17:DG17)-DH17&gt;0,SUM(DD17:DG17)-DH17,"")</f>
        <v/>
      </c>
      <c r="DU17" s="15" t="str">
        <f>IF(SUM(DI17:DL17)-DM17&gt;0,SUM(DI17:DL17)-DM17,"")</f>
        <v/>
      </c>
      <c r="DV17" s="15" t="str">
        <f>IF(SUM(DT17:DU17)&gt;0,SUM(DT17:DU17),"")</f>
        <v/>
      </c>
      <c r="DW17" s="15" t="str">
        <f>IF(SUM(DN17:DQ17)-DR17&gt;0,SUM(DN17:DQ17)-DR17,"")</f>
        <v/>
      </c>
      <c r="DX17" s="15" t="str">
        <f>IF(SUM(DV17,DW17)&gt;0,SUM(DV17,DW17),"")</f>
        <v/>
      </c>
      <c r="DY17" s="45"/>
      <c r="DZ17" s="45"/>
      <c r="EA17" s="45"/>
      <c r="EB17" s="45"/>
      <c r="EC17" s="45"/>
      <c r="ED17" s="45"/>
      <c r="EE17" s="45"/>
      <c r="EF17" s="45"/>
      <c r="EG17" s="45"/>
      <c r="EH17" s="45"/>
      <c r="EI17" s="45"/>
      <c r="EJ17" s="45"/>
      <c r="EK17" s="45"/>
      <c r="EL17" s="45"/>
      <c r="EM17" s="45"/>
      <c r="EN17" s="12" t="str">
        <f>IF(SUM(EF17)&gt;0,SUM(EF17),"")</f>
        <v/>
      </c>
      <c r="EO17" s="12" t="str">
        <f>IF(SUM(DY17:EB17)-EC17&gt;0,SUM(DY17:EB17)-EC17,"")</f>
        <v/>
      </c>
      <c r="EP17" s="12" t="str">
        <f>IF(SUM(ED17:EG17)-EH17&gt;0,SUM(ED17:EG17)-EH17,"")</f>
        <v/>
      </c>
      <c r="EQ17" s="12" t="str">
        <f>IF(SUM(EO17:EP17)&gt;0,SUM(EO17:EP17),"")</f>
        <v/>
      </c>
      <c r="ER17" s="12" t="str">
        <f>IF(SUM(EI17:EL17)-EM17&gt;0,SUM(EI17:EL17)-EM17,"")</f>
        <v/>
      </c>
      <c r="ES17" s="12" t="str">
        <f>IF(SUM(EQ17,ER17)&gt;0,SUM(EQ17,ER17),"")</f>
        <v/>
      </c>
      <c r="ET17" s="46"/>
      <c r="EU17" s="46"/>
      <c r="EV17" s="46"/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15" t="str">
        <f>IF(SUM(FA17)&gt;0,SUM(FA17),"")</f>
        <v/>
      </c>
      <c r="FJ17" s="15" t="str">
        <f>IF(SUM(ET17:EW17)-EX17&gt;0,SUM(ET17:EW17)-EX17,"")</f>
        <v/>
      </c>
      <c r="FK17" s="15" t="str">
        <f>IF(SUM(EY17:FB17)-FC17&gt;0,SUM(EY17:FB17)-FC17,"")</f>
        <v/>
      </c>
      <c r="FL17" s="15" t="str">
        <f>IF(SUM(FJ17:FK17)&gt;0,SUM(FJ17:FK17),"")</f>
        <v/>
      </c>
      <c r="FM17" s="15" t="str">
        <f>IF(SUM(FD17:FG17)-FH17&gt;0,SUM(FD17:FG17)-FH17,"")</f>
        <v/>
      </c>
      <c r="FN17" s="15" t="str">
        <f>IF(SUM(FL17,FM17)&gt;0,SUM(FL17,FM17),"")</f>
        <v/>
      </c>
      <c r="FO17" s="45"/>
      <c r="FP17" s="45"/>
      <c r="FQ17" s="45"/>
      <c r="FR17" s="45"/>
      <c r="FS17" s="45"/>
      <c r="FT17" s="45"/>
      <c r="FU17" s="45"/>
      <c r="FV17" s="45"/>
      <c r="FW17" s="45"/>
      <c r="FX17" s="45"/>
      <c r="FY17" s="45"/>
      <c r="FZ17" s="45"/>
      <c r="GA17" s="45"/>
      <c r="GB17" s="45"/>
      <c r="GC17" s="45"/>
      <c r="GD17" s="12" t="str">
        <f>IF(SUM(FV17)&gt;0,SUM(FV17),"")</f>
        <v/>
      </c>
      <c r="GE17" s="12" t="str">
        <f>IF(SUM(FO17:FR17)-FS17&gt;0,SUM(FO17:FR17)-FS17,"")</f>
        <v/>
      </c>
      <c r="GF17" s="12" t="str">
        <f>IF(SUM(FT17:FW17)-FX17&gt;0,SUM(FT17:FW17)-FX17,"")</f>
        <v/>
      </c>
      <c r="GG17" s="12" t="str">
        <f>IF(SUM(GE17:GF17)&gt;0,SUM(GE17:GF17),"")</f>
        <v/>
      </c>
      <c r="GH17" s="12" t="str">
        <f>IF(SUM(FY17:GB17)-GC17&gt;0,SUM(FY17:GB17)-GC17,"")</f>
        <v/>
      </c>
      <c r="GI17" s="12" t="str">
        <f>IF(SUM(GG17,GH17)&gt;0,SUM(GG17,GH17),"")</f>
        <v/>
      </c>
      <c r="GJ17" s="46"/>
      <c r="GK17" s="46"/>
      <c r="GL17" s="46"/>
      <c r="GM17" s="46"/>
      <c r="GN17" s="46"/>
      <c r="GO17" s="46"/>
      <c r="GP17" s="46"/>
      <c r="GQ17" s="46"/>
      <c r="GR17" s="46"/>
      <c r="GS17" s="46"/>
      <c r="GT17" s="46"/>
      <c r="GU17" s="46"/>
      <c r="GV17" s="46"/>
      <c r="GW17" s="46"/>
      <c r="GX17" s="46"/>
      <c r="GY17" s="15" t="str">
        <f>IF(SUM(GQ17)&gt;0,SUM(GQ17),"")</f>
        <v/>
      </c>
      <c r="GZ17" s="15" t="str">
        <f>IF(SUM(GJ17:GM17)-GN17&gt;0,SUM(GJ17:GM17)-GN17,"")</f>
        <v/>
      </c>
      <c r="HA17" s="15" t="str">
        <f>IF(SUM(GO17:GR17)-GS17&gt;0,SUM(GO17:GR17)-GS17,"")</f>
        <v/>
      </c>
      <c r="HB17" s="15" t="str">
        <f>IF(SUM(GZ17:HA17)&gt;0,SUM(GZ17:HA17),"")</f>
        <v/>
      </c>
      <c r="HC17" s="15" t="str">
        <f>IF(SUM(GT17:GW17)-GX17&gt;0,SUM(GT17:GW17)-GX17,"")</f>
        <v/>
      </c>
      <c r="HD17" s="15" t="str">
        <f>IF(SUM(HB17,HC17)&gt;0,SUM(HB17,HC17),"")</f>
        <v/>
      </c>
      <c r="HE17" s="45"/>
      <c r="HF17" s="45"/>
      <c r="HG17" s="45"/>
      <c r="HH17" s="45"/>
      <c r="HI17" s="45"/>
      <c r="HJ17" s="45"/>
      <c r="HK17" s="45"/>
      <c r="HL17" s="45"/>
      <c r="HM17" s="45"/>
      <c r="HN17" s="45"/>
      <c r="HO17" s="45"/>
      <c r="HP17" s="45"/>
      <c r="HQ17" s="45"/>
      <c r="HR17" s="45"/>
      <c r="HS17" s="45"/>
      <c r="HT17" s="12" t="str">
        <f>IF(SUM(HL17)&gt;0,SUM(HL17),"")</f>
        <v/>
      </c>
      <c r="HU17" s="12" t="str">
        <f>IF(SUM(HE17:HH17)-HI17&gt;0,SUM(HE17:HH17)-HI17,"")</f>
        <v/>
      </c>
      <c r="HV17" s="12" t="str">
        <f>IF(SUM(HJ17:HM17)-HN17&gt;0,SUM(HJ17:HM17)-HN17,"")</f>
        <v/>
      </c>
      <c r="HW17" s="12" t="str">
        <f>IF(SUM(HU17:HV17)&gt;0,SUM(HU17:HV17),"")</f>
        <v/>
      </c>
      <c r="HX17" s="12" t="str">
        <f>IF(SUM(HO17:HR17)-HS17&gt;0,SUM(HO17:HR17)-HS17,"")</f>
        <v/>
      </c>
      <c r="HY17" s="12" t="str">
        <f>IF(SUM(HW17,HX17)&gt;0,SUM(HW17,HX17),"")</f>
        <v/>
      </c>
      <c r="HZ17" s="46"/>
      <c r="IA17" s="46"/>
      <c r="IB17" s="46"/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15" t="str">
        <f>IF(SUM(IG17)&gt;0,SUM(IG17),"")</f>
        <v/>
      </c>
      <c r="IP17" s="15" t="str">
        <f>IF(SUM(HZ17:IC17)-ID17&gt;0,SUM(HZ17:IC17)-ID17,"")</f>
        <v/>
      </c>
      <c r="IQ17" s="15" t="str">
        <f>IF(SUM(IE17:IH17)-II17&gt;0,SUM(IE17:IH17)-II17,"")</f>
        <v/>
      </c>
      <c r="IR17" s="15" t="str">
        <f>IF(SUM(IP17:IQ17)&gt;0,SUM(IP17:IQ17),"")</f>
        <v/>
      </c>
      <c r="IS17" s="15" t="str">
        <f>IF(SUM(IJ17:IM17)-IN17&gt;0,SUM(IJ17:IM17)-IN17,"")</f>
        <v/>
      </c>
      <c r="IT17" s="15" t="str">
        <f>IF(SUM(IR17,IS17)&gt;0,SUM(IR17,IS17),"")</f>
        <v/>
      </c>
      <c r="IU17" s="45"/>
      <c r="IV17" s="45"/>
      <c r="IW17" s="45"/>
      <c r="IX17" s="45"/>
      <c r="IY17" s="45"/>
      <c r="IZ17" s="45"/>
      <c r="JA17" s="45"/>
      <c r="JB17" s="45"/>
      <c r="JC17" s="45"/>
      <c r="JD17" s="45"/>
      <c r="JE17" s="45"/>
      <c r="JF17" s="45"/>
      <c r="JG17" s="45"/>
      <c r="JH17" s="45"/>
      <c r="JI17" s="45"/>
      <c r="JJ17" s="12" t="str">
        <f>IF(SUM(JB17)&gt;0,SUM(JB17),"")</f>
        <v/>
      </c>
      <c r="JK17" s="12" t="str">
        <f>IF(SUM(IU17:IX17)-IY17&gt;0,SUM(IU17:IX17)-IY17,"")</f>
        <v/>
      </c>
      <c r="JL17" s="12" t="str">
        <f>IF(SUM(IZ17:JC17)-JD17&gt;0,SUM(IZ17:JC17)-JD17,"")</f>
        <v/>
      </c>
      <c r="JM17" s="12" t="str">
        <f>IF(SUM(JK17:JL17)&gt;0,SUM(JK17:JL17),"")</f>
        <v/>
      </c>
      <c r="JN17" s="12" t="str">
        <f>IF(SUM(JE17:JH17)-JI17&gt;0,SUM(JE17:JH17)-JI17,"")</f>
        <v/>
      </c>
      <c r="JO17" s="12" t="str">
        <f>IF(SUM(JM17,JN17)&gt;0,SUM(JM17,JN17),"")</f>
        <v/>
      </c>
      <c r="JP17" s="46"/>
      <c r="JQ17" s="46"/>
      <c r="JR17" s="46"/>
      <c r="JS17" s="46"/>
      <c r="JT17" s="46"/>
      <c r="JU17" s="46"/>
      <c r="JV17" s="46"/>
      <c r="JW17" s="46"/>
      <c r="JX17" s="46"/>
      <c r="JY17" s="46"/>
      <c r="JZ17" s="46"/>
      <c r="KA17" s="46"/>
      <c r="KB17" s="46"/>
      <c r="KC17" s="46"/>
      <c r="KD17" s="46"/>
      <c r="KE17" s="15" t="str">
        <f>IF(SUM(JW17)&gt;0,SUM(JW17),"")</f>
        <v/>
      </c>
      <c r="KF17" s="15" t="str">
        <f>IF(SUM(JP17:JS17)-JT17&gt;0,SUM(JP17:JS17)-JT17,"")</f>
        <v/>
      </c>
      <c r="KG17" s="15" t="str">
        <f>IF(SUM(JU17:JX17)-JY17&gt;0,SUM(JU17:JX17)-JY17,"")</f>
        <v/>
      </c>
      <c r="KH17" s="15" t="str">
        <f>IF(SUM(KF17:KG17)&gt;0,SUM(KF17:KG17),"")</f>
        <v/>
      </c>
      <c r="KI17" s="15" t="str">
        <f>IF(SUM(JZ17:KC17)-KD17&gt;0,SUM(JZ17:KC17)-KD17,"")</f>
        <v/>
      </c>
      <c r="KJ17" s="15" t="str">
        <f>IF(SUM(KH17,KI17)&gt;0,SUM(KH17,KI17),"")</f>
        <v/>
      </c>
      <c r="KK17" s="45"/>
      <c r="KL17" s="45"/>
      <c r="KM17" s="45"/>
      <c r="KN17" s="45"/>
      <c r="KO17" s="45"/>
      <c r="KP17" s="45"/>
      <c r="KQ17" s="45"/>
      <c r="KR17" s="45"/>
      <c r="KS17" s="45"/>
      <c r="KT17" s="45"/>
      <c r="KU17" s="45"/>
      <c r="KV17" s="45"/>
      <c r="KW17" s="45"/>
      <c r="KX17" s="45"/>
      <c r="KY17" s="45"/>
      <c r="KZ17" s="12" t="str">
        <f>IF(SUM(KR17)&gt;0,SUM(KR17),"")</f>
        <v/>
      </c>
      <c r="LA17" s="12" t="str">
        <f>IF(SUM(KK17:KN17)-KO17&gt;0,SUM(KK17:KN17)-KO17,"")</f>
        <v/>
      </c>
      <c r="LB17" s="12" t="str">
        <f>IF(SUM(KP17:KS17)-KT17&gt;0,SUM(KP17:KS17)-KT17,"")</f>
        <v/>
      </c>
      <c r="LC17" s="12" t="str">
        <f>IF(SUM(LA17:LB17)&gt;0,SUM(LA17:LB17),"")</f>
        <v/>
      </c>
      <c r="LD17" s="12" t="str">
        <f>IF(SUM(KU17:KX17)-KY17&gt;0,SUM(KU17:KX17)-KY17,"")</f>
        <v/>
      </c>
      <c r="LE17" s="12" t="str">
        <f>IF(SUM(LC17,LD17)&gt;0,SUM(LC17,LD17),"")</f>
        <v/>
      </c>
      <c r="LF17" s="46"/>
      <c r="LG17" s="46"/>
      <c r="LH17" s="46"/>
      <c r="LI17" s="46"/>
      <c r="LJ17" s="46"/>
      <c r="LK17" s="46"/>
      <c r="LL17" s="46"/>
      <c r="LM17" s="46"/>
      <c r="LN17" s="46"/>
      <c r="LO17" s="46"/>
      <c r="LP17" s="46"/>
      <c r="LQ17" s="46"/>
      <c r="LR17" s="46"/>
      <c r="LS17" s="46"/>
      <c r="LT17" s="46"/>
      <c r="LU17" s="15" t="str">
        <f>IF(SUM(LM17)&gt;0,SUM(LM17),"")</f>
        <v/>
      </c>
      <c r="LV17" s="15" t="str">
        <f>IF(SUM(LF17:LI17)-LJ17&gt;0,SUM(LF17:LI17)-LJ17,"")</f>
        <v/>
      </c>
      <c r="LW17" s="15" t="str">
        <f>IF(SUM(LK17:LN17)-LO17&gt;0,SUM(LK17:LN17)-LO17,"")</f>
        <v/>
      </c>
      <c r="LX17" s="15" t="str">
        <f>IF(SUM(LV17:LW17)&gt;0,SUM(LV17:LW17),"")</f>
        <v/>
      </c>
      <c r="LY17" s="15" t="str">
        <f>IF(SUM(LP17:LS17)-LT17&gt;0,SUM(LP17:LS17)-LT17,"")</f>
        <v/>
      </c>
      <c r="LZ17" s="15" t="str">
        <f>IF(SUM(LX17,LY17)&gt;0,SUM(LX17,LY17),"")</f>
        <v/>
      </c>
    </row>
    <row r="18" spans="1:338">
      <c r="D18" s="1"/>
    </row>
    <row r="20" spans="1:338">
      <c r="B20" s="88" t="s">
        <v>65</v>
      </c>
      <c r="AJ20" s="62"/>
      <c r="AK20" s="70">
        <v>13.2</v>
      </c>
      <c r="BE20" s="62"/>
      <c r="BF20" s="70">
        <v>13.2</v>
      </c>
      <c r="BZ20" s="62"/>
      <c r="CA20" s="70">
        <v>13.5</v>
      </c>
      <c r="CX20" s="62"/>
      <c r="CY20" s="70">
        <v>17.5</v>
      </c>
      <c r="DS20" s="62"/>
      <c r="DT20" s="70">
        <v>13.5</v>
      </c>
      <c r="EN20" s="62"/>
      <c r="EO20" s="70">
        <v>13.5</v>
      </c>
      <c r="FI20" s="62"/>
      <c r="FJ20" s="70">
        <v>13.5</v>
      </c>
      <c r="GD20" s="62"/>
      <c r="GE20" s="70">
        <v>13.5</v>
      </c>
      <c r="GY20" s="62"/>
      <c r="GZ20" s="70">
        <v>13.5</v>
      </c>
      <c r="HT20" s="62"/>
      <c r="HU20" s="70">
        <v>13.5</v>
      </c>
      <c r="IO20" s="62"/>
      <c r="IP20" s="70">
        <v>13.5</v>
      </c>
      <c r="JJ20" s="62"/>
      <c r="JK20" s="70">
        <v>13.5</v>
      </c>
      <c r="KE20" s="62"/>
      <c r="KF20" s="70">
        <v>13.5</v>
      </c>
      <c r="KZ20" s="62"/>
      <c r="LA20" s="70">
        <v>13.5</v>
      </c>
      <c r="LU20" s="62"/>
      <c r="LV20" s="70">
        <v>13.5</v>
      </c>
    </row>
    <row r="21" spans="1:338" ht="16" hidden="1" customHeight="1">
      <c r="A21" s="62"/>
      <c r="B21" s="83" t="s">
        <v>64</v>
      </c>
      <c r="C21" s="61"/>
      <c r="AJ21" s="62"/>
      <c r="AK21" s="71">
        <v>1000</v>
      </c>
      <c r="AM21" s="60"/>
      <c r="AN21" s="60"/>
      <c r="BE21" s="62"/>
      <c r="BF21" s="71">
        <v>1000</v>
      </c>
      <c r="BZ21" s="62"/>
      <c r="CA21" s="71">
        <v>1000</v>
      </c>
      <c r="CX21" s="62"/>
      <c r="CY21" s="71">
        <v>1000</v>
      </c>
      <c r="DS21" s="62"/>
      <c r="DT21" s="71">
        <v>1000</v>
      </c>
      <c r="EN21" s="62"/>
      <c r="EO21" s="71">
        <v>1000</v>
      </c>
      <c r="FI21" s="62"/>
      <c r="FJ21" s="71">
        <v>1000</v>
      </c>
      <c r="GD21" s="62"/>
      <c r="GE21" s="71">
        <v>1000</v>
      </c>
      <c r="GY21" s="62"/>
      <c r="GZ21" s="71">
        <v>1000</v>
      </c>
      <c r="HT21" s="62"/>
      <c r="HU21" s="71">
        <v>1000</v>
      </c>
      <c r="IO21" s="62"/>
      <c r="IP21" s="71">
        <v>1000</v>
      </c>
      <c r="JJ21" s="62"/>
      <c r="JK21" s="71">
        <v>1000</v>
      </c>
      <c r="KE21" s="62"/>
      <c r="KF21" s="71">
        <v>1000</v>
      </c>
      <c r="KZ21" s="62"/>
      <c r="LA21" s="71">
        <v>1000</v>
      </c>
      <c r="LU21" s="62"/>
      <c r="LV21" s="71">
        <v>1000</v>
      </c>
    </row>
    <row r="22" spans="1:338">
      <c r="A22" s="62"/>
      <c r="B22" s="84" t="s">
        <v>62</v>
      </c>
      <c r="C22" s="61"/>
      <c r="AJ22" s="62"/>
      <c r="AK22" s="72">
        <v>97.8</v>
      </c>
      <c r="AM22" s="60"/>
      <c r="AN22" s="60"/>
      <c r="BE22" s="62"/>
      <c r="BF22" s="72">
        <v>97.8</v>
      </c>
      <c r="BZ22" s="62"/>
      <c r="CA22" s="72">
        <v>98</v>
      </c>
      <c r="CX22" s="62"/>
      <c r="CY22" s="72">
        <v>97.8</v>
      </c>
      <c r="DS22" s="62"/>
      <c r="DT22" s="72">
        <v>98</v>
      </c>
      <c r="EN22" s="62"/>
      <c r="EO22" s="72">
        <v>98</v>
      </c>
      <c r="FI22" s="62"/>
      <c r="FJ22" s="72">
        <v>98</v>
      </c>
      <c r="GD22" s="62"/>
      <c r="GE22" s="72">
        <v>98</v>
      </c>
      <c r="GY22" s="62"/>
      <c r="GZ22" s="72">
        <v>98</v>
      </c>
      <c r="HT22" s="62"/>
      <c r="HU22" s="72">
        <v>98</v>
      </c>
      <c r="IO22" s="62"/>
      <c r="IP22" s="72">
        <v>98</v>
      </c>
      <c r="JJ22" s="62"/>
      <c r="JK22" s="72">
        <v>98</v>
      </c>
      <c r="KE22" s="62"/>
      <c r="KF22" s="72">
        <v>98</v>
      </c>
      <c r="KZ22" s="62"/>
      <c r="LA22" s="72">
        <v>98</v>
      </c>
      <c r="LU22" s="62"/>
      <c r="LV22" s="72">
        <v>98</v>
      </c>
    </row>
    <row r="23" spans="1:338" ht="16" hidden="1" customHeight="1">
      <c r="A23" s="62"/>
      <c r="B23" s="85" t="s">
        <v>63</v>
      </c>
      <c r="C23" s="61"/>
      <c r="AJ23" s="62"/>
      <c r="AK23" s="73">
        <f>AK24</f>
        <v>101</v>
      </c>
      <c r="AM23" s="60"/>
      <c r="AN23" s="60"/>
      <c r="BE23" s="62"/>
      <c r="BF23" s="73">
        <f>BF24</f>
        <v>101</v>
      </c>
      <c r="BZ23" s="62"/>
      <c r="CA23" s="73">
        <f>CA24</f>
        <v>101.2</v>
      </c>
      <c r="CX23" s="62"/>
      <c r="CY23" s="73">
        <f>CY24</f>
        <v>101</v>
      </c>
      <c r="DS23" s="62"/>
      <c r="DT23" s="73">
        <f>DT24</f>
        <v>101.2</v>
      </c>
      <c r="EN23" s="62"/>
      <c r="EO23" s="73">
        <f>EO24</f>
        <v>101.2</v>
      </c>
      <c r="FI23" s="62"/>
      <c r="FJ23" s="73">
        <f>FJ24</f>
        <v>101.2</v>
      </c>
      <c r="GD23" s="62"/>
      <c r="GE23" s="73">
        <f>GE24</f>
        <v>101.2</v>
      </c>
      <c r="GY23" s="62"/>
      <c r="GZ23" s="73">
        <f>GZ24</f>
        <v>101.2</v>
      </c>
      <c r="HT23" s="62"/>
      <c r="HU23" s="73">
        <f>HU24</f>
        <v>101.2</v>
      </c>
      <c r="IO23" s="62"/>
      <c r="IP23" s="73">
        <f>IP24</f>
        <v>101.2</v>
      </c>
      <c r="JJ23" s="62"/>
      <c r="JK23" s="73">
        <f>JK24</f>
        <v>101.2</v>
      </c>
      <c r="KE23" s="62"/>
      <c r="KF23" s="73">
        <f>KF24</f>
        <v>101.2</v>
      </c>
      <c r="KZ23" s="62"/>
      <c r="LA23" s="73">
        <f>LA24</f>
        <v>101.2</v>
      </c>
      <c r="LU23" s="62"/>
      <c r="LV23" s="73">
        <f>LV24</f>
        <v>101.2</v>
      </c>
    </row>
    <row r="24" spans="1:338">
      <c r="A24" s="62"/>
      <c r="B24" s="86" t="s">
        <v>27</v>
      </c>
      <c r="C24" s="61"/>
      <c r="AJ24" s="62"/>
      <c r="AK24" s="74">
        <v>101</v>
      </c>
      <c r="AM24" s="60"/>
      <c r="AN24" s="60"/>
      <c r="BE24" s="62"/>
      <c r="BF24" s="74">
        <v>101</v>
      </c>
      <c r="BZ24" s="62"/>
      <c r="CA24" s="74">
        <v>101.2</v>
      </c>
      <c r="CX24" s="62"/>
      <c r="CY24" s="74">
        <v>101</v>
      </c>
      <c r="DS24" s="62"/>
      <c r="DT24" s="74">
        <v>101.2</v>
      </c>
      <c r="EN24" s="62"/>
      <c r="EO24" s="74">
        <v>101.2</v>
      </c>
      <c r="FI24" s="62"/>
      <c r="FJ24" s="74">
        <v>101.2</v>
      </c>
      <c r="GD24" s="62"/>
      <c r="GE24" s="74">
        <v>101.2</v>
      </c>
      <c r="GY24" s="62"/>
      <c r="GZ24" s="74">
        <v>101.2</v>
      </c>
      <c r="HT24" s="62"/>
      <c r="HU24" s="74">
        <v>101.2</v>
      </c>
      <c r="IO24" s="62"/>
      <c r="IP24" s="74">
        <v>101.2</v>
      </c>
      <c r="JJ24" s="62"/>
      <c r="JK24" s="74">
        <v>101.2</v>
      </c>
      <c r="KE24" s="62"/>
      <c r="KF24" s="74">
        <v>101.2</v>
      </c>
      <c r="KZ24" s="62"/>
      <c r="LA24" s="74">
        <v>101.2</v>
      </c>
      <c r="LU24" s="62"/>
      <c r="LV24" s="74">
        <v>101.2</v>
      </c>
    </row>
    <row r="25" spans="1:338">
      <c r="A25" s="62"/>
      <c r="B25" s="87" t="s">
        <v>48</v>
      </c>
      <c r="C25" s="61"/>
      <c r="AJ25" s="62"/>
      <c r="AK25" s="75">
        <v>57</v>
      </c>
      <c r="AM25" s="60"/>
      <c r="AN25" s="60"/>
      <c r="BE25" s="62"/>
      <c r="BF25" s="75">
        <v>57</v>
      </c>
      <c r="BZ25" s="62"/>
      <c r="CA25" s="75">
        <v>56</v>
      </c>
      <c r="CX25" s="62"/>
      <c r="CY25" s="75">
        <v>105.1</v>
      </c>
      <c r="DS25" s="62"/>
      <c r="DT25" s="75">
        <v>56</v>
      </c>
      <c r="EN25" s="62"/>
      <c r="EO25" s="75">
        <v>56</v>
      </c>
      <c r="FI25" s="62"/>
      <c r="FJ25" s="75">
        <v>56</v>
      </c>
      <c r="GD25" s="62"/>
      <c r="GE25" s="75">
        <v>56</v>
      </c>
      <c r="GY25" s="62"/>
      <c r="GZ25" s="75">
        <v>56</v>
      </c>
      <c r="HT25" s="62"/>
      <c r="HU25" s="75">
        <v>56</v>
      </c>
      <c r="IO25" s="62"/>
      <c r="IP25" s="75">
        <v>56</v>
      </c>
      <c r="JJ25" s="62"/>
      <c r="JK25" s="75">
        <v>56</v>
      </c>
      <c r="KE25" s="62"/>
      <c r="KF25" s="75">
        <v>56</v>
      </c>
      <c r="KZ25" s="62"/>
      <c r="LA25" s="75">
        <v>56</v>
      </c>
      <c r="LU25" s="62"/>
      <c r="LV25" s="75">
        <v>56</v>
      </c>
    </row>
    <row r="26" spans="1:338">
      <c r="C26" s="3"/>
      <c r="AJ26" t="s">
        <v>105</v>
      </c>
      <c r="AK26" s="60"/>
      <c r="AL26" s="60"/>
      <c r="AM26" s="60"/>
      <c r="AN26" s="60"/>
      <c r="BE26" t="s">
        <v>105</v>
      </c>
      <c r="CY26" t="s">
        <v>121</v>
      </c>
    </row>
    <row r="27" spans="1:338">
      <c r="A27" s="62"/>
      <c r="B27" s="62"/>
      <c r="C27" s="61"/>
      <c r="AJ27" t="s">
        <v>106</v>
      </c>
      <c r="AK27" s="60"/>
      <c r="AL27" s="60"/>
      <c r="AM27" s="60"/>
      <c r="AN27" s="60"/>
      <c r="BE27" t="s">
        <v>106</v>
      </c>
    </row>
    <row r="28" spans="1:338" ht="17">
      <c r="A28" s="62"/>
      <c r="B28" s="62"/>
      <c r="C28" s="61"/>
      <c r="R28" s="21"/>
      <c r="S28" s="21"/>
      <c r="AJ28" t="s">
        <v>119</v>
      </c>
      <c r="AK28" s="60"/>
      <c r="AL28" s="60"/>
      <c r="AM28" s="60"/>
      <c r="AN28" s="60"/>
      <c r="BE28" t="s">
        <v>119</v>
      </c>
    </row>
    <row r="29" spans="1:338" ht="17">
      <c r="A29" s="62"/>
      <c r="B29" s="62"/>
      <c r="C29" s="61"/>
      <c r="R29" s="21"/>
      <c r="AJ29" t="s">
        <v>120</v>
      </c>
      <c r="AK29" s="60"/>
      <c r="AL29" s="60"/>
      <c r="AM29" s="60"/>
      <c r="AN29" s="60"/>
      <c r="BE29" t="s">
        <v>120</v>
      </c>
    </row>
    <row r="30" spans="1:338" ht="17">
      <c r="R30" s="21"/>
      <c r="S30" s="21"/>
      <c r="AJ30" t="s">
        <v>121</v>
      </c>
      <c r="AK30" s="60"/>
      <c r="AL30" s="60"/>
      <c r="AM30" s="60"/>
      <c r="AN30" s="60"/>
      <c r="BE30" t="s">
        <v>121</v>
      </c>
    </row>
    <row r="31" spans="1:338" ht="17">
      <c r="R31" s="21"/>
      <c r="S31" s="21"/>
      <c r="AK31" s="60"/>
      <c r="AL31" s="60"/>
      <c r="AM31" s="60"/>
      <c r="AN31" s="60"/>
    </row>
    <row r="32" spans="1:338" ht="17">
      <c r="R32" s="21"/>
      <c r="S32" s="21"/>
      <c r="AK32" s="60"/>
      <c r="AL32" s="60"/>
      <c r="AM32" s="60"/>
      <c r="AN32" s="60"/>
    </row>
    <row r="33" spans="18:20" ht="17">
      <c r="R33" s="21"/>
      <c r="S33" s="21"/>
      <c r="T33" s="21"/>
    </row>
    <row r="34" spans="18:20" ht="17">
      <c r="R34" s="21"/>
      <c r="S34" s="21"/>
      <c r="T34" s="21"/>
    </row>
    <row r="35" spans="18:20" ht="17">
      <c r="R35" s="21"/>
      <c r="S35" s="21"/>
      <c r="T35" s="21"/>
    </row>
    <row r="36" spans="18:20" ht="17">
      <c r="R36" s="21"/>
      <c r="S36" s="21"/>
      <c r="T36" s="21"/>
    </row>
    <row r="37" spans="18:20" ht="17">
      <c r="R37" s="21"/>
      <c r="S37" s="21"/>
      <c r="T37" s="21"/>
    </row>
    <row r="38" spans="18:20" ht="17">
      <c r="R38" s="21"/>
      <c r="S38" s="21"/>
      <c r="T38" s="21"/>
    </row>
    <row r="39" spans="18:20" ht="17">
      <c r="R39" s="21"/>
      <c r="S39" s="21"/>
      <c r="T39" s="21"/>
    </row>
    <row r="40" spans="18:20" ht="17">
      <c r="R40" s="21"/>
      <c r="S40" s="21"/>
      <c r="T40" s="21"/>
    </row>
    <row r="41" spans="18:20" ht="17">
      <c r="R41" s="21"/>
      <c r="S41" s="21"/>
      <c r="T41" s="21"/>
    </row>
    <row r="42" spans="18:20" ht="17">
      <c r="R42" s="21"/>
      <c r="S42" s="21"/>
      <c r="T42" s="21"/>
    </row>
    <row r="43" spans="18:20" ht="17">
      <c r="R43" s="21"/>
      <c r="S43" s="21"/>
      <c r="T43" s="21"/>
    </row>
    <row r="44" spans="18:20" ht="17">
      <c r="R44" s="21"/>
      <c r="S44" s="21"/>
      <c r="T44" s="21"/>
    </row>
    <row r="45" spans="18:20" ht="17">
      <c r="R45" s="21"/>
      <c r="S45" s="21"/>
      <c r="T45" s="21"/>
    </row>
    <row r="46" spans="18:20" ht="17">
      <c r="R46" s="21"/>
      <c r="S46" s="21"/>
      <c r="T46" s="21"/>
    </row>
    <row r="47" spans="18:20" ht="17">
      <c r="R47" s="21"/>
      <c r="S47" s="21"/>
      <c r="T47" s="21"/>
    </row>
  </sheetData>
  <sheetProtection sheet="1" formatCells="0" formatColumns="0" formatRows="0"/>
  <autoFilter ref="A1:LZ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4:LZ17">
      <sortCondition descending="1" ref="F1:F21"/>
    </sortState>
  </autoFilter>
  <sortState ref="A1:O3">
    <sortCondition ref="A1"/>
  </sortState>
  <mergeCells count="81">
    <mergeCell ref="JU2:JY2"/>
    <mergeCell ref="JP2:JT2"/>
    <mergeCell ref="JE2:JI2"/>
    <mergeCell ref="FD2:FH2"/>
    <mergeCell ref="EY2:FC2"/>
    <mergeCell ref="ET2:EX2"/>
    <mergeCell ref="EI2:EM2"/>
    <mergeCell ref="ED2:EH2"/>
    <mergeCell ref="BP2:BT2"/>
    <mergeCell ref="BU2:BY2"/>
    <mergeCell ref="CS2:CW2"/>
    <mergeCell ref="CN2:CR2"/>
    <mergeCell ref="CI2:CM2"/>
    <mergeCell ref="AZ2:BD2"/>
    <mergeCell ref="U1:AO1"/>
    <mergeCell ref="AP1:BJ1"/>
    <mergeCell ref="BK1:CE1"/>
    <mergeCell ref="H1:H3"/>
    <mergeCell ref="I1:I3"/>
    <mergeCell ref="J1:J3"/>
    <mergeCell ref="L1:L3"/>
    <mergeCell ref="N1:N3"/>
    <mergeCell ref="U2:Y2"/>
    <mergeCell ref="K1:K3"/>
    <mergeCell ref="M1:M3"/>
    <mergeCell ref="O1:O3"/>
    <mergeCell ref="Q1:Q3"/>
    <mergeCell ref="AU2:AY2"/>
    <mergeCell ref="BK2:BO2"/>
    <mergeCell ref="ET1:FN1"/>
    <mergeCell ref="P1:P3"/>
    <mergeCell ref="R1:R3"/>
    <mergeCell ref="CF1:CH1"/>
    <mergeCell ref="T1:T3"/>
    <mergeCell ref="S1:S3"/>
    <mergeCell ref="DD1:DX1"/>
    <mergeCell ref="DY1:ES1"/>
    <mergeCell ref="DD2:DH2"/>
    <mergeCell ref="DI2:DM2"/>
    <mergeCell ref="DN2:DR2"/>
    <mergeCell ref="DY2:EC2"/>
    <mergeCell ref="CI1:DC1"/>
    <mergeCell ref="Z2:AD2"/>
    <mergeCell ref="AE2:AI2"/>
    <mergeCell ref="AP2:AT2"/>
    <mergeCell ref="A1:A3"/>
    <mergeCell ref="B1:B3"/>
    <mergeCell ref="C1:C3"/>
    <mergeCell ref="E1:E3"/>
    <mergeCell ref="G1:G3"/>
    <mergeCell ref="D1:D3"/>
    <mergeCell ref="F1:F3"/>
    <mergeCell ref="HE1:HY1"/>
    <mergeCell ref="HO2:HS2"/>
    <mergeCell ref="HJ2:HN2"/>
    <mergeCell ref="HE2:HI2"/>
    <mergeCell ref="LP2:LT2"/>
    <mergeCell ref="LK2:LO2"/>
    <mergeCell ref="LF2:LJ2"/>
    <mergeCell ref="KU2:KY2"/>
    <mergeCell ref="KP2:KT2"/>
    <mergeCell ref="KK2:KO2"/>
    <mergeCell ref="JZ2:KD2"/>
    <mergeCell ref="IZ2:JD2"/>
    <mergeCell ref="IU2:IY2"/>
    <mergeCell ref="IJ2:IN2"/>
    <mergeCell ref="IE2:II2"/>
    <mergeCell ref="HZ2:ID2"/>
    <mergeCell ref="FO1:GI1"/>
    <mergeCell ref="GJ1:HD1"/>
    <mergeCell ref="GO2:GS2"/>
    <mergeCell ref="GJ2:GN2"/>
    <mergeCell ref="FY2:GC2"/>
    <mergeCell ref="FT2:FX2"/>
    <mergeCell ref="FO2:FS2"/>
    <mergeCell ref="GT2:GX2"/>
    <mergeCell ref="LF1:LZ1"/>
    <mergeCell ref="JP1:KJ1"/>
    <mergeCell ref="KK1:LE1"/>
    <mergeCell ref="HZ1:IT1"/>
    <mergeCell ref="IU1:JO1"/>
  </mergeCells>
  <conditionalFormatting sqref="A1:A1048576">
    <cfRule type="expression" dxfId="121" priority="327">
      <formula>AND(H1="P",F1="")</formula>
    </cfRule>
  </conditionalFormatting>
  <conditionalFormatting sqref="AL1:AL1048576 BG1:BG1048576 CB1:CB1048576 CZ1:CZ1048576 DU1:DU1048576 EP1:EP1048576 FK1:FK1048576 GF1:GF1048576 HA1:HA1048576 HV1:HV1048576 IQ1:IQ1048576 JL1:JL1048576 KG1:KG1048576 LB1:LB1048576 LW1:LW1048576">
    <cfRule type="cellIs" dxfId="120" priority="2117" operator="between">
      <formula>AK$25</formula>
      <formula>1000</formula>
    </cfRule>
  </conditionalFormatting>
  <conditionalFormatting sqref="AN1:AN1048576 BI1:BI1048576 CD1:CD1048576 DB1:DB1048576 DW1:DW1048576 ER1:ER1048576 FM1:FM1048576 GH1:GH1048576 HC1:HC1048576 HX1:HX1048576 IS1:IS1048576 JN1:JN1048576 KI1:KI1048576 LD1:LD1048576 LY1:LY1048576">
    <cfRule type="cellIs" dxfId="119" priority="2126" operator="between">
      <formula>AK$25</formula>
      <formula>1000</formula>
    </cfRule>
  </conditionalFormatting>
  <conditionalFormatting sqref="I1:I1048576">
    <cfRule type="containsText" dxfId="118" priority="328" operator="containsText" text="Merit">
      <formula>NOT(ISERROR(SEARCH("Merit",I1)))</formula>
    </cfRule>
    <cfRule type="containsText" dxfId="117" priority="329" operator="containsText" text="Funding">
      <formula>NOT(ISERROR(SEARCH("Funding",I1)))</formula>
    </cfRule>
    <cfRule type="containsText" dxfId="116" priority="330" operator="containsText" text="Worlds Team">
      <formula>NOT(ISERROR(SEARCH("Worlds Team",I1)))</formula>
    </cfRule>
    <cfRule type="containsText" dxfId="115" priority="872" operator="containsText" text="National Team">
      <formula>NOT(ISERROR(SEARCH("National Team",I1)))</formula>
    </cfRule>
  </conditionalFormatting>
  <conditionalFormatting sqref="K1:K1048576">
    <cfRule type="expression" dxfId="114" priority="873">
      <formula>IF(J1=CC1,1,0)</formula>
    </cfRule>
    <cfRule type="expression" dxfId="113" priority="877">
      <formula>IF(J1=BH1,1,0)</formula>
    </cfRule>
    <cfRule type="expression" dxfId="112" priority="878">
      <formula>IF(J1=AM1,1,0)</formula>
    </cfRule>
  </conditionalFormatting>
  <conditionalFormatting sqref="M1:M1048576">
    <cfRule type="expression" dxfId="111" priority="879">
      <formula>IF(L1=CA1,1,0)</formula>
    </cfRule>
    <cfRule type="expression" dxfId="110" priority="1021">
      <formula>IF(L1=BF1,1,0)</formula>
    </cfRule>
    <cfRule type="expression" dxfId="109" priority="1022">
      <formula>IF(L1=AK1,1,0)</formula>
    </cfRule>
  </conditionalFormatting>
  <conditionalFormatting sqref="O1:O1048576 Q1:Q1048576">
    <cfRule type="expression" dxfId="108" priority="1023">
      <formula>IF(N1=CB1,1,0)</formula>
    </cfRule>
    <cfRule type="expression" dxfId="107" priority="1024">
      <formula>IF(N1=BG1,1,0)</formula>
    </cfRule>
    <cfRule type="expression" dxfId="106" priority="1030">
      <formula>IF(N1=AL1,1,0)</formula>
    </cfRule>
  </conditionalFormatting>
  <conditionalFormatting sqref="AJ1:AJ29 BZ1:BZ1048576 CX1:CX1048576 DS1:DS1048576 EN1:EN1048576 FI1:FI1048576 GD1:GD1048576 GY1:GY1048576 HT1:HT1048576 IO1:IO1048576 JJ1:JJ1048576 KE1:KE1048576 KZ1:KZ1048576 LU1:LU1048576 BE1:BE29 AJ31:AJ1048576 BE31:BE1048576">
    <cfRule type="cellIs" dxfId="105" priority="2107" operator="between">
      <formula>AK$21</formula>
      <formula>1000</formula>
    </cfRule>
    <cfRule type="cellIs" dxfId="104" priority="2108" operator="between">
      <formula>AK$20</formula>
      <formula>AK$21</formula>
    </cfRule>
  </conditionalFormatting>
  <conditionalFormatting sqref="AM1:AM1048576 BH1:BH1048576 CC1:CC1048576 DA1:DA1048576 DV1:DV1048576 EQ1:EQ1048576 FL1:FL1048576 GG1:GG1048576 HB1:HB1048576 HW1:HW1048576 IR1:IR1048576 JM1:JM1048576 KH1:KH1048576 LC1:LC1048576 LX1:LX1048576">
    <cfRule type="cellIs" dxfId="103" priority="2118" operator="between">
      <formula>AK$24</formula>
      <formula>1000</formula>
    </cfRule>
    <cfRule type="cellIs" dxfId="102" priority="2119" operator="between">
      <formula>AK$23</formula>
      <formula>AK$24</formula>
    </cfRule>
    <cfRule type="cellIs" dxfId="101" priority="2125" operator="between">
      <formula>AK$22</formula>
      <formula>AK$23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Z2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50" width="10.83203125" customWidth="1"/>
  </cols>
  <sheetData>
    <row r="1" spans="1:338">
      <c r="A1" s="100" t="s">
        <v>1</v>
      </c>
      <c r="B1" s="100" t="s">
        <v>29</v>
      </c>
      <c r="C1" s="100" t="s">
        <v>0</v>
      </c>
      <c r="D1" s="100" t="s">
        <v>69</v>
      </c>
      <c r="E1" s="100" t="s">
        <v>2</v>
      </c>
      <c r="F1" s="101" t="s">
        <v>65</v>
      </c>
      <c r="G1" s="101" t="s">
        <v>64</v>
      </c>
      <c r="H1" s="100" t="s">
        <v>8</v>
      </c>
      <c r="I1" s="100" t="s">
        <v>9</v>
      </c>
      <c r="J1" s="102" t="s">
        <v>10</v>
      </c>
      <c r="K1" s="102" t="s">
        <v>46</v>
      </c>
      <c r="L1" s="102" t="s">
        <v>11</v>
      </c>
      <c r="M1" s="102" t="s">
        <v>46</v>
      </c>
      <c r="N1" s="102" t="s">
        <v>12</v>
      </c>
      <c r="O1" s="102" t="s">
        <v>46</v>
      </c>
      <c r="P1" s="102" t="s">
        <v>13</v>
      </c>
      <c r="Q1" s="102" t="s">
        <v>46</v>
      </c>
      <c r="R1" s="103" t="s">
        <v>14</v>
      </c>
      <c r="S1" s="102" t="s">
        <v>47</v>
      </c>
      <c r="T1" s="102" t="s">
        <v>46</v>
      </c>
      <c r="U1" s="97" t="s">
        <v>25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6" t="s">
        <v>26</v>
      </c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7" t="s">
        <v>66</v>
      </c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104" t="s">
        <v>14</v>
      </c>
      <c r="CG1" s="104"/>
      <c r="CH1" s="104"/>
      <c r="CI1" s="97" t="s">
        <v>61</v>
      </c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6" t="s">
        <v>122</v>
      </c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6"/>
      <c r="EU1" s="96"/>
      <c r="EV1" s="96"/>
      <c r="EW1" s="96"/>
      <c r="EX1" s="96"/>
      <c r="EY1" s="96"/>
      <c r="EZ1" s="96"/>
      <c r="FA1" s="96"/>
      <c r="FB1" s="96"/>
      <c r="FC1" s="96"/>
      <c r="FD1" s="96"/>
      <c r="FE1" s="96"/>
      <c r="FF1" s="96"/>
      <c r="FG1" s="96"/>
      <c r="FH1" s="96"/>
      <c r="FI1" s="96"/>
      <c r="FJ1" s="96"/>
      <c r="FK1" s="96"/>
      <c r="FL1" s="96"/>
      <c r="FM1" s="96"/>
      <c r="FN1" s="96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7"/>
      <c r="GG1" s="97"/>
      <c r="GH1" s="97"/>
      <c r="GI1" s="97"/>
      <c r="GJ1" s="96"/>
      <c r="GK1" s="96"/>
      <c r="GL1" s="96"/>
      <c r="GM1" s="96"/>
      <c r="GN1" s="96"/>
      <c r="GO1" s="96"/>
      <c r="GP1" s="96"/>
      <c r="GQ1" s="96"/>
      <c r="GR1" s="96"/>
      <c r="GS1" s="96"/>
      <c r="GT1" s="96"/>
      <c r="GU1" s="96"/>
      <c r="GV1" s="96"/>
      <c r="GW1" s="96"/>
      <c r="GX1" s="96"/>
      <c r="GY1" s="96"/>
      <c r="GZ1" s="96"/>
      <c r="HA1" s="96"/>
      <c r="HB1" s="96"/>
      <c r="HC1" s="96"/>
      <c r="HD1" s="96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  <c r="HY1" s="97"/>
      <c r="HZ1" s="96"/>
      <c r="IA1" s="96"/>
      <c r="IB1" s="96"/>
      <c r="IC1" s="96"/>
      <c r="ID1" s="96"/>
      <c r="IE1" s="96"/>
      <c r="IF1" s="96"/>
      <c r="IG1" s="96"/>
      <c r="IH1" s="96"/>
      <c r="II1" s="96"/>
      <c r="IJ1" s="96"/>
      <c r="IK1" s="96"/>
      <c r="IL1" s="96"/>
      <c r="IM1" s="96"/>
      <c r="IN1" s="96"/>
      <c r="IO1" s="96"/>
      <c r="IP1" s="96"/>
      <c r="IQ1" s="96"/>
      <c r="IR1" s="96"/>
      <c r="IS1" s="96"/>
      <c r="IT1" s="96"/>
      <c r="IU1" s="97"/>
      <c r="IV1" s="97"/>
      <c r="IW1" s="97"/>
      <c r="IX1" s="97"/>
      <c r="IY1" s="97"/>
      <c r="IZ1" s="97"/>
      <c r="JA1" s="97"/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6"/>
      <c r="JQ1" s="96"/>
      <c r="JR1" s="96"/>
      <c r="JS1" s="96"/>
      <c r="JT1" s="96"/>
      <c r="JU1" s="96"/>
      <c r="JV1" s="96"/>
      <c r="JW1" s="96"/>
      <c r="JX1" s="96"/>
      <c r="JY1" s="96"/>
      <c r="JZ1" s="96"/>
      <c r="KA1" s="96"/>
      <c r="KB1" s="96"/>
      <c r="KC1" s="96"/>
      <c r="KD1" s="96"/>
      <c r="KE1" s="96"/>
      <c r="KF1" s="96"/>
      <c r="KG1" s="96"/>
      <c r="KH1" s="96"/>
      <c r="KI1" s="96"/>
      <c r="KJ1" s="96"/>
      <c r="KK1" s="97"/>
      <c r="KL1" s="97"/>
      <c r="KM1" s="97"/>
      <c r="KN1" s="97"/>
      <c r="KO1" s="97"/>
      <c r="KP1" s="97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6"/>
      <c r="LG1" s="96"/>
      <c r="LH1" s="96"/>
      <c r="LI1" s="96"/>
      <c r="LJ1" s="96"/>
      <c r="LK1" s="96"/>
      <c r="LL1" s="96"/>
      <c r="LM1" s="96"/>
      <c r="LN1" s="96"/>
      <c r="LO1" s="96"/>
      <c r="LP1" s="96"/>
      <c r="LQ1" s="96"/>
      <c r="LR1" s="96"/>
      <c r="LS1" s="96"/>
      <c r="LT1" s="96"/>
      <c r="LU1" s="96"/>
      <c r="LV1" s="96"/>
      <c r="LW1" s="96"/>
      <c r="LX1" s="96"/>
      <c r="LY1" s="96"/>
      <c r="LZ1" s="96"/>
    </row>
    <row r="2" spans="1:338">
      <c r="A2" s="100"/>
      <c r="B2" s="100"/>
      <c r="C2" s="100"/>
      <c r="D2" s="100"/>
      <c r="E2" s="100"/>
      <c r="F2" s="101"/>
      <c r="G2" s="101"/>
      <c r="H2" s="100"/>
      <c r="I2" s="100"/>
      <c r="J2" s="102"/>
      <c r="K2" s="102"/>
      <c r="L2" s="102"/>
      <c r="M2" s="102"/>
      <c r="N2" s="102"/>
      <c r="O2" s="102"/>
      <c r="P2" s="102"/>
      <c r="Q2" s="102"/>
      <c r="R2" s="103"/>
      <c r="S2" s="102"/>
      <c r="T2" s="102"/>
      <c r="U2" s="99" t="s">
        <v>19</v>
      </c>
      <c r="V2" s="99"/>
      <c r="W2" s="99"/>
      <c r="X2" s="99"/>
      <c r="Y2" s="99"/>
      <c r="Z2" s="99" t="s">
        <v>20</v>
      </c>
      <c r="AA2" s="99"/>
      <c r="AB2" s="99"/>
      <c r="AC2" s="99"/>
      <c r="AD2" s="99"/>
      <c r="AE2" s="99" t="s">
        <v>23</v>
      </c>
      <c r="AF2" s="99"/>
      <c r="AG2" s="99"/>
      <c r="AH2" s="99"/>
      <c r="AI2" s="99"/>
      <c r="AJ2" s="64" t="s">
        <v>68</v>
      </c>
      <c r="AK2" s="10" t="s">
        <v>21</v>
      </c>
      <c r="AL2" s="10" t="s">
        <v>22</v>
      </c>
      <c r="AM2" s="10" t="s">
        <v>24</v>
      </c>
      <c r="AN2" s="10" t="s">
        <v>23</v>
      </c>
      <c r="AO2" s="10" t="s">
        <v>18</v>
      </c>
      <c r="AP2" s="98" t="s">
        <v>19</v>
      </c>
      <c r="AQ2" s="98"/>
      <c r="AR2" s="98"/>
      <c r="AS2" s="98"/>
      <c r="AT2" s="98"/>
      <c r="AU2" s="98" t="s">
        <v>20</v>
      </c>
      <c r="AV2" s="98"/>
      <c r="AW2" s="98"/>
      <c r="AX2" s="98"/>
      <c r="AY2" s="98"/>
      <c r="AZ2" s="98" t="s">
        <v>23</v>
      </c>
      <c r="BA2" s="98"/>
      <c r="BB2" s="98"/>
      <c r="BC2" s="98"/>
      <c r="BD2" s="98"/>
      <c r="BE2" s="77" t="s">
        <v>68</v>
      </c>
      <c r="BF2" s="13" t="s">
        <v>21</v>
      </c>
      <c r="BG2" s="13" t="s">
        <v>22</v>
      </c>
      <c r="BH2" s="13" t="s">
        <v>24</v>
      </c>
      <c r="BI2" s="13" t="s">
        <v>23</v>
      </c>
      <c r="BJ2" s="13" t="s">
        <v>18</v>
      </c>
      <c r="BK2" s="99" t="s">
        <v>19</v>
      </c>
      <c r="BL2" s="99"/>
      <c r="BM2" s="99"/>
      <c r="BN2" s="99"/>
      <c r="BO2" s="99"/>
      <c r="BP2" s="99" t="s">
        <v>20</v>
      </c>
      <c r="BQ2" s="99"/>
      <c r="BR2" s="99"/>
      <c r="BS2" s="99"/>
      <c r="BT2" s="99"/>
      <c r="BU2" s="99" t="s">
        <v>23</v>
      </c>
      <c r="BV2" s="99"/>
      <c r="BW2" s="99"/>
      <c r="BX2" s="99"/>
      <c r="BY2" s="99"/>
      <c r="BZ2" s="78" t="s">
        <v>68</v>
      </c>
      <c r="CA2" s="10" t="s">
        <v>21</v>
      </c>
      <c r="CB2" s="10" t="s">
        <v>22</v>
      </c>
      <c r="CC2" s="10" t="s">
        <v>24</v>
      </c>
      <c r="CD2" s="10" t="s">
        <v>23</v>
      </c>
      <c r="CE2" s="10" t="s">
        <v>18</v>
      </c>
      <c r="CF2" s="26" t="s">
        <v>21</v>
      </c>
      <c r="CG2" s="26" t="s">
        <v>22</v>
      </c>
      <c r="CH2" s="26" t="s">
        <v>23</v>
      </c>
      <c r="CI2" s="99" t="s">
        <v>19</v>
      </c>
      <c r="CJ2" s="99"/>
      <c r="CK2" s="99"/>
      <c r="CL2" s="99"/>
      <c r="CM2" s="99"/>
      <c r="CN2" s="99" t="s">
        <v>20</v>
      </c>
      <c r="CO2" s="99"/>
      <c r="CP2" s="99"/>
      <c r="CQ2" s="99"/>
      <c r="CR2" s="99"/>
      <c r="CS2" s="99" t="s">
        <v>23</v>
      </c>
      <c r="CT2" s="99"/>
      <c r="CU2" s="99"/>
      <c r="CV2" s="99"/>
      <c r="CW2" s="99"/>
      <c r="CX2" s="78" t="s">
        <v>68</v>
      </c>
      <c r="CY2" s="10" t="s">
        <v>21</v>
      </c>
      <c r="CZ2" s="10" t="s">
        <v>22</v>
      </c>
      <c r="DA2" s="10" t="s">
        <v>24</v>
      </c>
      <c r="DB2" s="10" t="s">
        <v>23</v>
      </c>
      <c r="DC2" s="10" t="s">
        <v>18</v>
      </c>
      <c r="DD2" s="98" t="s">
        <v>19</v>
      </c>
      <c r="DE2" s="98"/>
      <c r="DF2" s="98"/>
      <c r="DG2" s="98"/>
      <c r="DH2" s="98"/>
      <c r="DI2" s="98" t="s">
        <v>20</v>
      </c>
      <c r="DJ2" s="98"/>
      <c r="DK2" s="98"/>
      <c r="DL2" s="98"/>
      <c r="DM2" s="98"/>
      <c r="DN2" s="98" t="s">
        <v>23</v>
      </c>
      <c r="DO2" s="98"/>
      <c r="DP2" s="98"/>
      <c r="DQ2" s="98"/>
      <c r="DR2" s="98"/>
      <c r="DS2" s="77" t="s">
        <v>68</v>
      </c>
      <c r="DT2" s="13" t="s">
        <v>21</v>
      </c>
      <c r="DU2" s="13" t="s">
        <v>22</v>
      </c>
      <c r="DV2" s="13" t="s">
        <v>24</v>
      </c>
      <c r="DW2" s="13" t="s">
        <v>23</v>
      </c>
      <c r="DX2" s="13" t="s">
        <v>18</v>
      </c>
      <c r="DY2" s="99" t="s">
        <v>19</v>
      </c>
      <c r="DZ2" s="99"/>
      <c r="EA2" s="99"/>
      <c r="EB2" s="99"/>
      <c r="EC2" s="99"/>
      <c r="ED2" s="99" t="s">
        <v>20</v>
      </c>
      <c r="EE2" s="99"/>
      <c r="EF2" s="99"/>
      <c r="EG2" s="99"/>
      <c r="EH2" s="99"/>
      <c r="EI2" s="99" t="s">
        <v>23</v>
      </c>
      <c r="EJ2" s="99"/>
      <c r="EK2" s="99"/>
      <c r="EL2" s="99"/>
      <c r="EM2" s="99"/>
      <c r="EN2" s="78" t="s">
        <v>68</v>
      </c>
      <c r="EO2" s="10" t="s">
        <v>21</v>
      </c>
      <c r="EP2" s="10" t="s">
        <v>22</v>
      </c>
      <c r="EQ2" s="10" t="s">
        <v>24</v>
      </c>
      <c r="ER2" s="10" t="s">
        <v>23</v>
      </c>
      <c r="ES2" s="10" t="s">
        <v>18</v>
      </c>
      <c r="ET2" s="98" t="s">
        <v>19</v>
      </c>
      <c r="EU2" s="98"/>
      <c r="EV2" s="98"/>
      <c r="EW2" s="98"/>
      <c r="EX2" s="98"/>
      <c r="EY2" s="98" t="s">
        <v>20</v>
      </c>
      <c r="EZ2" s="98"/>
      <c r="FA2" s="98"/>
      <c r="FB2" s="98"/>
      <c r="FC2" s="98"/>
      <c r="FD2" s="98" t="s">
        <v>23</v>
      </c>
      <c r="FE2" s="98"/>
      <c r="FF2" s="98"/>
      <c r="FG2" s="98"/>
      <c r="FH2" s="98"/>
      <c r="FI2" s="77" t="s">
        <v>68</v>
      </c>
      <c r="FJ2" s="13" t="s">
        <v>21</v>
      </c>
      <c r="FK2" s="13" t="s">
        <v>22</v>
      </c>
      <c r="FL2" s="13" t="s">
        <v>24</v>
      </c>
      <c r="FM2" s="13" t="s">
        <v>23</v>
      </c>
      <c r="FN2" s="13" t="s">
        <v>18</v>
      </c>
      <c r="FO2" s="99" t="s">
        <v>19</v>
      </c>
      <c r="FP2" s="99"/>
      <c r="FQ2" s="99"/>
      <c r="FR2" s="99"/>
      <c r="FS2" s="99"/>
      <c r="FT2" s="99" t="s">
        <v>20</v>
      </c>
      <c r="FU2" s="99"/>
      <c r="FV2" s="99"/>
      <c r="FW2" s="99"/>
      <c r="FX2" s="99"/>
      <c r="FY2" s="99" t="s">
        <v>23</v>
      </c>
      <c r="FZ2" s="99"/>
      <c r="GA2" s="99"/>
      <c r="GB2" s="99"/>
      <c r="GC2" s="99"/>
      <c r="GD2" s="78" t="s">
        <v>68</v>
      </c>
      <c r="GE2" s="10" t="s">
        <v>21</v>
      </c>
      <c r="GF2" s="10" t="s">
        <v>22</v>
      </c>
      <c r="GG2" s="10" t="s">
        <v>24</v>
      </c>
      <c r="GH2" s="10" t="s">
        <v>23</v>
      </c>
      <c r="GI2" s="10" t="s">
        <v>18</v>
      </c>
      <c r="GJ2" s="98" t="s">
        <v>19</v>
      </c>
      <c r="GK2" s="98"/>
      <c r="GL2" s="98"/>
      <c r="GM2" s="98"/>
      <c r="GN2" s="98"/>
      <c r="GO2" s="98" t="s">
        <v>20</v>
      </c>
      <c r="GP2" s="98"/>
      <c r="GQ2" s="98"/>
      <c r="GR2" s="98"/>
      <c r="GS2" s="98"/>
      <c r="GT2" s="98" t="s">
        <v>23</v>
      </c>
      <c r="GU2" s="98"/>
      <c r="GV2" s="98"/>
      <c r="GW2" s="98"/>
      <c r="GX2" s="98"/>
      <c r="GY2" s="77" t="s">
        <v>68</v>
      </c>
      <c r="GZ2" s="13" t="s">
        <v>21</v>
      </c>
      <c r="HA2" s="13" t="s">
        <v>22</v>
      </c>
      <c r="HB2" s="13" t="s">
        <v>24</v>
      </c>
      <c r="HC2" s="13" t="s">
        <v>23</v>
      </c>
      <c r="HD2" s="13" t="s">
        <v>18</v>
      </c>
      <c r="HE2" s="99" t="s">
        <v>19</v>
      </c>
      <c r="HF2" s="99"/>
      <c r="HG2" s="99"/>
      <c r="HH2" s="99"/>
      <c r="HI2" s="99"/>
      <c r="HJ2" s="99" t="s">
        <v>20</v>
      </c>
      <c r="HK2" s="99"/>
      <c r="HL2" s="99"/>
      <c r="HM2" s="99"/>
      <c r="HN2" s="99"/>
      <c r="HO2" s="99" t="s">
        <v>23</v>
      </c>
      <c r="HP2" s="99"/>
      <c r="HQ2" s="99"/>
      <c r="HR2" s="99"/>
      <c r="HS2" s="99"/>
      <c r="HT2" s="78" t="s">
        <v>68</v>
      </c>
      <c r="HU2" s="10" t="s">
        <v>21</v>
      </c>
      <c r="HV2" s="10" t="s">
        <v>22</v>
      </c>
      <c r="HW2" s="10" t="s">
        <v>24</v>
      </c>
      <c r="HX2" s="10" t="s">
        <v>23</v>
      </c>
      <c r="HY2" s="10" t="s">
        <v>18</v>
      </c>
      <c r="HZ2" s="98" t="s">
        <v>19</v>
      </c>
      <c r="IA2" s="98"/>
      <c r="IB2" s="98"/>
      <c r="IC2" s="98"/>
      <c r="ID2" s="98"/>
      <c r="IE2" s="98" t="s">
        <v>20</v>
      </c>
      <c r="IF2" s="98"/>
      <c r="IG2" s="98"/>
      <c r="IH2" s="98"/>
      <c r="II2" s="98"/>
      <c r="IJ2" s="98" t="s">
        <v>23</v>
      </c>
      <c r="IK2" s="98"/>
      <c r="IL2" s="98"/>
      <c r="IM2" s="98"/>
      <c r="IN2" s="98"/>
      <c r="IO2" s="77" t="s">
        <v>68</v>
      </c>
      <c r="IP2" s="13" t="s">
        <v>21</v>
      </c>
      <c r="IQ2" s="13" t="s">
        <v>22</v>
      </c>
      <c r="IR2" s="13" t="s">
        <v>24</v>
      </c>
      <c r="IS2" s="13" t="s">
        <v>23</v>
      </c>
      <c r="IT2" s="13" t="s">
        <v>18</v>
      </c>
      <c r="IU2" s="99" t="s">
        <v>19</v>
      </c>
      <c r="IV2" s="99"/>
      <c r="IW2" s="99"/>
      <c r="IX2" s="99"/>
      <c r="IY2" s="99"/>
      <c r="IZ2" s="99" t="s">
        <v>20</v>
      </c>
      <c r="JA2" s="99"/>
      <c r="JB2" s="99"/>
      <c r="JC2" s="99"/>
      <c r="JD2" s="99"/>
      <c r="JE2" s="99" t="s">
        <v>23</v>
      </c>
      <c r="JF2" s="99"/>
      <c r="JG2" s="99"/>
      <c r="JH2" s="99"/>
      <c r="JI2" s="99"/>
      <c r="JJ2" s="78" t="s">
        <v>68</v>
      </c>
      <c r="JK2" s="10" t="s">
        <v>21</v>
      </c>
      <c r="JL2" s="10" t="s">
        <v>22</v>
      </c>
      <c r="JM2" s="10" t="s">
        <v>24</v>
      </c>
      <c r="JN2" s="10" t="s">
        <v>23</v>
      </c>
      <c r="JO2" s="10" t="s">
        <v>18</v>
      </c>
      <c r="JP2" s="98" t="s">
        <v>19</v>
      </c>
      <c r="JQ2" s="98"/>
      <c r="JR2" s="98"/>
      <c r="JS2" s="98"/>
      <c r="JT2" s="98"/>
      <c r="JU2" s="98" t="s">
        <v>20</v>
      </c>
      <c r="JV2" s="98"/>
      <c r="JW2" s="98"/>
      <c r="JX2" s="98"/>
      <c r="JY2" s="98"/>
      <c r="JZ2" s="98" t="s">
        <v>23</v>
      </c>
      <c r="KA2" s="98"/>
      <c r="KB2" s="98"/>
      <c r="KC2" s="98"/>
      <c r="KD2" s="98"/>
      <c r="KE2" s="77" t="s">
        <v>68</v>
      </c>
      <c r="KF2" s="13" t="s">
        <v>21</v>
      </c>
      <c r="KG2" s="13" t="s">
        <v>22</v>
      </c>
      <c r="KH2" s="13" t="s">
        <v>24</v>
      </c>
      <c r="KI2" s="13" t="s">
        <v>23</v>
      </c>
      <c r="KJ2" s="13" t="s">
        <v>18</v>
      </c>
      <c r="KK2" s="99" t="s">
        <v>19</v>
      </c>
      <c r="KL2" s="99"/>
      <c r="KM2" s="99"/>
      <c r="KN2" s="99"/>
      <c r="KO2" s="99"/>
      <c r="KP2" s="99" t="s">
        <v>20</v>
      </c>
      <c r="KQ2" s="99"/>
      <c r="KR2" s="99"/>
      <c r="KS2" s="99"/>
      <c r="KT2" s="99"/>
      <c r="KU2" s="99" t="s">
        <v>23</v>
      </c>
      <c r="KV2" s="99"/>
      <c r="KW2" s="99"/>
      <c r="KX2" s="99"/>
      <c r="KY2" s="99"/>
      <c r="KZ2" s="78" t="s">
        <v>68</v>
      </c>
      <c r="LA2" s="10" t="s">
        <v>21</v>
      </c>
      <c r="LB2" s="10" t="s">
        <v>22</v>
      </c>
      <c r="LC2" s="10" t="s">
        <v>24</v>
      </c>
      <c r="LD2" s="10" t="s">
        <v>23</v>
      </c>
      <c r="LE2" s="10" t="s">
        <v>18</v>
      </c>
      <c r="LF2" s="98" t="s">
        <v>19</v>
      </c>
      <c r="LG2" s="98"/>
      <c r="LH2" s="98"/>
      <c r="LI2" s="98"/>
      <c r="LJ2" s="98"/>
      <c r="LK2" s="98" t="s">
        <v>20</v>
      </c>
      <c r="LL2" s="98"/>
      <c r="LM2" s="98"/>
      <c r="LN2" s="98"/>
      <c r="LO2" s="98"/>
      <c r="LP2" s="98" t="s">
        <v>23</v>
      </c>
      <c r="LQ2" s="98"/>
      <c r="LR2" s="98"/>
      <c r="LS2" s="98"/>
      <c r="LT2" s="98"/>
      <c r="LU2" s="77" t="s">
        <v>68</v>
      </c>
      <c r="LV2" s="13" t="s">
        <v>21</v>
      </c>
      <c r="LW2" s="13" t="s">
        <v>22</v>
      </c>
      <c r="LX2" s="13" t="s">
        <v>24</v>
      </c>
      <c r="LY2" s="13" t="s">
        <v>23</v>
      </c>
      <c r="LZ2" s="13" t="s">
        <v>18</v>
      </c>
    </row>
    <row r="3" spans="1:338">
      <c r="A3" s="100"/>
      <c r="B3" s="100"/>
      <c r="C3" s="100"/>
      <c r="D3" s="100"/>
      <c r="E3" s="100"/>
      <c r="F3" s="101"/>
      <c r="G3" s="101"/>
      <c r="H3" s="100"/>
      <c r="I3" s="100"/>
      <c r="J3" s="102"/>
      <c r="K3" s="102"/>
      <c r="L3" s="102"/>
      <c r="M3" s="102"/>
      <c r="N3" s="102"/>
      <c r="O3" s="102"/>
      <c r="P3" s="102"/>
      <c r="Q3" s="102"/>
      <c r="R3" s="103"/>
      <c r="S3" s="102"/>
      <c r="T3" s="102"/>
      <c r="U3" s="64" t="s">
        <v>15</v>
      </c>
      <c r="V3" s="64" t="s">
        <v>16</v>
      </c>
      <c r="W3" s="64" t="s">
        <v>7</v>
      </c>
      <c r="X3" s="64" t="s">
        <v>17</v>
      </c>
      <c r="Y3" s="64" t="s">
        <v>33</v>
      </c>
      <c r="Z3" s="64" t="s">
        <v>15</v>
      </c>
      <c r="AA3" s="64" t="s">
        <v>16</v>
      </c>
      <c r="AB3" s="64" t="s">
        <v>7</v>
      </c>
      <c r="AC3" s="64" t="s">
        <v>17</v>
      </c>
      <c r="AD3" s="64" t="s">
        <v>33</v>
      </c>
      <c r="AE3" s="64" t="s">
        <v>15</v>
      </c>
      <c r="AF3" s="64" t="s">
        <v>16</v>
      </c>
      <c r="AG3" s="64" t="s">
        <v>7</v>
      </c>
      <c r="AH3" s="64" t="s">
        <v>17</v>
      </c>
      <c r="AI3" s="64" t="s">
        <v>33</v>
      </c>
      <c r="AJ3" s="11"/>
      <c r="AK3" s="10"/>
      <c r="AL3" s="10"/>
      <c r="AM3" s="10"/>
      <c r="AN3" s="11"/>
      <c r="AO3" s="11"/>
      <c r="AP3" s="63" t="s">
        <v>15</v>
      </c>
      <c r="AQ3" s="63" t="s">
        <v>16</v>
      </c>
      <c r="AR3" s="63" t="s">
        <v>7</v>
      </c>
      <c r="AS3" s="63" t="s">
        <v>17</v>
      </c>
      <c r="AT3" s="63" t="s">
        <v>33</v>
      </c>
      <c r="AU3" s="63" t="s">
        <v>15</v>
      </c>
      <c r="AV3" s="63" t="s">
        <v>16</v>
      </c>
      <c r="AW3" s="63" t="s">
        <v>7</v>
      </c>
      <c r="AX3" s="63" t="s">
        <v>17</v>
      </c>
      <c r="AY3" s="63" t="s">
        <v>33</v>
      </c>
      <c r="AZ3" s="63" t="s">
        <v>15</v>
      </c>
      <c r="BA3" s="63" t="s">
        <v>16</v>
      </c>
      <c r="BB3" s="63" t="s">
        <v>7</v>
      </c>
      <c r="BC3" s="63" t="s">
        <v>17</v>
      </c>
      <c r="BD3" s="63" t="s">
        <v>33</v>
      </c>
      <c r="BE3" s="14"/>
      <c r="BF3" s="13"/>
      <c r="BG3" s="13"/>
      <c r="BH3" s="13"/>
      <c r="BI3" s="14"/>
      <c r="BJ3" s="14"/>
      <c r="BK3" s="33" t="s">
        <v>15</v>
      </c>
      <c r="BL3" s="33" t="s">
        <v>16</v>
      </c>
      <c r="BM3" s="33" t="s">
        <v>7</v>
      </c>
      <c r="BN3" s="33" t="s">
        <v>17</v>
      </c>
      <c r="BO3" s="55" t="s">
        <v>33</v>
      </c>
      <c r="BP3" s="33" t="s">
        <v>15</v>
      </c>
      <c r="BQ3" s="33" t="s">
        <v>16</v>
      </c>
      <c r="BR3" s="33" t="s">
        <v>7</v>
      </c>
      <c r="BS3" s="33" t="s">
        <v>17</v>
      </c>
      <c r="BT3" s="55" t="s">
        <v>33</v>
      </c>
      <c r="BU3" s="33" t="s">
        <v>15</v>
      </c>
      <c r="BV3" s="33" t="s">
        <v>16</v>
      </c>
      <c r="BW3" s="33" t="s">
        <v>7</v>
      </c>
      <c r="BX3" s="33" t="s">
        <v>17</v>
      </c>
      <c r="BY3" s="55" t="s">
        <v>33</v>
      </c>
      <c r="BZ3" s="11"/>
      <c r="CA3" s="10"/>
      <c r="CB3" s="10"/>
      <c r="CC3" s="10"/>
      <c r="CD3" s="11"/>
      <c r="CE3" s="11"/>
      <c r="CF3" s="27"/>
      <c r="CG3" s="27"/>
      <c r="CH3" s="27"/>
      <c r="CI3" s="64" t="s">
        <v>15</v>
      </c>
      <c r="CJ3" s="64" t="s">
        <v>16</v>
      </c>
      <c r="CK3" s="64" t="s">
        <v>7</v>
      </c>
      <c r="CL3" s="64" t="s">
        <v>17</v>
      </c>
      <c r="CM3" s="64" t="s">
        <v>33</v>
      </c>
      <c r="CN3" s="64" t="s">
        <v>15</v>
      </c>
      <c r="CO3" s="64" t="s">
        <v>16</v>
      </c>
      <c r="CP3" s="64" t="s">
        <v>7</v>
      </c>
      <c r="CQ3" s="64" t="s">
        <v>17</v>
      </c>
      <c r="CR3" s="64" t="s">
        <v>33</v>
      </c>
      <c r="CS3" s="64" t="s">
        <v>15</v>
      </c>
      <c r="CT3" s="64" t="s">
        <v>16</v>
      </c>
      <c r="CU3" s="64" t="s">
        <v>7</v>
      </c>
      <c r="CV3" s="64" t="s">
        <v>17</v>
      </c>
      <c r="CW3" s="64" t="s">
        <v>33</v>
      </c>
      <c r="CX3" s="11"/>
      <c r="CY3" s="10"/>
      <c r="CZ3" s="10"/>
      <c r="DA3" s="10"/>
      <c r="DB3" s="11"/>
      <c r="DC3" s="11"/>
      <c r="DD3" s="63" t="s">
        <v>15</v>
      </c>
      <c r="DE3" s="63" t="s">
        <v>16</v>
      </c>
      <c r="DF3" s="63" t="s">
        <v>7</v>
      </c>
      <c r="DG3" s="63" t="s">
        <v>17</v>
      </c>
      <c r="DH3" s="63" t="s">
        <v>33</v>
      </c>
      <c r="DI3" s="63" t="s">
        <v>15</v>
      </c>
      <c r="DJ3" s="63" t="s">
        <v>16</v>
      </c>
      <c r="DK3" s="63" t="s">
        <v>7</v>
      </c>
      <c r="DL3" s="63" t="s">
        <v>17</v>
      </c>
      <c r="DM3" s="63" t="s">
        <v>33</v>
      </c>
      <c r="DN3" s="63" t="s">
        <v>15</v>
      </c>
      <c r="DO3" s="63" t="s">
        <v>16</v>
      </c>
      <c r="DP3" s="63" t="s">
        <v>7</v>
      </c>
      <c r="DQ3" s="63" t="s">
        <v>17</v>
      </c>
      <c r="DR3" s="63" t="s">
        <v>33</v>
      </c>
      <c r="DS3" s="14"/>
      <c r="DT3" s="13"/>
      <c r="DU3" s="13"/>
      <c r="DV3" s="13"/>
      <c r="DW3" s="14"/>
      <c r="DX3" s="14"/>
      <c r="DY3" s="64" t="s">
        <v>15</v>
      </c>
      <c r="DZ3" s="64" t="s">
        <v>16</v>
      </c>
      <c r="EA3" s="64" t="s">
        <v>7</v>
      </c>
      <c r="EB3" s="64" t="s">
        <v>17</v>
      </c>
      <c r="EC3" s="64" t="s">
        <v>33</v>
      </c>
      <c r="ED3" s="64" t="s">
        <v>15</v>
      </c>
      <c r="EE3" s="64" t="s">
        <v>16</v>
      </c>
      <c r="EF3" s="64" t="s">
        <v>7</v>
      </c>
      <c r="EG3" s="64" t="s">
        <v>17</v>
      </c>
      <c r="EH3" s="64" t="s">
        <v>33</v>
      </c>
      <c r="EI3" s="64" t="s">
        <v>15</v>
      </c>
      <c r="EJ3" s="64" t="s">
        <v>16</v>
      </c>
      <c r="EK3" s="64" t="s">
        <v>7</v>
      </c>
      <c r="EL3" s="64" t="s">
        <v>17</v>
      </c>
      <c r="EM3" s="64" t="s">
        <v>33</v>
      </c>
      <c r="EN3" s="11"/>
      <c r="EO3" s="10"/>
      <c r="EP3" s="10"/>
      <c r="EQ3" s="10"/>
      <c r="ER3" s="11"/>
      <c r="ES3" s="11"/>
      <c r="ET3" s="63" t="s">
        <v>15</v>
      </c>
      <c r="EU3" s="63" t="s">
        <v>16</v>
      </c>
      <c r="EV3" s="63" t="s">
        <v>7</v>
      </c>
      <c r="EW3" s="63" t="s">
        <v>17</v>
      </c>
      <c r="EX3" s="63" t="s">
        <v>33</v>
      </c>
      <c r="EY3" s="63" t="s">
        <v>15</v>
      </c>
      <c r="EZ3" s="63" t="s">
        <v>16</v>
      </c>
      <c r="FA3" s="63" t="s">
        <v>7</v>
      </c>
      <c r="FB3" s="63" t="s">
        <v>17</v>
      </c>
      <c r="FC3" s="63" t="s">
        <v>33</v>
      </c>
      <c r="FD3" s="63" t="s">
        <v>15</v>
      </c>
      <c r="FE3" s="63" t="s">
        <v>16</v>
      </c>
      <c r="FF3" s="63" t="s">
        <v>7</v>
      </c>
      <c r="FG3" s="63" t="s">
        <v>17</v>
      </c>
      <c r="FH3" s="63" t="s">
        <v>33</v>
      </c>
      <c r="FI3" s="14"/>
      <c r="FJ3" s="13"/>
      <c r="FK3" s="13"/>
      <c r="FL3" s="13"/>
      <c r="FM3" s="14"/>
      <c r="FN3" s="14"/>
      <c r="FO3" s="64" t="s">
        <v>15</v>
      </c>
      <c r="FP3" s="64" t="s">
        <v>16</v>
      </c>
      <c r="FQ3" s="64" t="s">
        <v>7</v>
      </c>
      <c r="FR3" s="64" t="s">
        <v>17</v>
      </c>
      <c r="FS3" s="64" t="s">
        <v>33</v>
      </c>
      <c r="FT3" s="64" t="s">
        <v>15</v>
      </c>
      <c r="FU3" s="64" t="s">
        <v>16</v>
      </c>
      <c r="FV3" s="64" t="s">
        <v>7</v>
      </c>
      <c r="FW3" s="64" t="s">
        <v>17</v>
      </c>
      <c r="FX3" s="64" t="s">
        <v>33</v>
      </c>
      <c r="FY3" s="64" t="s">
        <v>15</v>
      </c>
      <c r="FZ3" s="64" t="s">
        <v>16</v>
      </c>
      <c r="GA3" s="64" t="s">
        <v>7</v>
      </c>
      <c r="GB3" s="64" t="s">
        <v>17</v>
      </c>
      <c r="GC3" s="64" t="s">
        <v>33</v>
      </c>
      <c r="GD3" s="11"/>
      <c r="GE3" s="10"/>
      <c r="GF3" s="10"/>
      <c r="GG3" s="10"/>
      <c r="GH3" s="11"/>
      <c r="GI3" s="11"/>
      <c r="GJ3" s="63" t="s">
        <v>15</v>
      </c>
      <c r="GK3" s="63" t="s">
        <v>16</v>
      </c>
      <c r="GL3" s="63" t="s">
        <v>7</v>
      </c>
      <c r="GM3" s="63" t="s">
        <v>17</v>
      </c>
      <c r="GN3" s="63" t="s">
        <v>33</v>
      </c>
      <c r="GO3" s="63" t="s">
        <v>15</v>
      </c>
      <c r="GP3" s="63" t="s">
        <v>16</v>
      </c>
      <c r="GQ3" s="63" t="s">
        <v>7</v>
      </c>
      <c r="GR3" s="63" t="s">
        <v>17</v>
      </c>
      <c r="GS3" s="63" t="s">
        <v>33</v>
      </c>
      <c r="GT3" s="63" t="s">
        <v>15</v>
      </c>
      <c r="GU3" s="63" t="s">
        <v>16</v>
      </c>
      <c r="GV3" s="63" t="s">
        <v>7</v>
      </c>
      <c r="GW3" s="63" t="s">
        <v>17</v>
      </c>
      <c r="GX3" s="63" t="s">
        <v>33</v>
      </c>
      <c r="GY3" s="14"/>
      <c r="GZ3" s="13"/>
      <c r="HA3" s="13"/>
      <c r="HB3" s="13"/>
      <c r="HC3" s="14"/>
      <c r="HD3" s="14"/>
      <c r="HE3" s="33" t="s">
        <v>15</v>
      </c>
      <c r="HF3" s="33" t="s">
        <v>16</v>
      </c>
      <c r="HG3" s="33" t="s">
        <v>7</v>
      </c>
      <c r="HH3" s="33" t="s">
        <v>17</v>
      </c>
      <c r="HI3" s="55" t="s">
        <v>33</v>
      </c>
      <c r="HJ3" s="33" t="s">
        <v>15</v>
      </c>
      <c r="HK3" s="33" t="s">
        <v>16</v>
      </c>
      <c r="HL3" s="33" t="s">
        <v>7</v>
      </c>
      <c r="HM3" s="33" t="s">
        <v>17</v>
      </c>
      <c r="HN3" s="55" t="s">
        <v>33</v>
      </c>
      <c r="HO3" s="33" t="s">
        <v>15</v>
      </c>
      <c r="HP3" s="33" t="s">
        <v>16</v>
      </c>
      <c r="HQ3" s="33" t="s">
        <v>7</v>
      </c>
      <c r="HR3" s="33" t="s">
        <v>17</v>
      </c>
      <c r="HS3" s="55" t="s">
        <v>33</v>
      </c>
      <c r="HT3" s="11"/>
      <c r="HU3" s="10"/>
      <c r="HV3" s="10"/>
      <c r="HW3" s="10"/>
      <c r="HX3" s="11"/>
      <c r="HY3" s="11"/>
      <c r="HZ3" s="63" t="s">
        <v>15</v>
      </c>
      <c r="IA3" s="63" t="s">
        <v>16</v>
      </c>
      <c r="IB3" s="63" t="s">
        <v>7</v>
      </c>
      <c r="IC3" s="63" t="s">
        <v>17</v>
      </c>
      <c r="ID3" s="63" t="s">
        <v>33</v>
      </c>
      <c r="IE3" s="63" t="s">
        <v>15</v>
      </c>
      <c r="IF3" s="63" t="s">
        <v>16</v>
      </c>
      <c r="IG3" s="63" t="s">
        <v>7</v>
      </c>
      <c r="IH3" s="63" t="s">
        <v>17</v>
      </c>
      <c r="II3" s="63" t="s">
        <v>33</v>
      </c>
      <c r="IJ3" s="63" t="s">
        <v>15</v>
      </c>
      <c r="IK3" s="63" t="s">
        <v>16</v>
      </c>
      <c r="IL3" s="63" t="s">
        <v>7</v>
      </c>
      <c r="IM3" s="63" t="s">
        <v>17</v>
      </c>
      <c r="IN3" s="63" t="s">
        <v>33</v>
      </c>
      <c r="IO3" s="14"/>
      <c r="IP3" s="13"/>
      <c r="IQ3" s="13"/>
      <c r="IR3" s="13"/>
      <c r="IS3" s="14"/>
      <c r="IT3" s="14"/>
      <c r="IU3" s="33" t="s">
        <v>15</v>
      </c>
      <c r="IV3" s="33" t="s">
        <v>16</v>
      </c>
      <c r="IW3" s="33" t="s">
        <v>7</v>
      </c>
      <c r="IX3" s="33" t="s">
        <v>17</v>
      </c>
      <c r="IY3" s="55" t="s">
        <v>33</v>
      </c>
      <c r="IZ3" s="33" t="s">
        <v>15</v>
      </c>
      <c r="JA3" s="33" t="s">
        <v>16</v>
      </c>
      <c r="JB3" s="33" t="s">
        <v>7</v>
      </c>
      <c r="JC3" s="33" t="s">
        <v>17</v>
      </c>
      <c r="JD3" s="55" t="s">
        <v>33</v>
      </c>
      <c r="JE3" s="33" t="s">
        <v>15</v>
      </c>
      <c r="JF3" s="33" t="s">
        <v>16</v>
      </c>
      <c r="JG3" s="33" t="s">
        <v>7</v>
      </c>
      <c r="JH3" s="33" t="s">
        <v>17</v>
      </c>
      <c r="JI3" s="55" t="s">
        <v>33</v>
      </c>
      <c r="JJ3" s="11"/>
      <c r="JK3" s="10"/>
      <c r="JL3" s="10"/>
      <c r="JM3" s="10"/>
      <c r="JN3" s="11"/>
      <c r="JO3" s="11"/>
      <c r="JP3" s="32" t="s">
        <v>15</v>
      </c>
      <c r="JQ3" s="32" t="s">
        <v>16</v>
      </c>
      <c r="JR3" s="32" t="s">
        <v>7</v>
      </c>
      <c r="JS3" s="32" t="s">
        <v>17</v>
      </c>
      <c r="JT3" s="56" t="s">
        <v>33</v>
      </c>
      <c r="JU3" s="32" t="s">
        <v>15</v>
      </c>
      <c r="JV3" s="32" t="s">
        <v>16</v>
      </c>
      <c r="JW3" s="32" t="s">
        <v>7</v>
      </c>
      <c r="JX3" s="32" t="s">
        <v>17</v>
      </c>
      <c r="JY3" s="56" t="s">
        <v>33</v>
      </c>
      <c r="JZ3" s="32" t="s">
        <v>15</v>
      </c>
      <c r="KA3" s="32" t="s">
        <v>16</v>
      </c>
      <c r="KB3" s="32" t="s">
        <v>7</v>
      </c>
      <c r="KC3" s="32" t="s">
        <v>17</v>
      </c>
      <c r="KD3" s="56" t="s">
        <v>33</v>
      </c>
      <c r="KE3" s="14"/>
      <c r="KF3" s="13"/>
      <c r="KG3" s="13"/>
      <c r="KH3" s="13"/>
      <c r="KI3" s="14"/>
      <c r="KJ3" s="14"/>
      <c r="KK3" s="33" t="s">
        <v>15</v>
      </c>
      <c r="KL3" s="33" t="s">
        <v>16</v>
      </c>
      <c r="KM3" s="33" t="s">
        <v>7</v>
      </c>
      <c r="KN3" s="33" t="s">
        <v>17</v>
      </c>
      <c r="KO3" s="55" t="s">
        <v>33</v>
      </c>
      <c r="KP3" s="33" t="s">
        <v>15</v>
      </c>
      <c r="KQ3" s="33" t="s">
        <v>16</v>
      </c>
      <c r="KR3" s="33" t="s">
        <v>7</v>
      </c>
      <c r="KS3" s="33" t="s">
        <v>17</v>
      </c>
      <c r="KT3" s="55" t="s">
        <v>33</v>
      </c>
      <c r="KU3" s="33" t="s">
        <v>15</v>
      </c>
      <c r="KV3" s="33" t="s">
        <v>16</v>
      </c>
      <c r="KW3" s="33" t="s">
        <v>7</v>
      </c>
      <c r="KX3" s="33" t="s">
        <v>17</v>
      </c>
      <c r="KY3" s="55" t="s">
        <v>33</v>
      </c>
      <c r="KZ3" s="11"/>
      <c r="LA3" s="10"/>
      <c r="LB3" s="10"/>
      <c r="LC3" s="10"/>
      <c r="LD3" s="11"/>
      <c r="LE3" s="11"/>
      <c r="LF3" s="32" t="s">
        <v>15</v>
      </c>
      <c r="LG3" s="32" t="s">
        <v>16</v>
      </c>
      <c r="LH3" s="32" t="s">
        <v>7</v>
      </c>
      <c r="LI3" s="32" t="s">
        <v>17</v>
      </c>
      <c r="LJ3" s="56" t="s">
        <v>33</v>
      </c>
      <c r="LK3" s="56" t="s">
        <v>15</v>
      </c>
      <c r="LL3" s="32" t="s">
        <v>16</v>
      </c>
      <c r="LM3" s="32" t="s">
        <v>7</v>
      </c>
      <c r="LN3" s="32" t="s">
        <v>17</v>
      </c>
      <c r="LO3" s="56" t="s">
        <v>33</v>
      </c>
      <c r="LP3" s="32" t="s">
        <v>15</v>
      </c>
      <c r="LQ3" s="32" t="s">
        <v>16</v>
      </c>
      <c r="LR3" s="32" t="s">
        <v>7</v>
      </c>
      <c r="LS3" s="32" t="s">
        <v>17</v>
      </c>
      <c r="LT3" s="56" t="s">
        <v>33</v>
      </c>
      <c r="LU3" s="14"/>
      <c r="LV3" s="13"/>
      <c r="LW3" s="13"/>
      <c r="LX3" s="13"/>
      <c r="LY3" s="14"/>
      <c r="LZ3" s="14"/>
    </row>
    <row r="4" spans="1:338">
      <c r="A4" s="6">
        <f>IF(AND(F4="P",H4="P"),SUMPRODUCT((F$4:F$15="P")*(H$4:H$15="P")*(E$4:E$15&gt;E4))+1,IF(H4="P",SUMPRODUCT((F$4:F$15="")*(H$4:H$15="P")*(E$4:E$15&gt;E4))+1+SUMPRODUCT((F$4:F$15="P")*(H$4:H$15="P")),""))</f>
        <v>1</v>
      </c>
      <c r="B4" s="9" t="s">
        <v>87</v>
      </c>
      <c r="C4" s="5" t="s">
        <v>6</v>
      </c>
      <c r="D4" s="31">
        <v>2000</v>
      </c>
      <c r="E4" s="16">
        <f>SUM(J4:R4)</f>
        <v>240.40499999999997</v>
      </c>
      <c r="F4" s="4" t="str">
        <f>IF(OR(AND($AJ4&gt;=$AK$18,NOT($AJ4="")),AND($BE4&gt;=$BF$18,NOT($BE4="")),AND($BZ4&gt;=$CA$18,NOT($BZ4=""))),"P","")</f>
        <v/>
      </c>
      <c r="G4" s="4" t="str">
        <f>IF(OR(AND($AJ4&gt;=$AK$19,NOT($AJ4="")),AND($BE4&gt;=$BF$19,NOT($BE4="")),AND($BZ4&gt;=$CA$19,NOT($BZ4=""))),"P","")</f>
        <v/>
      </c>
      <c r="H4" s="4" t="str">
        <f>IF(OR(AND($AM4&gt;=$AK$20,NOT($AM4="")),AND($BH4&gt;=$BF$20,NOT($BH4="")),AND($CC4&gt;=$CA$20,NOT($CC4=""))),"P","")</f>
        <v>P</v>
      </c>
      <c r="I4" t="str">
        <f>IF(AND(F4="P",OR(AND($AL4&gt;=$AK$23,NOT($AL4="")),AND($AN4&gt;=$AK$23,NOT($AN4="")),AND($BG4&gt;=$BF$23,NOT($BG4="")),AND($BI4&gt;=$BF$23,NOT($BI4="")),AND($CB4&gt;=$CA$23,NOT($CB4="")),AND($CD4&gt;=$CA$23,NOT($CD4="")))),"Merit",IF(AND(F4="P",OR(AND($AM4&gt;=$AK$22,NOT($AM4="")),AND($BH4&gt;=$BF$22,NOT($BH4="")),AND($CC4&gt;=$CA$22,NOT($CC4="")))),"Funding",IF(AND(F4="P",OR(AND($AM4&gt;=$AK$21,NOT($AM4="")),AND($BH4&gt;=$BF$21,NOT($BH4="")),AND($CC4&gt;=$CA$21,NOT($CC4="")))),"Worlds Team",IF(AND(F4="P",OR(AND($AM4&gt;=$AK$20,NOT($AM4="")),AND($BH4&gt;=$BF$20,NOT($BH4="")),AND($CC4&gt;=$CA$20,NOT($CC4="")))),"National Team",""))))</f>
        <v/>
      </c>
      <c r="J4" s="15">
        <f>MAX(AM4,BH4,CC4)</f>
        <v>94</v>
      </c>
      <c r="K4" s="15" t="str">
        <f>IF(J4=CC4,$BK$1,IF(J4=BH4,$AP$1,IF(J4=AM4,$U$1,"")))</f>
        <v>2017 Canada Cup</v>
      </c>
      <c r="L4" s="15">
        <f>IF($J4=$AM4,MAX(BF4,CA4),IF($J4=$BH4,MAX(AK4,CA4),MAX(AK4,BF4)))</f>
        <v>46.765000000000001</v>
      </c>
      <c r="M4" s="15" t="str">
        <f>IF(L4=CA4,$BK$1,IF(L4=BF4,$AP$1,IF(L4=AK4,$U$1,"")))</f>
        <v>2017 Nationals</v>
      </c>
      <c r="N4" s="15">
        <f>IF($J4=$AM4,MAX(BG4,CB4),IF($J4=$BH4,MAX(AL4,CB4),MAX(AL4,BG4)))</f>
        <v>48.35</v>
      </c>
      <c r="O4" s="15" t="str">
        <f>IF(N4=CB4,$BK$1,IF(N4=BG4,$AP$1,IF(N4=AL4,$U$1,"")))</f>
        <v>2018 Canada Cup</v>
      </c>
      <c r="P4" s="15">
        <f>MAX(AN4,BI4,CD4)</f>
        <v>51.29</v>
      </c>
      <c r="Q4" s="15" t="str">
        <f>IF(P4=CD4,$BK$1,IF(P4=BI4,$AP$1,IF(P4=AN4,$U$1,"")))</f>
        <v>2017 Nationals</v>
      </c>
      <c r="R4" s="15" t="str">
        <f>IF(MAX(CF4:CH4)&gt;0,MAX(CF4:CH4),"")</f>
        <v/>
      </c>
      <c r="S4" s="29" t="str">
        <f>IF(R4="","",IF(R4=CF4,"(Vol 1)",IF(R4=CG4,"(Vol 2)",IF(R4=CH4,"(Final)"))))</f>
        <v/>
      </c>
      <c r="T4" s="15" t="str">
        <f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/>
      </c>
      <c r="U4" s="45">
        <v>17.5</v>
      </c>
      <c r="V4" s="45">
        <v>8.8000000000000007</v>
      </c>
      <c r="W4" s="45">
        <v>3.4</v>
      </c>
      <c r="X4" s="45">
        <v>14.945</v>
      </c>
      <c r="Y4" s="45">
        <v>0</v>
      </c>
      <c r="Z4" s="45">
        <v>15.9</v>
      </c>
      <c r="AA4" s="45">
        <v>9.3000000000000007</v>
      </c>
      <c r="AB4" s="45">
        <v>9.9</v>
      </c>
      <c r="AC4" s="45">
        <v>14.255000000000001</v>
      </c>
      <c r="AD4" s="45">
        <v>0</v>
      </c>
      <c r="AE4" s="45">
        <v>16.399999999999999</v>
      </c>
      <c r="AF4" s="45">
        <v>9.1999999999999993</v>
      </c>
      <c r="AG4" s="45">
        <v>10.5</v>
      </c>
      <c r="AH4" s="45">
        <v>14.385</v>
      </c>
      <c r="AI4" s="45">
        <v>0</v>
      </c>
      <c r="AJ4" s="12">
        <f>IF(SUM(AB4)&gt;0,SUM(AB4),"")</f>
        <v>9.9</v>
      </c>
      <c r="AK4" s="12">
        <f>IF(SUM(U4:X4)-Y4&gt;0,SUM(U4:X4)-Y4,"")</f>
        <v>44.644999999999996</v>
      </c>
      <c r="AL4" s="12">
        <f>IF(SUM(Z4:AC4)-AD4&gt;0,SUM(Z4:AC4)-AD4,"")</f>
        <v>49.355000000000004</v>
      </c>
      <c r="AM4" s="12">
        <f>IF(SUM(AK4:AL4)&gt;0,SUM(AK4:AL4),"")</f>
        <v>94</v>
      </c>
      <c r="AN4" s="12">
        <f>IF(SUM(AE4:AH4)-AI4&gt;0,SUM(AE4:AH4)-AI4,"")</f>
        <v>50.484999999999992</v>
      </c>
      <c r="AO4" s="12">
        <f>IF(SUM(AM4,AN4)&gt;0,SUM(AM4,AN4),"")</f>
        <v>144.48499999999999</v>
      </c>
      <c r="AP4" s="46">
        <v>18.3</v>
      </c>
      <c r="AQ4" s="46">
        <v>9.8000000000000007</v>
      </c>
      <c r="AR4" s="46">
        <v>3.4</v>
      </c>
      <c r="AS4" s="46">
        <v>15.265000000000001</v>
      </c>
      <c r="AT4" s="46">
        <v>0</v>
      </c>
      <c r="AU4" s="46">
        <v>9.3000000000000007</v>
      </c>
      <c r="AV4" s="46">
        <v>5.6</v>
      </c>
      <c r="AW4" s="46">
        <v>7.3</v>
      </c>
      <c r="AX4" s="46">
        <v>8.5950000000000006</v>
      </c>
      <c r="AY4" s="46">
        <v>0</v>
      </c>
      <c r="AZ4" s="46">
        <v>16.600000000000001</v>
      </c>
      <c r="BA4" s="46">
        <v>9.6999999999999993</v>
      </c>
      <c r="BB4" s="46">
        <v>10.6</v>
      </c>
      <c r="BC4" s="46">
        <v>14.39</v>
      </c>
      <c r="BD4" s="46">
        <v>0</v>
      </c>
      <c r="BE4" s="15">
        <f>IF(SUM(AW4)&gt;0,SUM(AW4),"")</f>
        <v>7.3</v>
      </c>
      <c r="BF4" s="15">
        <f>IF(SUM(AP4:AS4)-AT4&gt;0,SUM(AP4:AS4)-AT4,"")</f>
        <v>46.765000000000001</v>
      </c>
      <c r="BG4" s="15">
        <f>IF(SUM(AU4:AX4)-AY4&gt;0,SUM(AU4:AX4)-AY4,"")</f>
        <v>30.795000000000002</v>
      </c>
      <c r="BH4" s="15">
        <f>IF(SUM(BF4:BG4)&gt;0,SUM(BF4:BG4),"")</f>
        <v>77.56</v>
      </c>
      <c r="BI4" s="15">
        <f>IF(SUM(AZ4:BC4)-BD4&gt;0,SUM(AZ4:BC4)-BD4,"")</f>
        <v>51.29</v>
      </c>
      <c r="BJ4" s="15">
        <f>IF(SUM(BH4,BI4)&gt;0,SUM(BH4,BI4),"")</f>
        <v>128.85</v>
      </c>
      <c r="BK4" s="45">
        <v>15.2</v>
      </c>
      <c r="BL4" s="45">
        <v>8.9</v>
      </c>
      <c r="BM4" s="45">
        <v>3.4</v>
      </c>
      <c r="BN4" s="45">
        <v>15.1</v>
      </c>
      <c r="BO4" s="45">
        <v>0</v>
      </c>
      <c r="BP4" s="45">
        <v>14.1</v>
      </c>
      <c r="BQ4" s="45">
        <v>9.15</v>
      </c>
      <c r="BR4" s="45">
        <v>10.6</v>
      </c>
      <c r="BS4" s="45">
        <v>14.5</v>
      </c>
      <c r="BT4" s="45">
        <v>0</v>
      </c>
      <c r="BU4" s="45">
        <v>14.7</v>
      </c>
      <c r="BV4" s="45">
        <v>8.6999999999999993</v>
      </c>
      <c r="BW4" s="45">
        <v>10.6</v>
      </c>
      <c r="BX4" s="45">
        <v>13.81</v>
      </c>
      <c r="BY4" s="45">
        <v>0</v>
      </c>
      <c r="BZ4" s="12">
        <f>IF(SUM(BR4)&gt;0,SUM(BR4),"")</f>
        <v>10.6</v>
      </c>
      <c r="CA4" s="12">
        <f>IF(SUM(BK4:BN4)-BO4&gt;0,SUM(BK4:BN4)-BO4,"")</f>
        <v>42.6</v>
      </c>
      <c r="CB4" s="12">
        <f>IF(SUM(BP4:BS4)-BT4&gt;0,SUM(BP4:BS4)-BT4,"")</f>
        <v>48.35</v>
      </c>
      <c r="CC4" s="12">
        <f>IF(SUM(CA4:CB4)&gt;0,SUM(CA4:CB4),"")</f>
        <v>90.95</v>
      </c>
      <c r="CD4" s="12">
        <f>IF(SUM(BU4:BX4)-BY4&gt;0,SUM(BU4:BX4)-BY4,"")</f>
        <v>47.81</v>
      </c>
      <c r="CE4" s="12">
        <f>IF(SUM(CC4,CD4)&gt;0,SUM(CC4,CD4),"")</f>
        <v>138.76</v>
      </c>
      <c r="CF4" s="28" t="str">
        <f>IF(MAX(CY4,DT4,EO4,FJ4,GE4,GZ4,HU4,IP4,JK4,KF4,LA4,LV4)-L4&gt;0.001,MAX(CY4,DT4,EO4,FJ4,GE4,GZ4,HU4,IP4,JK4,KF4,LA4,LV4)-L4,"")</f>
        <v/>
      </c>
      <c r="CG4" s="28" t="str">
        <f>IF(MAX(CZ4,DU4,EP4,FK4,GF4,HA4,HV4,IQ4,JL4,KG4,LB4,LW4)-N4&gt;0.001,MAX(CZ4,DU4,EP4,FK4,GF4,HA4,HV4,IQ4,JL4,KG4,LB4,LW4)-N4,"")</f>
        <v/>
      </c>
      <c r="CH4" s="28" t="str">
        <f>IF(MAX(DB4,DW4,ER4,FM4,GH4,HC4,HX4,IS4,JN4,KI4,LD4,LY4)-P4&gt;0.001,MAX(DB4,DW4,ER4,FM4,GH4,HC4,HX4,IS4,JN4,KI4,LD4,LY4)-P4,"")</f>
        <v/>
      </c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12" t="str">
        <f>IF(SUM(CP4)&gt;0,SUM(CP4),"")</f>
        <v/>
      </c>
      <c r="CY4" s="12" t="str">
        <f>IF(SUM(CI4:CL4)-CM4&gt;0,SUM(CI4:CL4)-CM4,"")</f>
        <v/>
      </c>
      <c r="CZ4" s="12" t="str">
        <f>IF(SUM(CN4:CQ4)-CR4&gt;0,SUM(CN4:CQ4)-CR4,"")</f>
        <v/>
      </c>
      <c r="DA4" s="12" t="str">
        <f>IF(SUM(CY4:CZ4)&gt;0,SUM(CY4:CZ4),"")</f>
        <v/>
      </c>
      <c r="DB4" s="12" t="str">
        <f>IF(SUM(CS4:CV4)-CW4&gt;0,SUM(CS4:CV4)-CW4,"")</f>
        <v/>
      </c>
      <c r="DC4" s="12" t="str">
        <f>IF(SUM(DA4,DB4)&gt;0,SUM(DA4,DB4),"")</f>
        <v/>
      </c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15" t="str">
        <f>IF(SUM(DK4)&gt;0,SUM(DK4),"")</f>
        <v/>
      </c>
      <c r="DT4" s="15" t="str">
        <f>IF(SUM(DD4:DG4)-DH4&gt;0,SUM(DD4:DG4)-DH4,"")</f>
        <v/>
      </c>
      <c r="DU4" s="15" t="str">
        <f>IF(SUM(DI4:DL4)-DM4&gt;0,SUM(DI4:DL4)-DM4,"")</f>
        <v/>
      </c>
      <c r="DV4" s="15" t="str">
        <f>IF(SUM(DT4:DU4)&gt;0,SUM(DT4:DU4),"")</f>
        <v/>
      </c>
      <c r="DW4" s="15" t="str">
        <f>IF(SUM(DN4:DQ4)-DR4&gt;0,SUM(DN4:DQ4)-DR4,"")</f>
        <v/>
      </c>
      <c r="DX4" s="15" t="str">
        <f>IF(SUM(DV4,DW4)&gt;0,SUM(DV4,DW4),"")</f>
        <v/>
      </c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12" t="str">
        <f>IF(SUM(EF4)&gt;0,SUM(EF4),"")</f>
        <v/>
      </c>
      <c r="EO4" s="12" t="str">
        <f>IF(SUM(DY4:EB4)-EC4&gt;0,SUM(DY4:EB4)-EC4,"")</f>
        <v/>
      </c>
      <c r="EP4" s="12" t="str">
        <f>IF(SUM(ED4:EG4)-EH4&gt;0,SUM(ED4:EG4)-EH4,"")</f>
        <v/>
      </c>
      <c r="EQ4" s="12" t="str">
        <f>IF(SUM(EO4:EP4)&gt;0,SUM(EO4:EP4),"")</f>
        <v/>
      </c>
      <c r="ER4" s="12" t="str">
        <f>IF(SUM(EI4:EL4)-EM4&gt;0,SUM(EI4:EL4)-EM4,"")</f>
        <v/>
      </c>
      <c r="ES4" s="12" t="str">
        <f>IF(SUM(EQ4,ER4)&gt;0,SUM(EQ4,ER4),"")</f>
        <v/>
      </c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46"/>
      <c r="FH4" s="46"/>
      <c r="FI4" s="15" t="str">
        <f>IF(SUM(FA4)&gt;0,SUM(FA4),"")</f>
        <v/>
      </c>
      <c r="FJ4" s="15" t="str">
        <f>IF(SUM(ET4:EW4)-EX4&gt;0,SUM(ET4:EW4)-EX4,"")</f>
        <v/>
      </c>
      <c r="FK4" s="15" t="str">
        <f>IF(SUM(EY4:FB4)-FC4&gt;0,SUM(EY4:FB4)-FC4,"")</f>
        <v/>
      </c>
      <c r="FL4" s="15" t="str">
        <f>IF(SUM(FJ4:FK4)&gt;0,SUM(FJ4:FK4),"")</f>
        <v/>
      </c>
      <c r="FM4" s="15" t="str">
        <f>IF(SUM(FD4:FG4)-FH4&gt;0,SUM(FD4:FG4)-FH4,"")</f>
        <v/>
      </c>
      <c r="FN4" s="15" t="str">
        <f>IF(SUM(FL4,FM4)&gt;0,SUM(FL4,FM4),"")</f>
        <v/>
      </c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45"/>
      <c r="GC4" s="45"/>
      <c r="GD4" s="12" t="str">
        <f>IF(SUM(FV4)&gt;0,SUM(FV4),"")</f>
        <v/>
      </c>
      <c r="GE4" s="12" t="str">
        <f>IF(SUM(FO4:FR4)-FS4&gt;0,SUM(FO4:FR4)-FS4,"")</f>
        <v/>
      </c>
      <c r="GF4" s="12" t="str">
        <f>IF(SUM(FT4:FW4)-FX4&gt;0,SUM(FT4:FW4)-FX4,"")</f>
        <v/>
      </c>
      <c r="GG4" s="12" t="str">
        <f>IF(SUM(GE4:GF4)&gt;0,SUM(GE4:GF4),"")</f>
        <v/>
      </c>
      <c r="GH4" s="12" t="str">
        <f>IF(SUM(FY4:GB4)-GC4&gt;0,SUM(FY4:GB4)-GC4,"")</f>
        <v/>
      </c>
      <c r="GI4" s="12" t="str">
        <f>IF(SUM(GG4,GH4)&gt;0,SUM(GG4,GH4),"")</f>
        <v/>
      </c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46"/>
      <c r="GX4" s="46"/>
      <c r="GY4" s="15" t="str">
        <f>IF(SUM(GQ4)&gt;0,SUM(GQ4),"")</f>
        <v/>
      </c>
      <c r="GZ4" s="15" t="str">
        <f>IF(SUM(GJ4:GM4)-GN4&gt;0,SUM(GJ4:GM4)-GN4,"")</f>
        <v/>
      </c>
      <c r="HA4" s="15" t="str">
        <f>IF(SUM(GO4:GR4)-GS4&gt;0,SUM(GO4:GR4)-GS4,"")</f>
        <v/>
      </c>
      <c r="HB4" s="15" t="str">
        <f>IF(SUM(GZ4:HA4)&gt;0,SUM(GZ4:HA4),"")</f>
        <v/>
      </c>
      <c r="HC4" s="15" t="str">
        <f>IF(SUM(GT4:GW4)-GX4&gt;0,SUM(GT4:GW4)-GX4,"")</f>
        <v/>
      </c>
      <c r="HD4" s="15" t="str">
        <f>IF(SUM(HB4,HC4)&gt;0,SUM(HB4,HC4),"")</f>
        <v/>
      </c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45"/>
      <c r="HS4" s="45"/>
      <c r="HT4" s="12" t="str">
        <f>IF(SUM(HL4)&gt;0,SUM(HL4),"")</f>
        <v/>
      </c>
      <c r="HU4" s="12" t="str">
        <f>IF(SUM(HE4:HH4)-HI4&gt;0,SUM(HE4:HH4)-HI4,"")</f>
        <v/>
      </c>
      <c r="HV4" s="12" t="str">
        <f>IF(SUM(HJ4:HM4)-HN4&gt;0,SUM(HJ4:HM4)-HN4,"")</f>
        <v/>
      </c>
      <c r="HW4" s="12" t="str">
        <f>IF(SUM(HU4:HV4)&gt;0,SUM(HU4:HV4),"")</f>
        <v/>
      </c>
      <c r="HX4" s="12" t="str">
        <f>IF(SUM(HO4:HR4)-HS4&gt;0,SUM(HO4:HR4)-HS4,"")</f>
        <v/>
      </c>
      <c r="HY4" s="12" t="str">
        <f>IF(SUM(HW4,HX4)&gt;0,SUM(HW4,HX4),"")</f>
        <v/>
      </c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46"/>
      <c r="IN4" s="46"/>
      <c r="IO4" s="15" t="str">
        <f>IF(SUM(IG4)&gt;0,SUM(IG4),"")</f>
        <v/>
      </c>
      <c r="IP4" s="15" t="str">
        <f>IF(SUM(HZ4:IC4)-ID4&gt;0,SUM(HZ4:IC4)-ID4,"")</f>
        <v/>
      </c>
      <c r="IQ4" s="15" t="str">
        <f>IF(SUM(IE4:IH4)-II4&gt;0,SUM(IE4:IH4)-II4,"")</f>
        <v/>
      </c>
      <c r="IR4" s="15" t="str">
        <f>IF(SUM(IP4:IQ4)&gt;0,SUM(IP4:IQ4),"")</f>
        <v/>
      </c>
      <c r="IS4" s="15" t="str">
        <f>IF(SUM(IJ4:IM4)-IN4&gt;0,SUM(IJ4:IM4)-IN4,"")</f>
        <v/>
      </c>
      <c r="IT4" s="15" t="str">
        <f>IF(SUM(IR4,IS4)&gt;0,SUM(IR4,IS4),"")</f>
        <v/>
      </c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45"/>
      <c r="JI4" s="45"/>
      <c r="JJ4" s="12" t="str">
        <f>IF(SUM(JB4)&gt;0,SUM(JB4),"")</f>
        <v/>
      </c>
      <c r="JK4" s="12" t="str">
        <f>IF(SUM(IU4:IX4)-IY4&gt;0,SUM(IU4:IX4)-IY4,"")</f>
        <v/>
      </c>
      <c r="JL4" s="12" t="str">
        <f>IF(SUM(IZ4:JC4)-JD4&gt;0,SUM(IZ4:JC4)-JD4,"")</f>
        <v/>
      </c>
      <c r="JM4" s="12" t="str">
        <f>IF(SUM(JK4:JL4)&gt;0,SUM(JK4:JL4),"")</f>
        <v/>
      </c>
      <c r="JN4" s="12" t="str">
        <f>IF(SUM(JE4:JH4)-JI4&gt;0,SUM(JE4:JH4)-JI4,"")</f>
        <v/>
      </c>
      <c r="JO4" s="12" t="str">
        <f>IF(SUM(JM4,JN4)&gt;0,SUM(JM4,JN4),"")</f>
        <v/>
      </c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46"/>
      <c r="KD4" s="46"/>
      <c r="KE4" s="15" t="str">
        <f>IF(SUM(JW4)&gt;0,SUM(JW4),"")</f>
        <v/>
      </c>
      <c r="KF4" s="15" t="str">
        <f>IF(SUM(JP4:JS4)-JT4&gt;0,SUM(JP4:JS4)-JT4,"")</f>
        <v/>
      </c>
      <c r="KG4" s="15" t="str">
        <f>IF(SUM(JU4:JX4)-JY4&gt;0,SUM(JU4:JX4)-JY4,"")</f>
        <v/>
      </c>
      <c r="KH4" s="15" t="str">
        <f>IF(SUM(KF4:KG4)&gt;0,SUM(KF4:KG4),"")</f>
        <v/>
      </c>
      <c r="KI4" s="15" t="str">
        <f>IF(SUM(JZ4:KC4)-KD4&gt;0,SUM(JZ4:KC4)-KD4,"")</f>
        <v/>
      </c>
      <c r="KJ4" s="15" t="str">
        <f>IF(SUM(KH4,KI4)&gt;0,SUM(KH4,KI4),"")</f>
        <v/>
      </c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45"/>
      <c r="KY4" s="45"/>
      <c r="KZ4" s="12" t="str">
        <f>IF(SUM(KR4)&gt;0,SUM(KR4),"")</f>
        <v/>
      </c>
      <c r="LA4" s="12" t="str">
        <f>IF(SUM(KK4:KN4)-KO4&gt;0,SUM(KK4:KN4)-KO4,"")</f>
        <v/>
      </c>
      <c r="LB4" s="12" t="str">
        <f>IF(SUM(KP4:KS4)-KT4&gt;0,SUM(KP4:KS4)-KT4,"")</f>
        <v/>
      </c>
      <c r="LC4" s="12" t="str">
        <f>IF(SUM(LA4:LB4)&gt;0,SUM(LA4:LB4),"")</f>
        <v/>
      </c>
      <c r="LD4" s="12" t="str">
        <f>IF(SUM(KU4:KX4)-KY4&gt;0,SUM(KU4:KX4)-KY4,"")</f>
        <v/>
      </c>
      <c r="LE4" s="12" t="str">
        <f>IF(SUM(LC4,LD4)&gt;0,SUM(LC4,LD4),"")</f>
        <v/>
      </c>
      <c r="LF4" s="46"/>
      <c r="LG4" s="46"/>
      <c r="LH4" s="46"/>
      <c r="LI4" s="46"/>
      <c r="LJ4" s="46"/>
      <c r="LK4" s="46"/>
      <c r="LL4" s="46"/>
      <c r="LM4" s="46"/>
      <c r="LN4" s="46"/>
      <c r="LO4" s="46"/>
      <c r="LP4" s="46"/>
      <c r="LQ4" s="46"/>
      <c r="LR4" s="46"/>
      <c r="LS4" s="46"/>
      <c r="LT4" s="46"/>
      <c r="LU4" s="15" t="str">
        <f>IF(SUM(LM4)&gt;0,SUM(LM4),"")</f>
        <v/>
      </c>
      <c r="LV4" s="15" t="str">
        <f>IF(SUM(LF4:LI4)-LJ4&gt;0,SUM(LF4:LI4)-LJ4,"")</f>
        <v/>
      </c>
      <c r="LW4" s="15" t="str">
        <f>IF(SUM(LK4:LN4)-LO4&gt;0,SUM(LK4:LN4)-LO4,"")</f>
        <v/>
      </c>
      <c r="LX4" s="15" t="str">
        <f>IF(SUM(LV4:LW4)&gt;0,SUM(LV4:LW4),"")</f>
        <v/>
      </c>
      <c r="LY4" s="15" t="str">
        <f>IF(SUM(LP4:LS4)-LT4&gt;0,SUM(LP4:LS4)-LT4,"")</f>
        <v/>
      </c>
      <c r="LZ4" s="15" t="str">
        <f>IF(SUM(LX4,LY4)&gt;0,SUM(LX4,LY4),"")</f>
        <v/>
      </c>
    </row>
    <row r="5" spans="1:338">
      <c r="A5" s="6">
        <f>IF(AND(F5="P",H5="P"),SUMPRODUCT((F$4:F$15="P")*(H$4:H$15="P")*(E$4:E$15&gt;E5))+1,IF(H5="P",SUMPRODUCT((F$4:F$15="")*(H$4:H$15="P")*(E$4:E$15&gt;E5))+1+SUMPRODUCT((F$4:F$15="P")*(H$4:H$15="P")),""))</f>
        <v>2</v>
      </c>
      <c r="B5" s="9" t="s">
        <v>107</v>
      </c>
      <c r="C5" s="5" t="s">
        <v>5</v>
      </c>
      <c r="D5" s="31">
        <v>2002</v>
      </c>
      <c r="E5" s="16">
        <f>SUM(J5:R5)</f>
        <v>235.52999999999997</v>
      </c>
      <c r="F5" s="4" t="str">
        <f>IF(OR(AND($AJ5&gt;=$AK$18,NOT($AJ5="")),AND($BE5&gt;=$BF$18,NOT($BE5="")),AND($BZ5&gt;=$CA$18,NOT($BZ5=""))),"P","")</f>
        <v/>
      </c>
      <c r="G5" s="4" t="str">
        <f>IF(OR(AND($AJ5&gt;=$AK$19,NOT($AJ5="")),AND($BE5&gt;=$BF$19,NOT($BE5="")),AND($BZ5&gt;=$CA$19,NOT($BZ5=""))),"P","")</f>
        <v/>
      </c>
      <c r="H5" s="4" t="str">
        <f>IF(OR(AND($AM5&gt;=$AK$20,NOT($AM5="")),AND($BH5&gt;=$BF$20,NOT($BH5="")),AND($CC5&gt;=$CA$20,NOT($CC5=""))),"P","")</f>
        <v>P</v>
      </c>
      <c r="I5" t="str">
        <f>IF(AND(F5="P",OR(AND($AL5&gt;=$AK$23,NOT($AL5="")),AND($AN5&gt;=$AK$23,NOT($AN5="")),AND($BG5&gt;=$BF$23,NOT($BG5="")),AND($BI5&gt;=$BF$23,NOT($BI5="")),AND($CB5&gt;=$CA$23,NOT($CB5="")),AND($CD5&gt;=$CA$23,NOT($CD5="")))),"Merit",IF(AND(F5="P",OR(AND($AM5&gt;=$AK$22,NOT($AM5="")),AND($BH5&gt;=$BF$22,NOT($BH5="")),AND($CC5&gt;=$CA$22,NOT($CC5="")))),"Funding",IF(AND(F5="P",OR(AND($AM5&gt;=$AK$21,NOT($AM5="")),AND($BH5&gt;=$BF$21,NOT($BH5="")),AND($CC5&gt;=$CA$21,NOT($CC5="")))),"Worlds Team",IF(AND(F5="P",OR(AND($AM5&gt;=$AK$20,NOT($AM5="")),AND($BH5&gt;=$BF$20,NOT($BH5="")),AND($CC5&gt;=$CA$20,NOT($CC5="")))),"National Team",""))))</f>
        <v/>
      </c>
      <c r="J5" s="15">
        <f>MAX(AM5,BH5,CC5)</f>
        <v>92.38</v>
      </c>
      <c r="K5" s="15" t="str">
        <f>IF(J5=CC5,$BK$1,IF(J5=BH5,$AP$1,IF(J5=AM5,$U$1,"")))</f>
        <v>2017 Canada Cup</v>
      </c>
      <c r="L5" s="15">
        <f>IF($J5=$AM5,MAX(BF5,CA5),IF($J5=$BH5,MAX(AK5,CA5),MAX(AK5,BF5)))</f>
        <v>44.48</v>
      </c>
      <c r="M5" s="15" t="str">
        <f>IF(L5=CA5,$BK$1,IF(L5=BF5,$AP$1,IF(L5=AK5,$U$1,"")))</f>
        <v>2018 Canada Cup</v>
      </c>
      <c r="N5" s="15">
        <f>IF($J5=$AM5,MAX(BG5,CB5),IF($J5=$BH5,MAX(AL5,CB5),MAX(AL5,BG5)))</f>
        <v>47.78</v>
      </c>
      <c r="O5" s="15" t="str">
        <f>IF(N5=CB5,$BK$1,IF(N5=BG5,$AP$1,IF(N5=AL5,$U$1,"")))</f>
        <v>2018 Canada Cup</v>
      </c>
      <c r="P5" s="15">
        <f>MAX(AN5,BI5,CD5)</f>
        <v>50.084999999999994</v>
      </c>
      <c r="Q5" s="15" t="str">
        <f>IF(P5=CD5,$BK$1,IF(P5=BI5,$AP$1,IF(P5=AN5,$U$1,"")))</f>
        <v>2018 Canada Cup</v>
      </c>
      <c r="R5" s="15">
        <f>IF(MAX(CF5:CH5)&gt;0,MAX(CF5:CH5),"")</f>
        <v>0.80499999999999261</v>
      </c>
      <c r="S5" s="29" t="str">
        <f>IF(R5="","",IF(R5=CF5,"(Vol 1)",IF(R5=CG5,"(Vol 2)",IF(R5=CH5,"(Final)"))))</f>
        <v>(Vol 2)</v>
      </c>
      <c r="T5" s="15" t="str">
        <f>IF(R5="","",IF(R5=CF5,IF(R5+L5=LV5,$LF$1,IF(R5+L5=LA5,$KK$1,IF(R5+L5=KF5,$JP$1,IF(R5+L5=JK5,$IU$1,IF(R5+L5=IP5,$HZ$1,IF(R5+L5=HU5,$HE$1,IF(R5+L5=GZ5,$GJ$1,IF(R5+L5=GE5,$FO$1,IF(R5+L5=FJ5,$ET$1,IF(R5+L5=EO5,$DY$1,IF(R5+L5=DT5,$DD$1,IF(R5+L5=CY5,$CI$1)))))))))))),IF(R5=CG5,IF(R5+N5=LW5,$LF$1,IF(R5+N5=LB5,$KK$1,IF(R5+N5=KG5,$JP$1,IF(R5+N5=JL5,$IU$1,IF(R5+N5=IQ5,$HZ$1,IF(R5+N5=HV5,$HE$1,IF(R5+N5=HA5,$GJ$1,IF(R5+N5=GF5,$FO$1,IF(R5+N5=FK5,$ET$1,IF(R5+N5=EP5,$DY$1,IF(R5+N5=DU5,$DD$1,IF(R5+N5=CZ5,$CI$1)))))))))))),IF(R5=CH5,IF(R5+P5=LY5,$LF$1,IF(R5+P5=LD5,$KK$1,IF(R5+P5=KI5,$JP$1,IF(R5+P5=JN5,$IU$1,IF(R5+P5=IS5,$HZ$1,IF(R5+P5=HX5,$HE$1,IF(R5+P5=HC5,$GJ$1,IF(R5+P5=GH5,$FO$1,IF(R5+P5=FM5,$ET$1,IF(R5+P5=ER5,$DY$1,IF(R5+P5=DW5,$DD$1,IF(R5+P5=DB5,$CI$1))))))))))))))))</f>
        <v>2018 Pacific Rim (Apr)</v>
      </c>
      <c r="U5" s="45">
        <v>17.8</v>
      </c>
      <c r="V5" s="45">
        <v>9.3000000000000007</v>
      </c>
      <c r="W5" s="45">
        <v>3.2</v>
      </c>
      <c r="X5" s="45">
        <v>13.51</v>
      </c>
      <c r="Y5" s="45">
        <v>0</v>
      </c>
      <c r="Z5" s="45">
        <v>16.7</v>
      </c>
      <c r="AA5" s="45">
        <v>9</v>
      </c>
      <c r="AB5" s="45">
        <v>9.6</v>
      </c>
      <c r="AC5" s="45">
        <v>13.27</v>
      </c>
      <c r="AD5" s="45">
        <v>0</v>
      </c>
      <c r="AE5" s="45">
        <v>16.899999999999999</v>
      </c>
      <c r="AF5" s="45">
        <v>9.1</v>
      </c>
      <c r="AG5" s="45">
        <v>10.1</v>
      </c>
      <c r="AH5" s="45">
        <v>13.455</v>
      </c>
      <c r="AI5" s="45">
        <v>0</v>
      </c>
      <c r="AJ5" s="12">
        <f>IF(SUM(AB5)&gt;0,SUM(AB5),"")</f>
        <v>9.6</v>
      </c>
      <c r="AK5" s="12">
        <f>IF(SUM(U5:X5)-Y5&gt;0,SUM(U5:X5)-Y5,"")</f>
        <v>43.81</v>
      </c>
      <c r="AL5" s="12">
        <f>IF(SUM(Z5:AC5)-AD5&gt;0,SUM(Z5:AC5)-AD5,"")</f>
        <v>48.569999999999993</v>
      </c>
      <c r="AM5" s="12">
        <f>IF(SUM(AK5:AL5)&gt;0,SUM(AK5:AL5),"")</f>
        <v>92.38</v>
      </c>
      <c r="AN5" s="12">
        <f>IF(SUM(AE5:AH5)-AI5&gt;0,SUM(AE5:AH5)-AI5,"")</f>
        <v>49.555</v>
      </c>
      <c r="AO5" s="12">
        <f>IF(SUM(AM5,AN5)&gt;0,SUM(AM5,AN5),"")</f>
        <v>141.935</v>
      </c>
      <c r="AP5" s="46">
        <v>17.3</v>
      </c>
      <c r="AQ5" s="46">
        <v>9.1</v>
      </c>
      <c r="AR5" s="46">
        <v>3.5</v>
      </c>
      <c r="AS5" s="46">
        <v>13.625</v>
      </c>
      <c r="AT5" s="46">
        <v>0</v>
      </c>
      <c r="AU5" s="46">
        <v>14.3</v>
      </c>
      <c r="AV5" s="46">
        <v>8.9</v>
      </c>
      <c r="AW5" s="46">
        <v>10.1</v>
      </c>
      <c r="AX5" s="46">
        <v>13.28</v>
      </c>
      <c r="AY5" s="46">
        <v>0</v>
      </c>
      <c r="AZ5" s="46">
        <v>16.899999999999999</v>
      </c>
      <c r="BA5" s="46">
        <v>9.1</v>
      </c>
      <c r="BB5" s="46">
        <v>9.6</v>
      </c>
      <c r="BC5" s="46">
        <v>13.44</v>
      </c>
      <c r="BD5" s="46">
        <v>0</v>
      </c>
      <c r="BE5" s="15">
        <f>IF(SUM(AW5)&gt;0,SUM(AW5),"")</f>
        <v>10.1</v>
      </c>
      <c r="BF5" s="15">
        <f>IF(SUM(AP5:AS5)-AT5&gt;0,SUM(AP5:AS5)-AT5,"")</f>
        <v>43.524999999999999</v>
      </c>
      <c r="BG5" s="15">
        <f>IF(SUM(AU5:AX5)-AY5&gt;0,SUM(AU5:AX5)-AY5,"")</f>
        <v>46.580000000000005</v>
      </c>
      <c r="BH5" s="15">
        <f>IF(SUM(BF5:BG5)&gt;0,SUM(BF5:BG5),"")</f>
        <v>90.105000000000004</v>
      </c>
      <c r="BI5" s="15">
        <f>IF(SUM(AZ5:BC5)-BD5&gt;0,SUM(AZ5:BC5)-BD5,"")</f>
        <v>49.04</v>
      </c>
      <c r="BJ5" s="15">
        <f>IF(SUM(BH5,BI5)&gt;0,SUM(BH5,BI5),"")</f>
        <v>139.14500000000001</v>
      </c>
      <c r="BK5" s="45">
        <v>17.3</v>
      </c>
      <c r="BL5" s="45">
        <v>9.1999999999999993</v>
      </c>
      <c r="BM5" s="45">
        <v>3.4</v>
      </c>
      <c r="BN5" s="45">
        <v>14.58</v>
      </c>
      <c r="BO5" s="45">
        <v>0</v>
      </c>
      <c r="BP5" s="45">
        <v>15.6</v>
      </c>
      <c r="BQ5" s="45">
        <v>9.35</v>
      </c>
      <c r="BR5" s="45">
        <v>9.1999999999999993</v>
      </c>
      <c r="BS5" s="45">
        <v>13.63</v>
      </c>
      <c r="BT5" s="45">
        <v>0</v>
      </c>
      <c r="BU5" s="45">
        <v>16.8</v>
      </c>
      <c r="BV5" s="45">
        <v>9.6</v>
      </c>
      <c r="BW5" s="45">
        <v>9.6999999999999993</v>
      </c>
      <c r="BX5" s="45">
        <v>13.984999999999999</v>
      </c>
      <c r="BY5" s="45">
        <v>0</v>
      </c>
      <c r="BZ5" s="12">
        <f>IF(SUM(BR5)&gt;0,SUM(BR5),"")</f>
        <v>9.1999999999999993</v>
      </c>
      <c r="CA5" s="12">
        <f>IF(SUM(BK5:BN5)-BO5&gt;0,SUM(BK5:BN5)-BO5,"")</f>
        <v>44.48</v>
      </c>
      <c r="CB5" s="12">
        <f>IF(SUM(BP5:BS5)-BT5&gt;0,SUM(BP5:BS5)-BT5,"")</f>
        <v>47.78</v>
      </c>
      <c r="CC5" s="12">
        <f>IF(SUM(CA5:CB5)&gt;0,SUM(CA5:CB5),"")</f>
        <v>92.259999999999991</v>
      </c>
      <c r="CD5" s="12">
        <f>IF(SUM(BU5:BX5)-BY5&gt;0,SUM(BU5:BX5)-BY5,"")</f>
        <v>50.084999999999994</v>
      </c>
      <c r="CE5" s="12">
        <f>IF(SUM(CC5,CD5)&gt;0,SUM(CC5,CD5),"")</f>
        <v>142.34499999999997</v>
      </c>
      <c r="CF5" s="28" t="str">
        <f>IF(MAX(CY5,DT5,EO5,FJ5,GE5,GZ5,HU5,IP5,JK5,KF5,LA5,LV5)-L5&gt;0.001,MAX(CY5,DT5,EO5,FJ5,GE5,GZ5,HU5,IP5,JK5,KF5,LA5,LV5)-L5,"")</f>
        <v/>
      </c>
      <c r="CG5" s="28">
        <f>IF(MAX(CZ5,DU5,EP5,FK5,GF5,HA5,HV5,IQ5,JL5,KG5,LB5,LW5)-N5&gt;0.001,MAX(CZ5,DU5,EP5,FK5,GF5,HA5,HV5,IQ5,JL5,KG5,LB5,LW5)-N5,"")</f>
        <v>0.80499999999999261</v>
      </c>
      <c r="CH5" s="28" t="str">
        <f>IF(MAX(DB5,DW5,ER5,FM5,GH5,HC5,HX5,IS5,JN5,KI5,LD5,LY5)-P5&gt;0.001,MAX(DB5,DW5,ER5,FM5,GH5,HC5,HX5,IS5,JN5,KI5,LD5,LY5)-P5,"")</f>
        <v/>
      </c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12" t="str">
        <f>IF(SUM(CP5)&gt;0,SUM(CP5),"")</f>
        <v/>
      </c>
      <c r="CY5" s="12" t="str">
        <f>IF(SUM(CI5:CL5)-CM5&gt;0,SUM(CI5:CL5)-CM5,"")</f>
        <v/>
      </c>
      <c r="CZ5" s="12" t="str">
        <f>IF(SUM(CN5:CQ5)-CR5&gt;0,SUM(CN5:CQ5)-CR5,"")</f>
        <v/>
      </c>
      <c r="DA5" s="12" t="str">
        <f>IF(SUM(CY5:CZ5)&gt;0,SUM(CY5:CZ5),"")</f>
        <v/>
      </c>
      <c r="DB5" s="12" t="str">
        <f>IF(SUM(CS5:CV5)-CW5&gt;0,SUM(CS5:CV5)-CW5,"")</f>
        <v/>
      </c>
      <c r="DC5" s="12" t="str">
        <f>IF(SUM(DA5,DB5)&gt;0,SUM(DA5,DB5),"")</f>
        <v/>
      </c>
      <c r="DD5" s="46">
        <v>17.100000000000001</v>
      </c>
      <c r="DE5" s="46">
        <v>0</v>
      </c>
      <c r="DF5" s="46">
        <v>9.15</v>
      </c>
      <c r="DG5" s="46">
        <v>14.744999999999999</v>
      </c>
      <c r="DH5" s="46">
        <v>0</v>
      </c>
      <c r="DI5" s="46">
        <v>15.9</v>
      </c>
      <c r="DJ5" s="46">
        <v>9.6999999999999993</v>
      </c>
      <c r="DK5" s="46">
        <v>8.9499999999999993</v>
      </c>
      <c r="DL5" s="46">
        <v>14.035</v>
      </c>
      <c r="DM5" s="46">
        <v>0</v>
      </c>
      <c r="DN5" s="46"/>
      <c r="DO5" s="46"/>
      <c r="DP5" s="46"/>
      <c r="DQ5" s="46"/>
      <c r="DR5" s="46"/>
      <c r="DS5" s="15">
        <f>IF(SUM(DK5)&gt;0,SUM(DK5),"")</f>
        <v>8.9499999999999993</v>
      </c>
      <c r="DT5" s="15">
        <f>IF(SUM(DD5:DG5)-DH5&gt;0,SUM(DD5:DG5)-DH5,"")</f>
        <v>40.994999999999997</v>
      </c>
      <c r="DU5" s="15">
        <f>IF(SUM(DI5:DL5)-DM5&gt;0,SUM(DI5:DL5)-DM5,"")</f>
        <v>48.584999999999994</v>
      </c>
      <c r="DV5" s="15">
        <f>IF(SUM(DT5:DU5)&gt;0,SUM(DT5:DU5),"")</f>
        <v>89.579999999999984</v>
      </c>
      <c r="DW5" s="15" t="str">
        <f>IF(SUM(DN5:DQ5)-DR5&gt;0,SUM(DN5:DQ5)-DR5,"")</f>
        <v/>
      </c>
      <c r="DX5" s="15">
        <f>IF(SUM(DV5,DW5)&gt;0,SUM(DV5,DW5),"")</f>
        <v>89.579999999999984</v>
      </c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45"/>
      <c r="EM5" s="45"/>
      <c r="EN5" s="12" t="str">
        <f>IF(SUM(EF5)&gt;0,SUM(EF5),"")</f>
        <v/>
      </c>
      <c r="EO5" s="12" t="str">
        <f>IF(SUM(DY5:EB5)-EC5&gt;0,SUM(DY5:EB5)-EC5,"")</f>
        <v/>
      </c>
      <c r="EP5" s="12" t="str">
        <f>IF(SUM(ED5:EG5)-EH5&gt;0,SUM(ED5:EG5)-EH5,"")</f>
        <v/>
      </c>
      <c r="EQ5" s="12" t="str">
        <f>IF(SUM(EO5:EP5)&gt;0,SUM(EO5:EP5),"")</f>
        <v/>
      </c>
      <c r="ER5" s="12" t="str">
        <f>IF(SUM(EI5:EL5)-EM5&gt;0,SUM(EI5:EL5)-EM5,"")</f>
        <v/>
      </c>
      <c r="ES5" s="12" t="str">
        <f>IF(SUM(EQ5,ER5)&gt;0,SUM(EQ5,ER5),"")</f>
        <v/>
      </c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15" t="str">
        <f>IF(SUM(FA5)&gt;0,SUM(FA5),"")</f>
        <v/>
      </c>
      <c r="FJ5" s="15" t="str">
        <f>IF(SUM(ET5:EW5)-EX5&gt;0,SUM(ET5:EW5)-EX5,"")</f>
        <v/>
      </c>
      <c r="FK5" s="15" t="str">
        <f>IF(SUM(EY5:FB5)-FC5&gt;0,SUM(EY5:FB5)-FC5,"")</f>
        <v/>
      </c>
      <c r="FL5" s="15" t="str">
        <f>IF(SUM(FJ5:FK5)&gt;0,SUM(FJ5:FK5),"")</f>
        <v/>
      </c>
      <c r="FM5" s="15" t="str">
        <f>IF(SUM(FD5:FG5)-FH5&gt;0,SUM(FD5:FG5)-FH5,"")</f>
        <v/>
      </c>
      <c r="FN5" s="15" t="str">
        <f>IF(SUM(FL5,FM5)&gt;0,SUM(FL5,FM5),"")</f>
        <v/>
      </c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45"/>
      <c r="GC5" s="45"/>
      <c r="GD5" s="12" t="str">
        <f>IF(SUM(FV5)&gt;0,SUM(FV5),"")</f>
        <v/>
      </c>
      <c r="GE5" s="12" t="str">
        <f>IF(SUM(FO5:FR5)-FS5&gt;0,SUM(FO5:FR5)-FS5,"")</f>
        <v/>
      </c>
      <c r="GF5" s="12" t="str">
        <f>IF(SUM(FT5:FW5)-FX5&gt;0,SUM(FT5:FW5)-FX5,"")</f>
        <v/>
      </c>
      <c r="GG5" s="12" t="str">
        <f>IF(SUM(GE5:GF5)&gt;0,SUM(GE5:GF5),"")</f>
        <v/>
      </c>
      <c r="GH5" s="12" t="str">
        <f>IF(SUM(FY5:GB5)-GC5&gt;0,SUM(FY5:GB5)-GC5,"")</f>
        <v/>
      </c>
      <c r="GI5" s="12" t="str">
        <f>IF(SUM(GG5,GH5)&gt;0,SUM(GG5,GH5),"")</f>
        <v/>
      </c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15" t="str">
        <f>IF(SUM(GQ5)&gt;0,SUM(GQ5),"")</f>
        <v/>
      </c>
      <c r="GZ5" s="15" t="str">
        <f>IF(SUM(GJ5:GM5)-GN5&gt;0,SUM(GJ5:GM5)-GN5,"")</f>
        <v/>
      </c>
      <c r="HA5" s="15" t="str">
        <f>IF(SUM(GO5:GR5)-GS5&gt;0,SUM(GO5:GR5)-GS5,"")</f>
        <v/>
      </c>
      <c r="HB5" s="15" t="str">
        <f>IF(SUM(GZ5:HA5)&gt;0,SUM(GZ5:HA5),"")</f>
        <v/>
      </c>
      <c r="HC5" s="15" t="str">
        <f>IF(SUM(GT5:GW5)-GX5&gt;0,SUM(GT5:GW5)-GX5,"")</f>
        <v/>
      </c>
      <c r="HD5" s="15" t="str">
        <f>IF(SUM(HB5,HC5)&gt;0,SUM(HB5,HC5),"")</f>
        <v/>
      </c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45"/>
      <c r="HS5" s="45"/>
      <c r="HT5" s="12" t="str">
        <f>IF(SUM(HL5)&gt;0,SUM(HL5),"")</f>
        <v/>
      </c>
      <c r="HU5" s="12" t="str">
        <f>IF(SUM(HE5:HH5)-HI5&gt;0,SUM(HE5:HH5)-HI5,"")</f>
        <v/>
      </c>
      <c r="HV5" s="12" t="str">
        <f>IF(SUM(HJ5:HM5)-HN5&gt;0,SUM(HJ5:HM5)-HN5,"")</f>
        <v/>
      </c>
      <c r="HW5" s="12" t="str">
        <f>IF(SUM(HU5:HV5)&gt;0,SUM(HU5:HV5),"")</f>
        <v/>
      </c>
      <c r="HX5" s="12" t="str">
        <f>IF(SUM(HO5:HR5)-HS5&gt;0,SUM(HO5:HR5)-HS5,"")</f>
        <v/>
      </c>
      <c r="HY5" s="12" t="str">
        <f>IF(SUM(HW5,HX5)&gt;0,SUM(HW5,HX5),"")</f>
        <v/>
      </c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15" t="str">
        <f>IF(SUM(IG5)&gt;0,SUM(IG5),"")</f>
        <v/>
      </c>
      <c r="IP5" s="15" t="str">
        <f>IF(SUM(HZ5:IC5)-ID5&gt;0,SUM(HZ5:IC5)-ID5,"")</f>
        <v/>
      </c>
      <c r="IQ5" s="15" t="str">
        <f>IF(SUM(IE5:IH5)-II5&gt;0,SUM(IE5:IH5)-II5,"")</f>
        <v/>
      </c>
      <c r="IR5" s="15" t="str">
        <f>IF(SUM(IP5:IQ5)&gt;0,SUM(IP5:IQ5),"")</f>
        <v/>
      </c>
      <c r="IS5" s="15" t="str">
        <f>IF(SUM(IJ5:IM5)-IN5&gt;0,SUM(IJ5:IM5)-IN5,"")</f>
        <v/>
      </c>
      <c r="IT5" s="15" t="str">
        <f>IF(SUM(IR5,IS5)&gt;0,SUM(IR5,IS5),"")</f>
        <v/>
      </c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45"/>
      <c r="JI5" s="45"/>
      <c r="JJ5" s="12" t="str">
        <f>IF(SUM(JB5)&gt;0,SUM(JB5),"")</f>
        <v/>
      </c>
      <c r="JK5" s="12" t="str">
        <f>IF(SUM(IU5:IX5)-IY5&gt;0,SUM(IU5:IX5)-IY5,"")</f>
        <v/>
      </c>
      <c r="JL5" s="12" t="str">
        <f>IF(SUM(IZ5:JC5)-JD5&gt;0,SUM(IZ5:JC5)-JD5,"")</f>
        <v/>
      </c>
      <c r="JM5" s="12" t="str">
        <f>IF(SUM(JK5:JL5)&gt;0,SUM(JK5:JL5),"")</f>
        <v/>
      </c>
      <c r="JN5" s="12" t="str">
        <f>IF(SUM(JE5:JH5)-JI5&gt;0,SUM(JE5:JH5)-JI5,"")</f>
        <v/>
      </c>
      <c r="JO5" s="12" t="str">
        <f>IF(SUM(JM5,JN5)&gt;0,SUM(JM5,JN5),"")</f>
        <v/>
      </c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46"/>
      <c r="KD5" s="46"/>
      <c r="KE5" s="15" t="str">
        <f>IF(SUM(JW5)&gt;0,SUM(JW5),"")</f>
        <v/>
      </c>
      <c r="KF5" s="15" t="str">
        <f>IF(SUM(JP5:JS5)-JT5&gt;0,SUM(JP5:JS5)-JT5,"")</f>
        <v/>
      </c>
      <c r="KG5" s="15" t="str">
        <f>IF(SUM(JU5:JX5)-JY5&gt;0,SUM(JU5:JX5)-JY5,"")</f>
        <v/>
      </c>
      <c r="KH5" s="15" t="str">
        <f>IF(SUM(KF5:KG5)&gt;0,SUM(KF5:KG5),"")</f>
        <v/>
      </c>
      <c r="KI5" s="15" t="str">
        <f>IF(SUM(JZ5:KC5)-KD5&gt;0,SUM(JZ5:KC5)-KD5,"")</f>
        <v/>
      </c>
      <c r="KJ5" s="15" t="str">
        <f>IF(SUM(KH5,KI5)&gt;0,SUM(KH5,KI5),"")</f>
        <v/>
      </c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45"/>
      <c r="KY5" s="45"/>
      <c r="KZ5" s="12" t="str">
        <f>IF(SUM(KR5)&gt;0,SUM(KR5),"")</f>
        <v/>
      </c>
      <c r="LA5" s="12" t="str">
        <f>IF(SUM(KK5:KN5)-KO5&gt;0,SUM(KK5:KN5)-KO5,"")</f>
        <v/>
      </c>
      <c r="LB5" s="12" t="str">
        <f>IF(SUM(KP5:KS5)-KT5&gt;0,SUM(KP5:KS5)-KT5,"")</f>
        <v/>
      </c>
      <c r="LC5" s="12" t="str">
        <f>IF(SUM(LA5:LB5)&gt;0,SUM(LA5:LB5),"")</f>
        <v/>
      </c>
      <c r="LD5" s="12" t="str">
        <f>IF(SUM(KU5:KX5)-KY5&gt;0,SUM(KU5:KX5)-KY5,"")</f>
        <v/>
      </c>
      <c r="LE5" s="12" t="str">
        <f>IF(SUM(LC5,LD5)&gt;0,SUM(LC5,LD5),"")</f>
        <v/>
      </c>
      <c r="LF5" s="46"/>
      <c r="LG5" s="46"/>
      <c r="LH5" s="46"/>
      <c r="LI5" s="46"/>
      <c r="LJ5" s="46"/>
      <c r="LK5" s="46"/>
      <c r="LL5" s="46"/>
      <c r="LM5" s="46"/>
      <c r="LN5" s="46"/>
      <c r="LO5" s="46"/>
      <c r="LP5" s="46"/>
      <c r="LQ5" s="46"/>
      <c r="LR5" s="46"/>
      <c r="LS5" s="46"/>
      <c r="LT5" s="46"/>
      <c r="LU5" s="15" t="str">
        <f>IF(SUM(LM5)&gt;0,SUM(LM5),"")</f>
        <v/>
      </c>
      <c r="LV5" s="15" t="str">
        <f>IF(SUM(LF5:LI5)-LJ5&gt;0,SUM(LF5:LI5)-LJ5,"")</f>
        <v/>
      </c>
      <c r="LW5" s="15" t="str">
        <f>IF(SUM(LK5:LN5)-LO5&gt;0,SUM(LK5:LN5)-LO5,"")</f>
        <v/>
      </c>
      <c r="LX5" s="15" t="str">
        <f>IF(SUM(LV5:LW5)&gt;0,SUM(LV5:LW5),"")</f>
        <v/>
      </c>
      <c r="LY5" s="15" t="str">
        <f>IF(SUM(LP5:LS5)-LT5&gt;0,SUM(LP5:LS5)-LT5,"")</f>
        <v/>
      </c>
      <c r="LZ5" s="15" t="str">
        <f>IF(SUM(LX5,LY5)&gt;0,SUM(LX5,LY5),"")</f>
        <v/>
      </c>
    </row>
    <row r="6" spans="1:338">
      <c r="A6" s="6">
        <f>IF(AND(F6="P",H6="P"),SUMPRODUCT((F$4:F$15="P")*(H$4:H$15="P")*(E$4:E$15&gt;E6))+1,IF(H6="P",SUMPRODUCT((F$4:F$15="")*(H$4:H$15="P")*(E$4:E$15&gt;E6))+1+SUMPRODUCT((F$4:F$15="P")*(H$4:H$15="P")),""))</f>
        <v>3</v>
      </c>
      <c r="B6" s="9" t="s">
        <v>108</v>
      </c>
      <c r="C6" s="5" t="s">
        <v>5</v>
      </c>
      <c r="D6" s="31">
        <v>2000</v>
      </c>
      <c r="E6" s="16">
        <f>SUM(J6:R6)</f>
        <v>233.09000000000003</v>
      </c>
      <c r="F6" s="4" t="str">
        <f>IF(OR(AND($AJ6&gt;=$AK$18,NOT($AJ6="")),AND($BE6&gt;=$BF$18,NOT($BE6="")),AND($BZ6&gt;=$CA$18,NOT($BZ6=""))),"P","")</f>
        <v/>
      </c>
      <c r="G6" s="4" t="str">
        <f>IF(OR(AND($AJ6&gt;=$AK$19,NOT($AJ6="")),AND($BE6&gt;=$BF$19,NOT($BE6="")),AND($BZ6&gt;=$CA$19,NOT($BZ6=""))),"P","")</f>
        <v/>
      </c>
      <c r="H6" s="4" t="str">
        <f>IF(OR(AND($AM6&gt;=$AK$20,NOT($AM6="")),AND($BH6&gt;=$BF$20,NOT($BH6="")),AND($CC6&gt;=$CA$20,NOT($CC6=""))),"P","")</f>
        <v>P</v>
      </c>
      <c r="I6" t="str">
        <f>IF(AND(F6="P",OR(AND($AL6&gt;=$AK$23,NOT($AL6="")),AND($AN6&gt;=$AK$23,NOT($AN6="")),AND($BG6&gt;=$BF$23,NOT($BG6="")),AND($BI6&gt;=$BF$23,NOT($BI6="")),AND($CB6&gt;=$CA$23,NOT($CB6="")),AND($CD6&gt;=$CA$23,NOT($CD6="")))),"Merit",IF(AND(F6="P",OR(AND($AM6&gt;=$AK$22,NOT($AM6="")),AND($BH6&gt;=$BF$22,NOT($BH6="")),AND($CC6&gt;=$CA$22,NOT($CC6="")))),"Funding",IF(AND(F6="P",OR(AND($AM6&gt;=$AK$21,NOT($AM6="")),AND($BH6&gt;=$BF$21,NOT($BH6="")),AND($CC6&gt;=$CA$21,NOT($CC6="")))),"Worlds Team",IF(AND(F6="P",OR(AND($AM6&gt;=$AK$20,NOT($AM6="")),AND($BH6&gt;=$BF$20,NOT($BH6="")),AND($CC6&gt;=$CA$20,NOT($CC6="")))),"National Team",""))))</f>
        <v/>
      </c>
      <c r="J6" s="15">
        <f>MAX(AM6,BH6,CC6)</f>
        <v>92.365000000000009</v>
      </c>
      <c r="K6" s="15" t="str">
        <f>IF(J6=CC6,$BK$1,IF(J6=BH6,$AP$1,IF(J6=AM6,$U$1,"")))</f>
        <v>2018 Canada Cup</v>
      </c>
      <c r="L6" s="15">
        <f>IF($J6=$AM6,MAX(BF6,CA6),IF($J6=$BH6,MAX(AK6,CA6),MAX(AK6,BF6)))</f>
        <v>43.67</v>
      </c>
      <c r="M6" s="15" t="str">
        <f>IF(L6=CA6,$BK$1,IF(L6=BF6,$AP$1,IF(L6=AK6,$U$1,"")))</f>
        <v>2017 Nationals</v>
      </c>
      <c r="N6" s="15">
        <f>IF($J6=$AM6,MAX(BG6,CB6),IF($J6=$BH6,MAX(AL6,CB6),MAX(AL6,BG6)))</f>
        <v>47.424999999999997</v>
      </c>
      <c r="O6" s="15" t="str">
        <f>IF(N6=CB6,$BK$1,IF(N6=BG6,$AP$1,IF(N6=AL6,$U$1,"")))</f>
        <v>2017 Canada Cup</v>
      </c>
      <c r="P6" s="15">
        <f>MAX(AN6,BI6,CD6)</f>
        <v>49.63</v>
      </c>
      <c r="Q6" s="15" t="str">
        <f>IF(P6=CD6,$BK$1,IF(P6=BI6,$AP$1,IF(P6=AN6,$U$1,"")))</f>
        <v>2018 Canada Cup</v>
      </c>
      <c r="R6" s="15" t="str">
        <f>IF(MAX(CF6:CH6)&gt;0,MAX(CF6:CH6),"")</f>
        <v/>
      </c>
      <c r="S6" s="29" t="str">
        <f>IF(R6="","",IF(R6=CF6,"(Vol 1)",IF(R6=CG6,"(Vol 2)",IF(R6=CH6,"(Final)"))))</f>
        <v/>
      </c>
      <c r="T6" s="15" t="str">
        <f>IF(R6="","",IF(R6=CF6,IF(R6+L6=LV6,$LF$1,IF(R6+L6=LA6,$KK$1,IF(R6+L6=KF6,$JP$1,IF(R6+L6=JK6,$IU$1,IF(R6+L6=IP6,$HZ$1,IF(R6+L6=HU6,$HE$1,IF(R6+L6=GZ6,$GJ$1,IF(R6+L6=GE6,$FO$1,IF(R6+L6=FJ6,$ET$1,IF(R6+L6=EO6,$DY$1,IF(R6+L6=DT6,$DD$1,IF(R6+L6=CY6,$CI$1)))))))))))),IF(R6=CG6,IF(R6+N6=LW6,$LF$1,IF(R6+N6=LB6,$KK$1,IF(R6+N6=KG6,$JP$1,IF(R6+N6=JL6,$IU$1,IF(R6+N6=IQ6,$HZ$1,IF(R6+N6=HV6,$HE$1,IF(R6+N6=HA6,$GJ$1,IF(R6+N6=GF6,$FO$1,IF(R6+N6=FK6,$ET$1,IF(R6+N6=EP6,$DY$1,IF(R6+N6=DU6,$DD$1,IF(R6+N6=CZ6,$CI$1)))))))))))),IF(R6=CH6,IF(R6+P6=LY6,$LF$1,IF(R6+P6=LD6,$KK$1,IF(R6+P6=KI6,$JP$1,IF(R6+P6=JN6,$IU$1,IF(R6+P6=IS6,$HZ$1,IF(R6+P6=HX6,$HE$1,IF(R6+P6=HC6,$GJ$1,IF(R6+P6=GH6,$FO$1,IF(R6+P6=FM6,$ET$1,IF(R6+P6=ER6,$DY$1,IF(R6+P6=DW6,$DD$1,IF(R6+P6=DB6,$CI$1))))))))))))))))</f>
        <v/>
      </c>
      <c r="U6" s="45">
        <v>13.3</v>
      </c>
      <c r="V6" s="45">
        <v>9.4</v>
      </c>
      <c r="W6" s="45">
        <v>4.4000000000000004</v>
      </c>
      <c r="X6" s="45">
        <v>14.615</v>
      </c>
      <c r="Y6" s="45">
        <v>0</v>
      </c>
      <c r="Z6" s="45">
        <v>14.7</v>
      </c>
      <c r="AA6" s="45">
        <v>9.1999999999999993</v>
      </c>
      <c r="AB6" s="45">
        <v>9.1</v>
      </c>
      <c r="AC6" s="45">
        <v>14.425000000000001</v>
      </c>
      <c r="AD6" s="45">
        <v>0</v>
      </c>
      <c r="AE6" s="45">
        <v>13.8</v>
      </c>
      <c r="AF6" s="45">
        <v>8.1</v>
      </c>
      <c r="AG6" s="45">
        <v>7.9</v>
      </c>
      <c r="AH6" s="45">
        <v>13.015000000000001</v>
      </c>
      <c r="AI6" s="45">
        <v>0</v>
      </c>
      <c r="AJ6" s="12">
        <f>IF(SUM(AB6)&gt;0,SUM(AB6),"")</f>
        <v>9.1</v>
      </c>
      <c r="AK6" s="12">
        <f>IF(SUM(U6:X6)-Y6&gt;0,SUM(U6:X6)-Y6,"")</f>
        <v>41.715000000000003</v>
      </c>
      <c r="AL6" s="12">
        <f>IF(SUM(Z6:AC6)-AD6&gt;0,SUM(Z6:AC6)-AD6,"")</f>
        <v>47.424999999999997</v>
      </c>
      <c r="AM6" s="12">
        <f>IF(SUM(AK6:AL6)&gt;0,SUM(AK6:AL6),"")</f>
        <v>89.14</v>
      </c>
      <c r="AN6" s="12">
        <f>IF(SUM(AE6:AH6)-AI6&gt;0,SUM(AE6:AH6)-AI6,"")</f>
        <v>42.814999999999998</v>
      </c>
      <c r="AO6" s="12">
        <f>IF(SUM(AM6,AN6)&gt;0,SUM(AM6,AN6),"")</f>
        <v>131.95499999999998</v>
      </c>
      <c r="AP6" s="46">
        <v>15.5</v>
      </c>
      <c r="AQ6" s="46">
        <v>9.1999999999999993</v>
      </c>
      <c r="AR6" s="46">
        <v>4.4000000000000004</v>
      </c>
      <c r="AS6" s="46">
        <v>14.57</v>
      </c>
      <c r="AT6" s="46">
        <v>0</v>
      </c>
      <c r="AU6" s="46">
        <v>12.5</v>
      </c>
      <c r="AV6" s="46">
        <v>7.4</v>
      </c>
      <c r="AW6" s="46">
        <v>7.3</v>
      </c>
      <c r="AX6" s="46">
        <v>11.535</v>
      </c>
      <c r="AY6" s="46"/>
      <c r="AZ6" s="46"/>
      <c r="BA6" s="46"/>
      <c r="BB6" s="46"/>
      <c r="BC6" s="46"/>
      <c r="BD6" s="46"/>
      <c r="BE6" s="15">
        <f>IF(SUM(AW6)&gt;0,SUM(AW6),"")</f>
        <v>7.3</v>
      </c>
      <c r="BF6" s="15">
        <f>IF(SUM(AP6:AS6)-AT6&gt;0,SUM(AP6:AS6)-AT6,"")</f>
        <v>43.67</v>
      </c>
      <c r="BG6" s="15">
        <f>IF(SUM(AU6:AX6)-AY6&gt;0,SUM(AU6:AX6)-AY6,"")</f>
        <v>38.734999999999999</v>
      </c>
      <c r="BH6" s="15">
        <f>IF(SUM(BF6:BG6)&gt;0,SUM(BF6:BG6),"")</f>
        <v>82.405000000000001</v>
      </c>
      <c r="BI6" s="15" t="str">
        <f>IF(SUM(AZ6:BC6)-BD6&gt;0,SUM(AZ6:BC6)-BD6,"")</f>
        <v/>
      </c>
      <c r="BJ6" s="15">
        <f>IF(SUM(BH6,BI6)&gt;0,SUM(BH6,BI6),"")</f>
        <v>82.405000000000001</v>
      </c>
      <c r="BK6" s="45">
        <v>15.4</v>
      </c>
      <c r="BL6" s="45">
        <v>9.15</v>
      </c>
      <c r="BM6" s="45">
        <v>3.4</v>
      </c>
      <c r="BN6" s="45">
        <v>15.03</v>
      </c>
      <c r="BO6" s="45">
        <v>0</v>
      </c>
      <c r="BP6" s="45">
        <v>15.6</v>
      </c>
      <c r="BQ6" s="45">
        <v>9.3000000000000007</v>
      </c>
      <c r="BR6" s="45">
        <v>9.8000000000000007</v>
      </c>
      <c r="BS6" s="45">
        <v>14.685</v>
      </c>
      <c r="BT6" s="45">
        <v>0</v>
      </c>
      <c r="BU6" s="45">
        <v>16</v>
      </c>
      <c r="BV6" s="45">
        <v>9.4</v>
      </c>
      <c r="BW6" s="45">
        <v>9.8000000000000007</v>
      </c>
      <c r="BX6" s="45">
        <v>14.43</v>
      </c>
      <c r="BY6" s="45">
        <v>0</v>
      </c>
      <c r="BZ6" s="12">
        <f>IF(SUM(BR6)&gt;0,SUM(BR6),"")</f>
        <v>9.8000000000000007</v>
      </c>
      <c r="CA6" s="12">
        <f>IF(SUM(BK6:BN6)-BO6&gt;0,SUM(BK6:BN6)-BO6,"")</f>
        <v>42.98</v>
      </c>
      <c r="CB6" s="12">
        <f>IF(SUM(BP6:BS6)-BT6&gt;0,SUM(BP6:BS6)-BT6,"")</f>
        <v>49.385000000000005</v>
      </c>
      <c r="CC6" s="12">
        <f>IF(SUM(CA6:CB6)&gt;0,SUM(CA6:CB6),"")</f>
        <v>92.365000000000009</v>
      </c>
      <c r="CD6" s="12">
        <f>IF(SUM(BU6:BX6)-BY6&gt;0,SUM(BU6:BX6)-BY6,"")</f>
        <v>49.63</v>
      </c>
      <c r="CE6" s="12">
        <f>IF(SUM(CC6,CD6)&gt;0,SUM(CC6,CD6),"")</f>
        <v>141.995</v>
      </c>
      <c r="CF6" s="28" t="str">
        <f>IF(MAX(CY6,DT6,EO6,FJ6,GE6,GZ6,HU6,IP6,JK6,KF6,LA6,LV6)-L6&gt;0.001,MAX(CY6,DT6,EO6,FJ6,GE6,GZ6,HU6,IP6,JK6,KF6,LA6,LV6)-L6,"")</f>
        <v/>
      </c>
      <c r="CG6" s="28" t="str">
        <f>IF(MAX(CZ6,DU6,EP6,FK6,GF6,HA6,HV6,IQ6,JL6,KG6,LB6,LW6)-N6&gt;0.001,MAX(CZ6,DU6,EP6,FK6,GF6,HA6,HV6,IQ6,JL6,KG6,LB6,LW6)-N6,"")</f>
        <v/>
      </c>
      <c r="CH6" s="28" t="str">
        <f>IF(MAX(DB6,DW6,ER6,FM6,GH6,HC6,HX6,IS6,JN6,KI6,LD6,LY6)-P6&gt;0.001,MAX(DB6,DW6,ER6,FM6,GH6,HC6,HX6,IS6,JN6,KI6,LD6,LY6)-P6,"")</f>
        <v/>
      </c>
      <c r="CI6" s="45"/>
      <c r="CJ6" s="45"/>
      <c r="CK6" s="45"/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45"/>
      <c r="CW6" s="45"/>
      <c r="CX6" s="12" t="str">
        <f>IF(SUM(CP6)&gt;0,SUM(CP6),"")</f>
        <v/>
      </c>
      <c r="CY6" s="12" t="str">
        <f>IF(SUM(CI6:CL6)-CM6&gt;0,SUM(CI6:CL6)-CM6,"")</f>
        <v/>
      </c>
      <c r="CZ6" s="12" t="str">
        <f>IF(SUM(CN6:CQ6)-CR6&gt;0,SUM(CN6:CQ6)-CR6,"")</f>
        <v/>
      </c>
      <c r="DA6" s="12" t="str">
        <f>IF(SUM(CY6:CZ6)&gt;0,SUM(CY6:CZ6),"")</f>
        <v/>
      </c>
      <c r="DB6" s="12" t="str">
        <f>IF(SUM(CS6:CV6)-CW6&gt;0,SUM(CS6:CV6)-CW6,"")</f>
        <v/>
      </c>
      <c r="DC6" s="12" t="str">
        <f>IF(SUM(DA6,DB6)&gt;0,SUM(DA6,DB6),"")</f>
        <v/>
      </c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15" t="str">
        <f>IF(SUM(DK6)&gt;0,SUM(DK6),"")</f>
        <v/>
      </c>
      <c r="DT6" s="15" t="str">
        <f>IF(SUM(DD6:DG6)-DH6&gt;0,SUM(DD6:DG6)-DH6,"")</f>
        <v/>
      </c>
      <c r="DU6" s="15" t="str">
        <f>IF(SUM(DI6:DL6)-DM6&gt;0,SUM(DI6:DL6)-DM6,"")</f>
        <v/>
      </c>
      <c r="DV6" s="15" t="str">
        <f>IF(SUM(DT6:DU6)&gt;0,SUM(DT6:DU6),"")</f>
        <v/>
      </c>
      <c r="DW6" s="15" t="str">
        <f>IF(SUM(DN6:DQ6)-DR6&gt;0,SUM(DN6:DQ6)-DR6,"")</f>
        <v/>
      </c>
      <c r="DX6" s="15" t="str">
        <f>IF(SUM(DV6,DW6)&gt;0,SUM(DV6,DW6),"")</f>
        <v/>
      </c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45"/>
      <c r="EM6" s="45"/>
      <c r="EN6" s="12" t="str">
        <f>IF(SUM(EF6)&gt;0,SUM(EF6),"")</f>
        <v/>
      </c>
      <c r="EO6" s="12" t="str">
        <f>IF(SUM(DY6:EB6)-EC6&gt;0,SUM(DY6:EB6)-EC6,"")</f>
        <v/>
      </c>
      <c r="EP6" s="12" t="str">
        <f>IF(SUM(ED6:EG6)-EH6&gt;0,SUM(ED6:EG6)-EH6,"")</f>
        <v/>
      </c>
      <c r="EQ6" s="12" t="str">
        <f>IF(SUM(EO6:EP6)&gt;0,SUM(EO6:EP6),"")</f>
        <v/>
      </c>
      <c r="ER6" s="12" t="str">
        <f>IF(SUM(EI6:EL6)-EM6&gt;0,SUM(EI6:EL6)-EM6,"")</f>
        <v/>
      </c>
      <c r="ES6" s="12" t="str">
        <f>IF(SUM(EQ6,ER6)&gt;0,SUM(EQ6,ER6),"")</f>
        <v/>
      </c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46"/>
      <c r="FH6" s="46"/>
      <c r="FI6" s="15" t="str">
        <f>IF(SUM(FA6)&gt;0,SUM(FA6),"")</f>
        <v/>
      </c>
      <c r="FJ6" s="15" t="str">
        <f>IF(SUM(ET6:EW6)-EX6&gt;0,SUM(ET6:EW6)-EX6,"")</f>
        <v/>
      </c>
      <c r="FK6" s="15" t="str">
        <f>IF(SUM(EY6:FB6)-FC6&gt;0,SUM(EY6:FB6)-FC6,"")</f>
        <v/>
      </c>
      <c r="FL6" s="15" t="str">
        <f>IF(SUM(FJ6:FK6)&gt;0,SUM(FJ6:FK6),"")</f>
        <v/>
      </c>
      <c r="FM6" s="15" t="str">
        <f>IF(SUM(FD6:FG6)-FH6&gt;0,SUM(FD6:FG6)-FH6,"")</f>
        <v/>
      </c>
      <c r="FN6" s="15" t="str">
        <f>IF(SUM(FL6,FM6)&gt;0,SUM(FL6,FM6),"")</f>
        <v/>
      </c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45"/>
      <c r="GC6" s="45"/>
      <c r="GD6" s="12" t="str">
        <f>IF(SUM(FV6)&gt;0,SUM(FV6),"")</f>
        <v/>
      </c>
      <c r="GE6" s="12" t="str">
        <f>IF(SUM(FO6:FR6)-FS6&gt;0,SUM(FO6:FR6)-FS6,"")</f>
        <v/>
      </c>
      <c r="GF6" s="12" t="str">
        <f>IF(SUM(FT6:FW6)-FX6&gt;0,SUM(FT6:FW6)-FX6,"")</f>
        <v/>
      </c>
      <c r="GG6" s="12" t="str">
        <f>IF(SUM(GE6:GF6)&gt;0,SUM(GE6:GF6),"")</f>
        <v/>
      </c>
      <c r="GH6" s="12" t="str">
        <f>IF(SUM(FY6:GB6)-GC6&gt;0,SUM(FY6:GB6)-GC6,"")</f>
        <v/>
      </c>
      <c r="GI6" s="12" t="str">
        <f>IF(SUM(GG6,GH6)&gt;0,SUM(GG6,GH6),"")</f>
        <v/>
      </c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15" t="str">
        <f>IF(SUM(GQ6)&gt;0,SUM(GQ6),"")</f>
        <v/>
      </c>
      <c r="GZ6" s="15" t="str">
        <f>IF(SUM(GJ6:GM6)-GN6&gt;0,SUM(GJ6:GM6)-GN6,"")</f>
        <v/>
      </c>
      <c r="HA6" s="15" t="str">
        <f>IF(SUM(GO6:GR6)-GS6&gt;0,SUM(GO6:GR6)-GS6,"")</f>
        <v/>
      </c>
      <c r="HB6" s="15" t="str">
        <f>IF(SUM(GZ6:HA6)&gt;0,SUM(GZ6:HA6),"")</f>
        <v/>
      </c>
      <c r="HC6" s="15" t="str">
        <f>IF(SUM(GT6:GW6)-GX6&gt;0,SUM(GT6:GW6)-GX6,"")</f>
        <v/>
      </c>
      <c r="HD6" s="15" t="str">
        <f>IF(SUM(HB6,HC6)&gt;0,SUM(HB6,HC6),"")</f>
        <v/>
      </c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45"/>
      <c r="HS6" s="45"/>
      <c r="HT6" s="12" t="str">
        <f>IF(SUM(HL6)&gt;0,SUM(HL6),"")</f>
        <v/>
      </c>
      <c r="HU6" s="12" t="str">
        <f>IF(SUM(HE6:HH6)-HI6&gt;0,SUM(HE6:HH6)-HI6,"")</f>
        <v/>
      </c>
      <c r="HV6" s="12" t="str">
        <f>IF(SUM(HJ6:HM6)-HN6&gt;0,SUM(HJ6:HM6)-HN6,"")</f>
        <v/>
      </c>
      <c r="HW6" s="12" t="str">
        <f>IF(SUM(HU6:HV6)&gt;0,SUM(HU6:HV6),"")</f>
        <v/>
      </c>
      <c r="HX6" s="12" t="str">
        <f>IF(SUM(HO6:HR6)-HS6&gt;0,SUM(HO6:HR6)-HS6,"")</f>
        <v/>
      </c>
      <c r="HY6" s="12" t="str">
        <f>IF(SUM(HW6,HX6)&gt;0,SUM(HW6,HX6),"")</f>
        <v/>
      </c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15" t="str">
        <f>IF(SUM(IG6)&gt;0,SUM(IG6),"")</f>
        <v/>
      </c>
      <c r="IP6" s="15" t="str">
        <f>IF(SUM(HZ6:IC6)-ID6&gt;0,SUM(HZ6:IC6)-ID6,"")</f>
        <v/>
      </c>
      <c r="IQ6" s="15" t="str">
        <f>IF(SUM(IE6:IH6)-II6&gt;0,SUM(IE6:IH6)-II6,"")</f>
        <v/>
      </c>
      <c r="IR6" s="15" t="str">
        <f>IF(SUM(IP6:IQ6)&gt;0,SUM(IP6:IQ6),"")</f>
        <v/>
      </c>
      <c r="IS6" s="15" t="str">
        <f>IF(SUM(IJ6:IM6)-IN6&gt;0,SUM(IJ6:IM6)-IN6,"")</f>
        <v/>
      </c>
      <c r="IT6" s="15" t="str">
        <f>IF(SUM(IR6,IS6)&gt;0,SUM(IR6,IS6),"")</f>
        <v/>
      </c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45"/>
      <c r="JI6" s="45"/>
      <c r="JJ6" s="12" t="str">
        <f>IF(SUM(JB6)&gt;0,SUM(JB6),"")</f>
        <v/>
      </c>
      <c r="JK6" s="12" t="str">
        <f>IF(SUM(IU6:IX6)-IY6&gt;0,SUM(IU6:IX6)-IY6,"")</f>
        <v/>
      </c>
      <c r="JL6" s="12" t="str">
        <f>IF(SUM(IZ6:JC6)-JD6&gt;0,SUM(IZ6:JC6)-JD6,"")</f>
        <v/>
      </c>
      <c r="JM6" s="12" t="str">
        <f>IF(SUM(JK6:JL6)&gt;0,SUM(JK6:JL6),"")</f>
        <v/>
      </c>
      <c r="JN6" s="12" t="str">
        <f>IF(SUM(JE6:JH6)-JI6&gt;0,SUM(JE6:JH6)-JI6,"")</f>
        <v/>
      </c>
      <c r="JO6" s="12" t="str">
        <f>IF(SUM(JM6,JN6)&gt;0,SUM(JM6,JN6),"")</f>
        <v/>
      </c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46"/>
      <c r="KD6" s="46"/>
      <c r="KE6" s="15" t="str">
        <f>IF(SUM(JW6)&gt;0,SUM(JW6),"")</f>
        <v/>
      </c>
      <c r="KF6" s="15" t="str">
        <f>IF(SUM(JP6:JS6)-JT6&gt;0,SUM(JP6:JS6)-JT6,"")</f>
        <v/>
      </c>
      <c r="KG6" s="15" t="str">
        <f>IF(SUM(JU6:JX6)-JY6&gt;0,SUM(JU6:JX6)-JY6,"")</f>
        <v/>
      </c>
      <c r="KH6" s="15" t="str">
        <f>IF(SUM(KF6:KG6)&gt;0,SUM(KF6:KG6),"")</f>
        <v/>
      </c>
      <c r="KI6" s="15" t="str">
        <f>IF(SUM(JZ6:KC6)-KD6&gt;0,SUM(JZ6:KC6)-KD6,"")</f>
        <v/>
      </c>
      <c r="KJ6" s="15" t="str">
        <f>IF(SUM(KH6,KI6)&gt;0,SUM(KH6,KI6),"")</f>
        <v/>
      </c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45"/>
      <c r="KY6" s="45"/>
      <c r="KZ6" s="12" t="str">
        <f>IF(SUM(KR6)&gt;0,SUM(KR6),"")</f>
        <v/>
      </c>
      <c r="LA6" s="12" t="str">
        <f>IF(SUM(KK6:KN6)-KO6&gt;0,SUM(KK6:KN6)-KO6,"")</f>
        <v/>
      </c>
      <c r="LB6" s="12" t="str">
        <f>IF(SUM(KP6:KS6)-KT6&gt;0,SUM(KP6:KS6)-KT6,"")</f>
        <v/>
      </c>
      <c r="LC6" s="12" t="str">
        <f>IF(SUM(LA6:LB6)&gt;0,SUM(LA6:LB6),"")</f>
        <v/>
      </c>
      <c r="LD6" s="12" t="str">
        <f>IF(SUM(KU6:KX6)-KY6&gt;0,SUM(KU6:KX6)-KY6,"")</f>
        <v/>
      </c>
      <c r="LE6" s="12" t="str">
        <f>IF(SUM(LC6,LD6)&gt;0,SUM(LC6,LD6),"")</f>
        <v/>
      </c>
      <c r="LF6" s="46"/>
      <c r="LG6" s="46"/>
      <c r="LH6" s="46"/>
      <c r="LI6" s="46"/>
      <c r="LJ6" s="46"/>
      <c r="LK6" s="46"/>
      <c r="LL6" s="46"/>
      <c r="LM6" s="46"/>
      <c r="LN6" s="46"/>
      <c r="LO6" s="46"/>
      <c r="LP6" s="46"/>
      <c r="LQ6" s="46"/>
      <c r="LR6" s="46"/>
      <c r="LS6" s="46"/>
      <c r="LT6" s="46"/>
      <c r="LU6" s="15" t="str">
        <f>IF(SUM(LM6)&gt;0,SUM(LM6),"")</f>
        <v/>
      </c>
      <c r="LV6" s="15" t="str">
        <f>IF(SUM(LF6:LI6)-LJ6&gt;0,SUM(LF6:LI6)-LJ6,"")</f>
        <v/>
      </c>
      <c r="LW6" s="15" t="str">
        <f>IF(SUM(LK6:LN6)-LO6&gt;0,SUM(LK6:LN6)-LO6,"")</f>
        <v/>
      </c>
      <c r="LX6" s="15" t="str">
        <f>IF(SUM(LV6:LW6)&gt;0,SUM(LV6:LW6),"")</f>
        <v/>
      </c>
      <c r="LY6" s="15" t="str">
        <f>IF(SUM(LP6:LS6)-LT6&gt;0,SUM(LP6:LS6)-LT6,"")</f>
        <v/>
      </c>
      <c r="LZ6" s="15" t="str">
        <f>IF(SUM(LX6,LY6)&gt;0,SUM(LX6,LY6),"")</f>
        <v/>
      </c>
    </row>
    <row r="7" spans="1:338">
      <c r="A7" s="6" t="str">
        <f>IF(AND(F7="P",H7="P"),SUMPRODUCT((F$4:F$15="P")*(H$4:H$15="P")*(E$4:E$15&gt;E7))+1,IF(H7="P",SUMPRODUCT((F$4:F$15="")*(H$4:H$15="P")*(E$4:E$15&gt;E7))+1+SUMPRODUCT((F$4:F$15="P")*(H$4:H$15="P")),""))</f>
        <v/>
      </c>
      <c r="B7" s="9" t="s">
        <v>111</v>
      </c>
      <c r="C7" s="5" t="s">
        <v>6</v>
      </c>
      <c r="D7" s="31">
        <v>2002</v>
      </c>
      <c r="E7" s="16">
        <f>SUM(J7:R7)</f>
        <v>232.50000000000003</v>
      </c>
      <c r="F7" s="4" t="str">
        <f>IF(OR(AND($AJ7&gt;=$AK$18,NOT($AJ7="")),AND($BE7&gt;=$BF$18,NOT($BE7="")),AND($BZ7&gt;=$CA$18,NOT($BZ7=""))),"P","")</f>
        <v/>
      </c>
      <c r="G7" s="4" t="str">
        <f>IF(OR(AND($AJ7&gt;=$AK$19,NOT($AJ7="")),AND($BE7&gt;=$BF$19,NOT($BE7="")),AND($BZ7&gt;=$CA$19,NOT($BZ7=""))),"P","")</f>
        <v/>
      </c>
      <c r="H7" s="4" t="str">
        <f>IF(OR(AND($AM7&gt;=$AK$20,NOT($AM7="")),AND($BH7&gt;=$BF$20,NOT($BH7="")),AND($CC7&gt;=$CA$20,NOT($CC7=""))),"P","")</f>
        <v/>
      </c>
      <c r="I7" t="str">
        <f>IF(AND(F7="P",OR(AND($AL7&gt;=$AK$23,NOT($AL7="")),AND($AN7&gt;=$AK$23,NOT($AN7="")),AND($BG7&gt;=$BF$23,NOT($BG7="")),AND($BI7&gt;=$BF$23,NOT($BI7="")),AND($CB7&gt;=$CA$23,NOT($CB7="")),AND($CD7&gt;=$CA$23,NOT($CD7="")))),"Merit",IF(AND(F7="P",OR(AND($AM7&gt;=$AK$22,NOT($AM7="")),AND($BH7&gt;=$BF$22,NOT($BH7="")),AND($CC7&gt;=$CA$22,NOT($CC7="")))),"Funding",IF(AND(F7="P",OR(AND($AM7&gt;=$AK$21,NOT($AM7="")),AND($BH7&gt;=$BF$21,NOT($BH7="")),AND($CC7&gt;=$CA$21,NOT($CC7="")))),"Worlds Team",IF(AND(F7="P",OR(AND($AM7&gt;=$AK$20,NOT($AM7="")),AND($BH7&gt;=$BF$20,NOT($BH7="")),AND($CC7&gt;=$CA$20,NOT($CC7="")))),"National Team",""))))</f>
        <v/>
      </c>
      <c r="J7" s="15">
        <f>MAX(AM7,BH7,CC7)</f>
        <v>91.990000000000009</v>
      </c>
      <c r="K7" s="15" t="str">
        <f>IF(J7=CC7,$BK$1,IF(J7=BH7,$AP$1,IF(J7=AM7,$U$1,"")))</f>
        <v>2017 Canada Cup</v>
      </c>
      <c r="L7" s="15">
        <f>IF($J7=$AM7,MAX(BF7,CA7),IF($J7=$BH7,MAX(AK7,CA7),MAX(AK7,BF7)))</f>
        <v>43.685000000000002</v>
      </c>
      <c r="M7" s="15" t="str">
        <f>IF(L7=CA7,$BK$1,IF(L7=BF7,$AP$1,IF(L7=AK7,$U$1,"")))</f>
        <v>2017 Nationals</v>
      </c>
      <c r="N7" s="15">
        <f>IF($J7=$AM7,MAX(BG7,CB7),IF($J7=$BH7,MAX(AL7,CB7),MAX(AL7,BG7)))</f>
        <v>48.02</v>
      </c>
      <c r="O7" s="15" t="str">
        <f>IF(N7=CB7,$BK$1,IF(N7=BG7,$AP$1,IF(N7=AL7,$U$1,"")))</f>
        <v>2017 Nationals</v>
      </c>
      <c r="P7" s="15">
        <f>MAX(AN7,BI7,CD7)</f>
        <v>48.805</v>
      </c>
      <c r="Q7" s="15" t="str">
        <f>IF(P7=CD7,$BK$1,IF(P7=BI7,$AP$1,IF(P7=AN7,$U$1,"")))</f>
        <v>2018 Canada Cup</v>
      </c>
      <c r="R7" s="15" t="str">
        <f>IF(MAX(CF7:CH7)&gt;0,MAX(CF7:CH7),"")</f>
        <v/>
      </c>
      <c r="S7" s="29" t="str">
        <f>IF(R7="","",IF(R7=CF7,"(Vol 1)",IF(R7=CG7,"(Vol 2)",IF(R7=CH7,"(Final)"))))</f>
        <v/>
      </c>
      <c r="T7" s="15" t="str">
        <f>IF(R7="","",IF(R7=CF7,IF(R7+L7=LV7,$LF$1,IF(R7+L7=LA7,$KK$1,IF(R7+L7=KF7,$JP$1,IF(R7+L7=JK7,$IU$1,IF(R7+L7=IP7,$HZ$1,IF(R7+L7=HU7,$HE$1,IF(R7+L7=GZ7,$GJ$1,IF(R7+L7=GE7,$FO$1,IF(R7+L7=FJ7,$ET$1,IF(R7+L7=EO7,$DY$1,IF(R7+L7=DT7,$DD$1,IF(R7+L7=CY7,$CI$1)))))))))))),IF(R7=CG7,IF(R7+N7=LW7,$LF$1,IF(R7+N7=LB7,$KK$1,IF(R7+N7=KG7,$JP$1,IF(R7+N7=JL7,$IU$1,IF(R7+N7=IQ7,$HZ$1,IF(R7+N7=HV7,$HE$1,IF(R7+N7=HA7,$GJ$1,IF(R7+N7=GF7,$FO$1,IF(R7+N7=FK7,$ET$1,IF(R7+N7=EP7,$DY$1,IF(R7+N7=DU7,$DD$1,IF(R7+N7=CZ7,$CI$1)))))))))))),IF(R7=CH7,IF(R7+P7=LY7,$LF$1,IF(R7+P7=LD7,$KK$1,IF(R7+P7=KI7,$JP$1,IF(R7+P7=JN7,$IU$1,IF(R7+P7=IS7,$HZ$1,IF(R7+P7=HX7,$HE$1,IF(R7+P7=HC7,$GJ$1,IF(R7+P7=GH7,$FO$1,IF(R7+P7=FM7,$ET$1,IF(R7+P7=ER7,$DY$1,IF(R7+P7=DW7,$DD$1,IF(R7+P7=DB7,$CI$1))))))))))))))))</f>
        <v/>
      </c>
      <c r="U7" s="45">
        <v>17</v>
      </c>
      <c r="V7" s="45">
        <v>8.8000000000000007</v>
      </c>
      <c r="W7" s="45">
        <v>3.4</v>
      </c>
      <c r="X7" s="45">
        <v>14.53</v>
      </c>
      <c r="Y7" s="45">
        <v>0</v>
      </c>
      <c r="Z7" s="45">
        <v>15.7</v>
      </c>
      <c r="AA7" s="45">
        <v>9.4</v>
      </c>
      <c r="AB7" s="45">
        <v>9.3000000000000007</v>
      </c>
      <c r="AC7" s="45">
        <v>13.86</v>
      </c>
      <c r="AD7" s="45">
        <v>0</v>
      </c>
      <c r="AE7" s="45">
        <v>15.9</v>
      </c>
      <c r="AF7" s="45">
        <v>8.6999999999999993</v>
      </c>
      <c r="AG7" s="45">
        <v>9.3000000000000007</v>
      </c>
      <c r="AH7" s="45">
        <v>13.744999999999999</v>
      </c>
      <c r="AI7" s="45">
        <v>0</v>
      </c>
      <c r="AJ7" s="12">
        <f>IF(SUM(AB7)&gt;0,SUM(AB7),"")</f>
        <v>9.3000000000000007</v>
      </c>
      <c r="AK7" s="12">
        <f>IF(SUM(U7:X7)-Y7&gt;0,SUM(U7:X7)-Y7,"")</f>
        <v>43.73</v>
      </c>
      <c r="AL7" s="12">
        <f>IF(SUM(Z7:AC7)-AD7&gt;0,SUM(Z7:AC7)-AD7,"")</f>
        <v>48.260000000000005</v>
      </c>
      <c r="AM7" s="12">
        <f>IF(SUM(AK7:AL7)&gt;0,SUM(AK7:AL7),"")</f>
        <v>91.990000000000009</v>
      </c>
      <c r="AN7" s="12">
        <f>IF(SUM(AE7:AH7)-AI7&gt;0,SUM(AE7:AH7)-AI7,"")</f>
        <v>47.645000000000003</v>
      </c>
      <c r="AO7" s="12">
        <f>IF(SUM(AM7,AN7)&gt;0,SUM(AM7,AN7),"")</f>
        <v>139.63500000000002</v>
      </c>
      <c r="AP7" s="46">
        <v>16.600000000000001</v>
      </c>
      <c r="AQ7" s="46">
        <v>9.1</v>
      </c>
      <c r="AR7" s="46">
        <v>3.4</v>
      </c>
      <c r="AS7" s="46">
        <v>14.585000000000001</v>
      </c>
      <c r="AT7" s="46">
        <v>0</v>
      </c>
      <c r="AU7" s="46">
        <v>14.9</v>
      </c>
      <c r="AV7" s="46">
        <v>9.3000000000000007</v>
      </c>
      <c r="AW7" s="46">
        <v>9.6999999999999993</v>
      </c>
      <c r="AX7" s="46">
        <v>14.12</v>
      </c>
      <c r="AY7" s="46">
        <v>0</v>
      </c>
      <c r="AZ7" s="46">
        <v>15</v>
      </c>
      <c r="BA7" s="46">
        <v>8.8000000000000007</v>
      </c>
      <c r="BB7" s="46">
        <v>9.6999999999999993</v>
      </c>
      <c r="BC7" s="46">
        <v>13.85</v>
      </c>
      <c r="BD7" s="46">
        <v>0</v>
      </c>
      <c r="BE7" s="15">
        <f>IF(SUM(AW7)&gt;0,SUM(AW7),"")</f>
        <v>9.6999999999999993</v>
      </c>
      <c r="BF7" s="15">
        <f>IF(SUM(AP7:AS7)-AT7&gt;0,SUM(AP7:AS7)-AT7,"")</f>
        <v>43.685000000000002</v>
      </c>
      <c r="BG7" s="15">
        <f>IF(SUM(AU7:AX7)-AY7&gt;0,SUM(AU7:AX7)-AY7,"")</f>
        <v>48.02</v>
      </c>
      <c r="BH7" s="15">
        <f>IF(SUM(BF7:BG7)&gt;0,SUM(BF7:BG7),"")</f>
        <v>91.705000000000013</v>
      </c>
      <c r="BI7" s="15">
        <f>IF(SUM(AZ7:BC7)-BD7&gt;0,SUM(AZ7:BC7)-BD7,"")</f>
        <v>47.35</v>
      </c>
      <c r="BJ7" s="15">
        <f>IF(SUM(BH7,BI7)&gt;0,SUM(BH7,BI7),"")</f>
        <v>139.05500000000001</v>
      </c>
      <c r="BK7" s="45">
        <v>16.3</v>
      </c>
      <c r="BL7" s="45">
        <v>8.8000000000000007</v>
      </c>
      <c r="BM7" s="45">
        <v>3.2</v>
      </c>
      <c r="BN7" s="45">
        <v>14.51</v>
      </c>
      <c r="BO7" s="45">
        <v>0</v>
      </c>
      <c r="BP7" s="45">
        <v>14.1</v>
      </c>
      <c r="BQ7" s="45">
        <v>8.6999999999999993</v>
      </c>
      <c r="BR7" s="45">
        <v>10.4</v>
      </c>
      <c r="BS7" s="45">
        <v>13.88</v>
      </c>
      <c r="BT7" s="45">
        <v>0</v>
      </c>
      <c r="BU7" s="45">
        <v>15.1</v>
      </c>
      <c r="BV7" s="45">
        <v>9.3000000000000007</v>
      </c>
      <c r="BW7" s="45">
        <v>10.4</v>
      </c>
      <c r="BX7" s="45">
        <v>14.005000000000001</v>
      </c>
      <c r="BY7" s="45">
        <v>0</v>
      </c>
      <c r="BZ7" s="12">
        <f>IF(SUM(BR7)&gt;0,SUM(BR7),"")</f>
        <v>10.4</v>
      </c>
      <c r="CA7" s="12">
        <f>IF(SUM(BK7:BN7)-BO7&gt;0,SUM(BK7:BN7)-BO7,"")</f>
        <v>42.81</v>
      </c>
      <c r="CB7" s="12">
        <f>IF(SUM(BP7:BS7)-BT7&gt;0,SUM(BP7:BS7)-BT7,"")</f>
        <v>47.08</v>
      </c>
      <c r="CC7" s="12">
        <f>IF(SUM(CA7:CB7)&gt;0,SUM(CA7:CB7),"")</f>
        <v>89.89</v>
      </c>
      <c r="CD7" s="12">
        <f>IF(SUM(BU7:BX7)-BY7&gt;0,SUM(BU7:BX7)-BY7,"")</f>
        <v>48.805</v>
      </c>
      <c r="CE7" s="12">
        <f>IF(SUM(CC7,CD7)&gt;0,SUM(CC7,CD7),"")</f>
        <v>138.69499999999999</v>
      </c>
      <c r="CF7" s="28" t="str">
        <f>IF(MAX(CY7,DT7,EO7,FJ7,GE7,GZ7,HU7,IP7,JK7,KF7,LA7,LV7)-L7&gt;0.001,MAX(CY7,DT7,EO7,FJ7,GE7,GZ7,HU7,IP7,JK7,KF7,LA7,LV7)-L7,"")</f>
        <v/>
      </c>
      <c r="CG7" s="28" t="str">
        <f>IF(MAX(CZ7,DU7,EP7,FK7,GF7,HA7,HV7,IQ7,JL7,KG7,LB7,LW7)-N7&gt;0.001,MAX(CZ7,DU7,EP7,FK7,GF7,HA7,HV7,IQ7,JL7,KG7,LB7,LW7)-N7,"")</f>
        <v/>
      </c>
      <c r="CH7" s="28" t="str">
        <f>IF(MAX(DB7,DW7,ER7,FM7,GH7,HC7,HX7,IS7,JN7,KI7,LD7,LY7)-P7&gt;0.001,MAX(DB7,DW7,ER7,FM7,GH7,HC7,HX7,IS7,JN7,KI7,LD7,LY7)-P7,"")</f>
        <v/>
      </c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45"/>
      <c r="CW7" s="45"/>
      <c r="CX7" s="12" t="str">
        <f>IF(SUM(CP7)&gt;0,SUM(CP7),"")</f>
        <v/>
      </c>
      <c r="CY7" s="12" t="str">
        <f>IF(SUM(CI7:CL7)-CM7&gt;0,SUM(CI7:CL7)-CM7,"")</f>
        <v/>
      </c>
      <c r="CZ7" s="12" t="str">
        <f>IF(SUM(CN7:CQ7)-CR7&gt;0,SUM(CN7:CQ7)-CR7,"")</f>
        <v/>
      </c>
      <c r="DA7" s="12" t="str">
        <f>IF(SUM(CY7:CZ7)&gt;0,SUM(CY7:CZ7),"")</f>
        <v/>
      </c>
      <c r="DB7" s="12" t="str">
        <f>IF(SUM(CS7:CV7)-CW7&gt;0,SUM(CS7:CV7)-CW7,"")</f>
        <v/>
      </c>
      <c r="DC7" s="12" t="str">
        <f>IF(SUM(DA7,DB7)&gt;0,SUM(DA7,DB7),"")</f>
        <v/>
      </c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15" t="str">
        <f>IF(SUM(DK7)&gt;0,SUM(DK7),"")</f>
        <v/>
      </c>
      <c r="DT7" s="15" t="str">
        <f>IF(SUM(DD7:DG7)-DH7&gt;0,SUM(DD7:DG7)-DH7,"")</f>
        <v/>
      </c>
      <c r="DU7" s="15" t="str">
        <f>IF(SUM(DI7:DL7)-DM7&gt;0,SUM(DI7:DL7)-DM7,"")</f>
        <v/>
      </c>
      <c r="DV7" s="15" t="str">
        <f>IF(SUM(DT7:DU7)&gt;0,SUM(DT7:DU7),"")</f>
        <v/>
      </c>
      <c r="DW7" s="15" t="str">
        <f>IF(SUM(DN7:DQ7)-DR7&gt;0,SUM(DN7:DQ7)-DR7,"")</f>
        <v/>
      </c>
      <c r="DX7" s="15" t="str">
        <f>IF(SUM(DV7,DW7)&gt;0,SUM(DV7,DW7),"")</f>
        <v/>
      </c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45"/>
      <c r="EM7" s="45"/>
      <c r="EN7" s="12" t="str">
        <f>IF(SUM(EF7)&gt;0,SUM(EF7),"")</f>
        <v/>
      </c>
      <c r="EO7" s="12" t="str">
        <f>IF(SUM(DY7:EB7)-EC7&gt;0,SUM(DY7:EB7)-EC7,"")</f>
        <v/>
      </c>
      <c r="EP7" s="12" t="str">
        <f>IF(SUM(ED7:EG7)-EH7&gt;0,SUM(ED7:EG7)-EH7,"")</f>
        <v/>
      </c>
      <c r="EQ7" s="12" t="str">
        <f>IF(SUM(EO7:EP7)&gt;0,SUM(EO7:EP7),"")</f>
        <v/>
      </c>
      <c r="ER7" s="12" t="str">
        <f>IF(SUM(EI7:EL7)-EM7&gt;0,SUM(EI7:EL7)-EM7,"")</f>
        <v/>
      </c>
      <c r="ES7" s="12" t="str">
        <f>IF(SUM(EQ7,ER7)&gt;0,SUM(EQ7,ER7),"")</f>
        <v/>
      </c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15" t="str">
        <f>IF(SUM(FA7)&gt;0,SUM(FA7),"")</f>
        <v/>
      </c>
      <c r="FJ7" s="15" t="str">
        <f>IF(SUM(ET7:EW7)-EX7&gt;0,SUM(ET7:EW7)-EX7,"")</f>
        <v/>
      </c>
      <c r="FK7" s="15" t="str">
        <f>IF(SUM(EY7:FB7)-FC7&gt;0,SUM(EY7:FB7)-FC7,"")</f>
        <v/>
      </c>
      <c r="FL7" s="15" t="str">
        <f>IF(SUM(FJ7:FK7)&gt;0,SUM(FJ7:FK7),"")</f>
        <v/>
      </c>
      <c r="FM7" s="15" t="str">
        <f>IF(SUM(FD7:FG7)-FH7&gt;0,SUM(FD7:FG7)-FH7,"")</f>
        <v/>
      </c>
      <c r="FN7" s="15" t="str">
        <f>IF(SUM(FL7,FM7)&gt;0,SUM(FL7,FM7),"")</f>
        <v/>
      </c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45"/>
      <c r="GC7" s="45"/>
      <c r="GD7" s="12" t="str">
        <f>IF(SUM(FV7)&gt;0,SUM(FV7),"")</f>
        <v/>
      </c>
      <c r="GE7" s="12" t="str">
        <f>IF(SUM(FO7:FR7)-FS7&gt;0,SUM(FO7:FR7)-FS7,"")</f>
        <v/>
      </c>
      <c r="GF7" s="12" t="str">
        <f>IF(SUM(FT7:FW7)-FX7&gt;0,SUM(FT7:FW7)-FX7,"")</f>
        <v/>
      </c>
      <c r="GG7" s="12" t="str">
        <f>IF(SUM(GE7:GF7)&gt;0,SUM(GE7:GF7),"")</f>
        <v/>
      </c>
      <c r="GH7" s="12" t="str">
        <f>IF(SUM(FY7:GB7)-GC7&gt;0,SUM(FY7:GB7)-GC7,"")</f>
        <v/>
      </c>
      <c r="GI7" s="12" t="str">
        <f>IF(SUM(GG7,GH7)&gt;0,SUM(GG7,GH7),"")</f>
        <v/>
      </c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15" t="str">
        <f>IF(SUM(GQ7)&gt;0,SUM(GQ7),"")</f>
        <v/>
      </c>
      <c r="GZ7" s="15" t="str">
        <f>IF(SUM(GJ7:GM7)-GN7&gt;0,SUM(GJ7:GM7)-GN7,"")</f>
        <v/>
      </c>
      <c r="HA7" s="15" t="str">
        <f>IF(SUM(GO7:GR7)-GS7&gt;0,SUM(GO7:GR7)-GS7,"")</f>
        <v/>
      </c>
      <c r="HB7" s="15" t="str">
        <f>IF(SUM(GZ7:HA7)&gt;0,SUM(GZ7:HA7),"")</f>
        <v/>
      </c>
      <c r="HC7" s="15" t="str">
        <f>IF(SUM(GT7:GW7)-GX7&gt;0,SUM(GT7:GW7)-GX7,"")</f>
        <v/>
      </c>
      <c r="HD7" s="15" t="str">
        <f>IF(SUM(HB7,HC7)&gt;0,SUM(HB7,HC7),"")</f>
        <v/>
      </c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45"/>
      <c r="HS7" s="45"/>
      <c r="HT7" s="12" t="str">
        <f>IF(SUM(HL7)&gt;0,SUM(HL7),"")</f>
        <v/>
      </c>
      <c r="HU7" s="12" t="str">
        <f>IF(SUM(HE7:HH7)-HI7&gt;0,SUM(HE7:HH7)-HI7,"")</f>
        <v/>
      </c>
      <c r="HV7" s="12" t="str">
        <f>IF(SUM(HJ7:HM7)-HN7&gt;0,SUM(HJ7:HM7)-HN7,"")</f>
        <v/>
      </c>
      <c r="HW7" s="12" t="str">
        <f>IF(SUM(HU7:HV7)&gt;0,SUM(HU7:HV7),"")</f>
        <v/>
      </c>
      <c r="HX7" s="12" t="str">
        <f>IF(SUM(HO7:HR7)-HS7&gt;0,SUM(HO7:HR7)-HS7,"")</f>
        <v/>
      </c>
      <c r="HY7" s="12" t="str">
        <f>IF(SUM(HW7,HX7)&gt;0,SUM(HW7,HX7),"")</f>
        <v/>
      </c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15" t="str">
        <f>IF(SUM(IG7)&gt;0,SUM(IG7),"")</f>
        <v/>
      </c>
      <c r="IP7" s="15" t="str">
        <f>IF(SUM(HZ7:IC7)-ID7&gt;0,SUM(HZ7:IC7)-ID7,"")</f>
        <v/>
      </c>
      <c r="IQ7" s="15" t="str">
        <f>IF(SUM(IE7:IH7)-II7&gt;0,SUM(IE7:IH7)-II7,"")</f>
        <v/>
      </c>
      <c r="IR7" s="15" t="str">
        <f>IF(SUM(IP7:IQ7)&gt;0,SUM(IP7:IQ7),"")</f>
        <v/>
      </c>
      <c r="IS7" s="15" t="str">
        <f>IF(SUM(IJ7:IM7)-IN7&gt;0,SUM(IJ7:IM7)-IN7,"")</f>
        <v/>
      </c>
      <c r="IT7" s="15" t="str">
        <f>IF(SUM(IR7,IS7)&gt;0,SUM(IR7,IS7),"")</f>
        <v/>
      </c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45"/>
      <c r="JI7" s="45"/>
      <c r="JJ7" s="12" t="str">
        <f>IF(SUM(JB7)&gt;0,SUM(JB7),"")</f>
        <v/>
      </c>
      <c r="JK7" s="12" t="str">
        <f>IF(SUM(IU7:IX7)-IY7&gt;0,SUM(IU7:IX7)-IY7,"")</f>
        <v/>
      </c>
      <c r="JL7" s="12" t="str">
        <f>IF(SUM(IZ7:JC7)-JD7&gt;0,SUM(IZ7:JC7)-JD7,"")</f>
        <v/>
      </c>
      <c r="JM7" s="12" t="str">
        <f>IF(SUM(JK7:JL7)&gt;0,SUM(JK7:JL7),"")</f>
        <v/>
      </c>
      <c r="JN7" s="12" t="str">
        <f>IF(SUM(JE7:JH7)-JI7&gt;0,SUM(JE7:JH7)-JI7,"")</f>
        <v/>
      </c>
      <c r="JO7" s="12" t="str">
        <f>IF(SUM(JM7,JN7)&gt;0,SUM(JM7,JN7),"")</f>
        <v/>
      </c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46"/>
      <c r="KD7" s="46"/>
      <c r="KE7" s="15" t="str">
        <f>IF(SUM(JW7)&gt;0,SUM(JW7),"")</f>
        <v/>
      </c>
      <c r="KF7" s="15" t="str">
        <f>IF(SUM(JP7:JS7)-JT7&gt;0,SUM(JP7:JS7)-JT7,"")</f>
        <v/>
      </c>
      <c r="KG7" s="15" t="str">
        <f>IF(SUM(JU7:JX7)-JY7&gt;0,SUM(JU7:JX7)-JY7,"")</f>
        <v/>
      </c>
      <c r="KH7" s="15" t="str">
        <f>IF(SUM(KF7:KG7)&gt;0,SUM(KF7:KG7),"")</f>
        <v/>
      </c>
      <c r="KI7" s="15" t="str">
        <f>IF(SUM(JZ7:KC7)-KD7&gt;0,SUM(JZ7:KC7)-KD7,"")</f>
        <v/>
      </c>
      <c r="KJ7" s="15" t="str">
        <f>IF(SUM(KH7,KI7)&gt;0,SUM(KH7,KI7),"")</f>
        <v/>
      </c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45"/>
      <c r="KY7" s="45"/>
      <c r="KZ7" s="12" t="str">
        <f>IF(SUM(KR7)&gt;0,SUM(KR7),"")</f>
        <v/>
      </c>
      <c r="LA7" s="12" t="str">
        <f>IF(SUM(KK7:KN7)-KO7&gt;0,SUM(KK7:KN7)-KO7,"")</f>
        <v/>
      </c>
      <c r="LB7" s="12" t="str">
        <f>IF(SUM(KP7:KS7)-KT7&gt;0,SUM(KP7:KS7)-KT7,"")</f>
        <v/>
      </c>
      <c r="LC7" s="12" t="str">
        <f>IF(SUM(LA7:LB7)&gt;0,SUM(LA7:LB7),"")</f>
        <v/>
      </c>
      <c r="LD7" s="12" t="str">
        <f>IF(SUM(KU7:KX7)-KY7&gt;0,SUM(KU7:KX7)-KY7,"")</f>
        <v/>
      </c>
      <c r="LE7" s="12" t="str">
        <f>IF(SUM(LC7,LD7)&gt;0,SUM(LC7,LD7),"")</f>
        <v/>
      </c>
      <c r="LF7" s="46"/>
      <c r="LG7" s="46"/>
      <c r="LH7" s="46"/>
      <c r="LI7" s="46"/>
      <c r="LJ7" s="46"/>
      <c r="LK7" s="46"/>
      <c r="LL7" s="46"/>
      <c r="LM7" s="46"/>
      <c r="LN7" s="46"/>
      <c r="LO7" s="46"/>
      <c r="LP7" s="46"/>
      <c r="LQ7" s="46"/>
      <c r="LR7" s="46"/>
      <c r="LS7" s="46"/>
      <c r="LT7" s="46"/>
      <c r="LU7" s="15" t="str">
        <f>IF(SUM(LM7)&gt;0,SUM(LM7),"")</f>
        <v/>
      </c>
      <c r="LV7" s="15" t="str">
        <f>IF(SUM(LF7:LI7)-LJ7&gt;0,SUM(LF7:LI7)-LJ7,"")</f>
        <v/>
      </c>
      <c r="LW7" s="15" t="str">
        <f>IF(SUM(LK7:LN7)-LO7&gt;0,SUM(LK7:LN7)-LO7,"")</f>
        <v/>
      </c>
      <c r="LX7" s="15" t="str">
        <f>IF(SUM(LV7:LW7)&gt;0,SUM(LV7:LW7),"")</f>
        <v/>
      </c>
      <c r="LY7" s="15" t="str">
        <f>IF(SUM(LP7:LS7)-LT7&gt;0,SUM(LP7:LS7)-LT7,"")</f>
        <v/>
      </c>
      <c r="LZ7" s="15" t="str">
        <f>IF(SUM(LX7,LY7)&gt;0,SUM(LX7,LY7),"")</f>
        <v/>
      </c>
    </row>
    <row r="8" spans="1:338">
      <c r="A8" s="6">
        <f>IF(AND(F8="P",H8="P"),SUMPRODUCT((F$4:F$15="P")*(H$4:H$15="P")*(E$4:E$15&gt;E8))+1,IF(H8="P",SUMPRODUCT((F$4:F$15="")*(H$4:H$15="P")*(E$4:E$15&gt;E8))+1+SUMPRODUCT((F$4:F$15="P")*(H$4:H$15="P")),""))</f>
        <v>4</v>
      </c>
      <c r="B8" s="9" t="s">
        <v>109</v>
      </c>
      <c r="C8" s="5" t="s">
        <v>4</v>
      </c>
      <c r="D8" s="31">
        <v>2002</v>
      </c>
      <c r="E8" s="16">
        <f>SUM(J8:R8)</f>
        <v>232.34500000000003</v>
      </c>
      <c r="F8" s="4" t="str">
        <f>IF(OR(AND($AJ8&gt;=$AK$18,NOT($AJ8="")),AND($BE8&gt;=$BF$18,NOT($BE8="")),AND($BZ8&gt;=$CA$18,NOT($BZ8=""))),"P","")</f>
        <v/>
      </c>
      <c r="G8" s="4" t="str">
        <f>IF(OR(AND($AJ8&gt;=$AK$19,NOT($AJ8="")),AND($BE8&gt;=$BF$19,NOT($BE8="")),AND($BZ8&gt;=$CA$19,NOT($BZ8=""))),"P","")</f>
        <v/>
      </c>
      <c r="H8" s="4" t="str">
        <f>IF(OR(AND($AM8&gt;=$AK$20,NOT($AM8="")),AND($BH8&gt;=$BF$20,NOT($BH8="")),AND($CC8&gt;=$CA$20,NOT($CC8=""))),"P","")</f>
        <v>P</v>
      </c>
      <c r="I8" t="str">
        <f>IF(AND(F8="P",OR(AND($AL8&gt;=$AK$23,NOT($AL8="")),AND($AN8&gt;=$AK$23,NOT($AN8="")),AND($BG8&gt;=$BF$23,NOT($BG8="")),AND($BI8&gt;=$BF$23,NOT($BI8="")),AND($CB8&gt;=$CA$23,NOT($CB8="")),AND($CD8&gt;=$CA$23,NOT($CD8="")))),"Merit",IF(AND(F8="P",OR(AND($AM8&gt;=$AK$22,NOT($AM8="")),AND($BH8&gt;=$BF$22,NOT($BH8="")),AND($CC8&gt;=$CA$22,NOT($CC8="")))),"Funding",IF(AND(F8="P",OR(AND($AM8&gt;=$AK$21,NOT($AM8="")),AND($BH8&gt;=$BF$21,NOT($BH8="")),AND($CC8&gt;=$CA$21,NOT($CC8="")))),"Worlds Team",IF(AND(F8="P",OR(AND($AM8&gt;=$AK$20,NOT($AM8="")),AND($BH8&gt;=$BF$20,NOT($BH8="")),AND($CC8&gt;=$CA$20,NOT($CC8="")))),"National Team",""))))</f>
        <v/>
      </c>
      <c r="J8" s="15">
        <f>MAX(AM8,BH8,CC8)</f>
        <v>92.515000000000001</v>
      </c>
      <c r="K8" s="15" t="str">
        <f>IF(J8=CC8,$BK$1,IF(J8=BH8,$AP$1,IF(J8=AM8,$U$1,"")))</f>
        <v>2017 Nationals</v>
      </c>
      <c r="L8" s="15">
        <f>IF($J8=$AM8,MAX(BF8,CA8),IF($J8=$BH8,MAX(AK8,CA8),MAX(AK8,BF8)))</f>
        <v>41.655000000000001</v>
      </c>
      <c r="M8" s="15" t="str">
        <f>IF(L8=CA8,$BK$1,IF(L8=BF8,$AP$1,IF(L8=AK8,$U$1,"")))</f>
        <v>2018 Canada Cup</v>
      </c>
      <c r="N8" s="15">
        <f>IF($J8=$AM8,MAX(BG8,CB8),IF($J8=$BH8,MAX(AL8,CB8),MAX(AL8,BG8)))</f>
        <v>49.72</v>
      </c>
      <c r="O8" s="15" t="str">
        <f>IF(N8=CB8,$BK$1,IF(N8=BG8,$AP$1,IF(N8=AL8,$U$1,"")))</f>
        <v>2018 Canada Cup</v>
      </c>
      <c r="P8" s="15">
        <f>MAX(AN8,BI8,CD8)</f>
        <v>48.454999999999998</v>
      </c>
      <c r="Q8" s="15" t="str">
        <f>IF(P8=CD8,$BK$1,IF(P8=BI8,$AP$1,IF(P8=AN8,$U$1,"")))</f>
        <v>2017 Nationals</v>
      </c>
      <c r="R8" s="15" t="str">
        <f>IF(MAX(CF8:CH8)&gt;0,MAX(CF8:CH8),"")</f>
        <v/>
      </c>
      <c r="S8" s="29" t="str">
        <f>IF(R8="","",IF(R8=CF8,"(Vol 1)",IF(R8=CG8,"(Vol 2)",IF(R8=CH8,"(Final)"))))</f>
        <v/>
      </c>
      <c r="T8" s="15" t="str">
        <f>IF(R8="","",IF(R8=CF8,IF(R8+L8=LV8,$LF$1,IF(R8+L8=LA8,$KK$1,IF(R8+L8=KF8,$JP$1,IF(R8+L8=JK8,$IU$1,IF(R8+L8=IP8,$HZ$1,IF(R8+L8=HU8,$HE$1,IF(R8+L8=GZ8,$GJ$1,IF(R8+L8=GE8,$FO$1,IF(R8+L8=FJ8,$ET$1,IF(R8+L8=EO8,$DY$1,IF(R8+L8=DT8,$DD$1,IF(R8+L8=CY8,$CI$1)))))))))))),IF(R8=CG8,IF(R8+N8=LW8,$LF$1,IF(R8+N8=LB8,$KK$1,IF(R8+N8=KG8,$JP$1,IF(R8+N8=JL8,$IU$1,IF(R8+N8=IQ8,$HZ$1,IF(R8+N8=HV8,$HE$1,IF(R8+N8=HA8,$GJ$1,IF(R8+N8=GF8,$FO$1,IF(R8+N8=FK8,$ET$1,IF(R8+N8=EP8,$DY$1,IF(R8+N8=DU8,$DD$1,IF(R8+N8=CZ8,$CI$1)))))))))))),IF(R8=CH8,IF(R8+P8=LY8,$LF$1,IF(R8+P8=LD8,$KK$1,IF(R8+P8=KI8,$JP$1,IF(R8+P8=JN8,$IU$1,IF(R8+P8=IS8,$HZ$1,IF(R8+P8=HX8,$HE$1,IF(R8+P8=HC8,$GJ$1,IF(R8+P8=GH8,$FO$1,IF(R8+P8=FM8,$ET$1,IF(R8+P8=ER8,$DY$1,IF(R8+P8=DW8,$DD$1,IF(R8+P8=DB8,$CI$1))))))))))))))))</f>
        <v/>
      </c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12" t="str">
        <f>IF(SUM(AB8)&gt;0,SUM(AB8),"")</f>
        <v/>
      </c>
      <c r="AK8" s="12" t="str">
        <f>IF(SUM(U8:X8)-Y8&gt;0,SUM(U8:X8)-Y8,"")</f>
        <v/>
      </c>
      <c r="AL8" s="12" t="str">
        <f>IF(SUM(Z8:AC8)-AD8&gt;0,SUM(Z8:AC8)-AD8,"")</f>
        <v/>
      </c>
      <c r="AM8" s="12" t="str">
        <f>IF(SUM(AK8:AL8)&gt;0,SUM(AK8:AL8),"")</f>
        <v/>
      </c>
      <c r="AN8" s="12" t="str">
        <f>IF(SUM(AE8:AH8)-AI8&gt;0,SUM(AE8:AH8)-AI8,"")</f>
        <v/>
      </c>
      <c r="AO8" s="12" t="str">
        <f>IF(SUM(AM8,AN8)&gt;0,SUM(AM8,AN8),"")</f>
        <v/>
      </c>
      <c r="AP8" s="46">
        <v>16.899999999999999</v>
      </c>
      <c r="AQ8" s="46">
        <v>9.5</v>
      </c>
      <c r="AR8" s="46">
        <v>3.8</v>
      </c>
      <c r="AS8" s="46">
        <v>13.98</v>
      </c>
      <c r="AT8" s="46">
        <v>0</v>
      </c>
      <c r="AU8" s="46">
        <v>17.100000000000001</v>
      </c>
      <c r="AV8" s="46">
        <v>8.6999999999999993</v>
      </c>
      <c r="AW8" s="46">
        <v>9.1</v>
      </c>
      <c r="AX8" s="46">
        <v>13.435</v>
      </c>
      <c r="AY8" s="46">
        <v>0</v>
      </c>
      <c r="AZ8" s="46">
        <v>16.399999999999999</v>
      </c>
      <c r="BA8" s="46">
        <v>9.3000000000000007</v>
      </c>
      <c r="BB8" s="46">
        <v>9.1</v>
      </c>
      <c r="BC8" s="46">
        <v>13.654999999999999</v>
      </c>
      <c r="BD8" s="46">
        <v>0</v>
      </c>
      <c r="BE8" s="15">
        <f>IF(SUM(AW8)&gt;0,SUM(AW8),"")</f>
        <v>9.1</v>
      </c>
      <c r="BF8" s="15">
        <f>IF(SUM(AP8:AS8)-AT8&gt;0,SUM(AP8:AS8)-AT8,"")</f>
        <v>44.18</v>
      </c>
      <c r="BG8" s="15">
        <f>IF(SUM(AU8:AX8)-AY8&gt;0,SUM(AU8:AX8)-AY8,"")</f>
        <v>48.335000000000001</v>
      </c>
      <c r="BH8" s="15">
        <f>IF(SUM(BF8:BG8)&gt;0,SUM(BF8:BG8),"")</f>
        <v>92.515000000000001</v>
      </c>
      <c r="BI8" s="15">
        <f>IF(SUM(AZ8:BC8)-BD8&gt;0,SUM(AZ8:BC8)-BD8,"")</f>
        <v>48.454999999999998</v>
      </c>
      <c r="BJ8" s="15">
        <f>IF(SUM(BH8,BI8)&gt;0,SUM(BH8,BI8),"")</f>
        <v>140.97</v>
      </c>
      <c r="BK8" s="45">
        <v>16.3</v>
      </c>
      <c r="BL8" s="45">
        <v>9.1999999999999993</v>
      </c>
      <c r="BM8" s="45">
        <v>3.8</v>
      </c>
      <c r="BN8" s="45">
        <v>14.355</v>
      </c>
      <c r="BO8" s="45">
        <v>2</v>
      </c>
      <c r="BP8" s="45">
        <v>15.6</v>
      </c>
      <c r="BQ8" s="45">
        <v>9.6</v>
      </c>
      <c r="BR8" s="45">
        <v>10.3</v>
      </c>
      <c r="BS8" s="45">
        <v>14.22</v>
      </c>
      <c r="BT8" s="45">
        <v>0</v>
      </c>
      <c r="BU8" s="45">
        <v>8.1999999999999993</v>
      </c>
      <c r="BV8" s="45">
        <v>4.5</v>
      </c>
      <c r="BW8" s="45">
        <v>5.3</v>
      </c>
      <c r="BX8" s="45">
        <v>7.3150000000000004</v>
      </c>
      <c r="BY8" s="45">
        <v>0</v>
      </c>
      <c r="BZ8" s="12">
        <f>IF(SUM(BR8)&gt;0,SUM(BR8),"")</f>
        <v>10.3</v>
      </c>
      <c r="CA8" s="12">
        <f>IF(SUM(BK8:BN8)-BO8&gt;0,SUM(BK8:BN8)-BO8,"")</f>
        <v>41.655000000000001</v>
      </c>
      <c r="CB8" s="12">
        <f>IF(SUM(BP8:BS8)-BT8&gt;0,SUM(BP8:BS8)-BT8,"")</f>
        <v>49.72</v>
      </c>
      <c r="CC8" s="12">
        <f>IF(SUM(CA8:CB8)&gt;0,SUM(CA8:CB8),"")</f>
        <v>91.375</v>
      </c>
      <c r="CD8" s="12">
        <f>IF(SUM(BU8:BX8)-BY8&gt;0,SUM(BU8:BX8)-BY8,"")</f>
        <v>25.315000000000001</v>
      </c>
      <c r="CE8" s="12">
        <f>IF(SUM(CC8,CD8)&gt;0,SUM(CC8,CD8),"")</f>
        <v>116.69</v>
      </c>
      <c r="CF8" s="28" t="str">
        <f>IF(MAX(CY8,DT8,EO8,FJ8,GE8,GZ8,HU8,IP8,JK8,KF8,LA8,LV8)-L8&gt;0.001,MAX(CY8,DT8,EO8,FJ8,GE8,GZ8,HU8,IP8,JK8,KF8,LA8,LV8)-L8,"")</f>
        <v/>
      </c>
      <c r="CG8" s="28" t="str">
        <f>IF(MAX(CZ8,DU8,EP8,FK8,GF8,HA8,HV8,IQ8,JL8,KG8,LB8,LW8)-N8&gt;0.001,MAX(CZ8,DU8,EP8,FK8,GF8,HA8,HV8,IQ8,JL8,KG8,LB8,LW8)-N8,"")</f>
        <v/>
      </c>
      <c r="CH8" s="28" t="str">
        <f>IF(MAX(DB8,DW8,ER8,FM8,GH8,HC8,HX8,IS8,JN8,KI8,LD8,LY8)-P8&gt;0.001,MAX(DB8,DW8,ER8,FM8,GH8,HC8,HX8,IS8,JN8,KI8,LD8,LY8)-P8,"")</f>
        <v/>
      </c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45"/>
      <c r="CW8" s="45"/>
      <c r="CX8" s="12" t="str">
        <f>IF(SUM(CP8)&gt;0,SUM(CP8),"")</f>
        <v/>
      </c>
      <c r="CY8" s="12" t="str">
        <f>IF(SUM(CI8:CL8)-CM8&gt;0,SUM(CI8:CL8)-CM8,"")</f>
        <v/>
      </c>
      <c r="CZ8" s="12" t="str">
        <f>IF(SUM(CN8:CQ8)-CR8&gt;0,SUM(CN8:CQ8)-CR8,"")</f>
        <v/>
      </c>
      <c r="DA8" s="12" t="str">
        <f>IF(SUM(CY8:CZ8)&gt;0,SUM(CY8:CZ8),"")</f>
        <v/>
      </c>
      <c r="DB8" s="12" t="str">
        <f>IF(SUM(CS8:CV8)-CW8&gt;0,SUM(CS8:CV8)-CW8,"")</f>
        <v/>
      </c>
      <c r="DC8" s="12" t="str">
        <f>IF(SUM(DA8,DB8)&gt;0,SUM(DA8,DB8),"")</f>
        <v/>
      </c>
      <c r="DD8" s="46">
        <v>17.3</v>
      </c>
      <c r="DE8" s="46">
        <v>0</v>
      </c>
      <c r="DF8" s="46">
        <v>9.8000000000000007</v>
      </c>
      <c r="DG8" s="46">
        <v>14.55</v>
      </c>
      <c r="DH8" s="46">
        <v>0</v>
      </c>
      <c r="DI8" s="46">
        <v>14.9</v>
      </c>
      <c r="DJ8" s="46">
        <v>10.3</v>
      </c>
      <c r="DK8" s="46">
        <v>9.1</v>
      </c>
      <c r="DL8" s="46">
        <v>14.49</v>
      </c>
      <c r="DM8" s="46">
        <v>0</v>
      </c>
      <c r="DN8" s="46"/>
      <c r="DO8" s="46"/>
      <c r="DP8" s="46"/>
      <c r="DQ8" s="46"/>
      <c r="DR8" s="46"/>
      <c r="DS8" s="15">
        <f>IF(SUM(DK8)&gt;0,SUM(DK8),"")</f>
        <v>9.1</v>
      </c>
      <c r="DT8" s="15">
        <f>IF(SUM(DD8:DG8)-DH8&gt;0,SUM(DD8:DG8)-DH8,"")</f>
        <v>41.650000000000006</v>
      </c>
      <c r="DU8" s="15">
        <f>IF(SUM(DI8:DL8)-DM8&gt;0,SUM(DI8:DL8)-DM8,"")</f>
        <v>48.790000000000006</v>
      </c>
      <c r="DV8" s="15">
        <f>IF(SUM(DT8:DU8)&gt;0,SUM(DT8:DU8),"")</f>
        <v>90.440000000000012</v>
      </c>
      <c r="DW8" s="15" t="str">
        <f>IF(SUM(DN8:DQ8)-DR8&gt;0,SUM(DN8:DQ8)-DR8,"")</f>
        <v/>
      </c>
      <c r="DX8" s="15">
        <f>IF(SUM(DV8,DW8)&gt;0,SUM(DV8,DW8),"")</f>
        <v>90.440000000000012</v>
      </c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45"/>
      <c r="EM8" s="45"/>
      <c r="EN8" s="12" t="str">
        <f>IF(SUM(EF8)&gt;0,SUM(EF8),"")</f>
        <v/>
      </c>
      <c r="EO8" s="12" t="str">
        <f>IF(SUM(DY8:EB8)-EC8&gt;0,SUM(DY8:EB8)-EC8,"")</f>
        <v/>
      </c>
      <c r="EP8" s="12" t="str">
        <f>IF(SUM(ED8:EG8)-EH8&gt;0,SUM(ED8:EG8)-EH8,"")</f>
        <v/>
      </c>
      <c r="EQ8" s="12" t="str">
        <f>IF(SUM(EO8:EP8)&gt;0,SUM(EO8:EP8),"")</f>
        <v/>
      </c>
      <c r="ER8" s="12" t="str">
        <f>IF(SUM(EI8:EL8)-EM8&gt;0,SUM(EI8:EL8)-EM8,"")</f>
        <v/>
      </c>
      <c r="ES8" s="12" t="str">
        <f>IF(SUM(EQ8,ER8)&gt;0,SUM(EQ8,ER8),"")</f>
        <v/>
      </c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15" t="str">
        <f>IF(SUM(FA8)&gt;0,SUM(FA8),"")</f>
        <v/>
      </c>
      <c r="FJ8" s="15" t="str">
        <f>IF(SUM(ET8:EW8)-EX8&gt;0,SUM(ET8:EW8)-EX8,"")</f>
        <v/>
      </c>
      <c r="FK8" s="15" t="str">
        <f>IF(SUM(EY8:FB8)-FC8&gt;0,SUM(EY8:FB8)-FC8,"")</f>
        <v/>
      </c>
      <c r="FL8" s="15" t="str">
        <f>IF(SUM(FJ8:FK8)&gt;0,SUM(FJ8:FK8),"")</f>
        <v/>
      </c>
      <c r="FM8" s="15" t="str">
        <f>IF(SUM(FD8:FG8)-FH8&gt;0,SUM(FD8:FG8)-FH8,"")</f>
        <v/>
      </c>
      <c r="FN8" s="15" t="str">
        <f>IF(SUM(FL8,FM8)&gt;0,SUM(FL8,FM8),"")</f>
        <v/>
      </c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45"/>
      <c r="GC8" s="45"/>
      <c r="GD8" s="12" t="str">
        <f>IF(SUM(FV8)&gt;0,SUM(FV8),"")</f>
        <v/>
      </c>
      <c r="GE8" s="12" t="str">
        <f>IF(SUM(FO8:FR8)-FS8&gt;0,SUM(FO8:FR8)-FS8,"")</f>
        <v/>
      </c>
      <c r="GF8" s="12" t="str">
        <f>IF(SUM(FT8:FW8)-FX8&gt;0,SUM(FT8:FW8)-FX8,"")</f>
        <v/>
      </c>
      <c r="GG8" s="12" t="str">
        <f>IF(SUM(GE8:GF8)&gt;0,SUM(GE8:GF8),"")</f>
        <v/>
      </c>
      <c r="GH8" s="12" t="str">
        <f>IF(SUM(FY8:GB8)-GC8&gt;0,SUM(FY8:GB8)-GC8,"")</f>
        <v/>
      </c>
      <c r="GI8" s="12" t="str">
        <f>IF(SUM(GG8,GH8)&gt;0,SUM(GG8,GH8),"")</f>
        <v/>
      </c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15" t="str">
        <f>IF(SUM(GQ8)&gt;0,SUM(GQ8),"")</f>
        <v/>
      </c>
      <c r="GZ8" s="15" t="str">
        <f>IF(SUM(GJ8:GM8)-GN8&gt;0,SUM(GJ8:GM8)-GN8,"")</f>
        <v/>
      </c>
      <c r="HA8" s="15" t="str">
        <f>IF(SUM(GO8:GR8)-GS8&gt;0,SUM(GO8:GR8)-GS8,"")</f>
        <v/>
      </c>
      <c r="HB8" s="15" t="str">
        <f>IF(SUM(GZ8:HA8)&gt;0,SUM(GZ8:HA8),"")</f>
        <v/>
      </c>
      <c r="HC8" s="15" t="str">
        <f>IF(SUM(GT8:GW8)-GX8&gt;0,SUM(GT8:GW8)-GX8,"")</f>
        <v/>
      </c>
      <c r="HD8" s="15" t="str">
        <f>IF(SUM(HB8,HC8)&gt;0,SUM(HB8,HC8),"")</f>
        <v/>
      </c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45"/>
      <c r="HS8" s="45"/>
      <c r="HT8" s="12" t="str">
        <f>IF(SUM(HL8)&gt;0,SUM(HL8),"")</f>
        <v/>
      </c>
      <c r="HU8" s="12" t="str">
        <f>IF(SUM(HE8:HH8)-HI8&gt;0,SUM(HE8:HH8)-HI8,"")</f>
        <v/>
      </c>
      <c r="HV8" s="12" t="str">
        <f>IF(SUM(HJ8:HM8)-HN8&gt;0,SUM(HJ8:HM8)-HN8,"")</f>
        <v/>
      </c>
      <c r="HW8" s="12" t="str">
        <f>IF(SUM(HU8:HV8)&gt;0,SUM(HU8:HV8),"")</f>
        <v/>
      </c>
      <c r="HX8" s="12" t="str">
        <f>IF(SUM(HO8:HR8)-HS8&gt;0,SUM(HO8:HR8)-HS8,"")</f>
        <v/>
      </c>
      <c r="HY8" s="12" t="str">
        <f>IF(SUM(HW8,HX8)&gt;0,SUM(HW8,HX8),"")</f>
        <v/>
      </c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15" t="str">
        <f>IF(SUM(IG8)&gt;0,SUM(IG8),"")</f>
        <v/>
      </c>
      <c r="IP8" s="15" t="str">
        <f>IF(SUM(HZ8:IC8)-ID8&gt;0,SUM(HZ8:IC8)-ID8,"")</f>
        <v/>
      </c>
      <c r="IQ8" s="15" t="str">
        <f>IF(SUM(IE8:IH8)-II8&gt;0,SUM(IE8:IH8)-II8,"")</f>
        <v/>
      </c>
      <c r="IR8" s="15" t="str">
        <f>IF(SUM(IP8:IQ8)&gt;0,SUM(IP8:IQ8),"")</f>
        <v/>
      </c>
      <c r="IS8" s="15" t="str">
        <f>IF(SUM(IJ8:IM8)-IN8&gt;0,SUM(IJ8:IM8)-IN8,"")</f>
        <v/>
      </c>
      <c r="IT8" s="15" t="str">
        <f>IF(SUM(IR8,IS8)&gt;0,SUM(IR8,IS8),"")</f>
        <v/>
      </c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45"/>
      <c r="JI8" s="45"/>
      <c r="JJ8" s="12" t="str">
        <f>IF(SUM(JB8)&gt;0,SUM(JB8),"")</f>
        <v/>
      </c>
      <c r="JK8" s="12" t="str">
        <f>IF(SUM(IU8:IX8)-IY8&gt;0,SUM(IU8:IX8)-IY8,"")</f>
        <v/>
      </c>
      <c r="JL8" s="12" t="str">
        <f>IF(SUM(IZ8:JC8)-JD8&gt;0,SUM(IZ8:JC8)-JD8,"")</f>
        <v/>
      </c>
      <c r="JM8" s="12" t="str">
        <f>IF(SUM(JK8:JL8)&gt;0,SUM(JK8:JL8),"")</f>
        <v/>
      </c>
      <c r="JN8" s="12" t="str">
        <f>IF(SUM(JE8:JH8)-JI8&gt;0,SUM(JE8:JH8)-JI8,"")</f>
        <v/>
      </c>
      <c r="JO8" s="12" t="str">
        <f>IF(SUM(JM8,JN8)&gt;0,SUM(JM8,JN8),"")</f>
        <v/>
      </c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46"/>
      <c r="KD8" s="46"/>
      <c r="KE8" s="15" t="str">
        <f>IF(SUM(JW8)&gt;0,SUM(JW8),"")</f>
        <v/>
      </c>
      <c r="KF8" s="15" t="str">
        <f>IF(SUM(JP8:JS8)-JT8&gt;0,SUM(JP8:JS8)-JT8,"")</f>
        <v/>
      </c>
      <c r="KG8" s="15" t="str">
        <f>IF(SUM(JU8:JX8)-JY8&gt;0,SUM(JU8:JX8)-JY8,"")</f>
        <v/>
      </c>
      <c r="KH8" s="15" t="str">
        <f>IF(SUM(KF8:KG8)&gt;0,SUM(KF8:KG8),"")</f>
        <v/>
      </c>
      <c r="KI8" s="15" t="str">
        <f>IF(SUM(JZ8:KC8)-KD8&gt;0,SUM(JZ8:KC8)-KD8,"")</f>
        <v/>
      </c>
      <c r="KJ8" s="15" t="str">
        <f>IF(SUM(KH8,KI8)&gt;0,SUM(KH8,KI8),"")</f>
        <v/>
      </c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45"/>
      <c r="KY8" s="45"/>
      <c r="KZ8" s="12" t="str">
        <f>IF(SUM(KR8)&gt;0,SUM(KR8),"")</f>
        <v/>
      </c>
      <c r="LA8" s="12" t="str">
        <f>IF(SUM(KK8:KN8)-KO8&gt;0,SUM(KK8:KN8)-KO8,"")</f>
        <v/>
      </c>
      <c r="LB8" s="12" t="str">
        <f>IF(SUM(KP8:KS8)-KT8&gt;0,SUM(KP8:KS8)-KT8,"")</f>
        <v/>
      </c>
      <c r="LC8" s="12" t="str">
        <f>IF(SUM(LA8:LB8)&gt;0,SUM(LA8:LB8),"")</f>
        <v/>
      </c>
      <c r="LD8" s="12" t="str">
        <f>IF(SUM(KU8:KX8)-KY8&gt;0,SUM(KU8:KX8)-KY8,"")</f>
        <v/>
      </c>
      <c r="LE8" s="12" t="str">
        <f>IF(SUM(LC8,LD8)&gt;0,SUM(LC8,LD8),"")</f>
        <v/>
      </c>
      <c r="LF8" s="46"/>
      <c r="LG8" s="46"/>
      <c r="LH8" s="46"/>
      <c r="LI8" s="46"/>
      <c r="LJ8" s="46"/>
      <c r="LK8" s="46"/>
      <c r="LL8" s="46"/>
      <c r="LM8" s="46"/>
      <c r="LN8" s="46"/>
      <c r="LO8" s="46"/>
      <c r="LP8" s="46"/>
      <c r="LQ8" s="46"/>
      <c r="LR8" s="46"/>
      <c r="LS8" s="46"/>
      <c r="LT8" s="46"/>
      <c r="LU8" s="15" t="str">
        <f>IF(SUM(LM8)&gt;0,SUM(LM8),"")</f>
        <v/>
      </c>
      <c r="LV8" s="15" t="str">
        <f>IF(SUM(LF8:LI8)-LJ8&gt;0,SUM(LF8:LI8)-LJ8,"")</f>
        <v/>
      </c>
      <c r="LW8" s="15" t="str">
        <f>IF(SUM(LK8:LN8)-LO8&gt;0,SUM(LK8:LN8)-LO8,"")</f>
        <v/>
      </c>
      <c r="LX8" s="15" t="str">
        <f>IF(SUM(LV8:LW8)&gt;0,SUM(LV8:LW8),"")</f>
        <v/>
      </c>
      <c r="LY8" s="15" t="str">
        <f>IF(SUM(LP8:LS8)-LT8&gt;0,SUM(LP8:LS8)-LT8,"")</f>
        <v/>
      </c>
      <c r="LZ8" s="15" t="str">
        <f>IF(SUM(LX8,LY8)&gt;0,SUM(LX8,LY8),"")</f>
        <v/>
      </c>
    </row>
    <row r="9" spans="1:338">
      <c r="A9" s="6" t="str">
        <f>IF(AND(F9="P",H9="P"),SUMPRODUCT((F$4:F$15="P")*(H$4:H$15="P")*(E$4:E$15&gt;E9))+1,IF(H9="P",SUMPRODUCT((F$4:F$15="")*(H$4:H$15="P")*(E$4:E$15&gt;E9))+1+SUMPRODUCT((F$4:F$15="P")*(H$4:H$15="P")),""))</f>
        <v/>
      </c>
      <c r="B9" s="9" t="s">
        <v>85</v>
      </c>
      <c r="C9" s="5" t="s">
        <v>3</v>
      </c>
      <c r="D9" s="31">
        <v>2001</v>
      </c>
      <c r="E9" s="16">
        <f>SUM(J9:R9)</f>
        <v>231.315</v>
      </c>
      <c r="F9" s="4" t="str">
        <f>IF(OR(AND($AJ9&gt;=$AK$18,NOT($AJ9="")),AND($BE9&gt;=$BF$18,NOT($BE9="")),AND($BZ9&gt;=$CA$18,NOT($BZ9=""))),"P","")</f>
        <v/>
      </c>
      <c r="G9" s="4" t="str">
        <f>IF(OR(AND($AJ9&gt;=$AK$19,NOT($AJ9="")),AND($BE9&gt;=$BF$19,NOT($BE9="")),AND($BZ9&gt;=$CA$19,NOT($BZ9=""))),"P","")</f>
        <v/>
      </c>
      <c r="H9" s="4" t="str">
        <f>IF(OR(AND($AM9&gt;=$AK$20,NOT($AM9="")),AND($BH9&gt;=$BF$20,NOT($BH9="")),AND($CC9&gt;=$CA$20,NOT($CC9=""))),"P","")</f>
        <v/>
      </c>
      <c r="I9" t="str">
        <f>IF(AND(F9="P",OR(AND($AL9&gt;=$AK$23,NOT($AL9="")),AND($AN9&gt;=$AK$23,NOT($AN9="")),AND($BG9&gt;=$BF$23,NOT($BG9="")),AND($BI9&gt;=$BF$23,NOT($BI9="")),AND($CB9&gt;=$CA$23,NOT($CB9="")),AND($CD9&gt;=$CA$23,NOT($CD9="")))),"Merit",IF(AND(F9="P",OR(AND($AM9&gt;=$AK$22,NOT($AM9="")),AND($BH9&gt;=$BF$22,NOT($BH9="")),AND($CC9&gt;=$CA$22,NOT($CC9="")))),"Funding",IF(AND(F9="P",OR(AND($AM9&gt;=$AK$21,NOT($AM9="")),AND($BH9&gt;=$BF$21,NOT($BH9="")),AND($CC9&gt;=$CA$21,NOT($CC9="")))),"Worlds Team",IF(AND(F9="P",OR(AND($AM9&gt;=$AK$20,NOT($AM9="")),AND($BH9&gt;=$BF$20,NOT($BH9="")),AND($CC9&gt;=$CA$20,NOT($CC9="")))),"National Team",""))))</f>
        <v/>
      </c>
      <c r="J9" s="15">
        <f>MAX(AM9,BH9,CC9)</f>
        <v>91.504999999999995</v>
      </c>
      <c r="K9" s="15" t="str">
        <f>IF(J9=CC9,$BK$1,IF(J9=BH9,$AP$1,IF(J9=AM9,$U$1,"")))</f>
        <v>2017 Canada Cup</v>
      </c>
      <c r="L9" s="15">
        <f>IF($J9=$AM9,MAX(BF9,CA9),IF($J9=$BH9,MAX(AK9,CA9),MAX(AK9,BF9)))</f>
        <v>39.71</v>
      </c>
      <c r="M9" s="15" t="str">
        <f>IF(L9=CA9,$BK$1,IF(L9=BF9,$AP$1,IF(L9=AK9,$U$1,"")))</f>
        <v>2017 Nationals</v>
      </c>
      <c r="N9" s="15">
        <f>IF($J9=$AM9,MAX(BG9,CB9),IF($J9=$BH9,MAX(AL9,CB9),MAX(AL9,BG9)))</f>
        <v>48.754999999999995</v>
      </c>
      <c r="O9" s="15" t="str">
        <f>IF(N9=CB9,$BK$1,IF(N9=BG9,$AP$1,IF(N9=AL9,$U$1,"")))</f>
        <v>2017 Nationals</v>
      </c>
      <c r="P9" s="15">
        <f>MAX(AN9,BI9,CD9)</f>
        <v>48.935000000000002</v>
      </c>
      <c r="Q9" s="15" t="str">
        <f>IF(P9=CD9,$BK$1,IF(P9=BI9,$AP$1,IF(P9=AN9,$U$1,"")))</f>
        <v>2017 Canada Cup</v>
      </c>
      <c r="R9" s="15">
        <f>IF(MAX(CF9:CH9)&gt;0,MAX(CF9:CH9),"")</f>
        <v>2.4099999999999966</v>
      </c>
      <c r="S9" s="29" t="str">
        <f>IF(R9="","",IF(R9=CF9,"(Vol 1)",IF(R9=CG9,"(Vol 2)",IF(R9=CH9,"(Final)"))))</f>
        <v>(Vol 1)</v>
      </c>
      <c r="T9" s="15" t="str">
        <f>IF(R9="","",IF(R9=CF9,IF(R9+L9=LV9,$LF$1,IF(R9+L9=LA9,$KK$1,IF(R9+L9=KF9,$JP$1,IF(R9+L9=JK9,$IU$1,IF(R9+L9=IP9,$HZ$1,IF(R9+L9=HU9,$HE$1,IF(R9+L9=GZ9,$GJ$1,IF(R9+L9=GE9,$FO$1,IF(R9+L9=FJ9,$ET$1,IF(R9+L9=EO9,$DY$1,IF(R9+L9=DT9,$DD$1,IF(R9+L9=CY9,$CI$1)))))))))))),IF(R9=CG9,IF(R9+N9=LW9,$LF$1,IF(R9+N9=LB9,$KK$1,IF(R9+N9=KG9,$JP$1,IF(R9+N9=JL9,$IU$1,IF(R9+N9=IQ9,$HZ$1,IF(R9+N9=HV9,$HE$1,IF(R9+N9=HA9,$GJ$1,IF(R9+N9=GF9,$FO$1,IF(R9+N9=FK9,$ET$1,IF(R9+N9=EP9,$DY$1,IF(R9+N9=DU9,$DD$1,IF(R9+N9=CZ9,$CI$1)))))))))))),IF(R9=CH9,IF(R9+P9=LY9,$LF$1,IF(R9+P9=LD9,$KK$1,IF(R9+P9=KI9,$JP$1,IF(R9+P9=JN9,$IU$1,IF(R9+P9=IS9,$HZ$1,IF(R9+P9=HX9,$HE$1,IF(R9+P9=HC9,$GJ$1,IF(R9+P9=GH9,$FO$1,IF(R9+P9=FM9,$ET$1,IF(R9+P9=ER9,$DY$1,IF(R9+P9=DW9,$DD$1,IF(R9+P9=DB9,$CI$1))))))))))))))))</f>
        <v>2017 World Age Group Championships (Nov)</v>
      </c>
      <c r="U9" s="45">
        <v>17.7</v>
      </c>
      <c r="V9" s="45">
        <v>9.1999999999999993</v>
      </c>
      <c r="W9" s="45">
        <v>3.4</v>
      </c>
      <c r="X9" s="45">
        <v>14.005000000000001</v>
      </c>
      <c r="Y9" s="45">
        <v>0</v>
      </c>
      <c r="Z9" s="45">
        <v>14.9</v>
      </c>
      <c r="AA9" s="45">
        <v>9.3000000000000007</v>
      </c>
      <c r="AB9" s="45">
        <v>9.6</v>
      </c>
      <c r="AC9" s="45">
        <v>13.4</v>
      </c>
      <c r="AD9" s="45">
        <v>0</v>
      </c>
      <c r="AE9" s="45">
        <v>16.100000000000001</v>
      </c>
      <c r="AF9" s="45">
        <v>9.1999999999999993</v>
      </c>
      <c r="AG9" s="45">
        <v>10.3</v>
      </c>
      <c r="AH9" s="45">
        <v>13.335000000000001</v>
      </c>
      <c r="AI9" s="45">
        <v>0</v>
      </c>
      <c r="AJ9" s="12">
        <f>IF(SUM(AB9)&gt;0,SUM(AB9),"")</f>
        <v>9.6</v>
      </c>
      <c r="AK9" s="12">
        <f>IF(SUM(U9:X9)-Y9&gt;0,SUM(U9:X9)-Y9,"")</f>
        <v>44.305</v>
      </c>
      <c r="AL9" s="12">
        <f>IF(SUM(Z9:AC9)-AD9&gt;0,SUM(Z9:AC9)-AD9,"")</f>
        <v>47.2</v>
      </c>
      <c r="AM9" s="12">
        <f>IF(SUM(AK9:AL9)&gt;0,SUM(AK9:AL9),"")</f>
        <v>91.504999999999995</v>
      </c>
      <c r="AN9" s="12">
        <f>IF(SUM(AE9:AH9)-AI9&gt;0,SUM(AE9:AH9)-AI9,"")</f>
        <v>48.935000000000002</v>
      </c>
      <c r="AO9" s="12">
        <f>IF(SUM(AM9,AN9)&gt;0,SUM(AM9,AN9),"")</f>
        <v>140.44</v>
      </c>
      <c r="AP9" s="46">
        <v>16</v>
      </c>
      <c r="AQ9" s="46">
        <v>8.5</v>
      </c>
      <c r="AR9" s="46">
        <v>2.1</v>
      </c>
      <c r="AS9" s="46">
        <v>13.11</v>
      </c>
      <c r="AT9" s="46">
        <v>0</v>
      </c>
      <c r="AU9" s="46">
        <v>16.2</v>
      </c>
      <c r="AV9" s="46">
        <v>9.1999999999999993</v>
      </c>
      <c r="AW9" s="46">
        <v>10.5</v>
      </c>
      <c r="AX9" s="46">
        <v>12.855</v>
      </c>
      <c r="AY9" s="46">
        <v>0</v>
      </c>
      <c r="AZ9" s="46">
        <v>14.7</v>
      </c>
      <c r="BA9" s="46">
        <v>9</v>
      </c>
      <c r="BB9" s="46">
        <v>10.3</v>
      </c>
      <c r="BC9" s="46">
        <v>13.46</v>
      </c>
      <c r="BD9" s="46">
        <v>0</v>
      </c>
      <c r="BE9" s="15">
        <f>IF(SUM(AW9)&gt;0,SUM(AW9),"")</f>
        <v>10.5</v>
      </c>
      <c r="BF9" s="15">
        <f>IF(SUM(AP9:AS9)-AT9&gt;0,SUM(AP9:AS9)-AT9,"")</f>
        <v>39.71</v>
      </c>
      <c r="BG9" s="15">
        <f>IF(SUM(AU9:AX9)-AY9&gt;0,SUM(AU9:AX9)-AY9,"")</f>
        <v>48.754999999999995</v>
      </c>
      <c r="BH9" s="15">
        <f>IF(SUM(BF9:BG9)&gt;0,SUM(BF9:BG9),"")</f>
        <v>88.465000000000003</v>
      </c>
      <c r="BI9" s="15">
        <f>IF(SUM(AZ9:BC9)-BD9&gt;0,SUM(AZ9:BC9)-BD9,"")</f>
        <v>47.46</v>
      </c>
      <c r="BJ9" s="15">
        <f>IF(SUM(BH9,BI9)&gt;0,SUM(BH9,BI9),"")</f>
        <v>135.92500000000001</v>
      </c>
      <c r="BK9" s="45">
        <v>7.4</v>
      </c>
      <c r="BL9" s="45">
        <v>3.7</v>
      </c>
      <c r="BM9" s="45">
        <v>0.6</v>
      </c>
      <c r="BN9" s="45">
        <v>5.9050000000000002</v>
      </c>
      <c r="BO9" s="45">
        <v>0</v>
      </c>
      <c r="BP9" s="45">
        <v>13.9</v>
      </c>
      <c r="BQ9" s="45">
        <v>9.1999999999999993</v>
      </c>
      <c r="BR9" s="45">
        <v>10.5</v>
      </c>
      <c r="BS9" s="45">
        <v>13.3</v>
      </c>
      <c r="BT9" s="45">
        <v>0</v>
      </c>
      <c r="BU9" s="45"/>
      <c r="BV9" s="45"/>
      <c r="BW9" s="45"/>
      <c r="BX9" s="45"/>
      <c r="BY9" s="45"/>
      <c r="BZ9" s="12">
        <f>IF(SUM(BR9)&gt;0,SUM(BR9),"")</f>
        <v>10.5</v>
      </c>
      <c r="CA9" s="12">
        <f>IF(SUM(BK9:BN9)-BO9&gt;0,SUM(BK9:BN9)-BO9,"")</f>
        <v>17.605</v>
      </c>
      <c r="CB9" s="12">
        <f>IF(SUM(BP9:BS9)-BT9&gt;0,SUM(BP9:BS9)-BT9,"")</f>
        <v>46.900000000000006</v>
      </c>
      <c r="CC9" s="12">
        <f>IF(SUM(CA9:CB9)&gt;0,SUM(CA9:CB9),"")</f>
        <v>64.50500000000001</v>
      </c>
      <c r="CD9" s="12" t="str">
        <f>IF(SUM(BU9:BX9)-BY9&gt;0,SUM(BU9:BX9)-BY9,"")</f>
        <v/>
      </c>
      <c r="CE9" s="12">
        <f>IF(SUM(CC9,CD9)&gt;0,SUM(CC9,CD9),"")</f>
        <v>64.50500000000001</v>
      </c>
      <c r="CF9" s="28">
        <f>IF(MAX(CY9,DT9,EO9,FJ9,GE9,GZ9,HU9,IP9,JK9,KF9,LA9,LV9)-L9&gt;0.001,MAX(CY9,DT9,EO9,FJ9,GE9,GZ9,HU9,IP9,JK9,KF9,LA9,LV9)-L9,"")</f>
        <v>2.4099999999999966</v>
      </c>
      <c r="CG9" s="28" t="str">
        <f>IF(MAX(CZ9,DU9,EP9,FK9,GF9,HA9,HV9,IQ9,JL9,KG9,LB9,LW9)-N9&gt;0.001,MAX(CZ9,DU9,EP9,FK9,GF9,HA9,HV9,IQ9,JL9,KG9,LB9,LW9)-N9,"")</f>
        <v/>
      </c>
      <c r="CH9" s="28" t="str">
        <f>IF(MAX(DB9,DW9,ER9,FM9,GH9,HC9,HX9,IS9,JN9,KI9,LD9,LY9)-P9&gt;0.001,MAX(DB9,DW9,ER9,FM9,GH9,HC9,HX9,IS9,JN9,KI9,LD9,LY9)-P9,"")</f>
        <v/>
      </c>
      <c r="CI9" s="45">
        <v>17.399999999999999</v>
      </c>
      <c r="CJ9" s="45">
        <v>9.85</v>
      </c>
      <c r="CK9" s="45">
        <v>0</v>
      </c>
      <c r="CL9" s="45">
        <v>14.87</v>
      </c>
      <c r="CM9" s="45">
        <v>0</v>
      </c>
      <c r="CN9" s="45">
        <v>13.6</v>
      </c>
      <c r="CO9" s="45">
        <v>9.25</v>
      </c>
      <c r="CP9" s="45">
        <v>11.2</v>
      </c>
      <c r="CQ9" s="45">
        <v>14.06</v>
      </c>
      <c r="CR9" s="45">
        <v>0</v>
      </c>
      <c r="CS9" s="45"/>
      <c r="CT9" s="45"/>
      <c r="CU9" s="45"/>
      <c r="CV9" s="45"/>
      <c r="CW9" s="45"/>
      <c r="CX9" s="12">
        <f>IF(SUM(CP9)&gt;0,SUM(CP9),"")</f>
        <v>11.2</v>
      </c>
      <c r="CY9" s="12">
        <f>IF(SUM(CI9:CL9)-CM9&gt;0,SUM(CI9:CL9)-CM9,"")</f>
        <v>42.12</v>
      </c>
      <c r="CZ9" s="12">
        <f>IF(SUM(CN9:CQ9)-CR9&gt;0,SUM(CN9:CQ9)-CR9,"")</f>
        <v>48.11</v>
      </c>
      <c r="DA9" s="12">
        <f>IF(SUM(CY9:CZ9)&gt;0,SUM(CY9:CZ9),"")</f>
        <v>90.22999999999999</v>
      </c>
      <c r="DB9" s="12" t="str">
        <f>IF(SUM(CS9:CV9)-CW9&gt;0,SUM(CS9:CV9)-CW9,"")</f>
        <v/>
      </c>
      <c r="DC9" s="12">
        <f>IF(SUM(DA9,DB9)&gt;0,SUM(DA9,DB9),"")</f>
        <v>90.22999999999999</v>
      </c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15" t="str">
        <f>IF(SUM(DK9)&gt;0,SUM(DK9),"")</f>
        <v/>
      </c>
      <c r="DT9" s="15" t="str">
        <f>IF(SUM(DD9:DG9)-DH9&gt;0,SUM(DD9:DG9)-DH9,"")</f>
        <v/>
      </c>
      <c r="DU9" s="15" t="str">
        <f>IF(SUM(DI9:DL9)-DM9&gt;0,SUM(DI9:DL9)-DM9,"")</f>
        <v/>
      </c>
      <c r="DV9" s="15" t="str">
        <f>IF(SUM(DT9:DU9)&gt;0,SUM(DT9:DU9),"")</f>
        <v/>
      </c>
      <c r="DW9" s="15" t="str">
        <f>IF(SUM(DN9:DQ9)-DR9&gt;0,SUM(DN9:DQ9)-DR9,"")</f>
        <v/>
      </c>
      <c r="DX9" s="15" t="str">
        <f>IF(SUM(DV9,DW9)&gt;0,SUM(DV9,DW9),"")</f>
        <v/>
      </c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45"/>
      <c r="EM9" s="45"/>
      <c r="EN9" s="12" t="str">
        <f>IF(SUM(EF9)&gt;0,SUM(EF9),"")</f>
        <v/>
      </c>
      <c r="EO9" s="12" t="str">
        <f>IF(SUM(DY9:EB9)-EC9&gt;0,SUM(DY9:EB9)-EC9,"")</f>
        <v/>
      </c>
      <c r="EP9" s="12" t="str">
        <f>IF(SUM(ED9:EG9)-EH9&gt;0,SUM(ED9:EG9)-EH9,"")</f>
        <v/>
      </c>
      <c r="EQ9" s="12" t="str">
        <f>IF(SUM(EO9:EP9)&gt;0,SUM(EO9:EP9),"")</f>
        <v/>
      </c>
      <c r="ER9" s="12" t="str">
        <f>IF(SUM(EI9:EL9)-EM9&gt;0,SUM(EI9:EL9)-EM9,"")</f>
        <v/>
      </c>
      <c r="ES9" s="12" t="str">
        <f>IF(SUM(EQ9,ER9)&gt;0,SUM(EQ9,ER9),"")</f>
        <v/>
      </c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15" t="str">
        <f>IF(SUM(FA9)&gt;0,SUM(FA9),"")</f>
        <v/>
      </c>
      <c r="FJ9" s="15" t="str">
        <f>IF(SUM(ET9:EW9)-EX9&gt;0,SUM(ET9:EW9)-EX9,"")</f>
        <v/>
      </c>
      <c r="FK9" s="15" t="str">
        <f>IF(SUM(EY9:FB9)-FC9&gt;0,SUM(EY9:FB9)-FC9,"")</f>
        <v/>
      </c>
      <c r="FL9" s="15" t="str">
        <f>IF(SUM(FJ9:FK9)&gt;0,SUM(FJ9:FK9),"")</f>
        <v/>
      </c>
      <c r="FM9" s="15" t="str">
        <f>IF(SUM(FD9:FG9)-FH9&gt;0,SUM(FD9:FG9)-FH9,"")</f>
        <v/>
      </c>
      <c r="FN9" s="15" t="str">
        <f>IF(SUM(FL9,FM9)&gt;0,SUM(FL9,FM9),"")</f>
        <v/>
      </c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45"/>
      <c r="GC9" s="45"/>
      <c r="GD9" s="12" t="str">
        <f>IF(SUM(FV9)&gt;0,SUM(FV9),"")</f>
        <v/>
      </c>
      <c r="GE9" s="12" t="str">
        <f>IF(SUM(FO9:FR9)-FS9&gt;0,SUM(FO9:FR9)-FS9,"")</f>
        <v/>
      </c>
      <c r="GF9" s="12" t="str">
        <f>IF(SUM(FT9:FW9)-FX9&gt;0,SUM(FT9:FW9)-FX9,"")</f>
        <v/>
      </c>
      <c r="GG9" s="12" t="str">
        <f>IF(SUM(GE9:GF9)&gt;0,SUM(GE9:GF9),"")</f>
        <v/>
      </c>
      <c r="GH9" s="12" t="str">
        <f>IF(SUM(FY9:GB9)-GC9&gt;0,SUM(FY9:GB9)-GC9,"")</f>
        <v/>
      </c>
      <c r="GI9" s="12" t="str">
        <f>IF(SUM(GG9,GH9)&gt;0,SUM(GG9,GH9),"")</f>
        <v/>
      </c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15" t="str">
        <f>IF(SUM(GQ9)&gt;0,SUM(GQ9),"")</f>
        <v/>
      </c>
      <c r="GZ9" s="15" t="str">
        <f>IF(SUM(GJ9:GM9)-GN9&gt;0,SUM(GJ9:GM9)-GN9,"")</f>
        <v/>
      </c>
      <c r="HA9" s="15" t="str">
        <f>IF(SUM(GO9:GR9)-GS9&gt;0,SUM(GO9:GR9)-GS9,"")</f>
        <v/>
      </c>
      <c r="HB9" s="15" t="str">
        <f>IF(SUM(GZ9:HA9)&gt;0,SUM(GZ9:HA9),"")</f>
        <v/>
      </c>
      <c r="HC9" s="15" t="str">
        <f>IF(SUM(GT9:GW9)-GX9&gt;0,SUM(GT9:GW9)-GX9,"")</f>
        <v/>
      </c>
      <c r="HD9" s="15" t="str">
        <f>IF(SUM(HB9,HC9)&gt;0,SUM(HB9,HC9),"")</f>
        <v/>
      </c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45"/>
      <c r="HS9" s="45"/>
      <c r="HT9" s="12" t="str">
        <f>IF(SUM(HL9)&gt;0,SUM(HL9),"")</f>
        <v/>
      </c>
      <c r="HU9" s="12" t="str">
        <f>IF(SUM(HE9:HH9)-HI9&gt;0,SUM(HE9:HH9)-HI9,"")</f>
        <v/>
      </c>
      <c r="HV9" s="12" t="str">
        <f>IF(SUM(HJ9:HM9)-HN9&gt;0,SUM(HJ9:HM9)-HN9,"")</f>
        <v/>
      </c>
      <c r="HW9" s="12" t="str">
        <f>IF(SUM(HU9:HV9)&gt;0,SUM(HU9:HV9),"")</f>
        <v/>
      </c>
      <c r="HX9" s="12" t="str">
        <f>IF(SUM(HO9:HR9)-HS9&gt;0,SUM(HO9:HR9)-HS9,"")</f>
        <v/>
      </c>
      <c r="HY9" s="12" t="str">
        <f>IF(SUM(HW9,HX9)&gt;0,SUM(HW9,HX9),"")</f>
        <v/>
      </c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15" t="str">
        <f>IF(SUM(IG9)&gt;0,SUM(IG9),"")</f>
        <v/>
      </c>
      <c r="IP9" s="15" t="str">
        <f>IF(SUM(HZ9:IC9)-ID9&gt;0,SUM(HZ9:IC9)-ID9,"")</f>
        <v/>
      </c>
      <c r="IQ9" s="15" t="str">
        <f>IF(SUM(IE9:IH9)-II9&gt;0,SUM(IE9:IH9)-II9,"")</f>
        <v/>
      </c>
      <c r="IR9" s="15" t="str">
        <f>IF(SUM(IP9:IQ9)&gt;0,SUM(IP9:IQ9),"")</f>
        <v/>
      </c>
      <c r="IS9" s="15" t="str">
        <f>IF(SUM(IJ9:IM9)-IN9&gt;0,SUM(IJ9:IM9)-IN9,"")</f>
        <v/>
      </c>
      <c r="IT9" s="15" t="str">
        <f>IF(SUM(IR9,IS9)&gt;0,SUM(IR9,IS9),"")</f>
        <v/>
      </c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45"/>
      <c r="JI9" s="45"/>
      <c r="JJ9" s="12" t="str">
        <f>IF(SUM(JB9)&gt;0,SUM(JB9),"")</f>
        <v/>
      </c>
      <c r="JK9" s="12" t="str">
        <f>IF(SUM(IU9:IX9)-IY9&gt;0,SUM(IU9:IX9)-IY9,"")</f>
        <v/>
      </c>
      <c r="JL9" s="12" t="str">
        <f>IF(SUM(IZ9:JC9)-JD9&gt;0,SUM(IZ9:JC9)-JD9,"")</f>
        <v/>
      </c>
      <c r="JM9" s="12" t="str">
        <f>IF(SUM(JK9:JL9)&gt;0,SUM(JK9:JL9),"")</f>
        <v/>
      </c>
      <c r="JN9" s="12" t="str">
        <f>IF(SUM(JE9:JH9)-JI9&gt;0,SUM(JE9:JH9)-JI9,"")</f>
        <v/>
      </c>
      <c r="JO9" s="12" t="str">
        <f>IF(SUM(JM9,JN9)&gt;0,SUM(JM9,JN9),"")</f>
        <v/>
      </c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46"/>
      <c r="KD9" s="46"/>
      <c r="KE9" s="15" t="str">
        <f>IF(SUM(JW9)&gt;0,SUM(JW9),"")</f>
        <v/>
      </c>
      <c r="KF9" s="15" t="str">
        <f>IF(SUM(JP9:JS9)-JT9&gt;0,SUM(JP9:JS9)-JT9,"")</f>
        <v/>
      </c>
      <c r="KG9" s="15" t="str">
        <f>IF(SUM(JU9:JX9)-JY9&gt;0,SUM(JU9:JX9)-JY9,"")</f>
        <v/>
      </c>
      <c r="KH9" s="15" t="str">
        <f>IF(SUM(KF9:KG9)&gt;0,SUM(KF9:KG9),"")</f>
        <v/>
      </c>
      <c r="KI9" s="15" t="str">
        <f>IF(SUM(JZ9:KC9)-KD9&gt;0,SUM(JZ9:KC9)-KD9,"")</f>
        <v/>
      </c>
      <c r="KJ9" s="15" t="str">
        <f>IF(SUM(KH9,KI9)&gt;0,SUM(KH9,KI9),"")</f>
        <v/>
      </c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45"/>
      <c r="KY9" s="45"/>
      <c r="KZ9" s="12" t="str">
        <f>IF(SUM(KR9)&gt;0,SUM(KR9),"")</f>
        <v/>
      </c>
      <c r="LA9" s="12" t="str">
        <f>IF(SUM(KK9:KN9)-KO9&gt;0,SUM(KK9:KN9)-KO9,"")</f>
        <v/>
      </c>
      <c r="LB9" s="12" t="str">
        <f>IF(SUM(KP9:KS9)-KT9&gt;0,SUM(KP9:KS9)-KT9,"")</f>
        <v/>
      </c>
      <c r="LC9" s="12" t="str">
        <f>IF(SUM(LA9:LB9)&gt;0,SUM(LA9:LB9),"")</f>
        <v/>
      </c>
      <c r="LD9" s="12" t="str">
        <f>IF(SUM(KU9:KX9)-KY9&gt;0,SUM(KU9:KX9)-KY9,"")</f>
        <v/>
      </c>
      <c r="LE9" s="12" t="str">
        <f>IF(SUM(LC9,LD9)&gt;0,SUM(LC9,LD9),"")</f>
        <v/>
      </c>
      <c r="LF9" s="46"/>
      <c r="LG9" s="46"/>
      <c r="LH9" s="46"/>
      <c r="LI9" s="46"/>
      <c r="LJ9" s="46"/>
      <c r="LK9" s="46"/>
      <c r="LL9" s="46"/>
      <c r="LM9" s="46"/>
      <c r="LN9" s="46"/>
      <c r="LO9" s="46"/>
      <c r="LP9" s="46"/>
      <c r="LQ9" s="46"/>
      <c r="LR9" s="46"/>
      <c r="LS9" s="46"/>
      <c r="LT9" s="46"/>
      <c r="LU9" s="15" t="str">
        <f>IF(SUM(LM9)&gt;0,SUM(LM9),"")</f>
        <v/>
      </c>
      <c r="LV9" s="15" t="str">
        <f>IF(SUM(LF9:LI9)-LJ9&gt;0,SUM(LF9:LI9)-LJ9,"")</f>
        <v/>
      </c>
      <c r="LW9" s="15" t="str">
        <f>IF(SUM(LK9:LN9)-LO9&gt;0,SUM(LK9:LN9)-LO9,"")</f>
        <v/>
      </c>
      <c r="LX9" s="15" t="str">
        <f>IF(SUM(LV9:LW9)&gt;0,SUM(LV9:LW9),"")</f>
        <v/>
      </c>
      <c r="LY9" s="15" t="str">
        <f>IF(SUM(LP9:LS9)-LT9&gt;0,SUM(LP9:LS9)-LT9,"")</f>
        <v/>
      </c>
      <c r="LZ9" s="15" t="str">
        <f>IF(SUM(LX9,LY9)&gt;0,SUM(LX9,LY9),"")</f>
        <v/>
      </c>
    </row>
    <row r="10" spans="1:338">
      <c r="A10" s="6" t="str">
        <f>IF(AND(F10="P",H10="P"),SUMPRODUCT((F$4:F$15="P")*(H$4:H$15="P")*(E$4:E$15&gt;E10))+1,IF(H10="P",SUMPRODUCT((F$4:F$15="")*(H$4:H$15="P")*(E$4:E$15&gt;E10))+1+SUMPRODUCT((F$4:F$15="P")*(H$4:H$15="P")),""))</f>
        <v/>
      </c>
      <c r="B10" s="9" t="s">
        <v>86</v>
      </c>
      <c r="C10" s="5" t="s">
        <v>3</v>
      </c>
      <c r="D10" s="31">
        <v>1999</v>
      </c>
      <c r="E10" s="16">
        <f>SUM(J10:R10)</f>
        <v>229.95499999999998</v>
      </c>
      <c r="F10" s="4" t="str">
        <f>IF(OR(AND($AJ10&gt;=$AK$18,NOT($AJ10="")),AND($BE10&gt;=$BF$18,NOT($BE10="")),AND($BZ10&gt;=$CA$18,NOT($BZ10=""))),"P","")</f>
        <v/>
      </c>
      <c r="G10" s="4" t="str">
        <f>IF(OR(AND($AJ10&gt;=$AK$19,NOT($AJ10="")),AND($BE10&gt;=$BF$19,NOT($BE10="")),AND($BZ10&gt;=$CA$19,NOT($BZ10=""))),"P","")</f>
        <v/>
      </c>
      <c r="H10" s="4" t="str">
        <f>IF(OR(AND($AM10&gt;=$AK$20,NOT($AM10="")),AND($BH10&gt;=$BF$20,NOT($BH10="")),AND($CC10&gt;=$CA$20,NOT($CC10=""))),"P","")</f>
        <v/>
      </c>
      <c r="I10" t="str">
        <f>IF(AND(F10="P",OR(AND($AL10&gt;=$AK$23,NOT($AL10="")),AND($AN10&gt;=$AK$23,NOT($AN10="")),AND($BG10&gt;=$BF$23,NOT($BG10="")),AND($BI10&gt;=$BF$23,NOT($BI10="")),AND($CB10&gt;=$CA$23,NOT($CB10="")),AND($CD10&gt;=$CA$23,NOT($CD10="")))),"Merit",IF(AND(F10="P",OR(AND($AM10&gt;=$AK$22,NOT($AM10="")),AND($BH10&gt;=$BF$22,NOT($BH10="")),AND($CC10&gt;=$CA$22,NOT($CC10="")))),"Funding",IF(AND(F10="P",OR(AND($AM10&gt;=$AK$21,NOT($AM10="")),AND($BH10&gt;=$BF$21,NOT($BH10="")),AND($CC10&gt;=$CA$21,NOT($CC10="")))),"Worlds Team",IF(AND(F10="P",OR(AND($AM10&gt;=$AK$20,NOT($AM10="")),AND($BH10&gt;=$BF$20,NOT($BH10="")),AND($CC10&gt;=$CA$20,NOT($CC10="")))),"National Team",""))))</f>
        <v/>
      </c>
      <c r="J10" s="15">
        <f>MAX(AM10,BH10,CC10)</f>
        <v>91.5</v>
      </c>
      <c r="K10" s="15" t="str">
        <f>IF(J10=CC10,$BK$1,IF(J10=BH10,$AP$1,IF(J10=AM10,$U$1,"")))</f>
        <v>2017 Nationals</v>
      </c>
      <c r="L10" s="15">
        <f>IF($J10=$AM10,MAX(BF10,CA10),IF($J10=$BH10,MAX(AK10,CA10),MAX(AK10,BF10)))</f>
        <v>43.69</v>
      </c>
      <c r="M10" s="15" t="str">
        <f>IF(L10=CA10,$BK$1,IF(L10=BF10,$AP$1,IF(L10=AK10,$U$1,"")))</f>
        <v>2017 Canada Cup</v>
      </c>
      <c r="N10" s="15">
        <f>IF($J10=$AM10,MAX(BG10,CB10),IF($J10=$BH10,MAX(AL10,CB10),MAX(AL10,BG10)))</f>
        <v>46.724999999999994</v>
      </c>
      <c r="O10" s="15" t="str">
        <f>IF(N10=CB10,$BK$1,IF(N10=BG10,$AP$1,IF(N10=AL10,$U$1,"")))</f>
        <v>2017 Canada Cup</v>
      </c>
      <c r="P10" s="15">
        <f>MAX(AN10,BI10,CD10)</f>
        <v>48.04</v>
      </c>
      <c r="Q10" s="15" t="str">
        <f>IF(P10=CD10,$BK$1,IF(P10=BI10,$AP$1,IF(P10=AN10,$U$1,"")))</f>
        <v>2017 Canada Cup</v>
      </c>
      <c r="R10" s="15" t="str">
        <f>IF(MAX(CF10:CH10)&gt;0,MAX(CF10:CH10),"")</f>
        <v/>
      </c>
      <c r="S10" s="29" t="str">
        <f>IF(R10="","",IF(R10=CF10,"(Vol 1)",IF(R10=CG10,"(Vol 2)",IF(R10=CH10,"(Final)"))))</f>
        <v/>
      </c>
      <c r="T10" s="15" t="str">
        <f>IF(R10="","",IF(R10=CF10,IF(R10+L10=LV10,$LF$1,IF(R10+L10=LA10,$KK$1,IF(R10+L10=KF10,$JP$1,IF(R10+L10=JK10,$IU$1,IF(R10+L10=IP10,$HZ$1,IF(R10+L10=HU10,$HE$1,IF(R10+L10=GZ10,$GJ$1,IF(R10+L10=GE10,$FO$1,IF(R10+L10=FJ10,$ET$1,IF(R10+L10=EO10,$DY$1,IF(R10+L10=DT10,$DD$1,IF(R10+L10=CY10,$CI$1)))))))))))),IF(R10=CG10,IF(R10+N10=LW10,$LF$1,IF(R10+N10=LB10,$KK$1,IF(R10+N10=KG10,$JP$1,IF(R10+N10=JL10,$IU$1,IF(R10+N10=IQ10,$HZ$1,IF(R10+N10=HV10,$HE$1,IF(R10+N10=HA10,$GJ$1,IF(R10+N10=GF10,$FO$1,IF(R10+N10=FK10,$ET$1,IF(R10+N10=EP10,$DY$1,IF(R10+N10=DU10,$DD$1,IF(R10+N10=CZ10,$CI$1)))))))))))),IF(R10=CH10,IF(R10+P10=LY10,$LF$1,IF(R10+P10=LD10,$KK$1,IF(R10+P10=KI10,$JP$1,IF(R10+P10=JN10,$IU$1,IF(R10+P10=IS10,$HZ$1,IF(R10+P10=HX10,$HE$1,IF(R10+P10=HC10,$GJ$1,IF(R10+P10=GH10,$FO$1,IF(R10+P10=FM10,$ET$1,IF(R10+P10=ER10,$DY$1,IF(R10+P10=DW10,$DD$1,IF(R10+P10=DB10,$CI$1))))))))))))))))</f>
        <v/>
      </c>
      <c r="U10" s="45">
        <v>16.5</v>
      </c>
      <c r="V10" s="45">
        <v>9.1999999999999993</v>
      </c>
      <c r="W10" s="45">
        <v>3.9</v>
      </c>
      <c r="X10" s="45">
        <v>14.09</v>
      </c>
      <c r="Y10" s="45">
        <v>0</v>
      </c>
      <c r="Z10" s="45">
        <v>14.5</v>
      </c>
      <c r="AA10" s="45">
        <v>8.9</v>
      </c>
      <c r="AB10" s="45">
        <v>10</v>
      </c>
      <c r="AC10" s="45">
        <v>13.324999999999999</v>
      </c>
      <c r="AD10" s="45">
        <v>0</v>
      </c>
      <c r="AE10" s="45">
        <v>15.1</v>
      </c>
      <c r="AF10" s="45">
        <v>9.6999999999999993</v>
      </c>
      <c r="AG10" s="45">
        <v>10</v>
      </c>
      <c r="AH10" s="45">
        <v>13.24</v>
      </c>
      <c r="AI10" s="45">
        <v>0</v>
      </c>
      <c r="AJ10" s="12">
        <f>IF(SUM(AB10)&gt;0,SUM(AB10),"")</f>
        <v>10</v>
      </c>
      <c r="AK10" s="12">
        <f>IF(SUM(U10:X10)-Y10&gt;0,SUM(U10:X10)-Y10,"")</f>
        <v>43.69</v>
      </c>
      <c r="AL10" s="12">
        <f>IF(SUM(Z10:AC10)-AD10&gt;0,SUM(Z10:AC10)-AD10,"")</f>
        <v>46.724999999999994</v>
      </c>
      <c r="AM10" s="12">
        <f>IF(SUM(AK10:AL10)&gt;0,SUM(AK10:AL10),"")</f>
        <v>90.414999999999992</v>
      </c>
      <c r="AN10" s="12">
        <f>IF(SUM(AE10:AH10)-AI10&gt;0,SUM(AE10:AH10)-AI10,"")</f>
        <v>48.04</v>
      </c>
      <c r="AO10" s="12">
        <f>IF(SUM(AM10,AN10)&gt;0,SUM(AM10,AN10),"")</f>
        <v>138.45499999999998</v>
      </c>
      <c r="AP10" s="46">
        <v>16.5</v>
      </c>
      <c r="AQ10" s="46">
        <v>9.4</v>
      </c>
      <c r="AR10" s="46">
        <v>3.9</v>
      </c>
      <c r="AS10" s="46">
        <v>14.215</v>
      </c>
      <c r="AT10" s="46">
        <v>0</v>
      </c>
      <c r="AU10" s="46">
        <v>14.5</v>
      </c>
      <c r="AV10" s="46">
        <v>9.5</v>
      </c>
      <c r="AW10" s="46">
        <v>10</v>
      </c>
      <c r="AX10" s="46">
        <v>13.484999999999999</v>
      </c>
      <c r="AY10" s="46">
        <v>0</v>
      </c>
      <c r="AZ10" s="46">
        <v>14.3</v>
      </c>
      <c r="BA10" s="46">
        <v>9.1</v>
      </c>
      <c r="BB10" s="46">
        <v>10</v>
      </c>
      <c r="BC10" s="46">
        <v>13.425000000000001</v>
      </c>
      <c r="BD10" s="46">
        <v>0</v>
      </c>
      <c r="BE10" s="15">
        <f>IF(SUM(AW10)&gt;0,SUM(AW10),"")</f>
        <v>10</v>
      </c>
      <c r="BF10" s="15">
        <f>IF(SUM(AP10:AS10)-AT10&gt;0,SUM(AP10:AS10)-AT10,"")</f>
        <v>44.015000000000001</v>
      </c>
      <c r="BG10" s="15">
        <f>IF(SUM(AU10:AX10)-AY10&gt;0,SUM(AU10:AX10)-AY10,"")</f>
        <v>47.484999999999999</v>
      </c>
      <c r="BH10" s="15">
        <f>IF(SUM(BF10:BG10)&gt;0,SUM(BF10:BG10),"")</f>
        <v>91.5</v>
      </c>
      <c r="BI10" s="15">
        <f>IF(SUM(AZ10:BC10)-BD10&gt;0,SUM(AZ10:BC10)-BD10,"")</f>
        <v>46.825000000000003</v>
      </c>
      <c r="BJ10" s="15">
        <f>IF(SUM(BH10,BI10)&gt;0,SUM(BH10,BI10),"")</f>
        <v>138.32499999999999</v>
      </c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12" t="str">
        <f>IF(SUM(BR10)&gt;0,SUM(BR10),"")</f>
        <v/>
      </c>
      <c r="CA10" s="12" t="str">
        <f>IF(SUM(BK10:BN10)-BO10&gt;0,SUM(BK10:BN10)-BO10,"")</f>
        <v/>
      </c>
      <c r="CB10" s="12" t="str">
        <f>IF(SUM(BP10:BS10)-BT10&gt;0,SUM(BP10:BS10)-BT10,"")</f>
        <v/>
      </c>
      <c r="CC10" s="12" t="str">
        <f>IF(SUM(CA10:CB10)&gt;0,SUM(CA10:CB10),"")</f>
        <v/>
      </c>
      <c r="CD10" s="12" t="str">
        <f>IF(SUM(BU10:BX10)-BY10&gt;0,SUM(BU10:BX10)-BY10,"")</f>
        <v/>
      </c>
      <c r="CE10" s="12" t="str">
        <f>IF(SUM(CC10,CD10)&gt;0,SUM(CC10,CD10),"")</f>
        <v/>
      </c>
      <c r="CF10" s="28" t="str">
        <f>IF(MAX(CY10,DT10,EO10,FJ10,GE10,GZ10,HU10,IP10,JK10,KF10,LA10,LV10)-L10&gt;0.001,MAX(CY10,DT10,EO10,FJ10,GE10,GZ10,HU10,IP10,JK10,KF10,LA10,LV10)-L10,"")</f>
        <v/>
      </c>
      <c r="CG10" s="28" t="str">
        <f>IF(MAX(CZ10,DU10,EP10,FK10,GF10,HA10,HV10,IQ10,JL10,KG10,LB10,LW10)-N10&gt;0.001,MAX(CZ10,DU10,EP10,FK10,GF10,HA10,HV10,IQ10,JL10,KG10,LB10,LW10)-N10,"")</f>
        <v/>
      </c>
      <c r="CH10" s="28" t="str">
        <f>IF(MAX(DB10,DW10,ER10,FM10,GH10,HC10,HX10,IS10,JN10,KI10,LD10,LY10)-P10&gt;0.001,MAX(DB10,DW10,ER10,FM10,GH10,HC10,HX10,IS10,JN10,KI10,LD10,LY10)-P10,"")</f>
        <v/>
      </c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12" t="str">
        <f>IF(SUM(CP10)&gt;0,SUM(CP10),"")</f>
        <v/>
      </c>
      <c r="CY10" s="12" t="str">
        <f>IF(SUM(CI10:CL10)-CM10&gt;0,SUM(CI10:CL10)-CM10,"")</f>
        <v/>
      </c>
      <c r="CZ10" s="12" t="str">
        <f>IF(SUM(CN10:CQ10)-CR10&gt;0,SUM(CN10:CQ10)-CR10,"")</f>
        <v/>
      </c>
      <c r="DA10" s="12" t="str">
        <f>IF(SUM(CY10:CZ10)&gt;0,SUM(CY10:CZ10),"")</f>
        <v/>
      </c>
      <c r="DB10" s="12" t="str">
        <f>IF(SUM(CS10:CV10)-CW10&gt;0,SUM(CS10:CV10)-CW10,"")</f>
        <v/>
      </c>
      <c r="DC10" s="12" t="str">
        <f>IF(SUM(DA10,DB10)&gt;0,SUM(DA10,DB10),"")</f>
        <v/>
      </c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15" t="str">
        <f>IF(SUM(DK10)&gt;0,SUM(DK10),"")</f>
        <v/>
      </c>
      <c r="DT10" s="15" t="str">
        <f>IF(SUM(DD10:DG10)-DH10&gt;0,SUM(DD10:DG10)-DH10,"")</f>
        <v/>
      </c>
      <c r="DU10" s="15" t="str">
        <f>IF(SUM(DI10:DL10)-DM10&gt;0,SUM(DI10:DL10)-DM10,"")</f>
        <v/>
      </c>
      <c r="DV10" s="15" t="str">
        <f>IF(SUM(DT10:DU10)&gt;0,SUM(DT10:DU10),"")</f>
        <v/>
      </c>
      <c r="DW10" s="15" t="str">
        <f>IF(SUM(DN10:DQ10)-DR10&gt;0,SUM(DN10:DQ10)-DR10,"")</f>
        <v/>
      </c>
      <c r="DX10" s="15" t="str">
        <f>IF(SUM(DV10,DW10)&gt;0,SUM(DV10,DW10),"")</f>
        <v/>
      </c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45"/>
      <c r="EM10" s="45"/>
      <c r="EN10" s="12" t="str">
        <f>IF(SUM(EF10)&gt;0,SUM(EF10),"")</f>
        <v/>
      </c>
      <c r="EO10" s="12" t="str">
        <f>IF(SUM(DY10:EB10)-EC10&gt;0,SUM(DY10:EB10)-EC10,"")</f>
        <v/>
      </c>
      <c r="EP10" s="12" t="str">
        <f>IF(SUM(ED10:EG10)-EH10&gt;0,SUM(ED10:EG10)-EH10,"")</f>
        <v/>
      </c>
      <c r="EQ10" s="12" t="str">
        <f>IF(SUM(EO10:EP10)&gt;0,SUM(EO10:EP10),"")</f>
        <v/>
      </c>
      <c r="ER10" s="12" t="str">
        <f>IF(SUM(EI10:EL10)-EM10&gt;0,SUM(EI10:EL10)-EM10,"")</f>
        <v/>
      </c>
      <c r="ES10" s="12" t="str">
        <f>IF(SUM(EQ10,ER10)&gt;0,SUM(EQ10,ER10),"")</f>
        <v/>
      </c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15" t="str">
        <f>IF(SUM(FA10)&gt;0,SUM(FA10),"")</f>
        <v/>
      </c>
      <c r="FJ10" s="15" t="str">
        <f>IF(SUM(ET10:EW10)-EX10&gt;0,SUM(ET10:EW10)-EX10,"")</f>
        <v/>
      </c>
      <c r="FK10" s="15" t="str">
        <f>IF(SUM(EY10:FB10)-FC10&gt;0,SUM(EY10:FB10)-FC10,"")</f>
        <v/>
      </c>
      <c r="FL10" s="15" t="str">
        <f>IF(SUM(FJ10:FK10)&gt;0,SUM(FJ10:FK10),"")</f>
        <v/>
      </c>
      <c r="FM10" s="15" t="str">
        <f>IF(SUM(FD10:FG10)-FH10&gt;0,SUM(FD10:FG10)-FH10,"")</f>
        <v/>
      </c>
      <c r="FN10" s="15" t="str">
        <f>IF(SUM(FL10,FM10)&gt;0,SUM(FL10,FM10),"")</f>
        <v/>
      </c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45"/>
      <c r="GC10" s="45"/>
      <c r="GD10" s="12" t="str">
        <f>IF(SUM(FV10)&gt;0,SUM(FV10),"")</f>
        <v/>
      </c>
      <c r="GE10" s="12" t="str">
        <f>IF(SUM(FO10:FR10)-FS10&gt;0,SUM(FO10:FR10)-FS10,"")</f>
        <v/>
      </c>
      <c r="GF10" s="12" t="str">
        <f>IF(SUM(FT10:FW10)-FX10&gt;0,SUM(FT10:FW10)-FX10,"")</f>
        <v/>
      </c>
      <c r="GG10" s="12" t="str">
        <f>IF(SUM(GE10:GF10)&gt;0,SUM(GE10:GF10),"")</f>
        <v/>
      </c>
      <c r="GH10" s="12" t="str">
        <f>IF(SUM(FY10:GB10)-GC10&gt;0,SUM(FY10:GB10)-GC10,"")</f>
        <v/>
      </c>
      <c r="GI10" s="12" t="str">
        <f>IF(SUM(GG10,GH10)&gt;0,SUM(GG10,GH10),"")</f>
        <v/>
      </c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15" t="str">
        <f>IF(SUM(GQ10)&gt;0,SUM(GQ10),"")</f>
        <v/>
      </c>
      <c r="GZ10" s="15" t="str">
        <f>IF(SUM(GJ10:GM10)-GN10&gt;0,SUM(GJ10:GM10)-GN10,"")</f>
        <v/>
      </c>
      <c r="HA10" s="15" t="str">
        <f>IF(SUM(GO10:GR10)-GS10&gt;0,SUM(GO10:GR10)-GS10,"")</f>
        <v/>
      </c>
      <c r="HB10" s="15" t="str">
        <f>IF(SUM(GZ10:HA10)&gt;0,SUM(GZ10:HA10),"")</f>
        <v/>
      </c>
      <c r="HC10" s="15" t="str">
        <f>IF(SUM(GT10:GW10)-GX10&gt;0,SUM(GT10:GW10)-GX10,"")</f>
        <v/>
      </c>
      <c r="HD10" s="15" t="str">
        <f>IF(SUM(HB10,HC10)&gt;0,SUM(HB10,HC10),"")</f>
        <v/>
      </c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45"/>
      <c r="HS10" s="45"/>
      <c r="HT10" s="12" t="str">
        <f>IF(SUM(HL10)&gt;0,SUM(HL10),"")</f>
        <v/>
      </c>
      <c r="HU10" s="12" t="str">
        <f>IF(SUM(HE10:HH10)-HI10&gt;0,SUM(HE10:HH10)-HI10,"")</f>
        <v/>
      </c>
      <c r="HV10" s="12" t="str">
        <f>IF(SUM(HJ10:HM10)-HN10&gt;0,SUM(HJ10:HM10)-HN10,"")</f>
        <v/>
      </c>
      <c r="HW10" s="12" t="str">
        <f>IF(SUM(HU10:HV10)&gt;0,SUM(HU10:HV10),"")</f>
        <v/>
      </c>
      <c r="HX10" s="12" t="str">
        <f>IF(SUM(HO10:HR10)-HS10&gt;0,SUM(HO10:HR10)-HS10,"")</f>
        <v/>
      </c>
      <c r="HY10" s="12" t="str">
        <f>IF(SUM(HW10,HX10)&gt;0,SUM(HW10,HX10),"")</f>
        <v/>
      </c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15" t="str">
        <f>IF(SUM(IG10)&gt;0,SUM(IG10),"")</f>
        <v/>
      </c>
      <c r="IP10" s="15" t="str">
        <f>IF(SUM(HZ10:IC10)-ID10&gt;0,SUM(HZ10:IC10)-ID10,"")</f>
        <v/>
      </c>
      <c r="IQ10" s="15" t="str">
        <f>IF(SUM(IE10:IH10)-II10&gt;0,SUM(IE10:IH10)-II10,"")</f>
        <v/>
      </c>
      <c r="IR10" s="15" t="str">
        <f>IF(SUM(IP10:IQ10)&gt;0,SUM(IP10:IQ10),"")</f>
        <v/>
      </c>
      <c r="IS10" s="15" t="str">
        <f>IF(SUM(IJ10:IM10)-IN10&gt;0,SUM(IJ10:IM10)-IN10,"")</f>
        <v/>
      </c>
      <c r="IT10" s="15" t="str">
        <f>IF(SUM(IR10,IS10)&gt;0,SUM(IR10,IS10),"")</f>
        <v/>
      </c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45"/>
      <c r="JI10" s="45"/>
      <c r="JJ10" s="12" t="str">
        <f>IF(SUM(JB10)&gt;0,SUM(JB10),"")</f>
        <v/>
      </c>
      <c r="JK10" s="12" t="str">
        <f>IF(SUM(IU10:IX10)-IY10&gt;0,SUM(IU10:IX10)-IY10,"")</f>
        <v/>
      </c>
      <c r="JL10" s="12" t="str">
        <f>IF(SUM(IZ10:JC10)-JD10&gt;0,SUM(IZ10:JC10)-JD10,"")</f>
        <v/>
      </c>
      <c r="JM10" s="12" t="str">
        <f>IF(SUM(JK10:JL10)&gt;0,SUM(JK10:JL10),"")</f>
        <v/>
      </c>
      <c r="JN10" s="12" t="str">
        <f>IF(SUM(JE10:JH10)-JI10&gt;0,SUM(JE10:JH10)-JI10,"")</f>
        <v/>
      </c>
      <c r="JO10" s="12" t="str">
        <f>IF(SUM(JM10,JN10)&gt;0,SUM(JM10,JN10),"")</f>
        <v/>
      </c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46"/>
      <c r="KD10" s="46"/>
      <c r="KE10" s="15" t="str">
        <f>IF(SUM(JW10)&gt;0,SUM(JW10),"")</f>
        <v/>
      </c>
      <c r="KF10" s="15" t="str">
        <f>IF(SUM(JP10:JS10)-JT10&gt;0,SUM(JP10:JS10)-JT10,"")</f>
        <v/>
      </c>
      <c r="KG10" s="15" t="str">
        <f>IF(SUM(JU10:JX10)-JY10&gt;0,SUM(JU10:JX10)-JY10,"")</f>
        <v/>
      </c>
      <c r="KH10" s="15" t="str">
        <f>IF(SUM(KF10:KG10)&gt;0,SUM(KF10:KG10),"")</f>
        <v/>
      </c>
      <c r="KI10" s="15" t="str">
        <f>IF(SUM(JZ10:KC10)-KD10&gt;0,SUM(JZ10:KC10)-KD10,"")</f>
        <v/>
      </c>
      <c r="KJ10" s="15" t="str">
        <f>IF(SUM(KH10,KI10)&gt;0,SUM(KH10,KI10),"")</f>
        <v/>
      </c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45"/>
      <c r="KY10" s="45"/>
      <c r="KZ10" s="12" t="str">
        <f>IF(SUM(KR10)&gt;0,SUM(KR10),"")</f>
        <v/>
      </c>
      <c r="LA10" s="12" t="str">
        <f>IF(SUM(KK10:KN10)-KO10&gt;0,SUM(KK10:KN10)-KO10,"")</f>
        <v/>
      </c>
      <c r="LB10" s="12" t="str">
        <f>IF(SUM(KP10:KS10)-KT10&gt;0,SUM(KP10:KS10)-KT10,"")</f>
        <v/>
      </c>
      <c r="LC10" s="12" t="str">
        <f>IF(SUM(LA10:LB10)&gt;0,SUM(LA10:LB10),"")</f>
        <v/>
      </c>
      <c r="LD10" s="12" t="str">
        <f>IF(SUM(KU10:KX10)-KY10&gt;0,SUM(KU10:KX10)-KY10,"")</f>
        <v/>
      </c>
      <c r="LE10" s="12" t="str">
        <f>IF(SUM(LC10,LD10)&gt;0,SUM(LC10,LD10),"")</f>
        <v/>
      </c>
      <c r="LF10" s="46"/>
      <c r="LG10" s="46"/>
      <c r="LH10" s="46"/>
      <c r="LI10" s="46"/>
      <c r="LJ10" s="46"/>
      <c r="LK10" s="46"/>
      <c r="LL10" s="46"/>
      <c r="LM10" s="46"/>
      <c r="LN10" s="46"/>
      <c r="LO10" s="46"/>
      <c r="LP10" s="46"/>
      <c r="LQ10" s="46"/>
      <c r="LR10" s="46"/>
      <c r="LS10" s="46"/>
      <c r="LT10" s="46"/>
      <c r="LU10" s="15" t="str">
        <f>IF(SUM(LM10)&gt;0,SUM(LM10),"")</f>
        <v/>
      </c>
      <c r="LV10" s="15" t="str">
        <f>IF(SUM(LF10:LI10)-LJ10&gt;0,SUM(LF10:LI10)-LJ10,"")</f>
        <v/>
      </c>
      <c r="LW10" s="15" t="str">
        <f>IF(SUM(LK10:LN10)-LO10&gt;0,SUM(LK10:LN10)-LO10,"")</f>
        <v/>
      </c>
      <c r="LX10" s="15" t="str">
        <f>IF(SUM(LV10:LW10)&gt;0,SUM(LV10:LW10),"")</f>
        <v/>
      </c>
      <c r="LY10" s="15" t="str">
        <f>IF(SUM(LP10:LS10)-LT10&gt;0,SUM(LP10:LS10)-LT10,"")</f>
        <v/>
      </c>
      <c r="LZ10" s="15" t="str">
        <f>IF(SUM(LX10,LY10)&gt;0,SUM(LX10,LY10),"")</f>
        <v/>
      </c>
    </row>
    <row r="11" spans="1:338">
      <c r="A11" s="6" t="str">
        <f>IF(AND(F11="P",H11="P"),SUMPRODUCT((F$4:F$15="P")*(H$4:H$15="P")*(E$4:E$15&gt;E11))+1,IF(H11="P",SUMPRODUCT((F$4:F$15="")*(H$4:H$15="P")*(E$4:E$15&gt;E11))+1+SUMPRODUCT((F$4:F$15="P")*(H$4:H$15="P")),""))</f>
        <v/>
      </c>
      <c r="B11" s="9" t="s">
        <v>110</v>
      </c>
      <c r="C11" s="5" t="s">
        <v>3</v>
      </c>
      <c r="D11" s="31">
        <v>2001</v>
      </c>
      <c r="E11" s="16">
        <f>SUM(J11:R11)</f>
        <v>229.87</v>
      </c>
      <c r="F11" s="4" t="str">
        <f>IF(OR(AND($AJ11&gt;=$AK$18,NOT($AJ11="")),AND($BE11&gt;=$BF$18,NOT($BE11="")),AND($BZ11&gt;=$CA$18,NOT($BZ11=""))),"P","")</f>
        <v/>
      </c>
      <c r="G11" s="4" t="str">
        <f>IF(OR(AND($AJ11&gt;=$AK$19,NOT($AJ11="")),AND($BE11&gt;=$BF$19,NOT($BE11="")),AND($BZ11&gt;=$CA$19,NOT($BZ11=""))),"P","")</f>
        <v/>
      </c>
      <c r="H11" s="4" t="str">
        <f>IF(OR(AND($AM11&gt;=$AK$20,NOT($AM11="")),AND($BH11&gt;=$BF$20,NOT($BH11="")),AND($CC11&gt;=$CA$20,NOT($CC11=""))),"P","")</f>
        <v/>
      </c>
      <c r="I11" t="str">
        <f>IF(AND(F11="P",OR(AND($AL11&gt;=$AK$23,NOT($AL11="")),AND($AN11&gt;=$AK$23,NOT($AN11="")),AND($BG11&gt;=$BF$23,NOT($BG11="")),AND($BI11&gt;=$BF$23,NOT($BI11="")),AND($CB11&gt;=$CA$23,NOT($CB11="")),AND($CD11&gt;=$CA$23,NOT($CD11="")))),"Merit",IF(AND(F11="P",OR(AND($AM11&gt;=$AK$22,NOT($AM11="")),AND($BH11&gt;=$BF$22,NOT($BH11="")),AND($CC11&gt;=$CA$22,NOT($CC11="")))),"Funding",IF(AND(F11="P",OR(AND($AM11&gt;=$AK$21,NOT($AM11="")),AND($BH11&gt;=$BF$21,NOT($BH11="")),AND($CC11&gt;=$CA$21,NOT($CC11="")))),"Worlds Team",IF(AND(F11="P",OR(AND($AM11&gt;=$AK$20,NOT($AM11="")),AND($BH11&gt;=$BF$20,NOT($BH11="")),AND($CC11&gt;=$CA$20,NOT($CC11="")))),"National Team",""))))</f>
        <v/>
      </c>
      <c r="J11" s="15">
        <f>MAX(AM11,BH11,CC11)</f>
        <v>91.575000000000003</v>
      </c>
      <c r="K11" s="15" t="str">
        <f>IF(J11=CC11,$BK$1,IF(J11=BH11,$AP$1,IF(J11=AM11,$U$1,"")))</f>
        <v>2017 Nationals</v>
      </c>
      <c r="L11" s="15">
        <f>IF($J11=$AM11,MAX(BF11,CA11),IF($J11=$BH11,MAX(AK11,CA11),MAX(AK11,BF11)))</f>
        <v>43.22</v>
      </c>
      <c r="M11" s="15" t="str">
        <f>IF(L11=CA11,$BK$1,IF(L11=BF11,$AP$1,IF(L11=AK11,$U$1,"")))</f>
        <v>2018 Canada Cup</v>
      </c>
      <c r="N11" s="15">
        <f>IF($J11=$AM11,MAX(BG11,CB11),IF($J11=$BH11,MAX(AL11,CB11),MAX(AL11,BG11)))</f>
        <v>47.35</v>
      </c>
      <c r="O11" s="15" t="str">
        <f>IF(N11=CB11,$BK$1,IF(N11=BG11,$AP$1,IF(N11=AL11,$U$1,"")))</f>
        <v>2017 Canada Cup</v>
      </c>
      <c r="P11" s="15">
        <f>MAX(AN11,BI11,CD11)</f>
        <v>47.725000000000009</v>
      </c>
      <c r="Q11" s="15" t="str">
        <f>IF(P11=CD11,$BK$1,IF(P11=BI11,$AP$1,IF(P11=AN11,$U$1,"")))</f>
        <v>2017 Nationals</v>
      </c>
      <c r="R11" s="15" t="str">
        <f>IF(MAX(CF11:CH11)&gt;0,MAX(CF11:CH11),"")</f>
        <v/>
      </c>
      <c r="S11" s="29" t="str">
        <f>IF(R11="","",IF(R11=CF11,"(Vol 1)",IF(R11=CG11,"(Vol 2)",IF(R11=CH11,"(Final)"))))</f>
        <v/>
      </c>
      <c r="T11" s="15" t="str">
        <f>IF(R11="","",IF(R11=CF11,IF(R11+L11=LV11,$LF$1,IF(R11+L11=LA11,$KK$1,IF(R11+L11=KF11,$JP$1,IF(R11+L11=JK11,$IU$1,IF(R11+L11=IP11,$HZ$1,IF(R11+L11=HU11,$HE$1,IF(R11+L11=GZ11,$GJ$1,IF(R11+L11=GE11,$FO$1,IF(R11+L11=FJ11,$ET$1,IF(R11+L11=EO11,$DY$1,IF(R11+L11=DT11,$DD$1,IF(R11+L11=CY11,$CI$1)))))))))))),IF(R11=CG11,IF(R11+N11=LW11,$LF$1,IF(R11+N11=LB11,$KK$1,IF(R11+N11=KG11,$JP$1,IF(R11+N11=JL11,$IU$1,IF(R11+N11=IQ11,$HZ$1,IF(R11+N11=HV11,$HE$1,IF(R11+N11=HA11,$GJ$1,IF(R11+N11=GF11,$FO$1,IF(R11+N11=FK11,$ET$1,IF(R11+N11=EP11,$DY$1,IF(R11+N11=DU11,$DD$1,IF(R11+N11=CZ11,$CI$1)))))))))))),IF(R11=CH11,IF(R11+P11=LY11,$LF$1,IF(R11+P11=LD11,$KK$1,IF(R11+P11=KI11,$JP$1,IF(R11+P11=JN11,$IU$1,IF(R11+P11=IS11,$HZ$1,IF(R11+P11=HX11,$HE$1,IF(R11+P11=HC11,$GJ$1,IF(R11+P11=GH11,$FO$1,IF(R11+P11=FM11,$ET$1,IF(R11+P11=ER11,$DY$1,IF(R11+P11=DW11,$DD$1,IF(R11+P11=DB11,$CI$1))))))))))))))))</f>
        <v/>
      </c>
      <c r="U11" s="45">
        <v>16.2</v>
      </c>
      <c r="V11" s="45">
        <v>9.5</v>
      </c>
      <c r="W11" s="45">
        <v>3.3</v>
      </c>
      <c r="X11" s="45">
        <v>14.164999999999999</v>
      </c>
      <c r="Y11" s="45">
        <v>0</v>
      </c>
      <c r="Z11" s="45">
        <v>15.6</v>
      </c>
      <c r="AA11" s="45">
        <v>9.4</v>
      </c>
      <c r="AB11" s="45">
        <v>8.6</v>
      </c>
      <c r="AC11" s="45">
        <v>13.75</v>
      </c>
      <c r="AD11" s="45">
        <v>0</v>
      </c>
      <c r="AE11" s="45">
        <v>13.5</v>
      </c>
      <c r="AF11" s="45">
        <v>9.4</v>
      </c>
      <c r="AG11" s="45">
        <v>9.8000000000000007</v>
      </c>
      <c r="AH11" s="45">
        <v>14.11</v>
      </c>
      <c r="AI11" s="45">
        <v>0</v>
      </c>
      <c r="AJ11" s="12">
        <f>IF(SUM(AB11)&gt;0,SUM(AB11),"")</f>
        <v>8.6</v>
      </c>
      <c r="AK11" s="12">
        <f>IF(SUM(U11:X11)-Y11&gt;0,SUM(U11:X11)-Y11,"")</f>
        <v>43.164999999999999</v>
      </c>
      <c r="AL11" s="12">
        <f>IF(SUM(Z11:AC11)-AD11&gt;0,SUM(Z11:AC11)-AD11,"")</f>
        <v>47.35</v>
      </c>
      <c r="AM11" s="12">
        <f>IF(SUM(AK11:AL11)&gt;0,SUM(AK11:AL11),"")</f>
        <v>90.515000000000001</v>
      </c>
      <c r="AN11" s="12">
        <f>IF(SUM(AE11:AH11)-AI11&gt;0,SUM(AE11:AH11)-AI11,"")</f>
        <v>46.81</v>
      </c>
      <c r="AO11" s="12">
        <f>IF(SUM(AM11,AN11)&gt;0,SUM(AM11,AN11),"")</f>
        <v>137.32499999999999</v>
      </c>
      <c r="AP11" s="46">
        <v>17.2</v>
      </c>
      <c r="AQ11" s="46">
        <v>8.6999999999999993</v>
      </c>
      <c r="AR11" s="46">
        <v>3.2</v>
      </c>
      <c r="AS11" s="46">
        <v>14.05</v>
      </c>
      <c r="AT11" s="46">
        <v>0</v>
      </c>
      <c r="AU11" s="46">
        <v>16.100000000000001</v>
      </c>
      <c r="AV11" s="46">
        <v>8.8000000000000007</v>
      </c>
      <c r="AW11" s="46">
        <v>9.8000000000000007</v>
      </c>
      <c r="AX11" s="46">
        <v>13.725</v>
      </c>
      <c r="AY11" s="46">
        <v>0</v>
      </c>
      <c r="AZ11" s="46">
        <v>15</v>
      </c>
      <c r="BA11" s="46">
        <v>9.1</v>
      </c>
      <c r="BB11" s="46">
        <v>9.8000000000000007</v>
      </c>
      <c r="BC11" s="46">
        <v>13.824999999999999</v>
      </c>
      <c r="BD11" s="46">
        <v>0</v>
      </c>
      <c r="BE11" s="15">
        <f>IF(SUM(AW11)&gt;0,SUM(AW11),"")</f>
        <v>9.8000000000000007</v>
      </c>
      <c r="BF11" s="15">
        <f>IF(SUM(AP11:AS11)-AT11&gt;0,SUM(AP11:AS11)-AT11,"")</f>
        <v>43.15</v>
      </c>
      <c r="BG11" s="15">
        <f>IF(SUM(AU11:AX11)-AY11&gt;0,SUM(AU11:AX11)-AY11,"")</f>
        <v>48.425000000000004</v>
      </c>
      <c r="BH11" s="15">
        <f>IF(SUM(BF11:BG11)&gt;0,SUM(BF11:BG11),"")</f>
        <v>91.575000000000003</v>
      </c>
      <c r="BI11" s="15">
        <f>IF(SUM(AZ11:BC11)-BD11&gt;0,SUM(AZ11:BC11)-BD11,"")</f>
        <v>47.725000000000009</v>
      </c>
      <c r="BJ11" s="15">
        <f>IF(SUM(BH11,BI11)&gt;0,SUM(BH11,BI11),"")</f>
        <v>139.30000000000001</v>
      </c>
      <c r="BK11" s="45">
        <v>16.100000000000001</v>
      </c>
      <c r="BL11" s="45">
        <v>9.1999999999999993</v>
      </c>
      <c r="BM11" s="45">
        <v>3.8</v>
      </c>
      <c r="BN11" s="45">
        <v>14.12</v>
      </c>
      <c r="BO11" s="45">
        <v>0</v>
      </c>
      <c r="BP11" s="45">
        <v>14.3</v>
      </c>
      <c r="BQ11" s="45">
        <v>9</v>
      </c>
      <c r="BR11" s="45">
        <v>10.3</v>
      </c>
      <c r="BS11" s="45">
        <v>13.65</v>
      </c>
      <c r="BT11" s="45">
        <v>0</v>
      </c>
      <c r="BU11" s="45">
        <v>13.3</v>
      </c>
      <c r="BV11" s="45">
        <v>9.1</v>
      </c>
      <c r="BW11" s="45">
        <v>10</v>
      </c>
      <c r="BX11" s="45">
        <v>13.55</v>
      </c>
      <c r="BY11" s="45">
        <v>0</v>
      </c>
      <c r="BZ11" s="12">
        <f>IF(SUM(BR11)&gt;0,SUM(BR11),"")</f>
        <v>10.3</v>
      </c>
      <c r="CA11" s="12">
        <f>IF(SUM(BK11:BN11)-BO11&gt;0,SUM(BK11:BN11)-BO11,"")</f>
        <v>43.22</v>
      </c>
      <c r="CB11" s="12">
        <f>IF(SUM(BP11:BS11)-BT11&gt;0,SUM(BP11:BS11)-BT11,"")</f>
        <v>47.25</v>
      </c>
      <c r="CC11" s="12">
        <f>IF(SUM(CA11:CB11)&gt;0,SUM(CA11:CB11),"")</f>
        <v>90.47</v>
      </c>
      <c r="CD11" s="12">
        <f>IF(SUM(BU11:BX11)-BY11&gt;0,SUM(BU11:BX11)-BY11,"")</f>
        <v>45.95</v>
      </c>
      <c r="CE11" s="12">
        <f>IF(SUM(CC11,CD11)&gt;0,SUM(CC11,CD11),"")</f>
        <v>136.42000000000002</v>
      </c>
      <c r="CF11" s="28" t="str">
        <f>IF(MAX(CY11,DT11,EO11,FJ11,GE11,GZ11,HU11,IP11,JK11,KF11,LA11,LV11)-L11&gt;0.001,MAX(CY11,DT11,EO11,FJ11,GE11,GZ11,HU11,IP11,JK11,KF11,LA11,LV11)-L11,"")</f>
        <v/>
      </c>
      <c r="CG11" s="28" t="str">
        <f>IF(MAX(CZ11,DU11,EP11,FK11,GF11,HA11,HV11,IQ11,JL11,KG11,LB11,LW11)-N11&gt;0.001,MAX(CZ11,DU11,EP11,FK11,GF11,HA11,HV11,IQ11,JL11,KG11,LB11,LW11)-N11,"")</f>
        <v/>
      </c>
      <c r="CH11" s="28" t="str">
        <f>IF(MAX(DB11,DW11,ER11,FM11,GH11,HC11,HX11,IS11,JN11,KI11,LD11,LY11)-P11&gt;0.001,MAX(DB11,DW11,ER11,FM11,GH11,HC11,HX11,IS11,JN11,KI11,LD11,LY11)-P11,"")</f>
        <v/>
      </c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  <c r="CX11" s="12" t="str">
        <f>IF(SUM(CP11)&gt;0,SUM(CP11),"")</f>
        <v/>
      </c>
      <c r="CY11" s="12" t="str">
        <f>IF(SUM(CI11:CL11)-CM11&gt;0,SUM(CI11:CL11)-CM11,"")</f>
        <v/>
      </c>
      <c r="CZ11" s="12" t="str">
        <f>IF(SUM(CN11:CQ11)-CR11&gt;0,SUM(CN11:CQ11)-CR11,"")</f>
        <v/>
      </c>
      <c r="DA11" s="12" t="str">
        <f>IF(SUM(CY11:CZ11)&gt;0,SUM(CY11:CZ11),"")</f>
        <v/>
      </c>
      <c r="DB11" s="12" t="str">
        <f>IF(SUM(CS11:CV11)-CW11&gt;0,SUM(CS11:CV11)-CW11,"")</f>
        <v/>
      </c>
      <c r="DC11" s="12" t="str">
        <f>IF(SUM(DA11,DB11)&gt;0,SUM(DA11,DB11),"")</f>
        <v/>
      </c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15" t="str">
        <f>IF(SUM(DK11)&gt;0,SUM(DK11),"")</f>
        <v/>
      </c>
      <c r="DT11" s="15" t="str">
        <f>IF(SUM(DD11:DG11)-DH11&gt;0,SUM(DD11:DG11)-DH11,"")</f>
        <v/>
      </c>
      <c r="DU11" s="15" t="str">
        <f>IF(SUM(DI11:DL11)-DM11&gt;0,SUM(DI11:DL11)-DM11,"")</f>
        <v/>
      </c>
      <c r="DV11" s="15" t="str">
        <f>IF(SUM(DT11:DU11)&gt;0,SUM(DT11:DU11),"")</f>
        <v/>
      </c>
      <c r="DW11" s="15" t="str">
        <f>IF(SUM(DN11:DQ11)-DR11&gt;0,SUM(DN11:DQ11)-DR11,"")</f>
        <v/>
      </c>
      <c r="DX11" s="15" t="str">
        <f>IF(SUM(DV11,DW11)&gt;0,SUM(DV11,DW11),"")</f>
        <v/>
      </c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45"/>
      <c r="EM11" s="45"/>
      <c r="EN11" s="12" t="str">
        <f>IF(SUM(EF11)&gt;0,SUM(EF11),"")</f>
        <v/>
      </c>
      <c r="EO11" s="12" t="str">
        <f>IF(SUM(DY11:EB11)-EC11&gt;0,SUM(DY11:EB11)-EC11,"")</f>
        <v/>
      </c>
      <c r="EP11" s="12" t="str">
        <f>IF(SUM(ED11:EG11)-EH11&gt;0,SUM(ED11:EG11)-EH11,"")</f>
        <v/>
      </c>
      <c r="EQ11" s="12" t="str">
        <f>IF(SUM(EO11:EP11)&gt;0,SUM(EO11:EP11),"")</f>
        <v/>
      </c>
      <c r="ER11" s="12" t="str">
        <f>IF(SUM(EI11:EL11)-EM11&gt;0,SUM(EI11:EL11)-EM11,"")</f>
        <v/>
      </c>
      <c r="ES11" s="12" t="str">
        <f>IF(SUM(EQ11,ER11)&gt;0,SUM(EQ11,ER11),"")</f>
        <v/>
      </c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15" t="str">
        <f>IF(SUM(FA11)&gt;0,SUM(FA11),"")</f>
        <v/>
      </c>
      <c r="FJ11" s="15" t="str">
        <f>IF(SUM(ET11:EW11)-EX11&gt;0,SUM(ET11:EW11)-EX11,"")</f>
        <v/>
      </c>
      <c r="FK11" s="15" t="str">
        <f>IF(SUM(EY11:FB11)-FC11&gt;0,SUM(EY11:FB11)-FC11,"")</f>
        <v/>
      </c>
      <c r="FL11" s="15" t="str">
        <f>IF(SUM(FJ11:FK11)&gt;0,SUM(FJ11:FK11),"")</f>
        <v/>
      </c>
      <c r="FM11" s="15" t="str">
        <f>IF(SUM(FD11:FG11)-FH11&gt;0,SUM(FD11:FG11)-FH11,"")</f>
        <v/>
      </c>
      <c r="FN11" s="15" t="str">
        <f>IF(SUM(FL11,FM11)&gt;0,SUM(FL11,FM11),"")</f>
        <v/>
      </c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45"/>
      <c r="GC11" s="45"/>
      <c r="GD11" s="12" t="str">
        <f>IF(SUM(FV11)&gt;0,SUM(FV11),"")</f>
        <v/>
      </c>
      <c r="GE11" s="12" t="str">
        <f>IF(SUM(FO11:FR11)-FS11&gt;0,SUM(FO11:FR11)-FS11,"")</f>
        <v/>
      </c>
      <c r="GF11" s="12" t="str">
        <f>IF(SUM(FT11:FW11)-FX11&gt;0,SUM(FT11:FW11)-FX11,"")</f>
        <v/>
      </c>
      <c r="GG11" s="12" t="str">
        <f>IF(SUM(GE11:GF11)&gt;0,SUM(GE11:GF11),"")</f>
        <v/>
      </c>
      <c r="GH11" s="12" t="str">
        <f>IF(SUM(FY11:GB11)-GC11&gt;0,SUM(FY11:GB11)-GC11,"")</f>
        <v/>
      </c>
      <c r="GI11" s="12" t="str">
        <f>IF(SUM(GG11,GH11)&gt;0,SUM(GG11,GH11),"")</f>
        <v/>
      </c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15" t="str">
        <f>IF(SUM(GQ11)&gt;0,SUM(GQ11),"")</f>
        <v/>
      </c>
      <c r="GZ11" s="15" t="str">
        <f>IF(SUM(GJ11:GM11)-GN11&gt;0,SUM(GJ11:GM11)-GN11,"")</f>
        <v/>
      </c>
      <c r="HA11" s="15" t="str">
        <f>IF(SUM(GO11:GR11)-GS11&gt;0,SUM(GO11:GR11)-GS11,"")</f>
        <v/>
      </c>
      <c r="HB11" s="15" t="str">
        <f>IF(SUM(GZ11:HA11)&gt;0,SUM(GZ11:HA11),"")</f>
        <v/>
      </c>
      <c r="HC11" s="15" t="str">
        <f>IF(SUM(GT11:GW11)-GX11&gt;0,SUM(GT11:GW11)-GX11,"")</f>
        <v/>
      </c>
      <c r="HD11" s="15" t="str">
        <f>IF(SUM(HB11,HC11)&gt;0,SUM(HB11,HC11),"")</f>
        <v/>
      </c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45"/>
      <c r="HS11" s="45"/>
      <c r="HT11" s="12" t="str">
        <f>IF(SUM(HL11)&gt;0,SUM(HL11),"")</f>
        <v/>
      </c>
      <c r="HU11" s="12" t="str">
        <f>IF(SUM(HE11:HH11)-HI11&gt;0,SUM(HE11:HH11)-HI11,"")</f>
        <v/>
      </c>
      <c r="HV11" s="12" t="str">
        <f>IF(SUM(HJ11:HM11)-HN11&gt;0,SUM(HJ11:HM11)-HN11,"")</f>
        <v/>
      </c>
      <c r="HW11" s="12" t="str">
        <f>IF(SUM(HU11:HV11)&gt;0,SUM(HU11:HV11),"")</f>
        <v/>
      </c>
      <c r="HX11" s="12" t="str">
        <f>IF(SUM(HO11:HR11)-HS11&gt;0,SUM(HO11:HR11)-HS11,"")</f>
        <v/>
      </c>
      <c r="HY11" s="12" t="str">
        <f>IF(SUM(HW11,HX11)&gt;0,SUM(HW11,HX11),"")</f>
        <v/>
      </c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15" t="str">
        <f>IF(SUM(IG11)&gt;0,SUM(IG11),"")</f>
        <v/>
      </c>
      <c r="IP11" s="15" t="str">
        <f>IF(SUM(HZ11:IC11)-ID11&gt;0,SUM(HZ11:IC11)-ID11,"")</f>
        <v/>
      </c>
      <c r="IQ11" s="15" t="str">
        <f>IF(SUM(IE11:IH11)-II11&gt;0,SUM(IE11:IH11)-II11,"")</f>
        <v/>
      </c>
      <c r="IR11" s="15" t="str">
        <f>IF(SUM(IP11:IQ11)&gt;0,SUM(IP11:IQ11),"")</f>
        <v/>
      </c>
      <c r="IS11" s="15" t="str">
        <f>IF(SUM(IJ11:IM11)-IN11&gt;0,SUM(IJ11:IM11)-IN11,"")</f>
        <v/>
      </c>
      <c r="IT11" s="15" t="str">
        <f>IF(SUM(IR11,IS11)&gt;0,SUM(IR11,IS11),"")</f>
        <v/>
      </c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45"/>
      <c r="JI11" s="45"/>
      <c r="JJ11" s="12" t="str">
        <f>IF(SUM(JB11)&gt;0,SUM(JB11),"")</f>
        <v/>
      </c>
      <c r="JK11" s="12" t="str">
        <f>IF(SUM(IU11:IX11)-IY11&gt;0,SUM(IU11:IX11)-IY11,"")</f>
        <v/>
      </c>
      <c r="JL11" s="12" t="str">
        <f>IF(SUM(IZ11:JC11)-JD11&gt;0,SUM(IZ11:JC11)-JD11,"")</f>
        <v/>
      </c>
      <c r="JM11" s="12" t="str">
        <f>IF(SUM(JK11:JL11)&gt;0,SUM(JK11:JL11),"")</f>
        <v/>
      </c>
      <c r="JN11" s="12" t="str">
        <f>IF(SUM(JE11:JH11)-JI11&gt;0,SUM(JE11:JH11)-JI11,"")</f>
        <v/>
      </c>
      <c r="JO11" s="12" t="str">
        <f>IF(SUM(JM11,JN11)&gt;0,SUM(JM11,JN11),"")</f>
        <v/>
      </c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46"/>
      <c r="KD11" s="46"/>
      <c r="KE11" s="15" t="str">
        <f>IF(SUM(JW11)&gt;0,SUM(JW11),"")</f>
        <v/>
      </c>
      <c r="KF11" s="15" t="str">
        <f>IF(SUM(JP11:JS11)-JT11&gt;0,SUM(JP11:JS11)-JT11,"")</f>
        <v/>
      </c>
      <c r="KG11" s="15" t="str">
        <f>IF(SUM(JU11:JX11)-JY11&gt;0,SUM(JU11:JX11)-JY11,"")</f>
        <v/>
      </c>
      <c r="KH11" s="15" t="str">
        <f>IF(SUM(KF11:KG11)&gt;0,SUM(KF11:KG11),"")</f>
        <v/>
      </c>
      <c r="KI11" s="15" t="str">
        <f>IF(SUM(JZ11:KC11)-KD11&gt;0,SUM(JZ11:KC11)-KD11,"")</f>
        <v/>
      </c>
      <c r="KJ11" s="15" t="str">
        <f>IF(SUM(KH11,KI11)&gt;0,SUM(KH11,KI11),"")</f>
        <v/>
      </c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45"/>
      <c r="KY11" s="45"/>
      <c r="KZ11" s="12" t="str">
        <f>IF(SUM(KR11)&gt;0,SUM(KR11),"")</f>
        <v/>
      </c>
      <c r="LA11" s="12" t="str">
        <f>IF(SUM(KK11:KN11)-KO11&gt;0,SUM(KK11:KN11)-KO11,"")</f>
        <v/>
      </c>
      <c r="LB11" s="12" t="str">
        <f>IF(SUM(KP11:KS11)-KT11&gt;0,SUM(KP11:KS11)-KT11,"")</f>
        <v/>
      </c>
      <c r="LC11" s="12" t="str">
        <f>IF(SUM(LA11:LB11)&gt;0,SUM(LA11:LB11),"")</f>
        <v/>
      </c>
      <c r="LD11" s="12" t="str">
        <f>IF(SUM(KU11:KX11)-KY11&gt;0,SUM(KU11:KX11)-KY11,"")</f>
        <v/>
      </c>
      <c r="LE11" s="12" t="str">
        <f>IF(SUM(LC11,LD11)&gt;0,SUM(LC11,LD11),"")</f>
        <v/>
      </c>
      <c r="LF11" s="46"/>
      <c r="LG11" s="46"/>
      <c r="LH11" s="46"/>
      <c r="LI11" s="46"/>
      <c r="LJ11" s="46"/>
      <c r="LK11" s="46"/>
      <c r="LL11" s="46"/>
      <c r="LM11" s="46"/>
      <c r="LN11" s="46"/>
      <c r="LO11" s="46"/>
      <c r="LP11" s="46"/>
      <c r="LQ11" s="46"/>
      <c r="LR11" s="46"/>
      <c r="LS11" s="46"/>
      <c r="LT11" s="46"/>
      <c r="LU11" s="15" t="str">
        <f>IF(SUM(LM11)&gt;0,SUM(LM11),"")</f>
        <v/>
      </c>
      <c r="LV11" s="15" t="str">
        <f>IF(SUM(LF11:LI11)-LJ11&gt;0,SUM(LF11:LI11)-LJ11,"")</f>
        <v/>
      </c>
      <c r="LW11" s="15" t="str">
        <f>IF(SUM(LK11:LN11)-LO11&gt;0,SUM(LK11:LN11)-LO11,"")</f>
        <v/>
      </c>
      <c r="LX11" s="15" t="str">
        <f>IF(SUM(LV11:LW11)&gt;0,SUM(LV11:LW11),"")</f>
        <v/>
      </c>
      <c r="LY11" s="15" t="str">
        <f>IF(SUM(LP11:LS11)-LT11&gt;0,SUM(LP11:LS11)-LT11,"")</f>
        <v/>
      </c>
      <c r="LZ11" s="15" t="str">
        <f>IF(SUM(LX11,LY11)&gt;0,SUM(LX11,LY11),"")</f>
        <v/>
      </c>
    </row>
    <row r="12" spans="1:338">
      <c r="A12" s="6" t="str">
        <f>IF(AND(F12="P",H12="P"),SUMPRODUCT((F$4:F$15="P")*(H$4:H$15="P")*(E$4:E$15&gt;E12))+1,IF(H12="P",SUMPRODUCT((F$4:F$15="")*(H$4:H$15="P")*(E$4:E$15&gt;E12))+1+SUMPRODUCT((F$4:F$15="P")*(H$4:H$15="P")),""))</f>
        <v/>
      </c>
      <c r="B12" s="9" t="s">
        <v>112</v>
      </c>
      <c r="C12" s="5" t="s">
        <v>3</v>
      </c>
      <c r="D12" s="31">
        <v>2000</v>
      </c>
      <c r="E12" s="16">
        <f>SUM(J12:R12)</f>
        <v>226.70500000000001</v>
      </c>
      <c r="F12" s="4" t="str">
        <f>IF(OR(AND($AJ12&gt;=$AK$18,NOT($AJ12="")),AND($BE12&gt;=$BF$18,NOT($BE12="")),AND($BZ12&gt;=$CA$18,NOT($BZ12=""))),"P","")</f>
        <v/>
      </c>
      <c r="G12" s="4" t="str">
        <f>IF(OR(AND($AJ12&gt;=$AK$19,NOT($AJ12="")),AND($BE12&gt;=$BF$19,NOT($BE12="")),AND($BZ12&gt;=$CA$19,NOT($BZ12=""))),"P","")</f>
        <v/>
      </c>
      <c r="H12" s="4" t="str">
        <f>IF(OR(AND($AM12&gt;=$AK$20,NOT($AM12="")),AND($BH12&gt;=$BF$20,NOT($BH12="")),AND($CC12&gt;=$CA$20,NOT($CC12=""))),"P","")</f>
        <v/>
      </c>
      <c r="I12" t="str">
        <f>IF(AND(F12="P",OR(AND($AL12&gt;=$AK$23,NOT($AL12="")),AND($AN12&gt;=$AK$23,NOT($AN12="")),AND($BG12&gt;=$BF$23,NOT($BG12="")),AND($BI12&gt;=$BF$23,NOT($BI12="")),AND($CB12&gt;=$CA$23,NOT($CB12="")),AND($CD12&gt;=$CA$23,NOT($CD12="")))),"Merit",IF(AND(F12="P",OR(AND($AM12&gt;=$AK$22,NOT($AM12="")),AND($BH12&gt;=$BF$22,NOT($BH12="")),AND($CC12&gt;=$CA$22,NOT($CC12="")))),"Funding",IF(AND(F12="P",OR(AND($AM12&gt;=$AK$21,NOT($AM12="")),AND($BH12&gt;=$BF$21,NOT($BH12="")),AND($CC12&gt;=$CA$21,NOT($CC12="")))),"Worlds Team",IF(AND(F12="P",OR(AND($AM12&gt;=$AK$20,NOT($AM12="")),AND($BH12&gt;=$BF$20,NOT($BH12="")),AND($CC12&gt;=$CA$20,NOT($CC12="")))),"National Team",""))))</f>
        <v/>
      </c>
      <c r="J12" s="15">
        <f>MAX(AM12,BH12,CC12)</f>
        <v>91.465000000000003</v>
      </c>
      <c r="K12" s="15" t="str">
        <f>IF(J12=CC12,$BK$1,IF(J12=BH12,$AP$1,IF(J12=AM12,$U$1,"")))</f>
        <v>2017 Nationals</v>
      </c>
      <c r="L12" s="15">
        <f>IF($J12=$AM12,MAX(BF12,CA12),IF($J12=$BH12,MAX(AK12,CA12),MAX(AK12,BF12)))</f>
        <v>42.825000000000003</v>
      </c>
      <c r="M12" s="15" t="str">
        <f>IF(L12=CA12,$BK$1,IF(L12=BF12,$AP$1,IF(L12=AK12,$U$1,"")))</f>
        <v>2018 Canada Cup</v>
      </c>
      <c r="N12" s="15">
        <f>IF($J12=$AM12,MAX(BG12,CB12),IF($J12=$BH12,MAX(AL12,CB12),MAX(AL12,BG12)))</f>
        <v>46.84</v>
      </c>
      <c r="O12" s="15" t="str">
        <f>IF(N12=CB12,$BK$1,IF(N12=BG12,$AP$1,IF(N12=AL12,$U$1,"")))</f>
        <v>2018 Canada Cup</v>
      </c>
      <c r="P12" s="15">
        <f>MAX(AN12,BI12,CD12)</f>
        <v>45.574999999999996</v>
      </c>
      <c r="Q12" s="15" t="str">
        <f>IF(P12=CD12,$BK$1,IF(P12=BI12,$AP$1,IF(P12=AN12,$U$1,"")))</f>
        <v>2017 Nationals</v>
      </c>
      <c r="R12" s="15" t="str">
        <f>IF(MAX(CF12:CH12)&gt;0,MAX(CF12:CH12),"")</f>
        <v/>
      </c>
      <c r="S12" s="29" t="str">
        <f>IF(R12="","",IF(R12=CF12,"(Vol 1)",IF(R12=CG12,"(Vol 2)",IF(R12=CH12,"(Final)"))))</f>
        <v/>
      </c>
      <c r="T12" s="15" t="str">
        <f>IF(R12="","",IF(R12=CF12,IF(R12+L12=LV12,$LF$1,IF(R12+L12=LA12,$KK$1,IF(R12+L12=KF12,$JP$1,IF(R12+L12=JK12,$IU$1,IF(R12+L12=IP12,$HZ$1,IF(R12+L12=HU12,$HE$1,IF(R12+L12=GZ12,$GJ$1,IF(R12+L12=GE12,$FO$1,IF(R12+L12=FJ12,$ET$1,IF(R12+L12=EO12,$DY$1,IF(R12+L12=DT12,$DD$1,IF(R12+L12=CY12,$CI$1)))))))))))),IF(R12=CG12,IF(R12+N12=LW12,$LF$1,IF(R12+N12=LB12,$KK$1,IF(R12+N12=KG12,$JP$1,IF(R12+N12=JL12,$IU$1,IF(R12+N12=IQ12,$HZ$1,IF(R12+N12=HV12,$HE$1,IF(R12+N12=HA12,$GJ$1,IF(R12+N12=GF12,$FO$1,IF(R12+N12=FK12,$ET$1,IF(R12+N12=EP12,$DY$1,IF(R12+N12=DU12,$DD$1,IF(R12+N12=CZ12,$CI$1)))))))))))),IF(R12=CH12,IF(R12+P12=LY12,$LF$1,IF(R12+P12=LD12,$KK$1,IF(R12+P12=KI12,$JP$1,IF(R12+P12=JN12,$IU$1,IF(R12+P12=IS12,$HZ$1,IF(R12+P12=HX12,$HE$1,IF(R12+P12=HC12,$GJ$1,IF(R12+P12=GH12,$FO$1,IF(R12+P12=FM12,$ET$1,IF(R12+P12=ER12,$DY$1,IF(R12+P12=DW12,$DD$1,IF(R12+P12=DB12,$CI$1))))))))))))))))</f>
        <v/>
      </c>
      <c r="U12" s="45">
        <v>15.5</v>
      </c>
      <c r="V12" s="45">
        <v>9.6999999999999993</v>
      </c>
      <c r="W12" s="45">
        <v>3.2</v>
      </c>
      <c r="X12" s="45">
        <v>13.57</v>
      </c>
      <c r="Y12" s="45">
        <v>0</v>
      </c>
      <c r="Z12" s="45">
        <v>13.4</v>
      </c>
      <c r="AA12" s="45">
        <v>9.6</v>
      </c>
      <c r="AB12" s="45">
        <v>9</v>
      </c>
      <c r="AC12" s="45">
        <v>13.015000000000001</v>
      </c>
      <c r="AD12" s="45">
        <v>0</v>
      </c>
      <c r="AE12" s="45">
        <v>13</v>
      </c>
      <c r="AF12" s="45">
        <v>9.1</v>
      </c>
      <c r="AG12" s="45">
        <v>9.5</v>
      </c>
      <c r="AH12" s="45">
        <v>12.86</v>
      </c>
      <c r="AI12" s="45">
        <v>0</v>
      </c>
      <c r="AJ12" s="12">
        <f>IF(SUM(AB12)&gt;0,SUM(AB12),"")</f>
        <v>9</v>
      </c>
      <c r="AK12" s="12">
        <f>IF(SUM(U12:X12)-Y12&gt;0,SUM(U12:X12)-Y12,"")</f>
        <v>41.97</v>
      </c>
      <c r="AL12" s="12">
        <f>IF(SUM(Z12:AC12)-AD12&gt;0,SUM(Z12:AC12)-AD12,"")</f>
        <v>45.015000000000001</v>
      </c>
      <c r="AM12" s="12">
        <f>IF(SUM(AK12:AL12)&gt;0,SUM(AK12:AL12),"")</f>
        <v>86.984999999999999</v>
      </c>
      <c r="AN12" s="12">
        <f>IF(SUM(AE12:AH12)-AI12&gt;0,SUM(AE12:AH12)-AI12,"")</f>
        <v>44.46</v>
      </c>
      <c r="AO12" s="12">
        <f>IF(SUM(AM12,AN12)&gt;0,SUM(AM12,AN12),"")</f>
        <v>131.44499999999999</v>
      </c>
      <c r="AP12" s="46">
        <v>16.5</v>
      </c>
      <c r="AQ12" s="46">
        <v>9.6</v>
      </c>
      <c r="AR12" s="46">
        <v>3.7</v>
      </c>
      <c r="AS12" s="46">
        <v>14.04</v>
      </c>
      <c r="AT12" s="46">
        <v>0</v>
      </c>
      <c r="AU12" s="46">
        <v>15.2</v>
      </c>
      <c r="AV12" s="46">
        <v>9.3000000000000007</v>
      </c>
      <c r="AW12" s="46">
        <v>9.4</v>
      </c>
      <c r="AX12" s="46">
        <v>13.725</v>
      </c>
      <c r="AY12" s="46">
        <v>0</v>
      </c>
      <c r="AZ12" s="46">
        <v>13.9</v>
      </c>
      <c r="BA12" s="46">
        <v>9.6999999999999993</v>
      </c>
      <c r="BB12" s="46">
        <v>8.6999999999999993</v>
      </c>
      <c r="BC12" s="46">
        <v>13.275</v>
      </c>
      <c r="BD12" s="46">
        <v>0</v>
      </c>
      <c r="BE12" s="15">
        <f>IF(SUM(AW12)&gt;0,SUM(AW12),"")</f>
        <v>9.4</v>
      </c>
      <c r="BF12" s="15">
        <f>IF(SUM(AP12:AS12)-AT12&gt;0,SUM(AP12:AS12)-AT12,"")</f>
        <v>43.84</v>
      </c>
      <c r="BG12" s="15">
        <f>IF(SUM(AU12:AX12)-AY12&gt;0,SUM(AU12:AX12)-AY12,"")</f>
        <v>47.625</v>
      </c>
      <c r="BH12" s="15">
        <f>IF(SUM(BF12:BG12)&gt;0,SUM(BF12:BG12),"")</f>
        <v>91.465000000000003</v>
      </c>
      <c r="BI12" s="15">
        <f>IF(SUM(AZ12:BC12)-BD12&gt;0,SUM(AZ12:BC12)-BD12,"")</f>
        <v>45.574999999999996</v>
      </c>
      <c r="BJ12" s="15">
        <f>IF(SUM(BH12,BI12)&gt;0,SUM(BH12,BI12),"")</f>
        <v>137.04</v>
      </c>
      <c r="BK12" s="45">
        <v>15.7</v>
      </c>
      <c r="BL12" s="45">
        <v>9.15</v>
      </c>
      <c r="BM12" s="45">
        <v>3.5</v>
      </c>
      <c r="BN12" s="45">
        <v>14.475</v>
      </c>
      <c r="BO12" s="45">
        <v>0</v>
      </c>
      <c r="BP12" s="45">
        <v>14</v>
      </c>
      <c r="BQ12" s="45">
        <v>9.5</v>
      </c>
      <c r="BR12" s="45">
        <v>9.6</v>
      </c>
      <c r="BS12" s="45">
        <v>13.74</v>
      </c>
      <c r="BT12" s="45">
        <v>0</v>
      </c>
      <c r="BU12" s="45">
        <v>13.8</v>
      </c>
      <c r="BV12" s="45">
        <v>9.1</v>
      </c>
      <c r="BW12" s="45">
        <v>8.6</v>
      </c>
      <c r="BX12" s="45">
        <v>13.72</v>
      </c>
      <c r="BY12" s="45">
        <v>0</v>
      </c>
      <c r="BZ12" s="12">
        <f>IF(SUM(BR12)&gt;0,SUM(BR12),"")</f>
        <v>9.6</v>
      </c>
      <c r="CA12" s="12">
        <f>IF(SUM(BK12:BN12)-BO12&gt;0,SUM(BK12:BN12)-BO12,"")</f>
        <v>42.825000000000003</v>
      </c>
      <c r="CB12" s="12">
        <f>IF(SUM(BP12:BS12)-BT12&gt;0,SUM(BP12:BS12)-BT12,"")</f>
        <v>46.84</v>
      </c>
      <c r="CC12" s="12">
        <f>IF(SUM(CA12:CB12)&gt;0,SUM(CA12:CB12),"")</f>
        <v>89.665000000000006</v>
      </c>
      <c r="CD12" s="12">
        <f>IF(SUM(BU12:BX12)-BY12&gt;0,SUM(BU12:BX12)-BY12,"")</f>
        <v>45.22</v>
      </c>
      <c r="CE12" s="12">
        <f>IF(SUM(CC12,CD12)&gt;0,SUM(CC12,CD12),"")</f>
        <v>134.88499999999999</v>
      </c>
      <c r="CF12" s="28" t="str">
        <f>IF(MAX(CY12,DT12,EO12,FJ12,GE12,GZ12,HU12,IP12,JK12,KF12,LA12,LV12)-L12&gt;0.001,MAX(CY12,DT12,EO12,FJ12,GE12,GZ12,HU12,IP12,JK12,KF12,LA12,LV12)-L12,"")</f>
        <v/>
      </c>
      <c r="CG12" s="28" t="str">
        <f>IF(MAX(CZ12,DU12,EP12,FK12,GF12,HA12,HV12,IQ12,JL12,KG12,LB12,LW12)-N12&gt;0.001,MAX(CZ12,DU12,EP12,FK12,GF12,HA12,HV12,IQ12,JL12,KG12,LB12,LW12)-N12,"")</f>
        <v/>
      </c>
      <c r="CH12" s="28" t="str">
        <f>IF(MAX(DB12,DW12,ER12,FM12,GH12,HC12,HX12,IS12,JN12,KI12,LD12,LY12)-P12&gt;0.001,MAX(DB12,DW12,ER12,FM12,GH12,HC12,HX12,IS12,JN12,KI12,LD12,LY12)-P12,"")</f>
        <v/>
      </c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12" t="str">
        <f>IF(SUM(CP12)&gt;0,SUM(CP12),"")</f>
        <v/>
      </c>
      <c r="CY12" s="12" t="str">
        <f>IF(SUM(CI12:CL12)-CM12&gt;0,SUM(CI12:CL12)-CM12,"")</f>
        <v/>
      </c>
      <c r="CZ12" s="12" t="str">
        <f>IF(SUM(CN12:CQ12)-CR12&gt;0,SUM(CN12:CQ12)-CR12,"")</f>
        <v/>
      </c>
      <c r="DA12" s="12" t="str">
        <f>IF(SUM(CY12:CZ12)&gt;0,SUM(CY12:CZ12),"")</f>
        <v/>
      </c>
      <c r="DB12" s="12" t="str">
        <f>IF(SUM(CS12:CV12)-CW12&gt;0,SUM(CS12:CV12)-CW12,"")</f>
        <v/>
      </c>
      <c r="DC12" s="12" t="str">
        <f>IF(SUM(DA12,DB12)&gt;0,SUM(DA12,DB12),"")</f>
        <v/>
      </c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15" t="str">
        <f>IF(SUM(DK12)&gt;0,SUM(DK12),"")</f>
        <v/>
      </c>
      <c r="DT12" s="15" t="str">
        <f>IF(SUM(DD12:DG12)-DH12&gt;0,SUM(DD12:DG12)-DH12,"")</f>
        <v/>
      </c>
      <c r="DU12" s="15" t="str">
        <f>IF(SUM(DI12:DL12)-DM12&gt;0,SUM(DI12:DL12)-DM12,"")</f>
        <v/>
      </c>
      <c r="DV12" s="15" t="str">
        <f>IF(SUM(DT12:DU12)&gt;0,SUM(DT12:DU12),"")</f>
        <v/>
      </c>
      <c r="DW12" s="15" t="str">
        <f>IF(SUM(DN12:DQ12)-DR12&gt;0,SUM(DN12:DQ12)-DR12,"")</f>
        <v/>
      </c>
      <c r="DX12" s="15" t="str">
        <f>IF(SUM(DV12,DW12)&gt;0,SUM(DV12,DW12),"")</f>
        <v/>
      </c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12" t="str">
        <f>IF(SUM(EF12)&gt;0,SUM(EF12),"")</f>
        <v/>
      </c>
      <c r="EO12" s="12" t="str">
        <f>IF(SUM(DY12:EB12)-EC12&gt;0,SUM(DY12:EB12)-EC12,"")</f>
        <v/>
      </c>
      <c r="EP12" s="12" t="str">
        <f>IF(SUM(ED12:EG12)-EH12&gt;0,SUM(ED12:EG12)-EH12,"")</f>
        <v/>
      </c>
      <c r="EQ12" s="12" t="str">
        <f>IF(SUM(EO12:EP12)&gt;0,SUM(EO12:EP12),"")</f>
        <v/>
      </c>
      <c r="ER12" s="12" t="str">
        <f>IF(SUM(EI12:EL12)-EM12&gt;0,SUM(EI12:EL12)-EM12,"")</f>
        <v/>
      </c>
      <c r="ES12" s="12" t="str">
        <f>IF(SUM(EQ12,ER12)&gt;0,SUM(EQ12,ER12),"")</f>
        <v/>
      </c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15" t="str">
        <f>IF(SUM(FA12)&gt;0,SUM(FA12),"")</f>
        <v/>
      </c>
      <c r="FJ12" s="15" t="str">
        <f>IF(SUM(ET12:EW12)-EX12&gt;0,SUM(ET12:EW12)-EX12,"")</f>
        <v/>
      </c>
      <c r="FK12" s="15" t="str">
        <f>IF(SUM(EY12:FB12)-FC12&gt;0,SUM(EY12:FB12)-FC12,"")</f>
        <v/>
      </c>
      <c r="FL12" s="15" t="str">
        <f>IF(SUM(FJ12:FK12)&gt;0,SUM(FJ12:FK12),"")</f>
        <v/>
      </c>
      <c r="FM12" s="15" t="str">
        <f>IF(SUM(FD12:FG12)-FH12&gt;0,SUM(FD12:FG12)-FH12,"")</f>
        <v/>
      </c>
      <c r="FN12" s="15" t="str">
        <f>IF(SUM(FL12,FM12)&gt;0,SUM(FL12,FM12),"")</f>
        <v/>
      </c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12" t="str">
        <f>IF(SUM(FV12)&gt;0,SUM(FV12),"")</f>
        <v/>
      </c>
      <c r="GE12" s="12" t="str">
        <f>IF(SUM(FO12:FR12)-FS12&gt;0,SUM(FO12:FR12)-FS12,"")</f>
        <v/>
      </c>
      <c r="GF12" s="12" t="str">
        <f>IF(SUM(FT12:FW12)-FX12&gt;0,SUM(FT12:FW12)-FX12,"")</f>
        <v/>
      </c>
      <c r="GG12" s="12" t="str">
        <f>IF(SUM(GE12:GF12)&gt;0,SUM(GE12:GF12),"")</f>
        <v/>
      </c>
      <c r="GH12" s="12" t="str">
        <f>IF(SUM(FY12:GB12)-GC12&gt;0,SUM(FY12:GB12)-GC12,"")</f>
        <v/>
      </c>
      <c r="GI12" s="12" t="str">
        <f>IF(SUM(GG12,GH12)&gt;0,SUM(GG12,GH12),"")</f>
        <v/>
      </c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15" t="str">
        <f>IF(SUM(GQ12)&gt;0,SUM(GQ12),"")</f>
        <v/>
      </c>
      <c r="GZ12" s="15" t="str">
        <f>IF(SUM(GJ12:GM12)-GN12&gt;0,SUM(GJ12:GM12)-GN12,"")</f>
        <v/>
      </c>
      <c r="HA12" s="15" t="str">
        <f>IF(SUM(GO12:GR12)-GS12&gt;0,SUM(GO12:GR12)-GS12,"")</f>
        <v/>
      </c>
      <c r="HB12" s="15" t="str">
        <f>IF(SUM(GZ12:HA12)&gt;0,SUM(GZ12:HA12),"")</f>
        <v/>
      </c>
      <c r="HC12" s="15" t="str">
        <f>IF(SUM(GT12:GW12)-GX12&gt;0,SUM(GT12:GW12)-GX12,"")</f>
        <v/>
      </c>
      <c r="HD12" s="15" t="str">
        <f>IF(SUM(HB12,HC12)&gt;0,SUM(HB12,HC12),"")</f>
        <v/>
      </c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12" t="str">
        <f>IF(SUM(HL12)&gt;0,SUM(HL12),"")</f>
        <v/>
      </c>
      <c r="HU12" s="12" t="str">
        <f>IF(SUM(HE12:HH12)-HI12&gt;0,SUM(HE12:HH12)-HI12,"")</f>
        <v/>
      </c>
      <c r="HV12" s="12" t="str">
        <f>IF(SUM(HJ12:HM12)-HN12&gt;0,SUM(HJ12:HM12)-HN12,"")</f>
        <v/>
      </c>
      <c r="HW12" s="12" t="str">
        <f>IF(SUM(HU12:HV12)&gt;0,SUM(HU12:HV12),"")</f>
        <v/>
      </c>
      <c r="HX12" s="12" t="str">
        <f>IF(SUM(HO12:HR12)-HS12&gt;0,SUM(HO12:HR12)-HS12,"")</f>
        <v/>
      </c>
      <c r="HY12" s="12" t="str">
        <f>IF(SUM(HW12,HX12)&gt;0,SUM(HW12,HX12),"")</f>
        <v/>
      </c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15" t="str">
        <f>IF(SUM(IG12)&gt;0,SUM(IG12),"")</f>
        <v/>
      </c>
      <c r="IP12" s="15" t="str">
        <f>IF(SUM(HZ12:IC12)-ID12&gt;0,SUM(HZ12:IC12)-ID12,"")</f>
        <v/>
      </c>
      <c r="IQ12" s="15" t="str">
        <f>IF(SUM(IE12:IH12)-II12&gt;0,SUM(IE12:IH12)-II12,"")</f>
        <v/>
      </c>
      <c r="IR12" s="15" t="str">
        <f>IF(SUM(IP12:IQ12)&gt;0,SUM(IP12:IQ12),"")</f>
        <v/>
      </c>
      <c r="IS12" s="15" t="str">
        <f>IF(SUM(IJ12:IM12)-IN12&gt;0,SUM(IJ12:IM12)-IN12,"")</f>
        <v/>
      </c>
      <c r="IT12" s="15" t="str">
        <f>IF(SUM(IR12,IS12)&gt;0,SUM(IR12,IS12),"")</f>
        <v/>
      </c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12" t="str">
        <f>IF(SUM(JB12)&gt;0,SUM(JB12),"")</f>
        <v/>
      </c>
      <c r="JK12" s="12" t="str">
        <f>IF(SUM(IU12:IX12)-IY12&gt;0,SUM(IU12:IX12)-IY12,"")</f>
        <v/>
      </c>
      <c r="JL12" s="12" t="str">
        <f>IF(SUM(IZ12:JC12)-JD12&gt;0,SUM(IZ12:JC12)-JD12,"")</f>
        <v/>
      </c>
      <c r="JM12" s="12" t="str">
        <f>IF(SUM(JK12:JL12)&gt;0,SUM(JK12:JL12),"")</f>
        <v/>
      </c>
      <c r="JN12" s="12" t="str">
        <f>IF(SUM(JE12:JH12)-JI12&gt;0,SUM(JE12:JH12)-JI12,"")</f>
        <v/>
      </c>
      <c r="JO12" s="12" t="str">
        <f>IF(SUM(JM12,JN12)&gt;0,SUM(JM12,JN12),"")</f>
        <v/>
      </c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46"/>
      <c r="KD12" s="46"/>
      <c r="KE12" s="15" t="str">
        <f>IF(SUM(JW12)&gt;0,SUM(JW12),"")</f>
        <v/>
      </c>
      <c r="KF12" s="15" t="str">
        <f>IF(SUM(JP12:JS12)-JT12&gt;0,SUM(JP12:JS12)-JT12,"")</f>
        <v/>
      </c>
      <c r="KG12" s="15" t="str">
        <f>IF(SUM(JU12:JX12)-JY12&gt;0,SUM(JU12:JX12)-JY12,"")</f>
        <v/>
      </c>
      <c r="KH12" s="15" t="str">
        <f>IF(SUM(KF12:KG12)&gt;0,SUM(KF12:KG12),"")</f>
        <v/>
      </c>
      <c r="KI12" s="15" t="str">
        <f>IF(SUM(JZ12:KC12)-KD12&gt;0,SUM(JZ12:KC12)-KD12,"")</f>
        <v/>
      </c>
      <c r="KJ12" s="15" t="str">
        <f>IF(SUM(KH12,KI12)&gt;0,SUM(KH12,KI12),"")</f>
        <v/>
      </c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12" t="str">
        <f>IF(SUM(KR12)&gt;0,SUM(KR12),"")</f>
        <v/>
      </c>
      <c r="LA12" s="12" t="str">
        <f>IF(SUM(KK12:KN12)-KO12&gt;0,SUM(KK12:KN12)-KO12,"")</f>
        <v/>
      </c>
      <c r="LB12" s="12" t="str">
        <f>IF(SUM(KP12:KS12)-KT12&gt;0,SUM(KP12:KS12)-KT12,"")</f>
        <v/>
      </c>
      <c r="LC12" s="12" t="str">
        <f>IF(SUM(LA12:LB12)&gt;0,SUM(LA12:LB12),"")</f>
        <v/>
      </c>
      <c r="LD12" s="12" t="str">
        <f>IF(SUM(KU12:KX12)-KY12&gt;0,SUM(KU12:KX12)-KY12,"")</f>
        <v/>
      </c>
      <c r="LE12" s="12" t="str">
        <f>IF(SUM(LC12,LD12)&gt;0,SUM(LC12,LD12),"")</f>
        <v/>
      </c>
      <c r="LF12" s="46"/>
      <c r="LG12" s="46"/>
      <c r="LH12" s="46"/>
      <c r="LI12" s="46"/>
      <c r="LJ12" s="46"/>
      <c r="LK12" s="46"/>
      <c r="LL12" s="46"/>
      <c r="LM12" s="46"/>
      <c r="LN12" s="46"/>
      <c r="LO12" s="46"/>
      <c r="LP12" s="46"/>
      <c r="LQ12" s="46"/>
      <c r="LR12" s="46"/>
      <c r="LS12" s="46"/>
      <c r="LT12" s="46"/>
      <c r="LU12" s="15" t="str">
        <f>IF(SUM(LM12)&gt;0,SUM(LM12),"")</f>
        <v/>
      </c>
      <c r="LV12" s="15" t="str">
        <f>IF(SUM(LF12:LI12)-LJ12&gt;0,SUM(LF12:LI12)-LJ12,"")</f>
        <v/>
      </c>
      <c r="LW12" s="15" t="str">
        <f>IF(SUM(LK12:LN12)-LO12&gt;0,SUM(LK12:LN12)-LO12,"")</f>
        <v/>
      </c>
      <c r="LX12" s="15" t="str">
        <f>IF(SUM(LV12:LW12)&gt;0,SUM(LV12:LW12),"")</f>
        <v/>
      </c>
      <c r="LY12" s="15" t="str">
        <f>IF(SUM(LP12:LS12)-LT12&gt;0,SUM(LP12:LS12)-LT12,"")</f>
        <v/>
      </c>
      <c r="LZ12" s="15" t="str">
        <f>IF(SUM(LX12,LY12)&gt;0,SUM(LX12,LY12),"")</f>
        <v/>
      </c>
    </row>
    <row r="13" spans="1:338">
      <c r="A13" s="6">
        <f>IF(AND(F13="P",H13="P"),SUMPRODUCT((F$4:F$15="P")*(H$4:H$15="P")*(E$4:E$15&gt;E13))+1,IF(H13="P",SUMPRODUCT((F$4:F$15="")*(H$4:H$15="P")*(E$4:E$15&gt;E13))+1+SUMPRODUCT((F$4:F$15="P")*(H$4:H$15="P")),""))</f>
        <v>5</v>
      </c>
      <c r="B13" s="9" t="s">
        <v>113</v>
      </c>
      <c r="C13" s="5" t="s">
        <v>5</v>
      </c>
      <c r="D13" s="31">
        <v>2002</v>
      </c>
      <c r="E13" s="16">
        <f>SUM(J13:R13)</f>
        <v>226.035</v>
      </c>
      <c r="F13" s="4" t="str">
        <f>IF(OR(AND($AJ13&gt;=$AK$18,NOT($AJ13="")),AND($BE13&gt;=$BF$18,NOT($BE13="")),AND($BZ13&gt;=$CA$18,NOT($BZ13=""))),"P","")</f>
        <v/>
      </c>
      <c r="G13" s="4" t="str">
        <f>IF(OR(AND($AJ13&gt;=$AK$19,NOT($AJ13="")),AND($BE13&gt;=$BF$19,NOT($BE13="")),AND($BZ13&gt;=$CA$19,NOT($BZ13=""))),"P","")</f>
        <v/>
      </c>
      <c r="H13" s="4" t="str">
        <f>IF(OR(AND($AM13&gt;=$AK$20,NOT($AM13="")),AND($BH13&gt;=$BF$20,NOT($BH13="")),AND($CC13&gt;=$CA$20,NOT($CC13=""))),"P","")</f>
        <v>P</v>
      </c>
      <c r="I13" t="str">
        <f>IF(AND(F13="P",OR(AND($AL13&gt;=$AK$23,NOT($AL13="")),AND($AN13&gt;=$AK$23,NOT($AN13="")),AND($BG13&gt;=$BF$23,NOT($BG13="")),AND($BI13&gt;=$BF$23,NOT($BI13="")),AND($CB13&gt;=$CA$23,NOT($CB13="")),AND($CD13&gt;=$CA$23,NOT($CD13="")))),"Merit",IF(AND(F13="P",OR(AND($AM13&gt;=$AK$22,NOT($AM13="")),AND($BH13&gt;=$BF$22,NOT($BH13="")),AND($CC13&gt;=$CA$22,NOT($CC13="")))),"Funding",IF(AND(F13="P",OR(AND($AM13&gt;=$AK$21,NOT($AM13="")),AND($BH13&gt;=$BF$21,NOT($BH13="")),AND($CC13&gt;=$CA$21,NOT($CC13="")))),"Worlds Team",IF(AND(F13="P",OR(AND($AM13&gt;=$AK$20,NOT($AM13="")),AND($BH13&gt;=$BF$20,NOT($BH13="")),AND($CC13&gt;=$CA$20,NOT($CC13="")))),"National Team",""))))</f>
        <v/>
      </c>
      <c r="J13" s="15">
        <f>MAX(AM13,BH13,CC13)</f>
        <v>92.544999999999987</v>
      </c>
      <c r="K13" s="15" t="str">
        <f>IF(J13=CC13,$BK$1,IF(J13=BH13,$AP$1,IF(J13=AM13,$U$1,"")))</f>
        <v>2017 Nationals</v>
      </c>
      <c r="L13" s="15">
        <f>IF($J13=$AM13,MAX(BF13,CA13),IF($J13=$BH13,MAX(AK13,CA13),MAX(AK13,BF13)))</f>
        <v>45.16</v>
      </c>
      <c r="M13" s="15" t="str">
        <f>IF(L13=CA13,$BK$1,IF(L13=BF13,$AP$1,IF(L13=AK13,$U$1,"")))</f>
        <v>2018 Canada Cup</v>
      </c>
      <c r="N13" s="15">
        <f>IF($J13=$AM13,MAX(BG13,CB13),IF($J13=$BH13,MAX(AL13,CB13),MAX(AL13,BG13)))</f>
        <v>41.55</v>
      </c>
      <c r="O13" s="15" t="str">
        <f>IF(N13=CB13,$BK$1,IF(N13=BG13,$AP$1,IF(N13=AL13,$U$1,"")))</f>
        <v>2018 Canada Cup</v>
      </c>
      <c r="P13" s="15">
        <f>MAX(AN13,BI13,CD13)</f>
        <v>46.78</v>
      </c>
      <c r="Q13" s="15" t="str">
        <f>IF(P13=CD13,$BK$1,IF(P13=BI13,$AP$1,IF(P13=AN13,$U$1,"")))</f>
        <v>2018 Canada Cup</v>
      </c>
      <c r="R13" s="15" t="str">
        <f>IF(MAX(CF13:CH13)&gt;0,MAX(CF13:CH13),"")</f>
        <v/>
      </c>
      <c r="S13" s="29" t="str">
        <f>IF(R13="","",IF(R13=CF13,"(Vol 1)",IF(R13=CG13,"(Vol 2)",IF(R13=CH13,"(Final)"))))</f>
        <v/>
      </c>
      <c r="T13" s="15" t="str">
        <f>IF(R13="","",IF(R13=CF13,IF(R13+L13=LV13,$LF$1,IF(R13+L13=LA13,$KK$1,IF(R13+L13=KF13,$JP$1,IF(R13+L13=JK13,$IU$1,IF(R13+L13=IP13,$HZ$1,IF(R13+L13=HU13,$HE$1,IF(R13+L13=GZ13,$GJ$1,IF(R13+L13=GE13,$FO$1,IF(R13+L13=FJ13,$ET$1,IF(R13+L13=EO13,$DY$1,IF(R13+L13=DT13,$DD$1,IF(R13+L13=CY13,$CI$1)))))))))))),IF(R13=CG13,IF(R13+N13=LW13,$LF$1,IF(R13+N13=LB13,$KK$1,IF(R13+N13=KG13,$JP$1,IF(R13+N13=JL13,$IU$1,IF(R13+N13=IQ13,$HZ$1,IF(R13+N13=HV13,$HE$1,IF(R13+N13=HA13,$GJ$1,IF(R13+N13=GF13,$FO$1,IF(R13+N13=FK13,$ET$1,IF(R13+N13=EP13,$DY$1,IF(R13+N13=DU13,$DD$1,IF(R13+N13=CZ13,$CI$1)))))))))))),IF(R13=CH13,IF(R13+P13=LY13,$LF$1,IF(R13+P13=LD13,$KK$1,IF(R13+P13=KI13,$JP$1,IF(R13+P13=JN13,$IU$1,IF(R13+P13=IS13,$HZ$1,IF(R13+P13=HX13,$HE$1,IF(R13+P13=HC13,$GJ$1,IF(R13+P13=GH13,$FO$1,IF(R13+P13=FM13,$ET$1,IF(R13+P13=ER13,$DY$1,IF(R13+P13=DW13,$DD$1,IF(R13+P13=DB13,$CI$1))))))))))))))))</f>
        <v/>
      </c>
      <c r="U13" s="45">
        <v>16.100000000000001</v>
      </c>
      <c r="V13" s="45">
        <v>9.1999999999999993</v>
      </c>
      <c r="W13" s="45">
        <v>3.9</v>
      </c>
      <c r="X13" s="45">
        <v>14.83</v>
      </c>
      <c r="Y13" s="45">
        <v>0</v>
      </c>
      <c r="Z13" s="45">
        <v>5.9</v>
      </c>
      <c r="AA13" s="45">
        <v>3.8</v>
      </c>
      <c r="AB13" s="45">
        <v>4.0999999999999996</v>
      </c>
      <c r="AC13" s="45">
        <v>5.97</v>
      </c>
      <c r="AD13" s="45">
        <v>0</v>
      </c>
      <c r="AE13" s="45"/>
      <c r="AF13" s="45"/>
      <c r="AG13" s="45"/>
      <c r="AH13" s="45"/>
      <c r="AI13" s="45"/>
      <c r="AJ13" s="12">
        <f>IF(SUM(AB13)&gt;0,SUM(AB13),"")</f>
        <v>4.0999999999999996</v>
      </c>
      <c r="AK13" s="12">
        <f>IF(SUM(U13:X13)-Y13&gt;0,SUM(U13:X13)-Y13,"")</f>
        <v>44.03</v>
      </c>
      <c r="AL13" s="12">
        <f>IF(SUM(Z13:AC13)-AD13&gt;0,SUM(Z13:AC13)-AD13,"")</f>
        <v>19.77</v>
      </c>
      <c r="AM13" s="12">
        <f>IF(SUM(AK13:AL13)&gt;0,SUM(AK13:AL13),"")</f>
        <v>63.8</v>
      </c>
      <c r="AN13" s="12" t="str">
        <f>IF(SUM(AE13:AH13)-AI13&gt;0,SUM(AE13:AH13)-AI13,"")</f>
        <v/>
      </c>
      <c r="AO13" s="12">
        <f>IF(SUM(AM13,AN13)&gt;0,SUM(AM13,AN13),"")</f>
        <v>63.8</v>
      </c>
      <c r="AP13" s="46">
        <v>16.5</v>
      </c>
      <c r="AQ13" s="46">
        <v>9.3000000000000007</v>
      </c>
      <c r="AR13" s="46">
        <v>3.9</v>
      </c>
      <c r="AS13" s="46">
        <v>14.324999999999999</v>
      </c>
      <c r="AT13" s="46">
        <v>0</v>
      </c>
      <c r="AU13" s="46">
        <v>16.100000000000001</v>
      </c>
      <c r="AV13" s="46">
        <v>9.1999999999999993</v>
      </c>
      <c r="AW13" s="46">
        <v>9.1</v>
      </c>
      <c r="AX13" s="46">
        <v>14.12</v>
      </c>
      <c r="AY13" s="46">
        <v>0</v>
      </c>
      <c r="AZ13" s="46">
        <v>14.9</v>
      </c>
      <c r="BA13" s="46">
        <v>8.1999999999999993</v>
      </c>
      <c r="BB13" s="46">
        <v>7.9</v>
      </c>
      <c r="BC13" s="46">
        <v>12.635</v>
      </c>
      <c r="BD13" s="46">
        <v>0</v>
      </c>
      <c r="BE13" s="15">
        <f>IF(SUM(AW13)&gt;0,SUM(AW13),"")</f>
        <v>9.1</v>
      </c>
      <c r="BF13" s="15">
        <f>IF(SUM(AP13:AS13)-AT13&gt;0,SUM(AP13:AS13)-AT13,"")</f>
        <v>44.024999999999999</v>
      </c>
      <c r="BG13" s="15">
        <f>IF(SUM(AU13:AX13)-AY13&gt;0,SUM(AU13:AX13)-AY13,"")</f>
        <v>48.519999999999996</v>
      </c>
      <c r="BH13" s="15">
        <f>IF(SUM(BF13:BG13)&gt;0,SUM(BF13:BG13),"")</f>
        <v>92.544999999999987</v>
      </c>
      <c r="BI13" s="15">
        <f>IF(SUM(AZ13:BC13)-BD13&gt;0,SUM(AZ13:BC13)-BD13,"")</f>
        <v>43.634999999999998</v>
      </c>
      <c r="BJ13" s="15">
        <f>IF(SUM(BH13,BI13)&gt;0,SUM(BH13,BI13),"")</f>
        <v>136.17999999999998</v>
      </c>
      <c r="BK13" s="45">
        <v>17.2</v>
      </c>
      <c r="BL13" s="45">
        <v>9.35</v>
      </c>
      <c r="BM13" s="45">
        <v>3.4</v>
      </c>
      <c r="BN13" s="45">
        <v>15.21</v>
      </c>
      <c r="BO13" s="45">
        <v>0</v>
      </c>
      <c r="BP13" s="45">
        <v>12.3</v>
      </c>
      <c r="BQ13" s="45">
        <v>7.85</v>
      </c>
      <c r="BR13" s="45">
        <v>8.6</v>
      </c>
      <c r="BS13" s="45">
        <v>12.8</v>
      </c>
      <c r="BT13" s="45">
        <v>0</v>
      </c>
      <c r="BU13" s="45">
        <v>14.2</v>
      </c>
      <c r="BV13" s="45">
        <v>9</v>
      </c>
      <c r="BW13" s="45">
        <v>9.9</v>
      </c>
      <c r="BX13" s="45">
        <v>13.68</v>
      </c>
      <c r="BY13" s="45">
        <v>0</v>
      </c>
      <c r="BZ13" s="12">
        <f>IF(SUM(BR13)&gt;0,SUM(BR13),"")</f>
        <v>8.6</v>
      </c>
      <c r="CA13" s="12">
        <f>IF(SUM(BK13:BN13)-BO13&gt;0,SUM(BK13:BN13)-BO13,"")</f>
        <v>45.16</v>
      </c>
      <c r="CB13" s="12">
        <f>IF(SUM(BP13:BS13)-BT13&gt;0,SUM(BP13:BS13)-BT13,"")</f>
        <v>41.55</v>
      </c>
      <c r="CC13" s="12">
        <f>IF(SUM(CA13:CB13)&gt;0,SUM(CA13:CB13),"")</f>
        <v>86.71</v>
      </c>
      <c r="CD13" s="12">
        <f>IF(SUM(BU13:BX13)-BY13&gt;0,SUM(BU13:BX13)-BY13,"")</f>
        <v>46.78</v>
      </c>
      <c r="CE13" s="12">
        <f>IF(SUM(CC13,CD13)&gt;0,SUM(CC13,CD13),"")</f>
        <v>133.49</v>
      </c>
      <c r="CF13" s="28" t="str">
        <f>IF(MAX(CY13,DT13,EO13,FJ13,GE13,GZ13,HU13,IP13,JK13,KF13,LA13,LV13)-L13&gt;0.001,MAX(CY13,DT13,EO13,FJ13,GE13,GZ13,HU13,IP13,JK13,KF13,LA13,LV13)-L13,"")</f>
        <v/>
      </c>
      <c r="CG13" s="28" t="str">
        <f>IF(MAX(CZ13,DU13,EP13,FK13,GF13,HA13,HV13,IQ13,JL13,KG13,LB13,LW13)-N13&gt;0.001,MAX(CZ13,DU13,EP13,FK13,GF13,HA13,HV13,IQ13,JL13,KG13,LB13,LW13)-N13,"")</f>
        <v/>
      </c>
      <c r="CH13" s="28" t="str">
        <f>IF(MAX(DB13,DW13,ER13,FM13,GH13,HC13,HX13,IS13,JN13,KI13,LD13,LY13)-P13&gt;0.001,MAX(DB13,DW13,ER13,FM13,GH13,HC13,HX13,IS13,JN13,KI13,LD13,LY13)-P13,"")</f>
        <v/>
      </c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12" t="str">
        <f>IF(SUM(CP13)&gt;0,SUM(CP13),"")</f>
        <v/>
      </c>
      <c r="CY13" s="12" t="str">
        <f>IF(SUM(CI13:CL13)-CM13&gt;0,SUM(CI13:CL13)-CM13,"")</f>
        <v/>
      </c>
      <c r="CZ13" s="12" t="str">
        <f>IF(SUM(CN13:CQ13)-CR13&gt;0,SUM(CN13:CQ13)-CR13,"")</f>
        <v/>
      </c>
      <c r="DA13" s="12" t="str">
        <f>IF(SUM(CY13:CZ13)&gt;0,SUM(CY13:CZ13),"")</f>
        <v/>
      </c>
      <c r="DB13" s="12" t="str">
        <f>IF(SUM(CS13:CV13)-CW13&gt;0,SUM(CS13:CV13)-CW13,"")</f>
        <v/>
      </c>
      <c r="DC13" s="12" t="str">
        <f>IF(SUM(DA13,DB13)&gt;0,SUM(DA13,DB13),"")</f>
        <v/>
      </c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15" t="str">
        <f>IF(SUM(DK13)&gt;0,SUM(DK13),"")</f>
        <v/>
      </c>
      <c r="DT13" s="15" t="str">
        <f>IF(SUM(DD13:DG13)-DH13&gt;0,SUM(DD13:DG13)-DH13,"")</f>
        <v/>
      </c>
      <c r="DU13" s="15" t="str">
        <f>IF(SUM(DI13:DL13)-DM13&gt;0,SUM(DI13:DL13)-DM13,"")</f>
        <v/>
      </c>
      <c r="DV13" s="15" t="str">
        <f>IF(SUM(DT13:DU13)&gt;0,SUM(DT13:DU13),"")</f>
        <v/>
      </c>
      <c r="DW13" s="15" t="str">
        <f>IF(SUM(DN13:DQ13)-DR13&gt;0,SUM(DN13:DQ13)-DR13,"")</f>
        <v/>
      </c>
      <c r="DX13" s="15" t="str">
        <f>IF(SUM(DV13,DW13)&gt;0,SUM(DV13,DW13),"")</f>
        <v/>
      </c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12" t="str">
        <f>IF(SUM(EF13)&gt;0,SUM(EF13),"")</f>
        <v/>
      </c>
      <c r="EO13" s="12" t="str">
        <f>IF(SUM(DY13:EB13)-EC13&gt;0,SUM(DY13:EB13)-EC13,"")</f>
        <v/>
      </c>
      <c r="EP13" s="12" t="str">
        <f>IF(SUM(ED13:EG13)-EH13&gt;0,SUM(ED13:EG13)-EH13,"")</f>
        <v/>
      </c>
      <c r="EQ13" s="12" t="str">
        <f>IF(SUM(EO13:EP13)&gt;0,SUM(EO13:EP13),"")</f>
        <v/>
      </c>
      <c r="ER13" s="12" t="str">
        <f>IF(SUM(EI13:EL13)-EM13&gt;0,SUM(EI13:EL13)-EM13,"")</f>
        <v/>
      </c>
      <c r="ES13" s="12" t="str">
        <f>IF(SUM(EQ13,ER13)&gt;0,SUM(EQ13,ER13),"")</f>
        <v/>
      </c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15" t="str">
        <f>IF(SUM(FA13)&gt;0,SUM(FA13),"")</f>
        <v/>
      </c>
      <c r="FJ13" s="15" t="str">
        <f>IF(SUM(ET13:EW13)-EX13&gt;0,SUM(ET13:EW13)-EX13,"")</f>
        <v/>
      </c>
      <c r="FK13" s="15" t="str">
        <f>IF(SUM(EY13:FB13)-FC13&gt;0,SUM(EY13:FB13)-FC13,"")</f>
        <v/>
      </c>
      <c r="FL13" s="15" t="str">
        <f>IF(SUM(FJ13:FK13)&gt;0,SUM(FJ13:FK13),"")</f>
        <v/>
      </c>
      <c r="FM13" s="15" t="str">
        <f>IF(SUM(FD13:FG13)-FH13&gt;0,SUM(FD13:FG13)-FH13,"")</f>
        <v/>
      </c>
      <c r="FN13" s="15" t="str">
        <f>IF(SUM(FL13,FM13)&gt;0,SUM(FL13,FM13),"")</f>
        <v/>
      </c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12" t="str">
        <f>IF(SUM(FV13)&gt;0,SUM(FV13),"")</f>
        <v/>
      </c>
      <c r="GE13" s="12" t="str">
        <f>IF(SUM(FO13:FR13)-FS13&gt;0,SUM(FO13:FR13)-FS13,"")</f>
        <v/>
      </c>
      <c r="GF13" s="12" t="str">
        <f>IF(SUM(FT13:FW13)-FX13&gt;0,SUM(FT13:FW13)-FX13,"")</f>
        <v/>
      </c>
      <c r="GG13" s="12" t="str">
        <f>IF(SUM(GE13:GF13)&gt;0,SUM(GE13:GF13),"")</f>
        <v/>
      </c>
      <c r="GH13" s="12" t="str">
        <f>IF(SUM(FY13:GB13)-GC13&gt;0,SUM(FY13:GB13)-GC13,"")</f>
        <v/>
      </c>
      <c r="GI13" s="12" t="str">
        <f>IF(SUM(GG13,GH13)&gt;0,SUM(GG13,GH13),"")</f>
        <v/>
      </c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15" t="str">
        <f>IF(SUM(GQ13)&gt;0,SUM(GQ13),"")</f>
        <v/>
      </c>
      <c r="GZ13" s="15" t="str">
        <f>IF(SUM(GJ13:GM13)-GN13&gt;0,SUM(GJ13:GM13)-GN13,"")</f>
        <v/>
      </c>
      <c r="HA13" s="15" t="str">
        <f>IF(SUM(GO13:GR13)-GS13&gt;0,SUM(GO13:GR13)-GS13,"")</f>
        <v/>
      </c>
      <c r="HB13" s="15" t="str">
        <f>IF(SUM(GZ13:HA13)&gt;0,SUM(GZ13:HA13),"")</f>
        <v/>
      </c>
      <c r="HC13" s="15" t="str">
        <f>IF(SUM(GT13:GW13)-GX13&gt;0,SUM(GT13:GW13)-GX13,"")</f>
        <v/>
      </c>
      <c r="HD13" s="15" t="str">
        <f>IF(SUM(HB13,HC13)&gt;0,SUM(HB13,HC13),"")</f>
        <v/>
      </c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12" t="str">
        <f>IF(SUM(HL13)&gt;0,SUM(HL13),"")</f>
        <v/>
      </c>
      <c r="HU13" s="12" t="str">
        <f>IF(SUM(HE13:HH13)-HI13&gt;0,SUM(HE13:HH13)-HI13,"")</f>
        <v/>
      </c>
      <c r="HV13" s="12" t="str">
        <f>IF(SUM(HJ13:HM13)-HN13&gt;0,SUM(HJ13:HM13)-HN13,"")</f>
        <v/>
      </c>
      <c r="HW13" s="12" t="str">
        <f>IF(SUM(HU13:HV13)&gt;0,SUM(HU13:HV13),"")</f>
        <v/>
      </c>
      <c r="HX13" s="12" t="str">
        <f>IF(SUM(HO13:HR13)-HS13&gt;0,SUM(HO13:HR13)-HS13,"")</f>
        <v/>
      </c>
      <c r="HY13" s="12" t="str">
        <f>IF(SUM(HW13,HX13)&gt;0,SUM(HW13,HX13),"")</f>
        <v/>
      </c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15" t="str">
        <f>IF(SUM(IG13)&gt;0,SUM(IG13),"")</f>
        <v/>
      </c>
      <c r="IP13" s="15" t="str">
        <f>IF(SUM(HZ13:IC13)-ID13&gt;0,SUM(HZ13:IC13)-ID13,"")</f>
        <v/>
      </c>
      <c r="IQ13" s="15" t="str">
        <f>IF(SUM(IE13:IH13)-II13&gt;0,SUM(IE13:IH13)-II13,"")</f>
        <v/>
      </c>
      <c r="IR13" s="15" t="str">
        <f>IF(SUM(IP13:IQ13)&gt;0,SUM(IP13:IQ13),"")</f>
        <v/>
      </c>
      <c r="IS13" s="15" t="str">
        <f>IF(SUM(IJ13:IM13)-IN13&gt;0,SUM(IJ13:IM13)-IN13,"")</f>
        <v/>
      </c>
      <c r="IT13" s="15" t="str">
        <f>IF(SUM(IR13,IS13)&gt;0,SUM(IR13,IS13),"")</f>
        <v/>
      </c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12" t="str">
        <f>IF(SUM(JB13)&gt;0,SUM(JB13),"")</f>
        <v/>
      </c>
      <c r="JK13" s="12" t="str">
        <f>IF(SUM(IU13:IX13)-IY13&gt;0,SUM(IU13:IX13)-IY13,"")</f>
        <v/>
      </c>
      <c r="JL13" s="12" t="str">
        <f>IF(SUM(IZ13:JC13)-JD13&gt;0,SUM(IZ13:JC13)-JD13,"")</f>
        <v/>
      </c>
      <c r="JM13" s="12" t="str">
        <f>IF(SUM(JK13:JL13)&gt;0,SUM(JK13:JL13),"")</f>
        <v/>
      </c>
      <c r="JN13" s="12" t="str">
        <f>IF(SUM(JE13:JH13)-JI13&gt;0,SUM(JE13:JH13)-JI13,"")</f>
        <v/>
      </c>
      <c r="JO13" s="12" t="str">
        <f>IF(SUM(JM13,JN13)&gt;0,SUM(JM13,JN13),"")</f>
        <v/>
      </c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15" t="str">
        <f>IF(SUM(JW13)&gt;0,SUM(JW13),"")</f>
        <v/>
      </c>
      <c r="KF13" s="15" t="str">
        <f>IF(SUM(JP13:JS13)-JT13&gt;0,SUM(JP13:JS13)-JT13,"")</f>
        <v/>
      </c>
      <c r="KG13" s="15" t="str">
        <f>IF(SUM(JU13:JX13)-JY13&gt;0,SUM(JU13:JX13)-JY13,"")</f>
        <v/>
      </c>
      <c r="KH13" s="15" t="str">
        <f>IF(SUM(KF13:KG13)&gt;0,SUM(KF13:KG13),"")</f>
        <v/>
      </c>
      <c r="KI13" s="15" t="str">
        <f>IF(SUM(JZ13:KC13)-KD13&gt;0,SUM(JZ13:KC13)-KD13,"")</f>
        <v/>
      </c>
      <c r="KJ13" s="15" t="str">
        <f>IF(SUM(KH13,KI13)&gt;0,SUM(KH13,KI13),"")</f>
        <v/>
      </c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12" t="str">
        <f>IF(SUM(KR13)&gt;0,SUM(KR13),"")</f>
        <v/>
      </c>
      <c r="LA13" s="12" t="str">
        <f>IF(SUM(KK13:KN13)-KO13&gt;0,SUM(KK13:KN13)-KO13,"")</f>
        <v/>
      </c>
      <c r="LB13" s="12" t="str">
        <f>IF(SUM(KP13:KS13)-KT13&gt;0,SUM(KP13:KS13)-KT13,"")</f>
        <v/>
      </c>
      <c r="LC13" s="12" t="str">
        <f>IF(SUM(LA13:LB13)&gt;0,SUM(LA13:LB13),"")</f>
        <v/>
      </c>
      <c r="LD13" s="12" t="str">
        <f>IF(SUM(KU13:KX13)-KY13&gt;0,SUM(KU13:KX13)-KY13,"")</f>
        <v/>
      </c>
      <c r="LE13" s="12" t="str">
        <f>IF(SUM(LC13,LD13)&gt;0,SUM(LC13,LD13),"")</f>
        <v/>
      </c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15" t="str">
        <f>IF(SUM(LM13)&gt;0,SUM(LM13),"")</f>
        <v/>
      </c>
      <c r="LV13" s="15" t="str">
        <f>IF(SUM(LF13:LI13)-LJ13&gt;0,SUM(LF13:LI13)-LJ13,"")</f>
        <v/>
      </c>
      <c r="LW13" s="15" t="str">
        <f>IF(SUM(LK13:LN13)-LO13&gt;0,SUM(LK13:LN13)-LO13,"")</f>
        <v/>
      </c>
      <c r="LX13" s="15" t="str">
        <f>IF(SUM(LV13:LW13)&gt;0,SUM(LV13:LW13),"")</f>
        <v/>
      </c>
      <c r="LY13" s="15" t="str">
        <f>IF(SUM(LP13:LS13)-LT13&gt;0,SUM(LP13:LS13)-LT13,"")</f>
        <v/>
      </c>
      <c r="LZ13" s="15" t="str">
        <f>IF(SUM(LX13,LY13)&gt;0,SUM(LX13,LY13),"")</f>
        <v/>
      </c>
    </row>
    <row r="14" spans="1:338">
      <c r="A14" s="6" t="str">
        <f>IF(AND(F14="P",H14="P"),SUMPRODUCT((F$4:F$15="P")*(H$4:H$15="P")*(E$4:E$15&gt;E14))+1,IF(H14="P",SUMPRODUCT((F$4:F$15="")*(H$4:H$15="P")*(E$4:E$15&gt;E14))+1+SUMPRODUCT((F$4:F$15="P")*(H$4:H$15="P")),""))</f>
        <v/>
      </c>
      <c r="B14" s="9" t="s">
        <v>114</v>
      </c>
      <c r="C14" s="5" t="s">
        <v>5</v>
      </c>
      <c r="D14" s="31">
        <v>2001</v>
      </c>
      <c r="E14" s="16">
        <f>SUM(J14:R14)</f>
        <v>180.27500000000003</v>
      </c>
      <c r="F14" s="4" t="str">
        <f>IF(OR(AND($AJ14&gt;=$AK$18,NOT($AJ14="")),AND($BE14&gt;=$BF$18,NOT($BE14="")),AND($BZ14&gt;=$CA$18,NOT($BZ14=""))),"P","")</f>
        <v/>
      </c>
      <c r="G14" s="4" t="str">
        <f>IF(OR(AND($AJ14&gt;=$AK$19,NOT($AJ14="")),AND($BE14&gt;=$BF$19,NOT($BE14="")),AND($BZ14&gt;=$CA$19,NOT($BZ14=""))),"P","")</f>
        <v/>
      </c>
      <c r="H14" s="4" t="str">
        <f>IF(OR(AND($AM14&gt;=$AK$20,NOT($AM14="")),AND($BH14&gt;=$BF$20,NOT($BH14="")),AND($CC14&gt;=$CA$20,NOT($CC14=""))),"P","")</f>
        <v/>
      </c>
      <c r="I14" t="str">
        <f>IF(AND(F14="P",OR(AND($AL14&gt;=$AK$23,NOT($AL14="")),AND($AN14&gt;=$AK$23,NOT($AN14="")),AND($BG14&gt;=$BF$23,NOT($BG14="")),AND($BI14&gt;=$BF$23,NOT($BI14="")),AND($CB14&gt;=$CA$23,NOT($CB14="")),AND($CD14&gt;=$CA$23,NOT($CD14="")))),"Merit",IF(AND(F14="P",OR(AND($AM14&gt;=$AK$22,NOT($AM14="")),AND($BH14&gt;=$BF$22,NOT($BH14="")),AND($CC14&gt;=$CA$22,NOT($CC14="")))),"Funding",IF(AND(F14="P",OR(AND($AM14&gt;=$AK$21,NOT($AM14="")),AND($BH14&gt;=$BF$21,NOT($BH14="")),AND($CC14&gt;=$CA$21,NOT($CC14="")))),"Worlds Team",IF(AND(F14="P",OR(AND($AM14&gt;=$AK$20,NOT($AM14="")),AND($BH14&gt;=$BF$20,NOT($BH14="")),AND($CC14&gt;=$CA$20,NOT($CC14="")))),"National Team",""))))</f>
        <v/>
      </c>
      <c r="J14" s="15">
        <f>MAX(AM14,BH14,CC14)</f>
        <v>89.77000000000001</v>
      </c>
      <c r="K14" s="15" t="str">
        <f>IF(J14=CC14,$BK$1,IF(J14=BH14,$AP$1,IF(J14=AM14,$U$1,"")))</f>
        <v>2017 Nationals</v>
      </c>
      <c r="L14" s="15">
        <f>IF($J14=$AM14,MAX(BF14,CA14),IF($J14=$BH14,MAX(AK14,CA14),MAX(AK14,BF14)))</f>
        <v>42.575000000000003</v>
      </c>
      <c r="M14" s="15" t="str">
        <f>IF(L14=CA14,$BK$1,IF(L14=BF14,$AP$1,IF(L14=AK14,$U$1,"")))</f>
        <v>2018 Canada Cup</v>
      </c>
      <c r="N14" s="15">
        <f>IF($J14=$AM14,MAX(BG14,CB14),IF($J14=$BH14,MAX(AL14,CB14),MAX(AL14,BG14)))</f>
        <v>28.164999999999999</v>
      </c>
      <c r="O14" s="15" t="str">
        <f>IF(N14=CB14,$BK$1,IF(N14=BG14,$AP$1,IF(N14=AL14,$U$1,"")))</f>
        <v>2018 Canada Cup</v>
      </c>
      <c r="P14" s="15">
        <f>MAX(AN14,BI14,CD14)</f>
        <v>19.765000000000001</v>
      </c>
      <c r="Q14" s="15" t="str">
        <f>IF(P14=CD14,$BK$1,IF(P14=BI14,$AP$1,IF(P14=AN14,$U$1,"")))</f>
        <v>2018 Canada Cup</v>
      </c>
      <c r="R14" s="15" t="str">
        <f>IF(MAX(CF14:CH14)&gt;0,MAX(CF14:CH14),"")</f>
        <v/>
      </c>
      <c r="S14" s="29" t="str">
        <f>IF(R14="","",IF(R14=CF14,"(Vol 1)",IF(R14=CG14,"(Vol 2)",IF(R14=CH14,"(Final)"))))</f>
        <v/>
      </c>
      <c r="T14" s="15" t="str">
        <f>IF(R14="","",IF(R14=CF14,IF(R14+L14=LV14,$LF$1,IF(R14+L14=LA14,$KK$1,IF(R14+L14=KF14,$JP$1,IF(R14+L14=JK14,$IU$1,IF(R14+L14=IP14,$HZ$1,IF(R14+L14=HU14,$HE$1,IF(R14+L14=GZ14,$GJ$1,IF(R14+L14=GE14,$FO$1,IF(R14+L14=FJ14,$ET$1,IF(R14+L14=EO14,$DY$1,IF(R14+L14=DT14,$DD$1,IF(R14+L14=CY14,$CI$1)))))))))))),IF(R14=CG14,IF(R14+N14=LW14,$LF$1,IF(R14+N14=LB14,$KK$1,IF(R14+N14=KG14,$JP$1,IF(R14+N14=JL14,$IU$1,IF(R14+N14=IQ14,$HZ$1,IF(R14+N14=HV14,$HE$1,IF(R14+N14=HA14,$GJ$1,IF(R14+N14=GF14,$FO$1,IF(R14+N14=FK14,$ET$1,IF(R14+N14=EP14,$DY$1,IF(R14+N14=DU14,$DD$1,IF(R14+N14=CZ14,$CI$1)))))))))))),IF(R14=CH14,IF(R14+P14=LY14,$LF$1,IF(R14+P14=LD14,$KK$1,IF(R14+P14=KI14,$JP$1,IF(R14+P14=JN14,$IU$1,IF(R14+P14=IS14,$HZ$1,IF(R14+P14=HX14,$HE$1,IF(R14+P14=HC14,$GJ$1,IF(R14+P14=GH14,$FO$1,IF(R14+P14=FM14,$ET$1,IF(R14+P14=ER14,$DY$1,IF(R14+P14=DW14,$DD$1,IF(R14+P14=DB14,$CI$1))))))))))))))))</f>
        <v/>
      </c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12" t="str">
        <f>IF(SUM(AB14)&gt;0,SUM(AB14),"")</f>
        <v/>
      </c>
      <c r="AK14" s="12" t="str">
        <f>IF(SUM(U14:X14)-Y14&gt;0,SUM(U14:X14)-Y14,"")</f>
        <v/>
      </c>
      <c r="AL14" s="12" t="str">
        <f>IF(SUM(Z14:AC14)-AD14&gt;0,SUM(Z14:AC14)-AD14,"")</f>
        <v/>
      </c>
      <c r="AM14" s="12" t="str">
        <f>IF(SUM(AK14:AL14)&gt;0,SUM(AK14:AL14),"")</f>
        <v/>
      </c>
      <c r="AN14" s="12" t="str">
        <f>IF(SUM(AE14:AH14)-AI14&gt;0,SUM(AE14:AH14)-AI14,"")</f>
        <v/>
      </c>
      <c r="AO14" s="12" t="str">
        <f>IF(SUM(AM14,AN14)&gt;0,SUM(AM14,AN14),"")</f>
        <v/>
      </c>
      <c r="AP14" s="46">
        <v>14.8</v>
      </c>
      <c r="AQ14" s="46">
        <v>9.6</v>
      </c>
      <c r="AR14" s="46">
        <v>4.3</v>
      </c>
      <c r="AS14" s="46">
        <v>14.365</v>
      </c>
      <c r="AT14" s="46">
        <v>0</v>
      </c>
      <c r="AU14" s="46">
        <v>14.5</v>
      </c>
      <c r="AV14" s="46">
        <v>8.9</v>
      </c>
      <c r="AW14" s="46">
        <v>9.3000000000000007</v>
      </c>
      <c r="AX14" s="46">
        <v>14.005000000000001</v>
      </c>
      <c r="AY14" s="46"/>
      <c r="AZ14" s="46"/>
      <c r="BA14" s="46"/>
      <c r="BB14" s="46"/>
      <c r="BC14" s="46"/>
      <c r="BD14" s="46"/>
      <c r="BE14" s="15">
        <f>IF(SUM(AW14)&gt;0,SUM(AW14),"")</f>
        <v>9.3000000000000007</v>
      </c>
      <c r="BF14" s="15">
        <f>IF(SUM(AP14:AS14)-AT14&gt;0,SUM(AP14:AS14)-AT14,"")</f>
        <v>43.064999999999998</v>
      </c>
      <c r="BG14" s="15">
        <f>IF(SUM(AU14:AX14)-AY14&gt;0,SUM(AU14:AX14)-AY14,"")</f>
        <v>46.705000000000005</v>
      </c>
      <c r="BH14" s="15">
        <f>IF(SUM(BF14:BG14)&gt;0,SUM(BF14:BG14),"")</f>
        <v>89.77000000000001</v>
      </c>
      <c r="BI14" s="15" t="str">
        <f>IF(SUM(AZ14:BC14)-BD14&gt;0,SUM(AZ14:BC14)-BD14,"")</f>
        <v/>
      </c>
      <c r="BJ14" s="15">
        <f>IF(SUM(BH14,BI14)&gt;0,SUM(BH14,BI14),"")</f>
        <v>89.77000000000001</v>
      </c>
      <c r="BK14" s="45">
        <v>14.8</v>
      </c>
      <c r="BL14" s="45">
        <v>9</v>
      </c>
      <c r="BM14" s="45">
        <v>4.7</v>
      </c>
      <c r="BN14" s="45">
        <v>14.074999999999999</v>
      </c>
      <c r="BO14" s="45">
        <v>0</v>
      </c>
      <c r="BP14" s="45">
        <v>7.1</v>
      </c>
      <c r="BQ14" s="45">
        <v>5.6</v>
      </c>
      <c r="BR14" s="45">
        <v>7.1</v>
      </c>
      <c r="BS14" s="45">
        <v>8.3650000000000002</v>
      </c>
      <c r="BT14" s="45">
        <v>0</v>
      </c>
      <c r="BU14" s="45">
        <v>5.4</v>
      </c>
      <c r="BV14" s="45">
        <v>3.75</v>
      </c>
      <c r="BW14" s="45">
        <v>4.8</v>
      </c>
      <c r="BX14" s="45">
        <v>5.8150000000000004</v>
      </c>
      <c r="BY14" s="45">
        <v>0</v>
      </c>
      <c r="BZ14" s="12">
        <f>IF(SUM(BR14)&gt;0,SUM(BR14),"")</f>
        <v>7.1</v>
      </c>
      <c r="CA14" s="12">
        <f>IF(SUM(BK14:BN14)-BO14&gt;0,SUM(BK14:BN14)-BO14,"")</f>
        <v>42.575000000000003</v>
      </c>
      <c r="CB14" s="12">
        <f>IF(SUM(BP14:BS14)-BT14&gt;0,SUM(BP14:BS14)-BT14,"")</f>
        <v>28.164999999999999</v>
      </c>
      <c r="CC14" s="12">
        <f>IF(SUM(CA14:CB14)&gt;0,SUM(CA14:CB14),"")</f>
        <v>70.740000000000009</v>
      </c>
      <c r="CD14" s="12">
        <f>IF(SUM(BU14:BX14)-BY14&gt;0,SUM(BU14:BX14)-BY14,"")</f>
        <v>19.765000000000001</v>
      </c>
      <c r="CE14" s="12">
        <f>IF(SUM(CC14,CD14)&gt;0,SUM(CC14,CD14),"")</f>
        <v>90.50500000000001</v>
      </c>
      <c r="CF14" s="28" t="str">
        <f>IF(MAX(CY14,DT14,EO14,FJ14,GE14,GZ14,HU14,IP14,JK14,KF14,LA14,LV14)-L14&gt;0.001,MAX(CY14,DT14,EO14,FJ14,GE14,GZ14,HU14,IP14,JK14,KF14,LA14,LV14)-L14,"")</f>
        <v/>
      </c>
      <c r="CG14" s="28" t="str">
        <f>IF(MAX(CZ14,DU14,EP14,FK14,GF14,HA14,HV14,IQ14,JL14,KG14,LB14,LW14)-N14&gt;0.001,MAX(CZ14,DU14,EP14,FK14,GF14,HA14,HV14,IQ14,JL14,KG14,LB14,LW14)-N14,"")</f>
        <v/>
      </c>
      <c r="CH14" s="28" t="str">
        <f>IF(MAX(DB14,DW14,ER14,FM14,GH14,HC14,HX14,IS14,JN14,KI14,LD14,LY14)-P14&gt;0.001,MAX(DB14,DW14,ER14,FM14,GH14,HC14,HX14,IS14,JN14,KI14,LD14,LY14)-P14,"")</f>
        <v/>
      </c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12" t="str">
        <f>IF(SUM(CP14)&gt;0,SUM(CP14),"")</f>
        <v/>
      </c>
      <c r="CY14" s="12" t="str">
        <f>IF(SUM(CI14:CL14)-CM14&gt;0,SUM(CI14:CL14)-CM14,"")</f>
        <v/>
      </c>
      <c r="CZ14" s="12" t="str">
        <f>IF(SUM(CN14:CQ14)-CR14&gt;0,SUM(CN14:CQ14)-CR14,"")</f>
        <v/>
      </c>
      <c r="DA14" s="12" t="str">
        <f>IF(SUM(CY14:CZ14)&gt;0,SUM(CY14:CZ14),"")</f>
        <v/>
      </c>
      <c r="DB14" s="12" t="str">
        <f>IF(SUM(CS14:CV14)-CW14&gt;0,SUM(CS14:CV14)-CW14,"")</f>
        <v/>
      </c>
      <c r="DC14" s="12" t="str">
        <f>IF(SUM(DA14,DB14)&gt;0,SUM(DA14,DB14),"")</f>
        <v/>
      </c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15" t="str">
        <f>IF(SUM(DK14)&gt;0,SUM(DK14),"")</f>
        <v/>
      </c>
      <c r="DT14" s="15" t="str">
        <f>IF(SUM(DD14:DG14)-DH14&gt;0,SUM(DD14:DG14)-DH14,"")</f>
        <v/>
      </c>
      <c r="DU14" s="15" t="str">
        <f>IF(SUM(DI14:DL14)-DM14&gt;0,SUM(DI14:DL14)-DM14,"")</f>
        <v/>
      </c>
      <c r="DV14" s="15" t="str">
        <f>IF(SUM(DT14:DU14)&gt;0,SUM(DT14:DU14),"")</f>
        <v/>
      </c>
      <c r="DW14" s="15" t="str">
        <f>IF(SUM(DN14:DQ14)-DR14&gt;0,SUM(DN14:DQ14)-DR14,"")</f>
        <v/>
      </c>
      <c r="DX14" s="15" t="str">
        <f>IF(SUM(DV14,DW14)&gt;0,SUM(DV14,DW14),"")</f>
        <v/>
      </c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45"/>
      <c r="EM14" s="45"/>
      <c r="EN14" s="12" t="str">
        <f>IF(SUM(EF14)&gt;0,SUM(EF14),"")</f>
        <v/>
      </c>
      <c r="EO14" s="12" t="str">
        <f>IF(SUM(DY14:EB14)-EC14&gt;0,SUM(DY14:EB14)-EC14,"")</f>
        <v/>
      </c>
      <c r="EP14" s="12" t="str">
        <f>IF(SUM(ED14:EG14)-EH14&gt;0,SUM(ED14:EG14)-EH14,"")</f>
        <v/>
      </c>
      <c r="EQ14" s="12" t="str">
        <f>IF(SUM(EO14:EP14)&gt;0,SUM(EO14:EP14),"")</f>
        <v/>
      </c>
      <c r="ER14" s="12" t="str">
        <f>IF(SUM(EI14:EL14)-EM14&gt;0,SUM(EI14:EL14)-EM14,"")</f>
        <v/>
      </c>
      <c r="ES14" s="12" t="str">
        <f>IF(SUM(EQ14,ER14)&gt;0,SUM(EQ14,ER14),"")</f>
        <v/>
      </c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15" t="str">
        <f>IF(SUM(FA14)&gt;0,SUM(FA14),"")</f>
        <v/>
      </c>
      <c r="FJ14" s="15" t="str">
        <f>IF(SUM(ET14:EW14)-EX14&gt;0,SUM(ET14:EW14)-EX14,"")</f>
        <v/>
      </c>
      <c r="FK14" s="15" t="str">
        <f>IF(SUM(EY14:FB14)-FC14&gt;0,SUM(EY14:FB14)-FC14,"")</f>
        <v/>
      </c>
      <c r="FL14" s="15" t="str">
        <f>IF(SUM(FJ14:FK14)&gt;0,SUM(FJ14:FK14),"")</f>
        <v/>
      </c>
      <c r="FM14" s="15" t="str">
        <f>IF(SUM(FD14:FG14)-FH14&gt;0,SUM(FD14:FG14)-FH14,"")</f>
        <v/>
      </c>
      <c r="FN14" s="15" t="str">
        <f>IF(SUM(FL14,FM14)&gt;0,SUM(FL14,FM14),"")</f>
        <v/>
      </c>
      <c r="FO14" s="45"/>
      <c r="FP14" s="45"/>
      <c r="FQ14" s="45"/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45"/>
      <c r="GC14" s="45"/>
      <c r="GD14" s="12" t="str">
        <f>IF(SUM(FV14)&gt;0,SUM(FV14),"")</f>
        <v/>
      </c>
      <c r="GE14" s="12" t="str">
        <f>IF(SUM(FO14:FR14)-FS14&gt;0,SUM(FO14:FR14)-FS14,"")</f>
        <v/>
      </c>
      <c r="GF14" s="12" t="str">
        <f>IF(SUM(FT14:FW14)-FX14&gt;0,SUM(FT14:FW14)-FX14,"")</f>
        <v/>
      </c>
      <c r="GG14" s="12" t="str">
        <f>IF(SUM(GE14:GF14)&gt;0,SUM(GE14:GF14),"")</f>
        <v/>
      </c>
      <c r="GH14" s="12" t="str">
        <f>IF(SUM(FY14:GB14)-GC14&gt;0,SUM(FY14:GB14)-GC14,"")</f>
        <v/>
      </c>
      <c r="GI14" s="12" t="str">
        <f>IF(SUM(GG14,GH14)&gt;0,SUM(GG14,GH14),"")</f>
        <v/>
      </c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15" t="str">
        <f>IF(SUM(GQ14)&gt;0,SUM(GQ14),"")</f>
        <v/>
      </c>
      <c r="GZ14" s="15" t="str">
        <f>IF(SUM(GJ14:GM14)-GN14&gt;0,SUM(GJ14:GM14)-GN14,"")</f>
        <v/>
      </c>
      <c r="HA14" s="15" t="str">
        <f>IF(SUM(GO14:GR14)-GS14&gt;0,SUM(GO14:GR14)-GS14,"")</f>
        <v/>
      </c>
      <c r="HB14" s="15" t="str">
        <f>IF(SUM(GZ14:HA14)&gt;0,SUM(GZ14:HA14),"")</f>
        <v/>
      </c>
      <c r="HC14" s="15" t="str">
        <f>IF(SUM(GT14:GW14)-GX14&gt;0,SUM(GT14:GW14)-GX14,"")</f>
        <v/>
      </c>
      <c r="HD14" s="15" t="str">
        <f>IF(SUM(HB14,HC14)&gt;0,SUM(HB14,HC14),"")</f>
        <v/>
      </c>
      <c r="HE14" s="45"/>
      <c r="HF14" s="45"/>
      <c r="HG14" s="45"/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45"/>
      <c r="HS14" s="45"/>
      <c r="HT14" s="12" t="str">
        <f>IF(SUM(HL14)&gt;0,SUM(HL14),"")</f>
        <v/>
      </c>
      <c r="HU14" s="12" t="str">
        <f>IF(SUM(HE14:HH14)-HI14&gt;0,SUM(HE14:HH14)-HI14,"")</f>
        <v/>
      </c>
      <c r="HV14" s="12" t="str">
        <f>IF(SUM(HJ14:HM14)-HN14&gt;0,SUM(HJ14:HM14)-HN14,"")</f>
        <v/>
      </c>
      <c r="HW14" s="12" t="str">
        <f>IF(SUM(HU14:HV14)&gt;0,SUM(HU14:HV14),"")</f>
        <v/>
      </c>
      <c r="HX14" s="12" t="str">
        <f>IF(SUM(HO14:HR14)-HS14&gt;0,SUM(HO14:HR14)-HS14,"")</f>
        <v/>
      </c>
      <c r="HY14" s="12" t="str">
        <f>IF(SUM(HW14,HX14)&gt;0,SUM(HW14,HX14),"")</f>
        <v/>
      </c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15" t="str">
        <f>IF(SUM(IG14)&gt;0,SUM(IG14),"")</f>
        <v/>
      </c>
      <c r="IP14" s="15" t="str">
        <f>IF(SUM(HZ14:IC14)-ID14&gt;0,SUM(HZ14:IC14)-ID14,"")</f>
        <v/>
      </c>
      <c r="IQ14" s="15" t="str">
        <f>IF(SUM(IE14:IH14)-II14&gt;0,SUM(IE14:IH14)-II14,"")</f>
        <v/>
      </c>
      <c r="IR14" s="15" t="str">
        <f>IF(SUM(IP14:IQ14)&gt;0,SUM(IP14:IQ14),"")</f>
        <v/>
      </c>
      <c r="IS14" s="15" t="str">
        <f>IF(SUM(IJ14:IM14)-IN14&gt;0,SUM(IJ14:IM14)-IN14,"")</f>
        <v/>
      </c>
      <c r="IT14" s="15" t="str">
        <f>IF(SUM(IR14,IS14)&gt;0,SUM(IR14,IS14),"")</f>
        <v/>
      </c>
      <c r="IU14" s="45"/>
      <c r="IV14" s="45"/>
      <c r="IW14" s="45"/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45"/>
      <c r="JI14" s="45"/>
      <c r="JJ14" s="12" t="str">
        <f>IF(SUM(JB14)&gt;0,SUM(JB14),"")</f>
        <v/>
      </c>
      <c r="JK14" s="12" t="str">
        <f>IF(SUM(IU14:IX14)-IY14&gt;0,SUM(IU14:IX14)-IY14,"")</f>
        <v/>
      </c>
      <c r="JL14" s="12" t="str">
        <f>IF(SUM(IZ14:JC14)-JD14&gt;0,SUM(IZ14:JC14)-JD14,"")</f>
        <v/>
      </c>
      <c r="JM14" s="12" t="str">
        <f>IF(SUM(JK14:JL14)&gt;0,SUM(JK14:JL14),"")</f>
        <v/>
      </c>
      <c r="JN14" s="12" t="str">
        <f>IF(SUM(JE14:JH14)-JI14&gt;0,SUM(JE14:JH14)-JI14,"")</f>
        <v/>
      </c>
      <c r="JO14" s="12" t="str">
        <f>IF(SUM(JM14,JN14)&gt;0,SUM(JM14,JN14),"")</f>
        <v/>
      </c>
      <c r="JP14" s="46"/>
      <c r="JQ14" s="46"/>
      <c r="JR14" s="46"/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46"/>
      <c r="KD14" s="46"/>
      <c r="KE14" s="15" t="str">
        <f>IF(SUM(JW14)&gt;0,SUM(JW14),"")</f>
        <v/>
      </c>
      <c r="KF14" s="15" t="str">
        <f>IF(SUM(JP14:JS14)-JT14&gt;0,SUM(JP14:JS14)-JT14,"")</f>
        <v/>
      </c>
      <c r="KG14" s="15" t="str">
        <f>IF(SUM(JU14:JX14)-JY14&gt;0,SUM(JU14:JX14)-JY14,"")</f>
        <v/>
      </c>
      <c r="KH14" s="15" t="str">
        <f>IF(SUM(KF14:KG14)&gt;0,SUM(KF14:KG14),"")</f>
        <v/>
      </c>
      <c r="KI14" s="15" t="str">
        <f>IF(SUM(JZ14:KC14)-KD14&gt;0,SUM(JZ14:KC14)-KD14,"")</f>
        <v/>
      </c>
      <c r="KJ14" s="15" t="str">
        <f>IF(SUM(KH14,KI14)&gt;0,SUM(KH14,KI14),"")</f>
        <v/>
      </c>
      <c r="KK14" s="45"/>
      <c r="KL14" s="45"/>
      <c r="KM14" s="45"/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45"/>
      <c r="KY14" s="45"/>
      <c r="KZ14" s="12" t="str">
        <f>IF(SUM(KR14)&gt;0,SUM(KR14),"")</f>
        <v/>
      </c>
      <c r="LA14" s="12" t="str">
        <f>IF(SUM(KK14:KN14)-KO14&gt;0,SUM(KK14:KN14)-KO14,"")</f>
        <v/>
      </c>
      <c r="LB14" s="12" t="str">
        <f>IF(SUM(KP14:KS14)-KT14&gt;0,SUM(KP14:KS14)-KT14,"")</f>
        <v/>
      </c>
      <c r="LC14" s="12" t="str">
        <f>IF(SUM(LA14:LB14)&gt;0,SUM(LA14:LB14),"")</f>
        <v/>
      </c>
      <c r="LD14" s="12" t="str">
        <f>IF(SUM(KU14:KX14)-KY14&gt;0,SUM(KU14:KX14)-KY14,"")</f>
        <v/>
      </c>
      <c r="LE14" s="12" t="str">
        <f>IF(SUM(LC14,LD14)&gt;0,SUM(LC14,LD14),"")</f>
        <v/>
      </c>
      <c r="LF14" s="46"/>
      <c r="LG14" s="46"/>
      <c r="LH14" s="46"/>
      <c r="LI14" s="46"/>
      <c r="LJ14" s="46"/>
      <c r="LK14" s="46"/>
      <c r="LL14" s="46"/>
      <c r="LM14" s="46"/>
      <c r="LN14" s="46"/>
      <c r="LO14" s="46"/>
      <c r="LP14" s="46"/>
      <c r="LQ14" s="46"/>
      <c r="LR14" s="46"/>
      <c r="LS14" s="46"/>
      <c r="LT14" s="46"/>
      <c r="LU14" s="15" t="str">
        <f>IF(SUM(LM14)&gt;0,SUM(LM14),"")</f>
        <v/>
      </c>
      <c r="LV14" s="15" t="str">
        <f>IF(SUM(LF14:LI14)-LJ14&gt;0,SUM(LF14:LI14)-LJ14,"")</f>
        <v/>
      </c>
      <c r="LW14" s="15" t="str">
        <f>IF(SUM(LK14:LN14)-LO14&gt;0,SUM(LK14:LN14)-LO14,"")</f>
        <v/>
      </c>
      <c r="LX14" s="15" t="str">
        <f>IF(SUM(LV14:LW14)&gt;0,SUM(LV14:LW14),"")</f>
        <v/>
      </c>
      <c r="LY14" s="15" t="str">
        <f>IF(SUM(LP14:LS14)-LT14&gt;0,SUM(LP14:LS14)-LT14,"")</f>
        <v/>
      </c>
      <c r="LZ14" s="15" t="str">
        <f>IF(SUM(LX14,LY14)&gt;0,SUM(LX14,LY14),"")</f>
        <v/>
      </c>
    </row>
    <row r="15" spans="1:338">
      <c r="A15" s="6" t="str">
        <f>IF(AND(F15="P",H15="P"),SUMPRODUCT((F$4:F$15="P")*(H$4:H$15="P")*(E$4:E$15&gt;E15))+1,IF(H15="P",SUMPRODUCT((F$4:F$15="")*(H$4:H$15="P")*(E$4:E$15&gt;E15))+1+SUMPRODUCT((F$4:F$15="P")*(H$4:H$15="P")),""))</f>
        <v/>
      </c>
      <c r="B15" s="9" t="s">
        <v>88</v>
      </c>
      <c r="C15" s="5" t="s">
        <v>6</v>
      </c>
      <c r="D15" s="31">
        <v>2002</v>
      </c>
      <c r="E15" s="16">
        <f>SUM(J15:R15)</f>
        <v>102.715</v>
      </c>
      <c r="F15" s="4" t="str">
        <f>IF(OR(AND($AJ15&gt;=$AK$18,NOT($AJ15="")),AND($BE15&gt;=$BF$18,NOT($BE15="")),AND($BZ15&gt;=$CA$18,NOT($BZ15=""))),"P","")</f>
        <v/>
      </c>
      <c r="G15" s="4" t="str">
        <f>IF(OR(AND($AJ15&gt;=$AK$19,NOT($AJ15="")),AND($BE15&gt;=$BF$19,NOT($BE15="")),AND($BZ15&gt;=$CA$19,NOT($BZ15=""))),"P","")</f>
        <v/>
      </c>
      <c r="H15" s="4" t="str">
        <f>IF(OR(AND($AM15&gt;=$AK$20,NOT($AM15="")),AND($BH15&gt;=$BF$20,NOT($BH15="")),AND($CC15&gt;=$CA$20,NOT($CC15=""))),"P","")</f>
        <v/>
      </c>
      <c r="I15" t="str">
        <f>IF(AND(F15="P",OR(AND($AL15&gt;=$AK$23,NOT($AL15="")),AND($AN15&gt;=$AK$23,NOT($AN15="")),AND($BG15&gt;=$BF$23,NOT($BG15="")),AND($BI15&gt;=$BF$23,NOT($BI15="")),AND($CB15&gt;=$CA$23,NOT($CB15="")),AND($CD15&gt;=$CA$23,NOT($CD15="")))),"Merit",IF(AND(F15="P",OR(AND($AM15&gt;=$AK$22,NOT($AM15="")),AND($BH15&gt;=$BF$22,NOT($BH15="")),AND($CC15&gt;=$CA$22,NOT($CC15="")))),"Funding",IF(AND(F15="P",OR(AND($AM15&gt;=$AK$21,NOT($AM15="")),AND($BH15&gt;=$BF$21,NOT($BH15="")),AND($CC15&gt;=$CA$21,NOT($CC15="")))),"Worlds Team",IF(AND(F15="P",OR(AND($AM15&gt;=$AK$20,NOT($AM15="")),AND($BH15&gt;=$BF$20,NOT($BH15="")),AND($CC15&gt;=$CA$20,NOT($CC15="")))),"National Team",""))))</f>
        <v/>
      </c>
      <c r="J15" s="15">
        <f>MAX(AM15,BH15,CC15)</f>
        <v>53.85</v>
      </c>
      <c r="K15" s="15" t="str">
        <f>IF(J15=CC15,$BK$1,IF(J15=BH15,$AP$1,IF(J15=AM15,$U$1,"")))</f>
        <v>2017 Canada Cup</v>
      </c>
      <c r="L15" s="15">
        <f>IF($J15=$AM15,MAX(BF15,CA15),IF($J15=$BH15,MAX(AK15,CA15),MAX(AK15,BF15)))</f>
        <v>0</v>
      </c>
      <c r="M15" s="15" t="str">
        <f>IF(L15=CA15,$BK$1,IF(L15=BF15,$AP$1,IF(L15=AK15,$U$1,"")))</f>
        <v/>
      </c>
      <c r="N15" s="15">
        <f>IF($J15=$AM15,MAX(BG15,CB15),IF($J15=$BH15,MAX(AL15,CB15),MAX(AL15,BG15)))</f>
        <v>48.864999999999995</v>
      </c>
      <c r="O15" s="15" t="str">
        <f>IF(N15=CB15,$BK$1,IF(N15=BG15,$AP$1,IF(N15=AL15,$U$1,"")))</f>
        <v>2017 Nationals</v>
      </c>
      <c r="P15" s="15">
        <f>MAX(AN15,BI15,CD15)</f>
        <v>0</v>
      </c>
      <c r="Q15" s="15" t="str">
        <f>IF(P15=CD15,$BK$1,IF(P15=BI15,$AP$1,IF(P15=AN15,$U$1,"")))</f>
        <v/>
      </c>
      <c r="R15" s="15" t="str">
        <f>IF(MAX(CF15:CH15)&gt;0,MAX(CF15:CH15),"")</f>
        <v/>
      </c>
      <c r="S15" s="29" t="str">
        <f>IF(R15="","",IF(R15=CF15,"(Vol 1)",IF(R15=CG15,"(Vol 2)",IF(R15=CH15,"(Final)"))))</f>
        <v/>
      </c>
      <c r="T15" s="15" t="str">
        <f>IF(R15="","",IF(R15=CF15,IF(R15+L15=LV15,$LF$1,IF(R15+L15=LA15,$KK$1,IF(R15+L15=KF15,$JP$1,IF(R15+L15=JK15,$IU$1,IF(R15+L15=IP15,$HZ$1,IF(R15+L15=HU15,$HE$1,IF(R15+L15=GZ15,$GJ$1,IF(R15+L15=GE15,$FO$1,IF(R15+L15=FJ15,$ET$1,IF(R15+L15=EO15,$DY$1,IF(R15+L15=DT15,$DD$1,IF(R15+L15=CY15,$CI$1)))))))))))),IF(R15=CG15,IF(R15+N15=LW15,$LF$1,IF(R15+N15=LB15,$KK$1,IF(R15+N15=KG15,$JP$1,IF(R15+N15=JL15,$IU$1,IF(R15+N15=IQ15,$HZ$1,IF(R15+N15=HV15,$HE$1,IF(R15+N15=HA15,$GJ$1,IF(R15+N15=GF15,$FO$1,IF(R15+N15=FK15,$ET$1,IF(R15+N15=EP15,$DY$1,IF(R15+N15=DU15,$DD$1,IF(R15+N15=CZ15,$CI$1)))))))))))),IF(R15=CH15,IF(R15+P15=LY15,$LF$1,IF(R15+P15=LD15,$KK$1,IF(R15+P15=KI15,$JP$1,IF(R15+P15=JN15,$IU$1,IF(R15+P15=IS15,$HZ$1,IF(R15+P15=HX15,$HE$1,IF(R15+P15=HC15,$GJ$1,IF(R15+P15=GH15,$FO$1,IF(R15+P15=FM15,$ET$1,IF(R15+P15=ER15,$DY$1,IF(R15+P15=DW15,$DD$1,IF(R15+P15=DB15,$CI$1))))))))))))))))</f>
        <v/>
      </c>
      <c r="U15" s="45">
        <v>17</v>
      </c>
      <c r="V15" s="45">
        <v>9.0500000000000007</v>
      </c>
      <c r="W15" s="45">
        <v>3.2</v>
      </c>
      <c r="X15" s="45">
        <v>13.975</v>
      </c>
      <c r="Y15" s="45">
        <v>0</v>
      </c>
      <c r="Z15" s="45">
        <v>3.4</v>
      </c>
      <c r="AA15" s="45">
        <v>1.9</v>
      </c>
      <c r="AB15" s="45">
        <v>2.2999999999999998</v>
      </c>
      <c r="AC15" s="45">
        <v>3.0249999999999999</v>
      </c>
      <c r="AD15" s="45">
        <v>0</v>
      </c>
      <c r="AE15" s="45"/>
      <c r="AF15" s="45"/>
      <c r="AG15" s="45"/>
      <c r="AH15" s="45"/>
      <c r="AI15" s="45"/>
      <c r="AJ15" s="12">
        <f>IF(SUM(AB15)&gt;0,SUM(AB15),"")</f>
        <v>2.2999999999999998</v>
      </c>
      <c r="AK15" s="12">
        <f>IF(SUM(U15:X15)-Y15&gt;0,SUM(U15:X15)-Y15,"")</f>
        <v>43.225000000000001</v>
      </c>
      <c r="AL15" s="12">
        <f>IF(SUM(Z15:AC15)-AD15&gt;0,SUM(Z15:AC15)-AD15,"")</f>
        <v>10.625</v>
      </c>
      <c r="AM15" s="12">
        <f>IF(SUM(AK15:AL15)&gt;0,SUM(AK15:AL15),"")</f>
        <v>53.85</v>
      </c>
      <c r="AN15" s="12" t="str">
        <f>IF(SUM(AE15:AH15)-AI15&gt;0,SUM(AE15:AH15)-AI15,"")</f>
        <v/>
      </c>
      <c r="AO15" s="12">
        <f>IF(SUM(AM15,AN15)&gt;0,SUM(AM15,AN15),"")</f>
        <v>53.85</v>
      </c>
      <c r="AP15" s="46">
        <v>0</v>
      </c>
      <c r="AQ15" s="46">
        <v>0</v>
      </c>
      <c r="AR15" s="46">
        <v>0</v>
      </c>
      <c r="AS15" s="46">
        <v>0</v>
      </c>
      <c r="AT15" s="46">
        <v>0</v>
      </c>
      <c r="AU15" s="53">
        <v>15.7</v>
      </c>
      <c r="AV15" s="53">
        <v>9.1</v>
      </c>
      <c r="AW15" s="53">
        <v>10.3</v>
      </c>
      <c r="AX15" s="53">
        <v>13.765000000000001</v>
      </c>
      <c r="AY15" s="53">
        <v>0</v>
      </c>
      <c r="AZ15" s="46"/>
      <c r="BA15" s="46"/>
      <c r="BB15" s="46"/>
      <c r="BC15" s="46"/>
      <c r="BD15" s="46"/>
      <c r="BE15" s="15">
        <f>IF(SUM(AW15)&gt;0,SUM(AW15),"")</f>
        <v>10.3</v>
      </c>
      <c r="BF15" s="15" t="str">
        <f>IF(SUM(AP15:AS15)-AT15&gt;0,SUM(AP15:AS15)-AT15,"")</f>
        <v/>
      </c>
      <c r="BG15" s="15">
        <f>IF(SUM(AU15:AX15)-AY15&gt;0,SUM(AU15:AX15)-AY15,"")</f>
        <v>48.864999999999995</v>
      </c>
      <c r="BH15" s="15">
        <f>IF(SUM(BF15:BG15)&gt;0,SUM(BF15:BG15),"")</f>
        <v>48.864999999999995</v>
      </c>
      <c r="BI15" s="15" t="str">
        <f>IF(SUM(AZ15:BC15)-BD15&gt;0,SUM(AZ15:BC15)-BD15,"")</f>
        <v/>
      </c>
      <c r="BJ15" s="15">
        <f>IF(SUM(BH15,BI15)&gt;0,SUM(BH15,BI15),"")</f>
        <v>48.864999999999995</v>
      </c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12" t="str">
        <f>IF(SUM(BR15)&gt;0,SUM(BR15),"")</f>
        <v/>
      </c>
      <c r="CA15" s="12" t="str">
        <f>IF(SUM(BK15:BN15)-BO15&gt;0,SUM(BK15:BN15)-BO15,"")</f>
        <v/>
      </c>
      <c r="CB15" s="12" t="str">
        <f>IF(SUM(BP15:BS15)-BT15&gt;0,SUM(BP15:BS15)-BT15,"")</f>
        <v/>
      </c>
      <c r="CC15" s="12" t="str">
        <f>IF(SUM(CA15:CB15)&gt;0,SUM(CA15:CB15),"")</f>
        <v/>
      </c>
      <c r="CD15" s="12" t="str">
        <f>IF(SUM(BU15:BX15)-BY15&gt;0,SUM(BU15:BX15)-BY15,"")</f>
        <v/>
      </c>
      <c r="CE15" s="12" t="str">
        <f>IF(SUM(CC15,CD15)&gt;0,SUM(CC15,CD15),"")</f>
        <v/>
      </c>
      <c r="CF15" s="28" t="str">
        <f>IF(MAX(CY15,DT15,EO15,FJ15,GE15,GZ15,HU15,IP15,JK15,KF15,LA15,LV15)-L15&gt;0.001,MAX(CY15,DT15,EO15,FJ15,GE15,GZ15,HU15,IP15,JK15,KF15,LA15,LV15)-L15,"")</f>
        <v/>
      </c>
      <c r="CG15" s="28" t="str">
        <f>IF(MAX(CZ15,DU15,EP15,FK15,GF15,HA15,HV15,IQ15,JL15,KG15,LB15,LW15)-N15&gt;0.001,MAX(CZ15,DU15,EP15,FK15,GF15,HA15,HV15,IQ15,JL15,KG15,LB15,LW15)-N15,"")</f>
        <v/>
      </c>
      <c r="CH15" s="28" t="str">
        <f>IF(MAX(DB15,DW15,ER15,FM15,GH15,HC15,HX15,IS15,JN15,KI15,LD15,LY15)-P15&gt;0.001,MAX(DB15,DW15,ER15,FM15,GH15,HC15,HX15,IS15,JN15,KI15,LD15,LY15)-P15,"")</f>
        <v/>
      </c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12" t="str">
        <f>IF(SUM(CP15)&gt;0,SUM(CP15),"")</f>
        <v/>
      </c>
      <c r="CY15" s="12" t="str">
        <f>IF(SUM(CI15:CL15)-CM15&gt;0,SUM(CI15:CL15)-CM15,"")</f>
        <v/>
      </c>
      <c r="CZ15" s="12" t="str">
        <f>IF(SUM(CN15:CQ15)-CR15&gt;0,SUM(CN15:CQ15)-CR15,"")</f>
        <v/>
      </c>
      <c r="DA15" s="12" t="str">
        <f>IF(SUM(CY15:CZ15)&gt;0,SUM(CY15:CZ15),"")</f>
        <v/>
      </c>
      <c r="DB15" s="12" t="str">
        <f>IF(SUM(CS15:CV15)-CW15&gt;0,SUM(CS15:CV15)-CW15,"")</f>
        <v/>
      </c>
      <c r="DC15" s="12" t="str">
        <f>IF(SUM(DA15,DB15)&gt;0,SUM(DA15,DB15),"")</f>
        <v/>
      </c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15" t="str">
        <f>IF(SUM(DK15)&gt;0,SUM(DK15),"")</f>
        <v/>
      </c>
      <c r="DT15" s="15" t="str">
        <f>IF(SUM(DD15:DG15)-DH15&gt;0,SUM(DD15:DG15)-DH15,"")</f>
        <v/>
      </c>
      <c r="DU15" s="15" t="str">
        <f>IF(SUM(DI15:DL15)-DM15&gt;0,SUM(DI15:DL15)-DM15,"")</f>
        <v/>
      </c>
      <c r="DV15" s="15" t="str">
        <f>IF(SUM(DT15:DU15)&gt;0,SUM(DT15:DU15),"")</f>
        <v/>
      </c>
      <c r="DW15" s="15" t="str">
        <f>IF(SUM(DN15:DQ15)-DR15&gt;0,SUM(DN15:DQ15)-DR15,"")</f>
        <v/>
      </c>
      <c r="DX15" s="15" t="str">
        <f>IF(SUM(DV15,DW15)&gt;0,SUM(DV15,DW15),"")</f>
        <v/>
      </c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45"/>
      <c r="EM15" s="45"/>
      <c r="EN15" s="12" t="str">
        <f>IF(SUM(EF15)&gt;0,SUM(EF15),"")</f>
        <v/>
      </c>
      <c r="EO15" s="12" t="str">
        <f>IF(SUM(DY15:EB15)-EC15&gt;0,SUM(DY15:EB15)-EC15,"")</f>
        <v/>
      </c>
      <c r="EP15" s="12" t="str">
        <f>IF(SUM(ED15:EG15)-EH15&gt;0,SUM(ED15:EG15)-EH15,"")</f>
        <v/>
      </c>
      <c r="EQ15" s="12" t="str">
        <f>IF(SUM(EO15:EP15)&gt;0,SUM(EO15:EP15),"")</f>
        <v/>
      </c>
      <c r="ER15" s="12" t="str">
        <f>IF(SUM(EI15:EL15)-EM15&gt;0,SUM(EI15:EL15)-EM15,"")</f>
        <v/>
      </c>
      <c r="ES15" s="12" t="str">
        <f>IF(SUM(EQ15,ER15)&gt;0,SUM(EQ15,ER15),"")</f>
        <v/>
      </c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15" t="str">
        <f>IF(SUM(FA15)&gt;0,SUM(FA15),"")</f>
        <v/>
      </c>
      <c r="FJ15" s="15" t="str">
        <f>IF(SUM(ET15:EW15)-EX15&gt;0,SUM(ET15:EW15)-EX15,"")</f>
        <v/>
      </c>
      <c r="FK15" s="15" t="str">
        <f>IF(SUM(EY15:FB15)-FC15&gt;0,SUM(EY15:FB15)-FC15,"")</f>
        <v/>
      </c>
      <c r="FL15" s="15" t="str">
        <f>IF(SUM(FJ15:FK15)&gt;0,SUM(FJ15:FK15),"")</f>
        <v/>
      </c>
      <c r="FM15" s="15" t="str">
        <f>IF(SUM(FD15:FG15)-FH15&gt;0,SUM(FD15:FG15)-FH15,"")</f>
        <v/>
      </c>
      <c r="FN15" s="15" t="str">
        <f>IF(SUM(FL15,FM15)&gt;0,SUM(FL15,FM15),"")</f>
        <v/>
      </c>
      <c r="FO15" s="45"/>
      <c r="FP15" s="45"/>
      <c r="FQ15" s="45"/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45"/>
      <c r="GC15" s="45"/>
      <c r="GD15" s="12" t="str">
        <f>IF(SUM(FV15)&gt;0,SUM(FV15),"")</f>
        <v/>
      </c>
      <c r="GE15" s="12" t="str">
        <f>IF(SUM(FO15:FR15)-FS15&gt;0,SUM(FO15:FR15)-FS15,"")</f>
        <v/>
      </c>
      <c r="GF15" s="12" t="str">
        <f>IF(SUM(FT15:FW15)-FX15&gt;0,SUM(FT15:FW15)-FX15,"")</f>
        <v/>
      </c>
      <c r="GG15" s="12" t="str">
        <f>IF(SUM(GE15:GF15)&gt;0,SUM(GE15:GF15),"")</f>
        <v/>
      </c>
      <c r="GH15" s="12" t="str">
        <f>IF(SUM(FY15:GB15)-GC15&gt;0,SUM(FY15:GB15)-GC15,"")</f>
        <v/>
      </c>
      <c r="GI15" s="12" t="str">
        <f>IF(SUM(GG15,GH15)&gt;0,SUM(GG15,GH15),"")</f>
        <v/>
      </c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15" t="str">
        <f>IF(SUM(GQ15)&gt;0,SUM(GQ15),"")</f>
        <v/>
      </c>
      <c r="GZ15" s="15" t="str">
        <f>IF(SUM(GJ15:GM15)-GN15&gt;0,SUM(GJ15:GM15)-GN15,"")</f>
        <v/>
      </c>
      <c r="HA15" s="15" t="str">
        <f>IF(SUM(GO15:GR15)-GS15&gt;0,SUM(GO15:GR15)-GS15,"")</f>
        <v/>
      </c>
      <c r="HB15" s="15" t="str">
        <f>IF(SUM(GZ15:HA15)&gt;0,SUM(GZ15:HA15),"")</f>
        <v/>
      </c>
      <c r="HC15" s="15" t="str">
        <f>IF(SUM(GT15:GW15)-GX15&gt;0,SUM(GT15:GW15)-GX15,"")</f>
        <v/>
      </c>
      <c r="HD15" s="15" t="str">
        <f>IF(SUM(HB15,HC15)&gt;0,SUM(HB15,HC15),"")</f>
        <v/>
      </c>
      <c r="HE15" s="45"/>
      <c r="HF15" s="45"/>
      <c r="HG15" s="45"/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45"/>
      <c r="HS15" s="45"/>
      <c r="HT15" s="12" t="str">
        <f>IF(SUM(HL15)&gt;0,SUM(HL15),"")</f>
        <v/>
      </c>
      <c r="HU15" s="12" t="str">
        <f>IF(SUM(HE15:HH15)-HI15&gt;0,SUM(HE15:HH15)-HI15,"")</f>
        <v/>
      </c>
      <c r="HV15" s="12" t="str">
        <f>IF(SUM(HJ15:HM15)-HN15&gt;0,SUM(HJ15:HM15)-HN15,"")</f>
        <v/>
      </c>
      <c r="HW15" s="12" t="str">
        <f>IF(SUM(HU15:HV15)&gt;0,SUM(HU15:HV15),"")</f>
        <v/>
      </c>
      <c r="HX15" s="12" t="str">
        <f>IF(SUM(HO15:HR15)-HS15&gt;0,SUM(HO15:HR15)-HS15,"")</f>
        <v/>
      </c>
      <c r="HY15" s="12" t="str">
        <f>IF(SUM(HW15,HX15)&gt;0,SUM(HW15,HX15),"")</f>
        <v/>
      </c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15" t="str">
        <f>IF(SUM(IG15)&gt;0,SUM(IG15),"")</f>
        <v/>
      </c>
      <c r="IP15" s="15" t="str">
        <f>IF(SUM(HZ15:IC15)-ID15&gt;0,SUM(HZ15:IC15)-ID15,"")</f>
        <v/>
      </c>
      <c r="IQ15" s="15" t="str">
        <f>IF(SUM(IE15:IH15)-II15&gt;0,SUM(IE15:IH15)-II15,"")</f>
        <v/>
      </c>
      <c r="IR15" s="15" t="str">
        <f>IF(SUM(IP15:IQ15)&gt;0,SUM(IP15:IQ15),"")</f>
        <v/>
      </c>
      <c r="IS15" s="15" t="str">
        <f>IF(SUM(IJ15:IM15)-IN15&gt;0,SUM(IJ15:IM15)-IN15,"")</f>
        <v/>
      </c>
      <c r="IT15" s="15" t="str">
        <f>IF(SUM(IR15,IS15)&gt;0,SUM(IR15,IS15),"")</f>
        <v/>
      </c>
      <c r="IU15" s="45"/>
      <c r="IV15" s="45"/>
      <c r="IW15" s="45"/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45"/>
      <c r="JI15" s="45"/>
      <c r="JJ15" s="12" t="str">
        <f>IF(SUM(JB15)&gt;0,SUM(JB15),"")</f>
        <v/>
      </c>
      <c r="JK15" s="12" t="str">
        <f>IF(SUM(IU15:IX15)-IY15&gt;0,SUM(IU15:IX15)-IY15,"")</f>
        <v/>
      </c>
      <c r="JL15" s="12" t="str">
        <f>IF(SUM(IZ15:JC15)-JD15&gt;0,SUM(IZ15:JC15)-JD15,"")</f>
        <v/>
      </c>
      <c r="JM15" s="12" t="str">
        <f>IF(SUM(JK15:JL15)&gt;0,SUM(JK15:JL15),"")</f>
        <v/>
      </c>
      <c r="JN15" s="12" t="str">
        <f>IF(SUM(JE15:JH15)-JI15&gt;0,SUM(JE15:JH15)-JI15,"")</f>
        <v/>
      </c>
      <c r="JO15" s="12" t="str">
        <f>IF(SUM(JM15,JN15)&gt;0,SUM(JM15,JN15),"")</f>
        <v/>
      </c>
      <c r="JP15" s="46"/>
      <c r="JQ15" s="46"/>
      <c r="JR15" s="46"/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46"/>
      <c r="KD15" s="46"/>
      <c r="KE15" s="15" t="str">
        <f>IF(SUM(JW15)&gt;0,SUM(JW15),"")</f>
        <v/>
      </c>
      <c r="KF15" s="15" t="str">
        <f>IF(SUM(JP15:JS15)-JT15&gt;0,SUM(JP15:JS15)-JT15,"")</f>
        <v/>
      </c>
      <c r="KG15" s="15" t="str">
        <f>IF(SUM(JU15:JX15)-JY15&gt;0,SUM(JU15:JX15)-JY15,"")</f>
        <v/>
      </c>
      <c r="KH15" s="15" t="str">
        <f>IF(SUM(KF15:KG15)&gt;0,SUM(KF15:KG15),"")</f>
        <v/>
      </c>
      <c r="KI15" s="15" t="str">
        <f>IF(SUM(JZ15:KC15)-KD15&gt;0,SUM(JZ15:KC15)-KD15,"")</f>
        <v/>
      </c>
      <c r="KJ15" s="15" t="str">
        <f>IF(SUM(KH15,KI15)&gt;0,SUM(KH15,KI15),"")</f>
        <v/>
      </c>
      <c r="KK15" s="45"/>
      <c r="KL15" s="45"/>
      <c r="KM15" s="45"/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45"/>
      <c r="KY15" s="45"/>
      <c r="KZ15" s="12" t="str">
        <f>IF(SUM(KR15)&gt;0,SUM(KR15),"")</f>
        <v/>
      </c>
      <c r="LA15" s="12" t="str">
        <f>IF(SUM(KK15:KN15)-KO15&gt;0,SUM(KK15:KN15)-KO15,"")</f>
        <v/>
      </c>
      <c r="LB15" s="12" t="str">
        <f>IF(SUM(KP15:KS15)-KT15&gt;0,SUM(KP15:KS15)-KT15,"")</f>
        <v/>
      </c>
      <c r="LC15" s="12" t="str">
        <f>IF(SUM(LA15:LB15)&gt;0,SUM(LA15:LB15),"")</f>
        <v/>
      </c>
      <c r="LD15" s="12" t="str">
        <f>IF(SUM(KU15:KX15)-KY15&gt;0,SUM(KU15:KX15)-KY15,"")</f>
        <v/>
      </c>
      <c r="LE15" s="12" t="str">
        <f>IF(SUM(LC15,LD15)&gt;0,SUM(LC15,LD15),"")</f>
        <v/>
      </c>
      <c r="LF15" s="46"/>
      <c r="LG15" s="46"/>
      <c r="LH15" s="46"/>
      <c r="LI15" s="46"/>
      <c r="LJ15" s="46"/>
      <c r="LK15" s="46"/>
      <c r="LL15" s="46"/>
      <c r="LM15" s="46"/>
      <c r="LN15" s="46"/>
      <c r="LO15" s="46"/>
      <c r="LP15" s="46"/>
      <c r="LQ15" s="46"/>
      <c r="LR15" s="46"/>
      <c r="LS15" s="46"/>
      <c r="LT15" s="46"/>
      <c r="LU15" s="15" t="str">
        <f>IF(SUM(LM15)&gt;0,SUM(LM15),"")</f>
        <v/>
      </c>
      <c r="LV15" s="15" t="str">
        <f>IF(SUM(LF15:LI15)-LJ15&gt;0,SUM(LF15:LI15)-LJ15,"")</f>
        <v/>
      </c>
      <c r="LW15" s="15" t="str">
        <f>IF(SUM(LK15:LN15)-LO15&gt;0,SUM(LK15:LN15)-LO15,"")</f>
        <v/>
      </c>
      <c r="LX15" s="15" t="str">
        <f>IF(SUM(LV15:LW15)&gt;0,SUM(LV15:LW15),"")</f>
        <v/>
      </c>
      <c r="LY15" s="15" t="str">
        <f>IF(SUM(LP15:LS15)-LT15&gt;0,SUM(LP15:LS15)-LT15,"")</f>
        <v/>
      </c>
      <c r="LZ15" s="15" t="str">
        <f>IF(SUM(LX15,LY15)&gt;0,SUM(LX15,LY15),"")</f>
        <v/>
      </c>
    </row>
    <row r="18" spans="1:334">
      <c r="B18" s="88" t="s">
        <v>65</v>
      </c>
      <c r="AJ18" s="89"/>
      <c r="AK18" s="70">
        <v>14</v>
      </c>
      <c r="BE18" s="89"/>
      <c r="BF18" s="70">
        <v>14</v>
      </c>
      <c r="BZ18" s="89"/>
      <c r="CA18" s="70">
        <v>11.2</v>
      </c>
      <c r="CX18" s="89"/>
      <c r="CY18" s="70">
        <v>14</v>
      </c>
      <c r="DS18" s="89"/>
      <c r="DT18" s="70">
        <v>11.2</v>
      </c>
      <c r="EN18" s="89"/>
      <c r="EO18" s="70">
        <v>11.2</v>
      </c>
      <c r="FI18" s="89"/>
      <c r="FJ18" s="70">
        <v>11.2</v>
      </c>
      <c r="GD18" s="89"/>
      <c r="GE18" s="70">
        <v>11.2</v>
      </c>
      <c r="GY18" s="89"/>
      <c r="GZ18" s="70">
        <v>11.2</v>
      </c>
      <c r="HT18" s="89"/>
      <c r="HU18" s="70">
        <v>11.2</v>
      </c>
      <c r="IO18" s="89"/>
      <c r="IP18" s="70">
        <v>11.2</v>
      </c>
      <c r="JJ18" s="89"/>
      <c r="JK18" s="70">
        <v>11.2</v>
      </c>
      <c r="KE18" s="89"/>
      <c r="KF18" s="70">
        <v>11.2</v>
      </c>
      <c r="KZ18" s="89"/>
      <c r="LA18" s="70">
        <v>11.2</v>
      </c>
      <c r="LU18" s="89"/>
      <c r="LV18" s="70">
        <v>11.2</v>
      </c>
    </row>
    <row r="19" spans="1:334" ht="16" hidden="1" customHeight="1">
      <c r="A19" s="62"/>
      <c r="B19" s="83" t="s">
        <v>64</v>
      </c>
      <c r="C19" s="61"/>
      <c r="AJ19" s="90"/>
      <c r="AK19" s="71">
        <v>1000</v>
      </c>
      <c r="BE19" s="90"/>
      <c r="BF19" s="71">
        <v>1000</v>
      </c>
      <c r="BZ19" s="90"/>
      <c r="CA19" s="71">
        <v>1000</v>
      </c>
      <c r="CX19" s="90"/>
      <c r="CY19" s="71">
        <v>1000</v>
      </c>
      <c r="DS19" s="90"/>
      <c r="DT19" s="71">
        <v>1000</v>
      </c>
      <c r="EN19" s="90"/>
      <c r="EO19" s="71">
        <v>1000</v>
      </c>
      <c r="FI19" s="90"/>
      <c r="FJ19" s="71">
        <v>1000</v>
      </c>
      <c r="GD19" s="90"/>
      <c r="GE19" s="71">
        <v>1000</v>
      </c>
      <c r="GY19" s="90"/>
      <c r="GZ19" s="71">
        <v>1000</v>
      </c>
      <c r="HT19" s="90"/>
      <c r="HU19" s="71">
        <v>1000</v>
      </c>
      <c r="IO19" s="90"/>
      <c r="IP19" s="71">
        <v>1000</v>
      </c>
      <c r="JJ19" s="90"/>
      <c r="JK19" s="71">
        <v>1000</v>
      </c>
      <c r="KE19" s="90"/>
      <c r="KF19" s="71">
        <v>1000</v>
      </c>
      <c r="KZ19" s="90"/>
      <c r="LA19" s="71">
        <v>1000</v>
      </c>
      <c r="LU19" s="90"/>
      <c r="LV19" s="71">
        <v>1000</v>
      </c>
    </row>
    <row r="20" spans="1:334">
      <c r="A20" s="62"/>
      <c r="B20" s="84" t="s">
        <v>62</v>
      </c>
      <c r="C20" s="61"/>
      <c r="AJ20" s="91"/>
      <c r="AK20" s="72">
        <v>92.3</v>
      </c>
      <c r="BE20" s="91"/>
      <c r="BF20" s="72">
        <v>92.3</v>
      </c>
      <c r="BZ20" s="91"/>
      <c r="CA20" s="72">
        <v>92.2</v>
      </c>
      <c r="CX20" s="91"/>
      <c r="CY20" s="72">
        <v>92.3</v>
      </c>
      <c r="DS20" s="91"/>
      <c r="DT20" s="72">
        <v>92.2</v>
      </c>
      <c r="EN20" s="91"/>
      <c r="EO20" s="72">
        <v>92.2</v>
      </c>
      <c r="FI20" s="91"/>
      <c r="FJ20" s="72">
        <v>92.2</v>
      </c>
      <c r="GD20" s="91"/>
      <c r="GE20" s="72">
        <v>92.2</v>
      </c>
      <c r="GY20" s="91"/>
      <c r="GZ20" s="72">
        <v>92.2</v>
      </c>
      <c r="HT20" s="91"/>
      <c r="HU20" s="72">
        <v>92.2</v>
      </c>
      <c r="IO20" s="91"/>
      <c r="IP20" s="72">
        <v>92.2</v>
      </c>
      <c r="JJ20" s="91"/>
      <c r="JK20" s="72">
        <v>92.2</v>
      </c>
      <c r="KE20" s="91"/>
      <c r="KF20" s="72">
        <v>92.2</v>
      </c>
      <c r="KZ20" s="91"/>
      <c r="LA20" s="72">
        <v>92.2</v>
      </c>
      <c r="LU20" s="91"/>
      <c r="LV20" s="72">
        <v>92.2</v>
      </c>
    </row>
    <row r="21" spans="1:334" ht="16" hidden="1" customHeight="1">
      <c r="A21" s="62"/>
      <c r="B21" s="85" t="s">
        <v>63</v>
      </c>
      <c r="C21" s="61"/>
      <c r="AJ21" s="92"/>
      <c r="AK21" s="73">
        <f>AK22</f>
        <v>95.7</v>
      </c>
      <c r="BE21" s="92"/>
      <c r="BF21" s="73">
        <f>BF22</f>
        <v>95.7</v>
      </c>
      <c r="BZ21" s="92"/>
      <c r="CA21" s="73">
        <f>CA22</f>
        <v>95.1</v>
      </c>
      <c r="CX21" s="92"/>
      <c r="CY21" s="73">
        <f>CY22</f>
        <v>95.7</v>
      </c>
      <c r="DS21" s="92"/>
      <c r="DT21" s="73">
        <f>DT22</f>
        <v>95.1</v>
      </c>
      <c r="EN21" s="92"/>
      <c r="EO21" s="73">
        <f>EO22</f>
        <v>95.1</v>
      </c>
      <c r="FI21" s="92"/>
      <c r="FJ21" s="73">
        <f>FJ22</f>
        <v>95.1</v>
      </c>
      <c r="GD21" s="92"/>
      <c r="GE21" s="73">
        <f>GE22</f>
        <v>95.1</v>
      </c>
      <c r="GY21" s="92"/>
      <c r="GZ21" s="73">
        <f>GZ22</f>
        <v>95.1</v>
      </c>
      <c r="HT21" s="92"/>
      <c r="HU21" s="73">
        <f>HU22</f>
        <v>95.1</v>
      </c>
      <c r="IO21" s="92"/>
      <c r="IP21" s="73">
        <f>IP22</f>
        <v>95.1</v>
      </c>
      <c r="JJ21" s="92"/>
      <c r="JK21" s="73">
        <f>JK22</f>
        <v>95.1</v>
      </c>
      <c r="KE21" s="92"/>
      <c r="KF21" s="73">
        <f>KF22</f>
        <v>95.1</v>
      </c>
      <c r="KZ21" s="92"/>
      <c r="LA21" s="73">
        <f>LA22</f>
        <v>95.1</v>
      </c>
      <c r="LU21" s="92"/>
      <c r="LV21" s="73">
        <f>LV22</f>
        <v>95.1</v>
      </c>
    </row>
    <row r="22" spans="1:334">
      <c r="A22" s="62"/>
      <c r="B22" s="86" t="s">
        <v>27</v>
      </c>
      <c r="C22" s="61"/>
      <c r="AJ22" s="93"/>
      <c r="AK22" s="74">
        <v>95.7</v>
      </c>
      <c r="BE22" s="93"/>
      <c r="BF22" s="74">
        <v>95.7</v>
      </c>
      <c r="BZ22" s="93"/>
      <c r="CA22" s="74">
        <v>95.1</v>
      </c>
      <c r="CX22" s="93"/>
      <c r="CY22" s="74">
        <v>95.7</v>
      </c>
      <c r="DS22" s="93"/>
      <c r="DT22" s="74">
        <v>95.1</v>
      </c>
      <c r="EN22" s="93"/>
      <c r="EO22" s="74">
        <v>95.1</v>
      </c>
      <c r="FI22" s="93"/>
      <c r="FJ22" s="74">
        <v>95.1</v>
      </c>
      <c r="GD22" s="93"/>
      <c r="GE22" s="74">
        <v>95.1</v>
      </c>
      <c r="GY22" s="93"/>
      <c r="GZ22" s="74">
        <v>95.1</v>
      </c>
      <c r="HT22" s="93"/>
      <c r="HU22" s="74">
        <v>95.1</v>
      </c>
      <c r="IO22" s="93"/>
      <c r="IP22" s="74">
        <v>95.1</v>
      </c>
      <c r="JJ22" s="93"/>
      <c r="JK22" s="74">
        <v>95.1</v>
      </c>
      <c r="KE22" s="93"/>
      <c r="KF22" s="74">
        <v>95.1</v>
      </c>
      <c r="KZ22" s="93"/>
      <c r="LA22" s="74">
        <v>95.1</v>
      </c>
      <c r="LU22" s="93"/>
      <c r="LV22" s="74">
        <v>95.1</v>
      </c>
    </row>
    <row r="23" spans="1:334">
      <c r="A23" s="62"/>
      <c r="B23" s="87" t="s">
        <v>48</v>
      </c>
      <c r="C23" s="61"/>
      <c r="L23" s="2"/>
      <c r="AJ23" s="94"/>
      <c r="AK23" s="75">
        <v>99.1</v>
      </c>
      <c r="BE23" s="94"/>
      <c r="BF23" s="75">
        <v>99.1</v>
      </c>
      <c r="BZ23" s="94"/>
      <c r="CA23" s="75">
        <v>51.5</v>
      </c>
      <c r="CX23" s="94"/>
      <c r="CY23" s="75">
        <v>99.1</v>
      </c>
      <c r="DS23" s="94"/>
      <c r="DT23" s="75">
        <v>51.5</v>
      </c>
      <c r="EN23" s="94"/>
      <c r="EO23" s="75">
        <v>51.5</v>
      </c>
      <c r="FI23" s="94"/>
      <c r="FJ23" s="75">
        <v>51.5</v>
      </c>
      <c r="GD23" s="94"/>
      <c r="GE23" s="75">
        <v>51.5</v>
      </c>
      <c r="GY23" s="94"/>
      <c r="GZ23" s="75">
        <v>51.5</v>
      </c>
      <c r="HT23" s="94"/>
      <c r="HU23" s="75">
        <v>51.5</v>
      </c>
      <c r="IO23" s="94"/>
      <c r="IP23" s="75">
        <v>51.5</v>
      </c>
      <c r="JJ23" s="94"/>
      <c r="JK23" s="75">
        <v>51.5</v>
      </c>
      <c r="KE23" s="94"/>
      <c r="KF23" s="75">
        <v>51.5</v>
      </c>
      <c r="KZ23" s="94"/>
      <c r="LA23" s="75">
        <v>51.5</v>
      </c>
      <c r="LU23" s="94"/>
      <c r="LV23" s="75">
        <v>51.5</v>
      </c>
    </row>
    <row r="24" spans="1:334">
      <c r="A24" s="7"/>
      <c r="B24" s="7"/>
      <c r="C24" s="61"/>
      <c r="AK24" t="s">
        <v>121</v>
      </c>
      <c r="BF24" t="s">
        <v>121</v>
      </c>
      <c r="CY24" t="s">
        <v>121</v>
      </c>
      <c r="EN24" s="59"/>
      <c r="EO24" s="59"/>
      <c r="FI24" s="59"/>
      <c r="FJ24" s="59"/>
    </row>
    <row r="25" spans="1:334">
      <c r="A25" s="62"/>
      <c r="B25" s="62"/>
      <c r="C25" s="61"/>
    </row>
    <row r="26" spans="1:334">
      <c r="A26" s="62"/>
      <c r="B26" s="62"/>
      <c r="C26" s="61"/>
    </row>
    <row r="27" spans="1:334">
      <c r="A27" s="62"/>
      <c r="B27" s="62"/>
      <c r="C27" s="61"/>
    </row>
  </sheetData>
  <sheetProtection sheet="1" formatCells="0" formatColumns="0" formatRows="0"/>
  <autoFilter ref="A1:LZ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4:LZ15">
      <sortCondition descending="1" ref="F1:F13"/>
    </sortState>
  </autoFilter>
  <mergeCells count="81">
    <mergeCell ref="JP2:JT2"/>
    <mergeCell ref="AU2:AY2"/>
    <mergeCell ref="AZ2:BD2"/>
    <mergeCell ref="AP1:BJ1"/>
    <mergeCell ref="AP2:AT2"/>
    <mergeCell ref="BK2:BO2"/>
    <mergeCell ref="BP2:BT2"/>
    <mergeCell ref="BU2:BY2"/>
    <mergeCell ref="CF1:CH1"/>
    <mergeCell ref="BK1:CE1"/>
    <mergeCell ref="CN2:CR2"/>
    <mergeCell ref="CS2:CW2"/>
    <mergeCell ref="IJ2:IN2"/>
    <mergeCell ref="IU2:IY2"/>
    <mergeCell ref="DD1:DX1"/>
    <mergeCell ref="DY1:ES1"/>
    <mergeCell ref="IZ2:JD2"/>
    <mergeCell ref="JE2:JI2"/>
    <mergeCell ref="R1:R3"/>
    <mergeCell ref="J1:J3"/>
    <mergeCell ref="L1:L3"/>
    <mergeCell ref="N1:N3"/>
    <mergeCell ref="P1:P3"/>
    <mergeCell ref="K1:K3"/>
    <mergeCell ref="M1:M3"/>
    <mergeCell ref="O1:O3"/>
    <mergeCell ref="Q1:Q3"/>
    <mergeCell ref="CI1:DC1"/>
    <mergeCell ref="CI2:CM2"/>
    <mergeCell ref="A1:A3"/>
    <mergeCell ref="B1:B3"/>
    <mergeCell ref="C1:C3"/>
    <mergeCell ref="E1:E3"/>
    <mergeCell ref="G1:G3"/>
    <mergeCell ref="F1:F3"/>
    <mergeCell ref="H1:H3"/>
    <mergeCell ref="I1:I3"/>
    <mergeCell ref="U2:Y2"/>
    <mergeCell ref="Z2:AD2"/>
    <mergeCell ref="D1:D3"/>
    <mergeCell ref="S1:S3"/>
    <mergeCell ref="T1:T3"/>
    <mergeCell ref="U1:AO1"/>
    <mergeCell ref="AE2:AI2"/>
    <mergeCell ref="DD2:DH2"/>
    <mergeCell ref="DI2:DM2"/>
    <mergeCell ref="DN2:DR2"/>
    <mergeCell ref="DY2:EC2"/>
    <mergeCell ref="ED2:EH2"/>
    <mergeCell ref="EI2:EM2"/>
    <mergeCell ref="LF2:LJ2"/>
    <mergeCell ref="LK2:LO2"/>
    <mergeCell ref="LP2:LT2"/>
    <mergeCell ref="JU2:JY2"/>
    <mergeCell ref="JZ2:KD2"/>
    <mergeCell ref="KK2:KO2"/>
    <mergeCell ref="KP2:KT2"/>
    <mergeCell ref="KU2:KY2"/>
    <mergeCell ref="HE2:HI2"/>
    <mergeCell ref="HJ2:HN2"/>
    <mergeCell ref="HO2:HS2"/>
    <mergeCell ref="HZ2:ID2"/>
    <mergeCell ref="IE2:II2"/>
    <mergeCell ref="FT2:FX2"/>
    <mergeCell ref="FY2:GC2"/>
    <mergeCell ref="KK1:LE1"/>
    <mergeCell ref="LF1:LZ1"/>
    <mergeCell ref="FO1:GI1"/>
    <mergeCell ref="GJ1:HD1"/>
    <mergeCell ref="JP1:KJ1"/>
    <mergeCell ref="HE1:HY1"/>
    <mergeCell ref="HZ1:IT1"/>
    <mergeCell ref="IU1:JO1"/>
    <mergeCell ref="GJ2:GN2"/>
    <mergeCell ref="GO2:GS2"/>
    <mergeCell ref="GT2:GX2"/>
    <mergeCell ref="ET1:FN1"/>
    <mergeCell ref="ET2:EX2"/>
    <mergeCell ref="EY2:FC2"/>
    <mergeCell ref="FD2:FH2"/>
    <mergeCell ref="FO2:FS2"/>
  </mergeCells>
  <conditionalFormatting sqref="A1:A1048576">
    <cfRule type="expression" dxfId="100" priority="375">
      <formula>AND(H1="P",F1="")</formula>
    </cfRule>
  </conditionalFormatting>
  <conditionalFormatting sqref="AJ1:AJ1048576 BE1:BE1048576 BZ1:BZ1048576 CX1:CX1048576 DS1:DS1048576 EN1:EN1048576 FI1:FI1048576 GD1:GD1048576 GY1:GY1048576 HT1:HT1048576 IO1:IO1048576 JJ1:JJ1048576 KE1:KE1048576 KZ1:KZ1048576 LU1:LU1048576">
    <cfRule type="cellIs" dxfId="99" priority="2170" operator="between">
      <formula>AK$18</formula>
      <formula>AK$19</formula>
    </cfRule>
    <cfRule type="cellIs" dxfId="98" priority="2152" operator="between">
      <formula>AK$19</formula>
      <formula>100</formula>
    </cfRule>
  </conditionalFormatting>
  <conditionalFormatting sqref="LW1:LW1048576 LB1:LB1048576 KG1:KG1048576 JL1:JL1048576 IQ1:IQ1048576 HV1:HV1048576 HA1:HA1048576 GF1:GF1048576 FK1:FK1048576 EP1:EP1048576 DU1:DU1048576 CZ1:CZ1048576 CB1:CB1048576 BG1:BG1048576 AL1:AL1048576">
    <cfRule type="cellIs" dxfId="97" priority="2172" operator="between">
      <formula>AK$23</formula>
      <formula>1000</formula>
    </cfRule>
  </conditionalFormatting>
  <conditionalFormatting sqref="AN1:AN1048576 BI1:BI1048576 CD1:CD1048576 DB1:DB1048576 DW1:DW1048576 ER1:ER1048576 FM1:FM1048576 GH1:GH1048576 HC1:HC1048576 HX1:HX1048576 IS1:IS1048576 JN1:JN1048576 KI1:KI1048576 LD1:LD1048576 LY1:LY1048576">
    <cfRule type="cellIs" dxfId="96" priority="2209" operator="between">
      <formula>AK$23</formula>
      <formula>1000</formula>
    </cfRule>
  </conditionalFormatting>
  <conditionalFormatting sqref="I1:I1048576">
    <cfRule type="containsText" dxfId="95" priority="376" operator="containsText" text="Merit">
      <formula>NOT(ISERROR(SEARCH("Merit",I1)))</formula>
    </cfRule>
    <cfRule type="containsText" dxfId="94" priority="377" operator="containsText" text="Funding">
      <formula>NOT(ISERROR(SEARCH("Funding",I1)))</formula>
    </cfRule>
    <cfRule type="containsText" dxfId="93" priority="378" operator="containsText" text="Worlds Team">
      <formula>NOT(ISERROR(SEARCH("Worlds Team",I1)))</formula>
    </cfRule>
    <cfRule type="containsText" dxfId="92" priority="659" operator="containsText" text="National Team">
      <formula>NOT(ISERROR(SEARCH("National Team",I1)))</formula>
    </cfRule>
  </conditionalFormatting>
  <conditionalFormatting sqref="K1:K1048576">
    <cfRule type="expression" dxfId="91" priority="660">
      <formula>IF(J1=CC1,1,0)</formula>
    </cfRule>
    <cfRule type="expression" dxfId="90" priority="661">
      <formula>IF(J1=BH1,1,0)</formula>
    </cfRule>
    <cfRule type="expression" dxfId="89" priority="662">
      <formula>IF(J1=AM1,1,0)</formula>
    </cfRule>
  </conditionalFormatting>
  <conditionalFormatting sqref="M1:M1048576">
    <cfRule type="expression" dxfId="88" priority="663">
      <formula>IF(L1=CA1,1,0)</formula>
    </cfRule>
    <cfRule type="expression" dxfId="87" priority="664">
      <formula>IF(L1=BF1,1,0)</formula>
    </cfRule>
    <cfRule type="expression" dxfId="86" priority="665">
      <formula>IF(L1=AK1,1,0)</formula>
    </cfRule>
  </conditionalFormatting>
  <conditionalFormatting sqref="O1:O1048576 Q1:Q1048576">
    <cfRule type="expression" dxfId="85" priority="666">
      <formula>IF(N1=CB1,1,0)</formula>
    </cfRule>
    <cfRule type="expression" dxfId="84" priority="669">
      <formula>IF(N1=AL1,1,0)</formula>
    </cfRule>
    <cfRule type="expression" dxfId="83" priority="667">
      <formula>IF(N1=BG1,1,0)</formula>
    </cfRule>
  </conditionalFormatting>
  <conditionalFormatting sqref="AM1:AM1048576 BH1:BH1048576 CC1:CC1048576 DA1:DA1048576 DV1:DV1048576 EQ1:EQ1048576 FL1:FL1048576 GG1:GG1048576 HB1:HB1048576 HW1:HW1048576 IR1:IR1048576 JM1:JM1048576 KH1:KH1048576 LC1:LC1048576 LX1:LX1048576">
    <cfRule type="cellIs" dxfId="82" priority="2175" operator="between">
      <formula>AK$22</formula>
      <formula>1000</formula>
    </cfRule>
    <cfRule type="cellIs" dxfId="81" priority="2176" operator="between">
      <formula>AK$20</formula>
      <formula>AK$21</formula>
    </cfRule>
    <cfRule type="cellIs" dxfId="80" priority="2203" operator="between">
      <formula>AK$21</formula>
      <formula>AK$22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D38"/>
  <sheetViews>
    <sheetView workbookViewId="0">
      <pane xSplit="3" topLeftCell="D1" activePane="topRight" state="frozen"/>
      <selection pane="topRight" sqref="A1:A3"/>
    </sheetView>
  </sheetViews>
  <sheetFormatPr baseColWidth="10" defaultRowHeight="16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5.164062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67" max="82" width="10.83203125" hidden="1" customWidth="1"/>
    <col min="83" max="89" width="10.83203125" customWidth="1"/>
    <col min="93" max="108" width="10.83203125" hidden="1" customWidth="1"/>
    <col min="109" max="115" width="10.83203125" customWidth="1"/>
    <col min="116" max="131" width="10.83203125" hidden="1" customWidth="1"/>
    <col min="132" max="138" width="10.83203125" customWidth="1"/>
    <col min="139" max="154" width="10.83203125" hidden="1" customWidth="1"/>
    <col min="155" max="161" width="10.83203125" customWidth="1"/>
    <col min="162" max="177" width="10.83203125" hidden="1" customWidth="1"/>
    <col min="178" max="184" width="10.83203125" customWidth="1"/>
    <col min="185" max="200" width="10.83203125" hidden="1" customWidth="1"/>
    <col min="201" max="207" width="10.83203125" customWidth="1"/>
    <col min="208" max="223" width="10.83203125" hidden="1" customWidth="1"/>
    <col min="224" max="230" width="10.83203125" customWidth="1"/>
    <col min="231" max="246" width="10.83203125" hidden="1" customWidth="1"/>
    <col min="247" max="253" width="10.83203125" customWidth="1"/>
    <col min="254" max="269" width="10.83203125" hidden="1" customWidth="1"/>
    <col min="270" max="276" width="10.83203125" customWidth="1"/>
    <col min="277" max="292" width="10.83203125" hidden="1" customWidth="1"/>
    <col min="293" max="299" width="10.83203125" customWidth="1"/>
    <col min="300" max="315" width="10.83203125" hidden="1" customWidth="1"/>
    <col min="316" max="322" width="10.83203125" customWidth="1"/>
    <col min="323" max="338" width="10.83203125" hidden="1" customWidth="1"/>
    <col min="339" max="345" width="10.83203125" customWidth="1"/>
    <col min="346" max="361" width="10.83203125" hidden="1" customWidth="1"/>
    <col min="362" max="368" width="10.83203125" customWidth="1"/>
  </cols>
  <sheetData>
    <row r="1" spans="1:368">
      <c r="A1" s="100" t="s">
        <v>1</v>
      </c>
      <c r="B1" s="100" t="s">
        <v>29</v>
      </c>
      <c r="C1" s="100" t="s">
        <v>0</v>
      </c>
      <c r="D1" s="100" t="s">
        <v>69</v>
      </c>
      <c r="E1" s="100" t="s">
        <v>2</v>
      </c>
      <c r="F1" s="101" t="s">
        <v>65</v>
      </c>
      <c r="G1" s="101" t="s">
        <v>64</v>
      </c>
      <c r="H1" s="100" t="s">
        <v>8</v>
      </c>
      <c r="I1" s="100" t="s">
        <v>9</v>
      </c>
      <c r="J1" s="102" t="s">
        <v>10</v>
      </c>
      <c r="K1" s="102" t="s">
        <v>46</v>
      </c>
      <c r="L1" s="102" t="s">
        <v>43</v>
      </c>
      <c r="M1" s="102" t="s">
        <v>46</v>
      </c>
      <c r="N1" s="102" t="s">
        <v>44</v>
      </c>
      <c r="O1" s="102" t="s">
        <v>46</v>
      </c>
      <c r="P1" s="102" t="s">
        <v>13</v>
      </c>
      <c r="Q1" s="102" t="s">
        <v>46</v>
      </c>
      <c r="R1" s="103" t="s">
        <v>14</v>
      </c>
      <c r="S1" s="102" t="s">
        <v>47</v>
      </c>
      <c r="T1" s="102" t="s">
        <v>46</v>
      </c>
      <c r="U1" s="97" t="s">
        <v>25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6" t="s">
        <v>26</v>
      </c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7" t="s">
        <v>66</v>
      </c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104" t="s">
        <v>14</v>
      </c>
      <c r="CM1" s="104"/>
      <c r="CN1" s="104"/>
      <c r="CO1" s="97" t="s">
        <v>61</v>
      </c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  <c r="DE1" s="97"/>
      <c r="DF1" s="97"/>
      <c r="DG1" s="97"/>
      <c r="DH1" s="97"/>
      <c r="DI1" s="97"/>
      <c r="DJ1" s="97"/>
      <c r="DK1" s="97"/>
      <c r="DL1" s="96"/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6"/>
      <c r="DZ1" s="96"/>
      <c r="EA1" s="96"/>
      <c r="EB1" s="96"/>
      <c r="EC1" s="96"/>
      <c r="ED1" s="96"/>
      <c r="EE1" s="96"/>
      <c r="EF1" s="96"/>
      <c r="EG1" s="96"/>
      <c r="EH1" s="96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7"/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7"/>
      <c r="FF1" s="96"/>
      <c r="FG1" s="96"/>
      <c r="FH1" s="96"/>
      <c r="FI1" s="96"/>
      <c r="FJ1" s="96"/>
      <c r="FK1" s="96"/>
      <c r="FL1" s="96"/>
      <c r="FM1" s="96"/>
      <c r="FN1" s="96"/>
      <c r="FO1" s="96"/>
      <c r="FP1" s="96"/>
      <c r="FQ1" s="96"/>
      <c r="FR1" s="96"/>
      <c r="FS1" s="96"/>
      <c r="FT1" s="96"/>
      <c r="FU1" s="96"/>
      <c r="FV1" s="96"/>
      <c r="FW1" s="96"/>
      <c r="FX1" s="96"/>
      <c r="FY1" s="96"/>
      <c r="FZ1" s="96"/>
      <c r="GA1" s="96"/>
      <c r="GB1" s="96"/>
      <c r="GC1" s="97"/>
      <c r="GD1" s="97"/>
      <c r="GE1" s="97"/>
      <c r="GF1" s="97"/>
      <c r="GG1" s="97"/>
      <c r="GH1" s="97"/>
      <c r="GI1" s="97"/>
      <c r="GJ1" s="97"/>
      <c r="GK1" s="97"/>
      <c r="GL1" s="97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6"/>
      <c r="HA1" s="96"/>
      <c r="HB1" s="96"/>
      <c r="HC1" s="96"/>
      <c r="HD1" s="96"/>
      <c r="HE1" s="96"/>
      <c r="HF1" s="96"/>
      <c r="HG1" s="96"/>
      <c r="HH1" s="96"/>
      <c r="HI1" s="96"/>
      <c r="HJ1" s="96"/>
      <c r="HK1" s="96"/>
      <c r="HL1" s="96"/>
      <c r="HM1" s="96"/>
      <c r="HN1" s="96"/>
      <c r="HO1" s="96"/>
      <c r="HP1" s="96"/>
      <c r="HQ1" s="96"/>
      <c r="HR1" s="96"/>
      <c r="HS1" s="96"/>
      <c r="HT1" s="96"/>
      <c r="HU1" s="96"/>
      <c r="HV1" s="96"/>
      <c r="HW1" s="97"/>
      <c r="HX1" s="97"/>
      <c r="HY1" s="97"/>
      <c r="HZ1" s="97"/>
      <c r="IA1" s="97"/>
      <c r="IB1" s="97"/>
      <c r="IC1" s="97"/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6"/>
      <c r="IU1" s="96"/>
      <c r="IV1" s="96"/>
      <c r="IW1" s="96"/>
      <c r="IX1" s="96"/>
      <c r="IY1" s="96"/>
      <c r="IZ1" s="96"/>
      <c r="JA1" s="96"/>
      <c r="JB1" s="96"/>
      <c r="JC1" s="96"/>
      <c r="JD1" s="96"/>
      <c r="JE1" s="96"/>
      <c r="JF1" s="96"/>
      <c r="JG1" s="96"/>
      <c r="JH1" s="96"/>
      <c r="JI1" s="96"/>
      <c r="JJ1" s="96"/>
      <c r="JK1" s="96"/>
      <c r="JL1" s="96"/>
      <c r="JM1" s="96"/>
      <c r="JN1" s="96"/>
      <c r="JO1" s="96"/>
      <c r="JP1" s="96"/>
      <c r="JQ1" s="97"/>
      <c r="JR1" s="97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6"/>
      <c r="KO1" s="96"/>
      <c r="KP1" s="96"/>
      <c r="KQ1" s="96"/>
      <c r="KR1" s="96"/>
      <c r="KS1" s="96"/>
      <c r="KT1" s="96"/>
      <c r="KU1" s="96"/>
      <c r="KV1" s="96"/>
      <c r="KW1" s="96"/>
      <c r="KX1" s="96"/>
      <c r="KY1" s="96"/>
      <c r="KZ1" s="96"/>
      <c r="LA1" s="96"/>
      <c r="LB1" s="96"/>
      <c r="LC1" s="96"/>
      <c r="LD1" s="96"/>
      <c r="LE1" s="96"/>
      <c r="LF1" s="96"/>
      <c r="LG1" s="96"/>
      <c r="LH1" s="96"/>
      <c r="LI1" s="96"/>
      <c r="LJ1" s="96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  <c r="MD1" s="97"/>
      <c r="ME1" s="97"/>
      <c r="MF1" s="97"/>
      <c r="MG1" s="97"/>
      <c r="MH1" s="96"/>
      <c r="MI1" s="96"/>
      <c r="MJ1" s="96"/>
      <c r="MK1" s="96"/>
      <c r="ML1" s="96"/>
      <c r="MM1" s="96"/>
      <c r="MN1" s="96"/>
      <c r="MO1" s="96"/>
      <c r="MP1" s="96"/>
      <c r="MQ1" s="96"/>
      <c r="MR1" s="96"/>
      <c r="MS1" s="96"/>
      <c r="MT1" s="96"/>
      <c r="MU1" s="96"/>
      <c r="MV1" s="96"/>
      <c r="MW1" s="96"/>
      <c r="MX1" s="96"/>
      <c r="MY1" s="96"/>
      <c r="MZ1" s="96"/>
      <c r="NA1" s="96"/>
      <c r="NB1" s="96"/>
      <c r="NC1" s="96"/>
      <c r="ND1" s="96"/>
    </row>
    <row r="2" spans="1:368">
      <c r="A2" s="100"/>
      <c r="B2" s="100"/>
      <c r="C2" s="100"/>
      <c r="D2" s="100"/>
      <c r="E2" s="100"/>
      <c r="F2" s="101"/>
      <c r="G2" s="101"/>
      <c r="H2" s="100"/>
      <c r="I2" s="100"/>
      <c r="J2" s="102"/>
      <c r="K2" s="102"/>
      <c r="L2" s="102"/>
      <c r="M2" s="102"/>
      <c r="N2" s="102"/>
      <c r="O2" s="102"/>
      <c r="P2" s="102"/>
      <c r="Q2" s="102"/>
      <c r="R2" s="103"/>
      <c r="S2" s="102"/>
      <c r="T2" s="102"/>
      <c r="U2" s="99" t="s">
        <v>32</v>
      </c>
      <c r="V2" s="99"/>
      <c r="W2" s="99"/>
      <c r="X2" s="99"/>
      <c r="Y2" s="99" t="s">
        <v>35</v>
      </c>
      <c r="Z2" s="99"/>
      <c r="AA2" s="99"/>
      <c r="AB2" s="99"/>
      <c r="AC2" s="99" t="s">
        <v>36</v>
      </c>
      <c r="AD2" s="99"/>
      <c r="AE2" s="99"/>
      <c r="AF2" s="99"/>
      <c r="AG2" s="107" t="s">
        <v>37</v>
      </c>
      <c r="AH2" s="107"/>
      <c r="AI2" s="107"/>
      <c r="AJ2" s="107"/>
      <c r="AK2" s="64" t="s">
        <v>28</v>
      </c>
      <c r="AL2" s="64" t="s">
        <v>45</v>
      </c>
      <c r="AM2" s="10" t="s">
        <v>32</v>
      </c>
      <c r="AN2" s="10" t="s">
        <v>35</v>
      </c>
      <c r="AO2" s="10" t="s">
        <v>24</v>
      </c>
      <c r="AP2" s="10" t="s">
        <v>23</v>
      </c>
      <c r="AQ2" s="10" t="s">
        <v>18</v>
      </c>
      <c r="AR2" s="98" t="s">
        <v>32</v>
      </c>
      <c r="AS2" s="98"/>
      <c r="AT2" s="98"/>
      <c r="AU2" s="98"/>
      <c r="AV2" s="98" t="s">
        <v>35</v>
      </c>
      <c r="AW2" s="98"/>
      <c r="AX2" s="98"/>
      <c r="AY2" s="98"/>
      <c r="AZ2" s="98" t="s">
        <v>36</v>
      </c>
      <c r="BA2" s="98"/>
      <c r="BB2" s="98"/>
      <c r="BC2" s="98"/>
      <c r="BD2" s="106" t="s">
        <v>37</v>
      </c>
      <c r="BE2" s="106"/>
      <c r="BF2" s="106"/>
      <c r="BG2" s="106"/>
      <c r="BH2" s="63" t="s">
        <v>28</v>
      </c>
      <c r="BI2" s="63" t="s">
        <v>45</v>
      </c>
      <c r="BJ2" s="13" t="s">
        <v>32</v>
      </c>
      <c r="BK2" s="13" t="s">
        <v>35</v>
      </c>
      <c r="BL2" s="13" t="s">
        <v>24</v>
      </c>
      <c r="BM2" s="13" t="s">
        <v>23</v>
      </c>
      <c r="BN2" s="13" t="s">
        <v>18</v>
      </c>
      <c r="BO2" s="99" t="s">
        <v>32</v>
      </c>
      <c r="BP2" s="99"/>
      <c r="BQ2" s="99"/>
      <c r="BR2" s="99"/>
      <c r="BS2" s="99" t="s">
        <v>35</v>
      </c>
      <c r="BT2" s="99"/>
      <c r="BU2" s="99"/>
      <c r="BV2" s="99"/>
      <c r="BW2" s="99" t="s">
        <v>36</v>
      </c>
      <c r="BX2" s="99"/>
      <c r="BY2" s="99"/>
      <c r="BZ2" s="99"/>
      <c r="CA2" s="108" t="s">
        <v>37</v>
      </c>
      <c r="CB2" s="108"/>
      <c r="CC2" s="108"/>
      <c r="CD2" s="108"/>
      <c r="CE2" s="20" t="s">
        <v>28</v>
      </c>
      <c r="CF2" s="20" t="s">
        <v>45</v>
      </c>
      <c r="CG2" s="10" t="s">
        <v>32</v>
      </c>
      <c r="CH2" s="10" t="s">
        <v>35</v>
      </c>
      <c r="CI2" s="10" t="s">
        <v>24</v>
      </c>
      <c r="CJ2" s="10" t="s">
        <v>23</v>
      </c>
      <c r="CK2" s="10" t="s">
        <v>18</v>
      </c>
      <c r="CL2" s="26" t="s">
        <v>32</v>
      </c>
      <c r="CM2" s="26" t="s">
        <v>35</v>
      </c>
      <c r="CN2" s="26" t="s">
        <v>23</v>
      </c>
      <c r="CO2" s="99" t="s">
        <v>32</v>
      </c>
      <c r="CP2" s="99"/>
      <c r="CQ2" s="99"/>
      <c r="CR2" s="99"/>
      <c r="CS2" s="99" t="s">
        <v>35</v>
      </c>
      <c r="CT2" s="99"/>
      <c r="CU2" s="99"/>
      <c r="CV2" s="99"/>
      <c r="CW2" s="99" t="s">
        <v>36</v>
      </c>
      <c r="CX2" s="99"/>
      <c r="CY2" s="99"/>
      <c r="CZ2" s="99"/>
      <c r="DA2" s="105" t="s">
        <v>37</v>
      </c>
      <c r="DB2" s="105"/>
      <c r="DC2" s="105"/>
      <c r="DD2" s="105"/>
      <c r="DE2" s="64" t="s">
        <v>28</v>
      </c>
      <c r="DF2" s="64" t="s">
        <v>45</v>
      </c>
      <c r="DG2" s="10" t="s">
        <v>32</v>
      </c>
      <c r="DH2" s="10" t="s">
        <v>35</v>
      </c>
      <c r="DI2" s="10" t="s">
        <v>24</v>
      </c>
      <c r="DJ2" s="10" t="s">
        <v>23</v>
      </c>
      <c r="DK2" s="10" t="s">
        <v>18</v>
      </c>
      <c r="DL2" s="98" t="s">
        <v>32</v>
      </c>
      <c r="DM2" s="98"/>
      <c r="DN2" s="98"/>
      <c r="DO2" s="98"/>
      <c r="DP2" s="98" t="s">
        <v>35</v>
      </c>
      <c r="DQ2" s="98"/>
      <c r="DR2" s="98"/>
      <c r="DS2" s="98"/>
      <c r="DT2" s="98" t="s">
        <v>36</v>
      </c>
      <c r="DU2" s="98"/>
      <c r="DV2" s="98"/>
      <c r="DW2" s="98"/>
      <c r="DX2" s="106" t="s">
        <v>37</v>
      </c>
      <c r="DY2" s="106"/>
      <c r="DZ2" s="106"/>
      <c r="EA2" s="106"/>
      <c r="EB2" s="63" t="s">
        <v>28</v>
      </c>
      <c r="EC2" s="63" t="s">
        <v>45</v>
      </c>
      <c r="ED2" s="13" t="s">
        <v>32</v>
      </c>
      <c r="EE2" s="13" t="s">
        <v>35</v>
      </c>
      <c r="EF2" s="13" t="s">
        <v>24</v>
      </c>
      <c r="EG2" s="13" t="s">
        <v>23</v>
      </c>
      <c r="EH2" s="13" t="s">
        <v>18</v>
      </c>
      <c r="EI2" s="99" t="s">
        <v>32</v>
      </c>
      <c r="EJ2" s="99"/>
      <c r="EK2" s="99"/>
      <c r="EL2" s="99"/>
      <c r="EM2" s="99" t="s">
        <v>35</v>
      </c>
      <c r="EN2" s="99"/>
      <c r="EO2" s="99"/>
      <c r="EP2" s="99"/>
      <c r="EQ2" s="99" t="s">
        <v>36</v>
      </c>
      <c r="ER2" s="99"/>
      <c r="ES2" s="99"/>
      <c r="ET2" s="99"/>
      <c r="EU2" s="105" t="s">
        <v>37</v>
      </c>
      <c r="EV2" s="105"/>
      <c r="EW2" s="105"/>
      <c r="EX2" s="105"/>
      <c r="EY2" s="64" t="s">
        <v>28</v>
      </c>
      <c r="EZ2" s="64" t="s">
        <v>45</v>
      </c>
      <c r="FA2" s="10" t="s">
        <v>32</v>
      </c>
      <c r="FB2" s="10" t="s">
        <v>35</v>
      </c>
      <c r="FC2" s="10" t="s">
        <v>24</v>
      </c>
      <c r="FD2" s="10" t="s">
        <v>23</v>
      </c>
      <c r="FE2" s="10" t="s">
        <v>18</v>
      </c>
      <c r="FF2" s="98" t="s">
        <v>32</v>
      </c>
      <c r="FG2" s="98"/>
      <c r="FH2" s="98"/>
      <c r="FI2" s="98"/>
      <c r="FJ2" s="98" t="s">
        <v>35</v>
      </c>
      <c r="FK2" s="98"/>
      <c r="FL2" s="98"/>
      <c r="FM2" s="98"/>
      <c r="FN2" s="98" t="s">
        <v>36</v>
      </c>
      <c r="FO2" s="98"/>
      <c r="FP2" s="98"/>
      <c r="FQ2" s="98"/>
      <c r="FR2" s="106" t="s">
        <v>37</v>
      </c>
      <c r="FS2" s="106"/>
      <c r="FT2" s="106"/>
      <c r="FU2" s="106"/>
      <c r="FV2" s="22" t="s">
        <v>28</v>
      </c>
      <c r="FW2" s="22" t="s">
        <v>45</v>
      </c>
      <c r="FX2" s="13" t="s">
        <v>32</v>
      </c>
      <c r="FY2" s="13" t="s">
        <v>35</v>
      </c>
      <c r="FZ2" s="13" t="s">
        <v>24</v>
      </c>
      <c r="GA2" s="13" t="s">
        <v>23</v>
      </c>
      <c r="GB2" s="13" t="s">
        <v>18</v>
      </c>
      <c r="GC2" s="99" t="s">
        <v>32</v>
      </c>
      <c r="GD2" s="99"/>
      <c r="GE2" s="99"/>
      <c r="GF2" s="99"/>
      <c r="GG2" s="99" t="s">
        <v>35</v>
      </c>
      <c r="GH2" s="99"/>
      <c r="GI2" s="99"/>
      <c r="GJ2" s="99"/>
      <c r="GK2" s="99" t="s">
        <v>36</v>
      </c>
      <c r="GL2" s="99"/>
      <c r="GM2" s="99"/>
      <c r="GN2" s="99"/>
      <c r="GO2" s="105" t="s">
        <v>37</v>
      </c>
      <c r="GP2" s="105"/>
      <c r="GQ2" s="105"/>
      <c r="GR2" s="105"/>
      <c r="GS2" s="23" t="s">
        <v>28</v>
      </c>
      <c r="GT2" s="23" t="s">
        <v>45</v>
      </c>
      <c r="GU2" s="10" t="s">
        <v>32</v>
      </c>
      <c r="GV2" s="10" t="s">
        <v>35</v>
      </c>
      <c r="GW2" s="10" t="s">
        <v>24</v>
      </c>
      <c r="GX2" s="10" t="s">
        <v>23</v>
      </c>
      <c r="GY2" s="10" t="s">
        <v>18</v>
      </c>
      <c r="GZ2" s="98" t="s">
        <v>32</v>
      </c>
      <c r="HA2" s="98"/>
      <c r="HB2" s="98"/>
      <c r="HC2" s="98"/>
      <c r="HD2" s="98" t="s">
        <v>35</v>
      </c>
      <c r="HE2" s="98"/>
      <c r="HF2" s="98"/>
      <c r="HG2" s="98"/>
      <c r="HH2" s="98" t="s">
        <v>36</v>
      </c>
      <c r="HI2" s="98"/>
      <c r="HJ2" s="98"/>
      <c r="HK2" s="98"/>
      <c r="HL2" s="106" t="s">
        <v>37</v>
      </c>
      <c r="HM2" s="106"/>
      <c r="HN2" s="106"/>
      <c r="HO2" s="106"/>
      <c r="HP2" s="22" t="s">
        <v>28</v>
      </c>
      <c r="HQ2" s="22" t="s">
        <v>45</v>
      </c>
      <c r="HR2" s="13" t="s">
        <v>32</v>
      </c>
      <c r="HS2" s="13" t="s">
        <v>35</v>
      </c>
      <c r="HT2" s="13" t="s">
        <v>24</v>
      </c>
      <c r="HU2" s="13" t="s">
        <v>23</v>
      </c>
      <c r="HV2" s="13" t="s">
        <v>18</v>
      </c>
      <c r="HW2" s="99" t="s">
        <v>32</v>
      </c>
      <c r="HX2" s="99"/>
      <c r="HY2" s="99"/>
      <c r="HZ2" s="99"/>
      <c r="IA2" s="99" t="s">
        <v>35</v>
      </c>
      <c r="IB2" s="99"/>
      <c r="IC2" s="99"/>
      <c r="ID2" s="99"/>
      <c r="IE2" s="99" t="s">
        <v>36</v>
      </c>
      <c r="IF2" s="99"/>
      <c r="IG2" s="99"/>
      <c r="IH2" s="99"/>
      <c r="II2" s="105" t="s">
        <v>37</v>
      </c>
      <c r="IJ2" s="105"/>
      <c r="IK2" s="105"/>
      <c r="IL2" s="105"/>
      <c r="IM2" s="23" t="s">
        <v>28</v>
      </c>
      <c r="IN2" s="23" t="s">
        <v>45</v>
      </c>
      <c r="IO2" s="10" t="s">
        <v>32</v>
      </c>
      <c r="IP2" s="10" t="s">
        <v>35</v>
      </c>
      <c r="IQ2" s="10" t="s">
        <v>24</v>
      </c>
      <c r="IR2" s="10" t="s">
        <v>23</v>
      </c>
      <c r="IS2" s="10" t="s">
        <v>18</v>
      </c>
      <c r="IT2" s="98" t="s">
        <v>32</v>
      </c>
      <c r="IU2" s="98"/>
      <c r="IV2" s="98"/>
      <c r="IW2" s="98"/>
      <c r="IX2" s="98" t="s">
        <v>35</v>
      </c>
      <c r="IY2" s="98"/>
      <c r="IZ2" s="98"/>
      <c r="JA2" s="98"/>
      <c r="JB2" s="98" t="s">
        <v>36</v>
      </c>
      <c r="JC2" s="98"/>
      <c r="JD2" s="98"/>
      <c r="JE2" s="98"/>
      <c r="JF2" s="106" t="s">
        <v>37</v>
      </c>
      <c r="JG2" s="106"/>
      <c r="JH2" s="106"/>
      <c r="JI2" s="106"/>
      <c r="JJ2" s="22" t="s">
        <v>28</v>
      </c>
      <c r="JK2" s="22" t="s">
        <v>45</v>
      </c>
      <c r="JL2" s="13" t="s">
        <v>32</v>
      </c>
      <c r="JM2" s="13" t="s">
        <v>35</v>
      </c>
      <c r="JN2" s="13" t="s">
        <v>24</v>
      </c>
      <c r="JO2" s="13" t="s">
        <v>23</v>
      </c>
      <c r="JP2" s="13" t="s">
        <v>18</v>
      </c>
      <c r="JQ2" s="99" t="s">
        <v>32</v>
      </c>
      <c r="JR2" s="99"/>
      <c r="JS2" s="99"/>
      <c r="JT2" s="99"/>
      <c r="JU2" s="99" t="s">
        <v>35</v>
      </c>
      <c r="JV2" s="99"/>
      <c r="JW2" s="99"/>
      <c r="JX2" s="99"/>
      <c r="JY2" s="99" t="s">
        <v>36</v>
      </c>
      <c r="JZ2" s="99"/>
      <c r="KA2" s="99"/>
      <c r="KB2" s="99"/>
      <c r="KC2" s="105" t="s">
        <v>37</v>
      </c>
      <c r="KD2" s="105"/>
      <c r="KE2" s="105"/>
      <c r="KF2" s="105"/>
      <c r="KG2" s="23" t="s">
        <v>28</v>
      </c>
      <c r="KH2" s="23" t="s">
        <v>45</v>
      </c>
      <c r="KI2" s="10" t="s">
        <v>32</v>
      </c>
      <c r="KJ2" s="10" t="s">
        <v>35</v>
      </c>
      <c r="KK2" s="10" t="s">
        <v>24</v>
      </c>
      <c r="KL2" s="10" t="s">
        <v>23</v>
      </c>
      <c r="KM2" s="10" t="s">
        <v>18</v>
      </c>
      <c r="KN2" s="98" t="s">
        <v>32</v>
      </c>
      <c r="KO2" s="98"/>
      <c r="KP2" s="98"/>
      <c r="KQ2" s="98"/>
      <c r="KR2" s="98" t="s">
        <v>35</v>
      </c>
      <c r="KS2" s="98"/>
      <c r="KT2" s="98"/>
      <c r="KU2" s="98"/>
      <c r="KV2" s="98" t="s">
        <v>36</v>
      </c>
      <c r="KW2" s="98"/>
      <c r="KX2" s="98"/>
      <c r="KY2" s="98"/>
      <c r="KZ2" s="106" t="s">
        <v>37</v>
      </c>
      <c r="LA2" s="106"/>
      <c r="LB2" s="106"/>
      <c r="LC2" s="106"/>
      <c r="LD2" s="22" t="s">
        <v>28</v>
      </c>
      <c r="LE2" s="22" t="s">
        <v>45</v>
      </c>
      <c r="LF2" s="13" t="s">
        <v>32</v>
      </c>
      <c r="LG2" s="13" t="s">
        <v>35</v>
      </c>
      <c r="LH2" s="13" t="s">
        <v>24</v>
      </c>
      <c r="LI2" s="13" t="s">
        <v>23</v>
      </c>
      <c r="LJ2" s="13" t="s">
        <v>18</v>
      </c>
      <c r="LK2" s="99" t="s">
        <v>32</v>
      </c>
      <c r="LL2" s="99"/>
      <c r="LM2" s="99"/>
      <c r="LN2" s="99"/>
      <c r="LO2" s="99" t="s">
        <v>35</v>
      </c>
      <c r="LP2" s="99"/>
      <c r="LQ2" s="99"/>
      <c r="LR2" s="99"/>
      <c r="LS2" s="99" t="s">
        <v>36</v>
      </c>
      <c r="LT2" s="99"/>
      <c r="LU2" s="99"/>
      <c r="LV2" s="99"/>
      <c r="LW2" s="105" t="s">
        <v>37</v>
      </c>
      <c r="LX2" s="105"/>
      <c r="LY2" s="105"/>
      <c r="LZ2" s="105"/>
      <c r="MA2" s="23" t="s">
        <v>28</v>
      </c>
      <c r="MB2" s="23" t="s">
        <v>45</v>
      </c>
      <c r="MC2" s="10" t="s">
        <v>32</v>
      </c>
      <c r="MD2" s="10" t="s">
        <v>35</v>
      </c>
      <c r="ME2" s="10" t="s">
        <v>24</v>
      </c>
      <c r="MF2" s="10" t="s">
        <v>23</v>
      </c>
      <c r="MG2" s="10" t="s">
        <v>18</v>
      </c>
      <c r="MH2" s="98" t="s">
        <v>32</v>
      </c>
      <c r="MI2" s="98"/>
      <c r="MJ2" s="98"/>
      <c r="MK2" s="98"/>
      <c r="ML2" s="98" t="s">
        <v>35</v>
      </c>
      <c r="MM2" s="98"/>
      <c r="MN2" s="98"/>
      <c r="MO2" s="98"/>
      <c r="MP2" s="98" t="s">
        <v>36</v>
      </c>
      <c r="MQ2" s="98"/>
      <c r="MR2" s="98"/>
      <c r="MS2" s="98"/>
      <c r="MT2" s="106" t="s">
        <v>37</v>
      </c>
      <c r="MU2" s="106"/>
      <c r="MV2" s="106"/>
      <c r="MW2" s="106"/>
      <c r="MX2" s="22" t="s">
        <v>28</v>
      </c>
      <c r="MY2" s="22" t="s">
        <v>45</v>
      </c>
      <c r="MZ2" s="13" t="s">
        <v>32</v>
      </c>
      <c r="NA2" s="13" t="s">
        <v>35</v>
      </c>
      <c r="NB2" s="13" t="s">
        <v>24</v>
      </c>
      <c r="NC2" s="13" t="s">
        <v>23</v>
      </c>
      <c r="ND2" s="13" t="s">
        <v>18</v>
      </c>
    </row>
    <row r="3" spans="1:368">
      <c r="A3" s="100"/>
      <c r="B3" s="100"/>
      <c r="C3" s="100"/>
      <c r="D3" s="100"/>
      <c r="E3" s="100"/>
      <c r="F3" s="101"/>
      <c r="G3" s="101"/>
      <c r="H3" s="100"/>
      <c r="I3" s="100"/>
      <c r="J3" s="102"/>
      <c r="K3" s="102"/>
      <c r="L3" s="102"/>
      <c r="M3" s="102"/>
      <c r="N3" s="102"/>
      <c r="O3" s="102"/>
      <c r="P3" s="102"/>
      <c r="Q3" s="102"/>
      <c r="R3" s="103"/>
      <c r="S3" s="102"/>
      <c r="T3" s="102"/>
      <c r="U3" s="64" t="s">
        <v>15</v>
      </c>
      <c r="V3" s="64" t="s">
        <v>7</v>
      </c>
      <c r="W3" s="64" t="s">
        <v>33</v>
      </c>
      <c r="X3" s="64" t="s">
        <v>34</v>
      </c>
      <c r="Y3" s="64" t="s">
        <v>15</v>
      </c>
      <c r="Z3" s="64" t="s">
        <v>7</v>
      </c>
      <c r="AA3" s="64" t="s">
        <v>33</v>
      </c>
      <c r="AB3" s="64" t="s">
        <v>34</v>
      </c>
      <c r="AC3" s="64" t="s">
        <v>15</v>
      </c>
      <c r="AD3" s="64" t="s">
        <v>7</v>
      </c>
      <c r="AE3" s="64" t="s">
        <v>33</v>
      </c>
      <c r="AF3" s="64" t="s">
        <v>34</v>
      </c>
      <c r="AG3" s="67" t="s">
        <v>15</v>
      </c>
      <c r="AH3" s="67" t="s">
        <v>7</v>
      </c>
      <c r="AI3" s="67" t="s">
        <v>33</v>
      </c>
      <c r="AJ3" s="67" t="s">
        <v>34</v>
      </c>
      <c r="AK3" s="11"/>
      <c r="AL3" s="11"/>
      <c r="AM3" s="10"/>
      <c r="AN3" s="10"/>
      <c r="AO3" s="10"/>
      <c r="AP3" s="11"/>
      <c r="AQ3" s="11"/>
      <c r="AR3" s="63" t="s">
        <v>15</v>
      </c>
      <c r="AS3" s="63" t="s">
        <v>7</v>
      </c>
      <c r="AT3" s="63" t="s">
        <v>33</v>
      </c>
      <c r="AU3" s="63" t="s">
        <v>34</v>
      </c>
      <c r="AV3" s="63" t="s">
        <v>15</v>
      </c>
      <c r="AW3" s="63" t="s">
        <v>7</v>
      </c>
      <c r="AX3" s="63" t="s">
        <v>33</v>
      </c>
      <c r="AY3" s="63" t="s">
        <v>34</v>
      </c>
      <c r="AZ3" s="63" t="s">
        <v>15</v>
      </c>
      <c r="BA3" s="63" t="s">
        <v>7</v>
      </c>
      <c r="BB3" s="63" t="s">
        <v>33</v>
      </c>
      <c r="BC3" s="63" t="s">
        <v>34</v>
      </c>
      <c r="BD3" s="65" t="s">
        <v>15</v>
      </c>
      <c r="BE3" s="65" t="s">
        <v>7</v>
      </c>
      <c r="BF3" s="65" t="s">
        <v>33</v>
      </c>
      <c r="BG3" s="65" t="s">
        <v>34</v>
      </c>
      <c r="BH3" s="14"/>
      <c r="BI3" s="14"/>
      <c r="BJ3" s="13"/>
      <c r="BK3" s="13"/>
      <c r="BL3" s="13"/>
      <c r="BM3" s="14"/>
      <c r="BN3" s="14"/>
      <c r="BO3" s="33" t="s">
        <v>15</v>
      </c>
      <c r="BP3" s="33" t="s">
        <v>7</v>
      </c>
      <c r="BQ3" s="33" t="s">
        <v>33</v>
      </c>
      <c r="BR3" s="33" t="s">
        <v>34</v>
      </c>
      <c r="BS3" s="33" t="s">
        <v>15</v>
      </c>
      <c r="BT3" s="33" t="s">
        <v>7</v>
      </c>
      <c r="BU3" s="33" t="s">
        <v>33</v>
      </c>
      <c r="BV3" s="33" t="s">
        <v>34</v>
      </c>
      <c r="BW3" s="33" t="s">
        <v>15</v>
      </c>
      <c r="BX3" s="33" t="s">
        <v>7</v>
      </c>
      <c r="BY3" s="33" t="s">
        <v>33</v>
      </c>
      <c r="BZ3" s="33" t="s">
        <v>34</v>
      </c>
      <c r="CA3" s="36" t="s">
        <v>15</v>
      </c>
      <c r="CB3" s="36" t="s">
        <v>7</v>
      </c>
      <c r="CC3" s="36" t="s">
        <v>33</v>
      </c>
      <c r="CD3" s="36" t="s">
        <v>34</v>
      </c>
      <c r="CE3" s="11"/>
      <c r="CF3" s="11"/>
      <c r="CG3" s="10"/>
      <c r="CH3" s="10"/>
      <c r="CI3" s="10"/>
      <c r="CJ3" s="11"/>
      <c r="CK3" s="11"/>
      <c r="CL3" s="27"/>
      <c r="CM3" s="27"/>
      <c r="CN3" s="27"/>
      <c r="CO3" s="64" t="s">
        <v>15</v>
      </c>
      <c r="CP3" s="64" t="s">
        <v>7</v>
      </c>
      <c r="CQ3" s="64" t="s">
        <v>33</v>
      </c>
      <c r="CR3" s="64" t="s">
        <v>34</v>
      </c>
      <c r="CS3" s="64" t="s">
        <v>15</v>
      </c>
      <c r="CT3" s="64" t="s">
        <v>7</v>
      </c>
      <c r="CU3" s="64" t="s">
        <v>33</v>
      </c>
      <c r="CV3" s="64" t="s">
        <v>34</v>
      </c>
      <c r="CW3" s="64" t="s">
        <v>15</v>
      </c>
      <c r="CX3" s="64" t="s">
        <v>7</v>
      </c>
      <c r="CY3" s="64" t="s">
        <v>33</v>
      </c>
      <c r="CZ3" s="64" t="s">
        <v>34</v>
      </c>
      <c r="DA3" s="66" t="s">
        <v>15</v>
      </c>
      <c r="DB3" s="66" t="s">
        <v>7</v>
      </c>
      <c r="DC3" s="66" t="s">
        <v>33</v>
      </c>
      <c r="DD3" s="66" t="s">
        <v>34</v>
      </c>
      <c r="DE3" s="11"/>
      <c r="DF3" s="11"/>
      <c r="DG3" s="10"/>
      <c r="DH3" s="10"/>
      <c r="DI3" s="10"/>
      <c r="DJ3" s="11"/>
      <c r="DK3" s="11"/>
      <c r="DL3" s="63" t="s">
        <v>15</v>
      </c>
      <c r="DM3" s="63" t="s">
        <v>7</v>
      </c>
      <c r="DN3" s="63" t="s">
        <v>33</v>
      </c>
      <c r="DO3" s="63" t="s">
        <v>34</v>
      </c>
      <c r="DP3" s="63" t="s">
        <v>15</v>
      </c>
      <c r="DQ3" s="63" t="s">
        <v>7</v>
      </c>
      <c r="DR3" s="63" t="s">
        <v>33</v>
      </c>
      <c r="DS3" s="63" t="s">
        <v>34</v>
      </c>
      <c r="DT3" s="63" t="s">
        <v>15</v>
      </c>
      <c r="DU3" s="63" t="s">
        <v>7</v>
      </c>
      <c r="DV3" s="63" t="s">
        <v>33</v>
      </c>
      <c r="DW3" s="63" t="s">
        <v>34</v>
      </c>
      <c r="DX3" s="65" t="s">
        <v>15</v>
      </c>
      <c r="DY3" s="65" t="s">
        <v>7</v>
      </c>
      <c r="DZ3" s="65" t="s">
        <v>33</v>
      </c>
      <c r="EA3" s="65" t="s">
        <v>34</v>
      </c>
      <c r="EB3" s="14"/>
      <c r="EC3" s="14"/>
      <c r="ED3" s="13"/>
      <c r="EE3" s="13"/>
      <c r="EF3" s="13"/>
      <c r="EG3" s="14"/>
      <c r="EH3" s="14"/>
      <c r="EI3" s="64" t="s">
        <v>15</v>
      </c>
      <c r="EJ3" s="64" t="s">
        <v>7</v>
      </c>
      <c r="EK3" s="64" t="s">
        <v>33</v>
      </c>
      <c r="EL3" s="64" t="s">
        <v>34</v>
      </c>
      <c r="EM3" s="64" t="s">
        <v>15</v>
      </c>
      <c r="EN3" s="64" t="s">
        <v>7</v>
      </c>
      <c r="EO3" s="64" t="s">
        <v>33</v>
      </c>
      <c r="EP3" s="64" t="s">
        <v>34</v>
      </c>
      <c r="EQ3" s="64" t="s">
        <v>15</v>
      </c>
      <c r="ER3" s="64" t="s">
        <v>7</v>
      </c>
      <c r="ES3" s="64" t="s">
        <v>33</v>
      </c>
      <c r="ET3" s="64" t="s">
        <v>34</v>
      </c>
      <c r="EU3" s="66" t="s">
        <v>15</v>
      </c>
      <c r="EV3" s="66" t="s">
        <v>7</v>
      </c>
      <c r="EW3" s="66" t="s">
        <v>33</v>
      </c>
      <c r="EX3" s="66" t="s">
        <v>34</v>
      </c>
      <c r="EY3" s="11"/>
      <c r="EZ3" s="11"/>
      <c r="FA3" s="10"/>
      <c r="FB3" s="10"/>
      <c r="FC3" s="10"/>
      <c r="FD3" s="11"/>
      <c r="FE3" s="11"/>
      <c r="FF3" s="32" t="s">
        <v>15</v>
      </c>
      <c r="FG3" s="32" t="s">
        <v>7</v>
      </c>
      <c r="FH3" s="32" t="s">
        <v>33</v>
      </c>
      <c r="FI3" s="32" t="s">
        <v>34</v>
      </c>
      <c r="FJ3" s="32" t="s">
        <v>15</v>
      </c>
      <c r="FK3" s="32" t="s">
        <v>7</v>
      </c>
      <c r="FL3" s="32" t="s">
        <v>33</v>
      </c>
      <c r="FM3" s="32" t="s">
        <v>34</v>
      </c>
      <c r="FN3" s="32" t="s">
        <v>15</v>
      </c>
      <c r="FO3" s="32" t="s">
        <v>7</v>
      </c>
      <c r="FP3" s="32" t="s">
        <v>33</v>
      </c>
      <c r="FQ3" s="32" t="s">
        <v>34</v>
      </c>
      <c r="FR3" s="35" t="s">
        <v>15</v>
      </c>
      <c r="FS3" s="35" t="s">
        <v>7</v>
      </c>
      <c r="FT3" s="35" t="s">
        <v>33</v>
      </c>
      <c r="FU3" s="35" t="s">
        <v>34</v>
      </c>
      <c r="FV3" s="14"/>
      <c r="FW3" s="14"/>
      <c r="FX3" s="13"/>
      <c r="FY3" s="13"/>
      <c r="FZ3" s="13"/>
      <c r="GA3" s="14"/>
      <c r="GB3" s="14"/>
      <c r="GC3" s="33" t="s">
        <v>15</v>
      </c>
      <c r="GD3" s="33" t="s">
        <v>7</v>
      </c>
      <c r="GE3" s="33" t="s">
        <v>33</v>
      </c>
      <c r="GF3" s="33" t="s">
        <v>34</v>
      </c>
      <c r="GG3" s="33" t="s">
        <v>15</v>
      </c>
      <c r="GH3" s="33" t="s">
        <v>7</v>
      </c>
      <c r="GI3" s="33" t="s">
        <v>33</v>
      </c>
      <c r="GJ3" s="33" t="s">
        <v>34</v>
      </c>
      <c r="GK3" s="33" t="s">
        <v>15</v>
      </c>
      <c r="GL3" s="33" t="s">
        <v>7</v>
      </c>
      <c r="GM3" s="33" t="s">
        <v>33</v>
      </c>
      <c r="GN3" s="33" t="s">
        <v>34</v>
      </c>
      <c r="GO3" s="34" t="s">
        <v>15</v>
      </c>
      <c r="GP3" s="34" t="s">
        <v>7</v>
      </c>
      <c r="GQ3" s="34" t="s">
        <v>33</v>
      </c>
      <c r="GR3" s="34" t="s">
        <v>34</v>
      </c>
      <c r="GS3" s="11"/>
      <c r="GT3" s="11"/>
      <c r="GU3" s="10"/>
      <c r="GV3" s="10"/>
      <c r="GW3" s="10"/>
      <c r="GX3" s="11"/>
      <c r="GY3" s="11"/>
      <c r="GZ3" s="32" t="s">
        <v>15</v>
      </c>
      <c r="HA3" s="32" t="s">
        <v>7</v>
      </c>
      <c r="HB3" s="32" t="s">
        <v>33</v>
      </c>
      <c r="HC3" s="32" t="s">
        <v>34</v>
      </c>
      <c r="HD3" s="32" t="s">
        <v>15</v>
      </c>
      <c r="HE3" s="32" t="s">
        <v>7</v>
      </c>
      <c r="HF3" s="32" t="s">
        <v>33</v>
      </c>
      <c r="HG3" s="32" t="s">
        <v>34</v>
      </c>
      <c r="HH3" s="32" t="s">
        <v>15</v>
      </c>
      <c r="HI3" s="32" t="s">
        <v>7</v>
      </c>
      <c r="HJ3" s="32" t="s">
        <v>33</v>
      </c>
      <c r="HK3" s="32" t="s">
        <v>34</v>
      </c>
      <c r="HL3" s="35" t="s">
        <v>15</v>
      </c>
      <c r="HM3" s="35" t="s">
        <v>7</v>
      </c>
      <c r="HN3" s="35" t="s">
        <v>33</v>
      </c>
      <c r="HO3" s="35" t="s">
        <v>34</v>
      </c>
      <c r="HP3" s="14"/>
      <c r="HQ3" s="14"/>
      <c r="HR3" s="13"/>
      <c r="HS3" s="13"/>
      <c r="HT3" s="13"/>
      <c r="HU3" s="14"/>
      <c r="HV3" s="14"/>
      <c r="HW3" s="33" t="s">
        <v>15</v>
      </c>
      <c r="HX3" s="33" t="s">
        <v>7</v>
      </c>
      <c r="HY3" s="33" t="s">
        <v>33</v>
      </c>
      <c r="HZ3" s="33" t="s">
        <v>34</v>
      </c>
      <c r="IA3" s="33" t="s">
        <v>15</v>
      </c>
      <c r="IB3" s="33" t="s">
        <v>7</v>
      </c>
      <c r="IC3" s="33" t="s">
        <v>33</v>
      </c>
      <c r="ID3" s="33" t="s">
        <v>34</v>
      </c>
      <c r="IE3" s="33" t="s">
        <v>15</v>
      </c>
      <c r="IF3" s="33" t="s">
        <v>7</v>
      </c>
      <c r="IG3" s="33" t="s">
        <v>33</v>
      </c>
      <c r="IH3" s="33" t="s">
        <v>34</v>
      </c>
      <c r="II3" s="34" t="s">
        <v>15</v>
      </c>
      <c r="IJ3" s="34" t="s">
        <v>7</v>
      </c>
      <c r="IK3" s="34" t="s">
        <v>33</v>
      </c>
      <c r="IL3" s="34" t="s">
        <v>34</v>
      </c>
      <c r="IM3" s="11"/>
      <c r="IN3" s="11"/>
      <c r="IO3" s="10"/>
      <c r="IP3" s="10"/>
      <c r="IQ3" s="10"/>
      <c r="IR3" s="11"/>
      <c r="IS3" s="11"/>
      <c r="IT3" s="32" t="s">
        <v>15</v>
      </c>
      <c r="IU3" s="32" t="s">
        <v>7</v>
      </c>
      <c r="IV3" s="32" t="s">
        <v>33</v>
      </c>
      <c r="IW3" s="32" t="s">
        <v>34</v>
      </c>
      <c r="IX3" s="32" t="s">
        <v>15</v>
      </c>
      <c r="IY3" s="32" t="s">
        <v>7</v>
      </c>
      <c r="IZ3" s="32" t="s">
        <v>33</v>
      </c>
      <c r="JA3" s="32" t="s">
        <v>34</v>
      </c>
      <c r="JB3" s="32" t="s">
        <v>15</v>
      </c>
      <c r="JC3" s="32" t="s">
        <v>7</v>
      </c>
      <c r="JD3" s="32" t="s">
        <v>33</v>
      </c>
      <c r="JE3" s="32" t="s">
        <v>34</v>
      </c>
      <c r="JF3" s="35" t="s">
        <v>15</v>
      </c>
      <c r="JG3" s="35" t="s">
        <v>7</v>
      </c>
      <c r="JH3" s="35" t="s">
        <v>33</v>
      </c>
      <c r="JI3" s="35" t="s">
        <v>34</v>
      </c>
      <c r="JJ3" s="14"/>
      <c r="JK3" s="14"/>
      <c r="JL3" s="13"/>
      <c r="JM3" s="13"/>
      <c r="JN3" s="13"/>
      <c r="JO3" s="14"/>
      <c r="JP3" s="14"/>
      <c r="JQ3" s="33" t="s">
        <v>15</v>
      </c>
      <c r="JR3" s="33" t="s">
        <v>7</v>
      </c>
      <c r="JS3" s="33" t="s">
        <v>33</v>
      </c>
      <c r="JT3" s="33" t="s">
        <v>34</v>
      </c>
      <c r="JU3" s="33" t="s">
        <v>15</v>
      </c>
      <c r="JV3" s="33" t="s">
        <v>7</v>
      </c>
      <c r="JW3" s="33" t="s">
        <v>33</v>
      </c>
      <c r="JX3" s="33" t="s">
        <v>34</v>
      </c>
      <c r="JY3" s="33" t="s">
        <v>15</v>
      </c>
      <c r="JZ3" s="33" t="s">
        <v>7</v>
      </c>
      <c r="KA3" s="33" t="s">
        <v>33</v>
      </c>
      <c r="KB3" s="33" t="s">
        <v>34</v>
      </c>
      <c r="KC3" s="34" t="s">
        <v>15</v>
      </c>
      <c r="KD3" s="34" t="s">
        <v>7</v>
      </c>
      <c r="KE3" s="34" t="s">
        <v>33</v>
      </c>
      <c r="KF3" s="34" t="s">
        <v>34</v>
      </c>
      <c r="KG3" s="11"/>
      <c r="KH3" s="11"/>
      <c r="KI3" s="10"/>
      <c r="KJ3" s="10"/>
      <c r="KK3" s="10"/>
      <c r="KL3" s="11"/>
      <c r="KM3" s="11"/>
      <c r="KN3" s="32" t="s">
        <v>15</v>
      </c>
      <c r="KO3" s="32" t="s">
        <v>7</v>
      </c>
      <c r="KP3" s="32" t="s">
        <v>33</v>
      </c>
      <c r="KQ3" s="32" t="s">
        <v>34</v>
      </c>
      <c r="KR3" s="32" t="s">
        <v>15</v>
      </c>
      <c r="KS3" s="32" t="s">
        <v>7</v>
      </c>
      <c r="KT3" s="32" t="s">
        <v>33</v>
      </c>
      <c r="KU3" s="32" t="s">
        <v>34</v>
      </c>
      <c r="KV3" s="32" t="s">
        <v>15</v>
      </c>
      <c r="KW3" s="32" t="s">
        <v>7</v>
      </c>
      <c r="KX3" s="32" t="s">
        <v>33</v>
      </c>
      <c r="KY3" s="32" t="s">
        <v>34</v>
      </c>
      <c r="KZ3" s="35" t="s">
        <v>15</v>
      </c>
      <c r="LA3" s="35" t="s">
        <v>7</v>
      </c>
      <c r="LB3" s="35" t="s">
        <v>33</v>
      </c>
      <c r="LC3" s="35" t="s">
        <v>34</v>
      </c>
      <c r="LD3" s="14"/>
      <c r="LE3" s="14"/>
      <c r="LF3" s="13"/>
      <c r="LG3" s="13"/>
      <c r="LH3" s="13"/>
      <c r="LI3" s="14"/>
      <c r="LJ3" s="14"/>
      <c r="LK3" s="33" t="s">
        <v>15</v>
      </c>
      <c r="LL3" s="33" t="s">
        <v>7</v>
      </c>
      <c r="LM3" s="33" t="s">
        <v>33</v>
      </c>
      <c r="LN3" s="33" t="s">
        <v>34</v>
      </c>
      <c r="LO3" s="33" t="s">
        <v>15</v>
      </c>
      <c r="LP3" s="33" t="s">
        <v>7</v>
      </c>
      <c r="LQ3" s="33" t="s">
        <v>33</v>
      </c>
      <c r="LR3" s="33" t="s">
        <v>34</v>
      </c>
      <c r="LS3" s="33" t="s">
        <v>15</v>
      </c>
      <c r="LT3" s="33" t="s">
        <v>7</v>
      </c>
      <c r="LU3" s="33" t="s">
        <v>33</v>
      </c>
      <c r="LV3" s="33" t="s">
        <v>34</v>
      </c>
      <c r="LW3" s="34" t="s">
        <v>15</v>
      </c>
      <c r="LX3" s="34" t="s">
        <v>7</v>
      </c>
      <c r="LY3" s="34" t="s">
        <v>33</v>
      </c>
      <c r="LZ3" s="34" t="s">
        <v>34</v>
      </c>
      <c r="MA3" s="11"/>
      <c r="MB3" s="11"/>
      <c r="MC3" s="10"/>
      <c r="MD3" s="10"/>
      <c r="ME3" s="10"/>
      <c r="MF3" s="11"/>
      <c r="MG3" s="11"/>
      <c r="MH3" s="32" t="s">
        <v>15</v>
      </c>
      <c r="MI3" s="32" t="s">
        <v>7</v>
      </c>
      <c r="MJ3" s="32" t="s">
        <v>33</v>
      </c>
      <c r="MK3" s="32" t="s">
        <v>34</v>
      </c>
      <c r="ML3" s="32" t="s">
        <v>15</v>
      </c>
      <c r="MM3" s="32" t="s">
        <v>7</v>
      </c>
      <c r="MN3" s="32" t="s">
        <v>33</v>
      </c>
      <c r="MO3" s="32" t="s">
        <v>34</v>
      </c>
      <c r="MP3" s="32" t="s">
        <v>15</v>
      </c>
      <c r="MQ3" s="32" t="s">
        <v>7</v>
      </c>
      <c r="MR3" s="32" t="s">
        <v>33</v>
      </c>
      <c r="MS3" s="32" t="s">
        <v>34</v>
      </c>
      <c r="MT3" s="35" t="s">
        <v>15</v>
      </c>
      <c r="MU3" s="35" t="s">
        <v>7</v>
      </c>
      <c r="MV3" s="35" t="s">
        <v>33</v>
      </c>
      <c r="MW3" s="35" t="s">
        <v>34</v>
      </c>
      <c r="MX3" s="14"/>
      <c r="MY3" s="14"/>
      <c r="MZ3" s="13"/>
      <c r="NA3" s="13"/>
      <c r="NB3" s="13"/>
      <c r="NC3" s="14"/>
      <c r="ND3" s="14"/>
    </row>
    <row r="4" spans="1:368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9" t="s">
        <v>89</v>
      </c>
      <c r="C4" s="5" t="s">
        <v>3</v>
      </c>
      <c r="D4" s="31">
        <v>2000</v>
      </c>
      <c r="E4" s="16">
        <f>SUM(J4:R4)</f>
        <v>196.4</v>
      </c>
      <c r="F4" s="4" t="str">
        <f>IF(OR(AND($AK4&gt;=$AL$11,NOT($AK4="")),AND($BH4&gt;=$BI$11,NOT($BH4="")),AND($CE4&gt;=$CF$11,NOT($CE4=""))),"P","")</f>
        <v>P</v>
      </c>
      <c r="G4" s="4" t="str">
        <f>IF(OR(AND($AK4&gt;=$AL$12,NOT($AK4="")),AND($BH4&gt;=$BI$12,NOT($BH4="")),AND($CE4&gt;=$CF$12,NOT($CE4=""))),"P","")</f>
        <v/>
      </c>
      <c r="H4" s="4" t="str">
        <f>IF(OR(AND($AO4&gt;=$AL$13,NOT($AO4="")),AND($BL4&gt;=$BI$13,NOT($BL4="")),AND($CI4&gt;=$CF$13,NOT($CI4=""))),"P","")</f>
        <v>P</v>
      </c>
      <c r="I4" t="str">
        <f>IF(AND(F4="P",OR(AND($AO4&gt;=$AL$16,NOT($AO4="")),AND($BL4&gt;=$BI$16,NOT($BL4="")),AND($CI4&gt;=$CF$16,NOT($CI4="")))),"Merit",IF(AND(F4="P",OR(AND($AO4&gt;=$AL$15,NOT($AO4="")),AND($BL4&gt;=$BI$15,NOT($BL4="")),AND($CI4&gt;=$CF$15,NOT($CI4="")))),"Funding",IF(AND(F4="P",OR(AND($AO4&gt;=$AL$14,NOT($AO4="")),AND($BL4&gt;=$BI$14,NOT($BL4="")),AND($CI4&gt;=$CF$14,NOT($CI4="")))),"Worlds Team",IF(AND(F4="P",OR(AND($AO4&gt;=$AL$13,NOT($AO4="")),AND($BL4&gt;=$BI$13,NOT($BL4="")),AND($CI4&gt;=$CF$13,NOT($CI4="")))),"National Team",""))))</f>
        <v>National Team</v>
      </c>
      <c r="J4" s="15">
        <f>MAX(AO4,BL4,CI4)</f>
        <v>65.599999999999994</v>
      </c>
      <c r="K4" s="15" t="str">
        <f>IF(J4=CI4,$BO$1,IF(J4=BL4,$AR$1,IF(J4=AO4,$U$1,"")))</f>
        <v>2018 Canada Cup</v>
      </c>
      <c r="L4" s="15">
        <f>IF($J4=$AO4,MAX(BJ4,CG4),IF($J4=$BL4,MAX(AM4,CG4),MAX(AM4,BJ4)))</f>
        <v>31.900000000000002</v>
      </c>
      <c r="M4" s="15" t="str">
        <f>IF(L4=CG4,$BO$1,IF(L4=BJ4,$AR$1,IF(L4=AM4,$U$1,"")))</f>
        <v>2017 Nationals</v>
      </c>
      <c r="N4" s="15">
        <f>IF($J4=$AO4,MAX(BK4,CH4),IF($J4=$BL4,MAX(AN4,CH4),MAX(AN4,BK4)))</f>
        <v>31.6</v>
      </c>
      <c r="O4" s="15" t="str">
        <f>IF(N4=CH4,$BO$1,IF(N4=BK4,$AR$1,IF(N4=AN4,$U$1,"")))</f>
        <v>2017 Canada Cup</v>
      </c>
      <c r="P4" s="15">
        <f>MAX(AP4,BM4,CJ4)</f>
        <v>67</v>
      </c>
      <c r="Q4" s="15" t="str">
        <f>IF(P4=CJ4,$BO$1,IF(P4=BM4,$AR$1,IF(P4=AP4,$U$1,"")))</f>
        <v>2018 Canada Cup</v>
      </c>
      <c r="R4" s="15">
        <f>IF(MAX(CL4:CN4)&gt;0,MAX(CL4:CN4),"")</f>
        <v>0.30000000000000071</v>
      </c>
      <c r="S4" s="29" t="str">
        <f>IF(R4="","",IF(R4=CL4,"(Pass 1)",IF(R4=CM4,"(Pass 2)",IF(R4=CN4,"(Final)"))))</f>
        <v>(Pass 1)</v>
      </c>
      <c r="T4" s="15" t="str">
        <f>IF(R4="","",IF(R4=CL4,IF(R4+L4=MZ4,$MH$1,IF(R4+L4=MC4,$LK$1,IF(R4+L4=LF4,$KN$1,IF(R4+L4=KI4,$JQ$1,IF(R4+L4=JL4,$IT$1,IF(R4+L4=IO4,$HW$1,IF(R4+L4=HR4,$GZ$1,IF(R4+L4=GU4,$GC$1,IF(R4+L4=FX4,$FF$1,IF(R4+L4=FA4,$EI$1,IF(R4+L4=ED4,$DL$1,IF(R4+L4=DG4,$CO$1)))))))))))),IF(R4=CM4,IF(R4+N4=NA4,$MH$1,IF(R4+N4=MD4,$LK$1,IF(R4+N4=LG4,$KN$1,IF(R4+N4=KJ4,$JQ$1,IF(R4+N4=JM4,$IT$1,IF(R4+N4=IP4,$HW$1,IF(R4+N4=HS4,$GZ$1,IF(R4+N4=GV4,$GC$1,IF(R4+N4=FY4,$FF$1,IF(R4+N4=FB4,$EI$1,IF(R4+N4=EE4,$DL$1,IF(R4+N4=DH4,$CO$1)))))))))))),IF(R4=CN4,IF(R4+P4=NC4,$MH$1,IF(R4+P4=MF4,$LK$1,IF(R4+P4=LI4,$KN$1,IF(R4+P4=KL4,$JQ$1,IF(R4+P4=JO4,$IT$1,IF(R4+P4=IR4,$HW$1,IF(R4+P4=HU4,$GZ$1,IF(R4+P4=GX4,$GC$1,IF(R4+P4=GA4,$FF$1,IF(R4+P4=FD4,$EI$1,IF(R4+P4=EG4,$DL$1,IF(R4+P4=DJ4,$CO$1))))))))))))))))</f>
        <v>2017 World Age Group Championships (Nov)</v>
      </c>
      <c r="U4" s="48">
        <v>22.7</v>
      </c>
      <c r="V4" s="48">
        <v>5.6</v>
      </c>
      <c r="W4" s="48">
        <v>0</v>
      </c>
      <c r="X4" s="48">
        <v>0</v>
      </c>
      <c r="Y4" s="48">
        <v>26.8</v>
      </c>
      <c r="Z4" s="48">
        <v>4.8</v>
      </c>
      <c r="AA4" s="48">
        <v>0</v>
      </c>
      <c r="AB4" s="48">
        <v>0</v>
      </c>
      <c r="AC4" s="48">
        <v>25.1</v>
      </c>
      <c r="AD4" s="48">
        <v>5.8</v>
      </c>
      <c r="AE4" s="48">
        <v>0</v>
      </c>
      <c r="AF4" s="48">
        <v>0</v>
      </c>
      <c r="AG4" s="48">
        <v>25.9</v>
      </c>
      <c r="AH4" s="48">
        <v>5.9</v>
      </c>
      <c r="AI4" s="48">
        <v>0</v>
      </c>
      <c r="AJ4" s="48">
        <v>1</v>
      </c>
      <c r="AK4" s="12">
        <f>IF(SUM(V4,Z4)&gt;0,SUM(V4,Z4),"")</f>
        <v>10.399999999999999</v>
      </c>
      <c r="AL4" s="12">
        <f>IF(SUM(AD4,AH4)&gt;0,SUM(AD4,AH4),"")</f>
        <v>11.7</v>
      </c>
      <c r="AM4" s="12">
        <f>IF(SUM(U4:V4,X4)-W4&gt;0,SUM(U4:V4,X4)-W4,"")</f>
        <v>28.299999999999997</v>
      </c>
      <c r="AN4" s="12">
        <f>IF(SUM(Y4:Z4,AB4)-AA4&gt;0,SUM(Y4:Z4,AB4)-AA4,"")</f>
        <v>31.6</v>
      </c>
      <c r="AO4" s="12">
        <f>IF(SUM(AM4:AN4)&gt;0,SUM(AM4:AN4),"")</f>
        <v>59.9</v>
      </c>
      <c r="AP4" s="12">
        <f>IF(SUM(AC4:AD4,AF4:AH4,AJ4)-SUM(AE4,AI4)&gt;0,SUM(AC4:AD4,AF4:AH4,AJ4)-SUM(AE4,AI4),"")</f>
        <v>63.699999999999996</v>
      </c>
      <c r="AQ4" s="12">
        <f>IF(SUM(AO4,AP4)&gt;0,SUM(AO4,AP4),"")</f>
        <v>123.6</v>
      </c>
      <c r="AR4" s="80">
        <v>26.1</v>
      </c>
      <c r="AS4" s="80">
        <v>5.8</v>
      </c>
      <c r="AT4" s="80">
        <v>0</v>
      </c>
      <c r="AU4" s="80">
        <v>0</v>
      </c>
      <c r="AV4" s="80">
        <v>25.8</v>
      </c>
      <c r="AW4" s="80">
        <v>4.3</v>
      </c>
      <c r="AX4" s="80">
        <v>0</v>
      </c>
      <c r="AY4" s="80">
        <v>1</v>
      </c>
      <c r="AZ4" s="80">
        <v>25.9</v>
      </c>
      <c r="BA4" s="80">
        <v>5.6</v>
      </c>
      <c r="BB4" s="80">
        <v>0</v>
      </c>
      <c r="BC4" s="80">
        <v>0</v>
      </c>
      <c r="BD4" s="80">
        <v>25.8</v>
      </c>
      <c r="BE4" s="80">
        <v>6.3</v>
      </c>
      <c r="BF4" s="80">
        <v>0</v>
      </c>
      <c r="BG4" s="80">
        <v>0</v>
      </c>
      <c r="BH4" s="15">
        <f>IF(SUM(AS4,AW4)&gt;0,SUM(AS4,AW4),"")</f>
        <v>10.1</v>
      </c>
      <c r="BI4" s="15">
        <f>IF(SUM(BA4,BE4)&gt;0,SUM(BA4,BE4),"")</f>
        <v>11.899999999999999</v>
      </c>
      <c r="BJ4" s="15">
        <f>IF(SUM(AR4:AS4,AU4)-AT4&gt;0,SUM(AR4:AS4,AU4)-AT4,"")</f>
        <v>31.900000000000002</v>
      </c>
      <c r="BK4" s="15">
        <f>IF(SUM(AV4:AW4,AY4)-AX4&gt;0,SUM(AV4:AW4,AY4)-AX4,"")</f>
        <v>31.1</v>
      </c>
      <c r="BL4" s="15">
        <f>IF(SUM(BJ4:BK4)&gt;0,SUM(BJ4:BK4),"")</f>
        <v>63</v>
      </c>
      <c r="BM4" s="15">
        <f>IF(SUM(AZ4:BA4,BC4:BE4,BG4)-SUM(BB4,BF4)&gt;0,SUM(AZ4:BA4,BC4:BE4,BG4)-SUM(BB4,BF4),"")</f>
        <v>63.599999999999994</v>
      </c>
      <c r="BN4" s="15">
        <f>IF(SUM(BL4,BM4)&gt;0,SUM(BL4,BM4),"")</f>
        <v>126.6</v>
      </c>
      <c r="BO4" s="45">
        <v>24.9</v>
      </c>
      <c r="BP4" s="45">
        <v>5.6</v>
      </c>
      <c r="BQ4" s="45">
        <v>0</v>
      </c>
      <c r="BR4" s="45">
        <v>0</v>
      </c>
      <c r="BS4" s="45">
        <v>26.8</v>
      </c>
      <c r="BT4" s="45">
        <v>7.3</v>
      </c>
      <c r="BU4" s="45">
        <v>0</v>
      </c>
      <c r="BV4" s="45">
        <v>1</v>
      </c>
      <c r="BW4" s="45">
        <v>27.1</v>
      </c>
      <c r="BX4" s="45">
        <v>5.8</v>
      </c>
      <c r="BY4" s="45">
        <v>0</v>
      </c>
      <c r="BZ4" s="45">
        <v>0</v>
      </c>
      <c r="CA4" s="45">
        <v>26.8</v>
      </c>
      <c r="CB4" s="45">
        <v>7.3</v>
      </c>
      <c r="CC4" s="45">
        <v>0</v>
      </c>
      <c r="CD4" s="45">
        <v>0</v>
      </c>
      <c r="CE4" s="12">
        <f>IF(SUM(BP4,BT4)&gt;0,SUM(BP4,BT4),"")</f>
        <v>12.899999999999999</v>
      </c>
      <c r="CF4" s="12">
        <f>IF(SUM(BX4,CB4)&gt;0,SUM(BX4,CB4),"")</f>
        <v>13.1</v>
      </c>
      <c r="CG4" s="12">
        <f>IF(SUM(BO4:BP4,BR4)-BQ4&gt;0,SUM(BO4:BP4,BR4)-BQ4,"")</f>
        <v>30.5</v>
      </c>
      <c r="CH4" s="12">
        <f>IF(SUM(BS4:BT4,BV4)-BU4&gt;0,SUM(BS4:BT4,BV4)-BU4,"")</f>
        <v>35.1</v>
      </c>
      <c r="CI4" s="12">
        <f>IF(SUM(CG4:CH4)&gt;0,SUM(CG4:CH4),"")</f>
        <v>65.599999999999994</v>
      </c>
      <c r="CJ4" s="12">
        <f>IF(SUM(BW4:BX4,BZ4:CB4,CD4)-SUM(BY4,CC4)&gt;0,SUM(BW4:BX4,BZ4:CB4,CD4)-SUM(BY4,CC4),"")</f>
        <v>67</v>
      </c>
      <c r="CK4" s="12">
        <f>IF(SUM(CI4,CJ4)&gt;0,SUM(CI4,CJ4),"")</f>
        <v>132.6</v>
      </c>
      <c r="CL4" s="28">
        <f>IF(MAX(DG4,ED4,FA4,FX4,GU4,HR4,IO4,JL4,KI4,LF4,MC4,MZ4)-L4&gt;0.001,MAX(DG4,ED4,FA4,FX4,GU4,HR4,IO4,JL4,KI4,LF4,MC4,MZ4)-L4,"")</f>
        <v>0.30000000000000071</v>
      </c>
      <c r="CM4" s="28" t="str">
        <f>IF(MAX(DH4,EE4,FB4,FY4,GV4,HS4,IP4,JM4,KJ4,LG4,MD4,NA4)-N4&gt;0.001,MAX(DH4,EE4,FB4,FY4,GV4,HS4,IP4,JM4,KJ4,LG4,MD4,NA4)-N4,"")</f>
        <v/>
      </c>
      <c r="CN4" s="28" t="str">
        <f>IF(MAX(DJ4,EG4,FD4,GA4,GX4,HU4,IR4,JO4,KL4,LI4,MF4,NC4)-P4&gt;0.001,MAX(DJ4,EG4,FD4,GA4,GX4,HU4,IR4,JO4,KL4,LI4,MF4,NC4)-P4,"")</f>
        <v/>
      </c>
      <c r="CO4" s="45">
        <v>26.6</v>
      </c>
      <c r="CP4" s="45">
        <v>5.9</v>
      </c>
      <c r="CQ4" s="45">
        <v>0.3</v>
      </c>
      <c r="CR4" s="45">
        <v>0</v>
      </c>
      <c r="CS4" s="45">
        <v>26.2</v>
      </c>
      <c r="CT4" s="45">
        <v>6.3</v>
      </c>
      <c r="CU4" s="45">
        <v>1.4</v>
      </c>
      <c r="CV4" s="45">
        <v>0</v>
      </c>
      <c r="CW4" s="45"/>
      <c r="CX4" s="45"/>
      <c r="CY4" s="45"/>
      <c r="CZ4" s="45"/>
      <c r="DA4" s="45"/>
      <c r="DB4" s="45"/>
      <c r="DC4" s="45"/>
      <c r="DD4" s="45"/>
      <c r="DE4" s="12">
        <f>IF(SUM(CP4,CT4)&gt;0,SUM(CP4,CT4),"")</f>
        <v>12.2</v>
      </c>
      <c r="DF4" s="12" t="str">
        <f>IF(SUM(CX4,DB4)&gt;0,SUM(CX4,DB4),"")</f>
        <v/>
      </c>
      <c r="DG4" s="12">
        <f>IF(SUM(CO4:CP4,CR4)-CQ4&gt;0,SUM(CO4:CP4,CR4)-CQ4,"")</f>
        <v>32.200000000000003</v>
      </c>
      <c r="DH4" s="12">
        <f>IF(SUM(CS4:CT4,CV4)-CU4&gt;0,SUM(CS4:CT4,CV4)-CU4,"")</f>
        <v>31.1</v>
      </c>
      <c r="DI4" s="12">
        <f>IF(SUM(DG4:DH4)&gt;0,SUM(DG4:DH4),"")</f>
        <v>63.300000000000004</v>
      </c>
      <c r="DJ4" s="12" t="str">
        <f>IF(SUM(CW4:CX4,CZ4:DB4,DD4)-SUM(CY4,DC4)&gt;0,SUM(CW4:CX4,CZ4:DB4,DD4)-SUM(CY4,DC4),"")</f>
        <v/>
      </c>
      <c r="DK4" s="12">
        <f>IF(SUM(DI4,DJ4)&gt;0,SUM(DI4,DJ4),"")</f>
        <v>63.300000000000004</v>
      </c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15" t="str">
        <f>IF(SUM(DM4,DQ4)&gt;0,SUM(DM4,DQ4),"")</f>
        <v/>
      </c>
      <c r="EC4" s="15" t="str">
        <f>IF(SUM(DU4,DY4)&gt;0,SUM(DU4,DY4),"")</f>
        <v/>
      </c>
      <c r="ED4" s="15" t="str">
        <f>IF(SUM(DL4:DM4,DO4)-DN4&gt;0,SUM(DL4:DM4,DO4)-DN4,"")</f>
        <v/>
      </c>
      <c r="EE4" s="15" t="str">
        <f>IF(SUM(DP4:DQ4,DS4)-DR4&gt;0,SUM(DP4:DQ4,DS4)-DR4,"")</f>
        <v/>
      </c>
      <c r="EF4" s="15" t="str">
        <f>IF(SUM(ED4:EE4)&gt;0,SUM(ED4:EE4),"")</f>
        <v/>
      </c>
      <c r="EG4" s="15" t="str">
        <f>IF(SUM(DT4:DU4,DW4:DY4,EA4)-SUM(DV4,DZ4)&gt;0,SUM(DT4:DU4,DW4:DY4,EA4)-SUM(DV4,DZ4),"")</f>
        <v/>
      </c>
      <c r="EH4" s="15" t="str">
        <f>IF(SUM(EF4,EG4)&gt;0,SUM(EF4,EG4),"")</f>
        <v/>
      </c>
      <c r="EI4" s="45"/>
      <c r="EJ4" s="45"/>
      <c r="EK4" s="45"/>
      <c r="EL4" s="45"/>
      <c r="EM4" s="45"/>
      <c r="EN4" s="45"/>
      <c r="EO4" s="45"/>
      <c r="EP4" s="45"/>
      <c r="EQ4" s="45"/>
      <c r="ER4" s="45"/>
      <c r="ES4" s="45"/>
      <c r="ET4" s="45"/>
      <c r="EU4" s="45"/>
      <c r="EV4" s="45"/>
      <c r="EW4" s="45"/>
      <c r="EX4" s="45"/>
      <c r="EY4" s="12" t="str">
        <f>IF(SUM(EJ4,EN4)&gt;0,SUM(EJ4,EN4),"")</f>
        <v/>
      </c>
      <c r="EZ4" s="12" t="str">
        <f>IF(SUM(ER4,EV4)&gt;0,SUM(ER4,EV4),"")</f>
        <v/>
      </c>
      <c r="FA4" s="12" t="str">
        <f>IF(SUM(EI4:EJ4,EL4)-EK4&gt;0,SUM(EI4:EJ4,EL4)-EK4,"")</f>
        <v/>
      </c>
      <c r="FB4" s="12" t="str">
        <f>IF(SUM(EM4:EN4,EP4)-EO4&gt;0,SUM(EM4:EN4,EP4)-EO4,"")</f>
        <v/>
      </c>
      <c r="FC4" s="12" t="str">
        <f>IF(SUM(FA4:FB4)&gt;0,SUM(FA4:FB4),"")</f>
        <v/>
      </c>
      <c r="FD4" s="12" t="str">
        <f>IF(SUM(EQ4:ER4,ET4:EV4,EX4)-SUM(ES4,EW4)&gt;0,SUM(EQ4:ER4,ET4:EV4,EX4)-SUM(ES4,EW4),"")</f>
        <v/>
      </c>
      <c r="FE4" s="12" t="str">
        <f>IF(SUM(FC4,FD4)&gt;0,SUM(FC4,FD4),"")</f>
        <v/>
      </c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15" t="str">
        <f>IF(SUM(FG4,FK4)&gt;0,SUM(FG4,FK4),"")</f>
        <v/>
      </c>
      <c r="FW4" s="15" t="str">
        <f>IF(SUM(FO4,FS4)&gt;0,SUM(FO4,FS4),"")</f>
        <v/>
      </c>
      <c r="FX4" s="15" t="str">
        <f>IF(SUM(FF4:FG4,FI4)-FH4&gt;0,SUM(FF4:FG4,FI4)-FH4,"")</f>
        <v/>
      </c>
      <c r="FY4" s="15" t="str">
        <f>IF(SUM(FJ4:FK4,FM4)-FL4&gt;0,SUM(FJ4:FK4,FM4)-FL4,"")</f>
        <v/>
      </c>
      <c r="FZ4" s="15" t="str">
        <f>IF(SUM(FX4:FY4)&gt;0,SUM(FX4:FY4),"")</f>
        <v/>
      </c>
      <c r="GA4" s="15" t="str">
        <f>IF(SUM(FN4:FO4,FQ4:FS4,FU4)-SUM(FP4,FT4)&gt;0,SUM(FN4:FO4,FQ4:FS4,FU4)-SUM(FP4,FT4),"")</f>
        <v/>
      </c>
      <c r="GB4" s="15" t="str">
        <f>IF(SUM(FZ4,GA4)&gt;0,SUM(FZ4,GA4),"")</f>
        <v/>
      </c>
      <c r="GC4" s="45"/>
      <c r="GD4" s="45"/>
      <c r="GE4" s="45"/>
      <c r="GF4" s="45"/>
      <c r="GG4" s="45"/>
      <c r="GH4" s="45"/>
      <c r="GI4" s="45"/>
      <c r="GJ4" s="45"/>
      <c r="GK4" s="45"/>
      <c r="GL4" s="45"/>
      <c r="GM4" s="45"/>
      <c r="GN4" s="45"/>
      <c r="GO4" s="45"/>
      <c r="GP4" s="45"/>
      <c r="GQ4" s="45"/>
      <c r="GR4" s="45"/>
      <c r="GS4" s="12" t="str">
        <f>IF(SUM(GD4,GH4)&gt;0,SUM(GD4,GH4),"")</f>
        <v/>
      </c>
      <c r="GT4" s="12" t="str">
        <f>IF(SUM(GL4,GP4)&gt;0,SUM(GL4,GP4),"")</f>
        <v/>
      </c>
      <c r="GU4" s="12" t="str">
        <f>IF(SUM(GC4:GD4,GF4)-GE4&gt;0,SUM(GC4:GD4,GF4)-GE4,"")</f>
        <v/>
      </c>
      <c r="GV4" s="12" t="str">
        <f>IF(SUM(GG4:GH4,GJ4)-GI4&gt;0,SUM(GG4:GH4,GJ4)-GI4,"")</f>
        <v/>
      </c>
      <c r="GW4" s="12" t="str">
        <f>IF(SUM(GU4:GV4)&gt;0,SUM(GU4:GV4),"")</f>
        <v/>
      </c>
      <c r="GX4" s="12" t="str">
        <f>IF(SUM(GK4:GL4,GN4:GP4,GR4)-SUM(GM4,GQ4)&gt;0,SUM(GK4:GL4,GN4:GP4,GR4)-SUM(GM4,GQ4),"")</f>
        <v/>
      </c>
      <c r="GY4" s="12" t="str">
        <f>IF(SUM(GW4,GX4)&gt;0,SUM(GW4,GX4),"")</f>
        <v/>
      </c>
      <c r="GZ4" s="46"/>
      <c r="HA4" s="46"/>
      <c r="HB4" s="46"/>
      <c r="HC4" s="46"/>
      <c r="HD4" s="46"/>
      <c r="HE4" s="46"/>
      <c r="HF4" s="46"/>
      <c r="HG4" s="46"/>
      <c r="HH4" s="46"/>
      <c r="HI4" s="46"/>
      <c r="HJ4" s="46"/>
      <c r="HK4" s="46"/>
      <c r="HL4" s="46"/>
      <c r="HM4" s="46"/>
      <c r="HN4" s="46"/>
      <c r="HO4" s="46"/>
      <c r="HP4" s="15" t="str">
        <f>IF(SUM(HA4,HE4)&gt;0,SUM(HA4,HE4),"")</f>
        <v/>
      </c>
      <c r="HQ4" s="15" t="str">
        <f>IF(SUM(HI4,HM4)&gt;0,SUM(HI4,HM4),"")</f>
        <v/>
      </c>
      <c r="HR4" s="15" t="str">
        <f>IF(SUM(GZ4:HA4,HC4)-HB4&gt;0,SUM(GZ4:HA4,HC4)-HB4,"")</f>
        <v/>
      </c>
      <c r="HS4" s="15" t="str">
        <f>IF(SUM(HD4:HE4,HG4)-HF4&gt;0,SUM(HD4:HE4,HG4)-HF4,"")</f>
        <v/>
      </c>
      <c r="HT4" s="15" t="str">
        <f>IF(SUM(HR4:HS4)&gt;0,SUM(HR4:HS4),"")</f>
        <v/>
      </c>
      <c r="HU4" s="15" t="str">
        <f>IF(SUM(HH4:HI4,HK4:HM4,HO4)-SUM(HJ4,HN4)&gt;0,SUM(HH4:HI4,HK4:HM4,HO4)-SUM(HJ4,HN4),"")</f>
        <v/>
      </c>
      <c r="HV4" s="15" t="str">
        <f>IF(SUM(HT4,HU4)&gt;0,SUM(HT4,HU4),"")</f>
        <v/>
      </c>
      <c r="HW4" s="45"/>
      <c r="HX4" s="45"/>
      <c r="HY4" s="45"/>
      <c r="HZ4" s="45"/>
      <c r="IA4" s="45"/>
      <c r="IB4" s="45"/>
      <c r="IC4" s="45"/>
      <c r="ID4" s="45"/>
      <c r="IE4" s="45"/>
      <c r="IF4" s="45"/>
      <c r="IG4" s="45"/>
      <c r="IH4" s="45"/>
      <c r="II4" s="45"/>
      <c r="IJ4" s="45"/>
      <c r="IK4" s="45"/>
      <c r="IL4" s="45"/>
      <c r="IM4" s="12" t="str">
        <f>IF(SUM(HX4,IB4)&gt;0,SUM(HX4,IB4),"")</f>
        <v/>
      </c>
      <c r="IN4" s="12" t="str">
        <f>IF(SUM(IF4,IJ4)&gt;0,SUM(IF4,IJ4),"")</f>
        <v/>
      </c>
      <c r="IO4" s="12" t="str">
        <f>IF(SUM(HW4:HX4,HZ4)-HY4&gt;0,SUM(HW4:HX4,HZ4)-HY4,"")</f>
        <v/>
      </c>
      <c r="IP4" s="12" t="str">
        <f>IF(SUM(IA4:IB4,ID4)-IC4&gt;0,SUM(IA4:IB4,ID4)-IC4,"")</f>
        <v/>
      </c>
      <c r="IQ4" s="12" t="str">
        <f>IF(SUM(IO4:IP4)&gt;0,SUM(IO4:IP4),"")</f>
        <v/>
      </c>
      <c r="IR4" s="12" t="str">
        <f>IF(SUM(IE4:IF4,IH4:IJ4,IL4)-SUM(IG4,IK4)&gt;0,SUM(IE4:IF4,IH4:IJ4,IL4)-SUM(IG4,IK4),"")</f>
        <v/>
      </c>
      <c r="IS4" s="12" t="str">
        <f>IF(SUM(IQ4,IR4)&gt;0,SUM(IQ4,IR4),"")</f>
        <v/>
      </c>
      <c r="IT4" s="46"/>
      <c r="IU4" s="46"/>
      <c r="IV4" s="46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15" t="str">
        <f>IF(SUM(IU4,IY4)&gt;0,SUM(IU4,IY4),"")</f>
        <v/>
      </c>
      <c r="JK4" s="15" t="str">
        <f>IF(SUM(JC4,JG4)&gt;0,SUM(JC4,JG4),"")</f>
        <v/>
      </c>
      <c r="JL4" s="15" t="str">
        <f>IF(SUM(IT4:IU4,IW4)-IV4&gt;0,SUM(IT4:IU4,IW4)-IV4,"")</f>
        <v/>
      </c>
      <c r="JM4" s="15" t="str">
        <f>IF(SUM(IX4:IY4,JA4)-IZ4&gt;0,SUM(IX4:IY4,JA4)-IZ4,"")</f>
        <v/>
      </c>
      <c r="JN4" s="15" t="str">
        <f>IF(SUM(JL4:JM4)&gt;0,SUM(JL4:JM4),"")</f>
        <v/>
      </c>
      <c r="JO4" s="15" t="str">
        <f>IF(SUM(JB4:JC4,JE4:JG4,JI4)-SUM(JD4,JH4)&gt;0,SUM(JB4:JC4,JE4:JG4,JI4)-SUM(JD4,JH4),"")</f>
        <v/>
      </c>
      <c r="JP4" s="15" t="str">
        <f>IF(SUM(JN4,JO4)&gt;0,SUM(JN4,JO4),"")</f>
        <v/>
      </c>
      <c r="JQ4" s="45"/>
      <c r="JR4" s="45"/>
      <c r="JS4" s="45"/>
      <c r="JT4" s="45"/>
      <c r="JU4" s="45"/>
      <c r="JV4" s="45"/>
      <c r="JW4" s="45"/>
      <c r="JX4" s="45"/>
      <c r="JY4" s="45"/>
      <c r="JZ4" s="45"/>
      <c r="KA4" s="45"/>
      <c r="KB4" s="45"/>
      <c r="KC4" s="45"/>
      <c r="KD4" s="45"/>
      <c r="KE4" s="45"/>
      <c r="KF4" s="45"/>
      <c r="KG4" s="12" t="str">
        <f>IF(SUM(JR4,JV4)&gt;0,SUM(JR4,JV4),"")</f>
        <v/>
      </c>
      <c r="KH4" s="12" t="str">
        <f>IF(SUM(JZ4,KD4)&gt;0,SUM(JZ4,KD4),"")</f>
        <v/>
      </c>
      <c r="KI4" s="12" t="str">
        <f>IF(SUM(JQ4:JR4,JT4)-JS4&gt;0,SUM(JQ4:JR4,JT4)-JS4,"")</f>
        <v/>
      </c>
      <c r="KJ4" s="12" t="str">
        <f>IF(SUM(JU4:JV4,JX4)-JW4&gt;0,SUM(JU4:JV4,JX4)-JW4,"")</f>
        <v/>
      </c>
      <c r="KK4" s="12" t="str">
        <f>IF(SUM(KI4:KJ4)&gt;0,SUM(KI4:KJ4),"")</f>
        <v/>
      </c>
      <c r="KL4" s="12" t="str">
        <f>IF(SUM(JY4:JZ4,KB4:KD4,KF4)-SUM(KA4,KE4)&gt;0,SUM(JY4:JZ4,KB4:KD4,KF4)-SUM(KA4,KE4),"")</f>
        <v/>
      </c>
      <c r="KM4" s="12" t="str">
        <f>IF(SUM(KK4,KL4)&gt;0,SUM(KK4,KL4),"")</f>
        <v/>
      </c>
      <c r="KN4" s="46"/>
      <c r="KO4" s="46"/>
      <c r="KP4" s="46"/>
      <c r="KQ4" s="46"/>
      <c r="KR4" s="46"/>
      <c r="KS4" s="46"/>
      <c r="KT4" s="46"/>
      <c r="KU4" s="46"/>
      <c r="KV4" s="46"/>
      <c r="KW4" s="46"/>
      <c r="KX4" s="46"/>
      <c r="KY4" s="46"/>
      <c r="KZ4" s="46"/>
      <c r="LA4" s="46"/>
      <c r="LB4" s="46"/>
      <c r="LC4" s="46"/>
      <c r="LD4" s="15" t="str">
        <f>IF(SUM(KO4,KS4)&gt;0,SUM(KO4,KS4),"")</f>
        <v/>
      </c>
      <c r="LE4" s="15" t="str">
        <f>IF(SUM(KW4,LA4)&gt;0,SUM(KW4,LA4),"")</f>
        <v/>
      </c>
      <c r="LF4" s="15" t="str">
        <f>IF(SUM(KN4:KO4,KQ4)-KP4&gt;0,SUM(KN4:KO4,KQ4)-KP4,"")</f>
        <v/>
      </c>
      <c r="LG4" s="15" t="str">
        <f>IF(SUM(KR4:KS4,KU4)-KT4&gt;0,SUM(KR4:KS4,KU4)-KT4,"")</f>
        <v/>
      </c>
      <c r="LH4" s="15" t="str">
        <f>IF(SUM(LF4:LG4)&gt;0,SUM(LF4:LG4),"")</f>
        <v/>
      </c>
      <c r="LI4" s="15" t="str">
        <f>IF(SUM(KV4:KW4,KY4:LA4,LC4)-SUM(KX4,LB4)&gt;0,SUM(KV4:KW4,KY4:LA4,LC4)-SUM(KX4,LB4),"")</f>
        <v/>
      </c>
      <c r="LJ4" s="15" t="str">
        <f>IF(SUM(LH4,LI4)&gt;0,SUM(LH4,LI4),"")</f>
        <v/>
      </c>
      <c r="LK4" s="45"/>
      <c r="LL4" s="45"/>
      <c r="LM4" s="45"/>
      <c r="LN4" s="45"/>
      <c r="LO4" s="45"/>
      <c r="LP4" s="45"/>
      <c r="LQ4" s="45"/>
      <c r="LR4" s="45"/>
      <c r="LS4" s="45"/>
      <c r="LT4" s="45"/>
      <c r="LU4" s="45"/>
      <c r="LV4" s="45"/>
      <c r="LW4" s="45"/>
      <c r="LX4" s="45"/>
      <c r="LY4" s="45"/>
      <c r="LZ4" s="45"/>
      <c r="MA4" s="12" t="str">
        <f>IF(SUM(LL4,LP4)&gt;0,SUM(LL4,LP4),"")</f>
        <v/>
      </c>
      <c r="MB4" s="12" t="str">
        <f>IF(SUM(LT4,LX4)&gt;0,SUM(LT4,LX4),"")</f>
        <v/>
      </c>
      <c r="MC4" s="12" t="str">
        <f>IF(SUM(LK4:LL4,LN4)-LM4&gt;0,SUM(LK4:LL4,LN4)-LM4,"")</f>
        <v/>
      </c>
      <c r="MD4" s="12" t="str">
        <f>IF(SUM(LO4:LP4,LR4)-LQ4&gt;0,SUM(LO4:LP4,LR4)-LQ4,"")</f>
        <v/>
      </c>
      <c r="ME4" s="12" t="str">
        <f>IF(SUM(MC4:MD4)&gt;0,SUM(MC4:MD4),"")</f>
        <v/>
      </c>
      <c r="MF4" s="12" t="str">
        <f>IF(SUM(LS4:LT4,LV4:LX4,LZ4)-SUM(LU4,LY4)&gt;0,SUM(LS4:LT4,LV4:LX4,LZ4)-SUM(LU4,LY4),"")</f>
        <v/>
      </c>
      <c r="MG4" s="12" t="str">
        <f>IF(SUM(ME4,MF4)&gt;0,SUM(ME4,MF4),"")</f>
        <v/>
      </c>
      <c r="MH4" s="46"/>
      <c r="MI4" s="46"/>
      <c r="MJ4" s="46"/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15" t="str">
        <f>IF(SUM(MI4,MM4)&gt;0,SUM(MI4,MM4),"")</f>
        <v/>
      </c>
      <c r="MY4" s="15" t="str">
        <f>IF(SUM(MQ4,MU4)&gt;0,SUM(MQ4,MU4),"")</f>
        <v/>
      </c>
      <c r="MZ4" s="15" t="str">
        <f>IF(SUM(MH4:MI4,MK4)-MJ4&gt;0,SUM(MH4:MI4,MK4)-MJ4,"")</f>
        <v/>
      </c>
      <c r="NA4" s="15" t="str">
        <f>IF(SUM(ML4:MM4,MO4)-MN4&gt;0,SUM(ML4:MM4,MO4)-MN4,"")</f>
        <v/>
      </c>
      <c r="NB4" s="15" t="str">
        <f>IF(SUM(MZ4:NA4)&gt;0,SUM(MZ4:NA4),"")</f>
        <v/>
      </c>
      <c r="NC4" s="15" t="str">
        <f>IF(SUM(MP4:MQ4,MS4:MU4,MW4)-SUM(MR4,MV4)&gt;0,SUM(MP4:MQ4,MS4:MU4,MW4)-SUM(MR4,MV4),"")</f>
        <v/>
      </c>
      <c r="ND4" s="15" t="str">
        <f>IF(SUM(NB4,NC4)&gt;0,SUM(NB4,NC4),"")</f>
        <v/>
      </c>
    </row>
    <row r="5" spans="1:368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7" t="s">
        <v>90</v>
      </c>
      <c r="C5" s="8" t="s">
        <v>6</v>
      </c>
      <c r="D5" s="6">
        <v>1997</v>
      </c>
      <c r="E5" s="16">
        <f>SUM(J5:R5)</f>
        <v>187.7</v>
      </c>
      <c r="F5" s="4" t="str">
        <f>IF(OR(AND($AK5&gt;=$AL$11,NOT($AK5="")),AND($BH5&gt;=$BI$11,NOT($BH5="")),AND($CE5&gt;=$CF$11,NOT($CE5=""))),"P","")</f>
        <v/>
      </c>
      <c r="G5" s="4" t="str">
        <f>IF(OR(AND($AK5&gt;=$AL$12,NOT($AK5="")),AND($BH5&gt;=$BI$12,NOT($BH5="")),AND($CE5&gt;=$CF$12,NOT($CE5=""))),"P","")</f>
        <v/>
      </c>
      <c r="H5" s="4" t="str">
        <f>IF(OR(AND($AO5&gt;=$AL$13,NOT($AO5="")),AND($BL5&gt;=$BI$13,NOT($BL5="")),AND($CI5&gt;=$CF$13,NOT($CI5=""))),"P","")</f>
        <v>P</v>
      </c>
      <c r="I5" t="str">
        <f>IF(AND(F5="P",OR(AND($AO5&gt;=$AL$16,NOT($AO5="")),AND($BL5&gt;=$BI$16,NOT($BL5="")),AND($CI5&gt;=$CF$16,NOT($CI5="")))),"Merit",IF(AND(F5="P",OR(AND($AO5&gt;=$AL$15,NOT($AO5="")),AND($BL5&gt;=$BI$15,NOT($BL5="")),AND($CI5&gt;=$CF$15,NOT($CI5="")))),"Funding",IF(AND(F5="P",OR(AND($AO5&gt;=$AL$14,NOT($AO5="")),AND($BL5&gt;=$BI$14,NOT($BL5="")),AND($CI5&gt;=$CF$14,NOT($CI5="")))),"Worlds Team",IF(AND(F5="P",OR(AND($AO5&gt;=$AL$13,NOT($AO5="")),AND($BL5&gt;=$BI$13,NOT($BL5="")),AND($CI5&gt;=$CF$13,NOT($CI5="")))),"National Team",""))))</f>
        <v/>
      </c>
      <c r="J5" s="15">
        <f>MAX(AO5,BL5,CI5)</f>
        <v>62.599999999999994</v>
      </c>
      <c r="K5" s="15" t="str">
        <f>IF(J5=CI5,$BO$1,IF(J5=BL5,$AR$1,IF(J5=AO5,$U$1,"")))</f>
        <v>2018 Canada Cup</v>
      </c>
      <c r="L5" s="15">
        <f>IF($J5=$AO5,MAX(BJ5,CG5),IF($J5=$BL5,MAX(AM5,CG5),MAX(AM5,BJ5)))</f>
        <v>30.5</v>
      </c>
      <c r="M5" s="15" t="str">
        <f>IF(L5=CG5,$BO$1,IF(L5=BJ5,$AR$1,IF(L5=AM5,$U$1,"")))</f>
        <v>2017 Nationals</v>
      </c>
      <c r="N5" s="15">
        <f>IF($J5=$AO5,MAX(BK5,CH5),IF($J5=$BL5,MAX(AN5,CH5),MAX(AN5,BK5)))</f>
        <v>32</v>
      </c>
      <c r="O5" s="15" t="str">
        <f>IF(N5=CH5,$BO$1,IF(N5=BK5,$AR$1,IF(N5=AN5,$U$1,"")))</f>
        <v>2017 Nationals</v>
      </c>
      <c r="P5" s="15">
        <f>MAX(AP5,BM5,CJ5)</f>
        <v>62.6</v>
      </c>
      <c r="Q5" s="15" t="str">
        <f>IF(P5=CJ5,$BO$1,IF(P5=BM5,$AR$1,IF(P5=AP5,$U$1,"")))</f>
        <v>2017 Nationals</v>
      </c>
      <c r="R5" s="15" t="str">
        <f>IF(MAX(CL5:CN5)&gt;0,MAX(CL5:CN5),"")</f>
        <v/>
      </c>
      <c r="S5" s="29" t="str">
        <f>IF(R5="","",IF(R5=CL5,"(Pass 1)",IF(R5=CM5,"(Pass 2)",IF(R5=CN5,"(Final)"))))</f>
        <v/>
      </c>
      <c r="T5" s="15" t="str">
        <f>IF(R5="","",IF(R5=CL5,IF(R5+L5=MZ5,$MH$1,IF(R5+L5=MC5,$LK$1,IF(R5+L5=LF5,$KN$1,IF(R5+L5=KI5,$JQ$1,IF(R5+L5=JL5,$IT$1,IF(R5+L5=IO5,$HW$1,IF(R5+L5=HR5,$GZ$1,IF(R5+L5=GU5,$GC$1,IF(R5+L5=FX5,$FF$1,IF(R5+L5=FA5,$EI$1,IF(R5+L5=ED5,$DL$1,IF(R5+L5=DG5,$CO$1)))))))))))),IF(R5=CM5,IF(R5+N5=NA5,$MH$1,IF(R5+N5=MD5,$LK$1,IF(R5+N5=LG5,$KN$1,IF(R5+N5=KJ5,$JQ$1,IF(R5+N5=JM5,$IT$1,IF(R5+N5=IP5,$HW$1,IF(R5+N5=HS5,$GZ$1,IF(R5+N5=GV5,$GC$1,IF(R5+N5=FY5,$FF$1,IF(R5+N5=FB5,$EI$1,IF(R5+N5=EE5,$DL$1,IF(R5+N5=DH5,$CO$1)))))))))))),IF(R5=CN5,IF(R5+P5=NC5,$MH$1,IF(R5+P5=MF5,$LK$1,IF(R5+P5=LI5,$KN$1,IF(R5+P5=KL5,$JQ$1,IF(R5+P5=JO5,$IT$1,IF(R5+P5=IR5,$HW$1,IF(R5+P5=HU5,$GZ$1,IF(R5+P5=GX5,$GC$1,IF(R5+P5=GA5,$FF$1,IF(R5+P5=FD5,$EI$1,IF(R5+P5=EG5,$DL$1,IF(R5+P5=DJ5,$CO$1))))))))))))))))</f>
        <v/>
      </c>
      <c r="U5" s="48">
        <v>24.5</v>
      </c>
      <c r="V5" s="48">
        <v>5.3</v>
      </c>
      <c r="W5" s="48">
        <v>0</v>
      </c>
      <c r="X5" s="48">
        <v>0</v>
      </c>
      <c r="Y5" s="48">
        <v>26.4</v>
      </c>
      <c r="Z5" s="48">
        <v>4</v>
      </c>
      <c r="AA5" s="48">
        <v>0</v>
      </c>
      <c r="AB5" s="48">
        <v>0</v>
      </c>
      <c r="AC5" s="48">
        <v>24.4</v>
      </c>
      <c r="AD5" s="48">
        <v>5.3</v>
      </c>
      <c r="AE5" s="48">
        <v>0.6</v>
      </c>
      <c r="AF5" s="48">
        <v>0</v>
      </c>
      <c r="AG5" s="48">
        <v>28.2</v>
      </c>
      <c r="AH5" s="48">
        <v>4</v>
      </c>
      <c r="AI5" s="48">
        <v>0</v>
      </c>
      <c r="AJ5" s="48">
        <v>0</v>
      </c>
      <c r="AK5" s="12">
        <f>IF(SUM(V5,Z5)&gt;0,SUM(V5,Z5),"")</f>
        <v>9.3000000000000007</v>
      </c>
      <c r="AL5" s="12">
        <f>IF(SUM(AD5,AH5)&gt;0,SUM(AD5,AH5),"")</f>
        <v>9.3000000000000007</v>
      </c>
      <c r="AM5" s="12">
        <f>IF(SUM(U5:V5,X5)-W5&gt;0,SUM(U5:V5,X5)-W5,"")</f>
        <v>29.8</v>
      </c>
      <c r="AN5" s="12">
        <f>IF(SUM(Y5:Z5,AB5)-AA5&gt;0,SUM(Y5:Z5,AB5)-AA5,"")</f>
        <v>30.4</v>
      </c>
      <c r="AO5" s="12">
        <f>IF(SUM(AM5:AN5)&gt;0,SUM(AM5:AN5),"")</f>
        <v>60.2</v>
      </c>
      <c r="AP5" s="12">
        <f>IF(SUM(AC5:AD5,AF5:AH5,AJ5)-SUM(AE5,AI5)&gt;0,SUM(AC5:AD5,AF5:AH5,AJ5)-SUM(AE5,AI5),"")</f>
        <v>61.3</v>
      </c>
      <c r="AQ5" s="12">
        <f>IF(SUM(AO5,AP5)&gt;0,SUM(AO5,AP5),"")</f>
        <v>121.5</v>
      </c>
      <c r="AR5" s="80">
        <v>25.4</v>
      </c>
      <c r="AS5" s="80">
        <v>5.0999999999999996</v>
      </c>
      <c r="AT5" s="80">
        <v>0</v>
      </c>
      <c r="AU5" s="80">
        <v>0</v>
      </c>
      <c r="AV5" s="80">
        <v>28</v>
      </c>
      <c r="AW5" s="80">
        <v>4</v>
      </c>
      <c r="AX5" s="80">
        <v>0</v>
      </c>
      <c r="AY5" s="80">
        <v>0</v>
      </c>
      <c r="AZ5" s="80">
        <v>25.5</v>
      </c>
      <c r="BA5" s="80">
        <v>5.5</v>
      </c>
      <c r="BB5" s="80">
        <v>0</v>
      </c>
      <c r="BC5" s="80">
        <v>0</v>
      </c>
      <c r="BD5" s="80">
        <v>27.6</v>
      </c>
      <c r="BE5" s="80">
        <v>4</v>
      </c>
      <c r="BF5" s="80">
        <v>0</v>
      </c>
      <c r="BG5" s="80">
        <v>0</v>
      </c>
      <c r="BH5" s="15">
        <f>IF(SUM(AS5,AW5)&gt;0,SUM(AS5,AW5),"")</f>
        <v>9.1</v>
      </c>
      <c r="BI5" s="15">
        <f>IF(SUM(BA5,BE5)&gt;0,SUM(BA5,BE5),"")</f>
        <v>9.5</v>
      </c>
      <c r="BJ5" s="15">
        <f>IF(SUM(AR5:AS5,AU5)-AT5&gt;0,SUM(AR5:AS5,AU5)-AT5,"")</f>
        <v>30.5</v>
      </c>
      <c r="BK5" s="15">
        <f>IF(SUM(AV5:AW5,AY5)-AX5&gt;0,SUM(AV5:AW5,AY5)-AX5,"")</f>
        <v>32</v>
      </c>
      <c r="BL5" s="15">
        <f>IF(SUM(BJ5:BK5)&gt;0,SUM(BJ5:BK5),"")</f>
        <v>62.5</v>
      </c>
      <c r="BM5" s="15">
        <f>IF(SUM(AZ5:BA5,BC5:BE5,BG5)-SUM(BB5,BF5)&gt;0,SUM(AZ5:BA5,BC5:BE5,BG5)-SUM(BB5,BF5),"")</f>
        <v>62.6</v>
      </c>
      <c r="BN5" s="15">
        <f>IF(SUM(BL5,BM5)&gt;0,SUM(BL5,BM5),"")</f>
        <v>125.1</v>
      </c>
      <c r="BO5" s="45">
        <v>25.4</v>
      </c>
      <c r="BP5" s="45">
        <v>5.5</v>
      </c>
      <c r="BQ5" s="45">
        <v>0</v>
      </c>
      <c r="BR5" s="45">
        <v>0</v>
      </c>
      <c r="BS5" s="45">
        <v>27.7</v>
      </c>
      <c r="BT5" s="45">
        <v>4</v>
      </c>
      <c r="BU5" s="45">
        <v>0</v>
      </c>
      <c r="BV5" s="45">
        <v>0</v>
      </c>
      <c r="BW5" s="45">
        <v>25.2</v>
      </c>
      <c r="BX5" s="45">
        <v>5.5</v>
      </c>
      <c r="BY5" s="45">
        <v>0</v>
      </c>
      <c r="BZ5" s="45">
        <v>0</v>
      </c>
      <c r="CA5" s="45">
        <v>27.2</v>
      </c>
      <c r="CB5" s="45">
        <v>4</v>
      </c>
      <c r="CC5" s="45">
        <v>0</v>
      </c>
      <c r="CD5" s="45">
        <v>0</v>
      </c>
      <c r="CE5" s="12">
        <f>IF(SUM(BP5,BT5)&gt;0,SUM(BP5,BT5),"")</f>
        <v>9.5</v>
      </c>
      <c r="CF5" s="12">
        <f>IF(SUM(BX5,CB5)&gt;0,SUM(BX5,CB5),"")</f>
        <v>9.5</v>
      </c>
      <c r="CG5" s="12">
        <f>IF(SUM(BO5:BP5,BR5)-BQ5&gt;0,SUM(BO5:BP5,BR5)-BQ5,"")</f>
        <v>30.9</v>
      </c>
      <c r="CH5" s="12">
        <f>IF(SUM(BS5:BT5,BV5)-BU5&gt;0,SUM(BS5:BT5,BV5)-BU5,"")</f>
        <v>31.7</v>
      </c>
      <c r="CI5" s="12">
        <f>IF(SUM(CG5:CH5)&gt;0,SUM(CG5:CH5),"")</f>
        <v>62.599999999999994</v>
      </c>
      <c r="CJ5" s="12">
        <f>IF(SUM(BW5:BX5,BZ5:CB5,CD5)-SUM(BY5,CC5)&gt;0,SUM(BW5:BX5,BZ5:CB5,CD5)-SUM(BY5,CC5),"")</f>
        <v>61.9</v>
      </c>
      <c r="CK5" s="12">
        <f>IF(SUM(CI5,CJ5)&gt;0,SUM(CI5,CJ5),"")</f>
        <v>124.5</v>
      </c>
      <c r="CL5" s="28" t="str">
        <f>IF(MAX(DG5,ED5,FA5,FX5,GU5,HR5,IO5,JL5,KI5,LF5,MC5,MZ5)-L5&gt;0.001,MAX(DG5,ED5,FA5,FX5,GU5,HR5,IO5,JL5,KI5,LF5,MC5,MZ5)-L5,"")</f>
        <v/>
      </c>
      <c r="CM5" s="28" t="str">
        <f>IF(MAX(DH5,EE5,FB5,FY5,GV5,HS5,IP5,JM5,KJ5,LG5,MD5,NA5)-N5&gt;0.001,MAX(DH5,EE5,FB5,FY5,GV5,HS5,IP5,JM5,KJ5,LG5,MD5,NA5)-N5,"")</f>
        <v/>
      </c>
      <c r="CN5" s="28" t="str">
        <f>IF(MAX(DJ5,EG5,FD5,GA5,GX5,HU5,IR5,JO5,KL5,LI5,MF5,NC5)-P5&gt;0.001,MAX(DJ5,EG5,FD5,GA5,GX5,HU5,IR5,JO5,KL5,LI5,MF5,NC5)-P5,"")</f>
        <v/>
      </c>
      <c r="CO5" s="45"/>
      <c r="CP5" s="45"/>
      <c r="CQ5" s="45"/>
      <c r="CR5" s="45"/>
      <c r="CS5" s="45"/>
      <c r="CT5" s="45"/>
      <c r="CU5" s="45"/>
      <c r="CV5" s="45"/>
      <c r="CW5" s="45"/>
      <c r="CX5" s="45"/>
      <c r="CY5" s="45"/>
      <c r="CZ5" s="45"/>
      <c r="DA5" s="45"/>
      <c r="DB5" s="45"/>
      <c r="DC5" s="45"/>
      <c r="DD5" s="45"/>
      <c r="DE5" s="12" t="str">
        <f>IF(SUM(CP5,CT5)&gt;0,SUM(CP5,CT5),"")</f>
        <v/>
      </c>
      <c r="DF5" s="12" t="str">
        <f>IF(SUM(CX5,DB5)&gt;0,SUM(CX5,DB5),"")</f>
        <v/>
      </c>
      <c r="DG5" s="12" t="str">
        <f>IF(SUM(CO5:CP5,CR5)-CQ5&gt;0,SUM(CO5:CP5,CR5)-CQ5,"")</f>
        <v/>
      </c>
      <c r="DH5" s="12" t="str">
        <f>IF(SUM(CS5:CT5,CV5)-CU5&gt;0,SUM(CS5:CT5,CV5)-CU5,"")</f>
        <v/>
      </c>
      <c r="DI5" s="12" t="str">
        <f>IF(SUM(DG5:DH5)&gt;0,SUM(DG5:DH5),"")</f>
        <v/>
      </c>
      <c r="DJ5" s="12" t="str">
        <f>IF(SUM(CW5:CX5,CZ5:DB5,DD5)-SUM(CY5,DC5)&gt;0,SUM(CW5:CX5,CZ5:DB5,DD5)-SUM(CY5,DC5),"")</f>
        <v/>
      </c>
      <c r="DK5" s="12" t="str">
        <f>IF(SUM(DI5,DJ5)&gt;0,SUM(DI5,DJ5),"")</f>
        <v/>
      </c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15" t="str">
        <f>IF(SUM(DM5,DQ5)&gt;0,SUM(DM5,DQ5),"")</f>
        <v/>
      </c>
      <c r="EC5" s="15" t="str">
        <f>IF(SUM(DU5,DY5)&gt;0,SUM(DU5,DY5),"")</f>
        <v/>
      </c>
      <c r="ED5" s="15" t="str">
        <f>IF(SUM(DL5:DM5,DO5)-DN5&gt;0,SUM(DL5:DM5,DO5)-DN5,"")</f>
        <v/>
      </c>
      <c r="EE5" s="15" t="str">
        <f>IF(SUM(DP5:DQ5,DS5)-DR5&gt;0,SUM(DP5:DQ5,DS5)-DR5,"")</f>
        <v/>
      </c>
      <c r="EF5" s="15" t="str">
        <f>IF(SUM(ED5:EE5)&gt;0,SUM(ED5:EE5),"")</f>
        <v/>
      </c>
      <c r="EG5" s="15" t="str">
        <f>IF(SUM(DT5:DU5,DW5:DY5,EA5)-SUM(DV5,DZ5)&gt;0,SUM(DT5:DU5,DW5:DY5,EA5)-SUM(DV5,DZ5),"")</f>
        <v/>
      </c>
      <c r="EH5" s="15" t="str">
        <f>IF(SUM(EF5,EG5)&gt;0,SUM(EF5,EG5),"")</f>
        <v/>
      </c>
      <c r="EI5" s="45"/>
      <c r="EJ5" s="45"/>
      <c r="EK5" s="45"/>
      <c r="EL5" s="45"/>
      <c r="EM5" s="45"/>
      <c r="EN5" s="45"/>
      <c r="EO5" s="45"/>
      <c r="EP5" s="45"/>
      <c r="EQ5" s="45"/>
      <c r="ER5" s="45"/>
      <c r="ES5" s="45"/>
      <c r="ET5" s="45"/>
      <c r="EU5" s="45"/>
      <c r="EV5" s="45"/>
      <c r="EW5" s="45"/>
      <c r="EX5" s="45"/>
      <c r="EY5" s="12" t="str">
        <f>IF(SUM(EJ5,EN5)&gt;0,SUM(EJ5,EN5),"")</f>
        <v/>
      </c>
      <c r="EZ5" s="12" t="str">
        <f>IF(SUM(ER5,EV5)&gt;0,SUM(ER5,EV5),"")</f>
        <v/>
      </c>
      <c r="FA5" s="12" t="str">
        <f>IF(SUM(EI5:EJ5,EL5)-EK5&gt;0,SUM(EI5:EJ5,EL5)-EK5,"")</f>
        <v/>
      </c>
      <c r="FB5" s="12" t="str">
        <f>IF(SUM(EM5:EN5,EP5)-EO5&gt;0,SUM(EM5:EN5,EP5)-EO5,"")</f>
        <v/>
      </c>
      <c r="FC5" s="12" t="str">
        <f>IF(SUM(FA5:FB5)&gt;0,SUM(FA5:FB5),"")</f>
        <v/>
      </c>
      <c r="FD5" s="12" t="str">
        <f>IF(SUM(EQ5:ER5,ET5:EV5,EX5)-SUM(ES5,EW5)&gt;0,SUM(EQ5:ER5,ET5:EV5,EX5)-SUM(ES5,EW5),"")</f>
        <v/>
      </c>
      <c r="FE5" s="12" t="str">
        <f>IF(SUM(FC5,FD5)&gt;0,SUM(FC5,FD5),"")</f>
        <v/>
      </c>
      <c r="FF5" s="46"/>
      <c r="FG5" s="46"/>
      <c r="FH5" s="46"/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15" t="str">
        <f>IF(SUM(FG5,FK5)&gt;0,SUM(FG5,FK5),"")</f>
        <v/>
      </c>
      <c r="FW5" s="15" t="str">
        <f>IF(SUM(FO5,FS5)&gt;0,SUM(FO5,FS5),"")</f>
        <v/>
      </c>
      <c r="FX5" s="15" t="str">
        <f>IF(SUM(FF5:FG5,FI5)-FH5&gt;0,SUM(FF5:FG5,FI5)-FH5,"")</f>
        <v/>
      </c>
      <c r="FY5" s="15" t="str">
        <f>IF(SUM(FJ5:FK5,FM5)-FL5&gt;0,SUM(FJ5:FK5,FM5)-FL5,"")</f>
        <v/>
      </c>
      <c r="FZ5" s="15" t="str">
        <f>IF(SUM(FX5:FY5)&gt;0,SUM(FX5:FY5),"")</f>
        <v/>
      </c>
      <c r="GA5" s="15" t="str">
        <f>IF(SUM(FN5:FO5,FQ5:FS5,FU5)-SUM(FP5,FT5)&gt;0,SUM(FN5:FO5,FQ5:FS5,FU5)-SUM(FP5,FT5),"")</f>
        <v/>
      </c>
      <c r="GB5" s="15" t="str">
        <f>IF(SUM(FZ5,GA5)&gt;0,SUM(FZ5,GA5),"")</f>
        <v/>
      </c>
      <c r="GC5" s="45"/>
      <c r="GD5" s="45"/>
      <c r="GE5" s="45"/>
      <c r="GF5" s="45"/>
      <c r="GG5" s="45"/>
      <c r="GH5" s="45"/>
      <c r="GI5" s="45"/>
      <c r="GJ5" s="45"/>
      <c r="GK5" s="45"/>
      <c r="GL5" s="45"/>
      <c r="GM5" s="45"/>
      <c r="GN5" s="45"/>
      <c r="GO5" s="45"/>
      <c r="GP5" s="45"/>
      <c r="GQ5" s="45"/>
      <c r="GR5" s="45"/>
      <c r="GS5" s="12" t="str">
        <f>IF(SUM(GD5,GH5)&gt;0,SUM(GD5,GH5),"")</f>
        <v/>
      </c>
      <c r="GT5" s="12" t="str">
        <f>IF(SUM(GL5,GP5)&gt;0,SUM(GL5,GP5),"")</f>
        <v/>
      </c>
      <c r="GU5" s="12" t="str">
        <f>IF(SUM(GC5:GD5,GF5)-GE5&gt;0,SUM(GC5:GD5,GF5)-GE5,"")</f>
        <v/>
      </c>
      <c r="GV5" s="12" t="str">
        <f>IF(SUM(GG5:GH5,GJ5)-GI5&gt;0,SUM(GG5:GH5,GJ5)-GI5,"")</f>
        <v/>
      </c>
      <c r="GW5" s="12" t="str">
        <f>IF(SUM(GU5:GV5)&gt;0,SUM(GU5:GV5),"")</f>
        <v/>
      </c>
      <c r="GX5" s="12" t="str">
        <f>IF(SUM(GK5:GL5,GN5:GP5,GR5)-SUM(GM5,GQ5)&gt;0,SUM(GK5:GL5,GN5:GP5,GR5)-SUM(GM5,GQ5),"")</f>
        <v/>
      </c>
      <c r="GY5" s="12" t="str">
        <f>IF(SUM(GW5,GX5)&gt;0,SUM(GW5,GX5),"")</f>
        <v/>
      </c>
      <c r="GZ5" s="46"/>
      <c r="HA5" s="46"/>
      <c r="HB5" s="46"/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15" t="str">
        <f>IF(SUM(HA5,HE5)&gt;0,SUM(HA5,HE5),"")</f>
        <v/>
      </c>
      <c r="HQ5" s="15" t="str">
        <f>IF(SUM(HI5,HM5)&gt;0,SUM(HI5,HM5),"")</f>
        <v/>
      </c>
      <c r="HR5" s="15" t="str">
        <f>IF(SUM(GZ5:HA5,HC5)-HB5&gt;0,SUM(GZ5:HA5,HC5)-HB5,"")</f>
        <v/>
      </c>
      <c r="HS5" s="15" t="str">
        <f>IF(SUM(HD5:HE5,HG5)-HF5&gt;0,SUM(HD5:HE5,HG5)-HF5,"")</f>
        <v/>
      </c>
      <c r="HT5" s="15" t="str">
        <f>IF(SUM(HR5:HS5)&gt;0,SUM(HR5:HS5),"")</f>
        <v/>
      </c>
      <c r="HU5" s="15" t="str">
        <f>IF(SUM(HH5:HI5,HK5:HM5,HO5)-SUM(HJ5,HN5)&gt;0,SUM(HH5:HI5,HK5:HM5,HO5)-SUM(HJ5,HN5),"")</f>
        <v/>
      </c>
      <c r="HV5" s="15" t="str">
        <f>IF(SUM(HT5,HU5)&gt;0,SUM(HT5,HU5),"")</f>
        <v/>
      </c>
      <c r="HW5" s="45"/>
      <c r="HX5" s="45"/>
      <c r="HY5" s="45"/>
      <c r="HZ5" s="45"/>
      <c r="IA5" s="45"/>
      <c r="IB5" s="45"/>
      <c r="IC5" s="45"/>
      <c r="ID5" s="45"/>
      <c r="IE5" s="45"/>
      <c r="IF5" s="45"/>
      <c r="IG5" s="45"/>
      <c r="IH5" s="45"/>
      <c r="II5" s="45"/>
      <c r="IJ5" s="45"/>
      <c r="IK5" s="45"/>
      <c r="IL5" s="45"/>
      <c r="IM5" s="12" t="str">
        <f>IF(SUM(HX5,IB5)&gt;0,SUM(HX5,IB5),"")</f>
        <v/>
      </c>
      <c r="IN5" s="12" t="str">
        <f>IF(SUM(IF5,IJ5)&gt;0,SUM(IF5,IJ5),"")</f>
        <v/>
      </c>
      <c r="IO5" s="12" t="str">
        <f>IF(SUM(HW5:HX5,HZ5)-HY5&gt;0,SUM(HW5:HX5,HZ5)-HY5,"")</f>
        <v/>
      </c>
      <c r="IP5" s="12" t="str">
        <f>IF(SUM(IA5:IB5,ID5)-IC5&gt;0,SUM(IA5:IB5,ID5)-IC5,"")</f>
        <v/>
      </c>
      <c r="IQ5" s="12" t="str">
        <f>IF(SUM(IO5:IP5)&gt;0,SUM(IO5:IP5),"")</f>
        <v/>
      </c>
      <c r="IR5" s="12" t="str">
        <f>IF(SUM(IE5:IF5,IH5:IJ5,IL5)-SUM(IG5,IK5)&gt;0,SUM(IE5:IF5,IH5:IJ5,IL5)-SUM(IG5,IK5),"")</f>
        <v/>
      </c>
      <c r="IS5" s="12" t="str">
        <f>IF(SUM(IQ5,IR5)&gt;0,SUM(IQ5,IR5),"")</f>
        <v/>
      </c>
      <c r="IT5" s="46"/>
      <c r="IU5" s="46"/>
      <c r="IV5" s="46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15" t="str">
        <f>IF(SUM(IU5,IY5)&gt;0,SUM(IU5,IY5),"")</f>
        <v/>
      </c>
      <c r="JK5" s="15" t="str">
        <f>IF(SUM(JC5,JG5)&gt;0,SUM(JC5,JG5),"")</f>
        <v/>
      </c>
      <c r="JL5" s="15" t="str">
        <f>IF(SUM(IT5:IU5,IW5)-IV5&gt;0,SUM(IT5:IU5,IW5)-IV5,"")</f>
        <v/>
      </c>
      <c r="JM5" s="15" t="str">
        <f>IF(SUM(IX5:IY5,JA5)-IZ5&gt;0,SUM(IX5:IY5,JA5)-IZ5,"")</f>
        <v/>
      </c>
      <c r="JN5" s="15" t="str">
        <f>IF(SUM(JL5:JM5)&gt;0,SUM(JL5:JM5),"")</f>
        <v/>
      </c>
      <c r="JO5" s="15" t="str">
        <f>IF(SUM(JB5:JC5,JE5:JG5,JI5)-SUM(JD5,JH5)&gt;0,SUM(JB5:JC5,JE5:JG5,JI5)-SUM(JD5,JH5),"")</f>
        <v/>
      </c>
      <c r="JP5" s="15" t="str">
        <f>IF(SUM(JN5,JO5)&gt;0,SUM(JN5,JO5),"")</f>
        <v/>
      </c>
      <c r="JQ5" s="45"/>
      <c r="JR5" s="45"/>
      <c r="JS5" s="45"/>
      <c r="JT5" s="45"/>
      <c r="JU5" s="45"/>
      <c r="JV5" s="45"/>
      <c r="JW5" s="45"/>
      <c r="JX5" s="45"/>
      <c r="JY5" s="45"/>
      <c r="JZ5" s="45"/>
      <c r="KA5" s="45"/>
      <c r="KB5" s="45"/>
      <c r="KC5" s="45"/>
      <c r="KD5" s="45"/>
      <c r="KE5" s="45"/>
      <c r="KF5" s="45"/>
      <c r="KG5" s="12" t="str">
        <f>IF(SUM(JR5,JV5)&gt;0,SUM(JR5,JV5),"")</f>
        <v/>
      </c>
      <c r="KH5" s="12" t="str">
        <f>IF(SUM(JZ5,KD5)&gt;0,SUM(JZ5,KD5),"")</f>
        <v/>
      </c>
      <c r="KI5" s="12" t="str">
        <f>IF(SUM(JQ5:JR5,JT5)-JS5&gt;0,SUM(JQ5:JR5,JT5)-JS5,"")</f>
        <v/>
      </c>
      <c r="KJ5" s="12" t="str">
        <f>IF(SUM(JU5:JV5,JX5)-JW5&gt;0,SUM(JU5:JV5,JX5)-JW5,"")</f>
        <v/>
      </c>
      <c r="KK5" s="12" t="str">
        <f>IF(SUM(KI5:KJ5)&gt;0,SUM(KI5:KJ5),"")</f>
        <v/>
      </c>
      <c r="KL5" s="12" t="str">
        <f>IF(SUM(JY5:JZ5,KB5:KD5,KF5)-SUM(KA5,KE5)&gt;0,SUM(JY5:JZ5,KB5:KD5,KF5)-SUM(KA5,KE5),"")</f>
        <v/>
      </c>
      <c r="KM5" s="12" t="str">
        <f>IF(SUM(KK5,KL5)&gt;0,SUM(KK5,KL5),"")</f>
        <v/>
      </c>
      <c r="KN5" s="46"/>
      <c r="KO5" s="46"/>
      <c r="KP5" s="46"/>
      <c r="KQ5" s="46"/>
      <c r="KR5" s="46"/>
      <c r="KS5" s="46"/>
      <c r="KT5" s="46"/>
      <c r="KU5" s="46"/>
      <c r="KV5" s="46"/>
      <c r="KW5" s="46"/>
      <c r="KX5" s="46"/>
      <c r="KY5" s="46"/>
      <c r="KZ5" s="46"/>
      <c r="LA5" s="46"/>
      <c r="LB5" s="46"/>
      <c r="LC5" s="46"/>
      <c r="LD5" s="15" t="str">
        <f>IF(SUM(KO5,KS5)&gt;0,SUM(KO5,KS5),"")</f>
        <v/>
      </c>
      <c r="LE5" s="15" t="str">
        <f>IF(SUM(KW5,LA5)&gt;0,SUM(KW5,LA5),"")</f>
        <v/>
      </c>
      <c r="LF5" s="15" t="str">
        <f>IF(SUM(KN5:KO5,KQ5)-KP5&gt;0,SUM(KN5:KO5,KQ5)-KP5,"")</f>
        <v/>
      </c>
      <c r="LG5" s="15" t="str">
        <f>IF(SUM(KR5:KS5,KU5)-KT5&gt;0,SUM(KR5:KS5,KU5)-KT5,"")</f>
        <v/>
      </c>
      <c r="LH5" s="15" t="str">
        <f>IF(SUM(LF5:LG5)&gt;0,SUM(LF5:LG5),"")</f>
        <v/>
      </c>
      <c r="LI5" s="15" t="str">
        <f>IF(SUM(KV5:KW5,KY5:LA5,LC5)-SUM(KX5,LB5)&gt;0,SUM(KV5:KW5,KY5:LA5,LC5)-SUM(KX5,LB5),"")</f>
        <v/>
      </c>
      <c r="LJ5" s="15" t="str">
        <f>IF(SUM(LH5,LI5)&gt;0,SUM(LH5,LI5),"")</f>
        <v/>
      </c>
      <c r="LK5" s="45"/>
      <c r="LL5" s="45"/>
      <c r="LM5" s="45"/>
      <c r="LN5" s="45"/>
      <c r="LO5" s="45"/>
      <c r="LP5" s="45"/>
      <c r="LQ5" s="45"/>
      <c r="LR5" s="45"/>
      <c r="LS5" s="45"/>
      <c r="LT5" s="45"/>
      <c r="LU5" s="45"/>
      <c r="LV5" s="45"/>
      <c r="LW5" s="45"/>
      <c r="LX5" s="45"/>
      <c r="LY5" s="45"/>
      <c r="LZ5" s="45"/>
      <c r="MA5" s="12" t="str">
        <f>IF(SUM(LL5,LP5)&gt;0,SUM(LL5,LP5),"")</f>
        <v/>
      </c>
      <c r="MB5" s="12" t="str">
        <f>IF(SUM(LT5,LX5)&gt;0,SUM(LT5,LX5),"")</f>
        <v/>
      </c>
      <c r="MC5" s="12" t="str">
        <f>IF(SUM(LK5:LL5,LN5)-LM5&gt;0,SUM(LK5:LL5,LN5)-LM5,"")</f>
        <v/>
      </c>
      <c r="MD5" s="12" t="str">
        <f>IF(SUM(LO5:LP5,LR5)-LQ5&gt;0,SUM(LO5:LP5,LR5)-LQ5,"")</f>
        <v/>
      </c>
      <c r="ME5" s="12" t="str">
        <f>IF(SUM(MC5:MD5)&gt;0,SUM(MC5:MD5),"")</f>
        <v/>
      </c>
      <c r="MF5" s="12" t="str">
        <f>IF(SUM(LS5:LT5,LV5:LX5,LZ5)-SUM(LU5,LY5)&gt;0,SUM(LS5:LT5,LV5:LX5,LZ5)-SUM(LU5,LY5),"")</f>
        <v/>
      </c>
      <c r="MG5" s="12" t="str">
        <f>IF(SUM(ME5,MF5)&gt;0,SUM(ME5,MF5),"")</f>
        <v/>
      </c>
      <c r="MH5" s="46"/>
      <c r="MI5" s="46"/>
      <c r="MJ5" s="46"/>
      <c r="MK5" s="46"/>
      <c r="ML5" s="46"/>
      <c r="MM5" s="46"/>
      <c r="MN5" s="46"/>
      <c r="MO5" s="46"/>
      <c r="MP5" s="46"/>
      <c r="MQ5" s="46"/>
      <c r="MR5" s="46"/>
      <c r="MS5" s="46"/>
      <c r="MT5" s="46"/>
      <c r="MU5" s="46"/>
      <c r="MV5" s="46"/>
      <c r="MW5" s="46"/>
      <c r="MX5" s="15" t="str">
        <f>IF(SUM(MI5,MM5)&gt;0,SUM(MI5,MM5),"")</f>
        <v/>
      </c>
      <c r="MY5" s="15" t="str">
        <f>IF(SUM(MQ5,MU5)&gt;0,SUM(MQ5,MU5),"")</f>
        <v/>
      </c>
      <c r="MZ5" s="15" t="str">
        <f>IF(SUM(MH5:MI5,MK5)-MJ5&gt;0,SUM(MH5:MI5,MK5)-MJ5,"")</f>
        <v/>
      </c>
      <c r="NA5" s="15" t="str">
        <f>IF(SUM(ML5:MM5,MO5)-MN5&gt;0,SUM(ML5:MM5,MO5)-MN5,"")</f>
        <v/>
      </c>
      <c r="NB5" s="15" t="str">
        <f>IF(SUM(MZ5:NA5)&gt;0,SUM(MZ5:NA5),"")</f>
        <v/>
      </c>
      <c r="NC5" s="15" t="str">
        <f>IF(SUM(MP5:MQ5,MS5:MU5,MW5)-SUM(MR5,MV5)&gt;0,SUM(MP5:MQ5,MS5:MU5,MW5)-SUM(MR5,MV5),"")</f>
        <v/>
      </c>
      <c r="ND5" s="15" t="str">
        <f>IF(SUM(NB5,NC5)&gt;0,SUM(NB5,NC5),"")</f>
        <v/>
      </c>
    </row>
    <row r="6" spans="1:368">
      <c r="A6" s="6" t="str">
        <f>IF(AND(F6="P",H6="P"),SUMPRODUCT((F$4:F$8="P")*(H$4:H$8="P")*(E$4:E$8&gt;E6))+1,IF(H6="P",SUMPRODUCT((F$4:F$8="")*(H$4:H$8="P")*(E$4:E$8&gt;E6))+1+SUMPRODUCT((F$4:F$8="P")*(H$4:H$8="P")),""))</f>
        <v/>
      </c>
      <c r="B6" s="9" t="s">
        <v>118</v>
      </c>
      <c r="C6" s="5" t="s">
        <v>6</v>
      </c>
      <c r="D6" s="31">
        <v>1999</v>
      </c>
      <c r="E6" s="16">
        <f>SUM(J6:R6)</f>
        <v>180.1</v>
      </c>
      <c r="F6" s="4" t="str">
        <f>IF(OR(AND($AK6&gt;=$AL$11,NOT($AK6="")),AND($BH6&gt;=$BI$11,NOT($BH6="")),AND($CE6&gt;=$CF$11,NOT($CE6=""))),"P","")</f>
        <v/>
      </c>
      <c r="G6" s="4" t="str">
        <f>IF(OR(AND($AK6&gt;=$AL$12,NOT($AK6="")),AND($BH6&gt;=$BI$12,NOT($BH6="")),AND($CE6&gt;=$CF$12,NOT($CE6=""))),"P","")</f>
        <v/>
      </c>
      <c r="H6" s="4" t="str">
        <f>IF(OR(AND($AO6&gt;=$AL$13,NOT($AO6="")),AND($BL6&gt;=$BI$13,NOT($BL6="")),AND($CI6&gt;=$CF$13,NOT($CI6=""))),"P","")</f>
        <v/>
      </c>
      <c r="I6" t="str">
        <f>IF(AND(F6="P",OR(AND($AO6&gt;=$AL$16,NOT($AO6="")),AND($BL6&gt;=$BI$16,NOT($BL6="")),AND($CI6&gt;=$CF$16,NOT($CI6="")))),"Merit",IF(AND(F6="P",OR(AND($AO6&gt;=$AL$15,NOT($AO6="")),AND($BL6&gt;=$BI$15,NOT($BL6="")),AND($CI6&gt;=$CF$15,NOT($CI6="")))),"Funding",IF(AND(F6="P",OR(AND($AO6&gt;=$AL$14,NOT($AO6="")),AND($BL6&gt;=$BI$14,NOT($BL6="")),AND($CI6&gt;=$CF$14,NOT($CI6="")))),"Worlds Team",IF(AND(F6="P",OR(AND($AO6&gt;=$AL$13,NOT($AO6="")),AND($BL6&gt;=$BI$13,NOT($BL6="")),AND($CI6&gt;=$CF$13,NOT($CI6="")))),"National Team",""))))</f>
        <v/>
      </c>
      <c r="J6" s="15">
        <f>MAX(AO6,BL6,CI6)</f>
        <v>59.599999999999994</v>
      </c>
      <c r="K6" s="15" t="str">
        <f>IF(J6=CI6,$BO$1,IF(J6=BL6,$AR$1,IF(J6=AO6,$U$1,"")))</f>
        <v>2017 Canada Cup</v>
      </c>
      <c r="L6" s="15">
        <f>IF($J6=$AO6,MAX(BJ6,CG6),IF($J6=$BL6,MAX(AM6,CG6),MAX(AM6,BJ6)))</f>
        <v>30.200000000000003</v>
      </c>
      <c r="M6" s="15" t="str">
        <f>IF(L6=CG6,$BO$1,IF(L6=BJ6,$AR$1,IF(L6=AM6,$U$1,"")))</f>
        <v>2017 Nationals</v>
      </c>
      <c r="N6" s="15">
        <f>IF($J6=$AO6,MAX(BK6,CH6),IF($J6=$BL6,MAX(AN6,CH6),MAX(AN6,BK6)))</f>
        <v>28.799999999999997</v>
      </c>
      <c r="O6" s="15" t="str">
        <f>IF(N6=CH6,$BO$1,IF(N6=BK6,$AR$1,IF(N6=AN6,$U$1,"")))</f>
        <v>2017 Nationals</v>
      </c>
      <c r="P6" s="15">
        <f>MAX(AP6,BM6,CJ6)</f>
        <v>61.500000000000007</v>
      </c>
      <c r="Q6" s="15" t="str">
        <f>IF(P6=CJ6,$BO$1,IF(P6=BM6,$AR$1,IF(P6=AP6,$U$1,"")))</f>
        <v>2017 Nationals</v>
      </c>
      <c r="R6" s="15" t="str">
        <f>IF(MAX(CL6:CN6)&gt;0,MAX(CL6:CN6),"")</f>
        <v/>
      </c>
      <c r="S6" s="29" t="str">
        <f>IF(R6="","",IF(R6=CL6,"(Pass 1)",IF(R6=CM6,"(Pass 2)",IF(R6=CN6,"(Final)"))))</f>
        <v/>
      </c>
      <c r="T6" s="15" t="str">
        <f>IF(R6="","",IF(R6=CL6,IF(R6+L6=MZ6,$MH$1,IF(R6+L6=MC6,$LK$1,IF(R6+L6=LF6,$KN$1,IF(R6+L6=KI6,$JQ$1,IF(R6+L6=JL6,$IT$1,IF(R6+L6=IO6,$HW$1,IF(R6+L6=HR6,$GZ$1,IF(R6+L6=GU6,$GC$1,IF(R6+L6=FX6,$FF$1,IF(R6+L6=FA6,$EI$1,IF(R6+L6=ED6,$DL$1,IF(R6+L6=DG6,$CO$1)))))))))))),IF(R6=CM6,IF(R6+N6=NA6,$MH$1,IF(R6+N6=MD6,$LK$1,IF(R6+N6=LG6,$KN$1,IF(R6+N6=KJ6,$JQ$1,IF(R6+N6=JM6,$IT$1,IF(R6+N6=IP6,$HW$1,IF(R6+N6=HS6,$GZ$1,IF(R6+N6=GV6,$GC$1,IF(R6+N6=FY6,$FF$1,IF(R6+N6=FB6,$EI$1,IF(R6+N6=EE6,$DL$1,IF(R6+N6=DH6,$CO$1)))))))))))),IF(R6=CN6,IF(R6+P6=NC6,$MH$1,IF(R6+P6=MF6,$LK$1,IF(R6+P6=LI6,$KN$1,IF(R6+P6=KL6,$JQ$1,IF(R6+P6=JO6,$IT$1,IF(R6+P6=IR6,$HW$1,IF(R6+P6=HU6,$GZ$1,IF(R6+P6=GX6,$GC$1,IF(R6+P6=GA6,$FF$1,IF(R6+P6=FD6,$EI$1,IF(R6+P6=EG6,$DL$1,IF(R6+P6=DJ6,$CO$1))))))))))))))))</f>
        <v/>
      </c>
      <c r="U6" s="48">
        <v>24.8</v>
      </c>
      <c r="V6" s="48">
        <v>4.5999999999999996</v>
      </c>
      <c r="W6" s="48">
        <v>0</v>
      </c>
      <c r="X6" s="48">
        <v>0</v>
      </c>
      <c r="Y6" s="48">
        <v>25.4</v>
      </c>
      <c r="Z6" s="48">
        <v>4.8</v>
      </c>
      <c r="AA6" s="48">
        <v>0</v>
      </c>
      <c r="AB6" s="48">
        <v>0</v>
      </c>
      <c r="AC6" s="48">
        <v>25.2</v>
      </c>
      <c r="AD6" s="48">
        <v>4.5999999999999996</v>
      </c>
      <c r="AE6" s="48">
        <v>0</v>
      </c>
      <c r="AF6" s="48">
        <v>0</v>
      </c>
      <c r="AG6" s="48">
        <v>25.7</v>
      </c>
      <c r="AH6" s="48">
        <v>4.8</v>
      </c>
      <c r="AI6" s="48">
        <v>0</v>
      </c>
      <c r="AJ6" s="48">
        <v>0</v>
      </c>
      <c r="AK6" s="12">
        <f>IF(SUM(V6,Z6)&gt;0,SUM(V6,Z6),"")</f>
        <v>9.3999999999999986</v>
      </c>
      <c r="AL6" s="12">
        <f>IF(SUM(AD6,AH6)&gt;0,SUM(AD6,AH6),"")</f>
        <v>9.3999999999999986</v>
      </c>
      <c r="AM6" s="12">
        <f>IF(SUM(U6:V6,X6)-W6&gt;0,SUM(U6:V6,X6)-W6,"")</f>
        <v>29.4</v>
      </c>
      <c r="AN6" s="12">
        <f>IF(SUM(Y6:Z6,AB6)-AA6&gt;0,SUM(Y6:Z6,AB6)-AA6,"")</f>
        <v>30.2</v>
      </c>
      <c r="AO6" s="12">
        <f>IF(SUM(AM6:AN6)&gt;0,SUM(AM6:AN6),"")</f>
        <v>59.599999999999994</v>
      </c>
      <c r="AP6" s="12">
        <f>IF(SUM(AC6:AD6,AF6:AH6,AJ6)-SUM(AE6,AI6)&gt;0,SUM(AC6:AD6,AF6:AH6,AJ6)-SUM(AE6,AI6),"")</f>
        <v>60.3</v>
      </c>
      <c r="AQ6" s="12">
        <f>IF(SUM(AO6,AP6)&gt;0,SUM(AO6,AP6),"")</f>
        <v>119.89999999999999</v>
      </c>
      <c r="AR6" s="80">
        <v>24.1</v>
      </c>
      <c r="AS6" s="80">
        <v>5.0999999999999996</v>
      </c>
      <c r="AT6" s="80">
        <v>0</v>
      </c>
      <c r="AU6" s="80">
        <v>1</v>
      </c>
      <c r="AV6" s="80">
        <v>23.7</v>
      </c>
      <c r="AW6" s="80">
        <v>5.0999999999999996</v>
      </c>
      <c r="AX6" s="80">
        <v>0</v>
      </c>
      <c r="AY6" s="80">
        <v>0</v>
      </c>
      <c r="AZ6" s="80">
        <v>25.1</v>
      </c>
      <c r="BA6" s="80">
        <v>5.0999999999999996</v>
      </c>
      <c r="BB6" s="80">
        <v>0</v>
      </c>
      <c r="BC6" s="80">
        <v>1</v>
      </c>
      <c r="BD6" s="80">
        <v>25.2</v>
      </c>
      <c r="BE6" s="80">
        <v>5.0999999999999996</v>
      </c>
      <c r="BF6" s="80">
        <v>0</v>
      </c>
      <c r="BG6" s="80">
        <v>0</v>
      </c>
      <c r="BH6" s="15">
        <f>IF(SUM(AS6,AW6)&gt;0,SUM(AS6,AW6),"")</f>
        <v>10.199999999999999</v>
      </c>
      <c r="BI6" s="15">
        <f>IF(SUM(BA6,BE6)&gt;0,SUM(BA6,BE6),"")</f>
        <v>10.199999999999999</v>
      </c>
      <c r="BJ6" s="15">
        <f>IF(SUM(AR6:AS6,AU6)-AT6&gt;0,SUM(AR6:AS6,AU6)-AT6,"")</f>
        <v>30.200000000000003</v>
      </c>
      <c r="BK6" s="15">
        <f>IF(SUM(AV6:AW6,AY6)-AX6&gt;0,SUM(AV6:AW6,AY6)-AX6,"")</f>
        <v>28.799999999999997</v>
      </c>
      <c r="BL6" s="15">
        <f>IF(SUM(BJ6:BK6)&gt;0,SUM(BJ6:BK6),"")</f>
        <v>59</v>
      </c>
      <c r="BM6" s="15">
        <f>IF(SUM(AZ6:BA6,BC6:BE6,BG6)-SUM(BB6,BF6)&gt;0,SUM(AZ6:BA6,BC6:BE6,BG6)-SUM(BB6,BF6),"")</f>
        <v>61.500000000000007</v>
      </c>
      <c r="BN6" s="15">
        <f>IF(SUM(BL6,BM6)&gt;0,SUM(BL6,BM6),"")</f>
        <v>120.5</v>
      </c>
      <c r="BO6" s="45">
        <v>22.3</v>
      </c>
      <c r="BP6" s="45">
        <v>2.8</v>
      </c>
      <c r="BQ6" s="45">
        <v>0</v>
      </c>
      <c r="BR6" s="45">
        <v>0</v>
      </c>
      <c r="BS6" s="45">
        <v>22.8</v>
      </c>
      <c r="BT6" s="45">
        <v>5</v>
      </c>
      <c r="BU6" s="45">
        <v>0.3</v>
      </c>
      <c r="BV6" s="45">
        <v>0</v>
      </c>
      <c r="BW6" s="45"/>
      <c r="BX6" s="45"/>
      <c r="BY6" s="45"/>
      <c r="BZ6" s="45"/>
      <c r="CA6" s="45"/>
      <c r="CB6" s="45"/>
      <c r="CC6" s="45"/>
      <c r="CD6" s="45"/>
      <c r="CE6" s="12">
        <f>IF(SUM(BP6,BT6)&gt;0,SUM(BP6,BT6),"")</f>
        <v>7.8</v>
      </c>
      <c r="CF6" s="12" t="str">
        <f>IF(SUM(BX6,CB6)&gt;0,SUM(BX6,CB6),"")</f>
        <v/>
      </c>
      <c r="CG6" s="12">
        <f>IF(SUM(BO6:BP6,BR6)-BQ6&gt;0,SUM(BO6:BP6,BR6)-BQ6,"")</f>
        <v>25.1</v>
      </c>
      <c r="CH6" s="12">
        <f>IF(SUM(BS6:BT6,BV6)-BU6&gt;0,SUM(BS6:BT6,BV6)-BU6,"")</f>
        <v>27.5</v>
      </c>
      <c r="CI6" s="12">
        <f>IF(SUM(CG6:CH6)&gt;0,SUM(CG6:CH6),"")</f>
        <v>52.6</v>
      </c>
      <c r="CJ6" s="12" t="str">
        <f>IF(SUM(BW6:BX6,BZ6:CB6,CD6)-SUM(BY6,CC6)&gt;0,SUM(BW6:BX6,BZ6:CB6,CD6)-SUM(BY6,CC6),"")</f>
        <v/>
      </c>
      <c r="CK6" s="12">
        <f>IF(SUM(CI6,CJ6)&gt;0,SUM(CI6,CJ6),"")</f>
        <v>52.6</v>
      </c>
      <c r="CL6" s="28" t="str">
        <f>IF(MAX(DG6,ED6,FA6,FX6,GU6,HR6,IO6,JL6,KI6,LF6,MC6,MZ6)-L6&gt;0.001,MAX(DG6,ED6,FA6,FX6,GU6,HR6,IO6,JL6,KI6,LF6,MC6,MZ6)-L6,"")</f>
        <v/>
      </c>
      <c r="CM6" s="28" t="str">
        <f>IF(MAX(DH6,EE6,FB6,FY6,GV6,HS6,IP6,JM6,KJ6,LG6,MD6,NA6)-N6&gt;0.001,MAX(DH6,EE6,FB6,FY6,GV6,HS6,IP6,JM6,KJ6,LG6,MD6,NA6)-N6,"")</f>
        <v/>
      </c>
      <c r="CN6" s="28" t="str">
        <f>IF(MAX(DJ6,EG6,FD6,GA6,GX6,HU6,IR6,JO6,KL6,LI6,MF6,NC6)-P6&gt;0.001,MAX(DJ6,EG6,FD6,GA6,GX6,HU6,IR6,JO6,KL6,LI6,MF6,NC6)-P6,"")</f>
        <v/>
      </c>
      <c r="CO6" s="45"/>
      <c r="CP6" s="45"/>
      <c r="CQ6" s="45"/>
      <c r="CR6" s="45"/>
      <c r="CS6" s="45"/>
      <c r="CT6" s="45"/>
      <c r="CU6" s="45"/>
      <c r="CV6" s="45"/>
      <c r="CW6" s="45"/>
      <c r="CX6" s="45"/>
      <c r="CY6" s="45"/>
      <c r="CZ6" s="45"/>
      <c r="DA6" s="45"/>
      <c r="DB6" s="45"/>
      <c r="DC6" s="45"/>
      <c r="DD6" s="45"/>
      <c r="DE6" s="12" t="str">
        <f>IF(SUM(CP6,CT6)&gt;0,SUM(CP6,CT6),"")</f>
        <v/>
      </c>
      <c r="DF6" s="12" t="str">
        <f>IF(SUM(CX6,DB6)&gt;0,SUM(CX6,DB6),"")</f>
        <v/>
      </c>
      <c r="DG6" s="12" t="str">
        <f>IF(SUM(CO6:CP6,CR6)-CQ6&gt;0,SUM(CO6:CP6,CR6)-CQ6,"")</f>
        <v/>
      </c>
      <c r="DH6" s="12" t="str">
        <f>IF(SUM(CS6:CT6,CV6)-CU6&gt;0,SUM(CS6:CT6,CV6)-CU6,"")</f>
        <v/>
      </c>
      <c r="DI6" s="12" t="str">
        <f>IF(SUM(DG6:DH6)&gt;0,SUM(DG6:DH6),"")</f>
        <v/>
      </c>
      <c r="DJ6" s="12" t="str">
        <f>IF(SUM(CW6:CX6,CZ6:DB6,DD6)-SUM(CY6,DC6)&gt;0,SUM(CW6:CX6,CZ6:DB6,DD6)-SUM(CY6,DC6),"")</f>
        <v/>
      </c>
      <c r="DK6" s="12" t="str">
        <f>IF(SUM(DI6,DJ6)&gt;0,SUM(DI6,DJ6),"")</f>
        <v/>
      </c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15" t="str">
        <f>IF(SUM(DM6,DQ6)&gt;0,SUM(DM6,DQ6),"")</f>
        <v/>
      </c>
      <c r="EC6" s="15" t="str">
        <f>IF(SUM(DU6,DY6)&gt;0,SUM(DU6,DY6),"")</f>
        <v/>
      </c>
      <c r="ED6" s="15" t="str">
        <f>IF(SUM(DL6:DM6,DO6)-DN6&gt;0,SUM(DL6:DM6,DO6)-DN6,"")</f>
        <v/>
      </c>
      <c r="EE6" s="15" t="str">
        <f>IF(SUM(DP6:DQ6,DS6)-DR6&gt;0,SUM(DP6:DQ6,DS6)-DR6,"")</f>
        <v/>
      </c>
      <c r="EF6" s="15" t="str">
        <f>IF(SUM(ED6:EE6)&gt;0,SUM(ED6:EE6),"")</f>
        <v/>
      </c>
      <c r="EG6" s="15" t="str">
        <f>IF(SUM(DT6:DU6,DW6:DY6,EA6)-SUM(DV6,DZ6)&gt;0,SUM(DT6:DU6,DW6:DY6,EA6)-SUM(DV6,DZ6),"")</f>
        <v/>
      </c>
      <c r="EH6" s="15" t="str">
        <f>IF(SUM(EF6,EG6)&gt;0,SUM(EF6,EG6),"")</f>
        <v/>
      </c>
      <c r="EI6" s="45"/>
      <c r="EJ6" s="45"/>
      <c r="EK6" s="45"/>
      <c r="EL6" s="45"/>
      <c r="EM6" s="45"/>
      <c r="EN6" s="45"/>
      <c r="EO6" s="45"/>
      <c r="EP6" s="45"/>
      <c r="EQ6" s="45"/>
      <c r="ER6" s="45"/>
      <c r="ES6" s="45"/>
      <c r="ET6" s="45"/>
      <c r="EU6" s="45"/>
      <c r="EV6" s="45"/>
      <c r="EW6" s="45"/>
      <c r="EX6" s="45"/>
      <c r="EY6" s="12" t="str">
        <f>IF(SUM(EJ6,EN6)&gt;0,SUM(EJ6,EN6),"")</f>
        <v/>
      </c>
      <c r="EZ6" s="12" t="str">
        <f>IF(SUM(ER6,EV6)&gt;0,SUM(ER6,EV6),"")</f>
        <v/>
      </c>
      <c r="FA6" s="12" t="str">
        <f>IF(SUM(EI6:EJ6,EL6)-EK6&gt;0,SUM(EI6:EJ6,EL6)-EK6,"")</f>
        <v/>
      </c>
      <c r="FB6" s="12" t="str">
        <f>IF(SUM(EM6:EN6,EP6)-EO6&gt;0,SUM(EM6:EN6,EP6)-EO6,"")</f>
        <v/>
      </c>
      <c r="FC6" s="12" t="str">
        <f>IF(SUM(FA6:FB6)&gt;0,SUM(FA6:FB6),"")</f>
        <v/>
      </c>
      <c r="FD6" s="12" t="str">
        <f>IF(SUM(EQ6:ER6,ET6:EV6,EX6)-SUM(ES6,EW6)&gt;0,SUM(EQ6:ER6,ET6:EV6,EX6)-SUM(ES6,EW6),"")</f>
        <v/>
      </c>
      <c r="FE6" s="12" t="str">
        <f>IF(SUM(FC6,FD6)&gt;0,SUM(FC6,FD6),"")</f>
        <v/>
      </c>
      <c r="FF6" s="46"/>
      <c r="FG6" s="46"/>
      <c r="FH6" s="46"/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15" t="str">
        <f>IF(SUM(FG6,FK6)&gt;0,SUM(FG6,FK6),"")</f>
        <v/>
      </c>
      <c r="FW6" s="15" t="str">
        <f>IF(SUM(FO6,FS6)&gt;0,SUM(FO6,FS6),"")</f>
        <v/>
      </c>
      <c r="FX6" s="15" t="str">
        <f>IF(SUM(FF6:FG6,FI6)-FH6&gt;0,SUM(FF6:FG6,FI6)-FH6,"")</f>
        <v/>
      </c>
      <c r="FY6" s="15" t="str">
        <f>IF(SUM(FJ6:FK6,FM6)-FL6&gt;0,SUM(FJ6:FK6,FM6)-FL6,"")</f>
        <v/>
      </c>
      <c r="FZ6" s="15" t="str">
        <f>IF(SUM(FX6:FY6)&gt;0,SUM(FX6:FY6),"")</f>
        <v/>
      </c>
      <c r="GA6" s="15" t="str">
        <f>IF(SUM(FN6:FO6,FQ6:FS6,FU6)-SUM(FP6,FT6)&gt;0,SUM(FN6:FO6,FQ6:FS6,FU6)-SUM(FP6,FT6),"")</f>
        <v/>
      </c>
      <c r="GB6" s="15" t="str">
        <f>IF(SUM(FZ6,GA6)&gt;0,SUM(FZ6,GA6),"")</f>
        <v/>
      </c>
      <c r="GC6" s="45"/>
      <c r="GD6" s="45"/>
      <c r="GE6" s="45"/>
      <c r="GF6" s="45"/>
      <c r="GG6" s="45"/>
      <c r="GH6" s="45"/>
      <c r="GI6" s="45"/>
      <c r="GJ6" s="45"/>
      <c r="GK6" s="45"/>
      <c r="GL6" s="45"/>
      <c r="GM6" s="45"/>
      <c r="GN6" s="45"/>
      <c r="GO6" s="45"/>
      <c r="GP6" s="45"/>
      <c r="GQ6" s="45"/>
      <c r="GR6" s="45"/>
      <c r="GS6" s="12" t="str">
        <f>IF(SUM(GD6,GH6)&gt;0,SUM(GD6,GH6),"")</f>
        <v/>
      </c>
      <c r="GT6" s="12" t="str">
        <f>IF(SUM(GL6,GP6)&gt;0,SUM(GL6,GP6),"")</f>
        <v/>
      </c>
      <c r="GU6" s="12" t="str">
        <f>IF(SUM(GC6:GD6,GF6)-GE6&gt;0,SUM(GC6:GD6,GF6)-GE6,"")</f>
        <v/>
      </c>
      <c r="GV6" s="12" t="str">
        <f>IF(SUM(GG6:GH6,GJ6)-GI6&gt;0,SUM(GG6:GH6,GJ6)-GI6,"")</f>
        <v/>
      </c>
      <c r="GW6" s="12" t="str">
        <f>IF(SUM(GU6:GV6)&gt;0,SUM(GU6:GV6),"")</f>
        <v/>
      </c>
      <c r="GX6" s="12" t="str">
        <f>IF(SUM(GK6:GL6,GN6:GP6,GR6)-SUM(GM6,GQ6)&gt;0,SUM(GK6:GL6,GN6:GP6,GR6)-SUM(GM6,GQ6),"")</f>
        <v/>
      </c>
      <c r="GY6" s="12" t="str">
        <f>IF(SUM(GW6,GX6)&gt;0,SUM(GW6,GX6),"")</f>
        <v/>
      </c>
      <c r="GZ6" s="46"/>
      <c r="HA6" s="46"/>
      <c r="HB6" s="46"/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15" t="str">
        <f>IF(SUM(HA6,HE6)&gt;0,SUM(HA6,HE6),"")</f>
        <v/>
      </c>
      <c r="HQ6" s="15" t="str">
        <f>IF(SUM(HI6,HM6)&gt;0,SUM(HI6,HM6),"")</f>
        <v/>
      </c>
      <c r="HR6" s="15" t="str">
        <f>IF(SUM(GZ6:HA6,HC6)-HB6&gt;0,SUM(GZ6:HA6,HC6)-HB6,"")</f>
        <v/>
      </c>
      <c r="HS6" s="15" t="str">
        <f>IF(SUM(HD6:HE6,HG6)-HF6&gt;0,SUM(HD6:HE6,HG6)-HF6,"")</f>
        <v/>
      </c>
      <c r="HT6" s="15" t="str">
        <f>IF(SUM(HR6:HS6)&gt;0,SUM(HR6:HS6),"")</f>
        <v/>
      </c>
      <c r="HU6" s="15" t="str">
        <f>IF(SUM(HH6:HI6,HK6:HM6,HO6)-SUM(HJ6,HN6)&gt;0,SUM(HH6:HI6,HK6:HM6,HO6)-SUM(HJ6,HN6),"")</f>
        <v/>
      </c>
      <c r="HV6" s="15" t="str">
        <f>IF(SUM(HT6,HU6)&gt;0,SUM(HT6,HU6),"")</f>
        <v/>
      </c>
      <c r="HW6" s="45"/>
      <c r="HX6" s="45"/>
      <c r="HY6" s="45"/>
      <c r="HZ6" s="45"/>
      <c r="IA6" s="45"/>
      <c r="IB6" s="45"/>
      <c r="IC6" s="45"/>
      <c r="ID6" s="45"/>
      <c r="IE6" s="45"/>
      <c r="IF6" s="45"/>
      <c r="IG6" s="45"/>
      <c r="IH6" s="45"/>
      <c r="II6" s="45"/>
      <c r="IJ6" s="45"/>
      <c r="IK6" s="45"/>
      <c r="IL6" s="45"/>
      <c r="IM6" s="12" t="str">
        <f>IF(SUM(HX6,IB6)&gt;0,SUM(HX6,IB6),"")</f>
        <v/>
      </c>
      <c r="IN6" s="12" t="str">
        <f>IF(SUM(IF6,IJ6)&gt;0,SUM(IF6,IJ6),"")</f>
        <v/>
      </c>
      <c r="IO6" s="12" t="str">
        <f>IF(SUM(HW6:HX6,HZ6)-HY6&gt;0,SUM(HW6:HX6,HZ6)-HY6,"")</f>
        <v/>
      </c>
      <c r="IP6" s="12" t="str">
        <f>IF(SUM(IA6:IB6,ID6)-IC6&gt;0,SUM(IA6:IB6,ID6)-IC6,"")</f>
        <v/>
      </c>
      <c r="IQ6" s="12" t="str">
        <f>IF(SUM(IO6:IP6)&gt;0,SUM(IO6:IP6),"")</f>
        <v/>
      </c>
      <c r="IR6" s="12" t="str">
        <f>IF(SUM(IE6:IF6,IH6:IJ6,IL6)-SUM(IG6,IK6)&gt;0,SUM(IE6:IF6,IH6:IJ6,IL6)-SUM(IG6,IK6),"")</f>
        <v/>
      </c>
      <c r="IS6" s="12" t="str">
        <f>IF(SUM(IQ6,IR6)&gt;0,SUM(IQ6,IR6),"")</f>
        <v/>
      </c>
      <c r="IT6" s="46"/>
      <c r="IU6" s="46"/>
      <c r="IV6" s="46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15" t="str">
        <f>IF(SUM(IU6,IY6)&gt;0,SUM(IU6,IY6),"")</f>
        <v/>
      </c>
      <c r="JK6" s="15" t="str">
        <f>IF(SUM(JC6,JG6)&gt;0,SUM(JC6,JG6),"")</f>
        <v/>
      </c>
      <c r="JL6" s="15" t="str">
        <f>IF(SUM(IT6:IU6,IW6)-IV6&gt;0,SUM(IT6:IU6,IW6)-IV6,"")</f>
        <v/>
      </c>
      <c r="JM6" s="15" t="str">
        <f>IF(SUM(IX6:IY6,JA6)-IZ6&gt;0,SUM(IX6:IY6,JA6)-IZ6,"")</f>
        <v/>
      </c>
      <c r="JN6" s="15" t="str">
        <f>IF(SUM(JL6:JM6)&gt;0,SUM(JL6:JM6),"")</f>
        <v/>
      </c>
      <c r="JO6" s="15" t="str">
        <f>IF(SUM(JB6:JC6,JE6:JG6,JI6)-SUM(JD6,JH6)&gt;0,SUM(JB6:JC6,JE6:JG6,JI6)-SUM(JD6,JH6),"")</f>
        <v/>
      </c>
      <c r="JP6" s="15" t="str">
        <f>IF(SUM(JN6,JO6)&gt;0,SUM(JN6,JO6),"")</f>
        <v/>
      </c>
      <c r="JQ6" s="45"/>
      <c r="JR6" s="45"/>
      <c r="JS6" s="45"/>
      <c r="JT6" s="45"/>
      <c r="JU6" s="45"/>
      <c r="JV6" s="45"/>
      <c r="JW6" s="45"/>
      <c r="JX6" s="45"/>
      <c r="JY6" s="45"/>
      <c r="JZ6" s="45"/>
      <c r="KA6" s="45"/>
      <c r="KB6" s="45"/>
      <c r="KC6" s="45"/>
      <c r="KD6" s="45"/>
      <c r="KE6" s="45"/>
      <c r="KF6" s="45"/>
      <c r="KG6" s="12" t="str">
        <f>IF(SUM(JR6,JV6)&gt;0,SUM(JR6,JV6),"")</f>
        <v/>
      </c>
      <c r="KH6" s="12" t="str">
        <f>IF(SUM(JZ6,KD6)&gt;0,SUM(JZ6,KD6),"")</f>
        <v/>
      </c>
      <c r="KI6" s="12" t="str">
        <f>IF(SUM(JQ6:JR6,JT6)-JS6&gt;0,SUM(JQ6:JR6,JT6)-JS6,"")</f>
        <v/>
      </c>
      <c r="KJ6" s="12" t="str">
        <f>IF(SUM(JU6:JV6,JX6)-JW6&gt;0,SUM(JU6:JV6,JX6)-JW6,"")</f>
        <v/>
      </c>
      <c r="KK6" s="12" t="str">
        <f>IF(SUM(KI6:KJ6)&gt;0,SUM(KI6:KJ6),"")</f>
        <v/>
      </c>
      <c r="KL6" s="12" t="str">
        <f>IF(SUM(JY6:JZ6,KB6:KD6,KF6)-SUM(KA6,KE6)&gt;0,SUM(JY6:JZ6,KB6:KD6,KF6)-SUM(KA6,KE6),"")</f>
        <v/>
      </c>
      <c r="KM6" s="12" t="str">
        <f>IF(SUM(KK6,KL6)&gt;0,SUM(KK6,KL6),"")</f>
        <v/>
      </c>
      <c r="KN6" s="46"/>
      <c r="KO6" s="46"/>
      <c r="KP6" s="46"/>
      <c r="KQ6" s="46"/>
      <c r="KR6" s="46"/>
      <c r="KS6" s="46"/>
      <c r="KT6" s="46"/>
      <c r="KU6" s="46"/>
      <c r="KV6" s="46"/>
      <c r="KW6" s="46"/>
      <c r="KX6" s="46"/>
      <c r="KY6" s="46"/>
      <c r="KZ6" s="46"/>
      <c r="LA6" s="46"/>
      <c r="LB6" s="46"/>
      <c r="LC6" s="46"/>
      <c r="LD6" s="15" t="str">
        <f>IF(SUM(KO6,KS6)&gt;0,SUM(KO6,KS6),"")</f>
        <v/>
      </c>
      <c r="LE6" s="15" t="str">
        <f>IF(SUM(KW6,LA6)&gt;0,SUM(KW6,LA6),"")</f>
        <v/>
      </c>
      <c r="LF6" s="15" t="str">
        <f>IF(SUM(KN6:KO6,KQ6)-KP6&gt;0,SUM(KN6:KO6,KQ6)-KP6,"")</f>
        <v/>
      </c>
      <c r="LG6" s="15" t="str">
        <f>IF(SUM(KR6:KS6,KU6)-KT6&gt;0,SUM(KR6:KS6,KU6)-KT6,"")</f>
        <v/>
      </c>
      <c r="LH6" s="15" t="str">
        <f>IF(SUM(LF6:LG6)&gt;0,SUM(LF6:LG6),"")</f>
        <v/>
      </c>
      <c r="LI6" s="15" t="str">
        <f>IF(SUM(KV6:KW6,KY6:LA6,LC6)-SUM(KX6,LB6)&gt;0,SUM(KV6:KW6,KY6:LA6,LC6)-SUM(KX6,LB6),"")</f>
        <v/>
      </c>
      <c r="LJ6" s="15" t="str">
        <f>IF(SUM(LH6,LI6)&gt;0,SUM(LH6,LI6),"")</f>
        <v/>
      </c>
      <c r="LK6" s="45"/>
      <c r="LL6" s="45"/>
      <c r="LM6" s="45"/>
      <c r="LN6" s="45"/>
      <c r="LO6" s="45"/>
      <c r="LP6" s="45"/>
      <c r="LQ6" s="45"/>
      <c r="LR6" s="45"/>
      <c r="LS6" s="45"/>
      <c r="LT6" s="45"/>
      <c r="LU6" s="45"/>
      <c r="LV6" s="45"/>
      <c r="LW6" s="45"/>
      <c r="LX6" s="45"/>
      <c r="LY6" s="45"/>
      <c r="LZ6" s="45"/>
      <c r="MA6" s="12" t="str">
        <f>IF(SUM(LL6,LP6)&gt;0,SUM(LL6,LP6),"")</f>
        <v/>
      </c>
      <c r="MB6" s="12" t="str">
        <f>IF(SUM(LT6,LX6)&gt;0,SUM(LT6,LX6),"")</f>
        <v/>
      </c>
      <c r="MC6" s="12" t="str">
        <f>IF(SUM(LK6:LL6,LN6)-LM6&gt;0,SUM(LK6:LL6,LN6)-LM6,"")</f>
        <v/>
      </c>
      <c r="MD6" s="12" t="str">
        <f>IF(SUM(LO6:LP6,LR6)-LQ6&gt;0,SUM(LO6:LP6,LR6)-LQ6,"")</f>
        <v/>
      </c>
      <c r="ME6" s="12" t="str">
        <f>IF(SUM(MC6:MD6)&gt;0,SUM(MC6:MD6),"")</f>
        <v/>
      </c>
      <c r="MF6" s="12" t="str">
        <f>IF(SUM(LS6:LT6,LV6:LX6,LZ6)-SUM(LU6,LY6)&gt;0,SUM(LS6:LT6,LV6:LX6,LZ6)-SUM(LU6,LY6),"")</f>
        <v/>
      </c>
      <c r="MG6" s="12" t="str">
        <f>IF(SUM(ME6,MF6)&gt;0,SUM(ME6,MF6),"")</f>
        <v/>
      </c>
      <c r="MH6" s="46"/>
      <c r="MI6" s="46"/>
      <c r="MJ6" s="46"/>
      <c r="MK6" s="46"/>
      <c r="ML6" s="46"/>
      <c r="MM6" s="46"/>
      <c r="MN6" s="46"/>
      <c r="MO6" s="46"/>
      <c r="MP6" s="46"/>
      <c r="MQ6" s="46"/>
      <c r="MR6" s="46"/>
      <c r="MS6" s="46"/>
      <c r="MT6" s="46"/>
      <c r="MU6" s="46"/>
      <c r="MV6" s="46"/>
      <c r="MW6" s="46"/>
      <c r="MX6" s="15" t="str">
        <f>IF(SUM(MI6,MM6)&gt;0,SUM(MI6,MM6),"")</f>
        <v/>
      </c>
      <c r="MY6" s="15" t="str">
        <f>IF(SUM(MQ6,MU6)&gt;0,SUM(MQ6,MU6),"")</f>
        <v/>
      </c>
      <c r="MZ6" s="15" t="str">
        <f>IF(SUM(MH6:MI6,MK6)-MJ6&gt;0,SUM(MH6:MI6,MK6)-MJ6,"")</f>
        <v/>
      </c>
      <c r="NA6" s="15" t="str">
        <f>IF(SUM(ML6:MM6,MO6)-MN6&gt;0,SUM(ML6:MM6,MO6)-MN6,"")</f>
        <v/>
      </c>
      <c r="NB6" s="15" t="str">
        <f>IF(SUM(MZ6:NA6)&gt;0,SUM(MZ6:NA6),"")</f>
        <v/>
      </c>
      <c r="NC6" s="15" t="str">
        <f>IF(SUM(MP6:MQ6,MS6:MU6,MW6)-SUM(MR6,MV6)&gt;0,SUM(MP6:MQ6,MS6:MU6,MW6)-SUM(MR6,MV6),"")</f>
        <v/>
      </c>
      <c r="ND6" s="15" t="str">
        <f>IF(SUM(NB6,NC6)&gt;0,SUM(NB6,NC6),"")</f>
        <v/>
      </c>
    </row>
    <row r="7" spans="1:368">
      <c r="A7" s="6">
        <f>IF(AND(F7="P",H7="P"),SUMPRODUCT((F$4:F$8="P")*(H$4:H$8="P")*(E$4:E$8&gt;E7))+1,IF(H7="P",SUMPRODUCT((F$4:F$8="")*(H$4:H$8="P")*(E$4:E$8&gt;E7))+1+SUMPRODUCT((F$4:F$8="P")*(H$4:H$8="P")),""))</f>
        <v>3</v>
      </c>
      <c r="B7" s="9" t="s">
        <v>117</v>
      </c>
      <c r="C7" s="5" t="s">
        <v>4</v>
      </c>
      <c r="D7" s="31">
        <v>2001</v>
      </c>
      <c r="E7" s="16">
        <f>SUM(J7:R7)</f>
        <v>178.89999999999998</v>
      </c>
      <c r="F7" s="4" t="str">
        <f>IF(OR(AND($AK7&gt;=$AL$11,NOT($AK7="")),AND($BH7&gt;=$BI$11,NOT($BH7="")),AND($CE7&gt;=$CF$11,NOT($CE7=""))),"P","")</f>
        <v/>
      </c>
      <c r="G7" s="4" t="str">
        <f>IF(OR(AND($AK7&gt;=$AL$12,NOT($AK7="")),AND($BH7&gt;=$BI$12,NOT($BH7="")),AND($CE7&gt;=$CF$12,NOT($CE7=""))),"P","")</f>
        <v/>
      </c>
      <c r="H7" s="4" t="str">
        <f>IF(OR(AND($AO7&gt;=$AL$13,NOT($AO7="")),AND($BL7&gt;=$BI$13,NOT($BL7="")),AND($CI7&gt;=$CF$13,NOT($CI7=""))),"P","")</f>
        <v>P</v>
      </c>
      <c r="I7" t="str">
        <f>IF(AND(F7="P",OR(AND($AO7&gt;=$AL$16,NOT($AO7="")),AND($BL7&gt;=$BI$16,NOT($BL7="")),AND($CI7&gt;=$CF$16,NOT($CI7="")))),"Merit",IF(AND(F7="P",OR(AND($AO7&gt;=$AL$15,NOT($AO7="")),AND($BL7&gt;=$BI$15,NOT($BL7="")),AND($CI7&gt;=$CF$15,NOT($CI7="")))),"Funding",IF(AND(F7="P",OR(AND($AO7&gt;=$AL$14,NOT($AO7="")),AND($BL7&gt;=$BI$14,NOT($BL7="")),AND($CI7&gt;=$CF$14,NOT($CI7="")))),"Worlds Team",IF(AND(F7="P",OR(AND($AO7&gt;=$AL$13,NOT($AO7="")),AND($BL7&gt;=$BI$13,NOT($BL7="")),AND($CI7&gt;=$CF$13,NOT($CI7="")))),"National Team",""))))</f>
        <v/>
      </c>
      <c r="J7" s="15">
        <f>MAX(AO7,BL7,CI7)</f>
        <v>61.2</v>
      </c>
      <c r="K7" s="15" t="str">
        <f>IF(J7=CI7,$BO$1,IF(J7=BL7,$AR$1,IF(J7=AO7,$U$1,"")))</f>
        <v>2018 Canada Cup</v>
      </c>
      <c r="L7" s="15">
        <f>IF($J7=$AO7,MAX(BJ7,CG7),IF($J7=$BL7,MAX(AM7,CG7),MAX(AM7,BJ7)))</f>
        <v>29.299999999999997</v>
      </c>
      <c r="M7" s="15" t="str">
        <f>IF(L7=CG7,$BO$1,IF(L7=BJ7,$AR$1,IF(L7=AM7,$U$1,"")))</f>
        <v>2017 Nationals</v>
      </c>
      <c r="N7" s="15">
        <f>IF($J7=$AO7,MAX(BK7,CH7),IF($J7=$BL7,MAX(AN7,CH7),MAX(AN7,BK7)))</f>
        <v>29.3</v>
      </c>
      <c r="O7" s="15" t="str">
        <f>IF(N7=CH7,$BO$1,IF(N7=BK7,$AR$1,IF(N7=AN7,$U$1,"")))</f>
        <v>2017 Nationals</v>
      </c>
      <c r="P7" s="15">
        <f>MAX(AP7,BM7,CJ7)</f>
        <v>59.099999999999994</v>
      </c>
      <c r="Q7" s="15" t="str">
        <f>IF(P7=CJ7,$BO$1,IF(P7=BM7,$AR$1,IF(P7=AP7,$U$1,"")))</f>
        <v>2017 Nationals</v>
      </c>
      <c r="R7" s="15" t="str">
        <f>IF(MAX(CL7:CN7)&gt;0,MAX(CL7:CN7),"")</f>
        <v/>
      </c>
      <c r="S7" s="29" t="str">
        <f>IF(R7="","",IF(R7=CL7,"(Pass 1)",IF(R7=CM7,"(Pass 2)",IF(R7=CN7,"(Final)"))))</f>
        <v/>
      </c>
      <c r="T7" s="15" t="str">
        <f>IF(R7="","",IF(R7=CL7,IF(R7+L7=MZ7,$MH$1,IF(R7+L7=MC7,$LK$1,IF(R7+L7=LF7,$KN$1,IF(R7+L7=KI7,$JQ$1,IF(R7+L7=JL7,$IT$1,IF(R7+L7=IO7,$HW$1,IF(R7+L7=HR7,$GZ$1,IF(R7+L7=GU7,$GC$1,IF(R7+L7=FX7,$FF$1,IF(R7+L7=FA7,$EI$1,IF(R7+L7=ED7,$DL$1,IF(R7+L7=DG7,$CO$1)))))))))))),IF(R7=CM7,IF(R7+N7=NA7,$MH$1,IF(R7+N7=MD7,$LK$1,IF(R7+N7=LG7,$KN$1,IF(R7+N7=KJ7,$JQ$1,IF(R7+N7=JM7,$IT$1,IF(R7+N7=IP7,$HW$1,IF(R7+N7=HS7,$GZ$1,IF(R7+N7=GV7,$GC$1,IF(R7+N7=FY7,$FF$1,IF(R7+N7=FB7,$EI$1,IF(R7+N7=EE7,$DL$1,IF(R7+N7=DH7,$CO$1)))))))))))),IF(R7=CN7,IF(R7+P7=NC7,$MH$1,IF(R7+P7=MF7,$LK$1,IF(R7+P7=LI7,$KN$1,IF(R7+P7=KL7,$JQ$1,IF(R7+P7=JO7,$IT$1,IF(R7+P7=IR7,$HW$1,IF(R7+P7=HU7,$GZ$1,IF(R7+P7=GX7,$GC$1,IF(R7+P7=GA7,$FF$1,IF(R7+P7=FD7,$EI$1,IF(R7+P7=EG7,$DL$1,IF(R7+P7=DJ7,$CO$1))))))))))))))))</f>
        <v/>
      </c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12" t="str">
        <f>IF(SUM(V7,Z7)&gt;0,SUM(V7,Z7),"")</f>
        <v/>
      </c>
      <c r="AL7" s="12" t="str">
        <f>IF(SUM(AD7,AH7)&gt;0,SUM(AD7,AH7),"")</f>
        <v/>
      </c>
      <c r="AM7" s="12" t="str">
        <f>IF(SUM(U7:V7,X7)-W7&gt;0,SUM(U7:V7,X7)-W7,"")</f>
        <v/>
      </c>
      <c r="AN7" s="12" t="str">
        <f>IF(SUM(Y7:Z7,AB7)-AA7&gt;0,SUM(Y7:Z7,AB7)-AA7,"")</f>
        <v/>
      </c>
      <c r="AO7" s="12" t="str">
        <f>IF(SUM(AM7:AN7)&gt;0,SUM(AM7:AN7),"")</f>
        <v/>
      </c>
      <c r="AP7" s="12" t="str">
        <f>IF(SUM(AC7:AD7,AF7:AH7,AJ7)-SUM(AE7,AI7)&gt;0,SUM(AC7:AD7,AF7:AH7,AJ7)-SUM(AE7,AI7),"")</f>
        <v/>
      </c>
      <c r="AQ7" s="12" t="str">
        <f>IF(SUM(AO7,AP7)&gt;0,SUM(AO7,AP7),"")</f>
        <v/>
      </c>
      <c r="AR7" s="80">
        <v>25.4</v>
      </c>
      <c r="AS7" s="80">
        <v>3.9</v>
      </c>
      <c r="AT7" s="80">
        <v>0</v>
      </c>
      <c r="AU7" s="80">
        <v>0</v>
      </c>
      <c r="AV7" s="80">
        <v>24.8</v>
      </c>
      <c r="AW7" s="80">
        <v>4.5</v>
      </c>
      <c r="AX7" s="80">
        <v>0</v>
      </c>
      <c r="AY7" s="80">
        <v>0</v>
      </c>
      <c r="AZ7" s="80">
        <v>25.9</v>
      </c>
      <c r="BA7" s="80">
        <v>3.9</v>
      </c>
      <c r="BB7" s="80">
        <v>0</v>
      </c>
      <c r="BC7" s="80">
        <v>0</v>
      </c>
      <c r="BD7" s="80">
        <v>24.8</v>
      </c>
      <c r="BE7" s="80">
        <v>4.5</v>
      </c>
      <c r="BF7" s="80">
        <v>0</v>
      </c>
      <c r="BG7" s="80">
        <v>0</v>
      </c>
      <c r="BH7" s="15">
        <f>IF(SUM(AS7,AW7)&gt;0,SUM(AS7,AW7),"")</f>
        <v>8.4</v>
      </c>
      <c r="BI7" s="15">
        <f>IF(SUM(BA7,BE7)&gt;0,SUM(BA7,BE7),"")</f>
        <v>8.4</v>
      </c>
      <c r="BJ7" s="15">
        <f>IF(SUM(AR7:AS7,AU7)-AT7&gt;0,SUM(AR7:AS7,AU7)-AT7,"")</f>
        <v>29.299999999999997</v>
      </c>
      <c r="BK7" s="15">
        <f>IF(SUM(AV7:AW7,AY7)-AX7&gt;0,SUM(AV7:AW7,AY7)-AX7,"")</f>
        <v>29.3</v>
      </c>
      <c r="BL7" s="15">
        <f>IF(SUM(BJ7:BK7)&gt;0,SUM(BJ7:BK7),"")</f>
        <v>58.599999999999994</v>
      </c>
      <c r="BM7" s="15">
        <f>IF(SUM(AZ7:BA7,BC7:BE7,BG7)-SUM(BB7,BF7)&gt;0,SUM(AZ7:BA7,BC7:BE7,BG7)-SUM(BB7,BF7),"")</f>
        <v>59.099999999999994</v>
      </c>
      <c r="BN7" s="15">
        <f>IF(SUM(BL7,BM7)&gt;0,SUM(BL7,BM7),"")</f>
        <v>117.69999999999999</v>
      </c>
      <c r="BO7" s="45">
        <v>25.5</v>
      </c>
      <c r="BP7" s="45">
        <v>5.3</v>
      </c>
      <c r="BQ7" s="45">
        <v>0</v>
      </c>
      <c r="BR7" s="45">
        <v>0</v>
      </c>
      <c r="BS7" s="45">
        <v>25.4</v>
      </c>
      <c r="BT7" s="45">
        <v>5</v>
      </c>
      <c r="BU7" s="45">
        <v>0</v>
      </c>
      <c r="BV7" s="45">
        <v>0</v>
      </c>
      <c r="BW7" s="45">
        <v>24</v>
      </c>
      <c r="BX7" s="45">
        <v>5.0999999999999996</v>
      </c>
      <c r="BY7" s="45">
        <v>0.6</v>
      </c>
      <c r="BZ7" s="45">
        <v>0</v>
      </c>
      <c r="CA7" s="45">
        <v>23.9</v>
      </c>
      <c r="CB7" s="45">
        <v>2.6</v>
      </c>
      <c r="CC7" s="45">
        <v>0</v>
      </c>
      <c r="CD7" s="45">
        <v>0</v>
      </c>
      <c r="CE7" s="12">
        <f>IF(SUM(BP7,BT7)&gt;0,SUM(BP7,BT7),"")</f>
        <v>10.3</v>
      </c>
      <c r="CF7" s="12">
        <f>IF(SUM(BX7,CB7)&gt;0,SUM(BX7,CB7),"")</f>
        <v>7.6999999999999993</v>
      </c>
      <c r="CG7" s="12">
        <f>IF(SUM(BO7:BP7,BR7)-BQ7&gt;0,SUM(BO7:BP7,BR7)-BQ7,"")</f>
        <v>30.8</v>
      </c>
      <c r="CH7" s="12">
        <f>IF(SUM(BS7:BT7,BV7)-BU7&gt;0,SUM(BS7:BT7,BV7)-BU7,"")</f>
        <v>30.4</v>
      </c>
      <c r="CI7" s="12">
        <f>IF(SUM(CG7:CH7)&gt;0,SUM(CG7:CH7),"")</f>
        <v>61.2</v>
      </c>
      <c r="CJ7" s="12">
        <f>IF(SUM(BW7:BX7,BZ7:CB7,CD7)-SUM(BY7,CC7)&gt;0,SUM(BW7:BX7,BZ7:CB7,CD7)-SUM(BY7,CC7),"")</f>
        <v>55</v>
      </c>
      <c r="CK7" s="12">
        <f>IF(SUM(CI7,CJ7)&gt;0,SUM(CI7,CJ7),"")</f>
        <v>116.2</v>
      </c>
      <c r="CL7" s="28" t="str">
        <f>IF(MAX(DG7,ED7,FA7,FX7,GU7,HR7,IO7,JL7,KI7,LF7,MC7,MZ7)-L7&gt;0.001,MAX(DG7,ED7,FA7,FX7,GU7,HR7,IO7,JL7,KI7,LF7,MC7,MZ7)-L7,"")</f>
        <v/>
      </c>
      <c r="CM7" s="28" t="str">
        <f>IF(MAX(DH7,EE7,FB7,FY7,GV7,HS7,IP7,JM7,KJ7,LG7,MD7,NA7)-N7&gt;0.001,MAX(DH7,EE7,FB7,FY7,GV7,HS7,IP7,JM7,KJ7,LG7,MD7,NA7)-N7,"")</f>
        <v/>
      </c>
      <c r="CN7" s="28" t="str">
        <f>IF(MAX(DJ7,EG7,FD7,GA7,GX7,HU7,IR7,JO7,KL7,LI7,MF7,NC7)-P7&gt;0.001,MAX(DJ7,EG7,FD7,GA7,GX7,HU7,IR7,JO7,KL7,LI7,MF7,NC7)-P7,"")</f>
        <v/>
      </c>
      <c r="CO7" s="45"/>
      <c r="CP7" s="45"/>
      <c r="CQ7" s="45"/>
      <c r="CR7" s="45"/>
      <c r="CS7" s="45"/>
      <c r="CT7" s="45"/>
      <c r="CU7" s="45"/>
      <c r="CV7" s="45"/>
      <c r="CW7" s="45"/>
      <c r="CX7" s="45"/>
      <c r="CY7" s="45"/>
      <c r="CZ7" s="45"/>
      <c r="DA7" s="45"/>
      <c r="DB7" s="45"/>
      <c r="DC7" s="45"/>
      <c r="DD7" s="45"/>
      <c r="DE7" s="12" t="str">
        <f>IF(SUM(CP7,CT7)&gt;0,SUM(CP7,CT7),"")</f>
        <v/>
      </c>
      <c r="DF7" s="12" t="str">
        <f>IF(SUM(CX7,DB7)&gt;0,SUM(CX7,DB7),"")</f>
        <v/>
      </c>
      <c r="DG7" s="12" t="str">
        <f>IF(SUM(CO7:CP7,CR7)-CQ7&gt;0,SUM(CO7:CP7,CR7)-CQ7,"")</f>
        <v/>
      </c>
      <c r="DH7" s="12" t="str">
        <f>IF(SUM(CS7:CT7,CV7)-CU7&gt;0,SUM(CS7:CT7,CV7)-CU7,"")</f>
        <v/>
      </c>
      <c r="DI7" s="12" t="str">
        <f>IF(SUM(DG7:DH7)&gt;0,SUM(DG7:DH7),"")</f>
        <v/>
      </c>
      <c r="DJ7" s="12" t="str">
        <f>IF(SUM(CW7:CX7,CZ7:DB7,DD7)-SUM(CY7,DC7)&gt;0,SUM(CW7:CX7,CZ7:DB7,DD7)-SUM(CY7,DC7),"")</f>
        <v/>
      </c>
      <c r="DK7" s="12" t="str">
        <f>IF(SUM(DI7,DJ7)&gt;0,SUM(DI7,DJ7),"")</f>
        <v/>
      </c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15" t="str">
        <f>IF(SUM(DM7,DQ7)&gt;0,SUM(DM7,DQ7),"")</f>
        <v/>
      </c>
      <c r="EC7" s="15" t="str">
        <f>IF(SUM(DU7,DY7)&gt;0,SUM(DU7,DY7),"")</f>
        <v/>
      </c>
      <c r="ED7" s="15" t="str">
        <f>IF(SUM(DL7:DM7,DO7)-DN7&gt;0,SUM(DL7:DM7,DO7)-DN7,"")</f>
        <v/>
      </c>
      <c r="EE7" s="15" t="str">
        <f>IF(SUM(DP7:DQ7,DS7)-DR7&gt;0,SUM(DP7:DQ7,DS7)-DR7,"")</f>
        <v/>
      </c>
      <c r="EF7" s="15" t="str">
        <f>IF(SUM(ED7:EE7)&gt;0,SUM(ED7:EE7),"")</f>
        <v/>
      </c>
      <c r="EG7" s="15" t="str">
        <f>IF(SUM(DT7:DU7,DW7:DY7,EA7)-SUM(DV7,DZ7)&gt;0,SUM(DT7:DU7,DW7:DY7,EA7)-SUM(DV7,DZ7),"")</f>
        <v/>
      </c>
      <c r="EH7" s="15" t="str">
        <f>IF(SUM(EF7,EG7)&gt;0,SUM(EF7,EG7),"")</f>
        <v/>
      </c>
      <c r="EI7" s="45"/>
      <c r="EJ7" s="45"/>
      <c r="EK7" s="45"/>
      <c r="EL7" s="45"/>
      <c r="EM7" s="45"/>
      <c r="EN7" s="45"/>
      <c r="EO7" s="45"/>
      <c r="EP7" s="45"/>
      <c r="EQ7" s="45"/>
      <c r="ER7" s="45"/>
      <c r="ES7" s="45"/>
      <c r="ET7" s="45"/>
      <c r="EU7" s="45"/>
      <c r="EV7" s="45"/>
      <c r="EW7" s="45"/>
      <c r="EX7" s="45"/>
      <c r="EY7" s="12" t="str">
        <f>IF(SUM(EJ7,EN7)&gt;0,SUM(EJ7,EN7),"")</f>
        <v/>
      </c>
      <c r="EZ7" s="12" t="str">
        <f>IF(SUM(ER7,EV7)&gt;0,SUM(ER7,EV7),"")</f>
        <v/>
      </c>
      <c r="FA7" s="12" t="str">
        <f>IF(SUM(EI7:EJ7,EL7)-EK7&gt;0,SUM(EI7:EJ7,EL7)-EK7,"")</f>
        <v/>
      </c>
      <c r="FB7" s="12" t="str">
        <f>IF(SUM(EM7:EN7,EP7)-EO7&gt;0,SUM(EM7:EN7,EP7)-EO7,"")</f>
        <v/>
      </c>
      <c r="FC7" s="12" t="str">
        <f>IF(SUM(FA7:FB7)&gt;0,SUM(FA7:FB7),"")</f>
        <v/>
      </c>
      <c r="FD7" s="12" t="str">
        <f>IF(SUM(EQ7:ER7,ET7:EV7,EX7)-SUM(ES7,EW7)&gt;0,SUM(EQ7:ER7,ET7:EV7,EX7)-SUM(ES7,EW7),"")</f>
        <v/>
      </c>
      <c r="FE7" s="12" t="str">
        <f>IF(SUM(FC7,FD7)&gt;0,SUM(FC7,FD7),"")</f>
        <v/>
      </c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15" t="str">
        <f>IF(SUM(FG7,FK7)&gt;0,SUM(FG7,FK7),"")</f>
        <v/>
      </c>
      <c r="FW7" s="15" t="str">
        <f>IF(SUM(FO7,FS7)&gt;0,SUM(FO7,FS7),"")</f>
        <v/>
      </c>
      <c r="FX7" s="15" t="str">
        <f>IF(SUM(FF7:FG7,FI7)-FH7&gt;0,SUM(FF7:FG7,FI7)-FH7,"")</f>
        <v/>
      </c>
      <c r="FY7" s="15" t="str">
        <f>IF(SUM(FJ7:FK7,FM7)-FL7&gt;0,SUM(FJ7:FK7,FM7)-FL7,"")</f>
        <v/>
      </c>
      <c r="FZ7" s="15" t="str">
        <f>IF(SUM(FX7:FY7)&gt;0,SUM(FX7:FY7),"")</f>
        <v/>
      </c>
      <c r="GA7" s="15" t="str">
        <f>IF(SUM(FN7:FO7,FQ7:FS7,FU7)-SUM(FP7,FT7)&gt;0,SUM(FN7:FO7,FQ7:FS7,FU7)-SUM(FP7,FT7),"")</f>
        <v/>
      </c>
      <c r="GB7" s="15" t="str">
        <f>IF(SUM(FZ7,GA7)&gt;0,SUM(FZ7,GA7),"")</f>
        <v/>
      </c>
      <c r="GC7" s="45"/>
      <c r="GD7" s="45"/>
      <c r="GE7" s="45"/>
      <c r="GF7" s="45"/>
      <c r="GG7" s="45"/>
      <c r="GH7" s="45"/>
      <c r="GI7" s="45"/>
      <c r="GJ7" s="45"/>
      <c r="GK7" s="45"/>
      <c r="GL7" s="45"/>
      <c r="GM7" s="45"/>
      <c r="GN7" s="45"/>
      <c r="GO7" s="45"/>
      <c r="GP7" s="45"/>
      <c r="GQ7" s="45"/>
      <c r="GR7" s="45"/>
      <c r="GS7" s="12" t="str">
        <f>IF(SUM(GD7,GH7)&gt;0,SUM(GD7,GH7),"")</f>
        <v/>
      </c>
      <c r="GT7" s="12" t="str">
        <f>IF(SUM(GL7,GP7)&gt;0,SUM(GL7,GP7),"")</f>
        <v/>
      </c>
      <c r="GU7" s="12" t="str">
        <f>IF(SUM(GC7:GD7,GF7)-GE7&gt;0,SUM(GC7:GD7,GF7)-GE7,"")</f>
        <v/>
      </c>
      <c r="GV7" s="12" t="str">
        <f>IF(SUM(GG7:GH7,GJ7)-GI7&gt;0,SUM(GG7:GH7,GJ7)-GI7,"")</f>
        <v/>
      </c>
      <c r="GW7" s="12" t="str">
        <f>IF(SUM(GU7:GV7)&gt;0,SUM(GU7:GV7),"")</f>
        <v/>
      </c>
      <c r="GX7" s="12" t="str">
        <f>IF(SUM(GK7:GL7,GN7:GP7,GR7)-SUM(GM7,GQ7)&gt;0,SUM(GK7:GL7,GN7:GP7,GR7)-SUM(GM7,GQ7),"")</f>
        <v/>
      </c>
      <c r="GY7" s="12" t="str">
        <f>IF(SUM(GW7,GX7)&gt;0,SUM(GW7,GX7),"")</f>
        <v/>
      </c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15" t="str">
        <f>IF(SUM(HA7,HE7)&gt;0,SUM(HA7,HE7),"")</f>
        <v/>
      </c>
      <c r="HQ7" s="15" t="str">
        <f>IF(SUM(HI7,HM7)&gt;0,SUM(HI7,HM7),"")</f>
        <v/>
      </c>
      <c r="HR7" s="15" t="str">
        <f>IF(SUM(GZ7:HA7,HC7)-HB7&gt;0,SUM(GZ7:HA7,HC7)-HB7,"")</f>
        <v/>
      </c>
      <c r="HS7" s="15" t="str">
        <f>IF(SUM(HD7:HE7,HG7)-HF7&gt;0,SUM(HD7:HE7,HG7)-HF7,"")</f>
        <v/>
      </c>
      <c r="HT7" s="15" t="str">
        <f>IF(SUM(HR7:HS7)&gt;0,SUM(HR7:HS7),"")</f>
        <v/>
      </c>
      <c r="HU7" s="15" t="str">
        <f>IF(SUM(HH7:HI7,HK7:HM7,HO7)-SUM(HJ7,HN7)&gt;0,SUM(HH7:HI7,HK7:HM7,HO7)-SUM(HJ7,HN7),"")</f>
        <v/>
      </c>
      <c r="HV7" s="15" t="str">
        <f>IF(SUM(HT7,HU7)&gt;0,SUM(HT7,HU7),"")</f>
        <v/>
      </c>
      <c r="HW7" s="45"/>
      <c r="HX7" s="45"/>
      <c r="HY7" s="45"/>
      <c r="HZ7" s="45"/>
      <c r="IA7" s="45"/>
      <c r="IB7" s="45"/>
      <c r="IC7" s="45"/>
      <c r="ID7" s="45"/>
      <c r="IE7" s="45"/>
      <c r="IF7" s="45"/>
      <c r="IG7" s="45"/>
      <c r="IH7" s="45"/>
      <c r="II7" s="45"/>
      <c r="IJ7" s="45"/>
      <c r="IK7" s="45"/>
      <c r="IL7" s="45"/>
      <c r="IM7" s="12" t="str">
        <f>IF(SUM(HX7,IB7)&gt;0,SUM(HX7,IB7),"")</f>
        <v/>
      </c>
      <c r="IN7" s="12" t="str">
        <f>IF(SUM(IF7,IJ7)&gt;0,SUM(IF7,IJ7),"")</f>
        <v/>
      </c>
      <c r="IO7" s="12" t="str">
        <f>IF(SUM(HW7:HX7,HZ7)-HY7&gt;0,SUM(HW7:HX7,HZ7)-HY7,"")</f>
        <v/>
      </c>
      <c r="IP7" s="12" t="str">
        <f>IF(SUM(IA7:IB7,ID7)-IC7&gt;0,SUM(IA7:IB7,ID7)-IC7,"")</f>
        <v/>
      </c>
      <c r="IQ7" s="12" t="str">
        <f>IF(SUM(IO7:IP7)&gt;0,SUM(IO7:IP7),"")</f>
        <v/>
      </c>
      <c r="IR7" s="12" t="str">
        <f>IF(SUM(IE7:IF7,IH7:IJ7,IL7)-SUM(IG7,IK7)&gt;0,SUM(IE7:IF7,IH7:IJ7,IL7)-SUM(IG7,IK7),"")</f>
        <v/>
      </c>
      <c r="IS7" s="12" t="str">
        <f>IF(SUM(IQ7,IR7)&gt;0,SUM(IQ7,IR7),"")</f>
        <v/>
      </c>
      <c r="IT7" s="46"/>
      <c r="IU7" s="46"/>
      <c r="IV7" s="46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15" t="str">
        <f>IF(SUM(IU7,IY7)&gt;0,SUM(IU7,IY7),"")</f>
        <v/>
      </c>
      <c r="JK7" s="15" t="str">
        <f>IF(SUM(JC7,JG7)&gt;0,SUM(JC7,JG7),"")</f>
        <v/>
      </c>
      <c r="JL7" s="15" t="str">
        <f>IF(SUM(IT7:IU7,IW7)-IV7&gt;0,SUM(IT7:IU7,IW7)-IV7,"")</f>
        <v/>
      </c>
      <c r="JM7" s="15" t="str">
        <f>IF(SUM(IX7:IY7,JA7)-IZ7&gt;0,SUM(IX7:IY7,JA7)-IZ7,"")</f>
        <v/>
      </c>
      <c r="JN7" s="15" t="str">
        <f>IF(SUM(JL7:JM7)&gt;0,SUM(JL7:JM7),"")</f>
        <v/>
      </c>
      <c r="JO7" s="15" t="str">
        <f>IF(SUM(JB7:JC7,JE7:JG7,JI7)-SUM(JD7,JH7)&gt;0,SUM(JB7:JC7,JE7:JG7,JI7)-SUM(JD7,JH7),"")</f>
        <v/>
      </c>
      <c r="JP7" s="15" t="str">
        <f>IF(SUM(JN7,JO7)&gt;0,SUM(JN7,JO7),"")</f>
        <v/>
      </c>
      <c r="JQ7" s="45"/>
      <c r="JR7" s="45"/>
      <c r="JS7" s="45"/>
      <c r="JT7" s="45"/>
      <c r="JU7" s="45"/>
      <c r="JV7" s="45"/>
      <c r="JW7" s="45"/>
      <c r="JX7" s="45"/>
      <c r="JY7" s="45"/>
      <c r="JZ7" s="45"/>
      <c r="KA7" s="45"/>
      <c r="KB7" s="45"/>
      <c r="KC7" s="45"/>
      <c r="KD7" s="45"/>
      <c r="KE7" s="45"/>
      <c r="KF7" s="45"/>
      <c r="KG7" s="12" t="str">
        <f>IF(SUM(JR7,JV7)&gt;0,SUM(JR7,JV7),"")</f>
        <v/>
      </c>
      <c r="KH7" s="12" t="str">
        <f>IF(SUM(JZ7,KD7)&gt;0,SUM(JZ7,KD7),"")</f>
        <v/>
      </c>
      <c r="KI7" s="12" t="str">
        <f>IF(SUM(JQ7:JR7,JT7)-JS7&gt;0,SUM(JQ7:JR7,JT7)-JS7,"")</f>
        <v/>
      </c>
      <c r="KJ7" s="12" t="str">
        <f>IF(SUM(JU7:JV7,JX7)-JW7&gt;0,SUM(JU7:JV7,JX7)-JW7,"")</f>
        <v/>
      </c>
      <c r="KK7" s="12" t="str">
        <f>IF(SUM(KI7:KJ7)&gt;0,SUM(KI7:KJ7),"")</f>
        <v/>
      </c>
      <c r="KL7" s="12" t="str">
        <f>IF(SUM(JY7:JZ7,KB7:KD7,KF7)-SUM(KA7,KE7)&gt;0,SUM(JY7:JZ7,KB7:KD7,KF7)-SUM(KA7,KE7),"")</f>
        <v/>
      </c>
      <c r="KM7" s="12" t="str">
        <f>IF(SUM(KK7,KL7)&gt;0,SUM(KK7,KL7),"")</f>
        <v/>
      </c>
      <c r="KN7" s="46"/>
      <c r="KO7" s="46"/>
      <c r="KP7" s="46"/>
      <c r="KQ7" s="46"/>
      <c r="KR7" s="46"/>
      <c r="KS7" s="46"/>
      <c r="KT7" s="46"/>
      <c r="KU7" s="46"/>
      <c r="KV7" s="46"/>
      <c r="KW7" s="46"/>
      <c r="KX7" s="46"/>
      <c r="KY7" s="46"/>
      <c r="KZ7" s="46"/>
      <c r="LA7" s="46"/>
      <c r="LB7" s="46"/>
      <c r="LC7" s="46"/>
      <c r="LD7" s="15" t="str">
        <f>IF(SUM(KO7,KS7)&gt;0,SUM(KO7,KS7),"")</f>
        <v/>
      </c>
      <c r="LE7" s="15" t="str">
        <f>IF(SUM(KW7,LA7)&gt;0,SUM(KW7,LA7),"")</f>
        <v/>
      </c>
      <c r="LF7" s="15" t="str">
        <f>IF(SUM(KN7:KO7,KQ7)-KP7&gt;0,SUM(KN7:KO7,KQ7)-KP7,"")</f>
        <v/>
      </c>
      <c r="LG7" s="15" t="str">
        <f>IF(SUM(KR7:KS7,KU7)-KT7&gt;0,SUM(KR7:KS7,KU7)-KT7,"")</f>
        <v/>
      </c>
      <c r="LH7" s="15" t="str">
        <f>IF(SUM(LF7:LG7)&gt;0,SUM(LF7:LG7),"")</f>
        <v/>
      </c>
      <c r="LI7" s="15" t="str">
        <f>IF(SUM(KV7:KW7,KY7:LA7,LC7)-SUM(KX7,LB7)&gt;0,SUM(KV7:KW7,KY7:LA7,LC7)-SUM(KX7,LB7),"")</f>
        <v/>
      </c>
      <c r="LJ7" s="15" t="str">
        <f>IF(SUM(LH7,LI7)&gt;0,SUM(LH7,LI7),"")</f>
        <v/>
      </c>
      <c r="LK7" s="45"/>
      <c r="LL7" s="45"/>
      <c r="LM7" s="45"/>
      <c r="LN7" s="45"/>
      <c r="LO7" s="45"/>
      <c r="LP7" s="45"/>
      <c r="LQ7" s="45"/>
      <c r="LR7" s="45"/>
      <c r="LS7" s="45"/>
      <c r="LT7" s="45"/>
      <c r="LU7" s="45"/>
      <c r="LV7" s="45"/>
      <c r="LW7" s="45"/>
      <c r="LX7" s="45"/>
      <c r="LY7" s="45"/>
      <c r="LZ7" s="45"/>
      <c r="MA7" s="12" t="str">
        <f>IF(SUM(LL7,LP7)&gt;0,SUM(LL7,LP7),"")</f>
        <v/>
      </c>
      <c r="MB7" s="12" t="str">
        <f>IF(SUM(LT7,LX7)&gt;0,SUM(LT7,LX7),"")</f>
        <v/>
      </c>
      <c r="MC7" s="12" t="str">
        <f>IF(SUM(LK7:LL7,LN7)-LM7&gt;0,SUM(LK7:LL7,LN7)-LM7,"")</f>
        <v/>
      </c>
      <c r="MD7" s="12" t="str">
        <f>IF(SUM(LO7:LP7,LR7)-LQ7&gt;0,SUM(LO7:LP7,LR7)-LQ7,"")</f>
        <v/>
      </c>
      <c r="ME7" s="12" t="str">
        <f>IF(SUM(MC7:MD7)&gt;0,SUM(MC7:MD7),"")</f>
        <v/>
      </c>
      <c r="MF7" s="12" t="str">
        <f>IF(SUM(LS7:LT7,LV7:LX7,LZ7)-SUM(LU7,LY7)&gt;0,SUM(LS7:LT7,LV7:LX7,LZ7)-SUM(LU7,LY7),"")</f>
        <v/>
      </c>
      <c r="MG7" s="12" t="str">
        <f>IF(SUM(ME7,MF7)&gt;0,SUM(ME7,MF7),"")</f>
        <v/>
      </c>
      <c r="MH7" s="46"/>
      <c r="MI7" s="46"/>
      <c r="MJ7" s="46"/>
      <c r="MK7" s="46"/>
      <c r="ML7" s="46"/>
      <c r="MM7" s="46"/>
      <c r="MN7" s="46"/>
      <c r="MO7" s="46"/>
      <c r="MP7" s="46"/>
      <c r="MQ7" s="46"/>
      <c r="MR7" s="46"/>
      <c r="MS7" s="46"/>
      <c r="MT7" s="46"/>
      <c r="MU7" s="46"/>
      <c r="MV7" s="46"/>
      <c r="MW7" s="46"/>
      <c r="MX7" s="15" t="str">
        <f>IF(SUM(MI7,MM7)&gt;0,SUM(MI7,MM7),"")</f>
        <v/>
      </c>
      <c r="MY7" s="15" t="str">
        <f>IF(SUM(MQ7,MU7)&gt;0,SUM(MQ7,MU7),"")</f>
        <v/>
      </c>
      <c r="MZ7" s="15" t="str">
        <f>IF(SUM(MH7:MI7,MK7)-MJ7&gt;0,SUM(MH7:MI7,MK7)-MJ7,"")</f>
        <v/>
      </c>
      <c r="NA7" s="15" t="str">
        <f>IF(SUM(ML7:MM7,MO7)-MN7&gt;0,SUM(ML7:MM7,MO7)-MN7,"")</f>
        <v/>
      </c>
      <c r="NB7" s="15" t="str">
        <f>IF(SUM(MZ7:NA7)&gt;0,SUM(MZ7:NA7),"")</f>
        <v/>
      </c>
      <c r="NC7" s="15" t="str">
        <f>IF(SUM(MP7:MQ7,MS7:MU7,MW7)-SUM(MR7,MV7)&gt;0,SUM(MP7:MQ7,MS7:MU7,MW7)-SUM(MR7,MV7),"")</f>
        <v/>
      </c>
      <c r="ND7" s="15" t="str">
        <f>IF(SUM(NB7,NC7)&gt;0,SUM(NB7,NC7),"")</f>
        <v/>
      </c>
    </row>
    <row r="8" spans="1:368">
      <c r="A8" s="6" t="str">
        <f>IF(AND(F8="P",H8="P"),SUMPRODUCT((F$4:F$8="P")*(H$4:H$8="P")*(E$4:E$8&gt;E8))+1,IF(H8="P",SUMPRODUCT((F$4:F$8="")*(H$4:H$8="P")*(E$4:E$8&gt;E8))+1+SUMPRODUCT((F$4:F$8="P")*(H$4:H$8="P")),""))</f>
        <v/>
      </c>
      <c r="B8" s="9" t="s">
        <v>42</v>
      </c>
      <c r="C8" s="5" t="s">
        <v>4</v>
      </c>
      <c r="D8" s="31">
        <v>1997</v>
      </c>
      <c r="E8" s="16">
        <f>SUM(J8:R8)</f>
        <v>172.7</v>
      </c>
      <c r="F8" s="4" t="str">
        <f>IF(OR(AND($AK8&gt;=$AL$11,NOT($AK8="")),AND($BH8&gt;=$BI$11,NOT($BH8="")),AND($CE8&gt;=$CF$11,NOT($CE8=""))),"P","")</f>
        <v/>
      </c>
      <c r="G8" s="4" t="str">
        <f>IF(OR(AND($AK8&gt;=$AL$12,NOT($AK8="")),AND($BH8&gt;=$BI$12,NOT($BH8="")),AND($CE8&gt;=$CF$12,NOT($CE8=""))),"P","")</f>
        <v/>
      </c>
      <c r="H8" s="4" t="str">
        <f>IF(OR(AND($AO8&gt;=$AL$13,NOT($AO8="")),AND($BL8&gt;=$BI$13,NOT($BL8="")),AND($CI8&gt;=$CF$13,NOT($CI8=""))),"P","")</f>
        <v/>
      </c>
      <c r="I8" t="str">
        <f>IF(AND(F8="P",OR(AND($AO8&gt;=$AL$16,NOT($AO8="")),AND($BL8&gt;=$BI$16,NOT($BL8="")),AND($CI8&gt;=$CF$16,NOT($CI8="")))),"Merit",IF(AND(F8="P",OR(AND($AO8&gt;=$AL$15,NOT($AO8="")),AND($BL8&gt;=$BI$15,NOT($BL8="")),AND($CI8&gt;=$CF$15,NOT($CI8="")))),"Funding",IF(AND(F8="P",OR(AND($AO8&gt;=$AL$14,NOT($AO8="")),AND($BL8&gt;=$BI$14,NOT($BL8="")),AND($CI8&gt;=$CF$14,NOT($CI8="")))),"Worlds Team",IF(AND(F8="P",OR(AND($AO8&gt;=$AL$13,NOT($AO8="")),AND($BL8&gt;=$BI$13,NOT($BL8="")),AND($CI8&gt;=$CF$13,NOT($CI8="")))),"National Team",""))))</f>
        <v/>
      </c>
      <c r="J8" s="15">
        <f>MAX(AO8,BL8,CI8)</f>
        <v>61.8</v>
      </c>
      <c r="K8" s="15" t="str">
        <f>IF(J8=CI8,$BO$1,IF(J8=BL8,$AR$1,IF(J8=AO8,$U$1,"")))</f>
        <v>2017 Canada Cup</v>
      </c>
      <c r="L8" s="15">
        <f>IF($J8=$AO8,MAX(BJ8,CG8),IF($J8=$BL8,MAX(AM8,CG8),MAX(AM8,BJ8)))</f>
        <v>24.299999999999997</v>
      </c>
      <c r="M8" s="15" t="str">
        <f>IF(L8=CG8,$BO$1,IF(L8=BJ8,$AR$1,IF(L8=AM8,$U$1,"")))</f>
        <v>2017 Nationals</v>
      </c>
      <c r="N8" s="15">
        <f>IF($J8=$AO8,MAX(BK8,CH8),IF($J8=$BL8,MAX(AN8,CH8),MAX(AN8,BK8)))</f>
        <v>29.3</v>
      </c>
      <c r="O8" s="15" t="str">
        <f>IF(N8=CH8,$BO$1,IF(N8=BK8,$AR$1,IF(N8=AN8,$U$1,"")))</f>
        <v>2017 Nationals</v>
      </c>
      <c r="P8" s="15">
        <f>MAX(AP8,BM8,CJ8)</f>
        <v>57.3</v>
      </c>
      <c r="Q8" s="15" t="str">
        <f>IF(P8=CJ8,$BO$1,IF(P8=BM8,$AR$1,IF(P8=AP8,$U$1,"")))</f>
        <v>2017 Canada Cup</v>
      </c>
      <c r="R8" s="15" t="str">
        <f>IF(MAX(CL8:CN8)&gt;0,MAX(CL8:CN8),"")</f>
        <v/>
      </c>
      <c r="S8" s="29" t="str">
        <f>IF(R8="","",IF(R8=CL8,"(Pass 1)",IF(R8=CM8,"(Pass 2)",IF(R8=CN8,"(Final)"))))</f>
        <v/>
      </c>
      <c r="T8" s="15" t="str">
        <f>IF(R8="","",IF(R8=CL8,IF(R8+L8=MZ8,$MH$1,IF(R8+L8=MC8,$LK$1,IF(R8+L8=LF8,$KN$1,IF(R8+L8=KI8,$JQ$1,IF(R8+L8=JL8,$IT$1,IF(R8+L8=IO8,$HW$1,IF(R8+L8=HR8,$GZ$1,IF(R8+L8=GU8,$GC$1,IF(R8+L8=FX8,$FF$1,IF(R8+L8=FA8,$EI$1,IF(R8+L8=ED8,$DL$1,IF(R8+L8=DG8,$CO$1)))))))))))),IF(R8=CM8,IF(R8+N8=NA8,$MH$1,IF(R8+N8=MD8,$LK$1,IF(R8+N8=LG8,$KN$1,IF(R8+N8=KJ8,$JQ$1,IF(R8+N8=JM8,$IT$1,IF(R8+N8=IP8,$HW$1,IF(R8+N8=HS8,$GZ$1,IF(R8+N8=GV8,$GC$1,IF(R8+N8=FY8,$FF$1,IF(R8+N8=FB8,$EI$1,IF(R8+N8=EE8,$DL$1,IF(R8+N8=DH8,$CO$1)))))))))))),IF(R8=CN8,IF(R8+P8=NC8,$MH$1,IF(R8+P8=MF8,$LK$1,IF(R8+P8=LI8,$KN$1,IF(R8+P8=KL8,$JQ$1,IF(R8+P8=JO8,$IT$1,IF(R8+P8=IR8,$HW$1,IF(R8+P8=HU8,$GZ$1,IF(R8+P8=GX8,$GC$1,IF(R8+P8=GA8,$FF$1,IF(R8+P8=FD8,$EI$1,IF(R8+P8=EG8,$DL$1,IF(R8+P8=DJ8,$CO$1))))))))))))))))</f>
        <v/>
      </c>
      <c r="U8" s="48">
        <v>24.8</v>
      </c>
      <c r="V8" s="48">
        <v>5.0999999999999996</v>
      </c>
      <c r="W8" s="48">
        <v>0</v>
      </c>
      <c r="X8" s="48">
        <v>1</v>
      </c>
      <c r="Y8" s="48">
        <v>26.4</v>
      </c>
      <c r="Z8" s="48">
        <v>4.5</v>
      </c>
      <c r="AA8" s="48">
        <v>0</v>
      </c>
      <c r="AB8" s="48">
        <v>0</v>
      </c>
      <c r="AC8" s="48">
        <v>23.2</v>
      </c>
      <c r="AD8" s="48">
        <v>2.9</v>
      </c>
      <c r="AE8" s="48">
        <v>0</v>
      </c>
      <c r="AF8" s="48">
        <v>1</v>
      </c>
      <c r="AG8" s="48">
        <v>25.9</v>
      </c>
      <c r="AH8" s="48">
        <v>4.3</v>
      </c>
      <c r="AI8" s="48">
        <v>0</v>
      </c>
      <c r="AJ8" s="48">
        <v>0</v>
      </c>
      <c r="AK8" s="12">
        <f>IF(SUM(V8,Z8)&gt;0,SUM(V8,Z8),"")</f>
        <v>9.6</v>
      </c>
      <c r="AL8" s="12">
        <f>IF(SUM(AD8,AH8)&gt;0,SUM(AD8,AH8),"")</f>
        <v>7.1999999999999993</v>
      </c>
      <c r="AM8" s="12">
        <f>IF(SUM(U8:V8,X8)-W8&gt;0,SUM(U8:V8,X8)-W8,"")</f>
        <v>30.9</v>
      </c>
      <c r="AN8" s="12">
        <f>IF(SUM(Y8:Z8,AB8)-AA8&gt;0,SUM(Y8:Z8,AB8)-AA8,"")</f>
        <v>30.9</v>
      </c>
      <c r="AO8" s="12">
        <f>IF(SUM(AM8:AN8)&gt;0,SUM(AM8:AN8),"")</f>
        <v>61.8</v>
      </c>
      <c r="AP8" s="12">
        <f>IF(SUM(AC8:AD8,AF8:AH8,AJ8)-SUM(AE8,AI8)&gt;0,SUM(AC8:AD8,AF8:AH8,AJ8)-SUM(AE8,AI8),"")</f>
        <v>57.3</v>
      </c>
      <c r="AQ8" s="12">
        <f>IF(SUM(AO8,AP8)&gt;0,SUM(AO8,AP8),"")</f>
        <v>119.1</v>
      </c>
      <c r="AR8" s="69">
        <v>21.5</v>
      </c>
      <c r="AS8" s="69">
        <v>3.4</v>
      </c>
      <c r="AT8" s="69">
        <v>0.6</v>
      </c>
      <c r="AU8" s="69">
        <v>0</v>
      </c>
      <c r="AV8" s="69">
        <v>25</v>
      </c>
      <c r="AW8" s="69">
        <v>4.3</v>
      </c>
      <c r="AX8" s="69">
        <v>0</v>
      </c>
      <c r="AY8" s="69">
        <v>0</v>
      </c>
      <c r="AZ8" s="69">
        <v>23.6</v>
      </c>
      <c r="BA8" s="69">
        <v>2.9</v>
      </c>
      <c r="BB8" s="69">
        <v>0</v>
      </c>
      <c r="BC8" s="69">
        <v>0</v>
      </c>
      <c r="BD8" s="69">
        <v>24.4</v>
      </c>
      <c r="BE8" s="69">
        <v>1.9</v>
      </c>
      <c r="BF8" s="69">
        <v>0</v>
      </c>
      <c r="BG8" s="69">
        <v>0</v>
      </c>
      <c r="BH8" s="15">
        <f>IF(SUM(AS8,AW8)&gt;0,SUM(AS8,AW8),"")</f>
        <v>7.6999999999999993</v>
      </c>
      <c r="BI8" s="15">
        <f>IF(SUM(BA8,BE8)&gt;0,SUM(BA8,BE8),"")</f>
        <v>4.8</v>
      </c>
      <c r="BJ8" s="15">
        <f>IF(SUM(AR8:AS8,AU8)-AT8&gt;0,SUM(AR8:AS8,AU8)-AT8,"")</f>
        <v>24.299999999999997</v>
      </c>
      <c r="BK8" s="15">
        <f>IF(SUM(AV8:AW8,AY8)-AX8&gt;0,SUM(AV8:AW8,AY8)-AX8,"")</f>
        <v>29.3</v>
      </c>
      <c r="BL8" s="15">
        <f>IF(SUM(BJ8:BK8)&gt;0,SUM(BJ8:BK8),"")</f>
        <v>53.599999999999994</v>
      </c>
      <c r="BM8" s="15">
        <f>IF(SUM(AZ8:BA8,BC8:BE8,BG8)-SUM(BB8,BF8)&gt;0,SUM(AZ8:BA8,BC8:BE8,BG8)-SUM(BB8,BF8),"")</f>
        <v>52.8</v>
      </c>
      <c r="BN8" s="15">
        <f>IF(SUM(BL8,BM8)&gt;0,SUM(BL8,BM8),"")</f>
        <v>106.39999999999999</v>
      </c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12" t="str">
        <f>IF(SUM(BP8,BT8)&gt;0,SUM(BP8,BT8),"")</f>
        <v/>
      </c>
      <c r="CF8" s="12" t="str">
        <f>IF(SUM(BX8,CB8)&gt;0,SUM(BX8,CB8),"")</f>
        <v/>
      </c>
      <c r="CG8" s="12" t="str">
        <f>IF(SUM(BO8:BP8,BR8)-BQ8&gt;0,SUM(BO8:BP8,BR8)-BQ8,"")</f>
        <v/>
      </c>
      <c r="CH8" s="12" t="str">
        <f>IF(SUM(BS8:BT8,BV8)-BU8&gt;0,SUM(BS8:BT8,BV8)-BU8,"")</f>
        <v/>
      </c>
      <c r="CI8" s="12" t="str">
        <f>IF(SUM(CG8:CH8)&gt;0,SUM(CG8:CH8),"")</f>
        <v/>
      </c>
      <c r="CJ8" s="12" t="str">
        <f>IF(SUM(BW8:BX8,BZ8:CB8,CD8)-SUM(BY8,CC8)&gt;0,SUM(BW8:BX8,BZ8:CB8,CD8)-SUM(BY8,CC8),"")</f>
        <v/>
      </c>
      <c r="CK8" s="12" t="str">
        <f>IF(SUM(CI8,CJ8)&gt;0,SUM(CI8,CJ8),"")</f>
        <v/>
      </c>
      <c r="CL8" s="28" t="str">
        <f>IF(MAX(DG8,ED8,FA8,FX8,GU8,HR8,IO8,JL8,KI8,LF8,MC8,MZ8)-L8&gt;0.001,MAX(DG8,ED8,FA8,FX8,GU8,HR8,IO8,JL8,KI8,LF8,MC8,MZ8)-L8,"")</f>
        <v/>
      </c>
      <c r="CM8" s="28" t="str">
        <f>IF(MAX(DH8,EE8,FB8,FY8,GV8,HS8,IP8,JM8,KJ8,LG8,MD8,NA8)-N8&gt;0.001,MAX(DH8,EE8,FB8,FY8,GV8,HS8,IP8,JM8,KJ8,LG8,MD8,NA8)-N8,"")</f>
        <v/>
      </c>
      <c r="CN8" s="28" t="str">
        <f>IF(MAX(DJ8,EG8,FD8,GA8,GX8,HU8,IR8,JO8,KL8,LI8,MF8,NC8)-P8&gt;0.001,MAX(DJ8,EG8,FD8,GA8,GX8,HU8,IR8,JO8,KL8,LI8,MF8,NC8)-P8,"")</f>
        <v/>
      </c>
      <c r="CO8" s="45"/>
      <c r="CP8" s="45"/>
      <c r="CQ8" s="45"/>
      <c r="CR8" s="45"/>
      <c r="CS8" s="45"/>
      <c r="CT8" s="45"/>
      <c r="CU8" s="45"/>
      <c r="CV8" s="45"/>
      <c r="CW8" s="45"/>
      <c r="CX8" s="45"/>
      <c r="CY8" s="45"/>
      <c r="CZ8" s="45"/>
      <c r="DA8" s="45"/>
      <c r="DB8" s="45"/>
      <c r="DC8" s="45"/>
      <c r="DD8" s="45"/>
      <c r="DE8" s="12" t="str">
        <f>IF(SUM(CP8,CT8)&gt;0,SUM(CP8,CT8),"")</f>
        <v/>
      </c>
      <c r="DF8" s="12" t="str">
        <f>IF(SUM(CX8,DB8)&gt;0,SUM(CX8,DB8),"")</f>
        <v/>
      </c>
      <c r="DG8" s="12" t="str">
        <f>IF(SUM(CO8:CP8,CR8)-CQ8&gt;0,SUM(CO8:CP8,CR8)-CQ8,"")</f>
        <v/>
      </c>
      <c r="DH8" s="12" t="str">
        <f>IF(SUM(CS8:CT8,CV8)-CU8&gt;0,SUM(CS8:CT8,CV8)-CU8,"")</f>
        <v/>
      </c>
      <c r="DI8" s="12" t="str">
        <f>IF(SUM(DG8:DH8)&gt;0,SUM(DG8:DH8),"")</f>
        <v/>
      </c>
      <c r="DJ8" s="12" t="str">
        <f>IF(SUM(CW8:CX8,CZ8:DB8,DD8)-SUM(CY8,DC8)&gt;0,SUM(CW8:CX8,CZ8:DB8,DD8)-SUM(CY8,DC8),"")</f>
        <v/>
      </c>
      <c r="DK8" s="12" t="str">
        <f>IF(SUM(DI8,DJ8)&gt;0,SUM(DI8,DJ8),"")</f>
        <v/>
      </c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15" t="str">
        <f>IF(SUM(DM8,DQ8)&gt;0,SUM(DM8,DQ8),"")</f>
        <v/>
      </c>
      <c r="EC8" s="15" t="str">
        <f>IF(SUM(DU8,DY8)&gt;0,SUM(DU8,DY8),"")</f>
        <v/>
      </c>
      <c r="ED8" s="15" t="str">
        <f>IF(SUM(DL8:DM8,DO8)-DN8&gt;0,SUM(DL8:DM8,DO8)-DN8,"")</f>
        <v/>
      </c>
      <c r="EE8" s="15" t="str">
        <f>IF(SUM(DP8:DQ8,DS8)-DR8&gt;0,SUM(DP8:DQ8,DS8)-DR8,"")</f>
        <v/>
      </c>
      <c r="EF8" s="15" t="str">
        <f>IF(SUM(ED8:EE8)&gt;0,SUM(ED8:EE8),"")</f>
        <v/>
      </c>
      <c r="EG8" s="15" t="str">
        <f>IF(SUM(DT8:DU8,DW8:DY8,EA8)-SUM(DV8,DZ8)&gt;0,SUM(DT8:DU8,DW8:DY8,EA8)-SUM(DV8,DZ8),"")</f>
        <v/>
      </c>
      <c r="EH8" s="15" t="str">
        <f>IF(SUM(EF8,EG8)&gt;0,SUM(EF8,EG8),"")</f>
        <v/>
      </c>
      <c r="EI8" s="45"/>
      <c r="EJ8" s="45"/>
      <c r="EK8" s="45"/>
      <c r="EL8" s="45"/>
      <c r="EM8" s="45"/>
      <c r="EN8" s="45"/>
      <c r="EO8" s="45"/>
      <c r="EP8" s="45"/>
      <c r="EQ8" s="45"/>
      <c r="ER8" s="45"/>
      <c r="ES8" s="45"/>
      <c r="ET8" s="45"/>
      <c r="EU8" s="45"/>
      <c r="EV8" s="45"/>
      <c r="EW8" s="45"/>
      <c r="EX8" s="45"/>
      <c r="EY8" s="12" t="str">
        <f>IF(SUM(EJ8,EN8)&gt;0,SUM(EJ8,EN8),"")</f>
        <v/>
      </c>
      <c r="EZ8" s="12" t="str">
        <f>IF(SUM(ER8,EV8)&gt;0,SUM(ER8,EV8),"")</f>
        <v/>
      </c>
      <c r="FA8" s="12" t="str">
        <f>IF(SUM(EI8:EJ8,EL8)-EK8&gt;0,SUM(EI8:EJ8,EL8)-EK8,"")</f>
        <v/>
      </c>
      <c r="FB8" s="12" t="str">
        <f>IF(SUM(EM8:EN8,EP8)-EO8&gt;0,SUM(EM8:EN8,EP8)-EO8,"")</f>
        <v/>
      </c>
      <c r="FC8" s="12" t="str">
        <f>IF(SUM(FA8:FB8)&gt;0,SUM(FA8:FB8),"")</f>
        <v/>
      </c>
      <c r="FD8" s="12" t="str">
        <f>IF(SUM(EQ8:ER8,ET8:EV8,EX8)-SUM(ES8,EW8)&gt;0,SUM(EQ8:ER8,ET8:EV8,EX8)-SUM(ES8,EW8),"")</f>
        <v/>
      </c>
      <c r="FE8" s="12" t="str">
        <f>IF(SUM(FC8,FD8)&gt;0,SUM(FC8,FD8),"")</f>
        <v/>
      </c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15" t="str">
        <f>IF(SUM(FG8,FK8)&gt;0,SUM(FG8,FK8),"")</f>
        <v/>
      </c>
      <c r="FW8" s="15" t="str">
        <f>IF(SUM(FO8,FS8)&gt;0,SUM(FO8,FS8),"")</f>
        <v/>
      </c>
      <c r="FX8" s="15" t="str">
        <f>IF(SUM(FF8:FG8,FI8)-FH8&gt;0,SUM(FF8:FG8,FI8)-FH8,"")</f>
        <v/>
      </c>
      <c r="FY8" s="15" t="str">
        <f>IF(SUM(FJ8:FK8,FM8)-FL8&gt;0,SUM(FJ8:FK8,FM8)-FL8,"")</f>
        <v/>
      </c>
      <c r="FZ8" s="15" t="str">
        <f>IF(SUM(FX8:FY8)&gt;0,SUM(FX8:FY8),"")</f>
        <v/>
      </c>
      <c r="GA8" s="15" t="str">
        <f>IF(SUM(FN8:FO8,FQ8:FS8,FU8)-SUM(FP8,FT8)&gt;0,SUM(FN8:FO8,FQ8:FS8,FU8)-SUM(FP8,FT8),"")</f>
        <v/>
      </c>
      <c r="GB8" s="15" t="str">
        <f>IF(SUM(FZ8,GA8)&gt;0,SUM(FZ8,GA8),"")</f>
        <v/>
      </c>
      <c r="GC8" s="45"/>
      <c r="GD8" s="45"/>
      <c r="GE8" s="45"/>
      <c r="GF8" s="45"/>
      <c r="GG8" s="45"/>
      <c r="GH8" s="45"/>
      <c r="GI8" s="45"/>
      <c r="GJ8" s="45"/>
      <c r="GK8" s="45"/>
      <c r="GL8" s="45"/>
      <c r="GM8" s="45"/>
      <c r="GN8" s="45"/>
      <c r="GO8" s="45"/>
      <c r="GP8" s="45"/>
      <c r="GQ8" s="45"/>
      <c r="GR8" s="45"/>
      <c r="GS8" s="12" t="str">
        <f>IF(SUM(GD8,GH8)&gt;0,SUM(GD8,GH8),"")</f>
        <v/>
      </c>
      <c r="GT8" s="12" t="str">
        <f>IF(SUM(GL8,GP8)&gt;0,SUM(GL8,GP8),"")</f>
        <v/>
      </c>
      <c r="GU8" s="12" t="str">
        <f>IF(SUM(GC8:GD8,GF8)-GE8&gt;0,SUM(GC8:GD8,GF8)-GE8,"")</f>
        <v/>
      </c>
      <c r="GV8" s="12" t="str">
        <f>IF(SUM(GG8:GH8,GJ8)-GI8&gt;0,SUM(GG8:GH8,GJ8)-GI8,"")</f>
        <v/>
      </c>
      <c r="GW8" s="12" t="str">
        <f>IF(SUM(GU8:GV8)&gt;0,SUM(GU8:GV8),"")</f>
        <v/>
      </c>
      <c r="GX8" s="12" t="str">
        <f>IF(SUM(GK8:GL8,GN8:GP8,GR8)-SUM(GM8,GQ8)&gt;0,SUM(GK8:GL8,GN8:GP8,GR8)-SUM(GM8,GQ8),"")</f>
        <v/>
      </c>
      <c r="GY8" s="12" t="str">
        <f>IF(SUM(GW8,GX8)&gt;0,SUM(GW8,GX8),"")</f>
        <v/>
      </c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15" t="str">
        <f>IF(SUM(HA8,HE8)&gt;0,SUM(HA8,HE8),"")</f>
        <v/>
      </c>
      <c r="HQ8" s="15" t="str">
        <f>IF(SUM(HI8,HM8)&gt;0,SUM(HI8,HM8),"")</f>
        <v/>
      </c>
      <c r="HR8" s="15" t="str">
        <f>IF(SUM(GZ8:HA8,HC8)-HB8&gt;0,SUM(GZ8:HA8,HC8)-HB8,"")</f>
        <v/>
      </c>
      <c r="HS8" s="15" t="str">
        <f>IF(SUM(HD8:HE8,HG8)-HF8&gt;0,SUM(HD8:HE8,HG8)-HF8,"")</f>
        <v/>
      </c>
      <c r="HT8" s="15" t="str">
        <f>IF(SUM(HR8:HS8)&gt;0,SUM(HR8:HS8),"")</f>
        <v/>
      </c>
      <c r="HU8" s="15" t="str">
        <f>IF(SUM(HH8:HI8,HK8:HM8,HO8)-SUM(HJ8,HN8)&gt;0,SUM(HH8:HI8,HK8:HM8,HO8)-SUM(HJ8,HN8),"")</f>
        <v/>
      </c>
      <c r="HV8" s="15" t="str">
        <f>IF(SUM(HT8,HU8)&gt;0,SUM(HT8,HU8),"")</f>
        <v/>
      </c>
      <c r="HW8" s="45"/>
      <c r="HX8" s="45"/>
      <c r="HY8" s="45"/>
      <c r="HZ8" s="45"/>
      <c r="IA8" s="45"/>
      <c r="IB8" s="45"/>
      <c r="IC8" s="45"/>
      <c r="ID8" s="45"/>
      <c r="IE8" s="45"/>
      <c r="IF8" s="45"/>
      <c r="IG8" s="45"/>
      <c r="IH8" s="45"/>
      <c r="II8" s="45"/>
      <c r="IJ8" s="45"/>
      <c r="IK8" s="45"/>
      <c r="IL8" s="45"/>
      <c r="IM8" s="12" t="str">
        <f>IF(SUM(HX8,IB8)&gt;0,SUM(HX8,IB8),"")</f>
        <v/>
      </c>
      <c r="IN8" s="12" t="str">
        <f>IF(SUM(IF8,IJ8)&gt;0,SUM(IF8,IJ8),"")</f>
        <v/>
      </c>
      <c r="IO8" s="12" t="str">
        <f>IF(SUM(HW8:HX8,HZ8)-HY8&gt;0,SUM(HW8:HX8,HZ8)-HY8,"")</f>
        <v/>
      </c>
      <c r="IP8" s="12" t="str">
        <f>IF(SUM(IA8:IB8,ID8)-IC8&gt;0,SUM(IA8:IB8,ID8)-IC8,"")</f>
        <v/>
      </c>
      <c r="IQ8" s="12" t="str">
        <f>IF(SUM(IO8:IP8)&gt;0,SUM(IO8:IP8),"")</f>
        <v/>
      </c>
      <c r="IR8" s="12" t="str">
        <f>IF(SUM(IE8:IF8,IH8:IJ8,IL8)-SUM(IG8,IK8)&gt;0,SUM(IE8:IF8,IH8:IJ8,IL8)-SUM(IG8,IK8),"")</f>
        <v/>
      </c>
      <c r="IS8" s="12" t="str">
        <f>IF(SUM(IQ8,IR8)&gt;0,SUM(IQ8,IR8),"")</f>
        <v/>
      </c>
      <c r="IT8" s="46"/>
      <c r="IU8" s="46"/>
      <c r="IV8" s="46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15" t="str">
        <f>IF(SUM(IU8,IY8)&gt;0,SUM(IU8,IY8),"")</f>
        <v/>
      </c>
      <c r="JK8" s="15" t="str">
        <f>IF(SUM(JC8,JG8)&gt;0,SUM(JC8,JG8),"")</f>
        <v/>
      </c>
      <c r="JL8" s="15" t="str">
        <f>IF(SUM(IT8:IU8,IW8)-IV8&gt;0,SUM(IT8:IU8,IW8)-IV8,"")</f>
        <v/>
      </c>
      <c r="JM8" s="15" t="str">
        <f>IF(SUM(IX8:IY8,JA8)-IZ8&gt;0,SUM(IX8:IY8,JA8)-IZ8,"")</f>
        <v/>
      </c>
      <c r="JN8" s="15" t="str">
        <f>IF(SUM(JL8:JM8)&gt;0,SUM(JL8:JM8),"")</f>
        <v/>
      </c>
      <c r="JO8" s="15" t="str">
        <f>IF(SUM(JB8:JC8,JE8:JG8,JI8)-SUM(JD8,JH8)&gt;0,SUM(JB8:JC8,JE8:JG8,JI8)-SUM(JD8,JH8),"")</f>
        <v/>
      </c>
      <c r="JP8" s="15" t="str">
        <f>IF(SUM(JN8,JO8)&gt;0,SUM(JN8,JO8),"")</f>
        <v/>
      </c>
      <c r="JQ8" s="45"/>
      <c r="JR8" s="45"/>
      <c r="JS8" s="45"/>
      <c r="JT8" s="45"/>
      <c r="JU8" s="45"/>
      <c r="JV8" s="45"/>
      <c r="JW8" s="45"/>
      <c r="JX8" s="45"/>
      <c r="JY8" s="45"/>
      <c r="JZ8" s="45"/>
      <c r="KA8" s="45"/>
      <c r="KB8" s="45"/>
      <c r="KC8" s="45"/>
      <c r="KD8" s="45"/>
      <c r="KE8" s="45"/>
      <c r="KF8" s="45"/>
      <c r="KG8" s="12" t="str">
        <f>IF(SUM(JR8,JV8)&gt;0,SUM(JR8,JV8),"")</f>
        <v/>
      </c>
      <c r="KH8" s="12" t="str">
        <f>IF(SUM(JZ8,KD8)&gt;0,SUM(JZ8,KD8),"")</f>
        <v/>
      </c>
      <c r="KI8" s="12" t="str">
        <f>IF(SUM(JQ8:JR8,JT8)-JS8&gt;0,SUM(JQ8:JR8,JT8)-JS8,"")</f>
        <v/>
      </c>
      <c r="KJ8" s="12" t="str">
        <f>IF(SUM(JU8:JV8,JX8)-JW8&gt;0,SUM(JU8:JV8,JX8)-JW8,"")</f>
        <v/>
      </c>
      <c r="KK8" s="12" t="str">
        <f>IF(SUM(KI8:KJ8)&gt;0,SUM(KI8:KJ8),"")</f>
        <v/>
      </c>
      <c r="KL8" s="12" t="str">
        <f>IF(SUM(JY8:JZ8,KB8:KD8,KF8)-SUM(KA8,KE8)&gt;0,SUM(JY8:JZ8,KB8:KD8,KF8)-SUM(KA8,KE8),"")</f>
        <v/>
      </c>
      <c r="KM8" s="12" t="str">
        <f>IF(SUM(KK8,KL8)&gt;0,SUM(KK8,KL8),"")</f>
        <v/>
      </c>
      <c r="KN8" s="46"/>
      <c r="KO8" s="46"/>
      <c r="KP8" s="46"/>
      <c r="KQ8" s="46"/>
      <c r="KR8" s="46"/>
      <c r="KS8" s="46"/>
      <c r="KT8" s="46"/>
      <c r="KU8" s="46"/>
      <c r="KV8" s="46"/>
      <c r="KW8" s="46"/>
      <c r="KX8" s="46"/>
      <c r="KY8" s="46"/>
      <c r="KZ8" s="46"/>
      <c r="LA8" s="46"/>
      <c r="LB8" s="46"/>
      <c r="LC8" s="46"/>
      <c r="LD8" s="15" t="str">
        <f>IF(SUM(KO8,KS8)&gt;0,SUM(KO8,KS8),"")</f>
        <v/>
      </c>
      <c r="LE8" s="15" t="str">
        <f>IF(SUM(KW8,LA8)&gt;0,SUM(KW8,LA8),"")</f>
        <v/>
      </c>
      <c r="LF8" s="15" t="str">
        <f>IF(SUM(KN8:KO8,KQ8)-KP8&gt;0,SUM(KN8:KO8,KQ8)-KP8,"")</f>
        <v/>
      </c>
      <c r="LG8" s="15" t="str">
        <f>IF(SUM(KR8:KS8,KU8)-KT8&gt;0,SUM(KR8:KS8,KU8)-KT8,"")</f>
        <v/>
      </c>
      <c r="LH8" s="15" t="str">
        <f>IF(SUM(LF8:LG8)&gt;0,SUM(LF8:LG8),"")</f>
        <v/>
      </c>
      <c r="LI8" s="15" t="str">
        <f>IF(SUM(KV8:KW8,KY8:LA8,LC8)-SUM(KX8,LB8)&gt;0,SUM(KV8:KW8,KY8:LA8,LC8)-SUM(KX8,LB8),"")</f>
        <v/>
      </c>
      <c r="LJ8" s="15" t="str">
        <f>IF(SUM(LH8,LI8)&gt;0,SUM(LH8,LI8),"")</f>
        <v/>
      </c>
      <c r="LK8" s="45"/>
      <c r="LL8" s="45"/>
      <c r="LM8" s="45"/>
      <c r="LN8" s="45"/>
      <c r="LO8" s="45"/>
      <c r="LP8" s="45"/>
      <c r="LQ8" s="45"/>
      <c r="LR8" s="45"/>
      <c r="LS8" s="45"/>
      <c r="LT8" s="45"/>
      <c r="LU8" s="45"/>
      <c r="LV8" s="45"/>
      <c r="LW8" s="45"/>
      <c r="LX8" s="45"/>
      <c r="LY8" s="45"/>
      <c r="LZ8" s="45"/>
      <c r="MA8" s="12" t="str">
        <f>IF(SUM(LL8,LP8)&gt;0,SUM(LL8,LP8),"")</f>
        <v/>
      </c>
      <c r="MB8" s="12" t="str">
        <f>IF(SUM(LT8,LX8)&gt;0,SUM(LT8,LX8),"")</f>
        <v/>
      </c>
      <c r="MC8" s="12" t="str">
        <f>IF(SUM(LK8:LL8,LN8)-LM8&gt;0,SUM(LK8:LL8,LN8)-LM8,"")</f>
        <v/>
      </c>
      <c r="MD8" s="12" t="str">
        <f>IF(SUM(LO8:LP8,LR8)-LQ8&gt;0,SUM(LO8:LP8,LR8)-LQ8,"")</f>
        <v/>
      </c>
      <c r="ME8" s="12" t="str">
        <f>IF(SUM(MC8:MD8)&gt;0,SUM(MC8:MD8),"")</f>
        <v/>
      </c>
      <c r="MF8" s="12" t="str">
        <f>IF(SUM(LS8:LT8,LV8:LX8,LZ8)-SUM(LU8,LY8)&gt;0,SUM(LS8:LT8,LV8:LX8,LZ8)-SUM(LU8,LY8),"")</f>
        <v/>
      </c>
      <c r="MG8" s="12" t="str">
        <f>IF(SUM(ME8,MF8)&gt;0,SUM(ME8,MF8),"")</f>
        <v/>
      </c>
      <c r="MH8" s="46"/>
      <c r="MI8" s="46"/>
      <c r="MJ8" s="46"/>
      <c r="MK8" s="46"/>
      <c r="ML8" s="46"/>
      <c r="MM8" s="46"/>
      <c r="MN8" s="46"/>
      <c r="MO8" s="46"/>
      <c r="MP8" s="46"/>
      <c r="MQ8" s="46"/>
      <c r="MR8" s="46"/>
      <c r="MS8" s="46"/>
      <c r="MT8" s="46"/>
      <c r="MU8" s="46"/>
      <c r="MV8" s="46"/>
      <c r="MW8" s="46"/>
      <c r="MX8" s="15" t="str">
        <f>IF(SUM(MI8,MM8)&gt;0,SUM(MI8,MM8),"")</f>
        <v/>
      </c>
      <c r="MY8" s="15" t="str">
        <f>IF(SUM(MQ8,MU8)&gt;0,SUM(MQ8,MU8),"")</f>
        <v/>
      </c>
      <c r="MZ8" s="15" t="str">
        <f>IF(SUM(MH8:MI8,MK8)-MJ8&gt;0,SUM(MH8:MI8,MK8)-MJ8,"")</f>
        <v/>
      </c>
      <c r="NA8" s="15" t="str">
        <f>IF(SUM(ML8:MM8,MO8)-MN8&gt;0,SUM(ML8:MM8,MO8)-MN8,"")</f>
        <v/>
      </c>
      <c r="NB8" s="15" t="str">
        <f>IF(SUM(MZ8:NA8)&gt;0,SUM(MZ8:NA8),"")</f>
        <v/>
      </c>
      <c r="NC8" s="15" t="str">
        <f>IF(SUM(MP8:MQ8,MS8:MU8,MW8)-SUM(MR8,MV8)&gt;0,SUM(MP8:MQ8,MS8:MU8,MW8)-SUM(MR8,MV8),"")</f>
        <v/>
      </c>
      <c r="ND8" s="15" t="str">
        <f>IF(SUM(NB8,NC8)&gt;0,SUM(NB8,NC8),"")</f>
        <v/>
      </c>
    </row>
    <row r="9" spans="1:368">
      <c r="D9" s="1"/>
    </row>
    <row r="11" spans="1:368">
      <c r="B11" s="88" t="s">
        <v>65</v>
      </c>
      <c r="AK11" s="62"/>
      <c r="AL11" s="70">
        <v>11.3</v>
      </c>
      <c r="BH11" s="62"/>
      <c r="BI11" s="70">
        <v>11.3</v>
      </c>
      <c r="CE11" s="62"/>
      <c r="CF11" s="70">
        <v>10.9</v>
      </c>
      <c r="DE11" s="62"/>
      <c r="DF11" s="70">
        <v>11.3</v>
      </c>
      <c r="EB11" s="62"/>
      <c r="EC11" s="70">
        <v>10.9</v>
      </c>
      <c r="EY11" s="62"/>
      <c r="EZ11" s="70">
        <v>10.9</v>
      </c>
      <c r="FV11" s="62"/>
      <c r="FW11" s="70">
        <v>10.9</v>
      </c>
      <c r="GS11" s="62"/>
      <c r="GT11" s="70">
        <v>10.9</v>
      </c>
      <c r="HP11" s="62"/>
      <c r="HQ11" s="70">
        <v>10.9</v>
      </c>
      <c r="IM11" s="62"/>
      <c r="IN11" s="70">
        <v>10.9</v>
      </c>
      <c r="JJ11" s="62"/>
      <c r="JK11" s="70">
        <v>10.9</v>
      </c>
      <c r="KG11" s="62"/>
      <c r="KH11" s="70">
        <v>10.9</v>
      </c>
      <c r="LD11" s="62"/>
      <c r="LE11" s="70">
        <v>10.9</v>
      </c>
      <c r="MA11" s="62"/>
      <c r="MB11" s="70">
        <v>10.9</v>
      </c>
      <c r="MX11" s="62"/>
      <c r="MY11" s="70">
        <v>10.9</v>
      </c>
    </row>
    <row r="12" spans="1:368" ht="16" hidden="1" customHeight="1">
      <c r="A12" s="62"/>
      <c r="B12" s="83" t="s">
        <v>64</v>
      </c>
      <c r="C12" s="61"/>
      <c r="AK12" s="62"/>
      <c r="AL12" s="71">
        <v>1000</v>
      </c>
      <c r="BH12" s="62"/>
      <c r="BI12" s="71">
        <v>1000</v>
      </c>
      <c r="CE12" s="62"/>
      <c r="CF12" s="71">
        <v>1000</v>
      </c>
      <c r="DE12" s="62"/>
      <c r="DF12" s="71">
        <v>1000</v>
      </c>
      <c r="EB12" s="62"/>
      <c r="EC12" s="71">
        <v>1000</v>
      </c>
      <c r="EY12" s="62"/>
      <c r="EZ12" s="71">
        <v>1000</v>
      </c>
      <c r="FV12" s="62"/>
      <c r="FW12" s="71">
        <v>1000</v>
      </c>
      <c r="GS12" s="62"/>
      <c r="GT12" s="71">
        <v>1000</v>
      </c>
      <c r="HP12" s="62"/>
      <c r="HQ12" s="71">
        <v>1000</v>
      </c>
      <c r="IM12" s="62"/>
      <c r="IN12" s="71">
        <v>1000</v>
      </c>
      <c r="JJ12" s="62"/>
      <c r="JK12" s="71">
        <v>1000</v>
      </c>
      <c r="KG12" s="62"/>
      <c r="KH12" s="71">
        <v>1000</v>
      </c>
      <c r="LD12" s="62"/>
      <c r="LE12" s="71">
        <v>1000</v>
      </c>
      <c r="MA12" s="62"/>
      <c r="MB12" s="71">
        <v>1000</v>
      </c>
      <c r="MX12" s="62"/>
      <c r="MY12" s="71">
        <v>1000</v>
      </c>
    </row>
    <row r="13" spans="1:368">
      <c r="A13" s="62"/>
      <c r="B13" s="84" t="s">
        <v>62</v>
      </c>
      <c r="C13" s="61"/>
      <c r="AK13" s="62"/>
      <c r="AL13" s="72">
        <v>63.3</v>
      </c>
      <c r="BH13" s="62"/>
      <c r="BI13" s="72">
        <v>63.3</v>
      </c>
      <c r="CE13" s="62"/>
      <c r="CF13" s="72">
        <v>59.9</v>
      </c>
      <c r="DE13" s="62"/>
      <c r="DF13" s="72">
        <v>63.3</v>
      </c>
      <c r="EB13" s="62"/>
      <c r="EC13" s="72">
        <v>59.9</v>
      </c>
      <c r="EY13" s="62"/>
      <c r="EZ13" s="72">
        <v>59.9</v>
      </c>
      <c r="FV13" s="62"/>
      <c r="FW13" s="72">
        <v>59.9</v>
      </c>
      <c r="GS13" s="62"/>
      <c r="GT13" s="72">
        <v>59.9</v>
      </c>
      <c r="HP13" s="62"/>
      <c r="HQ13" s="72">
        <v>59.9</v>
      </c>
      <c r="IM13" s="62"/>
      <c r="IN13" s="72">
        <v>59.9</v>
      </c>
      <c r="JJ13" s="62"/>
      <c r="JK13" s="72">
        <v>59.9</v>
      </c>
      <c r="KG13" s="62"/>
      <c r="KH13" s="72">
        <v>59.9</v>
      </c>
      <c r="LD13" s="62"/>
      <c r="LE13" s="72">
        <v>59.9</v>
      </c>
      <c r="MA13" s="62"/>
      <c r="MB13" s="72">
        <v>59.9</v>
      </c>
      <c r="MX13" s="62"/>
      <c r="MY13" s="72">
        <v>59.9</v>
      </c>
    </row>
    <row r="14" spans="1:368" ht="16" hidden="1" customHeight="1">
      <c r="A14" s="62"/>
      <c r="B14" s="85" t="s">
        <v>63</v>
      </c>
      <c r="C14" s="61"/>
      <c r="AK14" s="62"/>
      <c r="AL14" s="73">
        <v>1000</v>
      </c>
      <c r="BH14" s="62"/>
      <c r="BI14" s="73">
        <v>1000</v>
      </c>
      <c r="CE14" s="62"/>
      <c r="CF14" s="73">
        <v>1000</v>
      </c>
      <c r="DE14" s="62"/>
      <c r="DF14" s="73">
        <v>1000</v>
      </c>
      <c r="EB14" s="62"/>
      <c r="EC14" s="73">
        <v>1000</v>
      </c>
      <c r="EY14" s="62"/>
      <c r="EZ14" s="73">
        <v>1000</v>
      </c>
      <c r="FV14" s="62"/>
      <c r="FW14" s="73">
        <v>1000</v>
      </c>
      <c r="GS14" s="62"/>
      <c r="GT14" s="73">
        <v>1000</v>
      </c>
      <c r="HP14" s="62"/>
      <c r="HQ14" s="73">
        <v>1000</v>
      </c>
      <c r="IM14" s="62"/>
      <c r="IN14" s="73">
        <v>1000</v>
      </c>
      <c r="JJ14" s="62"/>
      <c r="JK14" s="73">
        <v>1000</v>
      </c>
      <c r="KG14" s="62"/>
      <c r="KH14" s="73">
        <v>1000</v>
      </c>
      <c r="LD14" s="62"/>
      <c r="LE14" s="73">
        <v>1000</v>
      </c>
      <c r="MA14" s="62"/>
      <c r="MB14" s="73">
        <v>1000</v>
      </c>
      <c r="MX14" s="62"/>
      <c r="MY14" s="73">
        <v>1000</v>
      </c>
    </row>
    <row r="15" spans="1:368" ht="16" hidden="1" customHeight="1">
      <c r="A15" s="62"/>
      <c r="B15" s="86" t="s">
        <v>27</v>
      </c>
      <c r="C15" s="61"/>
      <c r="AK15" s="62"/>
      <c r="AL15" s="74">
        <v>1000</v>
      </c>
      <c r="BH15" s="62"/>
      <c r="BI15" s="74">
        <v>1000</v>
      </c>
      <c r="CE15" s="62"/>
      <c r="CF15" s="74">
        <v>1000</v>
      </c>
      <c r="DE15" s="62"/>
      <c r="DF15" s="74">
        <v>1000</v>
      </c>
      <c r="EB15" s="62"/>
      <c r="EC15" s="74">
        <v>1000</v>
      </c>
      <c r="EY15" s="62"/>
      <c r="EZ15" s="74">
        <v>1000</v>
      </c>
      <c r="FV15" s="62"/>
      <c r="FW15" s="74">
        <v>1000</v>
      </c>
      <c r="GS15" s="62"/>
      <c r="GT15" s="74">
        <v>1000</v>
      </c>
      <c r="HP15" s="62"/>
      <c r="HQ15" s="74">
        <v>1000</v>
      </c>
      <c r="IM15" s="62"/>
      <c r="IN15" s="74">
        <v>1000</v>
      </c>
      <c r="JJ15" s="62"/>
      <c r="JK15" s="74">
        <v>1000</v>
      </c>
      <c r="KG15" s="62"/>
      <c r="KH15" s="74">
        <v>1000</v>
      </c>
      <c r="LD15" s="62"/>
      <c r="LE15" s="74">
        <v>1000</v>
      </c>
      <c r="MA15" s="62"/>
      <c r="MB15" s="74">
        <v>1000</v>
      </c>
      <c r="MX15" s="62"/>
      <c r="MY15" s="74">
        <v>1000</v>
      </c>
    </row>
    <row r="16" spans="1:368" ht="16" hidden="1" customHeight="1">
      <c r="A16" s="62"/>
      <c r="B16" s="87" t="s">
        <v>48</v>
      </c>
      <c r="C16" s="61"/>
      <c r="AK16" s="62"/>
      <c r="AL16" s="75">
        <v>1000</v>
      </c>
      <c r="BH16" s="62"/>
      <c r="BI16" s="75">
        <v>1000</v>
      </c>
      <c r="CE16" s="62"/>
      <c r="CF16" s="75">
        <v>1000</v>
      </c>
      <c r="DE16" s="62"/>
      <c r="DF16" s="75">
        <v>1000</v>
      </c>
      <c r="EB16" s="62"/>
      <c r="EC16" s="75">
        <v>1000</v>
      </c>
      <c r="EY16" s="62"/>
      <c r="EZ16" s="75">
        <v>1000</v>
      </c>
      <c r="FV16" s="62"/>
      <c r="FW16" s="75">
        <v>1000</v>
      </c>
      <c r="GS16" s="62"/>
      <c r="GT16" s="75">
        <v>1000</v>
      </c>
      <c r="HP16" s="62"/>
      <c r="HQ16" s="75">
        <v>1000</v>
      </c>
      <c r="IM16" s="62"/>
      <c r="IN16" s="75">
        <v>1000</v>
      </c>
      <c r="JJ16" s="62"/>
      <c r="JK16" s="75">
        <v>1000</v>
      </c>
      <c r="KG16" s="62"/>
      <c r="KH16" s="75">
        <v>1000</v>
      </c>
      <c r="LD16" s="62"/>
      <c r="LE16" s="75">
        <v>1000</v>
      </c>
      <c r="MA16" s="62"/>
      <c r="MB16" s="75">
        <v>1000</v>
      </c>
      <c r="MX16" s="62"/>
      <c r="MY16" s="75">
        <v>1000</v>
      </c>
    </row>
    <row r="17" spans="1:362">
      <c r="C17" s="3"/>
      <c r="AK17" s="7"/>
      <c r="AL17" t="s">
        <v>121</v>
      </c>
      <c r="BH17" s="7"/>
      <c r="BI17" t="s">
        <v>121</v>
      </c>
      <c r="CE17" s="7"/>
      <c r="DE17" s="7"/>
      <c r="DF17" t="s">
        <v>121</v>
      </c>
      <c r="EB17" s="7"/>
      <c r="EY17" s="7"/>
      <c r="FV17" s="7"/>
      <c r="GS17" s="7"/>
      <c r="HP17" s="7"/>
      <c r="IM17" s="7"/>
      <c r="JJ17" s="7"/>
      <c r="KG17" s="7"/>
      <c r="LD17" s="7"/>
      <c r="MA17" s="7"/>
      <c r="MX17" s="7"/>
    </row>
    <row r="18" spans="1:362">
      <c r="A18" s="62"/>
      <c r="B18" s="62"/>
      <c r="C18" s="61"/>
      <c r="BH18" s="7"/>
      <c r="BI18" s="7"/>
      <c r="EY18" s="7"/>
      <c r="EZ18" s="7"/>
      <c r="KG18" s="7"/>
      <c r="KH18" s="7"/>
    </row>
    <row r="19" spans="1:362" ht="17">
      <c r="A19" s="62"/>
      <c r="B19" s="62"/>
      <c r="C19" s="61"/>
      <c r="R19" s="21"/>
      <c r="S19" s="21"/>
      <c r="T19" s="21"/>
    </row>
    <row r="20" spans="1:362" ht="17">
      <c r="A20" s="62"/>
      <c r="B20" s="62"/>
      <c r="C20" s="61"/>
      <c r="R20" s="21"/>
      <c r="S20" s="21"/>
      <c r="T20" s="21"/>
    </row>
    <row r="21" spans="1:362" ht="17">
      <c r="R21" s="21"/>
      <c r="S21" s="21"/>
      <c r="T21" s="21"/>
    </row>
    <row r="22" spans="1:362" ht="17">
      <c r="R22" s="21"/>
      <c r="S22" s="21"/>
      <c r="T22" s="21"/>
    </row>
    <row r="23" spans="1:362" ht="17">
      <c r="R23" s="21"/>
      <c r="S23" s="21"/>
      <c r="T23" s="21"/>
    </row>
    <row r="24" spans="1:362" ht="17">
      <c r="R24" s="21"/>
      <c r="S24" s="21"/>
      <c r="T24" s="21"/>
    </row>
    <row r="25" spans="1:362" ht="17">
      <c r="R25" s="21"/>
      <c r="S25" s="21"/>
      <c r="T25" s="21"/>
    </row>
    <row r="26" spans="1:362" ht="17">
      <c r="R26" s="21"/>
      <c r="S26" s="21"/>
      <c r="T26" s="21"/>
    </row>
    <row r="27" spans="1:362" ht="17">
      <c r="R27" s="21"/>
      <c r="S27" s="21"/>
      <c r="T27" s="21"/>
    </row>
    <row r="28" spans="1:362" ht="17">
      <c r="R28" s="21"/>
      <c r="S28" s="21"/>
      <c r="T28" s="21"/>
    </row>
    <row r="29" spans="1:362" ht="17">
      <c r="R29" s="21"/>
      <c r="S29" s="21"/>
      <c r="T29" s="21"/>
    </row>
    <row r="30" spans="1:362" ht="17">
      <c r="R30" s="21"/>
      <c r="S30" s="21"/>
      <c r="T30" s="21"/>
    </row>
    <row r="31" spans="1:362" ht="17">
      <c r="R31" s="21"/>
      <c r="S31" s="21"/>
      <c r="T31" s="21"/>
    </row>
    <row r="32" spans="1:362" ht="17">
      <c r="R32" s="21"/>
      <c r="S32" s="21"/>
      <c r="T32" s="21"/>
    </row>
    <row r="33" spans="18:20" ht="17">
      <c r="R33" s="21"/>
      <c r="S33" s="21"/>
      <c r="T33" s="21"/>
    </row>
    <row r="34" spans="18:20" ht="17">
      <c r="R34" s="21"/>
      <c r="S34" s="21"/>
      <c r="T34" s="21"/>
    </row>
    <row r="35" spans="18:20" ht="17">
      <c r="R35" s="21"/>
      <c r="S35" s="21"/>
      <c r="T35" s="21"/>
    </row>
    <row r="36" spans="18:20" ht="17">
      <c r="R36" s="21"/>
      <c r="S36" s="21"/>
      <c r="T36" s="21"/>
    </row>
    <row r="37" spans="18:20" ht="17">
      <c r="R37" s="21"/>
      <c r="S37" s="21"/>
      <c r="T37" s="21"/>
    </row>
    <row r="38" spans="18:20" ht="17">
      <c r="R38" s="21"/>
      <c r="S38" s="21"/>
      <c r="T38" s="21"/>
    </row>
  </sheetData>
  <sheetProtection sheet="1" objects="1" scenarios="1" formatCells="0" formatColumns="0" formatRows="0"/>
  <autoFilter ref="A1:ND3" xr:uid="{00000000-0009-0000-0000-000005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sortState ref="A4:ND8">
      <sortCondition descending="1" ref="F1:F8"/>
    </sortState>
  </autoFilter>
  <mergeCells count="96">
    <mergeCell ref="CO1:DK1"/>
    <mergeCell ref="CO2:CR2"/>
    <mergeCell ref="CS2:CV2"/>
    <mergeCell ref="CW2:CZ2"/>
    <mergeCell ref="DA2:DD2"/>
    <mergeCell ref="BW2:BZ2"/>
    <mergeCell ref="CA2:CD2"/>
    <mergeCell ref="CL1:CN1"/>
    <mergeCell ref="BO1:CK1"/>
    <mergeCell ref="BO2:BR2"/>
    <mergeCell ref="BS2:BV2"/>
    <mergeCell ref="DL1:EH1"/>
    <mergeCell ref="DL2:DO2"/>
    <mergeCell ref="DP2:DS2"/>
    <mergeCell ref="DT2:DW2"/>
    <mergeCell ref="DX2:EA2"/>
    <mergeCell ref="T1:T3"/>
    <mergeCell ref="M1:M3"/>
    <mergeCell ref="K1:K3"/>
    <mergeCell ref="L1:L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N1:N3"/>
    <mergeCell ref="P1:P3"/>
    <mergeCell ref="BD2:BG2"/>
    <mergeCell ref="U2:X2"/>
    <mergeCell ref="Y2:AB2"/>
    <mergeCell ref="AG2:AJ2"/>
    <mergeCell ref="AR2:AU2"/>
    <mergeCell ref="AV2:AY2"/>
    <mergeCell ref="AC2:AF2"/>
    <mergeCell ref="AZ2:BC2"/>
    <mergeCell ref="O1:O3"/>
    <mergeCell ref="Q1:Q3"/>
    <mergeCell ref="S1:S3"/>
    <mergeCell ref="FF1:GB1"/>
    <mergeCell ref="EI2:EL2"/>
    <mergeCell ref="EM2:EP2"/>
    <mergeCell ref="EQ2:ET2"/>
    <mergeCell ref="EU2:EX2"/>
    <mergeCell ref="FF2:FI2"/>
    <mergeCell ref="FJ2:FM2"/>
    <mergeCell ref="FN2:FQ2"/>
    <mergeCell ref="FR2:FU2"/>
    <mergeCell ref="EI1:FE1"/>
    <mergeCell ref="R1:R3"/>
    <mergeCell ref="U1:AQ1"/>
    <mergeCell ref="AR1:BN1"/>
    <mergeCell ref="GC1:GY1"/>
    <mergeCell ref="GZ1:HV1"/>
    <mergeCell ref="GC2:GF2"/>
    <mergeCell ref="GG2:GJ2"/>
    <mergeCell ref="GK2:GN2"/>
    <mergeCell ref="GO2:GR2"/>
    <mergeCell ref="GZ2:HC2"/>
    <mergeCell ref="HD2:HG2"/>
    <mergeCell ref="HH2:HK2"/>
    <mergeCell ref="HL2:HO2"/>
    <mergeCell ref="HW1:IS1"/>
    <mergeCell ref="IT1:JP1"/>
    <mergeCell ref="HW2:HZ2"/>
    <mergeCell ref="IA2:ID2"/>
    <mergeCell ref="IE2:IH2"/>
    <mergeCell ref="II2:IL2"/>
    <mergeCell ref="IT2:IW2"/>
    <mergeCell ref="IX2:JA2"/>
    <mergeCell ref="JB2:JE2"/>
    <mergeCell ref="JF2:JI2"/>
    <mergeCell ref="JQ1:KM1"/>
    <mergeCell ref="KN1:LJ1"/>
    <mergeCell ref="JQ2:JT2"/>
    <mergeCell ref="JU2:JX2"/>
    <mergeCell ref="JY2:KB2"/>
    <mergeCell ref="KC2:KF2"/>
    <mergeCell ref="KN2:KQ2"/>
    <mergeCell ref="KR2:KU2"/>
    <mergeCell ref="KV2:KY2"/>
    <mergeCell ref="KZ2:LC2"/>
    <mergeCell ref="LK1:MG1"/>
    <mergeCell ref="MH1:ND1"/>
    <mergeCell ref="LK2:LN2"/>
    <mergeCell ref="LO2:LR2"/>
    <mergeCell ref="LS2:LV2"/>
    <mergeCell ref="LW2:LZ2"/>
    <mergeCell ref="MH2:MK2"/>
    <mergeCell ref="ML2:MO2"/>
    <mergeCell ref="MP2:MS2"/>
    <mergeCell ref="MT2:MW2"/>
  </mergeCells>
  <conditionalFormatting sqref="A1:A1048576">
    <cfRule type="expression" dxfId="79" priority="19">
      <formula>AND(H1="P",F1="")</formula>
    </cfRule>
  </conditionalFormatting>
  <conditionalFormatting sqref="I1:I1048576">
    <cfRule type="containsText" dxfId="78" priority="20" operator="containsText" text="Merit">
      <formula>NOT(ISERROR(SEARCH("Merit",I1)))</formula>
    </cfRule>
    <cfRule type="containsText" dxfId="77" priority="21" operator="containsText" text="Funding">
      <formula>NOT(ISERROR(SEARCH("Funding",I1)))</formula>
    </cfRule>
    <cfRule type="containsText" dxfId="76" priority="69" operator="containsText" text="Worlds Team">
      <formula>NOT(ISERROR(SEARCH("Worlds Team",I1)))</formula>
    </cfRule>
    <cfRule type="containsText" dxfId="75" priority="70" operator="containsText" text="National Team">
      <formula>NOT(ISERROR(SEARCH("National Team",I1)))</formula>
    </cfRule>
  </conditionalFormatting>
  <conditionalFormatting sqref="K1:K1048576">
    <cfRule type="expression" dxfId="74" priority="71">
      <formula>IF(J1=CI1,1,0)</formula>
    </cfRule>
    <cfRule type="expression" dxfId="73" priority="72">
      <formula>IF(J1=BL1,1,0)</formula>
    </cfRule>
    <cfRule type="expression" dxfId="72" priority="193">
      <formula>IF(J1=AO1,1,0)</formula>
    </cfRule>
  </conditionalFormatting>
  <conditionalFormatting sqref="M1:M1048576">
    <cfRule type="expression" dxfId="71" priority="194">
      <formula>IF(L1=CG1,1,0)</formula>
    </cfRule>
    <cfRule type="expression" dxfId="70" priority="195">
      <formula>IF(L1=BJ1,1,0)</formula>
    </cfRule>
    <cfRule type="expression" dxfId="69" priority="196">
      <formula>IF(L1=AM1,1,0)</formula>
    </cfRule>
  </conditionalFormatting>
  <conditionalFormatting sqref="O1:O1048576 Q1:Q1048576">
    <cfRule type="expression" dxfId="68" priority="197">
      <formula>IF(N1=CH1,1,0)</formula>
    </cfRule>
    <cfRule type="expression" dxfId="67" priority="198">
      <formula>IF(N1=BK1,1,0)</formula>
    </cfRule>
    <cfRule type="expression" dxfId="66" priority="349">
      <formula>IF(N1=AN1,1,0)</formula>
    </cfRule>
  </conditionalFormatting>
  <conditionalFormatting sqref="AK1:AK1048576 BH1:BH1048576 CE1:CE1048576 DE1:DE1048576 EB1:EB1048576 EY1:EY1048576 FV1:FV1048576 GS1:GS1048576 HP1:HP1048576 IM1:IM1048576 JJ1:JJ1048576 KG1:KG1048576 LD1:LD1048576 MA1:MA1048576 MX1:MX1048576">
    <cfRule type="cellIs" dxfId="65" priority="2141" operator="between">
      <formula>AL$12</formula>
      <formula>100</formula>
    </cfRule>
    <cfRule type="cellIs" dxfId="64" priority="2142" operator="between">
      <formula>AL$11</formula>
      <formula>AL$12</formula>
    </cfRule>
  </conditionalFormatting>
  <conditionalFormatting sqref="NB1:NB1048576 ME1:ME1048576 LH1:LH1048576 KK1:KK1048576 JN1:JN1048576 IQ1:IQ1048576 HT1:HT1048576 GW1:GW1048576 FZ1:FZ1048576 FC1:FC1048576 EF1:EF1048576 DI1:DI1048576 CI1:CI1048576 BL1:BL1048576 AO1:AO1048576">
    <cfRule type="cellIs" dxfId="63" priority="2143" operator="between">
      <formula>AL$16</formula>
      <formula>1000</formula>
    </cfRule>
    <cfRule type="cellIs" dxfId="62" priority="2144" operator="between">
      <formula>AL$15</formula>
      <formula>AL$16</formula>
    </cfRule>
    <cfRule type="cellIs" dxfId="61" priority="2145" operator="between">
      <formula>AL$14</formula>
      <formula>AL$15</formula>
    </cfRule>
    <cfRule type="cellIs" dxfId="60" priority="2146" operator="between">
      <formula>AL$13</formula>
      <formula>AL$14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D22"/>
  <sheetViews>
    <sheetView workbookViewId="0">
      <pane xSplit="3" topLeftCell="D1" activePane="topRight" state="frozen"/>
      <selection pane="topRight" sqref="A1:A3"/>
    </sheetView>
  </sheetViews>
  <sheetFormatPr baseColWidth="10" defaultRowHeight="16"/>
  <cols>
    <col min="2" max="2" width="21.33203125" bestFit="1" customWidth="1"/>
    <col min="3" max="3" width="8.1640625" bestFit="1" customWidth="1"/>
    <col min="4" max="4" width="16.33203125" customWidth="1"/>
    <col min="6" max="6" width="16.33203125" customWidth="1"/>
    <col min="7" max="7" width="15.3320312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67" max="82" width="10.83203125" hidden="1" customWidth="1"/>
    <col min="83" max="89" width="10.83203125" customWidth="1"/>
    <col min="93" max="108" width="10.83203125" hidden="1" customWidth="1"/>
    <col min="109" max="115" width="10.83203125" customWidth="1"/>
    <col min="116" max="131" width="10.83203125" hidden="1" customWidth="1"/>
    <col min="132" max="138" width="10.83203125" customWidth="1"/>
    <col min="139" max="154" width="10.83203125" hidden="1" customWidth="1"/>
    <col min="155" max="161" width="10.83203125" customWidth="1"/>
    <col min="162" max="177" width="10.83203125" hidden="1" customWidth="1"/>
    <col min="178" max="184" width="10.83203125" customWidth="1"/>
    <col min="185" max="200" width="10.83203125" hidden="1" customWidth="1"/>
    <col min="201" max="207" width="10.83203125" customWidth="1"/>
    <col min="208" max="223" width="10.83203125" hidden="1" customWidth="1"/>
    <col min="224" max="230" width="10.83203125" customWidth="1"/>
    <col min="231" max="246" width="10.83203125" hidden="1" customWidth="1"/>
    <col min="247" max="253" width="10.83203125" customWidth="1"/>
    <col min="254" max="269" width="10.83203125" hidden="1" customWidth="1"/>
    <col min="270" max="276" width="10.83203125" customWidth="1"/>
    <col min="277" max="292" width="10.83203125" hidden="1" customWidth="1"/>
    <col min="293" max="299" width="10.83203125" customWidth="1"/>
    <col min="300" max="315" width="10.83203125" hidden="1" customWidth="1"/>
    <col min="316" max="322" width="10.83203125" customWidth="1"/>
    <col min="323" max="338" width="10.83203125" hidden="1" customWidth="1"/>
    <col min="339" max="345" width="10.83203125" customWidth="1"/>
    <col min="346" max="361" width="10.83203125" hidden="1" customWidth="1"/>
    <col min="362" max="368" width="10.83203125" customWidth="1"/>
  </cols>
  <sheetData>
    <row r="1" spans="1:368">
      <c r="A1" s="100" t="s">
        <v>1</v>
      </c>
      <c r="B1" s="100" t="s">
        <v>29</v>
      </c>
      <c r="C1" s="100" t="s">
        <v>0</v>
      </c>
      <c r="D1" s="100" t="s">
        <v>69</v>
      </c>
      <c r="E1" s="100" t="s">
        <v>2</v>
      </c>
      <c r="F1" s="101" t="s">
        <v>65</v>
      </c>
      <c r="G1" s="101" t="s">
        <v>64</v>
      </c>
      <c r="H1" s="100" t="s">
        <v>8</v>
      </c>
      <c r="I1" s="100" t="s">
        <v>9</v>
      </c>
      <c r="J1" s="102" t="s">
        <v>10</v>
      </c>
      <c r="K1" s="102" t="s">
        <v>46</v>
      </c>
      <c r="L1" s="102" t="s">
        <v>43</v>
      </c>
      <c r="M1" s="102" t="s">
        <v>46</v>
      </c>
      <c r="N1" s="102" t="s">
        <v>44</v>
      </c>
      <c r="O1" s="102" t="s">
        <v>46</v>
      </c>
      <c r="P1" s="102" t="s">
        <v>13</v>
      </c>
      <c r="Q1" s="102" t="s">
        <v>46</v>
      </c>
      <c r="R1" s="103" t="s">
        <v>14</v>
      </c>
      <c r="S1" s="102" t="s">
        <v>47</v>
      </c>
      <c r="T1" s="102" t="s">
        <v>46</v>
      </c>
      <c r="U1" s="97" t="s">
        <v>25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6" t="s">
        <v>26</v>
      </c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7" t="s">
        <v>66</v>
      </c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104" t="s">
        <v>14</v>
      </c>
      <c r="CM1" s="104"/>
      <c r="CN1" s="104"/>
      <c r="CO1" s="97" t="s">
        <v>61</v>
      </c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  <c r="DE1" s="97"/>
      <c r="DF1" s="97"/>
      <c r="DG1" s="97"/>
      <c r="DH1" s="97"/>
      <c r="DI1" s="97"/>
      <c r="DJ1" s="97"/>
      <c r="DK1" s="97"/>
      <c r="DL1" s="96"/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6"/>
      <c r="DZ1" s="96"/>
      <c r="EA1" s="96"/>
      <c r="EB1" s="96"/>
      <c r="EC1" s="96"/>
      <c r="ED1" s="96"/>
      <c r="EE1" s="96"/>
      <c r="EF1" s="96"/>
      <c r="EG1" s="96"/>
      <c r="EH1" s="96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7"/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7"/>
      <c r="FF1" s="96"/>
      <c r="FG1" s="96"/>
      <c r="FH1" s="96"/>
      <c r="FI1" s="96"/>
      <c r="FJ1" s="96"/>
      <c r="FK1" s="96"/>
      <c r="FL1" s="96"/>
      <c r="FM1" s="96"/>
      <c r="FN1" s="96"/>
      <c r="FO1" s="96"/>
      <c r="FP1" s="96"/>
      <c r="FQ1" s="96"/>
      <c r="FR1" s="96"/>
      <c r="FS1" s="96"/>
      <c r="FT1" s="96"/>
      <c r="FU1" s="96"/>
      <c r="FV1" s="96"/>
      <c r="FW1" s="96"/>
      <c r="FX1" s="96"/>
      <c r="FY1" s="96"/>
      <c r="FZ1" s="96"/>
      <c r="GA1" s="96"/>
      <c r="GB1" s="96"/>
      <c r="GC1" s="97"/>
      <c r="GD1" s="97"/>
      <c r="GE1" s="97"/>
      <c r="GF1" s="97"/>
      <c r="GG1" s="97"/>
      <c r="GH1" s="97"/>
      <c r="GI1" s="97"/>
      <c r="GJ1" s="97"/>
      <c r="GK1" s="97"/>
      <c r="GL1" s="97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6"/>
      <c r="HA1" s="96"/>
      <c r="HB1" s="96"/>
      <c r="HC1" s="96"/>
      <c r="HD1" s="96"/>
      <c r="HE1" s="96"/>
      <c r="HF1" s="96"/>
      <c r="HG1" s="96"/>
      <c r="HH1" s="96"/>
      <c r="HI1" s="96"/>
      <c r="HJ1" s="96"/>
      <c r="HK1" s="96"/>
      <c r="HL1" s="96"/>
      <c r="HM1" s="96"/>
      <c r="HN1" s="96"/>
      <c r="HO1" s="96"/>
      <c r="HP1" s="96"/>
      <c r="HQ1" s="96"/>
      <c r="HR1" s="96"/>
      <c r="HS1" s="96"/>
      <c r="HT1" s="96"/>
      <c r="HU1" s="96"/>
      <c r="HV1" s="96"/>
      <c r="HW1" s="97"/>
      <c r="HX1" s="97"/>
      <c r="HY1" s="97"/>
      <c r="HZ1" s="97"/>
      <c r="IA1" s="97"/>
      <c r="IB1" s="97"/>
      <c r="IC1" s="97"/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6"/>
      <c r="IU1" s="96"/>
      <c r="IV1" s="96"/>
      <c r="IW1" s="96"/>
      <c r="IX1" s="96"/>
      <c r="IY1" s="96"/>
      <c r="IZ1" s="96"/>
      <c r="JA1" s="96"/>
      <c r="JB1" s="96"/>
      <c r="JC1" s="96"/>
      <c r="JD1" s="96"/>
      <c r="JE1" s="96"/>
      <c r="JF1" s="96"/>
      <c r="JG1" s="96"/>
      <c r="JH1" s="96"/>
      <c r="JI1" s="96"/>
      <c r="JJ1" s="96"/>
      <c r="JK1" s="96"/>
      <c r="JL1" s="96"/>
      <c r="JM1" s="96"/>
      <c r="JN1" s="96"/>
      <c r="JO1" s="96"/>
      <c r="JP1" s="96"/>
      <c r="JQ1" s="97"/>
      <c r="JR1" s="97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6"/>
      <c r="KO1" s="96"/>
      <c r="KP1" s="96"/>
      <c r="KQ1" s="96"/>
      <c r="KR1" s="96"/>
      <c r="KS1" s="96"/>
      <c r="KT1" s="96"/>
      <c r="KU1" s="96"/>
      <c r="KV1" s="96"/>
      <c r="KW1" s="96"/>
      <c r="KX1" s="96"/>
      <c r="KY1" s="96"/>
      <c r="KZ1" s="96"/>
      <c r="LA1" s="96"/>
      <c r="LB1" s="96"/>
      <c r="LC1" s="96"/>
      <c r="LD1" s="96"/>
      <c r="LE1" s="96"/>
      <c r="LF1" s="96"/>
      <c r="LG1" s="96"/>
      <c r="LH1" s="96"/>
      <c r="LI1" s="96"/>
      <c r="LJ1" s="96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  <c r="MD1" s="97"/>
      <c r="ME1" s="97"/>
      <c r="MF1" s="97"/>
      <c r="MG1" s="97"/>
      <c r="MH1" s="96"/>
      <c r="MI1" s="96"/>
      <c r="MJ1" s="96"/>
      <c r="MK1" s="96"/>
      <c r="ML1" s="96"/>
      <c r="MM1" s="96"/>
      <c r="MN1" s="96"/>
      <c r="MO1" s="96"/>
      <c r="MP1" s="96"/>
      <c r="MQ1" s="96"/>
      <c r="MR1" s="96"/>
      <c r="MS1" s="96"/>
      <c r="MT1" s="96"/>
      <c r="MU1" s="96"/>
      <c r="MV1" s="96"/>
      <c r="MW1" s="96"/>
      <c r="MX1" s="96"/>
      <c r="MY1" s="96"/>
      <c r="MZ1" s="96"/>
      <c r="NA1" s="96"/>
      <c r="NB1" s="96"/>
      <c r="NC1" s="96"/>
      <c r="ND1" s="96"/>
    </row>
    <row r="2" spans="1:368">
      <c r="A2" s="100"/>
      <c r="B2" s="100"/>
      <c r="C2" s="100"/>
      <c r="D2" s="100"/>
      <c r="E2" s="100"/>
      <c r="F2" s="101"/>
      <c r="G2" s="101"/>
      <c r="H2" s="100"/>
      <c r="I2" s="100"/>
      <c r="J2" s="102"/>
      <c r="K2" s="102"/>
      <c r="L2" s="102"/>
      <c r="M2" s="102"/>
      <c r="N2" s="102"/>
      <c r="O2" s="102"/>
      <c r="P2" s="102"/>
      <c r="Q2" s="102"/>
      <c r="R2" s="103"/>
      <c r="S2" s="102"/>
      <c r="T2" s="102"/>
      <c r="U2" s="99" t="s">
        <v>32</v>
      </c>
      <c r="V2" s="99"/>
      <c r="W2" s="99"/>
      <c r="X2" s="99"/>
      <c r="Y2" s="99" t="s">
        <v>35</v>
      </c>
      <c r="Z2" s="99"/>
      <c r="AA2" s="99"/>
      <c r="AB2" s="99"/>
      <c r="AC2" s="99" t="s">
        <v>36</v>
      </c>
      <c r="AD2" s="99"/>
      <c r="AE2" s="99"/>
      <c r="AF2" s="99"/>
      <c r="AG2" s="107" t="s">
        <v>37</v>
      </c>
      <c r="AH2" s="107"/>
      <c r="AI2" s="107"/>
      <c r="AJ2" s="107"/>
      <c r="AK2" s="64" t="s">
        <v>28</v>
      </c>
      <c r="AL2" s="64" t="s">
        <v>45</v>
      </c>
      <c r="AM2" s="10" t="s">
        <v>32</v>
      </c>
      <c r="AN2" s="10" t="s">
        <v>35</v>
      </c>
      <c r="AO2" s="10" t="s">
        <v>24</v>
      </c>
      <c r="AP2" s="10" t="s">
        <v>23</v>
      </c>
      <c r="AQ2" s="10" t="s">
        <v>18</v>
      </c>
      <c r="AR2" s="98" t="s">
        <v>32</v>
      </c>
      <c r="AS2" s="98"/>
      <c r="AT2" s="98"/>
      <c r="AU2" s="98"/>
      <c r="AV2" s="98" t="s">
        <v>35</v>
      </c>
      <c r="AW2" s="98"/>
      <c r="AX2" s="98"/>
      <c r="AY2" s="98"/>
      <c r="AZ2" s="98" t="s">
        <v>36</v>
      </c>
      <c r="BA2" s="98"/>
      <c r="BB2" s="98"/>
      <c r="BC2" s="98"/>
      <c r="BD2" s="106" t="s">
        <v>37</v>
      </c>
      <c r="BE2" s="106"/>
      <c r="BF2" s="106"/>
      <c r="BG2" s="106"/>
      <c r="BH2" s="63" t="s">
        <v>28</v>
      </c>
      <c r="BI2" s="63" t="s">
        <v>45</v>
      </c>
      <c r="BJ2" s="13" t="s">
        <v>32</v>
      </c>
      <c r="BK2" s="13" t="s">
        <v>35</v>
      </c>
      <c r="BL2" s="13" t="s">
        <v>24</v>
      </c>
      <c r="BM2" s="13" t="s">
        <v>23</v>
      </c>
      <c r="BN2" s="13" t="s">
        <v>18</v>
      </c>
      <c r="BO2" s="99" t="s">
        <v>32</v>
      </c>
      <c r="BP2" s="99"/>
      <c r="BQ2" s="99"/>
      <c r="BR2" s="99"/>
      <c r="BS2" s="99" t="s">
        <v>35</v>
      </c>
      <c r="BT2" s="99"/>
      <c r="BU2" s="99"/>
      <c r="BV2" s="99"/>
      <c r="BW2" s="99" t="s">
        <v>36</v>
      </c>
      <c r="BX2" s="99"/>
      <c r="BY2" s="99"/>
      <c r="BZ2" s="99"/>
      <c r="CA2" s="108" t="s">
        <v>37</v>
      </c>
      <c r="CB2" s="108"/>
      <c r="CC2" s="108"/>
      <c r="CD2" s="108"/>
      <c r="CE2" s="20" t="s">
        <v>28</v>
      </c>
      <c r="CF2" s="20" t="s">
        <v>45</v>
      </c>
      <c r="CG2" s="10" t="s">
        <v>32</v>
      </c>
      <c r="CH2" s="10" t="s">
        <v>35</v>
      </c>
      <c r="CI2" s="10" t="s">
        <v>24</v>
      </c>
      <c r="CJ2" s="10" t="s">
        <v>23</v>
      </c>
      <c r="CK2" s="10" t="s">
        <v>18</v>
      </c>
      <c r="CL2" s="26" t="s">
        <v>32</v>
      </c>
      <c r="CM2" s="26" t="s">
        <v>35</v>
      </c>
      <c r="CN2" s="26" t="s">
        <v>23</v>
      </c>
      <c r="CO2" s="99" t="s">
        <v>32</v>
      </c>
      <c r="CP2" s="99"/>
      <c r="CQ2" s="99"/>
      <c r="CR2" s="99"/>
      <c r="CS2" s="99" t="s">
        <v>35</v>
      </c>
      <c r="CT2" s="99"/>
      <c r="CU2" s="99"/>
      <c r="CV2" s="99"/>
      <c r="CW2" s="99" t="s">
        <v>36</v>
      </c>
      <c r="CX2" s="99"/>
      <c r="CY2" s="99"/>
      <c r="CZ2" s="99"/>
      <c r="DA2" s="105" t="s">
        <v>37</v>
      </c>
      <c r="DB2" s="105"/>
      <c r="DC2" s="105"/>
      <c r="DD2" s="105"/>
      <c r="DE2" s="64" t="s">
        <v>28</v>
      </c>
      <c r="DF2" s="64" t="s">
        <v>45</v>
      </c>
      <c r="DG2" s="10" t="s">
        <v>32</v>
      </c>
      <c r="DH2" s="10" t="s">
        <v>35</v>
      </c>
      <c r="DI2" s="10" t="s">
        <v>24</v>
      </c>
      <c r="DJ2" s="10" t="s">
        <v>23</v>
      </c>
      <c r="DK2" s="10" t="s">
        <v>18</v>
      </c>
      <c r="DL2" s="98" t="s">
        <v>32</v>
      </c>
      <c r="DM2" s="98"/>
      <c r="DN2" s="98"/>
      <c r="DO2" s="98"/>
      <c r="DP2" s="98" t="s">
        <v>35</v>
      </c>
      <c r="DQ2" s="98"/>
      <c r="DR2" s="98"/>
      <c r="DS2" s="98"/>
      <c r="DT2" s="98" t="s">
        <v>36</v>
      </c>
      <c r="DU2" s="98"/>
      <c r="DV2" s="98"/>
      <c r="DW2" s="98"/>
      <c r="DX2" s="106" t="s">
        <v>37</v>
      </c>
      <c r="DY2" s="106"/>
      <c r="DZ2" s="106"/>
      <c r="EA2" s="106"/>
      <c r="EB2" s="63" t="s">
        <v>28</v>
      </c>
      <c r="EC2" s="63" t="s">
        <v>45</v>
      </c>
      <c r="ED2" s="13" t="s">
        <v>32</v>
      </c>
      <c r="EE2" s="13" t="s">
        <v>35</v>
      </c>
      <c r="EF2" s="13" t="s">
        <v>24</v>
      </c>
      <c r="EG2" s="13" t="s">
        <v>23</v>
      </c>
      <c r="EH2" s="13" t="s">
        <v>18</v>
      </c>
      <c r="EI2" s="99" t="s">
        <v>32</v>
      </c>
      <c r="EJ2" s="99"/>
      <c r="EK2" s="99"/>
      <c r="EL2" s="99"/>
      <c r="EM2" s="99" t="s">
        <v>35</v>
      </c>
      <c r="EN2" s="99"/>
      <c r="EO2" s="99"/>
      <c r="EP2" s="99"/>
      <c r="EQ2" s="99" t="s">
        <v>36</v>
      </c>
      <c r="ER2" s="99"/>
      <c r="ES2" s="99"/>
      <c r="ET2" s="99"/>
      <c r="EU2" s="105" t="s">
        <v>37</v>
      </c>
      <c r="EV2" s="105"/>
      <c r="EW2" s="105"/>
      <c r="EX2" s="105"/>
      <c r="EY2" s="64" t="s">
        <v>28</v>
      </c>
      <c r="EZ2" s="64" t="s">
        <v>45</v>
      </c>
      <c r="FA2" s="10" t="s">
        <v>32</v>
      </c>
      <c r="FB2" s="10" t="s">
        <v>35</v>
      </c>
      <c r="FC2" s="10" t="s">
        <v>24</v>
      </c>
      <c r="FD2" s="10" t="s">
        <v>23</v>
      </c>
      <c r="FE2" s="10" t="s">
        <v>18</v>
      </c>
      <c r="FF2" s="98" t="s">
        <v>32</v>
      </c>
      <c r="FG2" s="98"/>
      <c r="FH2" s="98"/>
      <c r="FI2" s="98"/>
      <c r="FJ2" s="98" t="s">
        <v>35</v>
      </c>
      <c r="FK2" s="98"/>
      <c r="FL2" s="98"/>
      <c r="FM2" s="98"/>
      <c r="FN2" s="98" t="s">
        <v>36</v>
      </c>
      <c r="FO2" s="98"/>
      <c r="FP2" s="98"/>
      <c r="FQ2" s="98"/>
      <c r="FR2" s="106" t="s">
        <v>37</v>
      </c>
      <c r="FS2" s="106"/>
      <c r="FT2" s="106"/>
      <c r="FU2" s="106"/>
      <c r="FV2" s="22" t="s">
        <v>28</v>
      </c>
      <c r="FW2" s="22" t="s">
        <v>45</v>
      </c>
      <c r="FX2" s="13" t="s">
        <v>32</v>
      </c>
      <c r="FY2" s="13" t="s">
        <v>35</v>
      </c>
      <c r="FZ2" s="13" t="s">
        <v>24</v>
      </c>
      <c r="GA2" s="13" t="s">
        <v>23</v>
      </c>
      <c r="GB2" s="13" t="s">
        <v>18</v>
      </c>
      <c r="GC2" s="99" t="s">
        <v>32</v>
      </c>
      <c r="GD2" s="99"/>
      <c r="GE2" s="99"/>
      <c r="GF2" s="99"/>
      <c r="GG2" s="99" t="s">
        <v>35</v>
      </c>
      <c r="GH2" s="99"/>
      <c r="GI2" s="99"/>
      <c r="GJ2" s="99"/>
      <c r="GK2" s="99" t="s">
        <v>36</v>
      </c>
      <c r="GL2" s="99"/>
      <c r="GM2" s="99"/>
      <c r="GN2" s="99"/>
      <c r="GO2" s="105" t="s">
        <v>37</v>
      </c>
      <c r="GP2" s="105"/>
      <c r="GQ2" s="105"/>
      <c r="GR2" s="105"/>
      <c r="GS2" s="23" t="s">
        <v>28</v>
      </c>
      <c r="GT2" s="23" t="s">
        <v>45</v>
      </c>
      <c r="GU2" s="10" t="s">
        <v>32</v>
      </c>
      <c r="GV2" s="10" t="s">
        <v>35</v>
      </c>
      <c r="GW2" s="10" t="s">
        <v>24</v>
      </c>
      <c r="GX2" s="10" t="s">
        <v>23</v>
      </c>
      <c r="GY2" s="10" t="s">
        <v>18</v>
      </c>
      <c r="GZ2" s="98" t="s">
        <v>32</v>
      </c>
      <c r="HA2" s="98"/>
      <c r="HB2" s="98"/>
      <c r="HC2" s="98"/>
      <c r="HD2" s="98" t="s">
        <v>35</v>
      </c>
      <c r="HE2" s="98"/>
      <c r="HF2" s="98"/>
      <c r="HG2" s="98"/>
      <c r="HH2" s="98" t="s">
        <v>36</v>
      </c>
      <c r="HI2" s="98"/>
      <c r="HJ2" s="98"/>
      <c r="HK2" s="98"/>
      <c r="HL2" s="106" t="s">
        <v>37</v>
      </c>
      <c r="HM2" s="106"/>
      <c r="HN2" s="106"/>
      <c r="HO2" s="106"/>
      <c r="HP2" s="22" t="s">
        <v>28</v>
      </c>
      <c r="HQ2" s="22" t="s">
        <v>45</v>
      </c>
      <c r="HR2" s="13" t="s">
        <v>32</v>
      </c>
      <c r="HS2" s="13" t="s">
        <v>35</v>
      </c>
      <c r="HT2" s="13" t="s">
        <v>24</v>
      </c>
      <c r="HU2" s="13" t="s">
        <v>23</v>
      </c>
      <c r="HV2" s="13" t="s">
        <v>18</v>
      </c>
      <c r="HW2" s="99" t="s">
        <v>32</v>
      </c>
      <c r="HX2" s="99"/>
      <c r="HY2" s="99"/>
      <c r="HZ2" s="99"/>
      <c r="IA2" s="99" t="s">
        <v>35</v>
      </c>
      <c r="IB2" s="99"/>
      <c r="IC2" s="99"/>
      <c r="ID2" s="99"/>
      <c r="IE2" s="99" t="s">
        <v>36</v>
      </c>
      <c r="IF2" s="99"/>
      <c r="IG2" s="99"/>
      <c r="IH2" s="99"/>
      <c r="II2" s="105" t="s">
        <v>37</v>
      </c>
      <c r="IJ2" s="105"/>
      <c r="IK2" s="105"/>
      <c r="IL2" s="105"/>
      <c r="IM2" s="23" t="s">
        <v>28</v>
      </c>
      <c r="IN2" s="23" t="s">
        <v>45</v>
      </c>
      <c r="IO2" s="10" t="s">
        <v>32</v>
      </c>
      <c r="IP2" s="10" t="s">
        <v>35</v>
      </c>
      <c r="IQ2" s="10" t="s">
        <v>24</v>
      </c>
      <c r="IR2" s="10" t="s">
        <v>23</v>
      </c>
      <c r="IS2" s="10" t="s">
        <v>18</v>
      </c>
      <c r="IT2" s="98" t="s">
        <v>32</v>
      </c>
      <c r="IU2" s="98"/>
      <c r="IV2" s="98"/>
      <c r="IW2" s="98"/>
      <c r="IX2" s="98" t="s">
        <v>35</v>
      </c>
      <c r="IY2" s="98"/>
      <c r="IZ2" s="98"/>
      <c r="JA2" s="98"/>
      <c r="JB2" s="98" t="s">
        <v>36</v>
      </c>
      <c r="JC2" s="98"/>
      <c r="JD2" s="98"/>
      <c r="JE2" s="98"/>
      <c r="JF2" s="106" t="s">
        <v>37</v>
      </c>
      <c r="JG2" s="106"/>
      <c r="JH2" s="106"/>
      <c r="JI2" s="106"/>
      <c r="JJ2" s="22" t="s">
        <v>28</v>
      </c>
      <c r="JK2" s="22" t="s">
        <v>45</v>
      </c>
      <c r="JL2" s="13" t="s">
        <v>32</v>
      </c>
      <c r="JM2" s="13" t="s">
        <v>35</v>
      </c>
      <c r="JN2" s="13" t="s">
        <v>24</v>
      </c>
      <c r="JO2" s="13" t="s">
        <v>23</v>
      </c>
      <c r="JP2" s="13" t="s">
        <v>18</v>
      </c>
      <c r="JQ2" s="99" t="s">
        <v>32</v>
      </c>
      <c r="JR2" s="99"/>
      <c r="JS2" s="99"/>
      <c r="JT2" s="99"/>
      <c r="JU2" s="99" t="s">
        <v>35</v>
      </c>
      <c r="JV2" s="99"/>
      <c r="JW2" s="99"/>
      <c r="JX2" s="99"/>
      <c r="JY2" s="99" t="s">
        <v>36</v>
      </c>
      <c r="JZ2" s="99"/>
      <c r="KA2" s="99"/>
      <c r="KB2" s="99"/>
      <c r="KC2" s="105" t="s">
        <v>37</v>
      </c>
      <c r="KD2" s="105"/>
      <c r="KE2" s="105"/>
      <c r="KF2" s="105"/>
      <c r="KG2" s="23" t="s">
        <v>28</v>
      </c>
      <c r="KH2" s="23" t="s">
        <v>45</v>
      </c>
      <c r="KI2" s="10" t="s">
        <v>32</v>
      </c>
      <c r="KJ2" s="10" t="s">
        <v>35</v>
      </c>
      <c r="KK2" s="10" t="s">
        <v>24</v>
      </c>
      <c r="KL2" s="10" t="s">
        <v>23</v>
      </c>
      <c r="KM2" s="10" t="s">
        <v>18</v>
      </c>
      <c r="KN2" s="98" t="s">
        <v>32</v>
      </c>
      <c r="KO2" s="98"/>
      <c r="KP2" s="98"/>
      <c r="KQ2" s="98"/>
      <c r="KR2" s="98" t="s">
        <v>35</v>
      </c>
      <c r="KS2" s="98"/>
      <c r="KT2" s="98"/>
      <c r="KU2" s="98"/>
      <c r="KV2" s="98" t="s">
        <v>36</v>
      </c>
      <c r="KW2" s="98"/>
      <c r="KX2" s="98"/>
      <c r="KY2" s="98"/>
      <c r="KZ2" s="106" t="s">
        <v>37</v>
      </c>
      <c r="LA2" s="106"/>
      <c r="LB2" s="106"/>
      <c r="LC2" s="106"/>
      <c r="LD2" s="22" t="s">
        <v>28</v>
      </c>
      <c r="LE2" s="22" t="s">
        <v>45</v>
      </c>
      <c r="LF2" s="13" t="s">
        <v>32</v>
      </c>
      <c r="LG2" s="13" t="s">
        <v>35</v>
      </c>
      <c r="LH2" s="13" t="s">
        <v>24</v>
      </c>
      <c r="LI2" s="13" t="s">
        <v>23</v>
      </c>
      <c r="LJ2" s="13" t="s">
        <v>18</v>
      </c>
      <c r="LK2" s="99" t="s">
        <v>32</v>
      </c>
      <c r="LL2" s="99"/>
      <c r="LM2" s="99"/>
      <c r="LN2" s="99"/>
      <c r="LO2" s="99" t="s">
        <v>35</v>
      </c>
      <c r="LP2" s="99"/>
      <c r="LQ2" s="99"/>
      <c r="LR2" s="99"/>
      <c r="LS2" s="99" t="s">
        <v>36</v>
      </c>
      <c r="LT2" s="99"/>
      <c r="LU2" s="99"/>
      <c r="LV2" s="99"/>
      <c r="LW2" s="105" t="s">
        <v>37</v>
      </c>
      <c r="LX2" s="105"/>
      <c r="LY2" s="105"/>
      <c r="LZ2" s="105"/>
      <c r="MA2" s="23" t="s">
        <v>28</v>
      </c>
      <c r="MB2" s="23" t="s">
        <v>45</v>
      </c>
      <c r="MC2" s="10" t="s">
        <v>32</v>
      </c>
      <c r="MD2" s="10" t="s">
        <v>35</v>
      </c>
      <c r="ME2" s="10" t="s">
        <v>24</v>
      </c>
      <c r="MF2" s="10" t="s">
        <v>23</v>
      </c>
      <c r="MG2" s="10" t="s">
        <v>18</v>
      </c>
      <c r="MH2" s="98" t="s">
        <v>32</v>
      </c>
      <c r="MI2" s="98"/>
      <c r="MJ2" s="98"/>
      <c r="MK2" s="98"/>
      <c r="ML2" s="98" t="s">
        <v>35</v>
      </c>
      <c r="MM2" s="98"/>
      <c r="MN2" s="98"/>
      <c r="MO2" s="98"/>
      <c r="MP2" s="98" t="s">
        <v>36</v>
      </c>
      <c r="MQ2" s="98"/>
      <c r="MR2" s="98"/>
      <c r="MS2" s="98"/>
      <c r="MT2" s="106" t="s">
        <v>37</v>
      </c>
      <c r="MU2" s="106"/>
      <c r="MV2" s="106"/>
      <c r="MW2" s="106"/>
      <c r="MX2" s="22" t="s">
        <v>28</v>
      </c>
      <c r="MY2" s="22" t="s">
        <v>45</v>
      </c>
      <c r="MZ2" s="13" t="s">
        <v>32</v>
      </c>
      <c r="NA2" s="13" t="s">
        <v>35</v>
      </c>
      <c r="NB2" s="13" t="s">
        <v>24</v>
      </c>
      <c r="NC2" s="13" t="s">
        <v>23</v>
      </c>
      <c r="ND2" s="13" t="s">
        <v>18</v>
      </c>
    </row>
    <row r="3" spans="1:368">
      <c r="A3" s="100"/>
      <c r="B3" s="100"/>
      <c r="C3" s="100"/>
      <c r="D3" s="100"/>
      <c r="E3" s="100"/>
      <c r="F3" s="101"/>
      <c r="G3" s="101"/>
      <c r="H3" s="100"/>
      <c r="I3" s="100"/>
      <c r="J3" s="102"/>
      <c r="K3" s="102"/>
      <c r="L3" s="102"/>
      <c r="M3" s="102"/>
      <c r="N3" s="102"/>
      <c r="O3" s="102"/>
      <c r="P3" s="102"/>
      <c r="Q3" s="102"/>
      <c r="R3" s="103"/>
      <c r="S3" s="102"/>
      <c r="T3" s="102"/>
      <c r="U3" s="64" t="s">
        <v>15</v>
      </c>
      <c r="V3" s="64" t="s">
        <v>7</v>
      </c>
      <c r="W3" s="64" t="s">
        <v>33</v>
      </c>
      <c r="X3" s="64" t="s">
        <v>34</v>
      </c>
      <c r="Y3" s="64" t="s">
        <v>15</v>
      </c>
      <c r="Z3" s="64" t="s">
        <v>7</v>
      </c>
      <c r="AA3" s="64" t="s">
        <v>33</v>
      </c>
      <c r="AB3" s="64" t="s">
        <v>34</v>
      </c>
      <c r="AC3" s="64" t="s">
        <v>15</v>
      </c>
      <c r="AD3" s="64" t="s">
        <v>7</v>
      </c>
      <c r="AE3" s="64" t="s">
        <v>33</v>
      </c>
      <c r="AF3" s="64" t="s">
        <v>34</v>
      </c>
      <c r="AG3" s="67" t="s">
        <v>15</v>
      </c>
      <c r="AH3" s="67" t="s">
        <v>7</v>
      </c>
      <c r="AI3" s="67" t="s">
        <v>33</v>
      </c>
      <c r="AJ3" s="67" t="s">
        <v>34</v>
      </c>
      <c r="AK3" s="11"/>
      <c r="AL3" s="11"/>
      <c r="AM3" s="10"/>
      <c r="AN3" s="10"/>
      <c r="AO3" s="10"/>
      <c r="AP3" s="11"/>
      <c r="AQ3" s="11"/>
      <c r="AR3" s="63" t="s">
        <v>15</v>
      </c>
      <c r="AS3" s="63" t="s">
        <v>7</v>
      </c>
      <c r="AT3" s="63" t="s">
        <v>33</v>
      </c>
      <c r="AU3" s="63" t="s">
        <v>34</v>
      </c>
      <c r="AV3" s="63" t="s">
        <v>15</v>
      </c>
      <c r="AW3" s="63" t="s">
        <v>7</v>
      </c>
      <c r="AX3" s="63" t="s">
        <v>33</v>
      </c>
      <c r="AY3" s="63" t="s">
        <v>34</v>
      </c>
      <c r="AZ3" s="63" t="s">
        <v>15</v>
      </c>
      <c r="BA3" s="63" t="s">
        <v>7</v>
      </c>
      <c r="BB3" s="63" t="s">
        <v>33</v>
      </c>
      <c r="BC3" s="63" t="s">
        <v>34</v>
      </c>
      <c r="BD3" s="65" t="s">
        <v>15</v>
      </c>
      <c r="BE3" s="65" t="s">
        <v>7</v>
      </c>
      <c r="BF3" s="65" t="s">
        <v>33</v>
      </c>
      <c r="BG3" s="65" t="s">
        <v>34</v>
      </c>
      <c r="BH3" s="14"/>
      <c r="BI3" s="14"/>
      <c r="BJ3" s="13"/>
      <c r="BK3" s="13"/>
      <c r="BL3" s="13"/>
      <c r="BM3" s="14"/>
      <c r="BN3" s="14"/>
      <c r="BO3" s="33" t="s">
        <v>15</v>
      </c>
      <c r="BP3" s="33" t="s">
        <v>7</v>
      </c>
      <c r="BQ3" s="33" t="s">
        <v>33</v>
      </c>
      <c r="BR3" s="33" t="s">
        <v>34</v>
      </c>
      <c r="BS3" s="33" t="s">
        <v>15</v>
      </c>
      <c r="BT3" s="33" t="s">
        <v>7</v>
      </c>
      <c r="BU3" s="33" t="s">
        <v>33</v>
      </c>
      <c r="BV3" s="33" t="s">
        <v>34</v>
      </c>
      <c r="BW3" s="33" t="s">
        <v>15</v>
      </c>
      <c r="BX3" s="33" t="s">
        <v>7</v>
      </c>
      <c r="BY3" s="33" t="s">
        <v>33</v>
      </c>
      <c r="BZ3" s="33" t="s">
        <v>34</v>
      </c>
      <c r="CA3" s="36" t="s">
        <v>15</v>
      </c>
      <c r="CB3" s="36" t="s">
        <v>7</v>
      </c>
      <c r="CC3" s="36" t="s">
        <v>33</v>
      </c>
      <c r="CD3" s="36" t="s">
        <v>34</v>
      </c>
      <c r="CE3" s="11"/>
      <c r="CF3" s="11"/>
      <c r="CG3" s="10"/>
      <c r="CH3" s="10"/>
      <c r="CI3" s="10"/>
      <c r="CJ3" s="11"/>
      <c r="CK3" s="11"/>
      <c r="CL3" s="27"/>
      <c r="CM3" s="27"/>
      <c r="CN3" s="27"/>
      <c r="CO3" s="64" t="s">
        <v>15</v>
      </c>
      <c r="CP3" s="64" t="s">
        <v>7</v>
      </c>
      <c r="CQ3" s="64" t="s">
        <v>33</v>
      </c>
      <c r="CR3" s="64" t="s">
        <v>34</v>
      </c>
      <c r="CS3" s="64" t="s">
        <v>15</v>
      </c>
      <c r="CT3" s="64" t="s">
        <v>7</v>
      </c>
      <c r="CU3" s="64" t="s">
        <v>33</v>
      </c>
      <c r="CV3" s="64" t="s">
        <v>34</v>
      </c>
      <c r="CW3" s="64" t="s">
        <v>15</v>
      </c>
      <c r="CX3" s="64" t="s">
        <v>7</v>
      </c>
      <c r="CY3" s="64" t="s">
        <v>33</v>
      </c>
      <c r="CZ3" s="64" t="s">
        <v>34</v>
      </c>
      <c r="DA3" s="66" t="s">
        <v>15</v>
      </c>
      <c r="DB3" s="66" t="s">
        <v>7</v>
      </c>
      <c r="DC3" s="66" t="s">
        <v>33</v>
      </c>
      <c r="DD3" s="66" t="s">
        <v>34</v>
      </c>
      <c r="DE3" s="11"/>
      <c r="DF3" s="11"/>
      <c r="DG3" s="10"/>
      <c r="DH3" s="10"/>
      <c r="DI3" s="10"/>
      <c r="DJ3" s="11"/>
      <c r="DK3" s="11"/>
      <c r="DL3" s="63" t="s">
        <v>15</v>
      </c>
      <c r="DM3" s="63" t="s">
        <v>7</v>
      </c>
      <c r="DN3" s="63" t="s">
        <v>33</v>
      </c>
      <c r="DO3" s="63" t="s">
        <v>34</v>
      </c>
      <c r="DP3" s="63" t="s">
        <v>15</v>
      </c>
      <c r="DQ3" s="63" t="s">
        <v>7</v>
      </c>
      <c r="DR3" s="63" t="s">
        <v>33</v>
      </c>
      <c r="DS3" s="63" t="s">
        <v>34</v>
      </c>
      <c r="DT3" s="63" t="s">
        <v>15</v>
      </c>
      <c r="DU3" s="63" t="s">
        <v>7</v>
      </c>
      <c r="DV3" s="63" t="s">
        <v>33</v>
      </c>
      <c r="DW3" s="63" t="s">
        <v>34</v>
      </c>
      <c r="DX3" s="65" t="s">
        <v>15</v>
      </c>
      <c r="DY3" s="65" t="s">
        <v>7</v>
      </c>
      <c r="DZ3" s="65" t="s">
        <v>33</v>
      </c>
      <c r="EA3" s="65" t="s">
        <v>34</v>
      </c>
      <c r="EB3" s="14"/>
      <c r="EC3" s="14"/>
      <c r="ED3" s="13"/>
      <c r="EE3" s="13"/>
      <c r="EF3" s="13"/>
      <c r="EG3" s="14"/>
      <c r="EH3" s="14"/>
      <c r="EI3" s="64" t="s">
        <v>15</v>
      </c>
      <c r="EJ3" s="64" t="s">
        <v>7</v>
      </c>
      <c r="EK3" s="64" t="s">
        <v>33</v>
      </c>
      <c r="EL3" s="64" t="s">
        <v>34</v>
      </c>
      <c r="EM3" s="64" t="s">
        <v>15</v>
      </c>
      <c r="EN3" s="64" t="s">
        <v>7</v>
      </c>
      <c r="EO3" s="64" t="s">
        <v>33</v>
      </c>
      <c r="EP3" s="64" t="s">
        <v>34</v>
      </c>
      <c r="EQ3" s="64" t="s">
        <v>15</v>
      </c>
      <c r="ER3" s="64" t="s">
        <v>7</v>
      </c>
      <c r="ES3" s="64" t="s">
        <v>33</v>
      </c>
      <c r="ET3" s="64" t="s">
        <v>34</v>
      </c>
      <c r="EU3" s="66" t="s">
        <v>15</v>
      </c>
      <c r="EV3" s="66" t="s">
        <v>7</v>
      </c>
      <c r="EW3" s="66" t="s">
        <v>33</v>
      </c>
      <c r="EX3" s="66" t="s">
        <v>34</v>
      </c>
      <c r="EY3" s="11"/>
      <c r="EZ3" s="11"/>
      <c r="FA3" s="10"/>
      <c r="FB3" s="10"/>
      <c r="FC3" s="10"/>
      <c r="FD3" s="11"/>
      <c r="FE3" s="11"/>
      <c r="FF3" s="32" t="s">
        <v>15</v>
      </c>
      <c r="FG3" s="32" t="s">
        <v>7</v>
      </c>
      <c r="FH3" s="32" t="s">
        <v>33</v>
      </c>
      <c r="FI3" s="32" t="s">
        <v>34</v>
      </c>
      <c r="FJ3" s="32" t="s">
        <v>15</v>
      </c>
      <c r="FK3" s="32" t="s">
        <v>7</v>
      </c>
      <c r="FL3" s="32" t="s">
        <v>33</v>
      </c>
      <c r="FM3" s="32" t="s">
        <v>34</v>
      </c>
      <c r="FN3" s="32" t="s">
        <v>15</v>
      </c>
      <c r="FO3" s="32" t="s">
        <v>7</v>
      </c>
      <c r="FP3" s="32" t="s">
        <v>33</v>
      </c>
      <c r="FQ3" s="32" t="s">
        <v>34</v>
      </c>
      <c r="FR3" s="35" t="s">
        <v>15</v>
      </c>
      <c r="FS3" s="35" t="s">
        <v>7</v>
      </c>
      <c r="FT3" s="35" t="s">
        <v>33</v>
      </c>
      <c r="FU3" s="35" t="s">
        <v>34</v>
      </c>
      <c r="FV3" s="14"/>
      <c r="FW3" s="14"/>
      <c r="FX3" s="13"/>
      <c r="FY3" s="13"/>
      <c r="FZ3" s="13"/>
      <c r="GA3" s="14"/>
      <c r="GB3" s="14"/>
      <c r="GC3" s="33" t="s">
        <v>15</v>
      </c>
      <c r="GD3" s="33" t="s">
        <v>7</v>
      </c>
      <c r="GE3" s="33" t="s">
        <v>33</v>
      </c>
      <c r="GF3" s="33" t="s">
        <v>34</v>
      </c>
      <c r="GG3" s="33" t="s">
        <v>15</v>
      </c>
      <c r="GH3" s="33" t="s">
        <v>7</v>
      </c>
      <c r="GI3" s="33" t="s">
        <v>33</v>
      </c>
      <c r="GJ3" s="33" t="s">
        <v>34</v>
      </c>
      <c r="GK3" s="33" t="s">
        <v>15</v>
      </c>
      <c r="GL3" s="33" t="s">
        <v>7</v>
      </c>
      <c r="GM3" s="33" t="s">
        <v>33</v>
      </c>
      <c r="GN3" s="33" t="s">
        <v>34</v>
      </c>
      <c r="GO3" s="34" t="s">
        <v>15</v>
      </c>
      <c r="GP3" s="34" t="s">
        <v>7</v>
      </c>
      <c r="GQ3" s="34" t="s">
        <v>33</v>
      </c>
      <c r="GR3" s="34" t="s">
        <v>34</v>
      </c>
      <c r="GS3" s="11"/>
      <c r="GT3" s="11"/>
      <c r="GU3" s="10"/>
      <c r="GV3" s="10"/>
      <c r="GW3" s="10"/>
      <c r="GX3" s="11"/>
      <c r="GY3" s="11"/>
      <c r="GZ3" s="32" t="s">
        <v>15</v>
      </c>
      <c r="HA3" s="32" t="s">
        <v>7</v>
      </c>
      <c r="HB3" s="32" t="s">
        <v>33</v>
      </c>
      <c r="HC3" s="32" t="s">
        <v>34</v>
      </c>
      <c r="HD3" s="32" t="s">
        <v>15</v>
      </c>
      <c r="HE3" s="32" t="s">
        <v>7</v>
      </c>
      <c r="HF3" s="32" t="s">
        <v>33</v>
      </c>
      <c r="HG3" s="32" t="s">
        <v>34</v>
      </c>
      <c r="HH3" s="32" t="s">
        <v>15</v>
      </c>
      <c r="HI3" s="32" t="s">
        <v>7</v>
      </c>
      <c r="HJ3" s="32" t="s">
        <v>33</v>
      </c>
      <c r="HK3" s="32" t="s">
        <v>34</v>
      </c>
      <c r="HL3" s="35" t="s">
        <v>15</v>
      </c>
      <c r="HM3" s="35" t="s">
        <v>7</v>
      </c>
      <c r="HN3" s="35" t="s">
        <v>33</v>
      </c>
      <c r="HO3" s="35" t="s">
        <v>34</v>
      </c>
      <c r="HP3" s="14"/>
      <c r="HQ3" s="14"/>
      <c r="HR3" s="13"/>
      <c r="HS3" s="13"/>
      <c r="HT3" s="13"/>
      <c r="HU3" s="14"/>
      <c r="HV3" s="14"/>
      <c r="HW3" s="33" t="s">
        <v>15</v>
      </c>
      <c r="HX3" s="33" t="s">
        <v>7</v>
      </c>
      <c r="HY3" s="33" t="s">
        <v>33</v>
      </c>
      <c r="HZ3" s="33" t="s">
        <v>34</v>
      </c>
      <c r="IA3" s="33" t="s">
        <v>15</v>
      </c>
      <c r="IB3" s="33" t="s">
        <v>7</v>
      </c>
      <c r="IC3" s="33" t="s">
        <v>33</v>
      </c>
      <c r="ID3" s="33" t="s">
        <v>34</v>
      </c>
      <c r="IE3" s="33" t="s">
        <v>15</v>
      </c>
      <c r="IF3" s="33" t="s">
        <v>7</v>
      </c>
      <c r="IG3" s="33" t="s">
        <v>33</v>
      </c>
      <c r="IH3" s="33" t="s">
        <v>34</v>
      </c>
      <c r="II3" s="34" t="s">
        <v>15</v>
      </c>
      <c r="IJ3" s="34" t="s">
        <v>7</v>
      </c>
      <c r="IK3" s="34" t="s">
        <v>33</v>
      </c>
      <c r="IL3" s="34" t="s">
        <v>34</v>
      </c>
      <c r="IM3" s="11"/>
      <c r="IN3" s="11"/>
      <c r="IO3" s="10"/>
      <c r="IP3" s="10"/>
      <c r="IQ3" s="10"/>
      <c r="IR3" s="11"/>
      <c r="IS3" s="11"/>
      <c r="IT3" s="32" t="s">
        <v>15</v>
      </c>
      <c r="IU3" s="32" t="s">
        <v>7</v>
      </c>
      <c r="IV3" s="32" t="s">
        <v>33</v>
      </c>
      <c r="IW3" s="32" t="s">
        <v>34</v>
      </c>
      <c r="IX3" s="32" t="s">
        <v>15</v>
      </c>
      <c r="IY3" s="32" t="s">
        <v>7</v>
      </c>
      <c r="IZ3" s="32" t="s">
        <v>33</v>
      </c>
      <c r="JA3" s="32" t="s">
        <v>34</v>
      </c>
      <c r="JB3" s="32" t="s">
        <v>15</v>
      </c>
      <c r="JC3" s="32" t="s">
        <v>7</v>
      </c>
      <c r="JD3" s="32" t="s">
        <v>33</v>
      </c>
      <c r="JE3" s="32" t="s">
        <v>34</v>
      </c>
      <c r="JF3" s="35" t="s">
        <v>15</v>
      </c>
      <c r="JG3" s="35" t="s">
        <v>7</v>
      </c>
      <c r="JH3" s="35" t="s">
        <v>33</v>
      </c>
      <c r="JI3" s="35" t="s">
        <v>34</v>
      </c>
      <c r="JJ3" s="14"/>
      <c r="JK3" s="14"/>
      <c r="JL3" s="13"/>
      <c r="JM3" s="13"/>
      <c r="JN3" s="13"/>
      <c r="JO3" s="14"/>
      <c r="JP3" s="14"/>
      <c r="JQ3" s="33" t="s">
        <v>15</v>
      </c>
      <c r="JR3" s="33" t="s">
        <v>7</v>
      </c>
      <c r="JS3" s="33" t="s">
        <v>33</v>
      </c>
      <c r="JT3" s="33" t="s">
        <v>34</v>
      </c>
      <c r="JU3" s="33" t="s">
        <v>15</v>
      </c>
      <c r="JV3" s="33" t="s">
        <v>7</v>
      </c>
      <c r="JW3" s="33" t="s">
        <v>33</v>
      </c>
      <c r="JX3" s="33" t="s">
        <v>34</v>
      </c>
      <c r="JY3" s="33" t="s">
        <v>15</v>
      </c>
      <c r="JZ3" s="33" t="s">
        <v>7</v>
      </c>
      <c r="KA3" s="33" t="s">
        <v>33</v>
      </c>
      <c r="KB3" s="33" t="s">
        <v>34</v>
      </c>
      <c r="KC3" s="34" t="s">
        <v>15</v>
      </c>
      <c r="KD3" s="34" t="s">
        <v>7</v>
      </c>
      <c r="KE3" s="34" t="s">
        <v>33</v>
      </c>
      <c r="KF3" s="34" t="s">
        <v>34</v>
      </c>
      <c r="KG3" s="11"/>
      <c r="KH3" s="11"/>
      <c r="KI3" s="10"/>
      <c r="KJ3" s="10"/>
      <c r="KK3" s="10"/>
      <c r="KL3" s="11"/>
      <c r="KM3" s="11"/>
      <c r="KN3" s="32" t="s">
        <v>15</v>
      </c>
      <c r="KO3" s="32" t="s">
        <v>7</v>
      </c>
      <c r="KP3" s="32" t="s">
        <v>33</v>
      </c>
      <c r="KQ3" s="32" t="s">
        <v>34</v>
      </c>
      <c r="KR3" s="32" t="s">
        <v>15</v>
      </c>
      <c r="KS3" s="32" t="s">
        <v>7</v>
      </c>
      <c r="KT3" s="32" t="s">
        <v>33</v>
      </c>
      <c r="KU3" s="32" t="s">
        <v>34</v>
      </c>
      <c r="KV3" s="32" t="s">
        <v>15</v>
      </c>
      <c r="KW3" s="32" t="s">
        <v>7</v>
      </c>
      <c r="KX3" s="32" t="s">
        <v>33</v>
      </c>
      <c r="KY3" s="32" t="s">
        <v>34</v>
      </c>
      <c r="KZ3" s="35" t="s">
        <v>15</v>
      </c>
      <c r="LA3" s="35" t="s">
        <v>7</v>
      </c>
      <c r="LB3" s="35" t="s">
        <v>33</v>
      </c>
      <c r="LC3" s="35" t="s">
        <v>34</v>
      </c>
      <c r="LD3" s="14"/>
      <c r="LE3" s="14"/>
      <c r="LF3" s="13"/>
      <c r="LG3" s="13"/>
      <c r="LH3" s="13"/>
      <c r="LI3" s="14"/>
      <c r="LJ3" s="14"/>
      <c r="LK3" s="33" t="s">
        <v>15</v>
      </c>
      <c r="LL3" s="33" t="s">
        <v>7</v>
      </c>
      <c r="LM3" s="33" t="s">
        <v>33</v>
      </c>
      <c r="LN3" s="33" t="s">
        <v>34</v>
      </c>
      <c r="LO3" s="33" t="s">
        <v>15</v>
      </c>
      <c r="LP3" s="33" t="s">
        <v>7</v>
      </c>
      <c r="LQ3" s="33" t="s">
        <v>33</v>
      </c>
      <c r="LR3" s="33" t="s">
        <v>34</v>
      </c>
      <c r="LS3" s="33" t="s">
        <v>15</v>
      </c>
      <c r="LT3" s="33" t="s">
        <v>7</v>
      </c>
      <c r="LU3" s="33" t="s">
        <v>33</v>
      </c>
      <c r="LV3" s="33" t="s">
        <v>34</v>
      </c>
      <c r="LW3" s="34" t="s">
        <v>15</v>
      </c>
      <c r="LX3" s="34" t="s">
        <v>7</v>
      </c>
      <c r="LY3" s="34" t="s">
        <v>33</v>
      </c>
      <c r="LZ3" s="34" t="s">
        <v>34</v>
      </c>
      <c r="MA3" s="11"/>
      <c r="MB3" s="11"/>
      <c r="MC3" s="10"/>
      <c r="MD3" s="10"/>
      <c r="ME3" s="10"/>
      <c r="MF3" s="11"/>
      <c r="MG3" s="11"/>
      <c r="MH3" s="32" t="s">
        <v>15</v>
      </c>
      <c r="MI3" s="32" t="s">
        <v>7</v>
      </c>
      <c r="MJ3" s="32" t="s">
        <v>33</v>
      </c>
      <c r="MK3" s="32" t="s">
        <v>34</v>
      </c>
      <c r="ML3" s="32" t="s">
        <v>15</v>
      </c>
      <c r="MM3" s="32" t="s">
        <v>7</v>
      </c>
      <c r="MN3" s="32" t="s">
        <v>33</v>
      </c>
      <c r="MO3" s="32" t="s">
        <v>34</v>
      </c>
      <c r="MP3" s="32" t="s">
        <v>15</v>
      </c>
      <c r="MQ3" s="32" t="s">
        <v>7</v>
      </c>
      <c r="MR3" s="32" t="s">
        <v>33</v>
      </c>
      <c r="MS3" s="32" t="s">
        <v>34</v>
      </c>
      <c r="MT3" s="35" t="s">
        <v>15</v>
      </c>
      <c r="MU3" s="35" t="s">
        <v>7</v>
      </c>
      <c r="MV3" s="35" t="s">
        <v>33</v>
      </c>
      <c r="MW3" s="35" t="s">
        <v>34</v>
      </c>
      <c r="MX3" s="14"/>
      <c r="MY3" s="14"/>
      <c r="MZ3" s="13"/>
      <c r="NA3" s="13"/>
      <c r="NB3" s="13"/>
      <c r="NC3" s="14"/>
      <c r="ND3" s="14"/>
    </row>
    <row r="4" spans="1:368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9" t="s">
        <v>116</v>
      </c>
      <c r="C4" s="5" t="s">
        <v>3</v>
      </c>
      <c r="D4" s="31">
        <v>2003</v>
      </c>
      <c r="E4" s="16">
        <f>SUM(J4:R4)</f>
        <v>182.1</v>
      </c>
      <c r="F4" s="4" t="str">
        <f>IF(OR(AND($AK4&gt;=$AL$12,NOT($AK4="")),AND($BH4&gt;=$BI$12,NOT($BH4="")),AND($CE4&gt;=$CF$12,NOT($CE4=""))),"P","")</f>
        <v>P</v>
      </c>
      <c r="G4" s="4" t="str">
        <f>IF(OR(AND($AK4&gt;=$AL$13,NOT($AK4="")),AND($BH4&gt;=$BI$13,NOT($BH4="")),AND($CE4&gt;=$CF$13,NOT($CE4=""))),"P","")</f>
        <v/>
      </c>
      <c r="H4" s="4" t="str">
        <f>IF(OR(AND($AO4&gt;=$AL$14,NOT($AO4="")),AND($BL4&gt;=$BI$14,NOT($BL4="")),AND($CI4&gt;=$CF$14,NOT($CI4=""))),"P","")</f>
        <v>P</v>
      </c>
      <c r="I4" t="str">
        <f>IF(AND(F4="P",OR(AND($AO4&gt;=$AL$17,NOT($AO4="")),AND($BL4&gt;=$BI$17,NOT($BL4="")),AND($CI4&gt;=$CF$17,NOT($CI4="")))),"Merit",IF(AND(F4="P",OR(AND($AO4&gt;=$AL$16,NOT($AO4="")),AND($BL4&gt;=$BI$16,NOT($BL4="")),AND($CI4&gt;=$CF$16,NOT($CI4="")))),"Funding",IF(AND(F4="P",OR(AND($AO4&gt;=$AL$15,NOT($AO4="")),AND($BL4&gt;=$BI$15,NOT($BL4="")),AND($CI4&gt;=$CF$15,NOT($CI4="")))),"Worlds Team",IF(AND(F4="P",OR(AND($AO4&gt;=$AL$14,NOT($AO4="")),AND($BL4&gt;=$BI$14,NOT($BL4="")),AND($CI4&gt;=$CF$14,NOT($CI4="")))),"National Team",""))))</f>
        <v>National Team</v>
      </c>
      <c r="J4" s="15">
        <f>MAX(AO4,BL4,CI4)</f>
        <v>62</v>
      </c>
      <c r="K4" s="15" t="str">
        <f>IF(J4=CI4,$BO$1,IF(J4=BL4,$AR$1,IF(J4=AO4,$U$1,"")))</f>
        <v>2017 Canada Cup</v>
      </c>
      <c r="L4" s="15">
        <f>IF($J4=$AO4,MAX(BJ4,CG4),IF($J4=$BL4,MAX(AM4,CG4),MAX(AM4,BJ4)))</f>
        <v>29.299999999999997</v>
      </c>
      <c r="M4" s="15" t="str">
        <f>IF(L4=CG4,$BO$1,IF(L4=BJ4,$AR$1,IF(L4=AM4,$U$1,"")))</f>
        <v>2017 Nationals</v>
      </c>
      <c r="N4" s="15">
        <f>IF($J4=$AO4,MAX(BK4,CH4),IF($J4=$BL4,MAX(AN4,CH4),MAX(AN4,BK4)))</f>
        <v>29.400000000000002</v>
      </c>
      <c r="O4" s="15" t="str">
        <f>IF(N4=CH4,$BO$1,IF(N4=BK4,$AR$1,IF(N4=AN4,$U$1,"")))</f>
        <v>2017 Nationals</v>
      </c>
      <c r="P4" s="15">
        <f>MAX(AP4,BM4,CJ4)</f>
        <v>61.4</v>
      </c>
      <c r="Q4" s="15" t="str">
        <f>IF(P4=CJ4,$BO$1,IF(P4=BM4,$AR$1,IF(P4=AP4,$U$1,"")))</f>
        <v>2017 Canada Cup</v>
      </c>
      <c r="R4" s="15" t="str">
        <f>IF(MAX(CL4:CN4)&gt;0,MAX(CL4:CN4),"")</f>
        <v/>
      </c>
      <c r="S4" s="29" t="str">
        <f>IF(R4="","",IF(R4=CL4,"(Pass 1)",IF(R4=CM4,"(Pass 2)",IF(R4=CN4,"(Final)"))))</f>
        <v/>
      </c>
      <c r="T4" s="15" t="str">
        <f>IF(R4="","",IF(R4=CL4,IF(R4+L4=MZ4,$MH$1,IF(R4+L4=MC4,$LK$1,IF(R4+L4=LF4,$KN$1,IF(R4+L4=KI4,$JQ$1,IF(R4+L4=JL4,$IT$1,IF(R4+L4=IO4,$HW$1,IF(R4+L4=HR4,$GZ$1,IF(R4+L4=GU4,$GC$1,IF(R4+L4=FX4,$FF$1,IF(R4+L4=FA4,$EI$1,IF(R4+L4=ED4,$DL$1,IF(R4+L4=DG4,$CO$1)))))))))))),IF(R4=CM4,IF(R4+N4=NA4,$MH$1,IF(R4+N4=MD4,$LK$1,IF(R4+N4=LG4,$KN$1,IF(R4+N4=KJ4,$JQ$1,IF(R4+N4=JM4,$IT$1,IF(R4+N4=IP4,$HW$1,IF(R4+N4=HS4,$GZ$1,IF(R4+N4=GV4,$GC$1,IF(R4+N4=FY4,$FF$1,IF(R4+N4=FB4,$EI$1,IF(R4+N4=EE4,$DL$1,IF(R4+N4=DH4,$CO$1)))))))))))),IF(R4=CN4,IF(R4+P4=NC4,$MH$1,IF(R4+P4=MF4,$LK$1,IF(R4+P4=LI4,$KN$1,IF(R4+P4=KL4,$JQ$1,IF(R4+P4=JO4,$IT$1,IF(R4+P4=IR4,$HW$1,IF(R4+P4=HU4,$GZ$1,IF(R4+P4=GX4,$GC$1,IF(R4+P4=GA4,$FF$1,IF(R4+P4=FD4,$EI$1,IF(R4+P4=EG4,$DL$1,IF(R4+P4=DJ4,$CO$1))))))))))))))))</f>
        <v/>
      </c>
      <c r="U4" s="76">
        <v>25.8</v>
      </c>
      <c r="V4" s="76">
        <v>4.0999999999999996</v>
      </c>
      <c r="W4" s="76">
        <v>0.3</v>
      </c>
      <c r="X4" s="76">
        <v>0</v>
      </c>
      <c r="Y4" s="76">
        <v>27.3</v>
      </c>
      <c r="Z4" s="76">
        <v>4.0999999999999996</v>
      </c>
      <c r="AA4" s="76">
        <v>0</v>
      </c>
      <c r="AB4" s="76">
        <v>1</v>
      </c>
      <c r="AC4" s="76">
        <v>26.3</v>
      </c>
      <c r="AD4" s="76">
        <v>4.0999999999999996</v>
      </c>
      <c r="AE4" s="76">
        <v>0</v>
      </c>
      <c r="AF4" s="76">
        <v>0</v>
      </c>
      <c r="AG4" s="76">
        <v>26.4</v>
      </c>
      <c r="AH4" s="76">
        <v>3.6</v>
      </c>
      <c r="AI4" s="76">
        <v>0</v>
      </c>
      <c r="AJ4" s="76">
        <v>1</v>
      </c>
      <c r="AK4" s="12">
        <f>IF(SUM(V4,Z4)&gt;0,SUM(V4,Z4),"")</f>
        <v>8.1999999999999993</v>
      </c>
      <c r="AL4" s="12">
        <f>IF(SUM(AD4,AH4)&gt;0,SUM(AD4,AH4),"")</f>
        <v>7.6999999999999993</v>
      </c>
      <c r="AM4" s="12">
        <f>IF(SUM(U4:V4,X4)-W4&gt;0,SUM(U4:V4,X4)-W4,"")</f>
        <v>29.599999999999998</v>
      </c>
      <c r="AN4" s="12">
        <f>IF(SUM(Y4:Z4,AB4)-AA4&gt;0,SUM(Y4:Z4,AB4)-AA4,"")</f>
        <v>32.4</v>
      </c>
      <c r="AO4" s="12">
        <f>IF(SUM(AM4:AN4)&gt;0,SUM(AM4:AN4),"")</f>
        <v>62</v>
      </c>
      <c r="AP4" s="12">
        <f>IF(SUM(AC4:AD4,AF4:AH4,AJ4)-SUM(AE4,AI4)&gt;0,SUM(AC4:AD4,AF4:AH4,AJ4)-SUM(AE4,AI4),"")</f>
        <v>61.4</v>
      </c>
      <c r="AQ4" s="12">
        <f>IF(SUM(AO4,AP4)&gt;0,SUM(AO4,AP4),"")</f>
        <v>123.4</v>
      </c>
      <c r="AR4" s="81">
        <v>25.2</v>
      </c>
      <c r="AS4" s="81">
        <v>4.0999999999999996</v>
      </c>
      <c r="AT4" s="81">
        <v>0</v>
      </c>
      <c r="AU4" s="81">
        <v>0</v>
      </c>
      <c r="AV4" s="81">
        <v>24.8</v>
      </c>
      <c r="AW4" s="81">
        <v>3.6</v>
      </c>
      <c r="AX4" s="81">
        <v>0</v>
      </c>
      <c r="AY4" s="81">
        <v>1</v>
      </c>
      <c r="AZ4" s="81">
        <v>25.7</v>
      </c>
      <c r="BA4" s="81">
        <v>4.0999999999999996</v>
      </c>
      <c r="BB4" s="81">
        <v>0</v>
      </c>
      <c r="BC4" s="81">
        <v>0</v>
      </c>
      <c r="BD4" s="81">
        <v>26.2</v>
      </c>
      <c r="BE4" s="81">
        <v>3.6</v>
      </c>
      <c r="BF4" s="81">
        <v>0</v>
      </c>
      <c r="BG4" s="81">
        <v>1</v>
      </c>
      <c r="BH4" s="15">
        <f>IF(SUM(AS4,AW4)&gt;0,SUM(AS4,AW4),"")</f>
        <v>7.6999999999999993</v>
      </c>
      <c r="BI4" s="15">
        <f>IF(SUM(BA4,BE4)&gt;0,SUM(BA4,BE4),"")</f>
        <v>7.6999999999999993</v>
      </c>
      <c r="BJ4" s="15">
        <f>IF(SUM(AR4:AS4,AU4)-AT4&gt;0,SUM(AR4:AS4,AU4)-AT4,"")</f>
        <v>29.299999999999997</v>
      </c>
      <c r="BK4" s="15">
        <f>IF(SUM(AV4:AW4,AY4)-AX4&gt;0,SUM(AV4:AW4,AY4)-AX4,"")</f>
        <v>29.400000000000002</v>
      </c>
      <c r="BL4" s="15">
        <f>IF(SUM(BJ4:BK4)&gt;0,SUM(BJ4:BK4),"")</f>
        <v>58.7</v>
      </c>
      <c r="BM4" s="15">
        <f>IF(SUM(AZ4:BA4,BC4:BE4,BG4)-SUM(BB4,BF4)&gt;0,SUM(AZ4:BA4,BC4:BE4,BG4)-SUM(BB4,BF4),"")</f>
        <v>60.6</v>
      </c>
      <c r="BN4" s="15">
        <f>IF(SUM(BL4,BM4)&gt;0,SUM(BL4,BM4),"")</f>
        <v>119.30000000000001</v>
      </c>
      <c r="BO4" s="45">
        <v>25.9</v>
      </c>
      <c r="BP4" s="45">
        <v>3.2</v>
      </c>
      <c r="BQ4" s="45">
        <v>0</v>
      </c>
      <c r="BR4" s="45">
        <v>0</v>
      </c>
      <c r="BS4" s="45">
        <v>25.3</v>
      </c>
      <c r="BT4" s="45">
        <v>4.0999999999999996</v>
      </c>
      <c r="BU4" s="45">
        <v>3</v>
      </c>
      <c r="BV4" s="45">
        <v>0</v>
      </c>
      <c r="BW4" s="45">
        <v>26.9</v>
      </c>
      <c r="BX4" s="45">
        <v>3.6</v>
      </c>
      <c r="BY4" s="45">
        <v>0</v>
      </c>
      <c r="BZ4" s="45">
        <v>0</v>
      </c>
      <c r="CA4" s="45">
        <v>25.6</v>
      </c>
      <c r="CB4" s="45">
        <v>4.3</v>
      </c>
      <c r="CC4" s="45">
        <v>0</v>
      </c>
      <c r="CD4" s="45">
        <v>0</v>
      </c>
      <c r="CE4" s="12">
        <f>IF(SUM(BP4,BT4)&gt;0,SUM(BP4,BT4),"")</f>
        <v>7.3</v>
      </c>
      <c r="CF4" s="12">
        <f>IF(SUM(BX4,CB4)&gt;0,SUM(BX4,CB4),"")</f>
        <v>7.9</v>
      </c>
      <c r="CG4" s="12">
        <f>IF(SUM(BO4:BP4,BR4)-BQ4&gt;0,SUM(BO4:BP4,BR4)-BQ4,"")</f>
        <v>29.099999999999998</v>
      </c>
      <c r="CH4" s="12">
        <f>IF(SUM(BS4:BT4,BV4)-BU4&gt;0,SUM(BS4:BT4,BV4)-BU4,"")</f>
        <v>26.4</v>
      </c>
      <c r="CI4" s="12">
        <f>IF(SUM(CG4:CH4)&gt;0,SUM(CG4:CH4),"")</f>
        <v>55.5</v>
      </c>
      <c r="CJ4" s="12">
        <f>IF(SUM(BW4:BX4,BZ4:CB4,CD4)-SUM(BY4,CC4)&gt;0,SUM(BW4:BX4,BZ4:CB4,CD4)-SUM(BY4,CC4),"")</f>
        <v>60.4</v>
      </c>
      <c r="CK4" s="12">
        <f>IF(SUM(CI4,CJ4)&gt;0,SUM(CI4,CJ4),"")</f>
        <v>115.9</v>
      </c>
      <c r="CL4" s="28" t="str">
        <f>IF(MAX(DG4,ED4,FA4,FX4,GU4,HR4,IO4,JL4,KI4,LF4,MC4,MZ4)-L4&gt;0.001,MAX(DG4,ED4,FA4,FX4,GU4,HR4,IO4,JL4,KI4,LF4,MC4,MZ4)-L4,"")</f>
        <v/>
      </c>
      <c r="CM4" s="28" t="str">
        <f>IF(MAX(DH4,EE4,FB4,FY4,GV4,HS4,IP4,JM4,KJ4,LG4,MD4,NA4)-N4&gt;0.001,MAX(DH4,EE4,FB4,FY4,GV4,HS4,IP4,JM4,KJ4,LG4,MD4,NA4)-N4,"")</f>
        <v/>
      </c>
      <c r="CN4" s="28" t="str">
        <f>IF(MAX(DJ4,EG4,FD4,GA4,GX4,HU4,IR4,JO4,KL4,LI4,MF4,NC4)-P4&gt;0.001,MAX(DJ4,EG4,FD4,GA4,GX4,HU4,IR4,JO4,KL4,LI4,MF4,NC4)-P4,"")</f>
        <v/>
      </c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12" t="str">
        <f>IF(SUM(CP4,CT4)&gt;0,SUM(CP4,CT4),"")</f>
        <v/>
      </c>
      <c r="DF4" s="12" t="str">
        <f>IF(SUM(CX4,DB4)&gt;0,SUM(CX4,DB4),"")</f>
        <v/>
      </c>
      <c r="DG4" s="12" t="str">
        <f>IF(SUM(CO4:CP4,CR4)-CQ4&gt;0,SUM(CO4:CP4,CR4)-CQ4,"")</f>
        <v/>
      </c>
      <c r="DH4" s="12" t="str">
        <f>IF(SUM(CS4:CT4,CV4)-CU4&gt;0,SUM(CS4:CT4,CV4)-CU4,"")</f>
        <v/>
      </c>
      <c r="DI4" s="12" t="str">
        <f>IF(SUM(DG4:DH4)&gt;0,SUM(DG4:DH4),"")</f>
        <v/>
      </c>
      <c r="DJ4" s="12" t="str">
        <f>IF(SUM(CW4:CX4,CZ4:DB4,DD4)-SUM(CY4,DC4)&gt;0,SUM(CW4:CX4,CZ4:DB4,DD4)-SUM(CY4,DC4),"")</f>
        <v/>
      </c>
      <c r="DK4" s="12" t="str">
        <f>IF(SUM(DI4,DJ4)&gt;0,SUM(DI4,DJ4),"")</f>
        <v/>
      </c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15" t="str">
        <f>IF(SUM(DM4,DQ4)&gt;0,SUM(DM4,DQ4),"")</f>
        <v/>
      </c>
      <c r="EC4" s="15" t="str">
        <f>IF(SUM(DU4,DY4)&gt;0,SUM(DU4,DY4),"")</f>
        <v/>
      </c>
      <c r="ED4" s="15" t="str">
        <f>IF(SUM(DL4:DM4,DO4)-DN4&gt;0,SUM(DL4:DM4,DO4)-DN4,"")</f>
        <v/>
      </c>
      <c r="EE4" s="15" t="str">
        <f>IF(SUM(DP4:DQ4,DS4)-DR4&gt;0,SUM(DP4:DQ4,DS4)-DR4,"")</f>
        <v/>
      </c>
      <c r="EF4" s="15" t="str">
        <f>IF(SUM(ED4:EE4)&gt;0,SUM(ED4:EE4),"")</f>
        <v/>
      </c>
      <c r="EG4" s="15" t="str">
        <f>IF(SUM(DT4:DU4,DW4:DY4,EA4)-SUM(DV4,DZ4)&gt;0,SUM(DT4:DU4,DW4:DY4,EA4)-SUM(DV4,DZ4),"")</f>
        <v/>
      </c>
      <c r="EH4" s="15" t="str">
        <f>IF(SUM(EF4,EG4)&gt;0,SUM(EF4,EG4),"")</f>
        <v/>
      </c>
      <c r="EI4" s="45"/>
      <c r="EJ4" s="45"/>
      <c r="EK4" s="45"/>
      <c r="EL4" s="45"/>
      <c r="EM4" s="45"/>
      <c r="EN4" s="45"/>
      <c r="EO4" s="45"/>
      <c r="EP4" s="45"/>
      <c r="EQ4" s="45"/>
      <c r="ER4" s="45"/>
      <c r="ES4" s="45"/>
      <c r="ET4" s="45"/>
      <c r="EU4" s="45"/>
      <c r="EV4" s="45"/>
      <c r="EW4" s="45"/>
      <c r="EX4" s="45"/>
      <c r="EY4" s="12" t="str">
        <f>IF(SUM(EJ4,EN4)&gt;0,SUM(EJ4,EN4),"")</f>
        <v/>
      </c>
      <c r="EZ4" s="12" t="str">
        <f>IF(SUM(ER4,EV4)&gt;0,SUM(ER4,EV4),"")</f>
        <v/>
      </c>
      <c r="FA4" s="12" t="str">
        <f>IF(SUM(EI4:EJ4,EL4)-EK4&gt;0,SUM(EI4:EJ4,EL4)-EK4,"")</f>
        <v/>
      </c>
      <c r="FB4" s="12" t="str">
        <f>IF(SUM(EM4:EN4,EP4)-EO4&gt;0,SUM(EM4:EN4,EP4)-EO4,"")</f>
        <v/>
      </c>
      <c r="FC4" s="12" t="str">
        <f>IF(SUM(FA4:FB4)&gt;0,SUM(FA4:FB4),"")</f>
        <v/>
      </c>
      <c r="FD4" s="12" t="str">
        <f>IF(SUM(EQ4:ER4,ET4:EV4,EX4)-SUM(ES4,EW4)&gt;0,SUM(EQ4:ER4,ET4:EV4,EX4)-SUM(ES4,EW4),"")</f>
        <v/>
      </c>
      <c r="FE4" s="12" t="str">
        <f>IF(SUM(FC4,FD4)&gt;0,SUM(FC4,FD4),"")</f>
        <v/>
      </c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15" t="str">
        <f>IF(SUM(FG4,FK4)&gt;0,SUM(FG4,FK4),"")</f>
        <v/>
      </c>
      <c r="FW4" s="15" t="str">
        <f>IF(SUM(FO4,FS4)&gt;0,SUM(FO4,FS4),"")</f>
        <v/>
      </c>
      <c r="FX4" s="15" t="str">
        <f>IF(SUM(FF4:FG4,FI4)-FH4&gt;0,SUM(FF4:FG4,FI4)-FH4,"")</f>
        <v/>
      </c>
      <c r="FY4" s="15" t="str">
        <f>IF(SUM(FJ4:FK4,FM4)-FL4&gt;0,SUM(FJ4:FK4,FM4)-FL4,"")</f>
        <v/>
      </c>
      <c r="FZ4" s="15" t="str">
        <f>IF(SUM(FX4:FY4)&gt;0,SUM(FX4:FY4),"")</f>
        <v/>
      </c>
      <c r="GA4" s="15" t="str">
        <f>IF(SUM(FN4:FO4,FQ4:FS4,FU4)-SUM(FP4,FT4)&gt;0,SUM(FN4:FO4,FQ4:FS4,FU4)-SUM(FP4,FT4),"")</f>
        <v/>
      </c>
      <c r="GB4" s="15" t="str">
        <f>IF(SUM(FZ4,GA4)&gt;0,SUM(FZ4,GA4),"")</f>
        <v/>
      </c>
      <c r="GC4" s="45"/>
      <c r="GD4" s="45"/>
      <c r="GE4" s="45"/>
      <c r="GF4" s="45"/>
      <c r="GG4" s="45"/>
      <c r="GH4" s="45"/>
      <c r="GI4" s="45"/>
      <c r="GJ4" s="45"/>
      <c r="GK4" s="45"/>
      <c r="GL4" s="45"/>
      <c r="GM4" s="45"/>
      <c r="GN4" s="45"/>
      <c r="GO4" s="45"/>
      <c r="GP4" s="45"/>
      <c r="GQ4" s="45"/>
      <c r="GR4" s="45"/>
      <c r="GS4" s="12" t="str">
        <f>IF(SUM(GD4,GH4)&gt;0,SUM(GD4,GH4),"")</f>
        <v/>
      </c>
      <c r="GT4" s="12" t="str">
        <f>IF(SUM(GL4,GP4)&gt;0,SUM(GL4,GP4),"")</f>
        <v/>
      </c>
      <c r="GU4" s="12" t="str">
        <f>IF(SUM(GC4:GD4,GF4)-GE4&gt;0,SUM(GC4:GD4,GF4)-GE4,"")</f>
        <v/>
      </c>
      <c r="GV4" s="12" t="str">
        <f>IF(SUM(GG4:GH4,GJ4)-GI4&gt;0,SUM(GG4:GH4,GJ4)-GI4,"")</f>
        <v/>
      </c>
      <c r="GW4" s="12" t="str">
        <f>IF(SUM(GU4:GV4)&gt;0,SUM(GU4:GV4),"")</f>
        <v/>
      </c>
      <c r="GX4" s="12" t="str">
        <f>IF(SUM(GK4:GL4,GN4:GP4,GR4)-SUM(GM4,GQ4)&gt;0,SUM(GK4:GL4,GN4:GP4,GR4)-SUM(GM4,GQ4),"")</f>
        <v/>
      </c>
      <c r="GY4" s="12" t="str">
        <f>IF(SUM(GW4,GX4)&gt;0,SUM(GW4,GX4),"")</f>
        <v/>
      </c>
      <c r="GZ4" s="46"/>
      <c r="HA4" s="46"/>
      <c r="HB4" s="46"/>
      <c r="HC4" s="46"/>
      <c r="HD4" s="46"/>
      <c r="HE4" s="46"/>
      <c r="HF4" s="46"/>
      <c r="HG4" s="46"/>
      <c r="HH4" s="46"/>
      <c r="HI4" s="46"/>
      <c r="HJ4" s="46"/>
      <c r="HK4" s="46"/>
      <c r="HL4" s="46"/>
      <c r="HM4" s="46"/>
      <c r="HN4" s="46"/>
      <c r="HO4" s="46"/>
      <c r="HP4" s="15" t="str">
        <f>IF(SUM(HA4,HE4)&gt;0,SUM(HA4,HE4),"")</f>
        <v/>
      </c>
      <c r="HQ4" s="15" t="str">
        <f>IF(SUM(HI4,HM4)&gt;0,SUM(HI4,HM4),"")</f>
        <v/>
      </c>
      <c r="HR4" s="15" t="str">
        <f>IF(SUM(GZ4:HA4,HC4)-HB4&gt;0,SUM(GZ4:HA4,HC4)-HB4,"")</f>
        <v/>
      </c>
      <c r="HS4" s="15" t="str">
        <f>IF(SUM(HD4:HE4,HG4)-HF4&gt;0,SUM(HD4:HE4,HG4)-HF4,"")</f>
        <v/>
      </c>
      <c r="HT4" s="15" t="str">
        <f>IF(SUM(HR4:HS4)&gt;0,SUM(HR4:HS4),"")</f>
        <v/>
      </c>
      <c r="HU4" s="15" t="str">
        <f>IF(SUM(HH4:HI4,HK4:HM4,HO4)-SUM(HJ4,HN4)&gt;0,SUM(HH4:HI4,HK4:HM4,HO4)-SUM(HJ4,HN4),"")</f>
        <v/>
      </c>
      <c r="HV4" s="15" t="str">
        <f>IF(SUM(HT4,HU4)&gt;0,SUM(HT4,HU4),"")</f>
        <v/>
      </c>
      <c r="HW4" s="45"/>
      <c r="HX4" s="45"/>
      <c r="HY4" s="45"/>
      <c r="HZ4" s="45"/>
      <c r="IA4" s="45"/>
      <c r="IB4" s="45"/>
      <c r="IC4" s="45"/>
      <c r="ID4" s="45"/>
      <c r="IE4" s="45"/>
      <c r="IF4" s="45"/>
      <c r="IG4" s="45"/>
      <c r="IH4" s="45"/>
      <c r="II4" s="45"/>
      <c r="IJ4" s="45"/>
      <c r="IK4" s="45"/>
      <c r="IL4" s="45"/>
      <c r="IM4" s="12" t="str">
        <f>IF(SUM(HX4,IB4)&gt;0,SUM(HX4,IB4),"")</f>
        <v/>
      </c>
      <c r="IN4" s="12" t="str">
        <f>IF(SUM(IF4,IJ4)&gt;0,SUM(IF4,IJ4),"")</f>
        <v/>
      </c>
      <c r="IO4" s="12" t="str">
        <f>IF(SUM(HW4:HX4,HZ4)-HY4&gt;0,SUM(HW4:HX4,HZ4)-HY4,"")</f>
        <v/>
      </c>
      <c r="IP4" s="12" t="str">
        <f>IF(SUM(IA4:IB4,ID4)-IC4&gt;0,SUM(IA4:IB4,ID4)-IC4,"")</f>
        <v/>
      </c>
      <c r="IQ4" s="12" t="str">
        <f>IF(SUM(IO4:IP4)&gt;0,SUM(IO4:IP4),"")</f>
        <v/>
      </c>
      <c r="IR4" s="12" t="str">
        <f>IF(SUM(IE4:IF4,IH4:IJ4,IL4)-SUM(IG4,IK4)&gt;0,SUM(IE4:IF4,IH4:IJ4,IL4)-SUM(IG4,IK4),"")</f>
        <v/>
      </c>
      <c r="IS4" s="12" t="str">
        <f>IF(SUM(IQ4,IR4)&gt;0,SUM(IQ4,IR4),"")</f>
        <v/>
      </c>
      <c r="IT4" s="46"/>
      <c r="IU4" s="46"/>
      <c r="IV4" s="46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15" t="str">
        <f>IF(SUM(IU4,IY4)&gt;0,SUM(IU4,IY4),"")</f>
        <v/>
      </c>
      <c r="JK4" s="15" t="str">
        <f>IF(SUM(JC4,JG4)&gt;0,SUM(JC4,JG4),"")</f>
        <v/>
      </c>
      <c r="JL4" s="15" t="str">
        <f>IF(SUM(IT4:IU4,IW4)-IV4&gt;0,SUM(IT4:IU4,IW4)-IV4,"")</f>
        <v/>
      </c>
      <c r="JM4" s="15" t="str">
        <f>IF(SUM(IX4:IY4,JA4)-IZ4&gt;0,SUM(IX4:IY4,JA4)-IZ4,"")</f>
        <v/>
      </c>
      <c r="JN4" s="15" t="str">
        <f>IF(SUM(JL4:JM4)&gt;0,SUM(JL4:JM4),"")</f>
        <v/>
      </c>
      <c r="JO4" s="15" t="str">
        <f>IF(SUM(JB4:JC4,JE4:JG4,JI4)-SUM(JD4,JH4)&gt;0,SUM(JB4:JC4,JE4:JG4,JI4)-SUM(JD4,JH4),"")</f>
        <v/>
      </c>
      <c r="JP4" s="15" t="str">
        <f>IF(SUM(JN4,JO4)&gt;0,SUM(JN4,JO4),"")</f>
        <v/>
      </c>
      <c r="JQ4" s="45"/>
      <c r="JR4" s="45"/>
      <c r="JS4" s="45"/>
      <c r="JT4" s="45"/>
      <c r="JU4" s="45"/>
      <c r="JV4" s="45"/>
      <c r="JW4" s="45"/>
      <c r="JX4" s="45"/>
      <c r="JY4" s="45"/>
      <c r="JZ4" s="45"/>
      <c r="KA4" s="45"/>
      <c r="KB4" s="45"/>
      <c r="KC4" s="45"/>
      <c r="KD4" s="45"/>
      <c r="KE4" s="45"/>
      <c r="KF4" s="45"/>
      <c r="KG4" s="12" t="str">
        <f>IF(SUM(JR4,JV4)&gt;0,SUM(JR4,JV4),"")</f>
        <v/>
      </c>
      <c r="KH4" s="12" t="str">
        <f>IF(SUM(JZ4,KD4)&gt;0,SUM(JZ4,KD4),"")</f>
        <v/>
      </c>
      <c r="KI4" s="12" t="str">
        <f>IF(SUM(JQ4:JR4,JT4)-JS4&gt;0,SUM(JQ4:JR4,JT4)-JS4,"")</f>
        <v/>
      </c>
      <c r="KJ4" s="12" t="str">
        <f>IF(SUM(JU4:JV4,JX4)-JW4&gt;0,SUM(JU4:JV4,JX4)-JW4,"")</f>
        <v/>
      </c>
      <c r="KK4" s="12" t="str">
        <f>IF(SUM(KI4:KJ4)&gt;0,SUM(KI4:KJ4),"")</f>
        <v/>
      </c>
      <c r="KL4" s="12" t="str">
        <f>IF(SUM(JY4:JZ4,KB4:KD4,KF4)-SUM(KA4,KE4)&gt;0,SUM(JY4:JZ4,KB4:KD4,KF4)-SUM(KA4,KE4),"")</f>
        <v/>
      </c>
      <c r="KM4" s="12" t="str">
        <f>IF(SUM(KK4,KL4)&gt;0,SUM(KK4,KL4),"")</f>
        <v/>
      </c>
      <c r="KN4" s="46"/>
      <c r="KO4" s="46"/>
      <c r="KP4" s="46"/>
      <c r="KQ4" s="46"/>
      <c r="KR4" s="46"/>
      <c r="KS4" s="46"/>
      <c r="KT4" s="46"/>
      <c r="KU4" s="46"/>
      <c r="KV4" s="46"/>
      <c r="KW4" s="46"/>
      <c r="KX4" s="46"/>
      <c r="KY4" s="46"/>
      <c r="KZ4" s="46"/>
      <c r="LA4" s="46"/>
      <c r="LB4" s="46"/>
      <c r="LC4" s="46"/>
      <c r="LD4" s="15" t="str">
        <f>IF(SUM(KO4,KS4)&gt;0,SUM(KO4,KS4),"")</f>
        <v/>
      </c>
      <c r="LE4" s="15" t="str">
        <f>IF(SUM(KW4,LA4)&gt;0,SUM(KW4,LA4),"")</f>
        <v/>
      </c>
      <c r="LF4" s="15" t="str">
        <f>IF(SUM(KN4:KO4,KQ4)-KP4&gt;0,SUM(KN4:KO4,KQ4)-KP4,"")</f>
        <v/>
      </c>
      <c r="LG4" s="15" t="str">
        <f>IF(SUM(KR4:KS4,KU4)-KT4&gt;0,SUM(KR4:KS4,KU4)-KT4,"")</f>
        <v/>
      </c>
      <c r="LH4" s="15" t="str">
        <f>IF(SUM(LF4:LG4)&gt;0,SUM(LF4:LG4),"")</f>
        <v/>
      </c>
      <c r="LI4" s="15" t="str">
        <f>IF(SUM(KV4:KW4,KY4:LA4,LC4)-SUM(KX4,LB4)&gt;0,SUM(KV4:KW4,KY4:LA4,LC4)-SUM(KX4,LB4),"")</f>
        <v/>
      </c>
      <c r="LJ4" s="15" t="str">
        <f>IF(SUM(LH4,LI4)&gt;0,SUM(LH4,LI4),"")</f>
        <v/>
      </c>
      <c r="LK4" s="45"/>
      <c r="LL4" s="45"/>
      <c r="LM4" s="45"/>
      <c r="LN4" s="45"/>
      <c r="LO4" s="45"/>
      <c r="LP4" s="45"/>
      <c r="LQ4" s="45"/>
      <c r="LR4" s="45"/>
      <c r="LS4" s="45"/>
      <c r="LT4" s="45"/>
      <c r="LU4" s="45"/>
      <c r="LV4" s="45"/>
      <c r="LW4" s="45"/>
      <c r="LX4" s="45"/>
      <c r="LY4" s="45"/>
      <c r="LZ4" s="45"/>
      <c r="MA4" s="12" t="str">
        <f>IF(SUM(LL4,LP4)&gt;0,SUM(LL4,LP4),"")</f>
        <v/>
      </c>
      <c r="MB4" s="12" t="str">
        <f>IF(SUM(LT4,LX4)&gt;0,SUM(LT4,LX4),"")</f>
        <v/>
      </c>
      <c r="MC4" s="12" t="str">
        <f>IF(SUM(LK4:LL4,LN4)-LM4&gt;0,SUM(LK4:LL4,LN4)-LM4,"")</f>
        <v/>
      </c>
      <c r="MD4" s="12" t="str">
        <f>IF(SUM(LO4:LP4,LR4)-LQ4&gt;0,SUM(LO4:LP4,LR4)-LQ4,"")</f>
        <v/>
      </c>
      <c r="ME4" s="12" t="str">
        <f>IF(SUM(MC4:MD4)&gt;0,SUM(MC4:MD4),"")</f>
        <v/>
      </c>
      <c r="MF4" s="12" t="str">
        <f>IF(SUM(LS4:LT4,LV4:LX4,LZ4)-SUM(LU4,LY4)&gt;0,SUM(LS4:LT4,LV4:LX4,LZ4)-SUM(LU4,LY4),"")</f>
        <v/>
      </c>
      <c r="MG4" s="12" t="str">
        <f>IF(SUM(ME4,MF4)&gt;0,SUM(ME4,MF4),"")</f>
        <v/>
      </c>
      <c r="MH4" s="46"/>
      <c r="MI4" s="46"/>
      <c r="MJ4" s="46"/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15" t="str">
        <f>IF(SUM(MI4,MM4)&gt;0,SUM(MI4,MM4),"")</f>
        <v/>
      </c>
      <c r="MY4" s="15" t="str">
        <f>IF(SUM(MQ4,MU4)&gt;0,SUM(MQ4,MU4),"")</f>
        <v/>
      </c>
      <c r="MZ4" s="15" t="str">
        <f>IF(SUM(MH4:MI4,MK4)-MJ4&gt;0,SUM(MH4:MI4,MK4)-MJ4,"")</f>
        <v/>
      </c>
      <c r="NA4" s="15" t="str">
        <f>IF(SUM(ML4:MM4,MO4)-MN4&gt;0,SUM(ML4:MM4,MO4)-MN4,"")</f>
        <v/>
      </c>
      <c r="NB4" s="15" t="str">
        <f>IF(SUM(MZ4:NA4)&gt;0,SUM(MZ4:NA4),"")</f>
        <v/>
      </c>
      <c r="NC4" s="15" t="str">
        <f>IF(SUM(MP4:MQ4,MS4:MU4,MW4)-SUM(MR4,MV4)&gt;0,SUM(MP4:MQ4,MS4:MU4,MW4)-SUM(MR4,MV4),"")</f>
        <v/>
      </c>
      <c r="ND4" s="15" t="str">
        <f>IF(SUM(NB4,NC4)&gt;0,SUM(NB4,NC4),"")</f>
        <v/>
      </c>
    </row>
    <row r="5" spans="1:368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9" t="s">
        <v>91</v>
      </c>
      <c r="C5" s="5" t="s">
        <v>3</v>
      </c>
      <c r="D5" s="31">
        <v>1999</v>
      </c>
      <c r="E5" s="16">
        <f>SUM(J5:R5)</f>
        <v>183.2</v>
      </c>
      <c r="F5" s="4" t="str">
        <f>IF(OR(AND($AK5&gt;=$AL$12,NOT($AK5="")),AND($BH5&gt;=$BI$12,NOT($BH5="")),AND($CE5&gt;=$CF$12,NOT($CE5=""))),"P","")</f>
        <v/>
      </c>
      <c r="G5" s="4" t="str">
        <f>IF(OR(AND($AK5&gt;=$AL$13,NOT($AK5="")),AND($BH5&gt;=$BI$13,NOT($BH5="")),AND($CE5&gt;=$CF$13,NOT($CE5=""))),"P","")</f>
        <v/>
      </c>
      <c r="H5" s="4" t="str">
        <f>IF(OR(AND($AO5&gt;=$AL$14,NOT($AO5="")),AND($BL5&gt;=$BI$14,NOT($BL5="")),AND($CI5&gt;=$CF$14,NOT($CI5=""))),"P","")</f>
        <v>P</v>
      </c>
      <c r="I5" t="str">
        <f>IF(AND(F5="P",OR(AND($AO5&gt;=$AL$17,NOT($AO5="")),AND($BL5&gt;=$BI$17,NOT($BL5="")),AND($CI5&gt;=$CF$17,NOT($CI5="")))),"Merit",IF(AND(F5="P",OR(AND($AO5&gt;=$AL$16,NOT($AO5="")),AND($BL5&gt;=$BI$16,NOT($BL5="")),AND($CI5&gt;=$CF$16,NOT($CI5="")))),"Funding",IF(AND(F5="P",OR(AND($AO5&gt;=$AL$15,NOT($AO5="")),AND($BL5&gt;=$BI$15,NOT($BL5="")),AND($CI5&gt;=$CF$15,NOT($CI5="")))),"Worlds Team",IF(AND(F5="P",OR(AND($AO5&gt;=$AL$14,NOT($AO5="")),AND($BL5&gt;=$BI$14,NOT($BL5="")),AND($CI5&gt;=$CF$14,NOT($CI5="")))),"National Team",""))))</f>
        <v/>
      </c>
      <c r="J5" s="15">
        <f>MAX(AO5,BL5,CI5)</f>
        <v>61.300000000000004</v>
      </c>
      <c r="K5" s="15" t="str">
        <f>IF(J5=CI5,$BO$1,IF(J5=BL5,$AR$1,IF(J5=AO5,$U$1,"")))</f>
        <v>2017 Nationals</v>
      </c>
      <c r="L5" s="15">
        <f>IF($J5=$AO5,MAX(BJ5,CG5),IF($J5=$BL5,MAX(AM5,CG5),MAX(AM5,BJ5)))</f>
        <v>29.700000000000003</v>
      </c>
      <c r="M5" s="15" t="str">
        <f>IF(L5=CG5,$BO$1,IF(L5=BJ5,$AR$1,IF(L5=AM5,$U$1,"")))</f>
        <v>2017 Canada Cup</v>
      </c>
      <c r="N5" s="15">
        <f>IF($J5=$AO5,MAX(BK5,CH5),IF($J5=$BL5,MAX(AN5,CH5),MAX(AN5,BK5)))</f>
        <v>30.299999999999997</v>
      </c>
      <c r="O5" s="15" t="str">
        <f>IF(N5=CH5,$BO$1,IF(N5=BK5,$AR$1,IF(N5=AN5,$U$1,"")))</f>
        <v>2017 Canada Cup</v>
      </c>
      <c r="P5" s="15">
        <f>MAX(AP5,BM5,CJ5)</f>
        <v>61.9</v>
      </c>
      <c r="Q5" s="15" t="str">
        <f>IF(P5=CJ5,$BO$1,IF(P5=BM5,$AR$1,IF(P5=AP5,$U$1,"")))</f>
        <v>2017 Canada Cup</v>
      </c>
      <c r="R5" s="15" t="str">
        <f>IF(MAX(CL5:CN5)&gt;0,MAX(CL5:CN5),"")</f>
        <v/>
      </c>
      <c r="S5" s="29" t="str">
        <f>IF(R5="","",IF(R5=CL5,"(Pass 1)",IF(R5=CM5,"(Pass 2)",IF(R5=CN5,"(Final)"))))</f>
        <v/>
      </c>
      <c r="T5" s="15" t="str">
        <f>IF(R5="","",IF(R5=CL5,IF(R5+L5=MZ5,$MH$1,IF(R5+L5=MC5,$LK$1,IF(R5+L5=LF5,$KN$1,IF(R5+L5=KI5,$JQ$1,IF(R5+L5=JL5,$IT$1,IF(R5+L5=IO5,$HW$1,IF(R5+L5=HR5,$GZ$1,IF(R5+L5=GU5,$GC$1,IF(R5+L5=FX5,$FF$1,IF(R5+L5=FA5,$EI$1,IF(R5+L5=ED5,$DL$1,IF(R5+L5=DG5,$CO$1)))))))))))),IF(R5=CM5,IF(R5+N5=NA5,$MH$1,IF(R5+N5=MD5,$LK$1,IF(R5+N5=LG5,$KN$1,IF(R5+N5=KJ5,$JQ$1,IF(R5+N5=JM5,$IT$1,IF(R5+N5=IP5,$HW$1,IF(R5+N5=HS5,$GZ$1,IF(R5+N5=GV5,$GC$1,IF(R5+N5=FY5,$FF$1,IF(R5+N5=FB5,$EI$1,IF(R5+N5=EE5,$DL$1,IF(R5+N5=DH5,$CO$1)))))))))))),IF(R5=CN5,IF(R5+P5=NC5,$MH$1,IF(R5+P5=MF5,$LK$1,IF(R5+P5=LI5,$KN$1,IF(R5+P5=KL5,$JQ$1,IF(R5+P5=JO5,$IT$1,IF(R5+P5=IR5,$HW$1,IF(R5+P5=HU5,$GZ$1,IF(R5+P5=GX5,$GC$1,IF(R5+P5=GA5,$FF$1,IF(R5+P5=FD5,$EI$1,IF(R5+P5=EG5,$DL$1,IF(R5+P5=DJ5,$CO$1))))))))))))))))</f>
        <v/>
      </c>
      <c r="U5" s="76">
        <v>26.1</v>
      </c>
      <c r="V5" s="76">
        <v>3.6</v>
      </c>
      <c r="W5" s="76">
        <v>0</v>
      </c>
      <c r="X5" s="76">
        <v>0</v>
      </c>
      <c r="Y5" s="76">
        <v>26.2</v>
      </c>
      <c r="Z5" s="76">
        <v>4.0999999999999996</v>
      </c>
      <c r="AA5" s="76">
        <v>0</v>
      </c>
      <c r="AB5" s="76">
        <v>0</v>
      </c>
      <c r="AC5" s="76">
        <v>27.7</v>
      </c>
      <c r="AD5" s="76">
        <v>3.6</v>
      </c>
      <c r="AE5" s="76">
        <v>0</v>
      </c>
      <c r="AF5" s="76">
        <v>0</v>
      </c>
      <c r="AG5" s="76">
        <v>26.5</v>
      </c>
      <c r="AH5" s="76">
        <v>4.0999999999999996</v>
      </c>
      <c r="AI5" s="76">
        <v>0</v>
      </c>
      <c r="AJ5" s="76">
        <v>0</v>
      </c>
      <c r="AK5" s="12">
        <f>IF(SUM(V5,Z5)&gt;0,SUM(V5,Z5),"")</f>
        <v>7.6999999999999993</v>
      </c>
      <c r="AL5" s="12">
        <f>IF(SUM(AD5,AH5)&gt;0,SUM(AD5,AH5),"")</f>
        <v>7.6999999999999993</v>
      </c>
      <c r="AM5" s="12">
        <f>IF(SUM(U5:V5,X5)-W5&gt;0,SUM(U5:V5,X5)-W5,"")</f>
        <v>29.700000000000003</v>
      </c>
      <c r="AN5" s="12">
        <f>IF(SUM(Y5:Z5,AB5)-AA5&gt;0,SUM(Y5:Z5,AB5)-AA5,"")</f>
        <v>30.299999999999997</v>
      </c>
      <c r="AO5" s="12">
        <f>IF(SUM(AM5:AN5)&gt;0,SUM(AM5:AN5),"")</f>
        <v>60</v>
      </c>
      <c r="AP5" s="12">
        <f>IF(SUM(AC5:AD5,AF5:AH5,AJ5)-SUM(AE5,AI5)&gt;0,SUM(AC5:AD5,AF5:AH5,AJ5)-SUM(AE5,AI5),"")</f>
        <v>61.9</v>
      </c>
      <c r="AQ5" s="12">
        <f>IF(SUM(AO5,AP5)&gt;0,SUM(AO5,AP5),"")</f>
        <v>121.9</v>
      </c>
      <c r="AR5" s="81">
        <v>27.3</v>
      </c>
      <c r="AS5" s="81">
        <v>3.6</v>
      </c>
      <c r="AT5" s="81">
        <v>0</v>
      </c>
      <c r="AU5" s="81">
        <v>0</v>
      </c>
      <c r="AV5" s="81">
        <v>26.6</v>
      </c>
      <c r="AW5" s="81">
        <v>4.0999999999999996</v>
      </c>
      <c r="AX5" s="81">
        <v>0.3</v>
      </c>
      <c r="AY5" s="81">
        <v>0</v>
      </c>
      <c r="AZ5" s="81">
        <v>27.5</v>
      </c>
      <c r="BA5" s="81">
        <v>3.6</v>
      </c>
      <c r="BB5" s="81">
        <v>0</v>
      </c>
      <c r="BC5" s="81">
        <v>0</v>
      </c>
      <c r="BD5" s="81">
        <v>25.8</v>
      </c>
      <c r="BE5" s="81">
        <v>4.0999999999999996</v>
      </c>
      <c r="BF5" s="81">
        <v>0</v>
      </c>
      <c r="BG5" s="81">
        <v>0</v>
      </c>
      <c r="BH5" s="15">
        <f>IF(SUM(AS5,AW5)&gt;0,SUM(AS5,AW5),"")</f>
        <v>7.6999999999999993</v>
      </c>
      <c r="BI5" s="15">
        <f>IF(SUM(BA5,BE5)&gt;0,SUM(BA5,BE5),"")</f>
        <v>7.6999999999999993</v>
      </c>
      <c r="BJ5" s="15">
        <f>IF(SUM(AR5:AS5,AU5)-AT5&gt;0,SUM(AR5:AS5,AU5)-AT5,"")</f>
        <v>30.900000000000002</v>
      </c>
      <c r="BK5" s="15">
        <f>IF(SUM(AV5:AW5,AY5)-AX5&gt;0,SUM(AV5:AW5,AY5)-AX5,"")</f>
        <v>30.400000000000002</v>
      </c>
      <c r="BL5" s="15">
        <f>IF(SUM(BJ5:BK5)&gt;0,SUM(BJ5:BK5),"")</f>
        <v>61.300000000000004</v>
      </c>
      <c r="BM5" s="15">
        <f>IF(SUM(AZ5:BA5,BC5:BE5,BG5)-SUM(BB5,BF5)&gt;0,SUM(AZ5:BA5,BC5:BE5,BG5)-SUM(BB5,BF5),"")</f>
        <v>61.000000000000007</v>
      </c>
      <c r="BN5" s="15">
        <f>IF(SUM(BL5,BM5)&gt;0,SUM(BL5,BM5),"")</f>
        <v>122.30000000000001</v>
      </c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12" t="str">
        <f>IF(SUM(BP5,BT5)&gt;0,SUM(BP5,BT5),"")</f>
        <v/>
      </c>
      <c r="CF5" s="12" t="str">
        <f>IF(SUM(BX5,CB5)&gt;0,SUM(BX5,CB5),"")</f>
        <v/>
      </c>
      <c r="CG5" s="12" t="str">
        <f>IF(SUM(BO5:BP5,BR5)-BQ5&gt;0,SUM(BO5:BP5,BR5)-BQ5,"")</f>
        <v/>
      </c>
      <c r="CH5" s="12" t="str">
        <f>IF(SUM(BS5:BT5,BV5)-BU5&gt;0,SUM(BS5:BT5,BV5)-BU5,"")</f>
        <v/>
      </c>
      <c r="CI5" s="12" t="str">
        <f>IF(SUM(CG5:CH5)&gt;0,SUM(CG5:CH5),"")</f>
        <v/>
      </c>
      <c r="CJ5" s="12" t="str">
        <f>IF(SUM(BW5:BX5,BZ5:CB5,CD5)-SUM(BY5,CC5)&gt;0,SUM(BW5:BX5,BZ5:CB5,CD5)-SUM(BY5,CC5),"")</f>
        <v/>
      </c>
      <c r="CK5" s="12" t="str">
        <f>IF(SUM(CI5,CJ5)&gt;0,SUM(CI5,CJ5),"")</f>
        <v/>
      </c>
      <c r="CL5" s="28" t="str">
        <f>IF(MAX(DG5,ED5,FA5,FX5,GU5,HR5,IO5,JL5,KI5,LF5,MC5,MZ5)-L5&gt;0.001,MAX(DG5,ED5,FA5,FX5,GU5,HR5,IO5,JL5,KI5,LF5,MC5,MZ5)-L5,"")</f>
        <v/>
      </c>
      <c r="CM5" s="28" t="str">
        <f>IF(MAX(DH5,EE5,FB5,FY5,GV5,HS5,IP5,JM5,KJ5,LG5,MD5,NA5)-N5&gt;0.001,MAX(DH5,EE5,FB5,FY5,GV5,HS5,IP5,JM5,KJ5,LG5,MD5,NA5)-N5,"")</f>
        <v/>
      </c>
      <c r="CN5" s="28" t="str">
        <f>IF(MAX(DJ5,EG5,FD5,GA5,GX5,HU5,IR5,JO5,KL5,LI5,MF5,NC5)-P5&gt;0.001,MAX(DJ5,EG5,FD5,GA5,GX5,HU5,IR5,JO5,KL5,LI5,MF5,NC5)-P5,"")</f>
        <v/>
      </c>
      <c r="CO5" s="45">
        <v>23.9</v>
      </c>
      <c r="CP5" s="45">
        <v>1.2</v>
      </c>
      <c r="CQ5" s="45">
        <v>0</v>
      </c>
      <c r="CR5" s="45">
        <v>0</v>
      </c>
      <c r="CS5" s="45">
        <v>23.4</v>
      </c>
      <c r="CT5" s="45">
        <v>1.9</v>
      </c>
      <c r="CU5" s="45">
        <v>0</v>
      </c>
      <c r="CV5" s="45">
        <v>0</v>
      </c>
      <c r="CW5" s="45"/>
      <c r="CX5" s="45"/>
      <c r="CY5" s="45"/>
      <c r="CZ5" s="45"/>
      <c r="DA5" s="45"/>
      <c r="DB5" s="45"/>
      <c r="DC5" s="45"/>
      <c r="DD5" s="45"/>
      <c r="DE5" s="12">
        <f>IF(SUM(CP5,CT5)&gt;0,SUM(CP5,CT5),"")</f>
        <v>3.0999999999999996</v>
      </c>
      <c r="DF5" s="12" t="str">
        <f>IF(SUM(CX5,DB5)&gt;0,SUM(CX5,DB5),"")</f>
        <v/>
      </c>
      <c r="DG5" s="12">
        <f>IF(SUM(CO5:CP5,CR5)-CQ5&gt;0,SUM(CO5:CP5,CR5)-CQ5,"")</f>
        <v>25.099999999999998</v>
      </c>
      <c r="DH5" s="12">
        <f>IF(SUM(CS5:CT5,CV5)-CU5&gt;0,SUM(CS5:CT5,CV5)-CU5,"")</f>
        <v>25.299999999999997</v>
      </c>
      <c r="DI5" s="12">
        <f>IF(SUM(DG5:DH5)&gt;0,SUM(DG5:DH5),"")</f>
        <v>50.399999999999991</v>
      </c>
      <c r="DJ5" s="12" t="str">
        <f>IF(SUM(CW5:CX5,CZ5:DB5,DD5)-SUM(CY5,DC5)&gt;0,SUM(CW5:CX5,CZ5:DB5,DD5)-SUM(CY5,DC5),"")</f>
        <v/>
      </c>
      <c r="DK5" s="12">
        <f>IF(SUM(DI5,DJ5)&gt;0,SUM(DI5,DJ5),"")</f>
        <v>50.399999999999991</v>
      </c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15" t="str">
        <f>IF(SUM(DM5,DQ5)&gt;0,SUM(DM5,DQ5),"")</f>
        <v/>
      </c>
      <c r="EC5" s="15" t="str">
        <f>IF(SUM(DU5,DY5)&gt;0,SUM(DU5,DY5),"")</f>
        <v/>
      </c>
      <c r="ED5" s="15" t="str">
        <f>IF(SUM(DL5:DM5,DO5)-DN5&gt;0,SUM(DL5:DM5,DO5)-DN5,"")</f>
        <v/>
      </c>
      <c r="EE5" s="15" t="str">
        <f>IF(SUM(DP5:DQ5,DS5)-DR5&gt;0,SUM(DP5:DQ5,DS5)-DR5,"")</f>
        <v/>
      </c>
      <c r="EF5" s="15" t="str">
        <f>IF(SUM(ED5:EE5)&gt;0,SUM(ED5:EE5),"")</f>
        <v/>
      </c>
      <c r="EG5" s="15" t="str">
        <f>IF(SUM(DT5:DU5,DW5:DY5,EA5)-SUM(DV5,DZ5)&gt;0,SUM(DT5:DU5,DW5:DY5,EA5)-SUM(DV5,DZ5),"")</f>
        <v/>
      </c>
      <c r="EH5" s="15" t="str">
        <f>IF(SUM(EF5,EG5)&gt;0,SUM(EF5,EG5),"")</f>
        <v/>
      </c>
      <c r="EI5" s="45"/>
      <c r="EJ5" s="45"/>
      <c r="EK5" s="45"/>
      <c r="EL5" s="45"/>
      <c r="EM5" s="45"/>
      <c r="EN5" s="45"/>
      <c r="EO5" s="45"/>
      <c r="EP5" s="45"/>
      <c r="EQ5" s="45"/>
      <c r="ER5" s="45"/>
      <c r="ES5" s="45"/>
      <c r="ET5" s="45"/>
      <c r="EU5" s="45"/>
      <c r="EV5" s="45"/>
      <c r="EW5" s="45"/>
      <c r="EX5" s="45"/>
      <c r="EY5" s="12" t="str">
        <f>IF(SUM(EJ5,EN5)&gt;0,SUM(EJ5,EN5),"")</f>
        <v/>
      </c>
      <c r="EZ5" s="12" t="str">
        <f>IF(SUM(ER5,EV5)&gt;0,SUM(ER5,EV5),"")</f>
        <v/>
      </c>
      <c r="FA5" s="12" t="str">
        <f>IF(SUM(EI5:EJ5,EL5)-EK5&gt;0,SUM(EI5:EJ5,EL5)-EK5,"")</f>
        <v/>
      </c>
      <c r="FB5" s="12" t="str">
        <f>IF(SUM(EM5:EN5,EP5)-EO5&gt;0,SUM(EM5:EN5,EP5)-EO5,"")</f>
        <v/>
      </c>
      <c r="FC5" s="12" t="str">
        <f>IF(SUM(FA5:FB5)&gt;0,SUM(FA5:FB5),"")</f>
        <v/>
      </c>
      <c r="FD5" s="12" t="str">
        <f>IF(SUM(EQ5:ER5,ET5:EV5,EX5)-SUM(ES5,EW5)&gt;0,SUM(EQ5:ER5,ET5:EV5,EX5)-SUM(ES5,EW5),"")</f>
        <v/>
      </c>
      <c r="FE5" s="12" t="str">
        <f>IF(SUM(FC5,FD5)&gt;0,SUM(FC5,FD5),"")</f>
        <v/>
      </c>
      <c r="FF5" s="46"/>
      <c r="FG5" s="46"/>
      <c r="FH5" s="46"/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15" t="str">
        <f>IF(SUM(FG5,FK5)&gt;0,SUM(FG5,FK5),"")</f>
        <v/>
      </c>
      <c r="FW5" s="15" t="str">
        <f>IF(SUM(FO5,FS5)&gt;0,SUM(FO5,FS5),"")</f>
        <v/>
      </c>
      <c r="FX5" s="15" t="str">
        <f>IF(SUM(FF5:FG5,FI5)-FH5&gt;0,SUM(FF5:FG5,FI5)-FH5,"")</f>
        <v/>
      </c>
      <c r="FY5" s="15" t="str">
        <f>IF(SUM(FJ5:FK5,FM5)-FL5&gt;0,SUM(FJ5:FK5,FM5)-FL5,"")</f>
        <v/>
      </c>
      <c r="FZ5" s="15" t="str">
        <f>IF(SUM(FX5:FY5)&gt;0,SUM(FX5:FY5),"")</f>
        <v/>
      </c>
      <c r="GA5" s="15" t="str">
        <f>IF(SUM(FN5:FO5,FQ5:FS5,FU5)-SUM(FP5,FT5)&gt;0,SUM(FN5:FO5,FQ5:FS5,FU5)-SUM(FP5,FT5),"")</f>
        <v/>
      </c>
      <c r="GB5" s="15" t="str">
        <f>IF(SUM(FZ5,GA5)&gt;0,SUM(FZ5,GA5),"")</f>
        <v/>
      </c>
      <c r="GC5" s="45"/>
      <c r="GD5" s="45"/>
      <c r="GE5" s="45"/>
      <c r="GF5" s="45"/>
      <c r="GG5" s="45"/>
      <c r="GH5" s="45"/>
      <c r="GI5" s="45"/>
      <c r="GJ5" s="45"/>
      <c r="GK5" s="45"/>
      <c r="GL5" s="45"/>
      <c r="GM5" s="45"/>
      <c r="GN5" s="45"/>
      <c r="GO5" s="45"/>
      <c r="GP5" s="45"/>
      <c r="GQ5" s="45"/>
      <c r="GR5" s="45"/>
      <c r="GS5" s="12" t="str">
        <f>IF(SUM(GD5,GH5)&gt;0,SUM(GD5,GH5),"")</f>
        <v/>
      </c>
      <c r="GT5" s="12" t="str">
        <f>IF(SUM(GL5,GP5)&gt;0,SUM(GL5,GP5),"")</f>
        <v/>
      </c>
      <c r="GU5" s="12" t="str">
        <f>IF(SUM(GC5:GD5,GF5)-GE5&gt;0,SUM(GC5:GD5,GF5)-GE5,"")</f>
        <v/>
      </c>
      <c r="GV5" s="12" t="str">
        <f>IF(SUM(GG5:GH5,GJ5)-GI5&gt;0,SUM(GG5:GH5,GJ5)-GI5,"")</f>
        <v/>
      </c>
      <c r="GW5" s="12" t="str">
        <f>IF(SUM(GU5:GV5)&gt;0,SUM(GU5:GV5),"")</f>
        <v/>
      </c>
      <c r="GX5" s="12" t="str">
        <f>IF(SUM(GK5:GL5,GN5:GP5,GR5)-SUM(GM5,GQ5)&gt;0,SUM(GK5:GL5,GN5:GP5,GR5)-SUM(GM5,GQ5),"")</f>
        <v/>
      </c>
      <c r="GY5" s="12" t="str">
        <f>IF(SUM(GW5,GX5)&gt;0,SUM(GW5,GX5),"")</f>
        <v/>
      </c>
      <c r="GZ5" s="46"/>
      <c r="HA5" s="46"/>
      <c r="HB5" s="46"/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15" t="str">
        <f>IF(SUM(HA5,HE5)&gt;0,SUM(HA5,HE5),"")</f>
        <v/>
      </c>
      <c r="HQ5" s="15" t="str">
        <f>IF(SUM(HI5,HM5)&gt;0,SUM(HI5,HM5),"")</f>
        <v/>
      </c>
      <c r="HR5" s="15" t="str">
        <f>IF(SUM(GZ5:HA5,HC5)-HB5&gt;0,SUM(GZ5:HA5,HC5)-HB5,"")</f>
        <v/>
      </c>
      <c r="HS5" s="15" t="str">
        <f>IF(SUM(HD5:HE5,HG5)-HF5&gt;0,SUM(HD5:HE5,HG5)-HF5,"")</f>
        <v/>
      </c>
      <c r="HT5" s="15" t="str">
        <f>IF(SUM(HR5:HS5)&gt;0,SUM(HR5:HS5),"")</f>
        <v/>
      </c>
      <c r="HU5" s="15" t="str">
        <f>IF(SUM(HH5:HI5,HK5:HM5,HO5)-SUM(HJ5,HN5)&gt;0,SUM(HH5:HI5,HK5:HM5,HO5)-SUM(HJ5,HN5),"")</f>
        <v/>
      </c>
      <c r="HV5" s="15" t="str">
        <f>IF(SUM(HT5,HU5)&gt;0,SUM(HT5,HU5),"")</f>
        <v/>
      </c>
      <c r="HW5" s="45"/>
      <c r="HX5" s="45"/>
      <c r="HY5" s="45"/>
      <c r="HZ5" s="45"/>
      <c r="IA5" s="45"/>
      <c r="IB5" s="45"/>
      <c r="IC5" s="45"/>
      <c r="ID5" s="45"/>
      <c r="IE5" s="45"/>
      <c r="IF5" s="45"/>
      <c r="IG5" s="45"/>
      <c r="IH5" s="45"/>
      <c r="II5" s="45"/>
      <c r="IJ5" s="45"/>
      <c r="IK5" s="45"/>
      <c r="IL5" s="45"/>
      <c r="IM5" s="12" t="str">
        <f>IF(SUM(HX5,IB5)&gt;0,SUM(HX5,IB5),"")</f>
        <v/>
      </c>
      <c r="IN5" s="12" t="str">
        <f>IF(SUM(IF5,IJ5)&gt;0,SUM(IF5,IJ5),"")</f>
        <v/>
      </c>
      <c r="IO5" s="12" t="str">
        <f>IF(SUM(HW5:HX5,HZ5)-HY5&gt;0,SUM(HW5:HX5,HZ5)-HY5,"")</f>
        <v/>
      </c>
      <c r="IP5" s="12" t="str">
        <f>IF(SUM(IA5:IB5,ID5)-IC5&gt;0,SUM(IA5:IB5,ID5)-IC5,"")</f>
        <v/>
      </c>
      <c r="IQ5" s="12" t="str">
        <f>IF(SUM(IO5:IP5)&gt;0,SUM(IO5:IP5),"")</f>
        <v/>
      </c>
      <c r="IR5" s="12" t="str">
        <f>IF(SUM(IE5:IF5,IH5:IJ5,IL5)-SUM(IG5,IK5)&gt;0,SUM(IE5:IF5,IH5:IJ5,IL5)-SUM(IG5,IK5),"")</f>
        <v/>
      </c>
      <c r="IS5" s="12" t="str">
        <f>IF(SUM(IQ5,IR5)&gt;0,SUM(IQ5,IR5),"")</f>
        <v/>
      </c>
      <c r="IT5" s="46"/>
      <c r="IU5" s="46"/>
      <c r="IV5" s="46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15" t="str">
        <f>IF(SUM(IU5,IY5)&gt;0,SUM(IU5,IY5),"")</f>
        <v/>
      </c>
      <c r="JK5" s="15" t="str">
        <f>IF(SUM(JC5,JG5)&gt;0,SUM(JC5,JG5),"")</f>
        <v/>
      </c>
      <c r="JL5" s="15" t="str">
        <f>IF(SUM(IT5:IU5,IW5)-IV5&gt;0,SUM(IT5:IU5,IW5)-IV5,"")</f>
        <v/>
      </c>
      <c r="JM5" s="15" t="str">
        <f>IF(SUM(IX5:IY5,JA5)-IZ5&gt;0,SUM(IX5:IY5,JA5)-IZ5,"")</f>
        <v/>
      </c>
      <c r="JN5" s="15" t="str">
        <f>IF(SUM(JL5:JM5)&gt;0,SUM(JL5:JM5),"")</f>
        <v/>
      </c>
      <c r="JO5" s="15" t="str">
        <f>IF(SUM(JB5:JC5,JE5:JG5,JI5)-SUM(JD5,JH5)&gt;0,SUM(JB5:JC5,JE5:JG5,JI5)-SUM(JD5,JH5),"")</f>
        <v/>
      </c>
      <c r="JP5" s="15" t="str">
        <f>IF(SUM(JN5,JO5)&gt;0,SUM(JN5,JO5),"")</f>
        <v/>
      </c>
      <c r="JQ5" s="45"/>
      <c r="JR5" s="45"/>
      <c r="JS5" s="45"/>
      <c r="JT5" s="45"/>
      <c r="JU5" s="45"/>
      <c r="JV5" s="45"/>
      <c r="JW5" s="45"/>
      <c r="JX5" s="45"/>
      <c r="JY5" s="45"/>
      <c r="JZ5" s="45"/>
      <c r="KA5" s="45"/>
      <c r="KB5" s="45"/>
      <c r="KC5" s="45"/>
      <c r="KD5" s="45"/>
      <c r="KE5" s="45"/>
      <c r="KF5" s="45"/>
      <c r="KG5" s="12" t="str">
        <f>IF(SUM(JR5,JV5)&gt;0,SUM(JR5,JV5),"")</f>
        <v/>
      </c>
      <c r="KH5" s="12" t="str">
        <f>IF(SUM(JZ5,KD5)&gt;0,SUM(JZ5,KD5),"")</f>
        <v/>
      </c>
      <c r="KI5" s="12" t="str">
        <f>IF(SUM(JQ5:JR5,JT5)-JS5&gt;0,SUM(JQ5:JR5,JT5)-JS5,"")</f>
        <v/>
      </c>
      <c r="KJ5" s="12" t="str">
        <f>IF(SUM(JU5:JV5,JX5)-JW5&gt;0,SUM(JU5:JV5,JX5)-JW5,"")</f>
        <v/>
      </c>
      <c r="KK5" s="12" t="str">
        <f>IF(SUM(KI5:KJ5)&gt;0,SUM(KI5:KJ5),"")</f>
        <v/>
      </c>
      <c r="KL5" s="12" t="str">
        <f>IF(SUM(JY5:JZ5,KB5:KD5,KF5)-SUM(KA5,KE5)&gt;0,SUM(JY5:JZ5,KB5:KD5,KF5)-SUM(KA5,KE5),"")</f>
        <v/>
      </c>
      <c r="KM5" s="12" t="str">
        <f>IF(SUM(KK5,KL5)&gt;0,SUM(KK5,KL5),"")</f>
        <v/>
      </c>
      <c r="KN5" s="46"/>
      <c r="KO5" s="46"/>
      <c r="KP5" s="46"/>
      <c r="KQ5" s="46"/>
      <c r="KR5" s="46"/>
      <c r="KS5" s="46"/>
      <c r="KT5" s="46"/>
      <c r="KU5" s="46"/>
      <c r="KV5" s="46"/>
      <c r="KW5" s="46"/>
      <c r="KX5" s="46"/>
      <c r="KY5" s="46"/>
      <c r="KZ5" s="46"/>
      <c r="LA5" s="46"/>
      <c r="LB5" s="46"/>
      <c r="LC5" s="46"/>
      <c r="LD5" s="15" t="str">
        <f>IF(SUM(KO5,KS5)&gt;0,SUM(KO5,KS5),"")</f>
        <v/>
      </c>
      <c r="LE5" s="15" t="str">
        <f>IF(SUM(KW5,LA5)&gt;0,SUM(KW5,LA5),"")</f>
        <v/>
      </c>
      <c r="LF5" s="15" t="str">
        <f>IF(SUM(KN5:KO5,KQ5)-KP5&gt;0,SUM(KN5:KO5,KQ5)-KP5,"")</f>
        <v/>
      </c>
      <c r="LG5" s="15" t="str">
        <f>IF(SUM(KR5:KS5,KU5)-KT5&gt;0,SUM(KR5:KS5,KU5)-KT5,"")</f>
        <v/>
      </c>
      <c r="LH5" s="15" t="str">
        <f>IF(SUM(LF5:LG5)&gt;0,SUM(LF5:LG5),"")</f>
        <v/>
      </c>
      <c r="LI5" s="15" t="str">
        <f>IF(SUM(KV5:KW5,KY5:LA5,LC5)-SUM(KX5,LB5)&gt;0,SUM(KV5:KW5,KY5:LA5,LC5)-SUM(KX5,LB5),"")</f>
        <v/>
      </c>
      <c r="LJ5" s="15" t="str">
        <f>IF(SUM(LH5,LI5)&gt;0,SUM(LH5,LI5),"")</f>
        <v/>
      </c>
      <c r="LK5" s="45"/>
      <c r="LL5" s="45"/>
      <c r="LM5" s="45"/>
      <c r="LN5" s="45"/>
      <c r="LO5" s="45"/>
      <c r="LP5" s="45"/>
      <c r="LQ5" s="45"/>
      <c r="LR5" s="45"/>
      <c r="LS5" s="45"/>
      <c r="LT5" s="45"/>
      <c r="LU5" s="45"/>
      <c r="LV5" s="45"/>
      <c r="LW5" s="45"/>
      <c r="LX5" s="45"/>
      <c r="LY5" s="45"/>
      <c r="LZ5" s="45"/>
      <c r="MA5" s="12" t="str">
        <f>IF(SUM(LL5,LP5)&gt;0,SUM(LL5,LP5),"")</f>
        <v/>
      </c>
      <c r="MB5" s="12" t="str">
        <f>IF(SUM(LT5,LX5)&gt;0,SUM(LT5,LX5),"")</f>
        <v/>
      </c>
      <c r="MC5" s="12" t="str">
        <f>IF(SUM(LK5:LL5,LN5)-LM5&gt;0,SUM(LK5:LL5,LN5)-LM5,"")</f>
        <v/>
      </c>
      <c r="MD5" s="12" t="str">
        <f>IF(SUM(LO5:LP5,LR5)-LQ5&gt;0,SUM(LO5:LP5,LR5)-LQ5,"")</f>
        <v/>
      </c>
      <c r="ME5" s="12" t="str">
        <f>IF(SUM(MC5:MD5)&gt;0,SUM(MC5:MD5),"")</f>
        <v/>
      </c>
      <c r="MF5" s="12" t="str">
        <f>IF(SUM(LS5:LT5,LV5:LX5,LZ5)-SUM(LU5,LY5)&gt;0,SUM(LS5:LT5,LV5:LX5,LZ5)-SUM(LU5,LY5),"")</f>
        <v/>
      </c>
      <c r="MG5" s="12" t="str">
        <f>IF(SUM(ME5,MF5)&gt;0,SUM(ME5,MF5),"")</f>
        <v/>
      </c>
      <c r="MH5" s="46"/>
      <c r="MI5" s="46"/>
      <c r="MJ5" s="46"/>
      <c r="MK5" s="46"/>
      <c r="ML5" s="46"/>
      <c r="MM5" s="46"/>
      <c r="MN5" s="46"/>
      <c r="MO5" s="46"/>
      <c r="MP5" s="46"/>
      <c r="MQ5" s="46"/>
      <c r="MR5" s="46"/>
      <c r="MS5" s="46"/>
      <c r="MT5" s="46"/>
      <c r="MU5" s="46"/>
      <c r="MV5" s="46"/>
      <c r="MW5" s="46"/>
      <c r="MX5" s="15" t="str">
        <f>IF(SUM(MI5,MM5)&gt;0,SUM(MI5,MM5),"")</f>
        <v/>
      </c>
      <c r="MY5" s="15" t="str">
        <f>IF(SUM(MQ5,MU5)&gt;0,SUM(MQ5,MU5),"")</f>
        <v/>
      </c>
      <c r="MZ5" s="15" t="str">
        <f>IF(SUM(MH5:MI5,MK5)-MJ5&gt;0,SUM(MH5:MI5,MK5)-MJ5,"")</f>
        <v/>
      </c>
      <c r="NA5" s="15" t="str">
        <f>IF(SUM(ML5:MM5,MO5)-MN5&gt;0,SUM(ML5:MM5,MO5)-MN5,"")</f>
        <v/>
      </c>
      <c r="NB5" s="15" t="str">
        <f>IF(SUM(MZ5:NA5)&gt;0,SUM(MZ5:NA5),"")</f>
        <v/>
      </c>
      <c r="NC5" s="15" t="str">
        <f>IF(SUM(MP5:MQ5,MS5:MU5,MW5)-SUM(MR5,MV5)&gt;0,SUM(MP5:MQ5,MS5:MU5,MW5)-SUM(MR5,MV5),"")</f>
        <v/>
      </c>
      <c r="ND5" s="15" t="str">
        <f>IF(SUM(NB5,NC5)&gt;0,SUM(NB5,NC5),"")</f>
        <v/>
      </c>
    </row>
    <row r="6" spans="1:368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7" t="s">
        <v>92</v>
      </c>
      <c r="C6" s="8" t="s">
        <v>4</v>
      </c>
      <c r="D6" s="31">
        <v>2001</v>
      </c>
      <c r="E6" s="16">
        <f>SUM(J6:R6)</f>
        <v>182.5</v>
      </c>
      <c r="F6" s="4" t="str">
        <f>IF(OR(AND($AK6&gt;=$AL$12,NOT($AK6="")),AND($BH6&gt;=$BI$12,NOT($BH6="")),AND($CE6&gt;=$CF$12,NOT($CE6=""))),"P","")</f>
        <v/>
      </c>
      <c r="G6" s="4" t="str">
        <f>IF(OR(AND($AK6&gt;=$AL$13,NOT($AK6="")),AND($BH6&gt;=$BI$13,NOT($BH6="")),AND($CE6&gt;=$CF$13,NOT($CE6=""))),"P","")</f>
        <v/>
      </c>
      <c r="H6" s="4" t="str">
        <f>IF(OR(AND($AO6&gt;=$AL$14,NOT($AO6="")),AND($BL6&gt;=$BI$14,NOT($BL6="")),AND($CI6&gt;=$CF$14,NOT($CI6=""))),"P","")</f>
        <v>P</v>
      </c>
      <c r="I6" t="str">
        <f>IF(AND(F6="P",OR(AND($AO6&gt;=$AL$17,NOT($AO6="")),AND($BL6&gt;=$BI$17,NOT($BL6="")),AND($CI6&gt;=$CF$17,NOT($CI6="")))),"Merit",IF(AND(F6="P",OR(AND($AO6&gt;=$AL$16,NOT($AO6="")),AND($BL6&gt;=$BI$16,NOT($BL6="")),AND($CI6&gt;=$CF$16,NOT($CI6="")))),"Funding",IF(AND(F6="P",OR(AND($AO6&gt;=$AL$15,NOT($AO6="")),AND($BL6&gt;=$BI$15,NOT($BL6="")),AND($CI6&gt;=$CF$15,NOT($CI6="")))),"Worlds Team",IF(AND(F6="P",OR(AND($AO6&gt;=$AL$14,NOT($AO6="")),AND($BL6&gt;=$BI$14,NOT($BL6="")),AND($CI6&gt;=$CF$14,NOT($CI6="")))),"National Team",""))))</f>
        <v/>
      </c>
      <c r="J6" s="15">
        <f>MAX(AO6,BL6,CI6)</f>
        <v>60</v>
      </c>
      <c r="K6" s="15" t="str">
        <f>IF(J6=CI6,$BO$1,IF(J6=BL6,$AR$1,IF(J6=AO6,$U$1,"")))</f>
        <v>2017 Canada Cup</v>
      </c>
      <c r="L6" s="15">
        <f>IF($J6=$AO6,MAX(BJ6,CG6),IF($J6=$BL6,MAX(AM6,CG6),MAX(AM6,BJ6)))</f>
        <v>30.6</v>
      </c>
      <c r="M6" s="15" t="str">
        <f>IF(L6=CG6,$BO$1,IF(L6=BJ6,$AR$1,IF(L6=AM6,$U$1,"")))</f>
        <v>2018 Canada Cup</v>
      </c>
      <c r="N6" s="15">
        <f>IF($J6=$AO6,MAX(BK6,CH6),IF($J6=$BL6,MAX(AN6,CH6),MAX(AN6,BK6)))</f>
        <v>29.4</v>
      </c>
      <c r="O6" s="15" t="str">
        <f>IF(N6=CH6,$BO$1,IF(N6=BK6,$AR$1,IF(N6=AN6,$U$1,"")))</f>
        <v>2017 Nationals</v>
      </c>
      <c r="P6" s="15">
        <f>MAX(AP6,BM6,CJ6)</f>
        <v>62.300000000000004</v>
      </c>
      <c r="Q6" s="15" t="str">
        <f>IF(P6=CJ6,$BO$1,IF(P6=BM6,$AR$1,IF(P6=AP6,$U$1,"")))</f>
        <v>2017 Nationals</v>
      </c>
      <c r="R6" s="15">
        <f>IF(MAX(CL6:CN6)&gt;0,MAX(CL6:CN6),"")</f>
        <v>0.20000000000000284</v>
      </c>
      <c r="S6" s="29" t="str">
        <f>IF(R6="","",IF(R6=CL6,"(Pass 1)",IF(R6=CM6,"(Pass 2)",IF(R6=CN6,"(Final)"))))</f>
        <v>(Pass 2)</v>
      </c>
      <c r="T6" s="15" t="str">
        <f>IF(R6="","",IF(R6=CL6,IF(R6+L6=MZ6,$MH$1,IF(R6+L6=MC6,$LK$1,IF(R6+L6=LF6,$KN$1,IF(R6+L6=KI6,$JQ$1,IF(R6+L6=JL6,$IT$1,IF(R6+L6=IO6,$HW$1,IF(R6+L6=HR6,$GZ$1,IF(R6+L6=GU6,$GC$1,IF(R6+L6=FX6,$FF$1,IF(R6+L6=FA6,$EI$1,IF(R6+L6=ED6,$DL$1,IF(R6+L6=DG6,$CO$1)))))))))))),IF(R6=CM6,IF(R6+N6=NA6,$MH$1,IF(R6+N6=MD6,$LK$1,IF(R6+N6=LG6,$KN$1,IF(R6+N6=KJ6,$JQ$1,IF(R6+N6=JM6,$IT$1,IF(R6+N6=IP6,$HW$1,IF(R6+N6=HS6,$GZ$1,IF(R6+N6=GV6,$GC$1,IF(R6+N6=FY6,$FF$1,IF(R6+N6=FB6,$EI$1,IF(R6+N6=EE6,$DL$1,IF(R6+N6=DH6,$CO$1)))))))))))),IF(R6=CN6,IF(R6+P6=NC6,$MH$1,IF(R6+P6=MF6,$LK$1,IF(R6+P6=LI6,$KN$1,IF(R6+P6=KL6,$JQ$1,IF(R6+P6=JO6,$IT$1,IF(R6+P6=IR6,$HW$1,IF(R6+P6=HU6,$GZ$1,IF(R6+P6=GX6,$GC$1,IF(R6+P6=GA6,$FF$1,IF(R6+P6=FD6,$EI$1,IF(R6+P6=EG6,$DL$1,IF(R6+P6=DJ6,$CO$1))))))))))))))))</f>
        <v>2017 World Age Group Championships (Nov)</v>
      </c>
      <c r="U6" s="52">
        <v>26.9</v>
      </c>
      <c r="V6" s="52">
        <v>3.5</v>
      </c>
      <c r="W6" s="52">
        <v>0</v>
      </c>
      <c r="X6" s="52">
        <v>0</v>
      </c>
      <c r="Y6" s="52">
        <v>25.5</v>
      </c>
      <c r="Z6" s="52">
        <v>4.0999999999999996</v>
      </c>
      <c r="AA6" s="52">
        <v>0</v>
      </c>
      <c r="AB6" s="52">
        <v>0</v>
      </c>
      <c r="AC6" s="52">
        <v>27.4</v>
      </c>
      <c r="AD6" s="52">
        <v>3.5</v>
      </c>
      <c r="AE6" s="52">
        <v>0</v>
      </c>
      <c r="AF6" s="52">
        <v>0</v>
      </c>
      <c r="AG6" s="52">
        <v>26.6</v>
      </c>
      <c r="AH6" s="52">
        <v>4.2</v>
      </c>
      <c r="AI6" s="52">
        <v>0</v>
      </c>
      <c r="AJ6" s="52">
        <v>0</v>
      </c>
      <c r="AK6" s="12">
        <f>IF(SUM(V6,Z6)&gt;0,SUM(V6,Z6),"")</f>
        <v>7.6</v>
      </c>
      <c r="AL6" s="12">
        <f>IF(SUM(AD6,AH6)&gt;0,SUM(AD6,AH6),"")</f>
        <v>7.7</v>
      </c>
      <c r="AM6" s="12">
        <f>IF(SUM(U6:V6,X6)-W6&gt;0,SUM(U6:V6,X6)-W6,"")</f>
        <v>30.4</v>
      </c>
      <c r="AN6" s="12">
        <f>IF(SUM(Y6:Z6,AB6)-AA6&gt;0,SUM(Y6:Z6,AB6)-AA6,"")</f>
        <v>29.6</v>
      </c>
      <c r="AO6" s="12">
        <f>IF(SUM(AM6:AN6)&gt;0,SUM(AM6:AN6),"")</f>
        <v>60</v>
      </c>
      <c r="AP6" s="12">
        <f>IF(SUM(AC6:AD6,AF6:AH6,AJ6)-SUM(AE6,AI6)&gt;0,SUM(AC6:AD6,AF6:AH6,AJ6)-SUM(AE6,AI6),"")</f>
        <v>61.7</v>
      </c>
      <c r="AQ6" s="12">
        <f>IF(SUM(AO6,AP6)&gt;0,SUM(AO6,AP6),"")</f>
        <v>121.7</v>
      </c>
      <c r="AR6" s="82">
        <v>26</v>
      </c>
      <c r="AS6" s="82">
        <v>3.6</v>
      </c>
      <c r="AT6" s="82">
        <v>0</v>
      </c>
      <c r="AU6" s="82">
        <v>0</v>
      </c>
      <c r="AV6" s="82">
        <v>25.5</v>
      </c>
      <c r="AW6" s="82">
        <v>3.9</v>
      </c>
      <c r="AX6" s="82">
        <v>0</v>
      </c>
      <c r="AY6" s="82">
        <v>0</v>
      </c>
      <c r="AZ6" s="82">
        <v>27.8</v>
      </c>
      <c r="BA6" s="82">
        <v>3.6</v>
      </c>
      <c r="BB6" s="82">
        <v>0</v>
      </c>
      <c r="BC6" s="82">
        <v>0</v>
      </c>
      <c r="BD6" s="82">
        <v>27.3</v>
      </c>
      <c r="BE6" s="82">
        <v>3.6</v>
      </c>
      <c r="BF6" s="82">
        <v>0</v>
      </c>
      <c r="BG6" s="82">
        <v>0</v>
      </c>
      <c r="BH6" s="15">
        <f>IF(SUM(AS6,AW6)&gt;0,SUM(AS6,AW6),"")</f>
        <v>7.5</v>
      </c>
      <c r="BI6" s="15">
        <f>IF(SUM(BA6,BE6)&gt;0,SUM(BA6,BE6),"")</f>
        <v>7.2</v>
      </c>
      <c r="BJ6" s="15">
        <f>IF(SUM(AR6:AS6,AU6)-AT6&gt;0,SUM(AR6:AS6,AU6)-AT6,"")</f>
        <v>29.6</v>
      </c>
      <c r="BK6" s="15">
        <f>IF(SUM(AV6:AW6,AY6)-AX6&gt;0,SUM(AV6:AW6,AY6)-AX6,"")</f>
        <v>29.4</v>
      </c>
      <c r="BL6" s="15">
        <f>IF(SUM(BJ6:BK6)&gt;0,SUM(BJ6:BK6),"")</f>
        <v>59</v>
      </c>
      <c r="BM6" s="15">
        <f>IF(SUM(AZ6:BA6,BC6:BE6,BG6)-SUM(BB6,BF6)&gt;0,SUM(AZ6:BA6,BC6:BE6,BG6)-SUM(BB6,BF6),"")</f>
        <v>62.300000000000004</v>
      </c>
      <c r="BN6" s="15">
        <f>IF(SUM(BL6,BM6)&gt;0,SUM(BL6,BM6),"")</f>
        <v>121.30000000000001</v>
      </c>
      <c r="BO6" s="45">
        <v>27</v>
      </c>
      <c r="BP6" s="45">
        <v>3.6</v>
      </c>
      <c r="BQ6" s="45">
        <v>0</v>
      </c>
      <c r="BR6" s="45">
        <v>0</v>
      </c>
      <c r="BS6" s="45">
        <v>23.6</v>
      </c>
      <c r="BT6" s="45">
        <v>1.9</v>
      </c>
      <c r="BU6" s="45">
        <v>0</v>
      </c>
      <c r="BV6" s="45">
        <v>0</v>
      </c>
      <c r="BW6" s="45">
        <v>25.9</v>
      </c>
      <c r="BX6" s="45">
        <v>3.6</v>
      </c>
      <c r="BY6" s="45">
        <v>0</v>
      </c>
      <c r="BZ6" s="45">
        <v>0</v>
      </c>
      <c r="CA6" s="45">
        <v>25.7</v>
      </c>
      <c r="CB6" s="45">
        <v>4.0999999999999996</v>
      </c>
      <c r="CC6" s="45">
        <v>0</v>
      </c>
      <c r="CD6" s="45">
        <v>0</v>
      </c>
      <c r="CE6" s="12">
        <f>IF(SUM(BP6,BT6)&gt;0,SUM(BP6,BT6),"")</f>
        <v>5.5</v>
      </c>
      <c r="CF6" s="12">
        <f>IF(SUM(BX6,CB6)&gt;0,SUM(BX6,CB6),"")</f>
        <v>7.6999999999999993</v>
      </c>
      <c r="CG6" s="12">
        <f>IF(SUM(BO6:BP6,BR6)-BQ6&gt;0,SUM(BO6:BP6,BR6)-BQ6,"")</f>
        <v>30.6</v>
      </c>
      <c r="CH6" s="12">
        <f>IF(SUM(BS6:BT6,BV6)-BU6&gt;0,SUM(BS6:BT6,BV6)-BU6,"")</f>
        <v>25.5</v>
      </c>
      <c r="CI6" s="12">
        <f>IF(SUM(CG6:CH6)&gt;0,SUM(CG6:CH6),"")</f>
        <v>56.1</v>
      </c>
      <c r="CJ6" s="12">
        <f>IF(SUM(BW6:BX6,BZ6:CB6,CD6)-SUM(BY6,CC6)&gt;0,SUM(BW6:BX6,BZ6:CB6,CD6)-SUM(BY6,CC6),"")</f>
        <v>59.300000000000004</v>
      </c>
      <c r="CK6" s="12">
        <f>IF(SUM(CI6,CJ6)&gt;0,SUM(CI6,CJ6),"")</f>
        <v>115.4</v>
      </c>
      <c r="CL6" s="28" t="str">
        <f>IF(MAX(DG6,ED6,FA6,FX6,GU6,HR6,IO6,JL6,KI6,LF6,MC6,MZ6)-L6&gt;0.001,MAX(DG6,ED6,FA6,FX6,GU6,HR6,IO6,JL6,KI6,LF6,MC6,MZ6)-L6,"")</f>
        <v/>
      </c>
      <c r="CM6" s="28">
        <f>IF(MAX(DH6,EE6,FB6,FY6,GV6,HS6,IP6,JM6,KJ6,LG6,MD6,NA6)-N6&gt;0.001,MAX(DH6,EE6,FB6,FY6,GV6,HS6,IP6,JM6,KJ6,LG6,MD6,NA6)-N6,"")</f>
        <v>0.20000000000000284</v>
      </c>
      <c r="CN6" s="28" t="str">
        <f>IF(MAX(DJ6,EG6,FD6,GA6,GX6,HU6,IR6,JO6,KL6,LI6,MF6,NC6)-P6&gt;0.001,MAX(DJ6,EG6,FD6,GA6,GX6,HU6,IR6,JO6,KL6,LI6,MF6,NC6)-P6,"")</f>
        <v/>
      </c>
      <c r="CO6" s="45">
        <v>27</v>
      </c>
      <c r="CP6" s="45">
        <v>3.6</v>
      </c>
      <c r="CQ6" s="45">
        <v>0.4</v>
      </c>
      <c r="CR6" s="45">
        <v>0</v>
      </c>
      <c r="CS6" s="45">
        <v>26.6</v>
      </c>
      <c r="CT6" s="45">
        <v>3.6</v>
      </c>
      <c r="CU6" s="45">
        <v>0.6</v>
      </c>
      <c r="CV6" s="45">
        <v>0</v>
      </c>
      <c r="CW6" s="45"/>
      <c r="CX6" s="45"/>
      <c r="CY6" s="45"/>
      <c r="CZ6" s="45"/>
      <c r="DA6" s="45"/>
      <c r="DB6" s="45"/>
      <c r="DC6" s="45"/>
      <c r="DD6" s="45"/>
      <c r="DE6" s="12">
        <f>IF(SUM(CP6,CT6)&gt;0,SUM(CP6,CT6),"")</f>
        <v>7.2</v>
      </c>
      <c r="DF6" s="12" t="str">
        <f>IF(SUM(CX6,DB6)&gt;0,SUM(CX6,DB6),"")</f>
        <v/>
      </c>
      <c r="DG6" s="12">
        <f>IF(SUM(CO6:CP6,CR6)-CQ6&gt;0,SUM(CO6:CP6,CR6)-CQ6,"")</f>
        <v>30.200000000000003</v>
      </c>
      <c r="DH6" s="12">
        <f>IF(SUM(CS6:CT6,CV6)-CU6&gt;0,SUM(CS6:CT6,CV6)-CU6,"")</f>
        <v>29.6</v>
      </c>
      <c r="DI6" s="12">
        <f>IF(SUM(DG6:DH6)&gt;0,SUM(DG6:DH6),"")</f>
        <v>59.800000000000004</v>
      </c>
      <c r="DJ6" s="12" t="str">
        <f>IF(SUM(CW6:CX6,CZ6:DB6,DD6)-SUM(CY6,DC6)&gt;0,SUM(CW6:CX6,CZ6:DB6,DD6)-SUM(CY6,DC6),"")</f>
        <v/>
      </c>
      <c r="DK6" s="12">
        <f>IF(SUM(DI6,DJ6)&gt;0,SUM(DI6,DJ6),"")</f>
        <v>59.800000000000004</v>
      </c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15" t="str">
        <f>IF(SUM(DM6,DQ6)&gt;0,SUM(DM6,DQ6),"")</f>
        <v/>
      </c>
      <c r="EC6" s="15" t="str">
        <f>IF(SUM(DU6,DY6)&gt;0,SUM(DU6,DY6),"")</f>
        <v/>
      </c>
      <c r="ED6" s="15" t="str">
        <f>IF(SUM(DL6:DM6,DO6)-DN6&gt;0,SUM(DL6:DM6,DO6)-DN6,"")</f>
        <v/>
      </c>
      <c r="EE6" s="15" t="str">
        <f>IF(SUM(DP6:DQ6,DS6)-DR6&gt;0,SUM(DP6:DQ6,DS6)-DR6,"")</f>
        <v/>
      </c>
      <c r="EF6" s="15" t="str">
        <f>IF(SUM(ED6:EE6)&gt;0,SUM(ED6:EE6),"")</f>
        <v/>
      </c>
      <c r="EG6" s="15" t="str">
        <f>IF(SUM(DT6:DU6,DW6:DY6,EA6)-SUM(DV6,DZ6)&gt;0,SUM(DT6:DU6,DW6:DY6,EA6)-SUM(DV6,DZ6),"")</f>
        <v/>
      </c>
      <c r="EH6" s="15" t="str">
        <f>IF(SUM(EF6,EG6)&gt;0,SUM(EF6,EG6),"")</f>
        <v/>
      </c>
      <c r="EI6" s="45"/>
      <c r="EJ6" s="45"/>
      <c r="EK6" s="45"/>
      <c r="EL6" s="45"/>
      <c r="EM6" s="45"/>
      <c r="EN6" s="45"/>
      <c r="EO6" s="45"/>
      <c r="EP6" s="45"/>
      <c r="EQ6" s="45"/>
      <c r="ER6" s="45"/>
      <c r="ES6" s="45"/>
      <c r="ET6" s="45"/>
      <c r="EU6" s="45"/>
      <c r="EV6" s="45"/>
      <c r="EW6" s="45"/>
      <c r="EX6" s="45"/>
      <c r="EY6" s="12" t="str">
        <f>IF(SUM(EJ6,EN6)&gt;0,SUM(EJ6,EN6),"")</f>
        <v/>
      </c>
      <c r="EZ6" s="12" t="str">
        <f>IF(SUM(ER6,EV6)&gt;0,SUM(ER6,EV6),"")</f>
        <v/>
      </c>
      <c r="FA6" s="12" t="str">
        <f>IF(SUM(EI6:EJ6,EL6)-EK6&gt;0,SUM(EI6:EJ6,EL6)-EK6,"")</f>
        <v/>
      </c>
      <c r="FB6" s="12" t="str">
        <f>IF(SUM(EM6:EN6,EP6)-EO6&gt;0,SUM(EM6:EN6,EP6)-EO6,"")</f>
        <v/>
      </c>
      <c r="FC6" s="12" t="str">
        <f>IF(SUM(FA6:FB6)&gt;0,SUM(FA6:FB6),"")</f>
        <v/>
      </c>
      <c r="FD6" s="12" t="str">
        <f>IF(SUM(EQ6:ER6,ET6:EV6,EX6)-SUM(ES6,EW6)&gt;0,SUM(EQ6:ER6,ET6:EV6,EX6)-SUM(ES6,EW6),"")</f>
        <v/>
      </c>
      <c r="FE6" s="12" t="str">
        <f>IF(SUM(FC6,FD6)&gt;0,SUM(FC6,FD6),"")</f>
        <v/>
      </c>
      <c r="FF6" s="46"/>
      <c r="FG6" s="46"/>
      <c r="FH6" s="46"/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15" t="str">
        <f>IF(SUM(FG6,FK6)&gt;0,SUM(FG6,FK6),"")</f>
        <v/>
      </c>
      <c r="FW6" s="15" t="str">
        <f>IF(SUM(FO6,FS6)&gt;0,SUM(FO6,FS6),"")</f>
        <v/>
      </c>
      <c r="FX6" s="15" t="str">
        <f>IF(SUM(FF6:FG6,FI6)-FH6&gt;0,SUM(FF6:FG6,FI6)-FH6,"")</f>
        <v/>
      </c>
      <c r="FY6" s="15" t="str">
        <f>IF(SUM(FJ6:FK6,FM6)-FL6&gt;0,SUM(FJ6:FK6,FM6)-FL6,"")</f>
        <v/>
      </c>
      <c r="FZ6" s="15" t="str">
        <f>IF(SUM(FX6:FY6)&gt;0,SUM(FX6:FY6),"")</f>
        <v/>
      </c>
      <c r="GA6" s="15" t="str">
        <f>IF(SUM(FN6:FO6,FQ6:FS6,FU6)-SUM(FP6,FT6)&gt;0,SUM(FN6:FO6,FQ6:FS6,FU6)-SUM(FP6,FT6),"")</f>
        <v/>
      </c>
      <c r="GB6" s="15" t="str">
        <f>IF(SUM(FZ6,GA6)&gt;0,SUM(FZ6,GA6),"")</f>
        <v/>
      </c>
      <c r="GC6" s="45"/>
      <c r="GD6" s="45"/>
      <c r="GE6" s="45"/>
      <c r="GF6" s="45"/>
      <c r="GG6" s="45"/>
      <c r="GH6" s="45"/>
      <c r="GI6" s="45"/>
      <c r="GJ6" s="45"/>
      <c r="GK6" s="45"/>
      <c r="GL6" s="45"/>
      <c r="GM6" s="45"/>
      <c r="GN6" s="45"/>
      <c r="GO6" s="45"/>
      <c r="GP6" s="45"/>
      <c r="GQ6" s="45"/>
      <c r="GR6" s="45"/>
      <c r="GS6" s="12" t="str">
        <f>IF(SUM(GD6,GH6)&gt;0,SUM(GD6,GH6),"")</f>
        <v/>
      </c>
      <c r="GT6" s="12" t="str">
        <f>IF(SUM(GL6,GP6)&gt;0,SUM(GL6,GP6),"")</f>
        <v/>
      </c>
      <c r="GU6" s="12" t="str">
        <f>IF(SUM(GC6:GD6,GF6)-GE6&gt;0,SUM(GC6:GD6,GF6)-GE6,"")</f>
        <v/>
      </c>
      <c r="GV6" s="12" t="str">
        <f>IF(SUM(GG6:GH6,GJ6)-GI6&gt;0,SUM(GG6:GH6,GJ6)-GI6,"")</f>
        <v/>
      </c>
      <c r="GW6" s="12" t="str">
        <f>IF(SUM(GU6:GV6)&gt;0,SUM(GU6:GV6),"")</f>
        <v/>
      </c>
      <c r="GX6" s="12" t="str">
        <f>IF(SUM(GK6:GL6,GN6:GP6,GR6)-SUM(GM6,GQ6)&gt;0,SUM(GK6:GL6,GN6:GP6,GR6)-SUM(GM6,GQ6),"")</f>
        <v/>
      </c>
      <c r="GY6" s="12" t="str">
        <f>IF(SUM(GW6,GX6)&gt;0,SUM(GW6,GX6),"")</f>
        <v/>
      </c>
      <c r="GZ6" s="46"/>
      <c r="HA6" s="46"/>
      <c r="HB6" s="46"/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15" t="str">
        <f>IF(SUM(HA6,HE6)&gt;0,SUM(HA6,HE6),"")</f>
        <v/>
      </c>
      <c r="HQ6" s="15" t="str">
        <f>IF(SUM(HI6,HM6)&gt;0,SUM(HI6,HM6),"")</f>
        <v/>
      </c>
      <c r="HR6" s="15" t="str">
        <f>IF(SUM(GZ6:HA6,HC6)-HB6&gt;0,SUM(GZ6:HA6,HC6)-HB6,"")</f>
        <v/>
      </c>
      <c r="HS6" s="15" t="str">
        <f>IF(SUM(HD6:HE6,HG6)-HF6&gt;0,SUM(HD6:HE6,HG6)-HF6,"")</f>
        <v/>
      </c>
      <c r="HT6" s="15" t="str">
        <f>IF(SUM(HR6:HS6)&gt;0,SUM(HR6:HS6),"")</f>
        <v/>
      </c>
      <c r="HU6" s="15" t="str">
        <f>IF(SUM(HH6:HI6,HK6:HM6,HO6)-SUM(HJ6,HN6)&gt;0,SUM(HH6:HI6,HK6:HM6,HO6)-SUM(HJ6,HN6),"")</f>
        <v/>
      </c>
      <c r="HV6" s="15" t="str">
        <f>IF(SUM(HT6,HU6)&gt;0,SUM(HT6,HU6),"")</f>
        <v/>
      </c>
      <c r="HW6" s="45"/>
      <c r="HX6" s="45"/>
      <c r="HY6" s="45"/>
      <c r="HZ6" s="45"/>
      <c r="IA6" s="45"/>
      <c r="IB6" s="45"/>
      <c r="IC6" s="45"/>
      <c r="ID6" s="45"/>
      <c r="IE6" s="45"/>
      <c r="IF6" s="45"/>
      <c r="IG6" s="45"/>
      <c r="IH6" s="45"/>
      <c r="II6" s="45"/>
      <c r="IJ6" s="45"/>
      <c r="IK6" s="45"/>
      <c r="IL6" s="45"/>
      <c r="IM6" s="12" t="str">
        <f>IF(SUM(HX6,IB6)&gt;0,SUM(HX6,IB6),"")</f>
        <v/>
      </c>
      <c r="IN6" s="12" t="str">
        <f>IF(SUM(IF6,IJ6)&gt;0,SUM(IF6,IJ6),"")</f>
        <v/>
      </c>
      <c r="IO6" s="12" t="str">
        <f>IF(SUM(HW6:HX6,HZ6)-HY6&gt;0,SUM(HW6:HX6,HZ6)-HY6,"")</f>
        <v/>
      </c>
      <c r="IP6" s="12" t="str">
        <f>IF(SUM(IA6:IB6,ID6)-IC6&gt;0,SUM(IA6:IB6,ID6)-IC6,"")</f>
        <v/>
      </c>
      <c r="IQ6" s="12" t="str">
        <f>IF(SUM(IO6:IP6)&gt;0,SUM(IO6:IP6),"")</f>
        <v/>
      </c>
      <c r="IR6" s="12" t="str">
        <f>IF(SUM(IE6:IF6,IH6:IJ6,IL6)-SUM(IG6,IK6)&gt;0,SUM(IE6:IF6,IH6:IJ6,IL6)-SUM(IG6,IK6),"")</f>
        <v/>
      </c>
      <c r="IS6" s="12" t="str">
        <f>IF(SUM(IQ6,IR6)&gt;0,SUM(IQ6,IR6),"")</f>
        <v/>
      </c>
      <c r="IT6" s="46"/>
      <c r="IU6" s="46"/>
      <c r="IV6" s="46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15" t="str">
        <f>IF(SUM(IU6,IY6)&gt;0,SUM(IU6,IY6),"")</f>
        <v/>
      </c>
      <c r="JK6" s="15" t="str">
        <f>IF(SUM(JC6,JG6)&gt;0,SUM(JC6,JG6),"")</f>
        <v/>
      </c>
      <c r="JL6" s="15" t="str">
        <f>IF(SUM(IT6:IU6,IW6)-IV6&gt;0,SUM(IT6:IU6,IW6)-IV6,"")</f>
        <v/>
      </c>
      <c r="JM6" s="15" t="str">
        <f>IF(SUM(IX6:IY6,JA6)-IZ6&gt;0,SUM(IX6:IY6,JA6)-IZ6,"")</f>
        <v/>
      </c>
      <c r="JN6" s="15" t="str">
        <f>IF(SUM(JL6:JM6)&gt;0,SUM(JL6:JM6),"")</f>
        <v/>
      </c>
      <c r="JO6" s="15" t="str">
        <f>IF(SUM(JB6:JC6,JE6:JG6,JI6)-SUM(JD6,JH6)&gt;0,SUM(JB6:JC6,JE6:JG6,JI6)-SUM(JD6,JH6),"")</f>
        <v/>
      </c>
      <c r="JP6" s="15" t="str">
        <f>IF(SUM(JN6,JO6)&gt;0,SUM(JN6,JO6),"")</f>
        <v/>
      </c>
      <c r="JQ6" s="45"/>
      <c r="JR6" s="45"/>
      <c r="JS6" s="45"/>
      <c r="JT6" s="45"/>
      <c r="JU6" s="45"/>
      <c r="JV6" s="45"/>
      <c r="JW6" s="45"/>
      <c r="JX6" s="45"/>
      <c r="JY6" s="45"/>
      <c r="JZ6" s="45"/>
      <c r="KA6" s="45"/>
      <c r="KB6" s="45"/>
      <c r="KC6" s="45"/>
      <c r="KD6" s="45"/>
      <c r="KE6" s="45"/>
      <c r="KF6" s="45"/>
      <c r="KG6" s="12" t="str">
        <f>IF(SUM(JR6,JV6)&gt;0,SUM(JR6,JV6),"")</f>
        <v/>
      </c>
      <c r="KH6" s="12" t="str">
        <f>IF(SUM(JZ6,KD6)&gt;0,SUM(JZ6,KD6),"")</f>
        <v/>
      </c>
      <c r="KI6" s="12" t="str">
        <f>IF(SUM(JQ6:JR6,JT6)-JS6&gt;0,SUM(JQ6:JR6,JT6)-JS6,"")</f>
        <v/>
      </c>
      <c r="KJ6" s="12" t="str">
        <f>IF(SUM(JU6:JV6,JX6)-JW6&gt;0,SUM(JU6:JV6,JX6)-JW6,"")</f>
        <v/>
      </c>
      <c r="KK6" s="12" t="str">
        <f>IF(SUM(KI6:KJ6)&gt;0,SUM(KI6:KJ6),"")</f>
        <v/>
      </c>
      <c r="KL6" s="12" t="str">
        <f>IF(SUM(JY6:JZ6,KB6:KD6,KF6)-SUM(KA6,KE6)&gt;0,SUM(JY6:JZ6,KB6:KD6,KF6)-SUM(KA6,KE6),"")</f>
        <v/>
      </c>
      <c r="KM6" s="12" t="str">
        <f>IF(SUM(KK6,KL6)&gt;0,SUM(KK6,KL6),"")</f>
        <v/>
      </c>
      <c r="KN6" s="46"/>
      <c r="KO6" s="46"/>
      <c r="KP6" s="46"/>
      <c r="KQ6" s="46"/>
      <c r="KR6" s="46"/>
      <c r="KS6" s="46"/>
      <c r="KT6" s="46"/>
      <c r="KU6" s="46"/>
      <c r="KV6" s="46"/>
      <c r="KW6" s="46"/>
      <c r="KX6" s="46"/>
      <c r="KY6" s="46"/>
      <c r="KZ6" s="46"/>
      <c r="LA6" s="46"/>
      <c r="LB6" s="46"/>
      <c r="LC6" s="46"/>
      <c r="LD6" s="15" t="str">
        <f>IF(SUM(KO6,KS6)&gt;0,SUM(KO6,KS6),"")</f>
        <v/>
      </c>
      <c r="LE6" s="15" t="str">
        <f>IF(SUM(KW6,LA6)&gt;0,SUM(KW6,LA6),"")</f>
        <v/>
      </c>
      <c r="LF6" s="15" t="str">
        <f>IF(SUM(KN6:KO6,KQ6)-KP6&gt;0,SUM(KN6:KO6,KQ6)-KP6,"")</f>
        <v/>
      </c>
      <c r="LG6" s="15" t="str">
        <f>IF(SUM(KR6:KS6,KU6)-KT6&gt;0,SUM(KR6:KS6,KU6)-KT6,"")</f>
        <v/>
      </c>
      <c r="LH6" s="15" t="str">
        <f>IF(SUM(LF6:LG6)&gt;0,SUM(LF6:LG6),"")</f>
        <v/>
      </c>
      <c r="LI6" s="15" t="str">
        <f>IF(SUM(KV6:KW6,KY6:LA6,LC6)-SUM(KX6,LB6)&gt;0,SUM(KV6:KW6,KY6:LA6,LC6)-SUM(KX6,LB6),"")</f>
        <v/>
      </c>
      <c r="LJ6" s="15" t="str">
        <f>IF(SUM(LH6,LI6)&gt;0,SUM(LH6,LI6),"")</f>
        <v/>
      </c>
      <c r="LK6" s="45"/>
      <c r="LL6" s="45"/>
      <c r="LM6" s="45"/>
      <c r="LN6" s="45"/>
      <c r="LO6" s="45"/>
      <c r="LP6" s="45"/>
      <c r="LQ6" s="45"/>
      <c r="LR6" s="45"/>
      <c r="LS6" s="45"/>
      <c r="LT6" s="45"/>
      <c r="LU6" s="45"/>
      <c r="LV6" s="45"/>
      <c r="LW6" s="45"/>
      <c r="LX6" s="45"/>
      <c r="LY6" s="45"/>
      <c r="LZ6" s="45"/>
      <c r="MA6" s="12" t="str">
        <f>IF(SUM(LL6,LP6)&gt;0,SUM(LL6,LP6),"")</f>
        <v/>
      </c>
      <c r="MB6" s="12" t="str">
        <f>IF(SUM(LT6,LX6)&gt;0,SUM(LT6,LX6),"")</f>
        <v/>
      </c>
      <c r="MC6" s="12" t="str">
        <f>IF(SUM(LK6:LL6,LN6)-LM6&gt;0,SUM(LK6:LL6,LN6)-LM6,"")</f>
        <v/>
      </c>
      <c r="MD6" s="12" t="str">
        <f>IF(SUM(LO6:LP6,LR6)-LQ6&gt;0,SUM(LO6:LP6,LR6)-LQ6,"")</f>
        <v/>
      </c>
      <c r="ME6" s="12" t="str">
        <f>IF(SUM(MC6:MD6)&gt;0,SUM(MC6:MD6),"")</f>
        <v/>
      </c>
      <c r="MF6" s="12" t="str">
        <f>IF(SUM(LS6:LT6,LV6:LX6,LZ6)-SUM(LU6,LY6)&gt;0,SUM(LS6:LT6,LV6:LX6,LZ6)-SUM(LU6,LY6),"")</f>
        <v/>
      </c>
      <c r="MG6" s="12" t="str">
        <f>IF(SUM(ME6,MF6)&gt;0,SUM(ME6,MF6),"")</f>
        <v/>
      </c>
      <c r="MH6" s="46"/>
      <c r="MI6" s="46"/>
      <c r="MJ6" s="46"/>
      <c r="MK6" s="46"/>
      <c r="ML6" s="46"/>
      <c r="MM6" s="46"/>
      <c r="MN6" s="46"/>
      <c r="MO6" s="46"/>
      <c r="MP6" s="46"/>
      <c r="MQ6" s="46"/>
      <c r="MR6" s="46"/>
      <c r="MS6" s="46"/>
      <c r="MT6" s="46"/>
      <c r="MU6" s="46"/>
      <c r="MV6" s="46"/>
      <c r="MW6" s="46"/>
      <c r="MX6" s="15" t="str">
        <f>IF(SUM(MI6,MM6)&gt;0,SUM(MI6,MM6),"")</f>
        <v/>
      </c>
      <c r="MY6" s="15" t="str">
        <f>IF(SUM(MQ6,MU6)&gt;0,SUM(MQ6,MU6),"")</f>
        <v/>
      </c>
      <c r="MZ6" s="15" t="str">
        <f>IF(SUM(MH6:MI6,MK6)-MJ6&gt;0,SUM(MH6:MI6,MK6)-MJ6,"")</f>
        <v/>
      </c>
      <c r="NA6" s="15" t="str">
        <f>IF(SUM(ML6:MM6,MO6)-MN6&gt;0,SUM(ML6:MM6,MO6)-MN6,"")</f>
        <v/>
      </c>
      <c r="NB6" s="15" t="str">
        <f>IF(SUM(MZ6:NA6)&gt;0,SUM(MZ6:NA6),"")</f>
        <v/>
      </c>
      <c r="NC6" s="15" t="str">
        <f>IF(SUM(MP6:MQ6,MS6:MU6,MW6)-SUM(MR6,MV6)&gt;0,SUM(MP6:MQ6,MS6:MU6,MW6)-SUM(MR6,MV6),"")</f>
        <v/>
      </c>
      <c r="ND6" s="15" t="str">
        <f>IF(SUM(NB6,NC6)&gt;0,SUM(NB6,NC6),"")</f>
        <v/>
      </c>
    </row>
    <row r="7" spans="1:368">
      <c r="A7" s="6" t="str">
        <f>IF(AND(F7="P",H7="P"),SUMPRODUCT((F$4:F$9="P")*(H$4:H$9="P")*(E$4:E$9&gt;E7))+1,IF(H7="P",SUMPRODUCT((F$4:F$9="")*(H$4:H$9="P")*(E$4:E$9&gt;E7))+1+SUMPRODUCT((F$4:F$9="P")*(H$4:H$9="P")),""))</f>
        <v/>
      </c>
      <c r="B7" s="9" t="s">
        <v>67</v>
      </c>
      <c r="C7" s="5" t="s">
        <v>4</v>
      </c>
      <c r="D7" s="31">
        <v>2000</v>
      </c>
      <c r="E7" s="16">
        <f>SUM(J7:R7)</f>
        <v>175.5</v>
      </c>
      <c r="F7" s="4" t="str">
        <f>IF(OR(AND($AK7&gt;=$AL$12,NOT($AK7="")),AND($BH7&gt;=$BI$12,NOT($BH7="")),AND($CE7&gt;=$CF$12,NOT($CE7=""))),"P","")</f>
        <v/>
      </c>
      <c r="G7" s="4" t="str">
        <f>IF(OR(AND($AK7&gt;=$AL$13,NOT($AK7="")),AND($BH7&gt;=$BI$13,NOT($BH7="")),AND($CE7&gt;=$CF$13,NOT($CE7=""))),"P","")</f>
        <v/>
      </c>
      <c r="H7" s="4" t="str">
        <f>IF(OR(AND($AO7&gt;=$AL$14,NOT($AO7="")),AND($BL7&gt;=$BI$14,NOT($BL7="")),AND($CI7&gt;=$CF$14,NOT($CI7=""))),"P","")</f>
        <v/>
      </c>
      <c r="I7" t="str">
        <f>IF(AND(F7="P",OR(AND($AO7&gt;=$AL$17,NOT($AO7="")),AND($BL7&gt;=$BI$17,NOT($BL7="")),AND($CI7&gt;=$CF$17,NOT($CI7="")))),"Merit",IF(AND(F7="P",OR(AND($AO7&gt;=$AL$16,NOT($AO7="")),AND($BL7&gt;=$BI$16,NOT($BL7="")),AND($CI7&gt;=$CF$16,NOT($CI7="")))),"Funding",IF(AND(F7="P",OR(AND($AO7&gt;=$AL$15,NOT($AO7="")),AND($BL7&gt;=$BI$15,NOT($BL7="")),AND($CI7&gt;=$CF$15,NOT($CI7="")))),"Worlds Team",IF(AND(F7="P",OR(AND($AO7&gt;=$AL$14,NOT($AO7="")),AND($BL7&gt;=$BI$14,NOT($BL7="")),AND($CI7&gt;=$CF$14,NOT($CI7="")))),"National Team",""))))</f>
        <v/>
      </c>
      <c r="J7" s="15">
        <f>MAX(AO7,BL7,CI7)</f>
        <v>58.7</v>
      </c>
      <c r="K7" s="15" t="str">
        <f>IF(J7=CI7,$BO$1,IF(J7=BL7,$AR$1,IF(J7=AO7,$U$1,"")))</f>
        <v>2018 Canada Cup</v>
      </c>
      <c r="L7" s="15">
        <f>IF($J7=$AO7,MAX(BJ7,CG7),IF($J7=$BL7,MAX(AM7,CG7),MAX(AM7,BJ7)))</f>
        <v>25.900000000000002</v>
      </c>
      <c r="M7" s="15" t="str">
        <f>IF(L7=CG7,$BO$1,IF(L7=BJ7,$AR$1,IF(L7=AM7,$U$1,"")))</f>
        <v>2017 Nationals</v>
      </c>
      <c r="N7" s="15">
        <f>IF($J7=$AO7,MAX(BK7,CH7),IF($J7=$BL7,MAX(AN7,CH7),MAX(AN7,BK7)))</f>
        <v>29.200000000000003</v>
      </c>
      <c r="O7" s="15" t="str">
        <f>IF(N7=CH7,$BO$1,IF(N7=BK7,$AR$1,IF(N7=AN7,$U$1,"")))</f>
        <v>2017 Nationals</v>
      </c>
      <c r="P7" s="15">
        <f>MAX(AP7,BM7,CJ7)</f>
        <v>60.500000000000007</v>
      </c>
      <c r="Q7" s="15" t="str">
        <f>IF(P7=CJ7,$BO$1,IF(P7=BM7,$AR$1,IF(P7=AP7,$U$1,"")))</f>
        <v>2017 Nationals</v>
      </c>
      <c r="R7" s="15">
        <f>IF(MAX(CL7:CN7)&gt;0,MAX(CL7:CN7),"")</f>
        <v>1.1999999999999957</v>
      </c>
      <c r="S7" s="29" t="str">
        <f>IF(R7="","",IF(R7=CL7,"(Pass 1)",IF(R7=CM7,"(Pass 2)",IF(R7=CN7,"(Final)"))))</f>
        <v>(Pass 1)</v>
      </c>
      <c r="T7" s="15" t="str">
        <f>IF(R7="","",IF(R7=CL7,IF(R7+L7=MZ7,$MH$1,IF(R7+L7=MC7,$LK$1,IF(R7+L7=LF7,$KN$1,IF(R7+L7=KI7,$JQ$1,IF(R7+L7=JL7,$IT$1,IF(R7+L7=IO7,$HW$1,IF(R7+L7=HR7,$GZ$1,IF(R7+L7=GU7,$GC$1,IF(R7+L7=FX7,$FF$1,IF(R7+L7=FA7,$EI$1,IF(R7+L7=ED7,$DL$1,IF(R7+L7=DG7,$CO$1)))))))))))),IF(R7=CM7,IF(R7+N7=NA7,$MH$1,IF(R7+N7=MD7,$LK$1,IF(R7+N7=LG7,$KN$1,IF(R7+N7=KJ7,$JQ$1,IF(R7+N7=JM7,$IT$1,IF(R7+N7=IP7,$HW$1,IF(R7+N7=HS7,$GZ$1,IF(R7+N7=GV7,$GC$1,IF(R7+N7=FY7,$FF$1,IF(R7+N7=FB7,$EI$1,IF(R7+N7=EE7,$DL$1,IF(R7+N7=DH7,$CO$1)))))))))))),IF(R7=CN7,IF(R7+P7=NC7,$MH$1,IF(R7+P7=MF7,$LK$1,IF(R7+P7=LI7,$KN$1,IF(R7+P7=KL7,$JQ$1,IF(R7+P7=JO7,$IT$1,IF(R7+P7=IR7,$HW$1,IF(R7+P7=HU7,$GZ$1,IF(R7+P7=GX7,$GC$1,IF(R7+P7=GA7,$FF$1,IF(R7+P7=FD7,$EI$1,IF(R7+P7=EG7,$DL$1,IF(R7+P7=DJ7,$CO$1))))))))))))))))</f>
        <v>2017 World Age Group Championships (Nov)</v>
      </c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12" t="str">
        <f>IF(SUM(V7,Z7)&gt;0,SUM(V7,Z7),"")</f>
        <v/>
      </c>
      <c r="AL7" s="12" t="str">
        <f>IF(SUM(AD7,AH7)&gt;0,SUM(AD7,AH7),"")</f>
        <v/>
      </c>
      <c r="AM7" s="12" t="str">
        <f>IF(SUM(U7:V7,X7)-W7&gt;0,SUM(U7:V7,X7)-W7,"")</f>
        <v/>
      </c>
      <c r="AN7" s="12" t="str">
        <f>IF(SUM(Y7:Z7,AB7)-AA7&gt;0,SUM(Y7:Z7,AB7)-AA7,"")</f>
        <v/>
      </c>
      <c r="AO7" s="12" t="str">
        <f>IF(SUM(AM7:AN7)&gt;0,SUM(AM7:AN7),"")</f>
        <v/>
      </c>
      <c r="AP7" s="12" t="str">
        <f>IF(SUM(AC7:AD7,AF7:AH7,AJ7)-SUM(AE7,AI7)&gt;0,SUM(AC7:AD7,AF7:AH7,AJ7)-SUM(AE7,AI7),"")</f>
        <v/>
      </c>
      <c r="AQ7" s="12" t="str">
        <f>IF(SUM(AO7,AP7)&gt;0,SUM(AO7,AP7),"")</f>
        <v/>
      </c>
      <c r="AR7" s="81">
        <v>24.6</v>
      </c>
      <c r="AS7" s="81">
        <v>1.3</v>
      </c>
      <c r="AT7" s="81">
        <v>0</v>
      </c>
      <c r="AU7" s="81">
        <v>0</v>
      </c>
      <c r="AV7" s="81">
        <v>25.1</v>
      </c>
      <c r="AW7" s="81">
        <v>4.0999999999999996</v>
      </c>
      <c r="AX7" s="81">
        <v>0</v>
      </c>
      <c r="AY7" s="81">
        <v>0</v>
      </c>
      <c r="AZ7" s="81">
        <v>27.5</v>
      </c>
      <c r="BA7" s="81">
        <v>3.6</v>
      </c>
      <c r="BB7" s="81">
        <v>0</v>
      </c>
      <c r="BC7" s="81">
        <v>0</v>
      </c>
      <c r="BD7" s="81">
        <v>25.3</v>
      </c>
      <c r="BE7" s="81">
        <v>4.0999999999999996</v>
      </c>
      <c r="BF7" s="81">
        <v>0</v>
      </c>
      <c r="BG7" s="81">
        <v>0</v>
      </c>
      <c r="BH7" s="15">
        <f>IF(SUM(AS7,AW7)&gt;0,SUM(AS7,AW7),"")</f>
        <v>5.3999999999999995</v>
      </c>
      <c r="BI7" s="15">
        <f>IF(SUM(BA7,BE7)&gt;0,SUM(BA7,BE7),"")</f>
        <v>7.6999999999999993</v>
      </c>
      <c r="BJ7" s="15">
        <f>IF(SUM(AR7:AS7,AU7)-AT7&gt;0,SUM(AR7:AS7,AU7)-AT7,"")</f>
        <v>25.900000000000002</v>
      </c>
      <c r="BK7" s="15">
        <f>IF(SUM(AV7:AW7,AY7)-AX7&gt;0,SUM(AV7:AW7,AY7)-AX7,"")</f>
        <v>29.200000000000003</v>
      </c>
      <c r="BL7" s="15">
        <f>IF(SUM(BJ7:BK7)&gt;0,SUM(BJ7:BK7),"")</f>
        <v>55.100000000000009</v>
      </c>
      <c r="BM7" s="15">
        <f>IF(SUM(AZ7:BA7,BC7:BE7,BG7)-SUM(BB7,BF7)&gt;0,SUM(AZ7:BA7,BC7:BE7,BG7)-SUM(BB7,BF7),"")</f>
        <v>60.500000000000007</v>
      </c>
      <c r="BN7" s="15">
        <f>IF(SUM(BL7,BM7)&gt;0,SUM(BL7,BM7),"")</f>
        <v>115.60000000000002</v>
      </c>
      <c r="BO7" s="45">
        <v>26.4</v>
      </c>
      <c r="BP7" s="45">
        <v>3.6</v>
      </c>
      <c r="BQ7" s="45">
        <v>0</v>
      </c>
      <c r="BR7" s="45">
        <v>0</v>
      </c>
      <c r="BS7" s="45">
        <v>26.2</v>
      </c>
      <c r="BT7" s="45">
        <v>2.5</v>
      </c>
      <c r="BU7" s="45">
        <v>0</v>
      </c>
      <c r="BV7" s="45">
        <v>0</v>
      </c>
      <c r="BW7" s="45">
        <v>26.9</v>
      </c>
      <c r="BX7" s="45">
        <v>3.6</v>
      </c>
      <c r="BY7" s="45">
        <v>0</v>
      </c>
      <c r="BZ7" s="45">
        <v>0</v>
      </c>
      <c r="CA7" s="45">
        <v>22.4</v>
      </c>
      <c r="CB7" s="45">
        <v>4.0999999999999996</v>
      </c>
      <c r="CC7" s="45">
        <v>0.6</v>
      </c>
      <c r="CD7" s="45">
        <v>0</v>
      </c>
      <c r="CE7" s="12">
        <f>IF(SUM(BP7,BT7)&gt;0,SUM(BP7,BT7),"")</f>
        <v>6.1</v>
      </c>
      <c r="CF7" s="12">
        <f>IF(SUM(BX7,CB7)&gt;0,SUM(BX7,CB7),"")</f>
        <v>7.6999999999999993</v>
      </c>
      <c r="CG7" s="12">
        <f>IF(SUM(BO7:BP7,BR7)-BQ7&gt;0,SUM(BO7:BP7,BR7)-BQ7,"")</f>
        <v>30</v>
      </c>
      <c r="CH7" s="12">
        <f>IF(SUM(BS7:BT7,BV7)-BU7&gt;0,SUM(BS7:BT7,BV7)-BU7,"")</f>
        <v>28.7</v>
      </c>
      <c r="CI7" s="12">
        <f>IF(SUM(CG7:CH7)&gt;0,SUM(CG7:CH7),"")</f>
        <v>58.7</v>
      </c>
      <c r="CJ7" s="12">
        <f>IF(SUM(BW7:BX7,BZ7:CB7,CD7)-SUM(BY7,CC7)&gt;0,SUM(BW7:BX7,BZ7:CB7,CD7)-SUM(BY7,CC7),"")</f>
        <v>56.4</v>
      </c>
      <c r="CK7" s="12">
        <f>IF(SUM(CI7,CJ7)&gt;0,SUM(CI7,CJ7),"")</f>
        <v>115.1</v>
      </c>
      <c r="CL7" s="28">
        <f>IF(MAX(DG7,ED7,FA7,FX7,GU7,HR7,IO7,JL7,KI7,LF7,MC7,MZ7)-L7&gt;0.001,MAX(DG7,ED7,FA7,FX7,GU7,HR7,IO7,JL7,KI7,LF7,MC7,MZ7)-L7,"")</f>
        <v>1.1999999999999957</v>
      </c>
      <c r="CM7" s="28">
        <f>IF(MAX(DH7,EE7,FB7,FY7,GV7,HS7,IP7,JM7,KJ7,LG7,MD7,NA7)-N7&gt;0.001,MAX(DH7,EE7,FB7,FY7,GV7,HS7,IP7,JM7,KJ7,LG7,MD7,NA7)-N7,"")</f>
        <v>0.79999999999999361</v>
      </c>
      <c r="CN7" s="28" t="str">
        <f>IF(MAX(DJ7,EG7,FD7,GA7,GX7,HU7,IR7,JO7,KL7,LI7,MF7,NC7)-P7&gt;0.001,MAX(DJ7,EG7,FD7,GA7,GX7,HU7,IR7,JO7,KL7,LI7,MF7,NC7)-P7,"")</f>
        <v/>
      </c>
      <c r="CO7" s="45">
        <v>27.2</v>
      </c>
      <c r="CP7" s="45">
        <v>3.2</v>
      </c>
      <c r="CQ7" s="45">
        <v>3.3</v>
      </c>
      <c r="CR7" s="45">
        <v>0</v>
      </c>
      <c r="CS7" s="45">
        <v>26.2</v>
      </c>
      <c r="CT7" s="45">
        <v>4.0999999999999996</v>
      </c>
      <c r="CU7" s="45">
        <v>0.3</v>
      </c>
      <c r="CV7" s="45">
        <v>0</v>
      </c>
      <c r="CW7" s="45"/>
      <c r="CX7" s="45"/>
      <c r="CY7" s="45"/>
      <c r="CZ7" s="45"/>
      <c r="DA7" s="45"/>
      <c r="DB7" s="45"/>
      <c r="DC7" s="45"/>
      <c r="DD7" s="45"/>
      <c r="DE7" s="12">
        <f>IF(SUM(CP7,CT7)&gt;0,SUM(CP7,CT7),"")</f>
        <v>7.3</v>
      </c>
      <c r="DF7" s="12" t="str">
        <f>IF(SUM(CX7,DB7)&gt;0,SUM(CX7,DB7),"")</f>
        <v/>
      </c>
      <c r="DG7" s="12">
        <f>IF(SUM(CO7:CP7,CR7)-CQ7&gt;0,SUM(CO7:CP7,CR7)-CQ7,"")</f>
        <v>27.099999999999998</v>
      </c>
      <c r="DH7" s="12">
        <f>IF(SUM(CS7:CT7,CV7)-CU7&gt;0,SUM(CS7:CT7,CV7)-CU7,"")</f>
        <v>29.999999999999996</v>
      </c>
      <c r="DI7" s="12">
        <f>IF(SUM(DG7:DH7)&gt;0,SUM(DG7:DH7),"")</f>
        <v>57.099999999999994</v>
      </c>
      <c r="DJ7" s="12" t="str">
        <f>IF(SUM(CW7:CX7,CZ7:DB7,DD7)-SUM(CY7,DC7)&gt;0,SUM(CW7:CX7,CZ7:DB7,DD7)-SUM(CY7,DC7),"")</f>
        <v/>
      </c>
      <c r="DK7" s="12">
        <f>IF(SUM(DI7,DJ7)&gt;0,SUM(DI7,DJ7),"")</f>
        <v>57.099999999999994</v>
      </c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15" t="str">
        <f>IF(SUM(DM7,DQ7)&gt;0,SUM(DM7,DQ7),"")</f>
        <v/>
      </c>
      <c r="EC7" s="15" t="str">
        <f>IF(SUM(DU7,DY7)&gt;0,SUM(DU7,DY7),"")</f>
        <v/>
      </c>
      <c r="ED7" s="15" t="str">
        <f>IF(SUM(DL7:DM7,DO7)-DN7&gt;0,SUM(DL7:DM7,DO7)-DN7,"")</f>
        <v/>
      </c>
      <c r="EE7" s="15" t="str">
        <f>IF(SUM(DP7:DQ7,DS7)-DR7&gt;0,SUM(DP7:DQ7,DS7)-DR7,"")</f>
        <v/>
      </c>
      <c r="EF7" s="15" t="str">
        <f>IF(SUM(ED7:EE7)&gt;0,SUM(ED7:EE7),"")</f>
        <v/>
      </c>
      <c r="EG7" s="15" t="str">
        <f>IF(SUM(DT7:DU7,DW7:DY7,EA7)-SUM(DV7,DZ7)&gt;0,SUM(DT7:DU7,DW7:DY7,EA7)-SUM(DV7,DZ7),"")</f>
        <v/>
      </c>
      <c r="EH7" s="15" t="str">
        <f>IF(SUM(EF7,EG7)&gt;0,SUM(EF7,EG7),"")</f>
        <v/>
      </c>
      <c r="EI7" s="45"/>
      <c r="EJ7" s="45"/>
      <c r="EK7" s="45"/>
      <c r="EL7" s="45"/>
      <c r="EM7" s="45"/>
      <c r="EN7" s="45"/>
      <c r="EO7" s="45"/>
      <c r="EP7" s="45"/>
      <c r="EQ7" s="45"/>
      <c r="ER7" s="45"/>
      <c r="ES7" s="45"/>
      <c r="ET7" s="45"/>
      <c r="EU7" s="45"/>
      <c r="EV7" s="45"/>
      <c r="EW7" s="45"/>
      <c r="EX7" s="45"/>
      <c r="EY7" s="12" t="str">
        <f>IF(SUM(EJ7,EN7)&gt;0,SUM(EJ7,EN7),"")</f>
        <v/>
      </c>
      <c r="EZ7" s="12" t="str">
        <f>IF(SUM(ER7,EV7)&gt;0,SUM(ER7,EV7),"")</f>
        <v/>
      </c>
      <c r="FA7" s="12" t="str">
        <f>IF(SUM(EI7:EJ7,EL7)-EK7&gt;0,SUM(EI7:EJ7,EL7)-EK7,"")</f>
        <v/>
      </c>
      <c r="FB7" s="12" t="str">
        <f>IF(SUM(EM7:EN7,EP7)-EO7&gt;0,SUM(EM7:EN7,EP7)-EO7,"")</f>
        <v/>
      </c>
      <c r="FC7" s="12" t="str">
        <f>IF(SUM(FA7:FB7)&gt;0,SUM(FA7:FB7),"")</f>
        <v/>
      </c>
      <c r="FD7" s="12" t="str">
        <f>IF(SUM(EQ7:ER7,ET7:EV7,EX7)-SUM(ES7,EW7)&gt;0,SUM(EQ7:ER7,ET7:EV7,EX7)-SUM(ES7,EW7),"")</f>
        <v/>
      </c>
      <c r="FE7" s="12" t="str">
        <f>IF(SUM(FC7,FD7)&gt;0,SUM(FC7,FD7),"")</f>
        <v/>
      </c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15" t="str">
        <f>IF(SUM(FG7,FK7)&gt;0,SUM(FG7,FK7),"")</f>
        <v/>
      </c>
      <c r="FW7" s="15" t="str">
        <f>IF(SUM(FO7,FS7)&gt;0,SUM(FO7,FS7),"")</f>
        <v/>
      </c>
      <c r="FX7" s="15" t="str">
        <f>IF(SUM(FF7:FG7,FI7)-FH7&gt;0,SUM(FF7:FG7,FI7)-FH7,"")</f>
        <v/>
      </c>
      <c r="FY7" s="15" t="str">
        <f>IF(SUM(FJ7:FK7,FM7)-FL7&gt;0,SUM(FJ7:FK7,FM7)-FL7,"")</f>
        <v/>
      </c>
      <c r="FZ7" s="15" t="str">
        <f>IF(SUM(FX7:FY7)&gt;0,SUM(FX7:FY7),"")</f>
        <v/>
      </c>
      <c r="GA7" s="15" t="str">
        <f>IF(SUM(FN7:FO7,FQ7:FS7,FU7)-SUM(FP7,FT7)&gt;0,SUM(FN7:FO7,FQ7:FS7,FU7)-SUM(FP7,FT7),"")</f>
        <v/>
      </c>
      <c r="GB7" s="15" t="str">
        <f>IF(SUM(FZ7,GA7)&gt;0,SUM(FZ7,GA7),"")</f>
        <v/>
      </c>
      <c r="GC7" s="45"/>
      <c r="GD7" s="45"/>
      <c r="GE7" s="45"/>
      <c r="GF7" s="45"/>
      <c r="GG7" s="45"/>
      <c r="GH7" s="45"/>
      <c r="GI7" s="45"/>
      <c r="GJ7" s="45"/>
      <c r="GK7" s="45"/>
      <c r="GL7" s="45"/>
      <c r="GM7" s="45"/>
      <c r="GN7" s="45"/>
      <c r="GO7" s="45"/>
      <c r="GP7" s="45"/>
      <c r="GQ7" s="45"/>
      <c r="GR7" s="45"/>
      <c r="GS7" s="12" t="str">
        <f>IF(SUM(GD7,GH7)&gt;0,SUM(GD7,GH7),"")</f>
        <v/>
      </c>
      <c r="GT7" s="12" t="str">
        <f>IF(SUM(GL7,GP7)&gt;0,SUM(GL7,GP7),"")</f>
        <v/>
      </c>
      <c r="GU7" s="12" t="str">
        <f>IF(SUM(GC7:GD7,GF7)-GE7&gt;0,SUM(GC7:GD7,GF7)-GE7,"")</f>
        <v/>
      </c>
      <c r="GV7" s="12" t="str">
        <f>IF(SUM(GG7:GH7,GJ7)-GI7&gt;0,SUM(GG7:GH7,GJ7)-GI7,"")</f>
        <v/>
      </c>
      <c r="GW7" s="12" t="str">
        <f>IF(SUM(GU7:GV7)&gt;0,SUM(GU7:GV7),"")</f>
        <v/>
      </c>
      <c r="GX7" s="12" t="str">
        <f>IF(SUM(GK7:GL7,GN7:GP7,GR7)-SUM(GM7,GQ7)&gt;0,SUM(GK7:GL7,GN7:GP7,GR7)-SUM(GM7,GQ7),"")</f>
        <v/>
      </c>
      <c r="GY7" s="12" t="str">
        <f>IF(SUM(GW7,GX7)&gt;0,SUM(GW7,GX7),"")</f>
        <v/>
      </c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15" t="str">
        <f>IF(SUM(HA7,HE7)&gt;0,SUM(HA7,HE7),"")</f>
        <v/>
      </c>
      <c r="HQ7" s="15" t="str">
        <f>IF(SUM(HI7,HM7)&gt;0,SUM(HI7,HM7),"")</f>
        <v/>
      </c>
      <c r="HR7" s="15" t="str">
        <f>IF(SUM(GZ7:HA7,HC7)-HB7&gt;0,SUM(GZ7:HA7,HC7)-HB7,"")</f>
        <v/>
      </c>
      <c r="HS7" s="15" t="str">
        <f>IF(SUM(HD7:HE7,HG7)-HF7&gt;0,SUM(HD7:HE7,HG7)-HF7,"")</f>
        <v/>
      </c>
      <c r="HT7" s="15" t="str">
        <f>IF(SUM(HR7:HS7)&gt;0,SUM(HR7:HS7),"")</f>
        <v/>
      </c>
      <c r="HU7" s="15" t="str">
        <f>IF(SUM(HH7:HI7,HK7:HM7,HO7)-SUM(HJ7,HN7)&gt;0,SUM(HH7:HI7,HK7:HM7,HO7)-SUM(HJ7,HN7),"")</f>
        <v/>
      </c>
      <c r="HV7" s="15" t="str">
        <f>IF(SUM(HT7,HU7)&gt;0,SUM(HT7,HU7),"")</f>
        <v/>
      </c>
      <c r="HW7" s="45"/>
      <c r="HX7" s="45"/>
      <c r="HY7" s="45"/>
      <c r="HZ7" s="45"/>
      <c r="IA7" s="45"/>
      <c r="IB7" s="45"/>
      <c r="IC7" s="45"/>
      <c r="ID7" s="45"/>
      <c r="IE7" s="45"/>
      <c r="IF7" s="45"/>
      <c r="IG7" s="45"/>
      <c r="IH7" s="45"/>
      <c r="II7" s="45"/>
      <c r="IJ7" s="45"/>
      <c r="IK7" s="45"/>
      <c r="IL7" s="45"/>
      <c r="IM7" s="12" t="str">
        <f>IF(SUM(HX7,IB7)&gt;0,SUM(HX7,IB7),"")</f>
        <v/>
      </c>
      <c r="IN7" s="12" t="str">
        <f>IF(SUM(IF7,IJ7)&gt;0,SUM(IF7,IJ7),"")</f>
        <v/>
      </c>
      <c r="IO7" s="12" t="str">
        <f>IF(SUM(HW7:HX7,HZ7)-HY7&gt;0,SUM(HW7:HX7,HZ7)-HY7,"")</f>
        <v/>
      </c>
      <c r="IP7" s="12" t="str">
        <f>IF(SUM(IA7:IB7,ID7)-IC7&gt;0,SUM(IA7:IB7,ID7)-IC7,"")</f>
        <v/>
      </c>
      <c r="IQ7" s="12" t="str">
        <f>IF(SUM(IO7:IP7)&gt;0,SUM(IO7:IP7),"")</f>
        <v/>
      </c>
      <c r="IR7" s="12" t="str">
        <f>IF(SUM(IE7:IF7,IH7:IJ7,IL7)-SUM(IG7,IK7)&gt;0,SUM(IE7:IF7,IH7:IJ7,IL7)-SUM(IG7,IK7),"")</f>
        <v/>
      </c>
      <c r="IS7" s="12" t="str">
        <f>IF(SUM(IQ7,IR7)&gt;0,SUM(IQ7,IR7),"")</f>
        <v/>
      </c>
      <c r="IT7" s="46"/>
      <c r="IU7" s="46"/>
      <c r="IV7" s="46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15" t="str">
        <f>IF(SUM(IU7,IY7)&gt;0,SUM(IU7,IY7),"")</f>
        <v/>
      </c>
      <c r="JK7" s="15" t="str">
        <f>IF(SUM(JC7,JG7)&gt;0,SUM(JC7,JG7),"")</f>
        <v/>
      </c>
      <c r="JL7" s="15" t="str">
        <f>IF(SUM(IT7:IU7,IW7)-IV7&gt;0,SUM(IT7:IU7,IW7)-IV7,"")</f>
        <v/>
      </c>
      <c r="JM7" s="15" t="str">
        <f>IF(SUM(IX7:IY7,JA7)-IZ7&gt;0,SUM(IX7:IY7,JA7)-IZ7,"")</f>
        <v/>
      </c>
      <c r="JN7" s="15" t="str">
        <f>IF(SUM(JL7:JM7)&gt;0,SUM(JL7:JM7),"")</f>
        <v/>
      </c>
      <c r="JO7" s="15" t="str">
        <f>IF(SUM(JB7:JC7,JE7:JG7,JI7)-SUM(JD7,JH7)&gt;0,SUM(JB7:JC7,JE7:JG7,JI7)-SUM(JD7,JH7),"")</f>
        <v/>
      </c>
      <c r="JP7" s="15" t="str">
        <f>IF(SUM(JN7,JO7)&gt;0,SUM(JN7,JO7),"")</f>
        <v/>
      </c>
      <c r="JQ7" s="45"/>
      <c r="JR7" s="45"/>
      <c r="JS7" s="45"/>
      <c r="JT7" s="45"/>
      <c r="JU7" s="45"/>
      <c r="JV7" s="45"/>
      <c r="JW7" s="45"/>
      <c r="JX7" s="45"/>
      <c r="JY7" s="45"/>
      <c r="JZ7" s="45"/>
      <c r="KA7" s="45"/>
      <c r="KB7" s="45"/>
      <c r="KC7" s="45"/>
      <c r="KD7" s="45"/>
      <c r="KE7" s="45"/>
      <c r="KF7" s="45"/>
      <c r="KG7" s="12" t="str">
        <f>IF(SUM(JR7,JV7)&gt;0,SUM(JR7,JV7),"")</f>
        <v/>
      </c>
      <c r="KH7" s="12" t="str">
        <f>IF(SUM(JZ7,KD7)&gt;0,SUM(JZ7,KD7),"")</f>
        <v/>
      </c>
      <c r="KI7" s="12" t="str">
        <f>IF(SUM(JQ7:JR7,JT7)-JS7&gt;0,SUM(JQ7:JR7,JT7)-JS7,"")</f>
        <v/>
      </c>
      <c r="KJ7" s="12" t="str">
        <f>IF(SUM(JU7:JV7,JX7)-JW7&gt;0,SUM(JU7:JV7,JX7)-JW7,"")</f>
        <v/>
      </c>
      <c r="KK7" s="12" t="str">
        <f>IF(SUM(KI7:KJ7)&gt;0,SUM(KI7:KJ7),"")</f>
        <v/>
      </c>
      <c r="KL7" s="12" t="str">
        <f>IF(SUM(JY7:JZ7,KB7:KD7,KF7)-SUM(KA7,KE7)&gt;0,SUM(JY7:JZ7,KB7:KD7,KF7)-SUM(KA7,KE7),"")</f>
        <v/>
      </c>
      <c r="KM7" s="12" t="str">
        <f>IF(SUM(KK7,KL7)&gt;0,SUM(KK7,KL7),"")</f>
        <v/>
      </c>
      <c r="KN7" s="46"/>
      <c r="KO7" s="46"/>
      <c r="KP7" s="46"/>
      <c r="KQ7" s="46"/>
      <c r="KR7" s="46"/>
      <c r="KS7" s="46"/>
      <c r="KT7" s="46"/>
      <c r="KU7" s="46"/>
      <c r="KV7" s="46"/>
      <c r="KW7" s="46"/>
      <c r="KX7" s="46"/>
      <c r="KY7" s="46"/>
      <c r="KZ7" s="46"/>
      <c r="LA7" s="46"/>
      <c r="LB7" s="46"/>
      <c r="LC7" s="46"/>
      <c r="LD7" s="15" t="str">
        <f>IF(SUM(KO7,KS7)&gt;0,SUM(KO7,KS7),"")</f>
        <v/>
      </c>
      <c r="LE7" s="15" t="str">
        <f>IF(SUM(KW7,LA7)&gt;0,SUM(KW7,LA7),"")</f>
        <v/>
      </c>
      <c r="LF7" s="15" t="str">
        <f>IF(SUM(KN7:KO7,KQ7)-KP7&gt;0,SUM(KN7:KO7,KQ7)-KP7,"")</f>
        <v/>
      </c>
      <c r="LG7" s="15" t="str">
        <f>IF(SUM(KR7:KS7,KU7)-KT7&gt;0,SUM(KR7:KS7,KU7)-KT7,"")</f>
        <v/>
      </c>
      <c r="LH7" s="15" t="str">
        <f>IF(SUM(LF7:LG7)&gt;0,SUM(LF7:LG7),"")</f>
        <v/>
      </c>
      <c r="LI7" s="15" t="str">
        <f>IF(SUM(KV7:KW7,KY7:LA7,LC7)-SUM(KX7,LB7)&gt;0,SUM(KV7:KW7,KY7:LA7,LC7)-SUM(KX7,LB7),"")</f>
        <v/>
      </c>
      <c r="LJ7" s="15" t="str">
        <f>IF(SUM(LH7,LI7)&gt;0,SUM(LH7,LI7),"")</f>
        <v/>
      </c>
      <c r="LK7" s="45"/>
      <c r="LL7" s="45"/>
      <c r="LM7" s="45"/>
      <c r="LN7" s="45"/>
      <c r="LO7" s="45"/>
      <c r="LP7" s="45"/>
      <c r="LQ7" s="45"/>
      <c r="LR7" s="45"/>
      <c r="LS7" s="45"/>
      <c r="LT7" s="45"/>
      <c r="LU7" s="45"/>
      <c r="LV7" s="45"/>
      <c r="LW7" s="45"/>
      <c r="LX7" s="45"/>
      <c r="LY7" s="45"/>
      <c r="LZ7" s="45"/>
      <c r="MA7" s="12" t="str">
        <f>IF(SUM(LL7,LP7)&gt;0,SUM(LL7,LP7),"")</f>
        <v/>
      </c>
      <c r="MB7" s="12" t="str">
        <f>IF(SUM(LT7,LX7)&gt;0,SUM(LT7,LX7),"")</f>
        <v/>
      </c>
      <c r="MC7" s="12" t="str">
        <f>IF(SUM(LK7:LL7,LN7)-LM7&gt;0,SUM(LK7:LL7,LN7)-LM7,"")</f>
        <v/>
      </c>
      <c r="MD7" s="12" t="str">
        <f>IF(SUM(LO7:LP7,LR7)-LQ7&gt;0,SUM(LO7:LP7,LR7)-LQ7,"")</f>
        <v/>
      </c>
      <c r="ME7" s="12" t="str">
        <f>IF(SUM(MC7:MD7)&gt;0,SUM(MC7:MD7),"")</f>
        <v/>
      </c>
      <c r="MF7" s="12" t="str">
        <f>IF(SUM(LS7:LT7,LV7:LX7,LZ7)-SUM(LU7,LY7)&gt;0,SUM(LS7:LT7,LV7:LX7,LZ7)-SUM(LU7,LY7),"")</f>
        <v/>
      </c>
      <c r="MG7" s="12" t="str">
        <f>IF(SUM(ME7,MF7)&gt;0,SUM(ME7,MF7),"")</f>
        <v/>
      </c>
      <c r="MH7" s="46"/>
      <c r="MI7" s="46"/>
      <c r="MJ7" s="46"/>
      <c r="MK7" s="46"/>
      <c r="ML7" s="46"/>
      <c r="MM7" s="46"/>
      <c r="MN7" s="46"/>
      <c r="MO7" s="46"/>
      <c r="MP7" s="46"/>
      <c r="MQ7" s="46"/>
      <c r="MR7" s="46"/>
      <c r="MS7" s="46"/>
      <c r="MT7" s="46"/>
      <c r="MU7" s="46"/>
      <c r="MV7" s="46"/>
      <c r="MW7" s="46"/>
      <c r="MX7" s="15" t="str">
        <f>IF(SUM(MI7,MM7)&gt;0,SUM(MI7,MM7),"")</f>
        <v/>
      </c>
      <c r="MY7" s="15" t="str">
        <f>IF(SUM(MQ7,MU7)&gt;0,SUM(MQ7,MU7),"")</f>
        <v/>
      </c>
      <c r="MZ7" s="15" t="str">
        <f>IF(SUM(MH7:MI7,MK7)-MJ7&gt;0,SUM(MH7:MI7,MK7)-MJ7,"")</f>
        <v/>
      </c>
      <c r="NA7" s="15" t="str">
        <f>IF(SUM(ML7:MM7,MO7)-MN7&gt;0,SUM(ML7:MM7,MO7)-MN7,"")</f>
        <v/>
      </c>
      <c r="NB7" s="15" t="str">
        <f>IF(SUM(MZ7:NA7)&gt;0,SUM(MZ7:NA7),"")</f>
        <v/>
      </c>
      <c r="NC7" s="15" t="str">
        <f>IF(SUM(MP7:MQ7,MS7:MU7,MW7)-SUM(MR7,MV7)&gt;0,SUM(MP7:MQ7,MS7:MU7,MW7)-SUM(MR7,MV7),"")</f>
        <v/>
      </c>
      <c r="ND7" s="15" t="str">
        <f>IF(SUM(NB7,NC7)&gt;0,SUM(NB7,NC7),"")</f>
        <v/>
      </c>
    </row>
    <row r="8" spans="1:368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9" t="s">
        <v>115</v>
      </c>
      <c r="C8" s="5" t="s">
        <v>3</v>
      </c>
      <c r="D8" s="31">
        <v>2000</v>
      </c>
      <c r="E8" s="16">
        <f>SUM(J8:R8)</f>
        <v>171.7</v>
      </c>
      <c r="F8" s="4" t="str">
        <f>IF(OR(AND($AK8&gt;=$AL$12,NOT($AK8="")),AND($BH8&gt;=$BI$12,NOT($BH8="")),AND($CE8&gt;=$CF$12,NOT($CE8=""))),"P","")</f>
        <v/>
      </c>
      <c r="G8" s="4" t="str">
        <f>IF(OR(AND($AK8&gt;=$AL$13,NOT($AK8="")),AND($BH8&gt;=$BI$13,NOT($BH8="")),AND($CE8&gt;=$CF$13,NOT($CE8=""))),"P","")</f>
        <v/>
      </c>
      <c r="H8" s="4" t="str">
        <f>IF(OR(AND($AO8&gt;=$AL$14,NOT($AO8="")),AND($BL8&gt;=$BI$14,NOT($BL8="")),AND($CI8&gt;=$CF$14,NOT($CI8=""))),"P","")</f>
        <v/>
      </c>
      <c r="I8" t="str">
        <f>IF(AND(F8="P",OR(AND($AO8&gt;=$AL$17,NOT($AO8="")),AND($BL8&gt;=$BI$17,NOT($BL8="")),AND($CI8&gt;=$CF$17,NOT($CI8="")))),"Merit",IF(AND(F8="P",OR(AND($AO8&gt;=$AL$16,NOT($AO8="")),AND($BL8&gt;=$BI$16,NOT($BL8="")),AND($CI8&gt;=$CF$16,NOT($CI8="")))),"Funding",IF(AND(F8="P",OR(AND($AO8&gt;=$AL$15,NOT($AO8="")),AND($BL8&gt;=$BI$15,NOT($BL8="")),AND($CI8&gt;=$CF$15,NOT($CI8="")))),"Worlds Team",IF(AND(F8="P",OR(AND($AO8&gt;=$AL$14,NOT($AO8="")),AND($BL8&gt;=$BI$14,NOT($BL8="")),AND($CI8&gt;=$CF$14,NOT($CI8="")))),"National Team",""))))</f>
        <v/>
      </c>
      <c r="J8" s="15">
        <f>MAX(AO8,BL8,CI8)</f>
        <v>56.599999999999994</v>
      </c>
      <c r="K8" s="15" t="str">
        <f>IF(J8=CI8,$BO$1,IF(J8=BL8,$AR$1,IF(J8=AO8,$U$1,"")))</f>
        <v>2018 Canada Cup</v>
      </c>
      <c r="L8" s="15">
        <f>IF($J8=$AO8,MAX(BJ8,CG8),IF($J8=$BL8,MAX(AM8,CG8),MAX(AM8,BJ8)))</f>
        <v>27.3</v>
      </c>
      <c r="M8" s="15" t="str">
        <f>IF(L8=CG8,$BO$1,IF(L8=BJ8,$AR$1,IF(L8=AM8,$U$1,"")))</f>
        <v>2017 Nationals</v>
      </c>
      <c r="N8" s="15">
        <f>IF($J8=$AO8,MAX(BK8,CH8),IF($J8=$BL8,MAX(AN8,CH8),MAX(AN8,BK8)))</f>
        <v>28.1</v>
      </c>
      <c r="O8" s="15" t="str">
        <f>IF(N8=CH8,$BO$1,IF(N8=BK8,$AR$1,IF(N8=AN8,$U$1,"")))</f>
        <v>2017 Nationals</v>
      </c>
      <c r="P8" s="15">
        <f>MAX(AP8,BM8,CJ8)</f>
        <v>59.7</v>
      </c>
      <c r="Q8" s="15" t="str">
        <f>IF(P8=CJ8,$BO$1,IF(P8=BM8,$AR$1,IF(P8=AP8,$U$1,"")))</f>
        <v>2018 Canada Cup</v>
      </c>
      <c r="R8" s="15" t="str">
        <f>IF(MAX(CL8:CN8)&gt;0,MAX(CL8:CN8),"")</f>
        <v/>
      </c>
      <c r="S8" s="29" t="str">
        <f>IF(R8="","",IF(R8=CL8,"(Pass 1)",IF(R8=CM8,"(Pass 2)",IF(R8=CN8,"(Final)"))))</f>
        <v/>
      </c>
      <c r="T8" s="15" t="str">
        <f>IF(R8="","",IF(R8=CL8,IF(R8+L8=MZ8,$MH$1,IF(R8+L8=MC8,$LK$1,IF(R8+L8=LF8,$KN$1,IF(R8+L8=KI8,$JQ$1,IF(R8+L8=JL8,$IT$1,IF(R8+L8=IO8,$HW$1,IF(R8+L8=HR8,$GZ$1,IF(R8+L8=GU8,$GC$1,IF(R8+L8=FX8,$FF$1,IF(R8+L8=FA8,$EI$1,IF(R8+L8=ED8,$DL$1,IF(R8+L8=DG8,$CO$1)))))))))))),IF(R8=CM8,IF(R8+N8=NA8,$MH$1,IF(R8+N8=MD8,$LK$1,IF(R8+N8=LG8,$KN$1,IF(R8+N8=KJ8,$JQ$1,IF(R8+N8=JM8,$IT$1,IF(R8+N8=IP8,$HW$1,IF(R8+N8=HS8,$GZ$1,IF(R8+N8=GV8,$GC$1,IF(R8+N8=FY8,$FF$1,IF(R8+N8=FB8,$EI$1,IF(R8+N8=EE8,$DL$1,IF(R8+N8=DH8,$CO$1)))))))))))),IF(R8=CN8,IF(R8+P8=NC8,$MH$1,IF(R8+P8=MF8,$LK$1,IF(R8+P8=LI8,$KN$1,IF(R8+P8=KL8,$JQ$1,IF(R8+P8=JO8,$IT$1,IF(R8+P8=IR8,$HW$1,IF(R8+P8=HU8,$GZ$1,IF(R8+P8=GX8,$GC$1,IF(R8+P8=GA8,$FF$1,IF(R8+P8=FD8,$EI$1,IF(R8+P8=EG8,$DL$1,IF(R8+P8=DJ8,$CO$1))))))))))))))))</f>
        <v/>
      </c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12" t="str">
        <f>IF(SUM(V8,Z8)&gt;0,SUM(V8,Z8),"")</f>
        <v/>
      </c>
      <c r="AL8" s="12" t="str">
        <f>IF(SUM(AD8,AH8)&gt;0,SUM(AD8,AH8),"")</f>
        <v/>
      </c>
      <c r="AM8" s="12" t="str">
        <f>IF(SUM(U8:V8,X8)-W8&gt;0,SUM(U8:V8,X8)-W8,"")</f>
        <v/>
      </c>
      <c r="AN8" s="12" t="str">
        <f>IF(SUM(Y8:Z8,AB8)-AA8&gt;0,SUM(Y8:Z8,AB8)-AA8,"")</f>
        <v/>
      </c>
      <c r="AO8" s="12" t="str">
        <f>IF(SUM(AM8:AN8)&gt;0,SUM(AM8:AN8),"")</f>
        <v/>
      </c>
      <c r="AP8" s="12" t="str">
        <f>IF(SUM(AC8:AD8,AF8:AH8,AJ8)-SUM(AE8,AI8)&gt;0,SUM(AC8:AD8,AF8:AH8,AJ8)-SUM(AE8,AI8),"")</f>
        <v/>
      </c>
      <c r="AQ8" s="12" t="str">
        <f>IF(SUM(AO8,AP8)&gt;0,SUM(AO8,AP8),"")</f>
        <v/>
      </c>
      <c r="AR8" s="81">
        <v>24.1</v>
      </c>
      <c r="AS8" s="81">
        <v>3.2</v>
      </c>
      <c r="AT8" s="81">
        <v>0</v>
      </c>
      <c r="AU8" s="81">
        <v>0</v>
      </c>
      <c r="AV8" s="81">
        <v>24</v>
      </c>
      <c r="AW8" s="81">
        <v>4.0999999999999996</v>
      </c>
      <c r="AX8" s="81">
        <v>0</v>
      </c>
      <c r="AY8" s="81">
        <v>0</v>
      </c>
      <c r="AZ8" s="81">
        <v>26.2</v>
      </c>
      <c r="BA8" s="81">
        <v>3.4</v>
      </c>
      <c r="BB8" s="81">
        <v>0.3</v>
      </c>
      <c r="BC8" s="81">
        <v>0</v>
      </c>
      <c r="BD8" s="81">
        <v>25.4</v>
      </c>
      <c r="BE8" s="81">
        <v>3.9</v>
      </c>
      <c r="BF8" s="81">
        <v>0</v>
      </c>
      <c r="BG8" s="81">
        <v>0</v>
      </c>
      <c r="BH8" s="15">
        <f>IF(SUM(AS8,AW8)&gt;0,SUM(AS8,AW8),"")</f>
        <v>7.3</v>
      </c>
      <c r="BI8" s="15">
        <f>IF(SUM(BA8,BE8)&gt;0,SUM(BA8,BE8),"")</f>
        <v>7.3</v>
      </c>
      <c r="BJ8" s="15">
        <f>IF(SUM(AR8:AS8,AU8)-AT8&gt;0,SUM(AR8:AS8,AU8)-AT8,"")</f>
        <v>27.3</v>
      </c>
      <c r="BK8" s="15">
        <f>IF(SUM(AV8:AW8,AY8)-AX8&gt;0,SUM(AV8:AW8,AY8)-AX8,"")</f>
        <v>28.1</v>
      </c>
      <c r="BL8" s="15">
        <f>IF(SUM(BJ8:BK8)&gt;0,SUM(BJ8:BK8),"")</f>
        <v>55.400000000000006</v>
      </c>
      <c r="BM8" s="15">
        <f>IF(SUM(AZ8:BA8,BC8:BE8,BG8)-SUM(BB8,BF8)&gt;0,SUM(AZ8:BA8,BC8:BE8,BG8)-SUM(BB8,BF8),"")</f>
        <v>58.6</v>
      </c>
      <c r="BN8" s="15">
        <f>IF(SUM(BL8,BM8)&gt;0,SUM(BL8,BM8),"")</f>
        <v>114</v>
      </c>
      <c r="BO8" s="45">
        <v>25.5</v>
      </c>
      <c r="BP8" s="45">
        <v>1.2</v>
      </c>
      <c r="BQ8" s="45">
        <v>0</v>
      </c>
      <c r="BR8" s="45">
        <v>0</v>
      </c>
      <c r="BS8" s="45">
        <v>25.8</v>
      </c>
      <c r="BT8" s="45">
        <v>4.0999999999999996</v>
      </c>
      <c r="BU8" s="45">
        <v>0</v>
      </c>
      <c r="BV8" s="45">
        <v>0</v>
      </c>
      <c r="BW8" s="45">
        <v>27.3</v>
      </c>
      <c r="BX8" s="45">
        <v>3.6</v>
      </c>
      <c r="BY8" s="45">
        <v>0</v>
      </c>
      <c r="BZ8" s="45">
        <v>0</v>
      </c>
      <c r="CA8" s="45">
        <v>24.7</v>
      </c>
      <c r="CB8" s="45">
        <v>4.0999999999999996</v>
      </c>
      <c r="CC8" s="45">
        <v>0</v>
      </c>
      <c r="CD8" s="45">
        <v>0</v>
      </c>
      <c r="CE8" s="12">
        <f>IF(SUM(BP8,BT8)&gt;0,SUM(BP8,BT8),"")</f>
        <v>5.3</v>
      </c>
      <c r="CF8" s="12">
        <f>IF(SUM(BX8,CB8)&gt;0,SUM(BX8,CB8),"")</f>
        <v>7.6999999999999993</v>
      </c>
      <c r="CG8" s="12">
        <f>IF(SUM(BO8:BP8,BR8)-BQ8&gt;0,SUM(BO8:BP8,BR8)-BQ8,"")</f>
        <v>26.7</v>
      </c>
      <c r="CH8" s="12">
        <f>IF(SUM(BS8:BT8,BV8)-BU8&gt;0,SUM(BS8:BT8,BV8)-BU8,"")</f>
        <v>29.9</v>
      </c>
      <c r="CI8" s="12">
        <f>IF(SUM(CG8:CH8)&gt;0,SUM(CG8:CH8),"")</f>
        <v>56.599999999999994</v>
      </c>
      <c r="CJ8" s="12">
        <f>IF(SUM(BW8:BX8,BZ8:CB8,CD8)-SUM(BY8,CC8)&gt;0,SUM(BW8:BX8,BZ8:CB8,CD8)-SUM(BY8,CC8),"")</f>
        <v>59.7</v>
      </c>
      <c r="CK8" s="12">
        <f>IF(SUM(CI8,CJ8)&gt;0,SUM(CI8,CJ8),"")</f>
        <v>116.3</v>
      </c>
      <c r="CL8" s="28" t="str">
        <f>IF(MAX(DG8,ED8,FA8,FX8,GU8,HR8,IO8,JL8,KI8,LF8,MC8,MZ8)-L8&gt;0.001,MAX(DG8,ED8,FA8,FX8,GU8,HR8,IO8,JL8,KI8,LF8,MC8,MZ8)-L8,"")</f>
        <v/>
      </c>
      <c r="CM8" s="28" t="str">
        <f>IF(MAX(DH8,EE8,FB8,FY8,GV8,HS8,IP8,JM8,KJ8,LG8,MD8,NA8)-N8&gt;0.001,MAX(DH8,EE8,FB8,FY8,GV8,HS8,IP8,JM8,KJ8,LG8,MD8,NA8)-N8,"")</f>
        <v/>
      </c>
      <c r="CN8" s="28" t="str">
        <f>IF(MAX(DJ8,EG8,FD8,GA8,GX8,HU8,IR8,JO8,KL8,LI8,MF8,NC8)-P8&gt;0.001,MAX(DJ8,EG8,FD8,GA8,GX8,HU8,IR8,JO8,KL8,LI8,MF8,NC8)-P8,"")</f>
        <v/>
      </c>
      <c r="CO8" s="45"/>
      <c r="CP8" s="45"/>
      <c r="CQ8" s="45"/>
      <c r="CR8" s="45"/>
      <c r="CS8" s="45"/>
      <c r="CT8" s="45"/>
      <c r="CU8" s="45"/>
      <c r="CV8" s="45"/>
      <c r="CW8" s="45"/>
      <c r="CX8" s="45"/>
      <c r="CY8" s="45"/>
      <c r="CZ8" s="45"/>
      <c r="DA8" s="45"/>
      <c r="DB8" s="45"/>
      <c r="DC8" s="45"/>
      <c r="DD8" s="45"/>
      <c r="DE8" s="12" t="str">
        <f>IF(SUM(CP8,CT8)&gt;0,SUM(CP8,CT8),"")</f>
        <v/>
      </c>
      <c r="DF8" s="12" t="str">
        <f>IF(SUM(CX8,DB8)&gt;0,SUM(CX8,DB8),"")</f>
        <v/>
      </c>
      <c r="DG8" s="12" t="str">
        <f>IF(SUM(CO8:CP8,CR8)-CQ8&gt;0,SUM(CO8:CP8,CR8)-CQ8,"")</f>
        <v/>
      </c>
      <c r="DH8" s="12" t="str">
        <f>IF(SUM(CS8:CT8,CV8)-CU8&gt;0,SUM(CS8:CT8,CV8)-CU8,"")</f>
        <v/>
      </c>
      <c r="DI8" s="12" t="str">
        <f>IF(SUM(DG8:DH8)&gt;0,SUM(DG8:DH8),"")</f>
        <v/>
      </c>
      <c r="DJ8" s="12" t="str">
        <f>IF(SUM(CW8:CX8,CZ8:DB8,DD8)-SUM(CY8,DC8)&gt;0,SUM(CW8:CX8,CZ8:DB8,DD8)-SUM(CY8,DC8),"")</f>
        <v/>
      </c>
      <c r="DK8" s="12" t="str">
        <f>IF(SUM(DI8,DJ8)&gt;0,SUM(DI8,DJ8),"")</f>
        <v/>
      </c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15" t="str">
        <f>IF(SUM(DM8,DQ8)&gt;0,SUM(DM8,DQ8),"")</f>
        <v/>
      </c>
      <c r="EC8" s="15" t="str">
        <f>IF(SUM(DU8,DY8)&gt;0,SUM(DU8,DY8),"")</f>
        <v/>
      </c>
      <c r="ED8" s="15" t="str">
        <f>IF(SUM(DL8:DM8,DO8)-DN8&gt;0,SUM(DL8:DM8,DO8)-DN8,"")</f>
        <v/>
      </c>
      <c r="EE8" s="15" t="str">
        <f>IF(SUM(DP8:DQ8,DS8)-DR8&gt;0,SUM(DP8:DQ8,DS8)-DR8,"")</f>
        <v/>
      </c>
      <c r="EF8" s="15" t="str">
        <f>IF(SUM(ED8:EE8)&gt;0,SUM(ED8:EE8),"")</f>
        <v/>
      </c>
      <c r="EG8" s="15" t="str">
        <f>IF(SUM(DT8:DU8,DW8:DY8,EA8)-SUM(DV8,DZ8)&gt;0,SUM(DT8:DU8,DW8:DY8,EA8)-SUM(DV8,DZ8),"")</f>
        <v/>
      </c>
      <c r="EH8" s="15" t="str">
        <f>IF(SUM(EF8,EG8)&gt;0,SUM(EF8,EG8),"")</f>
        <v/>
      </c>
      <c r="EI8" s="45"/>
      <c r="EJ8" s="45"/>
      <c r="EK8" s="45"/>
      <c r="EL8" s="45"/>
      <c r="EM8" s="45"/>
      <c r="EN8" s="45"/>
      <c r="EO8" s="45"/>
      <c r="EP8" s="45"/>
      <c r="EQ8" s="45"/>
      <c r="ER8" s="45"/>
      <c r="ES8" s="45"/>
      <c r="ET8" s="45"/>
      <c r="EU8" s="45"/>
      <c r="EV8" s="45"/>
      <c r="EW8" s="45"/>
      <c r="EX8" s="45"/>
      <c r="EY8" s="12" t="str">
        <f>IF(SUM(EJ8,EN8)&gt;0,SUM(EJ8,EN8),"")</f>
        <v/>
      </c>
      <c r="EZ8" s="12" t="str">
        <f>IF(SUM(ER8,EV8)&gt;0,SUM(ER8,EV8),"")</f>
        <v/>
      </c>
      <c r="FA8" s="12" t="str">
        <f>IF(SUM(EI8:EJ8,EL8)-EK8&gt;0,SUM(EI8:EJ8,EL8)-EK8,"")</f>
        <v/>
      </c>
      <c r="FB8" s="12" t="str">
        <f>IF(SUM(EM8:EN8,EP8)-EO8&gt;0,SUM(EM8:EN8,EP8)-EO8,"")</f>
        <v/>
      </c>
      <c r="FC8" s="12" t="str">
        <f>IF(SUM(FA8:FB8)&gt;0,SUM(FA8:FB8),"")</f>
        <v/>
      </c>
      <c r="FD8" s="12" t="str">
        <f>IF(SUM(EQ8:ER8,ET8:EV8,EX8)-SUM(ES8,EW8)&gt;0,SUM(EQ8:ER8,ET8:EV8,EX8)-SUM(ES8,EW8),"")</f>
        <v/>
      </c>
      <c r="FE8" s="12" t="str">
        <f>IF(SUM(FC8,FD8)&gt;0,SUM(FC8,FD8),"")</f>
        <v/>
      </c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15" t="str">
        <f>IF(SUM(FG8,FK8)&gt;0,SUM(FG8,FK8),"")</f>
        <v/>
      </c>
      <c r="FW8" s="15" t="str">
        <f>IF(SUM(FO8,FS8)&gt;0,SUM(FO8,FS8),"")</f>
        <v/>
      </c>
      <c r="FX8" s="15" t="str">
        <f>IF(SUM(FF8:FG8,FI8)-FH8&gt;0,SUM(FF8:FG8,FI8)-FH8,"")</f>
        <v/>
      </c>
      <c r="FY8" s="15" t="str">
        <f>IF(SUM(FJ8:FK8,FM8)-FL8&gt;0,SUM(FJ8:FK8,FM8)-FL8,"")</f>
        <v/>
      </c>
      <c r="FZ8" s="15" t="str">
        <f>IF(SUM(FX8:FY8)&gt;0,SUM(FX8:FY8),"")</f>
        <v/>
      </c>
      <c r="GA8" s="15" t="str">
        <f>IF(SUM(FN8:FO8,FQ8:FS8,FU8)-SUM(FP8,FT8)&gt;0,SUM(FN8:FO8,FQ8:FS8,FU8)-SUM(FP8,FT8),"")</f>
        <v/>
      </c>
      <c r="GB8" s="15" t="str">
        <f>IF(SUM(FZ8,GA8)&gt;0,SUM(FZ8,GA8),"")</f>
        <v/>
      </c>
      <c r="GC8" s="45"/>
      <c r="GD8" s="45"/>
      <c r="GE8" s="45"/>
      <c r="GF8" s="45"/>
      <c r="GG8" s="45"/>
      <c r="GH8" s="45"/>
      <c r="GI8" s="45"/>
      <c r="GJ8" s="45"/>
      <c r="GK8" s="45"/>
      <c r="GL8" s="45"/>
      <c r="GM8" s="45"/>
      <c r="GN8" s="45"/>
      <c r="GO8" s="45"/>
      <c r="GP8" s="45"/>
      <c r="GQ8" s="45"/>
      <c r="GR8" s="45"/>
      <c r="GS8" s="12" t="str">
        <f>IF(SUM(GD8,GH8)&gt;0,SUM(GD8,GH8),"")</f>
        <v/>
      </c>
      <c r="GT8" s="12" t="str">
        <f>IF(SUM(GL8,GP8)&gt;0,SUM(GL8,GP8),"")</f>
        <v/>
      </c>
      <c r="GU8" s="12" t="str">
        <f>IF(SUM(GC8:GD8,GF8)-GE8&gt;0,SUM(GC8:GD8,GF8)-GE8,"")</f>
        <v/>
      </c>
      <c r="GV8" s="12" t="str">
        <f>IF(SUM(GG8:GH8,GJ8)-GI8&gt;0,SUM(GG8:GH8,GJ8)-GI8,"")</f>
        <v/>
      </c>
      <c r="GW8" s="12" t="str">
        <f>IF(SUM(GU8:GV8)&gt;0,SUM(GU8:GV8),"")</f>
        <v/>
      </c>
      <c r="GX8" s="12" t="str">
        <f>IF(SUM(GK8:GL8,GN8:GP8,GR8)-SUM(GM8,GQ8)&gt;0,SUM(GK8:GL8,GN8:GP8,GR8)-SUM(GM8,GQ8),"")</f>
        <v/>
      </c>
      <c r="GY8" s="12" t="str">
        <f>IF(SUM(GW8,GX8)&gt;0,SUM(GW8,GX8),"")</f>
        <v/>
      </c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15" t="str">
        <f>IF(SUM(HA8,HE8)&gt;0,SUM(HA8,HE8),"")</f>
        <v/>
      </c>
      <c r="HQ8" s="15" t="str">
        <f>IF(SUM(HI8,HM8)&gt;0,SUM(HI8,HM8),"")</f>
        <v/>
      </c>
      <c r="HR8" s="15" t="str">
        <f>IF(SUM(GZ8:HA8,HC8)-HB8&gt;0,SUM(GZ8:HA8,HC8)-HB8,"")</f>
        <v/>
      </c>
      <c r="HS8" s="15" t="str">
        <f>IF(SUM(HD8:HE8,HG8)-HF8&gt;0,SUM(HD8:HE8,HG8)-HF8,"")</f>
        <v/>
      </c>
      <c r="HT8" s="15" t="str">
        <f>IF(SUM(HR8:HS8)&gt;0,SUM(HR8:HS8),"")</f>
        <v/>
      </c>
      <c r="HU8" s="15" t="str">
        <f>IF(SUM(HH8:HI8,HK8:HM8,HO8)-SUM(HJ8,HN8)&gt;0,SUM(HH8:HI8,HK8:HM8,HO8)-SUM(HJ8,HN8),"")</f>
        <v/>
      </c>
      <c r="HV8" s="15" t="str">
        <f>IF(SUM(HT8,HU8)&gt;0,SUM(HT8,HU8),"")</f>
        <v/>
      </c>
      <c r="HW8" s="45"/>
      <c r="HX8" s="45"/>
      <c r="HY8" s="45"/>
      <c r="HZ8" s="45"/>
      <c r="IA8" s="45"/>
      <c r="IB8" s="45"/>
      <c r="IC8" s="45"/>
      <c r="ID8" s="45"/>
      <c r="IE8" s="45"/>
      <c r="IF8" s="45"/>
      <c r="IG8" s="45"/>
      <c r="IH8" s="45"/>
      <c r="II8" s="45"/>
      <c r="IJ8" s="45"/>
      <c r="IK8" s="45"/>
      <c r="IL8" s="45"/>
      <c r="IM8" s="12" t="str">
        <f>IF(SUM(HX8,IB8)&gt;0,SUM(HX8,IB8),"")</f>
        <v/>
      </c>
      <c r="IN8" s="12" t="str">
        <f>IF(SUM(IF8,IJ8)&gt;0,SUM(IF8,IJ8),"")</f>
        <v/>
      </c>
      <c r="IO8" s="12" t="str">
        <f>IF(SUM(HW8:HX8,HZ8)-HY8&gt;0,SUM(HW8:HX8,HZ8)-HY8,"")</f>
        <v/>
      </c>
      <c r="IP8" s="12" t="str">
        <f>IF(SUM(IA8:IB8,ID8)-IC8&gt;0,SUM(IA8:IB8,ID8)-IC8,"")</f>
        <v/>
      </c>
      <c r="IQ8" s="12" t="str">
        <f>IF(SUM(IO8:IP8)&gt;0,SUM(IO8:IP8),"")</f>
        <v/>
      </c>
      <c r="IR8" s="12" t="str">
        <f>IF(SUM(IE8:IF8,IH8:IJ8,IL8)-SUM(IG8,IK8)&gt;0,SUM(IE8:IF8,IH8:IJ8,IL8)-SUM(IG8,IK8),"")</f>
        <v/>
      </c>
      <c r="IS8" s="12" t="str">
        <f>IF(SUM(IQ8,IR8)&gt;0,SUM(IQ8,IR8),"")</f>
        <v/>
      </c>
      <c r="IT8" s="46"/>
      <c r="IU8" s="46"/>
      <c r="IV8" s="46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15" t="str">
        <f>IF(SUM(IU8,IY8)&gt;0,SUM(IU8,IY8),"")</f>
        <v/>
      </c>
      <c r="JK8" s="15" t="str">
        <f>IF(SUM(JC8,JG8)&gt;0,SUM(JC8,JG8),"")</f>
        <v/>
      </c>
      <c r="JL8" s="15" t="str">
        <f>IF(SUM(IT8:IU8,IW8)-IV8&gt;0,SUM(IT8:IU8,IW8)-IV8,"")</f>
        <v/>
      </c>
      <c r="JM8" s="15" t="str">
        <f>IF(SUM(IX8:IY8,JA8)-IZ8&gt;0,SUM(IX8:IY8,JA8)-IZ8,"")</f>
        <v/>
      </c>
      <c r="JN8" s="15" t="str">
        <f>IF(SUM(JL8:JM8)&gt;0,SUM(JL8:JM8),"")</f>
        <v/>
      </c>
      <c r="JO8" s="15" t="str">
        <f>IF(SUM(JB8:JC8,JE8:JG8,JI8)-SUM(JD8,JH8)&gt;0,SUM(JB8:JC8,JE8:JG8,JI8)-SUM(JD8,JH8),"")</f>
        <v/>
      </c>
      <c r="JP8" s="15" t="str">
        <f>IF(SUM(JN8,JO8)&gt;0,SUM(JN8,JO8),"")</f>
        <v/>
      </c>
      <c r="JQ8" s="45"/>
      <c r="JR8" s="45"/>
      <c r="JS8" s="45"/>
      <c r="JT8" s="45"/>
      <c r="JU8" s="45"/>
      <c r="JV8" s="45"/>
      <c r="JW8" s="45"/>
      <c r="JX8" s="45"/>
      <c r="JY8" s="45"/>
      <c r="JZ8" s="45"/>
      <c r="KA8" s="45"/>
      <c r="KB8" s="45"/>
      <c r="KC8" s="45"/>
      <c r="KD8" s="45"/>
      <c r="KE8" s="45"/>
      <c r="KF8" s="45"/>
      <c r="KG8" s="12" t="str">
        <f>IF(SUM(JR8,JV8)&gt;0,SUM(JR8,JV8),"")</f>
        <v/>
      </c>
      <c r="KH8" s="12" t="str">
        <f>IF(SUM(JZ8,KD8)&gt;0,SUM(JZ8,KD8),"")</f>
        <v/>
      </c>
      <c r="KI8" s="12" t="str">
        <f>IF(SUM(JQ8:JR8,JT8)-JS8&gt;0,SUM(JQ8:JR8,JT8)-JS8,"")</f>
        <v/>
      </c>
      <c r="KJ8" s="12" t="str">
        <f>IF(SUM(JU8:JV8,JX8)-JW8&gt;0,SUM(JU8:JV8,JX8)-JW8,"")</f>
        <v/>
      </c>
      <c r="KK8" s="12" t="str">
        <f>IF(SUM(KI8:KJ8)&gt;0,SUM(KI8:KJ8),"")</f>
        <v/>
      </c>
      <c r="KL8" s="12" t="str">
        <f>IF(SUM(JY8:JZ8,KB8:KD8,KF8)-SUM(KA8,KE8)&gt;0,SUM(JY8:JZ8,KB8:KD8,KF8)-SUM(KA8,KE8),"")</f>
        <v/>
      </c>
      <c r="KM8" s="12" t="str">
        <f>IF(SUM(KK8,KL8)&gt;0,SUM(KK8,KL8),"")</f>
        <v/>
      </c>
      <c r="KN8" s="46"/>
      <c r="KO8" s="46"/>
      <c r="KP8" s="46"/>
      <c r="KQ8" s="46"/>
      <c r="KR8" s="46"/>
      <c r="KS8" s="46"/>
      <c r="KT8" s="46"/>
      <c r="KU8" s="46"/>
      <c r="KV8" s="46"/>
      <c r="KW8" s="46"/>
      <c r="KX8" s="46"/>
      <c r="KY8" s="46"/>
      <c r="KZ8" s="46"/>
      <c r="LA8" s="46"/>
      <c r="LB8" s="46"/>
      <c r="LC8" s="46"/>
      <c r="LD8" s="15" t="str">
        <f>IF(SUM(KO8,KS8)&gt;0,SUM(KO8,KS8),"")</f>
        <v/>
      </c>
      <c r="LE8" s="15" t="str">
        <f>IF(SUM(KW8,LA8)&gt;0,SUM(KW8,LA8),"")</f>
        <v/>
      </c>
      <c r="LF8" s="15" t="str">
        <f>IF(SUM(KN8:KO8,KQ8)-KP8&gt;0,SUM(KN8:KO8,KQ8)-KP8,"")</f>
        <v/>
      </c>
      <c r="LG8" s="15" t="str">
        <f>IF(SUM(KR8:KS8,KU8)-KT8&gt;0,SUM(KR8:KS8,KU8)-KT8,"")</f>
        <v/>
      </c>
      <c r="LH8" s="15" t="str">
        <f>IF(SUM(LF8:LG8)&gt;0,SUM(LF8:LG8),"")</f>
        <v/>
      </c>
      <c r="LI8" s="15" t="str">
        <f>IF(SUM(KV8:KW8,KY8:LA8,LC8)-SUM(KX8,LB8)&gt;0,SUM(KV8:KW8,KY8:LA8,LC8)-SUM(KX8,LB8),"")</f>
        <v/>
      </c>
      <c r="LJ8" s="15" t="str">
        <f>IF(SUM(LH8,LI8)&gt;0,SUM(LH8,LI8),"")</f>
        <v/>
      </c>
      <c r="LK8" s="45"/>
      <c r="LL8" s="45"/>
      <c r="LM8" s="45"/>
      <c r="LN8" s="45"/>
      <c r="LO8" s="45"/>
      <c r="LP8" s="45"/>
      <c r="LQ8" s="45"/>
      <c r="LR8" s="45"/>
      <c r="LS8" s="45"/>
      <c r="LT8" s="45"/>
      <c r="LU8" s="45"/>
      <c r="LV8" s="45"/>
      <c r="LW8" s="45"/>
      <c r="LX8" s="45"/>
      <c r="LY8" s="45"/>
      <c r="LZ8" s="45"/>
      <c r="MA8" s="12" t="str">
        <f>IF(SUM(LL8,LP8)&gt;0,SUM(LL8,LP8),"")</f>
        <v/>
      </c>
      <c r="MB8" s="12" t="str">
        <f>IF(SUM(LT8,LX8)&gt;0,SUM(LT8,LX8),"")</f>
        <v/>
      </c>
      <c r="MC8" s="12" t="str">
        <f>IF(SUM(LK8:LL8,LN8)-LM8&gt;0,SUM(LK8:LL8,LN8)-LM8,"")</f>
        <v/>
      </c>
      <c r="MD8" s="12" t="str">
        <f>IF(SUM(LO8:LP8,LR8)-LQ8&gt;0,SUM(LO8:LP8,LR8)-LQ8,"")</f>
        <v/>
      </c>
      <c r="ME8" s="12" t="str">
        <f>IF(SUM(MC8:MD8)&gt;0,SUM(MC8:MD8),"")</f>
        <v/>
      </c>
      <c r="MF8" s="12" t="str">
        <f>IF(SUM(LS8:LT8,LV8:LX8,LZ8)-SUM(LU8,LY8)&gt;0,SUM(LS8:LT8,LV8:LX8,LZ8)-SUM(LU8,LY8),"")</f>
        <v/>
      </c>
      <c r="MG8" s="12" t="str">
        <f>IF(SUM(ME8,MF8)&gt;0,SUM(ME8,MF8),"")</f>
        <v/>
      </c>
      <c r="MH8" s="46"/>
      <c r="MI8" s="46"/>
      <c r="MJ8" s="46"/>
      <c r="MK8" s="46"/>
      <c r="ML8" s="46"/>
      <c r="MM8" s="46"/>
      <c r="MN8" s="46"/>
      <c r="MO8" s="46"/>
      <c r="MP8" s="46"/>
      <c r="MQ8" s="46"/>
      <c r="MR8" s="46"/>
      <c r="MS8" s="46"/>
      <c r="MT8" s="46"/>
      <c r="MU8" s="46"/>
      <c r="MV8" s="46"/>
      <c r="MW8" s="46"/>
      <c r="MX8" s="15" t="str">
        <f>IF(SUM(MI8,MM8)&gt;0,SUM(MI8,MM8),"")</f>
        <v/>
      </c>
      <c r="MY8" s="15" t="str">
        <f>IF(SUM(MQ8,MU8)&gt;0,SUM(MQ8,MU8),"")</f>
        <v/>
      </c>
      <c r="MZ8" s="15" t="str">
        <f>IF(SUM(MH8:MI8,MK8)-MJ8&gt;0,SUM(MH8:MI8,MK8)-MJ8,"")</f>
        <v/>
      </c>
      <c r="NA8" s="15" t="str">
        <f>IF(SUM(ML8:MM8,MO8)-MN8&gt;0,SUM(ML8:MM8,MO8)-MN8,"")</f>
        <v/>
      </c>
      <c r="NB8" s="15" t="str">
        <f>IF(SUM(MZ8:NA8)&gt;0,SUM(MZ8:NA8),"")</f>
        <v/>
      </c>
      <c r="NC8" s="15" t="str">
        <f>IF(SUM(MP8:MQ8,MS8:MU8,MW8)-SUM(MR8,MV8)&gt;0,SUM(MP8:MQ8,MS8:MU8,MW8)-SUM(MR8,MV8),"")</f>
        <v/>
      </c>
      <c r="ND8" s="15" t="str">
        <f>IF(SUM(NB8,NC8)&gt;0,SUM(NB8,NC8),"")</f>
        <v/>
      </c>
    </row>
    <row r="9" spans="1:368">
      <c r="A9" s="6" t="str">
        <f>IF(AND(F9="P",H9="P"),SUMPRODUCT((F$4:F$9="P")*(H$4:H$9="P")*(E$4:E$9&gt;E9))+1,IF(H9="P",SUMPRODUCT((F$4:F$9="")*(H$4:H$9="P")*(E$4:E$9&gt;E9))+1+SUMPRODUCT((F$4:F$9="P")*(H$4:H$9="P")),""))</f>
        <v/>
      </c>
      <c r="B9" s="7" t="s">
        <v>93</v>
      </c>
      <c r="C9" s="8" t="s">
        <v>3</v>
      </c>
      <c r="D9" s="6">
        <v>1997</v>
      </c>
      <c r="E9" s="16">
        <f>SUM(J9:R9)</f>
        <v>143.89999999999998</v>
      </c>
      <c r="F9" s="4" t="str">
        <f>IF(OR(AND($AK9&gt;=$AL$12,NOT($AK9="")),AND($BH9&gt;=$BI$12,NOT($BH9="")),AND($CE9&gt;=$CF$12,NOT($CE9=""))),"P","")</f>
        <v/>
      </c>
      <c r="G9" s="4" t="str">
        <f>IF(OR(AND($AK9&gt;=$AL$13,NOT($AK9="")),AND($BH9&gt;=$BI$13,NOT($BH9="")),AND($CE9&gt;=$CF$13,NOT($CE9=""))),"P","")</f>
        <v/>
      </c>
      <c r="H9" s="4" t="str">
        <f>IF(OR(AND($AO9&gt;=$AL$14,NOT($AO9="")),AND($BL9&gt;=$BI$14,NOT($BL9="")),AND($CI9&gt;=$CF$14,NOT($CI9=""))),"P","")</f>
        <v/>
      </c>
      <c r="I9" t="str">
        <f>IF(AND(F9="P",OR(AND($AO9&gt;=$AL$17,NOT($AO9="")),AND($BL9&gt;=$BI$17,NOT($BL9="")),AND($CI9&gt;=$CF$17,NOT($CI9="")))),"Merit",IF(AND(F9="P",OR(AND($AO9&gt;=$AL$16,NOT($AO9="")),AND($BL9&gt;=$BI$16,NOT($BL9="")),AND($CI9&gt;=$CF$16,NOT($CI9="")))),"Funding",IF(AND(F9="P",OR(AND($AO9&gt;=$AL$15,NOT($AO9="")),AND($BL9&gt;=$BI$15,NOT($BL9="")),AND($CI9&gt;=$CF$15,NOT($CI9="")))),"Worlds Team",IF(AND(F9="P",OR(AND($AO9&gt;=$AL$14,NOT($AO9="")),AND($BL9&gt;=$BI$14,NOT($BL9="")),AND($CI9&gt;=$CF$14,NOT($CI9="")))),"National Team",""))))</f>
        <v/>
      </c>
      <c r="J9" s="15">
        <f>MAX(AO9,BL9,CI9)</f>
        <v>54.8</v>
      </c>
      <c r="K9" s="15" t="str">
        <f>IF(J9=CI9,$BO$1,IF(J9=BL9,$AR$1,IF(J9=AO9,$U$1,"")))</f>
        <v>2017 Nationals</v>
      </c>
      <c r="L9" s="15">
        <f>IF($J9=$AO9,MAX(BJ9,CG9),IF($J9=$BL9,MAX(AM9,CG9),MAX(AM9,BJ9)))</f>
        <v>0</v>
      </c>
      <c r="M9" s="15" t="str">
        <f>IF(L9=CG9,$BO$1,IF(L9=BJ9,$AR$1,IF(L9=AM9,$U$1,"")))</f>
        <v/>
      </c>
      <c r="N9" s="15">
        <f>IF($J9=$AO9,MAX(BK9,CH9),IF($J9=$BL9,MAX(AN9,CH9),MAX(AN9,BK9)))</f>
        <v>0</v>
      </c>
      <c r="O9" s="15" t="str">
        <f>IF(N9=CH9,$BO$1,IF(N9=BK9,$AR$1,IF(N9=AN9,$U$1,"")))</f>
        <v/>
      </c>
      <c r="P9" s="15">
        <f>MAX(AP9,BM9,CJ9)</f>
        <v>58.999999999999993</v>
      </c>
      <c r="Q9" s="15" t="str">
        <f>IF(P9=CJ9,$BO$1,IF(P9=BM9,$AR$1,IF(P9=AP9,$U$1,"")))</f>
        <v>2017 Nationals</v>
      </c>
      <c r="R9" s="15">
        <f>IF(MAX(CL9:CN9)&gt;0,MAX(CL9:CN9),"")</f>
        <v>30.1</v>
      </c>
      <c r="S9" s="29" t="str">
        <f>IF(R9="","",IF(R9=CL9,"(Pass 1)",IF(R9=CM9,"(Pass 2)",IF(R9=CN9,"(Final)"))))</f>
        <v>(Pass 1)</v>
      </c>
      <c r="T9" s="15" t="str">
        <f>IF(R9="","",IF(R9=CL9,IF(R9+L9=MZ9,$MH$1,IF(R9+L9=MC9,$LK$1,IF(R9+L9=LF9,$KN$1,IF(R9+L9=KI9,$JQ$1,IF(R9+L9=JL9,$IT$1,IF(R9+L9=IO9,$HW$1,IF(R9+L9=HR9,$GZ$1,IF(R9+L9=GU9,$GC$1,IF(R9+L9=FX9,$FF$1,IF(R9+L9=FA9,$EI$1,IF(R9+L9=ED9,$DL$1,IF(R9+L9=DG9,$CO$1)))))))))))),IF(R9=CM9,IF(R9+N9=NA9,$MH$1,IF(R9+N9=MD9,$LK$1,IF(R9+N9=LG9,$KN$1,IF(R9+N9=KJ9,$JQ$1,IF(R9+N9=JM9,$IT$1,IF(R9+N9=IP9,$HW$1,IF(R9+N9=HS9,$GZ$1,IF(R9+N9=GV9,$GC$1,IF(R9+N9=FY9,$FF$1,IF(R9+N9=FB9,$EI$1,IF(R9+N9=EE9,$DL$1,IF(R9+N9=DH9,$CO$1)))))))))))),IF(R9=CN9,IF(R9+P9=NC9,$MH$1,IF(R9+P9=MF9,$LK$1,IF(R9+P9=LI9,$KN$1,IF(R9+P9=KL9,$JQ$1,IF(R9+P9=JO9,$IT$1,IF(R9+P9=IR9,$HW$1,IF(R9+P9=HU9,$GZ$1,IF(R9+P9=GX9,$GC$1,IF(R9+P9=GA9,$FF$1,IF(R9+P9=FD9,$EI$1,IF(R9+P9=EG9,$DL$1,IF(R9+P9=DJ9,$CO$1))))))))))))))))</f>
        <v>2017 World Age Group Championships (Nov)</v>
      </c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12" t="str">
        <f>IF(SUM(V9,Z9)&gt;0,SUM(V9,Z9),"")</f>
        <v/>
      </c>
      <c r="AL9" s="12" t="str">
        <f>IF(SUM(AD9,AH9)&gt;0,SUM(AD9,AH9),"")</f>
        <v/>
      </c>
      <c r="AM9" s="12" t="str">
        <f>IF(SUM(U9:V9,X9)-W9&gt;0,SUM(U9:V9,X9)-W9,"")</f>
        <v/>
      </c>
      <c r="AN9" s="12" t="str">
        <f>IF(SUM(Y9:Z9,AB9)-AA9&gt;0,SUM(Y9:Z9,AB9)-AA9,"")</f>
        <v/>
      </c>
      <c r="AO9" s="12" t="str">
        <f>IF(SUM(AM9:AN9)&gt;0,SUM(AM9:AN9),"")</f>
        <v/>
      </c>
      <c r="AP9" s="12" t="str">
        <f>IF(SUM(AC9:AD9,AF9:AH9,AJ9)-SUM(AE9,AI9)&gt;0,SUM(AC9:AD9,AF9:AH9,AJ9)-SUM(AE9,AI9),"")</f>
        <v/>
      </c>
      <c r="AQ9" s="12" t="str">
        <f>IF(SUM(AO9,AP9)&gt;0,SUM(AO9,AP9),"")</f>
        <v/>
      </c>
      <c r="AR9" s="81">
        <v>26.9</v>
      </c>
      <c r="AS9" s="81">
        <v>3.2</v>
      </c>
      <c r="AT9" s="81">
        <v>0.3</v>
      </c>
      <c r="AU9" s="81">
        <v>0</v>
      </c>
      <c r="AV9" s="81">
        <v>26.1</v>
      </c>
      <c r="AW9" s="81">
        <v>1.9</v>
      </c>
      <c r="AX9" s="81">
        <v>3</v>
      </c>
      <c r="AY9" s="81">
        <v>0</v>
      </c>
      <c r="AZ9" s="81">
        <v>27.5</v>
      </c>
      <c r="BA9" s="81">
        <v>3.2</v>
      </c>
      <c r="BB9" s="81">
        <v>0</v>
      </c>
      <c r="BC9" s="81">
        <v>0</v>
      </c>
      <c r="BD9" s="81">
        <v>25.9</v>
      </c>
      <c r="BE9" s="81">
        <v>2.4</v>
      </c>
      <c r="BF9" s="81">
        <v>0</v>
      </c>
      <c r="BG9" s="81">
        <v>0</v>
      </c>
      <c r="BH9" s="15">
        <f>IF(SUM(AS9,AW9)&gt;0,SUM(AS9,AW9),"")</f>
        <v>5.0999999999999996</v>
      </c>
      <c r="BI9" s="15">
        <f>IF(SUM(BA9,BE9)&gt;0,SUM(BA9,BE9),"")</f>
        <v>5.6</v>
      </c>
      <c r="BJ9" s="15">
        <f>IF(SUM(AR9:AS9,AU9)-AT9&gt;0,SUM(AR9:AS9,AU9)-AT9,"")</f>
        <v>29.799999999999997</v>
      </c>
      <c r="BK9" s="15">
        <f>IF(SUM(AV9:AW9,AY9)-AX9&gt;0,SUM(AV9:AW9,AY9)-AX9,"")</f>
        <v>25</v>
      </c>
      <c r="BL9" s="15">
        <f>IF(SUM(BJ9:BK9)&gt;0,SUM(BJ9:BK9),"")</f>
        <v>54.8</v>
      </c>
      <c r="BM9" s="15">
        <f>IF(SUM(AZ9:BA9,BC9:BE9,BG9)-SUM(BB9,BF9)&gt;0,SUM(AZ9:BA9,BC9:BE9,BG9)-SUM(BB9,BF9),"")</f>
        <v>58.999999999999993</v>
      </c>
      <c r="BN9" s="15">
        <f>IF(SUM(BL9,BM9)&gt;0,SUM(BL9,BM9),"")</f>
        <v>113.79999999999998</v>
      </c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12" t="str">
        <f>IF(SUM(BP9,BT9)&gt;0,SUM(BP9,BT9),"")</f>
        <v/>
      </c>
      <c r="CF9" s="12" t="str">
        <f>IF(SUM(BX9,CB9)&gt;0,SUM(BX9,CB9),"")</f>
        <v/>
      </c>
      <c r="CG9" s="12" t="str">
        <f>IF(SUM(BO9:BP9,BR9)-BQ9&gt;0,SUM(BO9:BP9,BR9)-BQ9,"")</f>
        <v/>
      </c>
      <c r="CH9" s="12" t="str">
        <f>IF(SUM(BS9:BT9,BV9)-BU9&gt;0,SUM(BS9:BT9,BV9)-BU9,"")</f>
        <v/>
      </c>
      <c r="CI9" s="12" t="str">
        <f>IF(SUM(CG9:CH9)&gt;0,SUM(CG9:CH9),"")</f>
        <v/>
      </c>
      <c r="CJ9" s="12" t="str">
        <f>IF(SUM(BW9:BX9,BZ9:CB9,CD9)-SUM(BY9,CC9)&gt;0,SUM(BW9:BX9,BZ9:CB9,CD9)-SUM(BY9,CC9),"")</f>
        <v/>
      </c>
      <c r="CK9" s="12" t="str">
        <f>IF(SUM(CI9,CJ9)&gt;0,SUM(CI9,CJ9),"")</f>
        <v/>
      </c>
      <c r="CL9" s="28">
        <f>IF(MAX(DG9,ED9,FA9,FX9,GU9,HR9,IO9,JL9,KI9,LF9,MC9,MZ9)-L9&gt;0.001,MAX(DG9,ED9,FA9,FX9,GU9,HR9,IO9,JL9,KI9,LF9,MC9,MZ9)-L9,"")</f>
        <v>30.1</v>
      </c>
      <c r="CM9" s="28">
        <f>IF(MAX(DH9,EE9,FB9,FY9,GV9,HS9,IP9,JM9,KJ9,LG9,MD9,NA9)-N9&gt;0.001,MAX(DH9,EE9,FB9,FY9,GV9,HS9,IP9,JM9,KJ9,LG9,MD9,NA9)-N9,"")</f>
        <v>28.7</v>
      </c>
      <c r="CN9" s="28" t="str">
        <f>IF(MAX(DJ9,EG9,FD9,GA9,GX9,HU9,IR9,JO9,KL9,LI9,MF9,NC9)-P9&gt;0.001,MAX(DJ9,EG9,FD9,GA9,GX9,HU9,IR9,JO9,KL9,LI9,MF9,NC9)-P9,"")</f>
        <v/>
      </c>
      <c r="CO9" s="45">
        <v>27</v>
      </c>
      <c r="CP9" s="45">
        <v>3.6</v>
      </c>
      <c r="CQ9" s="45">
        <v>0.5</v>
      </c>
      <c r="CR9" s="45">
        <v>0</v>
      </c>
      <c r="CS9" s="47">
        <v>25.7</v>
      </c>
      <c r="CT9" s="45">
        <v>3.9</v>
      </c>
      <c r="CU9" s="45">
        <v>0.9</v>
      </c>
      <c r="CV9" s="45">
        <v>0</v>
      </c>
      <c r="CW9" s="45"/>
      <c r="CX9" s="45"/>
      <c r="CY9" s="45"/>
      <c r="CZ9" s="45"/>
      <c r="DA9" s="45"/>
      <c r="DB9" s="45"/>
      <c r="DC9" s="45"/>
      <c r="DD9" s="45"/>
      <c r="DE9" s="12">
        <f>IF(SUM(CP9,CT9)&gt;0,SUM(CP9,CT9),"")</f>
        <v>7.5</v>
      </c>
      <c r="DF9" s="12" t="str">
        <f>IF(SUM(CX9,DB9)&gt;0,SUM(CX9,DB9),"")</f>
        <v/>
      </c>
      <c r="DG9" s="12">
        <f>IF(SUM(CO9:CP9,CR9)-CQ9&gt;0,SUM(CO9:CP9,CR9)-CQ9,"")</f>
        <v>30.1</v>
      </c>
      <c r="DH9" s="12">
        <f>IF(SUM(CS9:CT9,CV9)-CU9&gt;0,SUM(CS9:CT9,CV9)-CU9,"")</f>
        <v>28.7</v>
      </c>
      <c r="DI9" s="12">
        <f>IF(SUM(DG9:DH9)&gt;0,SUM(DG9:DH9),"")</f>
        <v>58.8</v>
      </c>
      <c r="DJ9" s="12" t="str">
        <f>IF(SUM(CW9:CX9,CZ9:DB9,DD9)-SUM(CY9,DC9)&gt;0,SUM(CW9:CX9,CZ9:DB9,DD9)-SUM(CY9,DC9),"")</f>
        <v/>
      </c>
      <c r="DK9" s="12">
        <f>IF(SUM(DI9,DJ9)&gt;0,SUM(DI9,DJ9),"")</f>
        <v>58.8</v>
      </c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15" t="str">
        <f>IF(SUM(DM9,DQ9)&gt;0,SUM(DM9,DQ9),"")</f>
        <v/>
      </c>
      <c r="EC9" s="15" t="str">
        <f>IF(SUM(DU9,DY9)&gt;0,SUM(DU9,DY9),"")</f>
        <v/>
      </c>
      <c r="ED9" s="15" t="str">
        <f>IF(SUM(DL9:DM9,DO9)-DN9&gt;0,SUM(DL9:DM9,DO9)-DN9,"")</f>
        <v/>
      </c>
      <c r="EE9" s="15" t="str">
        <f>IF(SUM(DP9:DQ9,DS9)-DR9&gt;0,SUM(DP9:DQ9,DS9)-DR9,"")</f>
        <v/>
      </c>
      <c r="EF9" s="15" t="str">
        <f>IF(SUM(ED9:EE9)&gt;0,SUM(ED9:EE9),"")</f>
        <v/>
      </c>
      <c r="EG9" s="15" t="str">
        <f>IF(SUM(DT9:DU9,DW9:DY9,EA9)-SUM(DV9,DZ9)&gt;0,SUM(DT9:DU9,DW9:DY9,EA9)-SUM(DV9,DZ9),"")</f>
        <v/>
      </c>
      <c r="EH9" s="15" t="str">
        <f>IF(SUM(EF9,EG9)&gt;0,SUM(EF9,EG9),"")</f>
        <v/>
      </c>
      <c r="EI9" s="45"/>
      <c r="EJ9" s="45"/>
      <c r="EK9" s="45"/>
      <c r="EL9" s="45"/>
      <c r="EM9" s="45"/>
      <c r="EN9" s="45"/>
      <c r="EO9" s="45"/>
      <c r="EP9" s="45"/>
      <c r="EQ9" s="45"/>
      <c r="ER9" s="45"/>
      <c r="ES9" s="45"/>
      <c r="ET9" s="45"/>
      <c r="EU9" s="45"/>
      <c r="EV9" s="45"/>
      <c r="EW9" s="45"/>
      <c r="EX9" s="45"/>
      <c r="EY9" s="12" t="str">
        <f>IF(SUM(EJ9,EN9)&gt;0,SUM(EJ9,EN9),"")</f>
        <v/>
      </c>
      <c r="EZ9" s="12" t="str">
        <f>IF(SUM(ER9,EV9)&gt;0,SUM(ER9,EV9),"")</f>
        <v/>
      </c>
      <c r="FA9" s="12" t="str">
        <f>IF(SUM(EI9:EJ9,EL9)-EK9&gt;0,SUM(EI9:EJ9,EL9)-EK9,"")</f>
        <v/>
      </c>
      <c r="FB9" s="12" t="str">
        <f>IF(SUM(EM9:EN9,EP9)-EO9&gt;0,SUM(EM9:EN9,EP9)-EO9,"")</f>
        <v/>
      </c>
      <c r="FC9" s="12" t="str">
        <f>IF(SUM(FA9:FB9)&gt;0,SUM(FA9:FB9),"")</f>
        <v/>
      </c>
      <c r="FD9" s="12" t="str">
        <f>IF(SUM(EQ9:ER9,ET9:EV9,EX9)-SUM(ES9,EW9)&gt;0,SUM(EQ9:ER9,ET9:EV9,EX9)-SUM(ES9,EW9),"")</f>
        <v/>
      </c>
      <c r="FE9" s="12" t="str">
        <f>IF(SUM(FC9,FD9)&gt;0,SUM(FC9,FD9),"")</f>
        <v/>
      </c>
      <c r="FF9" s="46"/>
      <c r="FG9" s="46"/>
      <c r="FH9" s="46"/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15" t="str">
        <f>IF(SUM(FG9,FK9)&gt;0,SUM(FG9,FK9),"")</f>
        <v/>
      </c>
      <c r="FW9" s="15" t="str">
        <f>IF(SUM(FO9,FS9)&gt;0,SUM(FO9,FS9),"")</f>
        <v/>
      </c>
      <c r="FX9" s="15" t="str">
        <f>IF(SUM(FF9:FG9,FI9)-FH9&gt;0,SUM(FF9:FG9,FI9)-FH9,"")</f>
        <v/>
      </c>
      <c r="FY9" s="15" t="str">
        <f>IF(SUM(FJ9:FK9,FM9)-FL9&gt;0,SUM(FJ9:FK9,FM9)-FL9,"")</f>
        <v/>
      </c>
      <c r="FZ9" s="15" t="str">
        <f>IF(SUM(FX9:FY9)&gt;0,SUM(FX9:FY9),"")</f>
        <v/>
      </c>
      <c r="GA9" s="15" t="str">
        <f>IF(SUM(FN9:FO9,FQ9:FS9,FU9)-SUM(FP9,FT9)&gt;0,SUM(FN9:FO9,FQ9:FS9,FU9)-SUM(FP9,FT9),"")</f>
        <v/>
      </c>
      <c r="GB9" s="15" t="str">
        <f>IF(SUM(FZ9,GA9)&gt;0,SUM(FZ9,GA9),"")</f>
        <v/>
      </c>
      <c r="GC9" s="45"/>
      <c r="GD9" s="45"/>
      <c r="GE9" s="45"/>
      <c r="GF9" s="45"/>
      <c r="GG9" s="45"/>
      <c r="GH9" s="45"/>
      <c r="GI9" s="45"/>
      <c r="GJ9" s="45"/>
      <c r="GK9" s="45"/>
      <c r="GL9" s="45"/>
      <c r="GM9" s="45"/>
      <c r="GN9" s="45"/>
      <c r="GO9" s="45"/>
      <c r="GP9" s="45"/>
      <c r="GQ9" s="45"/>
      <c r="GR9" s="45"/>
      <c r="GS9" s="12" t="str">
        <f>IF(SUM(GD9,GH9)&gt;0,SUM(GD9,GH9),"")</f>
        <v/>
      </c>
      <c r="GT9" s="12" t="str">
        <f>IF(SUM(GL9,GP9)&gt;0,SUM(GL9,GP9),"")</f>
        <v/>
      </c>
      <c r="GU9" s="12" t="str">
        <f>IF(SUM(GC9:GD9,GF9)-GE9&gt;0,SUM(GC9:GD9,GF9)-GE9,"")</f>
        <v/>
      </c>
      <c r="GV9" s="12" t="str">
        <f>IF(SUM(GG9:GH9,GJ9)-GI9&gt;0,SUM(GG9:GH9,GJ9)-GI9,"")</f>
        <v/>
      </c>
      <c r="GW9" s="12" t="str">
        <f>IF(SUM(GU9:GV9)&gt;0,SUM(GU9:GV9),"")</f>
        <v/>
      </c>
      <c r="GX9" s="12" t="str">
        <f>IF(SUM(GK9:GL9,GN9:GP9,GR9)-SUM(GM9,GQ9)&gt;0,SUM(GK9:GL9,GN9:GP9,GR9)-SUM(GM9,GQ9),"")</f>
        <v/>
      </c>
      <c r="GY9" s="12" t="str">
        <f>IF(SUM(GW9,GX9)&gt;0,SUM(GW9,GX9),"")</f>
        <v/>
      </c>
      <c r="GZ9" s="46"/>
      <c r="HA9" s="46"/>
      <c r="HB9" s="46"/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15" t="str">
        <f>IF(SUM(HA9,HE9)&gt;0,SUM(HA9,HE9),"")</f>
        <v/>
      </c>
      <c r="HQ9" s="15" t="str">
        <f>IF(SUM(HI9,HM9)&gt;0,SUM(HI9,HM9),"")</f>
        <v/>
      </c>
      <c r="HR9" s="15" t="str">
        <f>IF(SUM(GZ9:HA9,HC9)-HB9&gt;0,SUM(GZ9:HA9,HC9)-HB9,"")</f>
        <v/>
      </c>
      <c r="HS9" s="15" t="str">
        <f>IF(SUM(HD9:HE9,HG9)-HF9&gt;0,SUM(HD9:HE9,HG9)-HF9,"")</f>
        <v/>
      </c>
      <c r="HT9" s="15" t="str">
        <f>IF(SUM(HR9:HS9)&gt;0,SUM(HR9:HS9),"")</f>
        <v/>
      </c>
      <c r="HU9" s="15" t="str">
        <f>IF(SUM(HH9:HI9,HK9:HM9,HO9)-SUM(HJ9,HN9)&gt;0,SUM(HH9:HI9,HK9:HM9,HO9)-SUM(HJ9,HN9),"")</f>
        <v/>
      </c>
      <c r="HV9" s="15" t="str">
        <f>IF(SUM(HT9,HU9)&gt;0,SUM(HT9,HU9),"")</f>
        <v/>
      </c>
      <c r="HW9" s="45"/>
      <c r="HX9" s="45"/>
      <c r="HY9" s="45"/>
      <c r="HZ9" s="45"/>
      <c r="IA9" s="45"/>
      <c r="IB9" s="45"/>
      <c r="IC9" s="45"/>
      <c r="ID9" s="45"/>
      <c r="IE9" s="45"/>
      <c r="IF9" s="45"/>
      <c r="IG9" s="45"/>
      <c r="IH9" s="45"/>
      <c r="II9" s="45"/>
      <c r="IJ9" s="45"/>
      <c r="IK9" s="45"/>
      <c r="IL9" s="45"/>
      <c r="IM9" s="12" t="str">
        <f>IF(SUM(HX9,IB9)&gt;0,SUM(HX9,IB9),"")</f>
        <v/>
      </c>
      <c r="IN9" s="12" t="str">
        <f>IF(SUM(IF9,IJ9)&gt;0,SUM(IF9,IJ9),"")</f>
        <v/>
      </c>
      <c r="IO9" s="12" t="str">
        <f>IF(SUM(HW9:HX9,HZ9)-HY9&gt;0,SUM(HW9:HX9,HZ9)-HY9,"")</f>
        <v/>
      </c>
      <c r="IP9" s="12" t="str">
        <f>IF(SUM(IA9:IB9,ID9)-IC9&gt;0,SUM(IA9:IB9,ID9)-IC9,"")</f>
        <v/>
      </c>
      <c r="IQ9" s="12" t="str">
        <f>IF(SUM(IO9:IP9)&gt;0,SUM(IO9:IP9),"")</f>
        <v/>
      </c>
      <c r="IR9" s="12" t="str">
        <f>IF(SUM(IE9:IF9,IH9:IJ9,IL9)-SUM(IG9,IK9)&gt;0,SUM(IE9:IF9,IH9:IJ9,IL9)-SUM(IG9,IK9),"")</f>
        <v/>
      </c>
      <c r="IS9" s="12" t="str">
        <f>IF(SUM(IQ9,IR9)&gt;0,SUM(IQ9,IR9),"")</f>
        <v/>
      </c>
      <c r="IT9" s="46"/>
      <c r="IU9" s="46"/>
      <c r="IV9" s="46"/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15" t="str">
        <f>IF(SUM(IU9,IY9)&gt;0,SUM(IU9,IY9),"")</f>
        <v/>
      </c>
      <c r="JK9" s="15" t="str">
        <f>IF(SUM(JC9,JG9)&gt;0,SUM(JC9,JG9),"")</f>
        <v/>
      </c>
      <c r="JL9" s="15" t="str">
        <f>IF(SUM(IT9:IU9,IW9)-IV9&gt;0,SUM(IT9:IU9,IW9)-IV9,"")</f>
        <v/>
      </c>
      <c r="JM9" s="15" t="str">
        <f>IF(SUM(IX9:IY9,JA9)-IZ9&gt;0,SUM(IX9:IY9,JA9)-IZ9,"")</f>
        <v/>
      </c>
      <c r="JN9" s="15" t="str">
        <f>IF(SUM(JL9:JM9)&gt;0,SUM(JL9:JM9),"")</f>
        <v/>
      </c>
      <c r="JO9" s="15" t="str">
        <f>IF(SUM(JB9:JC9,JE9:JG9,JI9)-SUM(JD9,JH9)&gt;0,SUM(JB9:JC9,JE9:JG9,JI9)-SUM(JD9,JH9),"")</f>
        <v/>
      </c>
      <c r="JP9" s="15" t="str">
        <f>IF(SUM(JN9,JO9)&gt;0,SUM(JN9,JO9),"")</f>
        <v/>
      </c>
      <c r="JQ9" s="45"/>
      <c r="JR9" s="45"/>
      <c r="JS9" s="45"/>
      <c r="JT9" s="45"/>
      <c r="JU9" s="45"/>
      <c r="JV9" s="45"/>
      <c r="JW9" s="45"/>
      <c r="JX9" s="45"/>
      <c r="JY9" s="45"/>
      <c r="JZ9" s="45"/>
      <c r="KA9" s="45"/>
      <c r="KB9" s="45"/>
      <c r="KC9" s="45"/>
      <c r="KD9" s="45"/>
      <c r="KE9" s="45"/>
      <c r="KF9" s="45"/>
      <c r="KG9" s="12" t="str">
        <f>IF(SUM(JR9,JV9)&gt;0,SUM(JR9,JV9),"")</f>
        <v/>
      </c>
      <c r="KH9" s="12" t="str">
        <f>IF(SUM(JZ9,KD9)&gt;0,SUM(JZ9,KD9),"")</f>
        <v/>
      </c>
      <c r="KI9" s="12" t="str">
        <f>IF(SUM(JQ9:JR9,JT9)-JS9&gt;0,SUM(JQ9:JR9,JT9)-JS9,"")</f>
        <v/>
      </c>
      <c r="KJ9" s="12" t="str">
        <f>IF(SUM(JU9:JV9,JX9)-JW9&gt;0,SUM(JU9:JV9,JX9)-JW9,"")</f>
        <v/>
      </c>
      <c r="KK9" s="12" t="str">
        <f>IF(SUM(KI9:KJ9)&gt;0,SUM(KI9:KJ9),"")</f>
        <v/>
      </c>
      <c r="KL9" s="12" t="str">
        <f>IF(SUM(JY9:JZ9,KB9:KD9,KF9)-SUM(KA9,KE9)&gt;0,SUM(JY9:JZ9,KB9:KD9,KF9)-SUM(KA9,KE9),"")</f>
        <v/>
      </c>
      <c r="KM9" s="12" t="str">
        <f>IF(SUM(KK9,KL9)&gt;0,SUM(KK9,KL9),"")</f>
        <v/>
      </c>
      <c r="KN9" s="46"/>
      <c r="KO9" s="46"/>
      <c r="KP9" s="46"/>
      <c r="KQ9" s="46"/>
      <c r="KR9" s="46"/>
      <c r="KS9" s="46"/>
      <c r="KT9" s="46"/>
      <c r="KU9" s="46"/>
      <c r="KV9" s="46"/>
      <c r="KW9" s="46"/>
      <c r="KX9" s="46"/>
      <c r="KY9" s="46"/>
      <c r="KZ9" s="46"/>
      <c r="LA9" s="46"/>
      <c r="LB9" s="46"/>
      <c r="LC9" s="46"/>
      <c r="LD9" s="15" t="str">
        <f>IF(SUM(KO9,KS9)&gt;0,SUM(KO9,KS9),"")</f>
        <v/>
      </c>
      <c r="LE9" s="15" t="str">
        <f>IF(SUM(KW9,LA9)&gt;0,SUM(KW9,LA9),"")</f>
        <v/>
      </c>
      <c r="LF9" s="15" t="str">
        <f>IF(SUM(KN9:KO9,KQ9)-KP9&gt;0,SUM(KN9:KO9,KQ9)-KP9,"")</f>
        <v/>
      </c>
      <c r="LG9" s="15" t="str">
        <f>IF(SUM(KR9:KS9,KU9)-KT9&gt;0,SUM(KR9:KS9,KU9)-KT9,"")</f>
        <v/>
      </c>
      <c r="LH9" s="15" t="str">
        <f>IF(SUM(LF9:LG9)&gt;0,SUM(LF9:LG9),"")</f>
        <v/>
      </c>
      <c r="LI9" s="15" t="str">
        <f>IF(SUM(KV9:KW9,KY9:LA9,LC9)-SUM(KX9,LB9)&gt;0,SUM(KV9:KW9,KY9:LA9,LC9)-SUM(KX9,LB9),"")</f>
        <v/>
      </c>
      <c r="LJ9" s="15" t="str">
        <f>IF(SUM(LH9,LI9)&gt;0,SUM(LH9,LI9),"")</f>
        <v/>
      </c>
      <c r="LK9" s="45"/>
      <c r="LL9" s="45"/>
      <c r="LM9" s="45"/>
      <c r="LN9" s="45"/>
      <c r="LO9" s="45"/>
      <c r="LP9" s="45"/>
      <c r="LQ9" s="45"/>
      <c r="LR9" s="45"/>
      <c r="LS9" s="45"/>
      <c r="LT9" s="45"/>
      <c r="LU9" s="45"/>
      <c r="LV9" s="45"/>
      <c r="LW9" s="45"/>
      <c r="LX9" s="45"/>
      <c r="LY9" s="45"/>
      <c r="LZ9" s="45"/>
      <c r="MA9" s="12" t="str">
        <f>IF(SUM(LL9,LP9)&gt;0,SUM(LL9,LP9),"")</f>
        <v/>
      </c>
      <c r="MB9" s="12" t="str">
        <f>IF(SUM(LT9,LX9)&gt;0,SUM(LT9,LX9),"")</f>
        <v/>
      </c>
      <c r="MC9" s="12" t="str">
        <f>IF(SUM(LK9:LL9,LN9)-LM9&gt;0,SUM(LK9:LL9,LN9)-LM9,"")</f>
        <v/>
      </c>
      <c r="MD9" s="12" t="str">
        <f>IF(SUM(LO9:LP9,LR9)-LQ9&gt;0,SUM(LO9:LP9,LR9)-LQ9,"")</f>
        <v/>
      </c>
      <c r="ME9" s="12" t="str">
        <f>IF(SUM(MC9:MD9)&gt;0,SUM(MC9:MD9),"")</f>
        <v/>
      </c>
      <c r="MF9" s="12" t="str">
        <f>IF(SUM(LS9:LT9,LV9:LX9,LZ9)-SUM(LU9,LY9)&gt;0,SUM(LS9:LT9,LV9:LX9,LZ9)-SUM(LU9,LY9),"")</f>
        <v/>
      </c>
      <c r="MG9" s="12" t="str">
        <f>IF(SUM(ME9,MF9)&gt;0,SUM(ME9,MF9),"")</f>
        <v/>
      </c>
      <c r="MH9" s="46"/>
      <c r="MI9" s="46"/>
      <c r="MJ9" s="46"/>
      <c r="MK9" s="46"/>
      <c r="ML9" s="46"/>
      <c r="MM9" s="46"/>
      <c r="MN9" s="46"/>
      <c r="MO9" s="46"/>
      <c r="MP9" s="46"/>
      <c r="MQ9" s="46"/>
      <c r="MR9" s="46"/>
      <c r="MS9" s="46"/>
      <c r="MT9" s="46"/>
      <c r="MU9" s="46"/>
      <c r="MV9" s="46"/>
      <c r="MW9" s="46"/>
      <c r="MX9" s="15" t="str">
        <f>IF(SUM(MI9,MM9)&gt;0,SUM(MI9,MM9),"")</f>
        <v/>
      </c>
      <c r="MY9" s="15" t="str">
        <f>IF(SUM(MQ9,MU9)&gt;0,SUM(MQ9,MU9),"")</f>
        <v/>
      </c>
      <c r="MZ9" s="15" t="str">
        <f>IF(SUM(MH9:MI9,MK9)-MJ9&gt;0,SUM(MH9:MI9,MK9)-MJ9,"")</f>
        <v/>
      </c>
      <c r="NA9" s="15" t="str">
        <f>IF(SUM(ML9:MM9,MO9)-MN9&gt;0,SUM(ML9:MM9,MO9)-MN9,"")</f>
        <v/>
      </c>
      <c r="NB9" s="15" t="str">
        <f>IF(SUM(MZ9:NA9)&gt;0,SUM(MZ9:NA9),"")</f>
        <v/>
      </c>
      <c r="NC9" s="15" t="str">
        <f>IF(SUM(MP9:MQ9,MS9:MU9,MW9)-SUM(MR9,MV9)&gt;0,SUM(MP9:MQ9,MS9:MU9,MW9)-SUM(MR9,MV9),"")</f>
        <v/>
      </c>
      <c r="ND9" s="15" t="str">
        <f>IF(SUM(NB9,NC9)&gt;0,SUM(NB9,NC9),"")</f>
        <v/>
      </c>
    </row>
    <row r="10" spans="1:368" ht="17">
      <c r="R10" s="21"/>
      <c r="S10" s="21"/>
      <c r="T10" s="21"/>
      <c r="KN10" s="49"/>
      <c r="KO10" s="49"/>
      <c r="KP10" s="49"/>
      <c r="KQ10" s="49"/>
      <c r="KR10" s="49"/>
      <c r="KS10" s="49"/>
      <c r="KT10" s="49"/>
      <c r="KU10" s="49"/>
      <c r="KV10" s="49"/>
      <c r="KW10" s="49"/>
      <c r="KX10" s="49"/>
      <c r="KY10" s="49"/>
      <c r="KZ10" s="49"/>
      <c r="LA10" s="49"/>
      <c r="LB10" s="49"/>
      <c r="LC10" s="49"/>
    </row>
    <row r="11" spans="1:368" ht="17">
      <c r="R11" s="21"/>
      <c r="S11" s="21"/>
      <c r="T11" s="21"/>
    </row>
    <row r="12" spans="1:368" ht="17">
      <c r="B12" s="88" t="s">
        <v>65</v>
      </c>
      <c r="R12" s="21"/>
      <c r="S12" s="21"/>
      <c r="T12" s="21"/>
      <c r="AK12" s="62"/>
      <c r="AL12" s="70">
        <v>7.9</v>
      </c>
      <c r="BH12" s="62"/>
      <c r="BI12" s="70">
        <v>7.9</v>
      </c>
      <c r="CE12" s="62"/>
      <c r="CF12" s="70">
        <v>7.7</v>
      </c>
      <c r="DE12" s="62"/>
      <c r="DF12" s="70">
        <v>7.9</v>
      </c>
      <c r="EB12" s="62"/>
      <c r="EC12" s="70">
        <v>7.7</v>
      </c>
      <c r="EY12" s="62"/>
      <c r="EZ12" s="70">
        <v>7.7</v>
      </c>
      <c r="FV12" s="62"/>
      <c r="FW12" s="70">
        <v>7.7</v>
      </c>
      <c r="GS12" s="62"/>
      <c r="GT12" s="70">
        <v>7.7</v>
      </c>
      <c r="HP12" s="62"/>
      <c r="HQ12" s="70">
        <v>7.7</v>
      </c>
      <c r="IM12" s="62"/>
      <c r="IN12" s="70">
        <v>7.7</v>
      </c>
      <c r="JJ12" s="62"/>
      <c r="JK12" s="70">
        <v>7.7</v>
      </c>
      <c r="KG12" s="62"/>
      <c r="KH12" s="70">
        <v>7.7</v>
      </c>
      <c r="LD12" s="62"/>
      <c r="LE12" s="70">
        <v>7.7</v>
      </c>
      <c r="MA12" s="62"/>
      <c r="MB12" s="70">
        <v>7.7</v>
      </c>
      <c r="MX12" s="62"/>
      <c r="MY12" s="70">
        <v>7.7</v>
      </c>
    </row>
    <row r="13" spans="1:368" ht="17" hidden="1" customHeight="1">
      <c r="A13" s="62"/>
      <c r="B13" s="83" t="s">
        <v>64</v>
      </c>
      <c r="C13" s="61"/>
      <c r="R13" s="21"/>
      <c r="S13" s="21"/>
      <c r="T13" s="21"/>
      <c r="AK13" s="62"/>
      <c r="AL13" s="71">
        <v>1000</v>
      </c>
      <c r="BH13" s="62"/>
      <c r="BI13" s="71">
        <v>1000</v>
      </c>
      <c r="CE13" s="62"/>
      <c r="CF13" s="71">
        <v>8.1</v>
      </c>
      <c r="DE13" s="62"/>
      <c r="DF13" s="71">
        <v>1000</v>
      </c>
      <c r="EB13" s="62"/>
      <c r="EC13" s="71">
        <v>8.1</v>
      </c>
      <c r="EY13" s="62"/>
      <c r="EZ13" s="71">
        <v>8.1</v>
      </c>
      <c r="FV13" s="62"/>
      <c r="FW13" s="71">
        <v>8.1</v>
      </c>
      <c r="GS13" s="62"/>
      <c r="GT13" s="71">
        <v>8.1</v>
      </c>
      <c r="HP13" s="62"/>
      <c r="HQ13" s="71">
        <v>8.1</v>
      </c>
      <c r="IM13" s="62"/>
      <c r="IN13" s="71">
        <v>8.1</v>
      </c>
      <c r="JJ13" s="62"/>
      <c r="JK13" s="71">
        <v>8.1</v>
      </c>
      <c r="KG13" s="62"/>
      <c r="KH13" s="71">
        <v>8.1</v>
      </c>
      <c r="LD13" s="62"/>
      <c r="LE13" s="71">
        <v>8.1</v>
      </c>
      <c r="MA13" s="62"/>
      <c r="MB13" s="71">
        <v>8.1</v>
      </c>
      <c r="MX13" s="62"/>
      <c r="MY13" s="71">
        <v>8.1</v>
      </c>
    </row>
    <row r="14" spans="1:368" ht="17">
      <c r="A14" s="62"/>
      <c r="B14" s="84" t="s">
        <v>62</v>
      </c>
      <c r="C14" s="61"/>
      <c r="R14" s="21"/>
      <c r="S14" s="21"/>
      <c r="T14" s="21"/>
      <c r="AK14" s="62"/>
      <c r="AL14" s="72">
        <v>59.9</v>
      </c>
      <c r="BH14" s="62"/>
      <c r="BI14" s="72">
        <v>59.9</v>
      </c>
      <c r="CE14" s="62"/>
      <c r="CF14" s="72">
        <v>59.9</v>
      </c>
      <c r="DE14" s="62"/>
      <c r="DF14" s="72">
        <v>59.9</v>
      </c>
      <c r="EB14" s="62"/>
      <c r="EC14" s="72">
        <v>59.9</v>
      </c>
      <c r="EY14" s="62"/>
      <c r="EZ14" s="72">
        <v>59.9</v>
      </c>
      <c r="FV14" s="62"/>
      <c r="FW14" s="72">
        <v>59.9</v>
      </c>
      <c r="GS14" s="62"/>
      <c r="GT14" s="72">
        <v>59.9</v>
      </c>
      <c r="HP14" s="62"/>
      <c r="HQ14" s="72">
        <v>59.9</v>
      </c>
      <c r="IM14" s="62"/>
      <c r="IN14" s="72">
        <v>59.9</v>
      </c>
      <c r="JJ14" s="62"/>
      <c r="JK14" s="72">
        <v>59.9</v>
      </c>
      <c r="KG14" s="62"/>
      <c r="KH14" s="72">
        <v>59.9</v>
      </c>
      <c r="LD14" s="62"/>
      <c r="LE14" s="72">
        <v>59.9</v>
      </c>
      <c r="MA14" s="62"/>
      <c r="MB14" s="72">
        <v>59.9</v>
      </c>
      <c r="MX14" s="62"/>
      <c r="MY14" s="72">
        <v>59.9</v>
      </c>
    </row>
    <row r="15" spans="1:368" ht="17" hidden="1" customHeight="1">
      <c r="A15" s="62"/>
      <c r="B15" s="85" t="s">
        <v>63</v>
      </c>
      <c r="C15" s="61"/>
      <c r="R15" s="21"/>
      <c r="S15" s="21"/>
      <c r="T15" s="21"/>
      <c r="AK15" s="62"/>
      <c r="AL15" s="73">
        <v>1000</v>
      </c>
      <c r="BH15" s="62"/>
      <c r="BI15" s="73">
        <v>1000</v>
      </c>
      <c r="CE15" s="62"/>
      <c r="CF15" s="73">
        <v>61.5</v>
      </c>
      <c r="DE15" s="62"/>
      <c r="DF15" s="73">
        <v>1000</v>
      </c>
      <c r="EB15" s="62"/>
      <c r="EC15" s="73">
        <v>61.5</v>
      </c>
      <c r="EY15" s="62"/>
      <c r="EZ15" s="73">
        <v>61.5</v>
      </c>
      <c r="FV15" s="62"/>
      <c r="FW15" s="73">
        <v>61.5</v>
      </c>
      <c r="GS15" s="62"/>
      <c r="GT15" s="73">
        <v>61.5</v>
      </c>
      <c r="HP15" s="62"/>
      <c r="HQ15" s="73">
        <v>61.5</v>
      </c>
      <c r="IM15" s="62"/>
      <c r="IN15" s="73">
        <v>61.5</v>
      </c>
      <c r="JJ15" s="62"/>
      <c r="JK15" s="73">
        <v>61.5</v>
      </c>
      <c r="KG15" s="62"/>
      <c r="KH15" s="73">
        <v>61.5</v>
      </c>
      <c r="LD15" s="62"/>
      <c r="LE15" s="73">
        <v>61.5</v>
      </c>
      <c r="MA15" s="62"/>
      <c r="MB15" s="73">
        <v>61.5</v>
      </c>
      <c r="MX15" s="62"/>
      <c r="MY15" s="73">
        <v>61.5</v>
      </c>
    </row>
    <row r="16" spans="1:368" ht="17" hidden="1" customHeight="1">
      <c r="A16" s="62"/>
      <c r="B16" s="86" t="s">
        <v>27</v>
      </c>
      <c r="C16" s="61"/>
      <c r="R16" s="21"/>
      <c r="S16" s="21"/>
      <c r="T16" s="21"/>
      <c r="AK16" s="62"/>
      <c r="AL16" s="74">
        <v>1000</v>
      </c>
      <c r="BH16" s="62"/>
      <c r="BI16" s="74">
        <v>1000</v>
      </c>
      <c r="CE16" s="62"/>
      <c r="CF16" s="74">
        <v>64.099999999999994</v>
      </c>
      <c r="DE16" s="62"/>
      <c r="DF16" s="74">
        <v>1000</v>
      </c>
      <c r="EB16" s="62"/>
      <c r="EC16" s="74">
        <v>64.099999999999994</v>
      </c>
      <c r="EY16" s="62"/>
      <c r="EZ16" s="74">
        <v>64.099999999999994</v>
      </c>
      <c r="FV16" s="62"/>
      <c r="FW16" s="74">
        <v>64.099999999999994</v>
      </c>
      <c r="GS16" s="62"/>
      <c r="GT16" s="74">
        <v>64.099999999999994</v>
      </c>
      <c r="HP16" s="62"/>
      <c r="HQ16" s="74">
        <v>64.099999999999994</v>
      </c>
      <c r="IM16" s="62"/>
      <c r="IN16" s="74">
        <v>64.099999999999994</v>
      </c>
      <c r="JJ16" s="62"/>
      <c r="JK16" s="74">
        <v>64.099999999999994</v>
      </c>
      <c r="KG16" s="62"/>
      <c r="KH16" s="74">
        <v>64.099999999999994</v>
      </c>
      <c r="LD16" s="62"/>
      <c r="LE16" s="74">
        <v>64.099999999999994</v>
      </c>
      <c r="MA16" s="62"/>
      <c r="MB16" s="74">
        <v>64.099999999999994</v>
      </c>
      <c r="MX16" s="62"/>
      <c r="MY16" s="74">
        <v>64.099999999999994</v>
      </c>
    </row>
    <row r="17" spans="1:363" ht="17" hidden="1" customHeight="1">
      <c r="A17" s="62"/>
      <c r="B17" s="87" t="s">
        <v>48</v>
      </c>
      <c r="C17" s="61"/>
      <c r="R17" s="21"/>
      <c r="S17" s="21"/>
      <c r="T17" s="21"/>
      <c r="AK17" s="62"/>
      <c r="AL17" s="75">
        <v>1000</v>
      </c>
      <c r="BH17" s="62"/>
      <c r="BI17" s="75">
        <v>1000</v>
      </c>
      <c r="CE17" s="62"/>
      <c r="CF17" s="75">
        <v>66.8</v>
      </c>
      <c r="DE17" s="62"/>
      <c r="DF17" s="75">
        <v>1000</v>
      </c>
      <c r="EB17" s="62"/>
      <c r="EC17" s="75">
        <v>66.8</v>
      </c>
      <c r="EY17" s="62"/>
      <c r="EZ17" s="75">
        <v>66.8</v>
      </c>
      <c r="FV17" s="62"/>
      <c r="FW17" s="75">
        <v>66.8</v>
      </c>
      <c r="GS17" s="62"/>
      <c r="GT17" s="75">
        <v>66.8</v>
      </c>
      <c r="HP17" s="62"/>
      <c r="HQ17" s="75">
        <v>66.8</v>
      </c>
      <c r="IM17" s="62"/>
      <c r="IN17" s="75">
        <v>66.8</v>
      </c>
      <c r="JJ17" s="62"/>
      <c r="JK17" s="75">
        <v>66.8</v>
      </c>
      <c r="KG17" s="62"/>
      <c r="KH17" s="75">
        <v>66.8</v>
      </c>
      <c r="LD17" s="62"/>
      <c r="LE17" s="75">
        <v>66.8</v>
      </c>
      <c r="MA17" s="62"/>
      <c r="MB17" s="75">
        <v>66.8</v>
      </c>
      <c r="MX17" s="62"/>
      <c r="MY17" s="75">
        <v>66.8</v>
      </c>
    </row>
    <row r="18" spans="1:363">
      <c r="C18" s="3"/>
      <c r="AK18" s="7"/>
      <c r="AL18" t="s">
        <v>121</v>
      </c>
      <c r="BH18" s="7"/>
      <c r="BI18" t="s">
        <v>121</v>
      </c>
      <c r="CE18" s="7"/>
      <c r="DE18" s="7"/>
      <c r="DF18" t="s">
        <v>121</v>
      </c>
      <c r="EB18" s="7"/>
      <c r="EY18" s="7"/>
      <c r="FV18" s="7"/>
      <c r="GS18" s="7"/>
      <c r="HP18" s="7"/>
      <c r="IM18" s="7"/>
      <c r="JJ18" s="7"/>
      <c r="KG18" s="7"/>
      <c r="LD18" s="7"/>
      <c r="MA18" s="7"/>
      <c r="MX18" s="7"/>
    </row>
    <row r="19" spans="1:363">
      <c r="A19" s="62"/>
      <c r="B19" s="62"/>
      <c r="C19" s="61"/>
      <c r="GS19" s="7"/>
      <c r="GT19" s="7"/>
    </row>
    <row r="20" spans="1:363">
      <c r="A20" s="62"/>
      <c r="B20" s="62"/>
      <c r="C20" s="61"/>
    </row>
    <row r="21" spans="1:363">
      <c r="A21" s="62"/>
      <c r="B21" s="62"/>
      <c r="C21" s="61"/>
    </row>
    <row r="22" spans="1:363">
      <c r="A22" s="7"/>
      <c r="B22" s="7"/>
      <c r="C22" s="7"/>
    </row>
  </sheetData>
  <sheetProtection sheet="1" objects="1" scenarios="1" formatCells="0" formatColumns="0" formatRows="0"/>
  <autoFilter ref="A1:ND3" xr:uid="{00000000-0009-0000-0000-000006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sortState ref="A4:ND9">
      <sortCondition descending="1" ref="F1:F7"/>
    </sortState>
  </autoFilter>
  <mergeCells count="96">
    <mergeCell ref="A1:A3"/>
    <mergeCell ref="AZ2:BC2"/>
    <mergeCell ref="B1:B3"/>
    <mergeCell ref="C1:C3"/>
    <mergeCell ref="D1:D3"/>
    <mergeCell ref="E1:E3"/>
    <mergeCell ref="U2:X2"/>
    <mergeCell ref="K1:K3"/>
    <mergeCell ref="O1:O3"/>
    <mergeCell ref="Q1:Q3"/>
    <mergeCell ref="S1:S3"/>
    <mergeCell ref="T1:T3"/>
    <mergeCell ref="N1:N3"/>
    <mergeCell ref="P1:P3"/>
    <mergeCell ref="R1:R3"/>
    <mergeCell ref="G1:G3"/>
    <mergeCell ref="H1:H3"/>
    <mergeCell ref="I1:I3"/>
    <mergeCell ref="J1:J3"/>
    <mergeCell ref="L1:L3"/>
    <mergeCell ref="BD2:BG2"/>
    <mergeCell ref="U1:AQ1"/>
    <mergeCell ref="AR1:BN1"/>
    <mergeCell ref="DL1:EH1"/>
    <mergeCell ref="DL2:DO2"/>
    <mergeCell ref="DP2:DS2"/>
    <mergeCell ref="DT2:DW2"/>
    <mergeCell ref="DX2:EA2"/>
    <mergeCell ref="CA2:CD2"/>
    <mergeCell ref="BW2:BZ2"/>
    <mergeCell ref="Y2:AB2"/>
    <mergeCell ref="AC2:AF2"/>
    <mergeCell ref="AG2:AJ2"/>
    <mergeCell ref="AR2:AU2"/>
    <mergeCell ref="AV2:AY2"/>
    <mergeCell ref="HW2:HZ2"/>
    <mergeCell ref="IA2:ID2"/>
    <mergeCell ref="EI1:FE1"/>
    <mergeCell ref="BO2:BR2"/>
    <mergeCell ref="BS2:BV2"/>
    <mergeCell ref="CS2:CV2"/>
    <mergeCell ref="CW2:CZ2"/>
    <mergeCell ref="DA2:DD2"/>
    <mergeCell ref="CO2:CR2"/>
    <mergeCell ref="CL1:CN1"/>
    <mergeCell ref="CO1:DK1"/>
    <mergeCell ref="BO1:CK1"/>
    <mergeCell ref="GC2:GF2"/>
    <mergeCell ref="GZ2:HC2"/>
    <mergeCell ref="HD2:HG2"/>
    <mergeCell ref="HH2:HK2"/>
    <mergeCell ref="HL2:HO2"/>
    <mergeCell ref="EU2:EX2"/>
    <mergeCell ref="FF2:FI2"/>
    <mergeCell ref="FJ2:FM2"/>
    <mergeCell ref="FN2:FQ2"/>
    <mergeCell ref="FR2:FU2"/>
    <mergeCell ref="JQ1:KM1"/>
    <mergeCell ref="KN1:LJ1"/>
    <mergeCell ref="LK1:MG1"/>
    <mergeCell ref="MH1:ND1"/>
    <mergeCell ref="JB2:JE2"/>
    <mergeCell ref="JF2:JI2"/>
    <mergeCell ref="JQ2:JT2"/>
    <mergeCell ref="JU2:JX2"/>
    <mergeCell ref="JY2:KB2"/>
    <mergeCell ref="IT1:JP1"/>
    <mergeCell ref="KC2:KF2"/>
    <mergeCell ref="KN2:KQ2"/>
    <mergeCell ref="KR2:KU2"/>
    <mergeCell ref="KV2:KY2"/>
    <mergeCell ref="KZ2:LC2"/>
    <mergeCell ref="ML2:MO2"/>
    <mergeCell ref="MP2:MS2"/>
    <mergeCell ref="MT2:MW2"/>
    <mergeCell ref="LK2:LN2"/>
    <mergeCell ref="LO2:LR2"/>
    <mergeCell ref="LS2:LV2"/>
    <mergeCell ref="LW2:LZ2"/>
    <mergeCell ref="MH2:MK2"/>
    <mergeCell ref="F1:F3"/>
    <mergeCell ref="IE2:IH2"/>
    <mergeCell ref="II2:IL2"/>
    <mergeCell ref="IT2:IW2"/>
    <mergeCell ref="IX2:JA2"/>
    <mergeCell ref="GG2:GJ2"/>
    <mergeCell ref="GK2:GN2"/>
    <mergeCell ref="GO2:GR2"/>
    <mergeCell ref="FF1:GB1"/>
    <mergeCell ref="GC1:GY1"/>
    <mergeCell ref="GZ1:HV1"/>
    <mergeCell ref="HW1:IS1"/>
    <mergeCell ref="M1:M3"/>
    <mergeCell ref="EI2:EL2"/>
    <mergeCell ref="EM2:EP2"/>
    <mergeCell ref="EQ2:ET2"/>
  </mergeCells>
  <conditionalFormatting sqref="A1:A1048576">
    <cfRule type="expression" dxfId="59" priority="77">
      <formula>AND(H1="P",F1="")</formula>
    </cfRule>
  </conditionalFormatting>
  <conditionalFormatting sqref="AK1:AK1048576 BH1:BH1048576 CE1:CE1048576 DE1:DE1048576 EB1:EB1048576 EY1:EY1048576 FV1:FV1048576 GS1:GS1048576 HP1:HP1048576 IM1:IM1048576 JJ1:JJ1048576 KG1:KG1048576 LD1:LD1048576 MA1:MA1048576 MX1:MX1048576">
    <cfRule type="cellIs" dxfId="58" priority="2126" operator="between">
      <formula>AL$12</formula>
      <formula>AL$13</formula>
    </cfRule>
    <cfRule type="cellIs" dxfId="57" priority="2125" operator="between">
      <formula>AL$13</formula>
      <formula>100</formula>
    </cfRule>
  </conditionalFormatting>
  <conditionalFormatting sqref="I1:I1048576">
    <cfRule type="containsText" dxfId="56" priority="78" operator="containsText" text="Merit">
      <formula>NOT(ISERROR(SEARCH("Merit",I1)))</formula>
    </cfRule>
    <cfRule type="containsText" dxfId="55" priority="79" operator="containsText" text="Funding">
      <formula>NOT(ISERROR(SEARCH("Funding",I1)))</formula>
    </cfRule>
    <cfRule type="containsText" dxfId="54" priority="80" operator="containsText" text="Worlds Team">
      <formula>NOT(ISERROR(SEARCH("Worlds Team",I1)))</formula>
    </cfRule>
    <cfRule type="containsText" dxfId="53" priority="248" operator="containsText" text="National Team">
      <formula>NOT(ISERROR(SEARCH("National Team",I1)))</formula>
    </cfRule>
  </conditionalFormatting>
  <conditionalFormatting sqref="K1:K1048576">
    <cfRule type="expression" dxfId="52" priority="249">
      <formula>IF(J1=CI1,1,0)</formula>
    </cfRule>
    <cfRule type="expression" dxfId="51" priority="250">
      <formula>IF(J1=BL1,1,0)</formula>
    </cfRule>
    <cfRule type="expression" dxfId="50" priority="251">
      <formula>IF(J1=AO1,1,0)</formula>
    </cfRule>
  </conditionalFormatting>
  <conditionalFormatting sqref="M1:M1048576">
    <cfRule type="expression" dxfId="49" priority="252">
      <formula>IF(L1=CG1,1,0)</formula>
    </cfRule>
    <cfRule type="expression" dxfId="48" priority="253">
      <formula>IF(L1=BJ1,1,0)</formula>
    </cfRule>
    <cfRule type="expression" dxfId="47" priority="254">
      <formula>IF(L1=AM1,1,0)</formula>
    </cfRule>
  </conditionalFormatting>
  <conditionalFormatting sqref="O1:O1048576 Q1:Q1048576">
    <cfRule type="expression" dxfId="46" priority="255">
      <formula>IF(N1=CH1,1,0)</formula>
    </cfRule>
    <cfRule type="expression" dxfId="45" priority="256">
      <formula>IF(N1=BK1,1,0)</formula>
    </cfRule>
    <cfRule type="expression" dxfId="44" priority="459">
      <formula>IF(N1=AN1,1,0)</formula>
    </cfRule>
  </conditionalFormatting>
  <conditionalFormatting sqref="NB1:NB1048576 ME1:ME1048576 LH1:LH1048576 KK1:KK1048576 JN1:JN1048576 IQ1:IQ1048576 HT1:HT1048576 GW1:GW1048576 FZ1:FZ1048576 FC1:FC1048576 EF1:EF1048576 DI1:DI1048576 CI1:CI1048576 BL1:BL1048576 AO1:AO1048576">
    <cfRule type="cellIs" dxfId="43" priority="2137" operator="between">
      <formula>AL$17</formula>
      <formula>1000</formula>
    </cfRule>
    <cfRule type="cellIs" dxfId="42" priority="2138" operator="between">
      <formula>AL$16</formula>
      <formula>AL$17</formula>
    </cfRule>
    <cfRule type="cellIs" dxfId="41" priority="2139" operator="between">
      <formula>AL$15</formula>
      <formula>AL$16</formula>
    </cfRule>
    <cfRule type="cellIs" dxfId="40" priority="2140" operator="between">
      <formula>AL$14</formula>
      <formula>AL$15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E26"/>
  <sheetViews>
    <sheetView workbookViewId="0">
      <pane xSplit="3" topLeftCell="D1" activePane="topRight" state="frozen"/>
      <selection pane="topRight" sqref="A1:A3"/>
    </sheetView>
  </sheetViews>
  <sheetFormatPr baseColWidth="10" defaultRowHeight="16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4.83203125" hidden="1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44" width="10.83203125" hidden="1" customWidth="1"/>
    <col min="45" max="50" width="10.83203125" customWidth="1"/>
    <col min="51" max="74" width="10.83203125" hidden="1" customWidth="1"/>
    <col min="75" max="80" width="10.83203125" customWidth="1"/>
    <col min="81" max="104" width="10.83203125" hidden="1" customWidth="1"/>
    <col min="105" max="110" width="10.83203125" customWidth="1"/>
    <col min="114" max="137" width="10.83203125" hidden="1" customWidth="1"/>
    <col min="138" max="143" width="10.83203125" customWidth="1"/>
    <col min="144" max="167" width="10.83203125" hidden="1" customWidth="1"/>
    <col min="168" max="173" width="10.83203125" customWidth="1"/>
    <col min="174" max="197" width="10.83203125" hidden="1" customWidth="1"/>
    <col min="198" max="203" width="10.83203125" customWidth="1"/>
    <col min="204" max="227" width="10.83203125" hidden="1" customWidth="1"/>
    <col min="228" max="233" width="10.83203125" customWidth="1"/>
    <col min="234" max="257" width="10.83203125" hidden="1" customWidth="1"/>
    <col min="258" max="263" width="10.83203125" customWidth="1"/>
    <col min="264" max="287" width="10.83203125" hidden="1" customWidth="1"/>
    <col min="288" max="293" width="10.83203125" customWidth="1"/>
    <col min="294" max="317" width="10.83203125" hidden="1" customWidth="1"/>
    <col min="318" max="323" width="10.83203125" customWidth="1"/>
    <col min="324" max="347" width="10.83203125" hidden="1" customWidth="1"/>
    <col min="348" max="353" width="10.83203125" customWidth="1"/>
    <col min="354" max="377" width="10.83203125" hidden="1" customWidth="1"/>
    <col min="378" max="383" width="10.83203125" customWidth="1"/>
    <col min="384" max="407" width="10.83203125" hidden="1" customWidth="1"/>
    <col min="408" max="413" width="10.83203125" customWidth="1"/>
    <col min="414" max="437" width="10.83203125" hidden="1" customWidth="1"/>
    <col min="438" max="443" width="10.83203125" customWidth="1"/>
    <col min="444" max="467" width="10.83203125" hidden="1" customWidth="1"/>
    <col min="468" max="473" width="10.83203125" customWidth="1"/>
  </cols>
  <sheetData>
    <row r="1" spans="1:473">
      <c r="A1" s="100" t="s">
        <v>1</v>
      </c>
      <c r="B1" s="100" t="s">
        <v>29</v>
      </c>
      <c r="C1" s="100" t="s">
        <v>0</v>
      </c>
      <c r="D1" s="100" t="s">
        <v>69</v>
      </c>
      <c r="E1" s="100" t="s">
        <v>2</v>
      </c>
      <c r="F1" s="101" t="s">
        <v>65</v>
      </c>
      <c r="G1" s="101" t="s">
        <v>64</v>
      </c>
      <c r="H1" s="100" t="s">
        <v>8</v>
      </c>
      <c r="I1" s="100" t="s">
        <v>9</v>
      </c>
      <c r="J1" s="102" t="s">
        <v>10</v>
      </c>
      <c r="K1" s="102" t="s">
        <v>46</v>
      </c>
      <c r="L1" s="102" t="s">
        <v>30</v>
      </c>
      <c r="M1" s="102" t="s">
        <v>46</v>
      </c>
      <c r="N1" s="102" t="s">
        <v>31</v>
      </c>
      <c r="O1" s="102" t="s">
        <v>46</v>
      </c>
      <c r="P1" s="102" t="s">
        <v>13</v>
      </c>
      <c r="Q1" s="102" t="s">
        <v>46</v>
      </c>
      <c r="R1" s="103" t="s">
        <v>14</v>
      </c>
      <c r="S1" s="102" t="s">
        <v>47</v>
      </c>
      <c r="T1" s="102" t="s">
        <v>46</v>
      </c>
      <c r="U1" s="97" t="s">
        <v>25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6" t="s">
        <v>26</v>
      </c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7" t="s">
        <v>66</v>
      </c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  <c r="DE1" s="97"/>
      <c r="DF1" s="97"/>
      <c r="DG1" s="104" t="s">
        <v>14</v>
      </c>
      <c r="DH1" s="104"/>
      <c r="DI1" s="104"/>
      <c r="DJ1" s="111" t="s">
        <v>104</v>
      </c>
      <c r="DK1" s="111"/>
      <c r="DL1" s="111"/>
      <c r="DM1" s="111"/>
      <c r="DN1" s="111"/>
      <c r="DO1" s="111"/>
      <c r="DP1" s="111"/>
      <c r="DQ1" s="111"/>
      <c r="DR1" s="111"/>
      <c r="DS1" s="111"/>
      <c r="DT1" s="111"/>
      <c r="DU1" s="111"/>
      <c r="DV1" s="111"/>
      <c r="DW1" s="111"/>
      <c r="DX1" s="111"/>
      <c r="DY1" s="111"/>
      <c r="DZ1" s="111"/>
      <c r="EA1" s="111"/>
      <c r="EB1" s="111"/>
      <c r="EC1" s="111"/>
      <c r="ED1" s="111"/>
      <c r="EE1" s="111"/>
      <c r="EF1" s="111"/>
      <c r="EG1" s="111"/>
      <c r="EH1" s="111"/>
      <c r="EI1" s="111"/>
      <c r="EJ1" s="111"/>
      <c r="EK1" s="111"/>
      <c r="EL1" s="111"/>
      <c r="EM1" s="111"/>
      <c r="EN1" s="109"/>
      <c r="EO1" s="109"/>
      <c r="EP1" s="109"/>
      <c r="EQ1" s="109"/>
      <c r="ER1" s="109"/>
      <c r="ES1" s="109"/>
      <c r="ET1" s="109"/>
      <c r="EU1" s="109"/>
      <c r="EV1" s="109"/>
      <c r="EW1" s="109"/>
      <c r="EX1" s="109"/>
      <c r="EY1" s="109"/>
      <c r="EZ1" s="109"/>
      <c r="FA1" s="109"/>
      <c r="FB1" s="109"/>
      <c r="FC1" s="109"/>
      <c r="FD1" s="109"/>
      <c r="FE1" s="109"/>
      <c r="FF1" s="109"/>
      <c r="FG1" s="109"/>
      <c r="FH1" s="109"/>
      <c r="FI1" s="109"/>
      <c r="FJ1" s="109"/>
      <c r="FK1" s="109"/>
      <c r="FL1" s="109"/>
      <c r="FM1" s="109"/>
      <c r="FN1" s="109"/>
      <c r="FO1" s="109"/>
      <c r="FP1" s="109"/>
      <c r="FQ1" s="109"/>
      <c r="FR1" s="111"/>
      <c r="FS1" s="111"/>
      <c r="FT1" s="111"/>
      <c r="FU1" s="111"/>
      <c r="FV1" s="111"/>
      <c r="FW1" s="111"/>
      <c r="FX1" s="111"/>
      <c r="FY1" s="111"/>
      <c r="FZ1" s="111"/>
      <c r="GA1" s="111"/>
      <c r="GB1" s="111"/>
      <c r="GC1" s="111"/>
      <c r="GD1" s="111"/>
      <c r="GE1" s="111"/>
      <c r="GF1" s="111"/>
      <c r="GG1" s="111"/>
      <c r="GH1" s="111"/>
      <c r="GI1" s="111"/>
      <c r="GJ1" s="111"/>
      <c r="GK1" s="111"/>
      <c r="GL1" s="111"/>
      <c r="GM1" s="111"/>
      <c r="GN1" s="111"/>
      <c r="GO1" s="111"/>
      <c r="GP1" s="111"/>
      <c r="GQ1" s="111"/>
      <c r="GR1" s="111"/>
      <c r="GS1" s="111"/>
      <c r="GT1" s="111"/>
      <c r="GU1" s="111"/>
      <c r="GV1" s="109"/>
      <c r="GW1" s="109"/>
      <c r="GX1" s="109"/>
      <c r="GY1" s="109"/>
      <c r="GZ1" s="109"/>
      <c r="HA1" s="109"/>
      <c r="HB1" s="109"/>
      <c r="HC1" s="109"/>
      <c r="HD1" s="109"/>
      <c r="HE1" s="109"/>
      <c r="HF1" s="109"/>
      <c r="HG1" s="109"/>
      <c r="HH1" s="109"/>
      <c r="HI1" s="109"/>
      <c r="HJ1" s="109"/>
      <c r="HK1" s="109"/>
      <c r="HL1" s="109"/>
      <c r="HM1" s="109"/>
      <c r="HN1" s="109"/>
      <c r="HO1" s="109"/>
      <c r="HP1" s="109"/>
      <c r="HQ1" s="109"/>
      <c r="HR1" s="109"/>
      <c r="HS1" s="109"/>
      <c r="HT1" s="109"/>
      <c r="HU1" s="109"/>
      <c r="HV1" s="109"/>
      <c r="HW1" s="109"/>
      <c r="HX1" s="109"/>
      <c r="HY1" s="109"/>
      <c r="HZ1" s="111"/>
      <c r="IA1" s="111"/>
      <c r="IB1" s="111"/>
      <c r="IC1" s="111"/>
      <c r="ID1" s="111"/>
      <c r="IE1" s="111"/>
      <c r="IF1" s="111"/>
      <c r="IG1" s="111"/>
      <c r="IH1" s="111"/>
      <c r="II1" s="111"/>
      <c r="IJ1" s="111"/>
      <c r="IK1" s="111"/>
      <c r="IL1" s="111"/>
      <c r="IM1" s="111"/>
      <c r="IN1" s="111"/>
      <c r="IO1" s="111"/>
      <c r="IP1" s="111"/>
      <c r="IQ1" s="111"/>
      <c r="IR1" s="111"/>
      <c r="IS1" s="111"/>
      <c r="IT1" s="111"/>
      <c r="IU1" s="111"/>
      <c r="IV1" s="111"/>
      <c r="IW1" s="111"/>
      <c r="IX1" s="111"/>
      <c r="IY1" s="111"/>
      <c r="IZ1" s="111"/>
      <c r="JA1" s="111"/>
      <c r="JB1" s="111"/>
      <c r="JC1" s="111"/>
      <c r="JD1" s="109"/>
      <c r="JE1" s="109"/>
      <c r="JF1" s="109"/>
      <c r="JG1" s="109"/>
      <c r="JH1" s="109"/>
      <c r="JI1" s="109"/>
      <c r="JJ1" s="109"/>
      <c r="JK1" s="109"/>
      <c r="JL1" s="109"/>
      <c r="JM1" s="109"/>
      <c r="JN1" s="109"/>
      <c r="JO1" s="109"/>
      <c r="JP1" s="109"/>
      <c r="JQ1" s="109"/>
      <c r="JR1" s="109"/>
      <c r="JS1" s="109"/>
      <c r="JT1" s="109"/>
      <c r="JU1" s="109"/>
      <c r="JV1" s="109"/>
      <c r="JW1" s="109"/>
      <c r="JX1" s="109"/>
      <c r="JY1" s="109"/>
      <c r="JZ1" s="109"/>
      <c r="KA1" s="109"/>
      <c r="KB1" s="109"/>
      <c r="KC1" s="109"/>
      <c r="KD1" s="109"/>
      <c r="KE1" s="109"/>
      <c r="KF1" s="109"/>
      <c r="KG1" s="109"/>
      <c r="KH1" s="111"/>
      <c r="KI1" s="111"/>
      <c r="KJ1" s="111"/>
      <c r="KK1" s="111"/>
      <c r="KL1" s="111"/>
      <c r="KM1" s="111"/>
      <c r="KN1" s="111"/>
      <c r="KO1" s="111"/>
      <c r="KP1" s="111"/>
      <c r="KQ1" s="111"/>
      <c r="KR1" s="111"/>
      <c r="KS1" s="111"/>
      <c r="KT1" s="111"/>
      <c r="KU1" s="111"/>
      <c r="KV1" s="111"/>
      <c r="KW1" s="111"/>
      <c r="KX1" s="111"/>
      <c r="KY1" s="111"/>
      <c r="KZ1" s="111"/>
      <c r="LA1" s="111"/>
      <c r="LB1" s="111"/>
      <c r="LC1" s="111"/>
      <c r="LD1" s="111"/>
      <c r="LE1" s="111"/>
      <c r="LF1" s="111"/>
      <c r="LG1" s="111"/>
      <c r="LH1" s="111"/>
      <c r="LI1" s="111"/>
      <c r="LJ1" s="111"/>
      <c r="LK1" s="111"/>
      <c r="LL1" s="109"/>
      <c r="LM1" s="109"/>
      <c r="LN1" s="109"/>
      <c r="LO1" s="109"/>
      <c r="LP1" s="109"/>
      <c r="LQ1" s="109"/>
      <c r="LR1" s="109"/>
      <c r="LS1" s="109"/>
      <c r="LT1" s="109"/>
      <c r="LU1" s="109"/>
      <c r="LV1" s="109"/>
      <c r="LW1" s="109"/>
      <c r="LX1" s="109"/>
      <c r="LY1" s="109"/>
      <c r="LZ1" s="109"/>
      <c r="MA1" s="109"/>
      <c r="MB1" s="109"/>
      <c r="MC1" s="109"/>
      <c r="MD1" s="109"/>
      <c r="ME1" s="109"/>
      <c r="MF1" s="109"/>
      <c r="MG1" s="109"/>
      <c r="MH1" s="109"/>
      <c r="MI1" s="109"/>
      <c r="MJ1" s="109"/>
      <c r="MK1" s="109"/>
      <c r="ML1" s="109"/>
      <c r="MM1" s="109"/>
      <c r="MN1" s="109"/>
      <c r="MO1" s="109"/>
      <c r="MP1" s="111"/>
      <c r="MQ1" s="111"/>
      <c r="MR1" s="111"/>
      <c r="MS1" s="111"/>
      <c r="MT1" s="111"/>
      <c r="MU1" s="111"/>
      <c r="MV1" s="111"/>
      <c r="MW1" s="111"/>
      <c r="MX1" s="111"/>
      <c r="MY1" s="111"/>
      <c r="MZ1" s="111"/>
      <c r="NA1" s="111"/>
      <c r="NB1" s="111"/>
      <c r="NC1" s="111"/>
      <c r="ND1" s="111"/>
      <c r="NE1" s="111"/>
      <c r="NF1" s="111"/>
      <c r="NG1" s="111"/>
      <c r="NH1" s="111"/>
      <c r="NI1" s="111"/>
      <c r="NJ1" s="111"/>
      <c r="NK1" s="111"/>
      <c r="NL1" s="111"/>
      <c r="NM1" s="111"/>
      <c r="NN1" s="111"/>
      <c r="NO1" s="111"/>
      <c r="NP1" s="111"/>
      <c r="NQ1" s="111"/>
      <c r="NR1" s="111"/>
      <c r="NS1" s="111"/>
      <c r="NT1" s="109"/>
      <c r="NU1" s="109"/>
      <c r="NV1" s="109"/>
      <c r="NW1" s="109"/>
      <c r="NX1" s="109"/>
      <c r="NY1" s="109"/>
      <c r="NZ1" s="109"/>
      <c r="OA1" s="109"/>
      <c r="OB1" s="109"/>
      <c r="OC1" s="109"/>
      <c r="OD1" s="109"/>
      <c r="OE1" s="109"/>
      <c r="OF1" s="109"/>
      <c r="OG1" s="109"/>
      <c r="OH1" s="109"/>
      <c r="OI1" s="109"/>
      <c r="OJ1" s="109"/>
      <c r="OK1" s="109"/>
      <c r="OL1" s="109"/>
      <c r="OM1" s="109"/>
      <c r="ON1" s="109"/>
      <c r="OO1" s="109"/>
      <c r="OP1" s="109"/>
      <c r="OQ1" s="109"/>
      <c r="OR1" s="109"/>
      <c r="OS1" s="109"/>
      <c r="OT1" s="109"/>
      <c r="OU1" s="109"/>
      <c r="OV1" s="109"/>
      <c r="OW1" s="109"/>
      <c r="OX1" s="111"/>
      <c r="OY1" s="111"/>
      <c r="OZ1" s="111"/>
      <c r="PA1" s="111"/>
      <c r="PB1" s="111"/>
      <c r="PC1" s="111"/>
      <c r="PD1" s="111"/>
      <c r="PE1" s="111"/>
      <c r="PF1" s="111"/>
      <c r="PG1" s="111"/>
      <c r="PH1" s="111"/>
      <c r="PI1" s="111"/>
      <c r="PJ1" s="111"/>
      <c r="PK1" s="111"/>
      <c r="PL1" s="111"/>
      <c r="PM1" s="111"/>
      <c r="PN1" s="111"/>
      <c r="PO1" s="111"/>
      <c r="PP1" s="111"/>
      <c r="PQ1" s="111"/>
      <c r="PR1" s="111"/>
      <c r="PS1" s="111"/>
      <c r="PT1" s="111"/>
      <c r="PU1" s="111"/>
      <c r="PV1" s="111"/>
      <c r="PW1" s="111"/>
      <c r="PX1" s="111"/>
      <c r="PY1" s="111"/>
      <c r="PZ1" s="111"/>
      <c r="QA1" s="111"/>
      <c r="QB1" s="109"/>
      <c r="QC1" s="109"/>
      <c r="QD1" s="109"/>
      <c r="QE1" s="109"/>
      <c r="QF1" s="109"/>
      <c r="QG1" s="109"/>
      <c r="QH1" s="109"/>
      <c r="QI1" s="109"/>
      <c r="QJ1" s="109"/>
      <c r="QK1" s="109"/>
      <c r="QL1" s="109"/>
      <c r="QM1" s="109"/>
      <c r="QN1" s="109"/>
      <c r="QO1" s="109"/>
      <c r="QP1" s="109"/>
      <c r="QQ1" s="109"/>
      <c r="QR1" s="109"/>
      <c r="QS1" s="109"/>
      <c r="QT1" s="109"/>
      <c r="QU1" s="109"/>
      <c r="QV1" s="109"/>
      <c r="QW1" s="109"/>
      <c r="QX1" s="109"/>
      <c r="QY1" s="109"/>
      <c r="QZ1" s="109"/>
      <c r="RA1" s="109"/>
      <c r="RB1" s="109"/>
      <c r="RC1" s="109"/>
      <c r="RD1" s="109"/>
      <c r="RE1" s="109"/>
    </row>
    <row r="2" spans="1:473">
      <c r="A2" s="100"/>
      <c r="B2" s="100"/>
      <c r="C2" s="100"/>
      <c r="D2" s="100"/>
      <c r="E2" s="100"/>
      <c r="F2" s="101"/>
      <c r="G2" s="101"/>
      <c r="H2" s="100"/>
      <c r="I2" s="100"/>
      <c r="J2" s="102"/>
      <c r="K2" s="102"/>
      <c r="L2" s="102"/>
      <c r="M2" s="102"/>
      <c r="N2" s="102"/>
      <c r="O2" s="102"/>
      <c r="P2" s="102"/>
      <c r="Q2" s="102"/>
      <c r="R2" s="103"/>
      <c r="S2" s="102"/>
      <c r="T2" s="102"/>
      <c r="U2" s="99" t="s">
        <v>32</v>
      </c>
      <c r="V2" s="99"/>
      <c r="W2" s="99"/>
      <c r="X2" s="99"/>
      <c r="Y2" s="99" t="s">
        <v>35</v>
      </c>
      <c r="Z2" s="99"/>
      <c r="AA2" s="99"/>
      <c r="AB2" s="99"/>
      <c r="AC2" s="99" t="s">
        <v>36</v>
      </c>
      <c r="AD2" s="99"/>
      <c r="AE2" s="99"/>
      <c r="AF2" s="99"/>
      <c r="AG2" s="107" t="s">
        <v>37</v>
      </c>
      <c r="AH2" s="107"/>
      <c r="AI2" s="107"/>
      <c r="AJ2" s="107"/>
      <c r="AK2" s="107" t="s">
        <v>38</v>
      </c>
      <c r="AL2" s="107"/>
      <c r="AM2" s="107"/>
      <c r="AN2" s="107"/>
      <c r="AO2" s="107" t="s">
        <v>39</v>
      </c>
      <c r="AP2" s="107"/>
      <c r="AQ2" s="107"/>
      <c r="AR2" s="107"/>
      <c r="AS2" s="64" t="s">
        <v>28</v>
      </c>
      <c r="AT2" s="10" t="s">
        <v>40</v>
      </c>
      <c r="AU2" s="10" t="s">
        <v>41</v>
      </c>
      <c r="AV2" s="10" t="s">
        <v>24</v>
      </c>
      <c r="AW2" s="10" t="s">
        <v>23</v>
      </c>
      <c r="AX2" s="10" t="s">
        <v>18</v>
      </c>
      <c r="AY2" s="98" t="s">
        <v>32</v>
      </c>
      <c r="AZ2" s="98"/>
      <c r="BA2" s="98"/>
      <c r="BB2" s="98"/>
      <c r="BC2" s="98" t="s">
        <v>35</v>
      </c>
      <c r="BD2" s="98"/>
      <c r="BE2" s="98"/>
      <c r="BF2" s="98"/>
      <c r="BG2" s="98" t="s">
        <v>36</v>
      </c>
      <c r="BH2" s="98"/>
      <c r="BI2" s="98"/>
      <c r="BJ2" s="98"/>
      <c r="BK2" s="110" t="s">
        <v>37</v>
      </c>
      <c r="BL2" s="110"/>
      <c r="BM2" s="110"/>
      <c r="BN2" s="110"/>
      <c r="BO2" s="110" t="s">
        <v>38</v>
      </c>
      <c r="BP2" s="110"/>
      <c r="BQ2" s="110"/>
      <c r="BR2" s="110"/>
      <c r="BS2" s="110" t="s">
        <v>39</v>
      </c>
      <c r="BT2" s="110"/>
      <c r="BU2" s="110"/>
      <c r="BV2" s="110"/>
      <c r="BW2" s="63" t="s">
        <v>28</v>
      </c>
      <c r="BX2" s="13" t="s">
        <v>40</v>
      </c>
      <c r="BY2" s="13" t="s">
        <v>41</v>
      </c>
      <c r="BZ2" s="13" t="s">
        <v>24</v>
      </c>
      <c r="CA2" s="13" t="s">
        <v>23</v>
      </c>
      <c r="CB2" s="13" t="s">
        <v>18</v>
      </c>
      <c r="CC2" s="99" t="s">
        <v>32</v>
      </c>
      <c r="CD2" s="99"/>
      <c r="CE2" s="99"/>
      <c r="CF2" s="99"/>
      <c r="CG2" s="99" t="s">
        <v>35</v>
      </c>
      <c r="CH2" s="99"/>
      <c r="CI2" s="99"/>
      <c r="CJ2" s="99"/>
      <c r="CK2" s="99" t="s">
        <v>36</v>
      </c>
      <c r="CL2" s="99"/>
      <c r="CM2" s="99"/>
      <c r="CN2" s="99"/>
      <c r="CO2" s="107" t="s">
        <v>37</v>
      </c>
      <c r="CP2" s="107"/>
      <c r="CQ2" s="107"/>
      <c r="CR2" s="107"/>
      <c r="CS2" s="107" t="s">
        <v>38</v>
      </c>
      <c r="CT2" s="107"/>
      <c r="CU2" s="107"/>
      <c r="CV2" s="107"/>
      <c r="CW2" s="107" t="s">
        <v>39</v>
      </c>
      <c r="CX2" s="107"/>
      <c r="CY2" s="107"/>
      <c r="CZ2" s="107"/>
      <c r="DA2" s="17" t="s">
        <v>28</v>
      </c>
      <c r="DB2" s="10" t="s">
        <v>40</v>
      </c>
      <c r="DC2" s="10" t="s">
        <v>41</v>
      </c>
      <c r="DD2" s="10" t="s">
        <v>24</v>
      </c>
      <c r="DE2" s="10" t="s">
        <v>23</v>
      </c>
      <c r="DF2" s="10" t="s">
        <v>18</v>
      </c>
      <c r="DG2" s="26" t="s">
        <v>40</v>
      </c>
      <c r="DH2" s="26" t="s">
        <v>41</v>
      </c>
      <c r="DI2" s="26" t="s">
        <v>23</v>
      </c>
      <c r="DJ2" s="99" t="s">
        <v>32</v>
      </c>
      <c r="DK2" s="99"/>
      <c r="DL2" s="99"/>
      <c r="DM2" s="99"/>
      <c r="DN2" s="99" t="s">
        <v>35</v>
      </c>
      <c r="DO2" s="99"/>
      <c r="DP2" s="99"/>
      <c r="DQ2" s="99"/>
      <c r="DR2" s="99" t="s">
        <v>36</v>
      </c>
      <c r="DS2" s="99"/>
      <c r="DT2" s="99"/>
      <c r="DU2" s="99"/>
      <c r="DV2" s="107" t="s">
        <v>37</v>
      </c>
      <c r="DW2" s="107"/>
      <c r="DX2" s="107"/>
      <c r="DY2" s="107"/>
      <c r="DZ2" s="107" t="s">
        <v>38</v>
      </c>
      <c r="EA2" s="107"/>
      <c r="EB2" s="107"/>
      <c r="EC2" s="107"/>
      <c r="ED2" s="107" t="s">
        <v>39</v>
      </c>
      <c r="EE2" s="107"/>
      <c r="EF2" s="107"/>
      <c r="EG2" s="107"/>
      <c r="EH2" s="64" t="s">
        <v>28</v>
      </c>
      <c r="EI2" s="10" t="s">
        <v>40</v>
      </c>
      <c r="EJ2" s="10" t="s">
        <v>41</v>
      </c>
      <c r="EK2" s="10" t="s">
        <v>24</v>
      </c>
      <c r="EL2" s="10" t="s">
        <v>23</v>
      </c>
      <c r="EM2" s="10" t="s">
        <v>18</v>
      </c>
      <c r="EN2" s="110" t="s">
        <v>32</v>
      </c>
      <c r="EO2" s="110"/>
      <c r="EP2" s="110"/>
      <c r="EQ2" s="110"/>
      <c r="ER2" s="110" t="s">
        <v>35</v>
      </c>
      <c r="ES2" s="110"/>
      <c r="ET2" s="110"/>
      <c r="EU2" s="110"/>
      <c r="EV2" s="110" t="s">
        <v>36</v>
      </c>
      <c r="EW2" s="110"/>
      <c r="EX2" s="110"/>
      <c r="EY2" s="110"/>
      <c r="EZ2" s="110" t="s">
        <v>37</v>
      </c>
      <c r="FA2" s="110"/>
      <c r="FB2" s="110"/>
      <c r="FC2" s="110"/>
      <c r="FD2" s="110" t="s">
        <v>38</v>
      </c>
      <c r="FE2" s="110"/>
      <c r="FF2" s="110"/>
      <c r="FG2" s="110"/>
      <c r="FH2" s="110" t="s">
        <v>39</v>
      </c>
      <c r="FI2" s="110"/>
      <c r="FJ2" s="110"/>
      <c r="FK2" s="110"/>
      <c r="FL2" s="68" t="s">
        <v>28</v>
      </c>
      <c r="FM2" s="18" t="s">
        <v>40</v>
      </c>
      <c r="FN2" s="18" t="s">
        <v>41</v>
      </c>
      <c r="FO2" s="18" t="s">
        <v>24</v>
      </c>
      <c r="FP2" s="18" t="s">
        <v>23</v>
      </c>
      <c r="FQ2" s="18" t="s">
        <v>18</v>
      </c>
      <c r="FR2" s="107" t="s">
        <v>32</v>
      </c>
      <c r="FS2" s="107"/>
      <c r="FT2" s="107"/>
      <c r="FU2" s="107"/>
      <c r="FV2" s="107" t="s">
        <v>35</v>
      </c>
      <c r="FW2" s="107"/>
      <c r="FX2" s="107"/>
      <c r="FY2" s="107"/>
      <c r="FZ2" s="107" t="s">
        <v>36</v>
      </c>
      <c r="GA2" s="107"/>
      <c r="GB2" s="107"/>
      <c r="GC2" s="107"/>
      <c r="GD2" s="107" t="s">
        <v>37</v>
      </c>
      <c r="GE2" s="107"/>
      <c r="GF2" s="107"/>
      <c r="GG2" s="107"/>
      <c r="GH2" s="107" t="s">
        <v>38</v>
      </c>
      <c r="GI2" s="107"/>
      <c r="GJ2" s="107"/>
      <c r="GK2" s="107"/>
      <c r="GL2" s="107" t="s">
        <v>39</v>
      </c>
      <c r="GM2" s="107"/>
      <c r="GN2" s="107"/>
      <c r="GO2" s="107"/>
      <c r="GP2" s="67" t="s">
        <v>28</v>
      </c>
      <c r="GQ2" s="19" t="s">
        <v>40</v>
      </c>
      <c r="GR2" s="19" t="s">
        <v>41</v>
      </c>
      <c r="GS2" s="19" t="s">
        <v>24</v>
      </c>
      <c r="GT2" s="19" t="s">
        <v>23</v>
      </c>
      <c r="GU2" s="19" t="s">
        <v>18</v>
      </c>
      <c r="GV2" s="110" t="s">
        <v>32</v>
      </c>
      <c r="GW2" s="110"/>
      <c r="GX2" s="110"/>
      <c r="GY2" s="110"/>
      <c r="GZ2" s="110" t="s">
        <v>35</v>
      </c>
      <c r="HA2" s="110"/>
      <c r="HB2" s="110"/>
      <c r="HC2" s="110"/>
      <c r="HD2" s="110" t="s">
        <v>36</v>
      </c>
      <c r="HE2" s="110"/>
      <c r="HF2" s="110"/>
      <c r="HG2" s="110"/>
      <c r="HH2" s="110" t="s">
        <v>37</v>
      </c>
      <c r="HI2" s="110"/>
      <c r="HJ2" s="110"/>
      <c r="HK2" s="110"/>
      <c r="HL2" s="110" t="s">
        <v>38</v>
      </c>
      <c r="HM2" s="110"/>
      <c r="HN2" s="110"/>
      <c r="HO2" s="110"/>
      <c r="HP2" s="110" t="s">
        <v>39</v>
      </c>
      <c r="HQ2" s="110"/>
      <c r="HR2" s="110"/>
      <c r="HS2" s="110"/>
      <c r="HT2" s="68" t="s">
        <v>28</v>
      </c>
      <c r="HU2" s="18" t="s">
        <v>40</v>
      </c>
      <c r="HV2" s="18" t="s">
        <v>41</v>
      </c>
      <c r="HW2" s="18" t="s">
        <v>24</v>
      </c>
      <c r="HX2" s="18" t="s">
        <v>23</v>
      </c>
      <c r="HY2" s="18" t="s">
        <v>18</v>
      </c>
      <c r="HZ2" s="107" t="s">
        <v>32</v>
      </c>
      <c r="IA2" s="107"/>
      <c r="IB2" s="107"/>
      <c r="IC2" s="107"/>
      <c r="ID2" s="107" t="s">
        <v>35</v>
      </c>
      <c r="IE2" s="107"/>
      <c r="IF2" s="107"/>
      <c r="IG2" s="107"/>
      <c r="IH2" s="107" t="s">
        <v>36</v>
      </c>
      <c r="II2" s="107"/>
      <c r="IJ2" s="107"/>
      <c r="IK2" s="107"/>
      <c r="IL2" s="107" t="s">
        <v>37</v>
      </c>
      <c r="IM2" s="107"/>
      <c r="IN2" s="107"/>
      <c r="IO2" s="107"/>
      <c r="IP2" s="107" t="s">
        <v>38</v>
      </c>
      <c r="IQ2" s="107"/>
      <c r="IR2" s="107"/>
      <c r="IS2" s="107"/>
      <c r="IT2" s="107" t="s">
        <v>39</v>
      </c>
      <c r="IU2" s="107"/>
      <c r="IV2" s="107"/>
      <c r="IW2" s="107"/>
      <c r="IX2" s="25" t="s">
        <v>28</v>
      </c>
      <c r="IY2" s="19" t="s">
        <v>40</v>
      </c>
      <c r="IZ2" s="19" t="s">
        <v>41</v>
      </c>
      <c r="JA2" s="19" t="s">
        <v>24</v>
      </c>
      <c r="JB2" s="19" t="s">
        <v>23</v>
      </c>
      <c r="JC2" s="19" t="s">
        <v>18</v>
      </c>
      <c r="JD2" s="110" t="s">
        <v>32</v>
      </c>
      <c r="JE2" s="110"/>
      <c r="JF2" s="110"/>
      <c r="JG2" s="110"/>
      <c r="JH2" s="110" t="s">
        <v>35</v>
      </c>
      <c r="JI2" s="110"/>
      <c r="JJ2" s="110"/>
      <c r="JK2" s="110"/>
      <c r="JL2" s="110" t="s">
        <v>36</v>
      </c>
      <c r="JM2" s="110"/>
      <c r="JN2" s="110"/>
      <c r="JO2" s="110"/>
      <c r="JP2" s="110" t="s">
        <v>37</v>
      </c>
      <c r="JQ2" s="110"/>
      <c r="JR2" s="110"/>
      <c r="JS2" s="110"/>
      <c r="JT2" s="110" t="s">
        <v>38</v>
      </c>
      <c r="JU2" s="110"/>
      <c r="JV2" s="110"/>
      <c r="JW2" s="110"/>
      <c r="JX2" s="110" t="s">
        <v>39</v>
      </c>
      <c r="JY2" s="110"/>
      <c r="JZ2" s="110"/>
      <c r="KA2" s="110"/>
      <c r="KB2" s="24" t="s">
        <v>28</v>
      </c>
      <c r="KC2" s="18" t="s">
        <v>40</v>
      </c>
      <c r="KD2" s="18" t="s">
        <v>41</v>
      </c>
      <c r="KE2" s="18" t="s">
        <v>24</v>
      </c>
      <c r="KF2" s="18" t="s">
        <v>23</v>
      </c>
      <c r="KG2" s="18" t="s">
        <v>18</v>
      </c>
      <c r="KH2" s="107" t="s">
        <v>32</v>
      </c>
      <c r="KI2" s="107"/>
      <c r="KJ2" s="107"/>
      <c r="KK2" s="107"/>
      <c r="KL2" s="107" t="s">
        <v>35</v>
      </c>
      <c r="KM2" s="107"/>
      <c r="KN2" s="107"/>
      <c r="KO2" s="107"/>
      <c r="KP2" s="107" t="s">
        <v>36</v>
      </c>
      <c r="KQ2" s="107"/>
      <c r="KR2" s="107"/>
      <c r="KS2" s="107"/>
      <c r="KT2" s="107" t="s">
        <v>37</v>
      </c>
      <c r="KU2" s="107"/>
      <c r="KV2" s="107"/>
      <c r="KW2" s="107"/>
      <c r="KX2" s="107" t="s">
        <v>38</v>
      </c>
      <c r="KY2" s="107"/>
      <c r="KZ2" s="107"/>
      <c r="LA2" s="107"/>
      <c r="LB2" s="107" t="s">
        <v>39</v>
      </c>
      <c r="LC2" s="107"/>
      <c r="LD2" s="107"/>
      <c r="LE2" s="107"/>
      <c r="LF2" s="25" t="s">
        <v>28</v>
      </c>
      <c r="LG2" s="19" t="s">
        <v>40</v>
      </c>
      <c r="LH2" s="19" t="s">
        <v>41</v>
      </c>
      <c r="LI2" s="19" t="s">
        <v>24</v>
      </c>
      <c r="LJ2" s="19" t="s">
        <v>23</v>
      </c>
      <c r="LK2" s="19" t="s">
        <v>18</v>
      </c>
      <c r="LL2" s="110" t="s">
        <v>32</v>
      </c>
      <c r="LM2" s="110"/>
      <c r="LN2" s="110"/>
      <c r="LO2" s="110"/>
      <c r="LP2" s="110" t="s">
        <v>35</v>
      </c>
      <c r="LQ2" s="110"/>
      <c r="LR2" s="110"/>
      <c r="LS2" s="110"/>
      <c r="LT2" s="110" t="s">
        <v>36</v>
      </c>
      <c r="LU2" s="110"/>
      <c r="LV2" s="110"/>
      <c r="LW2" s="110"/>
      <c r="LX2" s="110" t="s">
        <v>37</v>
      </c>
      <c r="LY2" s="110"/>
      <c r="LZ2" s="110"/>
      <c r="MA2" s="110"/>
      <c r="MB2" s="110" t="s">
        <v>38</v>
      </c>
      <c r="MC2" s="110"/>
      <c r="MD2" s="110"/>
      <c r="ME2" s="110"/>
      <c r="MF2" s="110" t="s">
        <v>39</v>
      </c>
      <c r="MG2" s="110"/>
      <c r="MH2" s="110"/>
      <c r="MI2" s="110"/>
      <c r="MJ2" s="24" t="s">
        <v>28</v>
      </c>
      <c r="MK2" s="18" t="s">
        <v>40</v>
      </c>
      <c r="ML2" s="18" t="s">
        <v>41</v>
      </c>
      <c r="MM2" s="18" t="s">
        <v>24</v>
      </c>
      <c r="MN2" s="18" t="s">
        <v>23</v>
      </c>
      <c r="MO2" s="18" t="s">
        <v>18</v>
      </c>
      <c r="MP2" s="107" t="s">
        <v>32</v>
      </c>
      <c r="MQ2" s="107"/>
      <c r="MR2" s="107"/>
      <c r="MS2" s="107"/>
      <c r="MT2" s="107" t="s">
        <v>35</v>
      </c>
      <c r="MU2" s="107"/>
      <c r="MV2" s="107"/>
      <c r="MW2" s="107"/>
      <c r="MX2" s="107" t="s">
        <v>36</v>
      </c>
      <c r="MY2" s="107"/>
      <c r="MZ2" s="107"/>
      <c r="NA2" s="107"/>
      <c r="NB2" s="107" t="s">
        <v>37</v>
      </c>
      <c r="NC2" s="107"/>
      <c r="ND2" s="107"/>
      <c r="NE2" s="107"/>
      <c r="NF2" s="107" t="s">
        <v>38</v>
      </c>
      <c r="NG2" s="107"/>
      <c r="NH2" s="107"/>
      <c r="NI2" s="107"/>
      <c r="NJ2" s="107" t="s">
        <v>39</v>
      </c>
      <c r="NK2" s="107"/>
      <c r="NL2" s="107"/>
      <c r="NM2" s="107"/>
      <c r="NN2" s="25" t="s">
        <v>28</v>
      </c>
      <c r="NO2" s="19" t="s">
        <v>40</v>
      </c>
      <c r="NP2" s="19" t="s">
        <v>41</v>
      </c>
      <c r="NQ2" s="19" t="s">
        <v>24</v>
      </c>
      <c r="NR2" s="19" t="s">
        <v>23</v>
      </c>
      <c r="NS2" s="19" t="s">
        <v>18</v>
      </c>
      <c r="NT2" s="110" t="s">
        <v>32</v>
      </c>
      <c r="NU2" s="110"/>
      <c r="NV2" s="110"/>
      <c r="NW2" s="110"/>
      <c r="NX2" s="110" t="s">
        <v>35</v>
      </c>
      <c r="NY2" s="110"/>
      <c r="NZ2" s="110"/>
      <c r="OA2" s="110"/>
      <c r="OB2" s="110" t="s">
        <v>36</v>
      </c>
      <c r="OC2" s="110"/>
      <c r="OD2" s="110"/>
      <c r="OE2" s="110"/>
      <c r="OF2" s="110" t="s">
        <v>37</v>
      </c>
      <c r="OG2" s="110"/>
      <c r="OH2" s="110"/>
      <c r="OI2" s="110"/>
      <c r="OJ2" s="110" t="s">
        <v>38</v>
      </c>
      <c r="OK2" s="110"/>
      <c r="OL2" s="110"/>
      <c r="OM2" s="110"/>
      <c r="ON2" s="110" t="s">
        <v>39</v>
      </c>
      <c r="OO2" s="110"/>
      <c r="OP2" s="110"/>
      <c r="OQ2" s="110"/>
      <c r="OR2" s="24" t="s">
        <v>28</v>
      </c>
      <c r="OS2" s="18" t="s">
        <v>40</v>
      </c>
      <c r="OT2" s="18" t="s">
        <v>41</v>
      </c>
      <c r="OU2" s="18" t="s">
        <v>24</v>
      </c>
      <c r="OV2" s="18" t="s">
        <v>23</v>
      </c>
      <c r="OW2" s="18" t="s">
        <v>18</v>
      </c>
      <c r="OX2" s="107" t="s">
        <v>32</v>
      </c>
      <c r="OY2" s="107"/>
      <c r="OZ2" s="107"/>
      <c r="PA2" s="107"/>
      <c r="PB2" s="107" t="s">
        <v>35</v>
      </c>
      <c r="PC2" s="107"/>
      <c r="PD2" s="107"/>
      <c r="PE2" s="107"/>
      <c r="PF2" s="107" t="s">
        <v>36</v>
      </c>
      <c r="PG2" s="107"/>
      <c r="PH2" s="107"/>
      <c r="PI2" s="107"/>
      <c r="PJ2" s="107" t="s">
        <v>37</v>
      </c>
      <c r="PK2" s="107"/>
      <c r="PL2" s="107"/>
      <c r="PM2" s="107"/>
      <c r="PN2" s="107" t="s">
        <v>38</v>
      </c>
      <c r="PO2" s="107"/>
      <c r="PP2" s="107"/>
      <c r="PQ2" s="107"/>
      <c r="PR2" s="107" t="s">
        <v>39</v>
      </c>
      <c r="PS2" s="107"/>
      <c r="PT2" s="107"/>
      <c r="PU2" s="107"/>
      <c r="PV2" s="25" t="s">
        <v>28</v>
      </c>
      <c r="PW2" s="19" t="s">
        <v>40</v>
      </c>
      <c r="PX2" s="19" t="s">
        <v>41</v>
      </c>
      <c r="PY2" s="19" t="s">
        <v>24</v>
      </c>
      <c r="PZ2" s="19" t="s">
        <v>23</v>
      </c>
      <c r="QA2" s="19" t="s">
        <v>18</v>
      </c>
      <c r="QB2" s="110" t="s">
        <v>32</v>
      </c>
      <c r="QC2" s="110"/>
      <c r="QD2" s="110"/>
      <c r="QE2" s="110"/>
      <c r="QF2" s="110" t="s">
        <v>35</v>
      </c>
      <c r="QG2" s="110"/>
      <c r="QH2" s="110"/>
      <c r="QI2" s="110"/>
      <c r="QJ2" s="110" t="s">
        <v>36</v>
      </c>
      <c r="QK2" s="110"/>
      <c r="QL2" s="110"/>
      <c r="QM2" s="110"/>
      <c r="QN2" s="110" t="s">
        <v>37</v>
      </c>
      <c r="QO2" s="110"/>
      <c r="QP2" s="110"/>
      <c r="QQ2" s="110"/>
      <c r="QR2" s="110" t="s">
        <v>38</v>
      </c>
      <c r="QS2" s="110"/>
      <c r="QT2" s="110"/>
      <c r="QU2" s="110"/>
      <c r="QV2" s="110" t="s">
        <v>39</v>
      </c>
      <c r="QW2" s="110"/>
      <c r="QX2" s="110"/>
      <c r="QY2" s="110"/>
      <c r="QZ2" s="24" t="s">
        <v>28</v>
      </c>
      <c r="RA2" s="18" t="s">
        <v>40</v>
      </c>
      <c r="RB2" s="18" t="s">
        <v>41</v>
      </c>
      <c r="RC2" s="18" t="s">
        <v>24</v>
      </c>
      <c r="RD2" s="18" t="s">
        <v>23</v>
      </c>
      <c r="RE2" s="18" t="s">
        <v>18</v>
      </c>
    </row>
    <row r="3" spans="1:473">
      <c r="A3" s="100"/>
      <c r="B3" s="100"/>
      <c r="C3" s="100"/>
      <c r="D3" s="100"/>
      <c r="E3" s="100"/>
      <c r="F3" s="101"/>
      <c r="G3" s="101"/>
      <c r="H3" s="100"/>
      <c r="I3" s="100"/>
      <c r="J3" s="102"/>
      <c r="K3" s="102"/>
      <c r="L3" s="102"/>
      <c r="M3" s="102"/>
      <c r="N3" s="102"/>
      <c r="O3" s="102"/>
      <c r="P3" s="102"/>
      <c r="Q3" s="102"/>
      <c r="R3" s="103"/>
      <c r="S3" s="102"/>
      <c r="T3" s="102"/>
      <c r="U3" s="64" t="s">
        <v>15</v>
      </c>
      <c r="V3" s="64" t="s">
        <v>7</v>
      </c>
      <c r="W3" s="64" t="s">
        <v>33</v>
      </c>
      <c r="X3" s="64" t="s">
        <v>34</v>
      </c>
      <c r="Y3" s="64" t="s">
        <v>15</v>
      </c>
      <c r="Z3" s="64" t="s">
        <v>7</v>
      </c>
      <c r="AA3" s="64" t="s">
        <v>33</v>
      </c>
      <c r="AB3" s="64" t="s">
        <v>34</v>
      </c>
      <c r="AC3" s="64" t="s">
        <v>15</v>
      </c>
      <c r="AD3" s="64" t="s">
        <v>7</v>
      </c>
      <c r="AE3" s="64" t="s">
        <v>33</v>
      </c>
      <c r="AF3" s="64" t="s">
        <v>34</v>
      </c>
      <c r="AG3" s="67" t="s">
        <v>15</v>
      </c>
      <c r="AH3" s="67" t="s">
        <v>7</v>
      </c>
      <c r="AI3" s="67" t="s">
        <v>33</v>
      </c>
      <c r="AJ3" s="67" t="s">
        <v>34</v>
      </c>
      <c r="AK3" s="67" t="s">
        <v>15</v>
      </c>
      <c r="AL3" s="67" t="s">
        <v>7</v>
      </c>
      <c r="AM3" s="67" t="s">
        <v>33</v>
      </c>
      <c r="AN3" s="67" t="s">
        <v>34</v>
      </c>
      <c r="AO3" s="67" t="s">
        <v>15</v>
      </c>
      <c r="AP3" s="67" t="s">
        <v>7</v>
      </c>
      <c r="AQ3" s="67" t="s">
        <v>33</v>
      </c>
      <c r="AR3" s="67" t="s">
        <v>34</v>
      </c>
      <c r="AS3" s="11"/>
      <c r="AT3" s="10"/>
      <c r="AU3" s="10"/>
      <c r="AV3" s="10"/>
      <c r="AW3" s="11"/>
      <c r="AX3" s="11"/>
      <c r="AY3" s="63" t="s">
        <v>15</v>
      </c>
      <c r="AZ3" s="63" t="s">
        <v>7</v>
      </c>
      <c r="BA3" s="63" t="s">
        <v>33</v>
      </c>
      <c r="BB3" s="63" t="s">
        <v>34</v>
      </c>
      <c r="BC3" s="63" t="s">
        <v>15</v>
      </c>
      <c r="BD3" s="63" t="s">
        <v>7</v>
      </c>
      <c r="BE3" s="63" t="s">
        <v>33</v>
      </c>
      <c r="BF3" s="63" t="s">
        <v>34</v>
      </c>
      <c r="BG3" s="63" t="s">
        <v>15</v>
      </c>
      <c r="BH3" s="63" t="s">
        <v>7</v>
      </c>
      <c r="BI3" s="63" t="s">
        <v>33</v>
      </c>
      <c r="BJ3" s="63" t="s">
        <v>34</v>
      </c>
      <c r="BK3" s="68" t="s">
        <v>15</v>
      </c>
      <c r="BL3" s="68" t="s">
        <v>7</v>
      </c>
      <c r="BM3" s="68" t="s">
        <v>33</v>
      </c>
      <c r="BN3" s="68" t="s">
        <v>34</v>
      </c>
      <c r="BO3" s="68" t="s">
        <v>15</v>
      </c>
      <c r="BP3" s="68" t="s">
        <v>7</v>
      </c>
      <c r="BQ3" s="68" t="s">
        <v>33</v>
      </c>
      <c r="BR3" s="68" t="s">
        <v>34</v>
      </c>
      <c r="BS3" s="68" t="s">
        <v>15</v>
      </c>
      <c r="BT3" s="68" t="s">
        <v>7</v>
      </c>
      <c r="BU3" s="68" t="s">
        <v>33</v>
      </c>
      <c r="BV3" s="68" t="s">
        <v>34</v>
      </c>
      <c r="BW3" s="14"/>
      <c r="BX3" s="13"/>
      <c r="BY3" s="13"/>
      <c r="BZ3" s="13"/>
      <c r="CA3" s="14"/>
      <c r="CB3" s="14"/>
      <c r="CC3" s="33" t="s">
        <v>15</v>
      </c>
      <c r="CD3" s="33" t="s">
        <v>7</v>
      </c>
      <c r="CE3" s="33" t="s">
        <v>33</v>
      </c>
      <c r="CF3" s="33" t="s">
        <v>34</v>
      </c>
      <c r="CG3" s="33" t="s">
        <v>15</v>
      </c>
      <c r="CH3" s="33" t="s">
        <v>7</v>
      </c>
      <c r="CI3" s="33" t="s">
        <v>33</v>
      </c>
      <c r="CJ3" s="33" t="s">
        <v>34</v>
      </c>
      <c r="CK3" s="33" t="s">
        <v>15</v>
      </c>
      <c r="CL3" s="33" t="s">
        <v>7</v>
      </c>
      <c r="CM3" s="33" t="s">
        <v>33</v>
      </c>
      <c r="CN3" s="33" t="s">
        <v>34</v>
      </c>
      <c r="CO3" s="38" t="s">
        <v>15</v>
      </c>
      <c r="CP3" s="38" t="s">
        <v>7</v>
      </c>
      <c r="CQ3" s="38" t="s">
        <v>33</v>
      </c>
      <c r="CR3" s="38" t="s">
        <v>34</v>
      </c>
      <c r="CS3" s="38" t="s">
        <v>15</v>
      </c>
      <c r="CT3" s="38" t="s">
        <v>7</v>
      </c>
      <c r="CU3" s="38" t="s">
        <v>33</v>
      </c>
      <c r="CV3" s="38" t="s">
        <v>34</v>
      </c>
      <c r="CW3" s="38" t="s">
        <v>15</v>
      </c>
      <c r="CX3" s="38" t="s">
        <v>7</v>
      </c>
      <c r="CY3" s="38" t="s">
        <v>33</v>
      </c>
      <c r="CZ3" s="38" t="s">
        <v>34</v>
      </c>
      <c r="DA3" s="11"/>
      <c r="DB3" s="10"/>
      <c r="DC3" s="10"/>
      <c r="DD3" s="10"/>
      <c r="DE3" s="11"/>
      <c r="DF3" s="11"/>
      <c r="DG3" s="27"/>
      <c r="DH3" s="27"/>
      <c r="DI3" s="27"/>
      <c r="DJ3" s="64" t="s">
        <v>15</v>
      </c>
      <c r="DK3" s="64" t="s">
        <v>7</v>
      </c>
      <c r="DL3" s="64" t="s">
        <v>33</v>
      </c>
      <c r="DM3" s="64" t="s">
        <v>34</v>
      </c>
      <c r="DN3" s="64" t="s">
        <v>15</v>
      </c>
      <c r="DO3" s="64" t="s">
        <v>7</v>
      </c>
      <c r="DP3" s="64" t="s">
        <v>33</v>
      </c>
      <c r="DQ3" s="64" t="s">
        <v>34</v>
      </c>
      <c r="DR3" s="64" t="s">
        <v>15</v>
      </c>
      <c r="DS3" s="64" t="s">
        <v>7</v>
      </c>
      <c r="DT3" s="64" t="s">
        <v>33</v>
      </c>
      <c r="DU3" s="64" t="s">
        <v>34</v>
      </c>
      <c r="DV3" s="67" t="s">
        <v>15</v>
      </c>
      <c r="DW3" s="67" t="s">
        <v>7</v>
      </c>
      <c r="DX3" s="67" t="s">
        <v>33</v>
      </c>
      <c r="DY3" s="67" t="s">
        <v>34</v>
      </c>
      <c r="DZ3" s="67" t="s">
        <v>15</v>
      </c>
      <c r="EA3" s="67" t="s">
        <v>7</v>
      </c>
      <c r="EB3" s="67" t="s">
        <v>33</v>
      </c>
      <c r="EC3" s="67" t="s">
        <v>34</v>
      </c>
      <c r="ED3" s="67" t="s">
        <v>15</v>
      </c>
      <c r="EE3" s="67" t="s">
        <v>7</v>
      </c>
      <c r="EF3" s="67" t="s">
        <v>33</v>
      </c>
      <c r="EG3" s="67" t="s">
        <v>34</v>
      </c>
      <c r="EH3" s="11"/>
      <c r="EI3" s="10"/>
      <c r="EJ3" s="10"/>
      <c r="EK3" s="10"/>
      <c r="EL3" s="11"/>
      <c r="EM3" s="11"/>
      <c r="EN3" s="68" t="s">
        <v>15</v>
      </c>
      <c r="EO3" s="68" t="s">
        <v>7</v>
      </c>
      <c r="EP3" s="68" t="s">
        <v>33</v>
      </c>
      <c r="EQ3" s="68" t="s">
        <v>34</v>
      </c>
      <c r="ER3" s="68" t="s">
        <v>15</v>
      </c>
      <c r="ES3" s="68" t="s">
        <v>7</v>
      </c>
      <c r="ET3" s="68" t="s">
        <v>33</v>
      </c>
      <c r="EU3" s="68" t="s">
        <v>34</v>
      </c>
      <c r="EV3" s="68" t="s">
        <v>15</v>
      </c>
      <c r="EW3" s="68" t="s">
        <v>7</v>
      </c>
      <c r="EX3" s="68" t="s">
        <v>33</v>
      </c>
      <c r="EY3" s="68" t="s">
        <v>34</v>
      </c>
      <c r="EZ3" s="68" t="s">
        <v>15</v>
      </c>
      <c r="FA3" s="68" t="s">
        <v>7</v>
      </c>
      <c r="FB3" s="68" t="s">
        <v>33</v>
      </c>
      <c r="FC3" s="68" t="s">
        <v>34</v>
      </c>
      <c r="FD3" s="68" t="s">
        <v>15</v>
      </c>
      <c r="FE3" s="68" t="s">
        <v>7</v>
      </c>
      <c r="FF3" s="68" t="s">
        <v>33</v>
      </c>
      <c r="FG3" s="68" t="s">
        <v>34</v>
      </c>
      <c r="FH3" s="68" t="s">
        <v>15</v>
      </c>
      <c r="FI3" s="68" t="s">
        <v>7</v>
      </c>
      <c r="FJ3" s="68" t="s">
        <v>33</v>
      </c>
      <c r="FK3" s="68" t="s">
        <v>34</v>
      </c>
      <c r="FL3" s="18"/>
      <c r="FM3" s="18"/>
      <c r="FN3" s="18"/>
      <c r="FO3" s="18"/>
      <c r="FP3" s="18"/>
      <c r="FQ3" s="18"/>
      <c r="FR3" s="67" t="s">
        <v>15</v>
      </c>
      <c r="FS3" s="67" t="s">
        <v>7</v>
      </c>
      <c r="FT3" s="67" t="s">
        <v>33</v>
      </c>
      <c r="FU3" s="67" t="s">
        <v>34</v>
      </c>
      <c r="FV3" s="67" t="s">
        <v>15</v>
      </c>
      <c r="FW3" s="67" t="s">
        <v>7</v>
      </c>
      <c r="FX3" s="67" t="s">
        <v>33</v>
      </c>
      <c r="FY3" s="67" t="s">
        <v>34</v>
      </c>
      <c r="FZ3" s="67" t="s">
        <v>15</v>
      </c>
      <c r="GA3" s="67" t="s">
        <v>7</v>
      </c>
      <c r="GB3" s="67" t="s">
        <v>33</v>
      </c>
      <c r="GC3" s="67" t="s">
        <v>34</v>
      </c>
      <c r="GD3" s="67" t="s">
        <v>15</v>
      </c>
      <c r="GE3" s="67" t="s">
        <v>7</v>
      </c>
      <c r="GF3" s="67" t="s">
        <v>33</v>
      </c>
      <c r="GG3" s="67" t="s">
        <v>34</v>
      </c>
      <c r="GH3" s="67" t="s">
        <v>15</v>
      </c>
      <c r="GI3" s="67" t="s">
        <v>7</v>
      </c>
      <c r="GJ3" s="67" t="s">
        <v>33</v>
      </c>
      <c r="GK3" s="67" t="s">
        <v>34</v>
      </c>
      <c r="GL3" s="67" t="s">
        <v>15</v>
      </c>
      <c r="GM3" s="67" t="s">
        <v>7</v>
      </c>
      <c r="GN3" s="67" t="s">
        <v>33</v>
      </c>
      <c r="GO3" s="67" t="s">
        <v>34</v>
      </c>
      <c r="GP3" s="19"/>
      <c r="GQ3" s="19"/>
      <c r="GR3" s="19"/>
      <c r="GS3" s="19"/>
      <c r="GT3" s="19"/>
      <c r="GU3" s="19"/>
      <c r="GV3" s="68" t="s">
        <v>15</v>
      </c>
      <c r="GW3" s="68" t="s">
        <v>7</v>
      </c>
      <c r="GX3" s="68" t="s">
        <v>33</v>
      </c>
      <c r="GY3" s="68" t="s">
        <v>34</v>
      </c>
      <c r="GZ3" s="68" t="s">
        <v>15</v>
      </c>
      <c r="HA3" s="68" t="s">
        <v>7</v>
      </c>
      <c r="HB3" s="68" t="s">
        <v>33</v>
      </c>
      <c r="HC3" s="68" t="s">
        <v>34</v>
      </c>
      <c r="HD3" s="68" t="s">
        <v>15</v>
      </c>
      <c r="HE3" s="68" t="s">
        <v>7</v>
      </c>
      <c r="HF3" s="68" t="s">
        <v>33</v>
      </c>
      <c r="HG3" s="68" t="s">
        <v>34</v>
      </c>
      <c r="HH3" s="68" t="s">
        <v>15</v>
      </c>
      <c r="HI3" s="68" t="s">
        <v>7</v>
      </c>
      <c r="HJ3" s="68" t="s">
        <v>33</v>
      </c>
      <c r="HK3" s="68" t="s">
        <v>34</v>
      </c>
      <c r="HL3" s="68" t="s">
        <v>15</v>
      </c>
      <c r="HM3" s="68" t="s">
        <v>7</v>
      </c>
      <c r="HN3" s="68" t="s">
        <v>33</v>
      </c>
      <c r="HO3" s="68" t="s">
        <v>34</v>
      </c>
      <c r="HP3" s="68" t="s">
        <v>15</v>
      </c>
      <c r="HQ3" s="68" t="s">
        <v>7</v>
      </c>
      <c r="HR3" s="68" t="s">
        <v>33</v>
      </c>
      <c r="HS3" s="68" t="s">
        <v>34</v>
      </c>
      <c r="HT3" s="18"/>
      <c r="HU3" s="18"/>
      <c r="HV3" s="18"/>
      <c r="HW3" s="18"/>
      <c r="HX3" s="18"/>
      <c r="HY3" s="18"/>
      <c r="HZ3" s="38" t="s">
        <v>15</v>
      </c>
      <c r="IA3" s="38" t="s">
        <v>7</v>
      </c>
      <c r="IB3" s="38" t="s">
        <v>33</v>
      </c>
      <c r="IC3" s="38" t="s">
        <v>34</v>
      </c>
      <c r="ID3" s="38" t="s">
        <v>15</v>
      </c>
      <c r="IE3" s="38" t="s">
        <v>7</v>
      </c>
      <c r="IF3" s="38" t="s">
        <v>33</v>
      </c>
      <c r="IG3" s="38" t="s">
        <v>34</v>
      </c>
      <c r="IH3" s="38" t="s">
        <v>15</v>
      </c>
      <c r="II3" s="38" t="s">
        <v>7</v>
      </c>
      <c r="IJ3" s="38" t="s">
        <v>33</v>
      </c>
      <c r="IK3" s="38" t="s">
        <v>34</v>
      </c>
      <c r="IL3" s="38" t="s">
        <v>15</v>
      </c>
      <c r="IM3" s="38" t="s">
        <v>7</v>
      </c>
      <c r="IN3" s="38" t="s">
        <v>33</v>
      </c>
      <c r="IO3" s="38" t="s">
        <v>34</v>
      </c>
      <c r="IP3" s="38" t="s">
        <v>15</v>
      </c>
      <c r="IQ3" s="38" t="s">
        <v>7</v>
      </c>
      <c r="IR3" s="38" t="s">
        <v>33</v>
      </c>
      <c r="IS3" s="38" t="s">
        <v>34</v>
      </c>
      <c r="IT3" s="38" t="s">
        <v>15</v>
      </c>
      <c r="IU3" s="38" t="s">
        <v>7</v>
      </c>
      <c r="IV3" s="38" t="s">
        <v>33</v>
      </c>
      <c r="IW3" s="38" t="s">
        <v>34</v>
      </c>
      <c r="IX3" s="19"/>
      <c r="IY3" s="19"/>
      <c r="IZ3" s="19"/>
      <c r="JA3" s="19"/>
      <c r="JB3" s="19"/>
      <c r="JC3" s="19"/>
      <c r="JD3" s="37" t="s">
        <v>15</v>
      </c>
      <c r="JE3" s="37" t="s">
        <v>7</v>
      </c>
      <c r="JF3" s="37" t="s">
        <v>33</v>
      </c>
      <c r="JG3" s="37" t="s">
        <v>34</v>
      </c>
      <c r="JH3" s="37" t="s">
        <v>15</v>
      </c>
      <c r="JI3" s="37" t="s">
        <v>7</v>
      </c>
      <c r="JJ3" s="37" t="s">
        <v>33</v>
      </c>
      <c r="JK3" s="37" t="s">
        <v>34</v>
      </c>
      <c r="JL3" s="37" t="s">
        <v>15</v>
      </c>
      <c r="JM3" s="37" t="s">
        <v>7</v>
      </c>
      <c r="JN3" s="37" t="s">
        <v>33</v>
      </c>
      <c r="JO3" s="37" t="s">
        <v>34</v>
      </c>
      <c r="JP3" s="37" t="s">
        <v>15</v>
      </c>
      <c r="JQ3" s="37" t="s">
        <v>7</v>
      </c>
      <c r="JR3" s="37" t="s">
        <v>33</v>
      </c>
      <c r="JS3" s="37" t="s">
        <v>34</v>
      </c>
      <c r="JT3" s="37" t="s">
        <v>15</v>
      </c>
      <c r="JU3" s="37" t="s">
        <v>7</v>
      </c>
      <c r="JV3" s="37" t="s">
        <v>33</v>
      </c>
      <c r="JW3" s="37" t="s">
        <v>34</v>
      </c>
      <c r="JX3" s="37" t="s">
        <v>15</v>
      </c>
      <c r="JY3" s="37" t="s">
        <v>7</v>
      </c>
      <c r="JZ3" s="37" t="s">
        <v>33</v>
      </c>
      <c r="KA3" s="37" t="s">
        <v>34</v>
      </c>
      <c r="KB3" s="18"/>
      <c r="KC3" s="18"/>
      <c r="KD3" s="18"/>
      <c r="KE3" s="18"/>
      <c r="KF3" s="18"/>
      <c r="KG3" s="18"/>
      <c r="KH3" s="38" t="s">
        <v>15</v>
      </c>
      <c r="KI3" s="38" t="s">
        <v>7</v>
      </c>
      <c r="KJ3" s="38" t="s">
        <v>33</v>
      </c>
      <c r="KK3" s="38" t="s">
        <v>34</v>
      </c>
      <c r="KL3" s="38" t="s">
        <v>15</v>
      </c>
      <c r="KM3" s="38" t="s">
        <v>7</v>
      </c>
      <c r="KN3" s="38" t="s">
        <v>33</v>
      </c>
      <c r="KO3" s="38" t="s">
        <v>34</v>
      </c>
      <c r="KP3" s="38" t="s">
        <v>15</v>
      </c>
      <c r="KQ3" s="38" t="s">
        <v>7</v>
      </c>
      <c r="KR3" s="38" t="s">
        <v>33</v>
      </c>
      <c r="KS3" s="38" t="s">
        <v>34</v>
      </c>
      <c r="KT3" s="38" t="s">
        <v>15</v>
      </c>
      <c r="KU3" s="38" t="s">
        <v>7</v>
      </c>
      <c r="KV3" s="38" t="s">
        <v>33</v>
      </c>
      <c r="KW3" s="38" t="s">
        <v>34</v>
      </c>
      <c r="KX3" s="38" t="s">
        <v>15</v>
      </c>
      <c r="KY3" s="38" t="s">
        <v>7</v>
      </c>
      <c r="KZ3" s="38" t="s">
        <v>33</v>
      </c>
      <c r="LA3" s="38" t="s">
        <v>34</v>
      </c>
      <c r="LB3" s="38" t="s">
        <v>15</v>
      </c>
      <c r="LC3" s="38" t="s">
        <v>7</v>
      </c>
      <c r="LD3" s="38" t="s">
        <v>33</v>
      </c>
      <c r="LE3" s="38" t="s">
        <v>34</v>
      </c>
      <c r="LF3" s="19"/>
      <c r="LG3" s="19"/>
      <c r="LH3" s="19"/>
      <c r="LI3" s="19"/>
      <c r="LJ3" s="19"/>
      <c r="LK3" s="19"/>
      <c r="LL3" s="37" t="s">
        <v>15</v>
      </c>
      <c r="LM3" s="37" t="s">
        <v>7</v>
      </c>
      <c r="LN3" s="37" t="s">
        <v>33</v>
      </c>
      <c r="LO3" s="37" t="s">
        <v>34</v>
      </c>
      <c r="LP3" s="37" t="s">
        <v>15</v>
      </c>
      <c r="LQ3" s="37" t="s">
        <v>7</v>
      </c>
      <c r="LR3" s="37" t="s">
        <v>33</v>
      </c>
      <c r="LS3" s="37" t="s">
        <v>34</v>
      </c>
      <c r="LT3" s="37" t="s">
        <v>15</v>
      </c>
      <c r="LU3" s="37" t="s">
        <v>7</v>
      </c>
      <c r="LV3" s="37" t="s">
        <v>33</v>
      </c>
      <c r="LW3" s="37" t="s">
        <v>34</v>
      </c>
      <c r="LX3" s="37" t="s">
        <v>15</v>
      </c>
      <c r="LY3" s="37" t="s">
        <v>7</v>
      </c>
      <c r="LZ3" s="37" t="s">
        <v>33</v>
      </c>
      <c r="MA3" s="37" t="s">
        <v>34</v>
      </c>
      <c r="MB3" s="37" t="s">
        <v>15</v>
      </c>
      <c r="MC3" s="37" t="s">
        <v>7</v>
      </c>
      <c r="MD3" s="37" t="s">
        <v>33</v>
      </c>
      <c r="ME3" s="37" t="s">
        <v>34</v>
      </c>
      <c r="MF3" s="37" t="s">
        <v>15</v>
      </c>
      <c r="MG3" s="37" t="s">
        <v>7</v>
      </c>
      <c r="MH3" s="37" t="s">
        <v>33</v>
      </c>
      <c r="MI3" s="37" t="s">
        <v>34</v>
      </c>
      <c r="MJ3" s="18"/>
      <c r="MK3" s="18"/>
      <c r="ML3" s="18"/>
      <c r="MM3" s="18"/>
      <c r="MN3" s="18"/>
      <c r="MO3" s="18"/>
      <c r="MP3" s="38" t="s">
        <v>15</v>
      </c>
      <c r="MQ3" s="38" t="s">
        <v>7</v>
      </c>
      <c r="MR3" s="38" t="s">
        <v>33</v>
      </c>
      <c r="MS3" s="38" t="s">
        <v>34</v>
      </c>
      <c r="MT3" s="38" t="s">
        <v>15</v>
      </c>
      <c r="MU3" s="38" t="s">
        <v>7</v>
      </c>
      <c r="MV3" s="38" t="s">
        <v>33</v>
      </c>
      <c r="MW3" s="38" t="s">
        <v>34</v>
      </c>
      <c r="MX3" s="38" t="s">
        <v>15</v>
      </c>
      <c r="MY3" s="38" t="s">
        <v>7</v>
      </c>
      <c r="MZ3" s="38" t="s">
        <v>33</v>
      </c>
      <c r="NA3" s="38" t="s">
        <v>34</v>
      </c>
      <c r="NB3" s="38" t="s">
        <v>15</v>
      </c>
      <c r="NC3" s="38" t="s">
        <v>7</v>
      </c>
      <c r="ND3" s="38" t="s">
        <v>33</v>
      </c>
      <c r="NE3" s="38" t="s">
        <v>34</v>
      </c>
      <c r="NF3" s="38" t="s">
        <v>15</v>
      </c>
      <c r="NG3" s="38" t="s">
        <v>7</v>
      </c>
      <c r="NH3" s="38" t="s">
        <v>33</v>
      </c>
      <c r="NI3" s="38" t="s">
        <v>34</v>
      </c>
      <c r="NJ3" s="38" t="s">
        <v>15</v>
      </c>
      <c r="NK3" s="38" t="s">
        <v>7</v>
      </c>
      <c r="NL3" s="38" t="s">
        <v>33</v>
      </c>
      <c r="NM3" s="38" t="s">
        <v>34</v>
      </c>
      <c r="NN3" s="19"/>
      <c r="NO3" s="19"/>
      <c r="NP3" s="19"/>
      <c r="NQ3" s="19"/>
      <c r="NR3" s="19"/>
      <c r="NS3" s="19"/>
      <c r="NT3" s="37" t="s">
        <v>15</v>
      </c>
      <c r="NU3" s="37" t="s">
        <v>7</v>
      </c>
      <c r="NV3" s="37" t="s">
        <v>33</v>
      </c>
      <c r="NW3" s="37" t="s">
        <v>34</v>
      </c>
      <c r="NX3" s="37" t="s">
        <v>15</v>
      </c>
      <c r="NY3" s="37" t="s">
        <v>7</v>
      </c>
      <c r="NZ3" s="37" t="s">
        <v>33</v>
      </c>
      <c r="OA3" s="37" t="s">
        <v>34</v>
      </c>
      <c r="OB3" s="37" t="s">
        <v>15</v>
      </c>
      <c r="OC3" s="37" t="s">
        <v>7</v>
      </c>
      <c r="OD3" s="37" t="s">
        <v>33</v>
      </c>
      <c r="OE3" s="37" t="s">
        <v>34</v>
      </c>
      <c r="OF3" s="37" t="s">
        <v>15</v>
      </c>
      <c r="OG3" s="37" t="s">
        <v>7</v>
      </c>
      <c r="OH3" s="37" t="s">
        <v>33</v>
      </c>
      <c r="OI3" s="37" t="s">
        <v>34</v>
      </c>
      <c r="OJ3" s="37" t="s">
        <v>15</v>
      </c>
      <c r="OK3" s="37" t="s">
        <v>7</v>
      </c>
      <c r="OL3" s="37" t="s">
        <v>33</v>
      </c>
      <c r="OM3" s="37" t="s">
        <v>34</v>
      </c>
      <c r="ON3" s="37" t="s">
        <v>15</v>
      </c>
      <c r="OO3" s="37" t="s">
        <v>7</v>
      </c>
      <c r="OP3" s="37" t="s">
        <v>33</v>
      </c>
      <c r="OQ3" s="37" t="s">
        <v>34</v>
      </c>
      <c r="OR3" s="18"/>
      <c r="OS3" s="18"/>
      <c r="OT3" s="18"/>
      <c r="OU3" s="18"/>
      <c r="OV3" s="18"/>
      <c r="OW3" s="18"/>
      <c r="OX3" s="38" t="s">
        <v>15</v>
      </c>
      <c r="OY3" s="38" t="s">
        <v>7</v>
      </c>
      <c r="OZ3" s="38" t="s">
        <v>33</v>
      </c>
      <c r="PA3" s="38" t="s">
        <v>34</v>
      </c>
      <c r="PB3" s="38" t="s">
        <v>15</v>
      </c>
      <c r="PC3" s="38" t="s">
        <v>7</v>
      </c>
      <c r="PD3" s="38" t="s">
        <v>33</v>
      </c>
      <c r="PE3" s="38" t="s">
        <v>34</v>
      </c>
      <c r="PF3" s="38" t="s">
        <v>15</v>
      </c>
      <c r="PG3" s="38" t="s">
        <v>7</v>
      </c>
      <c r="PH3" s="38" t="s">
        <v>33</v>
      </c>
      <c r="PI3" s="38" t="s">
        <v>34</v>
      </c>
      <c r="PJ3" s="38" t="s">
        <v>15</v>
      </c>
      <c r="PK3" s="38" t="s">
        <v>7</v>
      </c>
      <c r="PL3" s="38" t="s">
        <v>33</v>
      </c>
      <c r="PM3" s="38" t="s">
        <v>34</v>
      </c>
      <c r="PN3" s="38" t="s">
        <v>15</v>
      </c>
      <c r="PO3" s="38" t="s">
        <v>7</v>
      </c>
      <c r="PP3" s="38" t="s">
        <v>33</v>
      </c>
      <c r="PQ3" s="38" t="s">
        <v>34</v>
      </c>
      <c r="PR3" s="38" t="s">
        <v>15</v>
      </c>
      <c r="PS3" s="38" t="s">
        <v>7</v>
      </c>
      <c r="PT3" s="38" t="s">
        <v>33</v>
      </c>
      <c r="PU3" s="38" t="s">
        <v>34</v>
      </c>
      <c r="PV3" s="19"/>
      <c r="PW3" s="19"/>
      <c r="PX3" s="19"/>
      <c r="PY3" s="19"/>
      <c r="PZ3" s="19"/>
      <c r="QA3" s="19"/>
      <c r="QB3" s="37" t="s">
        <v>15</v>
      </c>
      <c r="QC3" s="37" t="s">
        <v>7</v>
      </c>
      <c r="QD3" s="37" t="s">
        <v>33</v>
      </c>
      <c r="QE3" s="37" t="s">
        <v>34</v>
      </c>
      <c r="QF3" s="37" t="s">
        <v>15</v>
      </c>
      <c r="QG3" s="37" t="s">
        <v>7</v>
      </c>
      <c r="QH3" s="37" t="s">
        <v>33</v>
      </c>
      <c r="QI3" s="37" t="s">
        <v>34</v>
      </c>
      <c r="QJ3" s="37" t="s">
        <v>15</v>
      </c>
      <c r="QK3" s="37" t="s">
        <v>7</v>
      </c>
      <c r="QL3" s="37" t="s">
        <v>33</v>
      </c>
      <c r="QM3" s="37" t="s">
        <v>34</v>
      </c>
      <c r="QN3" s="37" t="s">
        <v>15</v>
      </c>
      <c r="QO3" s="37" t="s">
        <v>7</v>
      </c>
      <c r="QP3" s="37" t="s">
        <v>33</v>
      </c>
      <c r="QQ3" s="37" t="s">
        <v>34</v>
      </c>
      <c r="QR3" s="37" t="s">
        <v>15</v>
      </c>
      <c r="QS3" s="37" t="s">
        <v>7</v>
      </c>
      <c r="QT3" s="37" t="s">
        <v>33</v>
      </c>
      <c r="QU3" s="37" t="s">
        <v>34</v>
      </c>
      <c r="QV3" s="37" t="s">
        <v>15</v>
      </c>
      <c r="QW3" s="37" t="s">
        <v>7</v>
      </c>
      <c r="QX3" s="37" t="s">
        <v>33</v>
      </c>
      <c r="QY3" s="37" t="s">
        <v>34</v>
      </c>
      <c r="QZ3" s="18"/>
      <c r="RA3" s="18"/>
      <c r="RB3" s="18"/>
      <c r="RC3" s="18"/>
      <c r="RD3" s="18"/>
      <c r="RE3" s="18"/>
    </row>
    <row r="4" spans="1:473">
      <c r="A4" s="6">
        <f>IF(AND(F4="P",H4="P"),SUMPRODUCT((F$4:F$14="P")*(H$4:H$14="P")*(E$4:E$14&gt;E4))+1,IF(H4="P",SUMPRODUCT((F$4:F$14="")*(H$4:H$14="P")*(E$4:E$14&gt;E4))+1+SUMPRODUCT((F$4:F$14="P")*(H$4:H$14="P")),""))</f>
        <v>1</v>
      </c>
      <c r="B4" s="9" t="s">
        <v>71</v>
      </c>
      <c r="C4" s="5" t="s">
        <v>5</v>
      </c>
      <c r="D4" s="6">
        <v>2003</v>
      </c>
      <c r="E4" s="16">
        <f>SUM(J4:R4)</f>
        <v>351.4</v>
      </c>
      <c r="F4" s="4" t="str">
        <f>IF(OR(AND($AS4&gt;=$AT$17,NOT($AS4="")),AND($BW4&gt;=$BX$17,NOT($BW4="")),AND($DA4&gt;=$DB$17,NOT($DA4=""))),"P","")</f>
        <v>P</v>
      </c>
      <c r="G4" s="4" t="str">
        <f>IF(OR(AND($AS4&gt;=$AT$18,NOT($AS4="")),AND($BW4&gt;=$BX$18,NOT($BW4="")),AND($DA4&gt;=$DB$18,NOT($DA4=""))),"P","")</f>
        <v/>
      </c>
      <c r="H4" s="4" t="str">
        <f>IF(OR(AND($AV4&gt;=$AT$19,NOT($AV4="")),AND($BZ4&gt;=$BX$19,NOT($BZ4="")),AND($DD4&gt;=$DB$19,NOT($DD4=""))),"P","")</f>
        <v>P</v>
      </c>
      <c r="I4" t="str">
        <f>IF(AND(F4="P",OR(AND($AV4&gt;=$AT$22,NOT($AV4="")),AND($BZ4&gt;=$BX$22,NOT($BZ4="")),AND($DD4&gt;=$DB$22,NOT($DD4="")))),"Merit",IF(AND(F4="P",OR(AND($AV4&gt;=$AT$21,NOT($AV4="")),AND($BZ4&gt;=$BX$21,NOT($BZ4="")),AND($DD4&gt;=$DB$21,NOT($DD4="")))),"Funding",IF(AND(F4="P",OR(AND($AV4&gt;=$AT$20,NOT($AV4="")),AND($BZ4&gt;=$BX$20,NOT($BZ4="")),AND($DD4&gt;=$DB$20,NOT($DD4="")))),"Worlds Team",IF(AND(F4="P",OR(AND($AV4&gt;=$AT$19,NOT($AV4="")),AND($BZ4&gt;=$BX$19,NOT($BZ4="")),AND($DD4&gt;=$DB$19,NOT($DD4="")))),"National Team",""))))</f>
        <v>National Team</v>
      </c>
      <c r="J4" s="15">
        <f>MAX(AV4,BZ4,DD4)</f>
        <v>140.4</v>
      </c>
      <c r="K4" s="15" t="str">
        <f>IF(J4=DD4,$CC$1,IF(J4=BZ4,$AY$1,IF(J4=AV4,$U$1,"")))</f>
        <v>2018 Canada Cup</v>
      </c>
      <c r="L4" s="15">
        <f>IF($J4=$AV4,MAX(BX4,DB4),IF($J4=$BZ4,MAX(AT4,DB4),MAX(AT4,BX4)))</f>
        <v>69.09999999999998</v>
      </c>
      <c r="M4" s="15" t="str">
        <f>IF(L4=DB4,$CC$1,IF(L4=BX4,$AY$1,IF(L4=AT4,$U$1,"")))</f>
        <v>2017 Nationals</v>
      </c>
      <c r="N4" s="15">
        <f>IF($J4=$AV4,MAX(BY4,DC4),IF($J4=$BZ4,MAX(AU4,DC4),MAX(AU4,BY4)))</f>
        <v>70.400000000000006</v>
      </c>
      <c r="O4" s="15" t="str">
        <f>IF(N4=DC4,$CC$1,IF(N4=BY4,$AY$1,IF(N4=AU4,$U$1,"")))</f>
        <v>2017 Canada Cup</v>
      </c>
      <c r="P4" s="15">
        <f>MAX(AW4,CA4,DE4)</f>
        <v>71</v>
      </c>
      <c r="Q4" s="15" t="str">
        <f>IF(P4=DE4,$CC$1,IF(P4=CA4,$AY$1,IF(P4=AW4,$U$1,"")))</f>
        <v>2018 Canada Cup</v>
      </c>
      <c r="R4" s="15">
        <f>IF(MAX(DG4:DI4)&gt;0,MAX(DG4:DI4),"")</f>
        <v>0.50000000000002842</v>
      </c>
      <c r="S4" s="29" t="str">
        <f>IF(R4="","",IF(R4=DG4,"(Pass 1-2)",IF(R4=DH4,"(Pass 3-4)",IF(R4=DI4,"(Final)"))))</f>
        <v>(Pass 1-2)</v>
      </c>
      <c r="T4" s="15" t="str">
        <f>IF(R4="","",IF(R4=DG4,IF(R4+L4=RA4,$QB$1,IF(R4+L4=PW4,$OX$1,IF(R4+L4=OS4,$NT$1,IF(R4+L4=NO4,$MP$1,IF(R4+L4=MK4,$LL$1,IF(R4+L4=LG4,$KH$1,IF(R4+L4=KC4,$JD$1,IF(R4+L4=IY4,$HZ$1,IF(R4+L4=HU4,$GV$1,IF(R4+L4=GQ4,$FR$1,IF(R4+L4=FM4,$EN$1,IF(R4+L4=EI4,$DJ$1)))))))))))),IF(R4=DH4,IF(R4+N4=RB4,$QB$1,IF(R4+N4=PX4,$OX$1,IF(R4+N4=OT4,$NT$1,IF(R4+N4=NP4,$MP$1,IF(R4+N4=ML4,$LL$1,IF(R4+N4=LH4,$KH$1,IF(R4+N4=KD4,$JD$1,IF(R4+N4=IZ4,$HZ$1,IF(R4+N4=HV4,$GV$1,IF(R4+N4=GR4,$FR$1,IF(R4+N4=FN4,$EN$1,IF(R4+N4=EJ4,$DJ$1)))))))))))),IF(R4=DI4,IF(R4+P4=RD4,$QB$1,IF(R4+P4=PZ4,$OX$1,IF(R4+P4=OV4,$NT$1,IF(R4+P4=NR4,$MP$1,IF(R4+P4=MN4,$LL$1,IF(R4+P4=LJ4,$KH$1,IF(R4+P4=KF4,$JD$1,IF(R4+P4=JB4,$HZ$1,IF(R4+P4=HX4,$GV$1,IF(R4+P4=GT4,$FR$1,IF(R4+P4=FP4,$EN$1,IF(R4+P4=EL4,$DJ$1))))))))))))))))</f>
        <v>World Age Group Championships (Nov)</v>
      </c>
      <c r="U4" s="76">
        <v>28.5</v>
      </c>
      <c r="V4" s="76">
        <v>5.6</v>
      </c>
      <c r="W4" s="76">
        <v>0.9</v>
      </c>
      <c r="X4" s="76">
        <v>0</v>
      </c>
      <c r="Y4" s="76">
        <v>27.8</v>
      </c>
      <c r="Z4" s="76">
        <v>6.8</v>
      </c>
      <c r="AA4" s="76">
        <v>0</v>
      </c>
      <c r="AB4" s="76">
        <v>0</v>
      </c>
      <c r="AC4" s="76">
        <v>28.8</v>
      </c>
      <c r="AD4" s="76">
        <v>6.4</v>
      </c>
      <c r="AE4" s="76">
        <v>0</v>
      </c>
      <c r="AF4" s="76">
        <v>0</v>
      </c>
      <c r="AG4" s="76">
        <v>28.7</v>
      </c>
      <c r="AH4" s="76">
        <v>6.8</v>
      </c>
      <c r="AI4" s="76">
        <v>0.3</v>
      </c>
      <c r="AJ4" s="76">
        <v>0</v>
      </c>
      <c r="AK4" s="76">
        <v>28.5</v>
      </c>
      <c r="AL4" s="76">
        <v>6.8</v>
      </c>
      <c r="AM4" s="76">
        <v>0.3</v>
      </c>
      <c r="AN4" s="76">
        <v>0</v>
      </c>
      <c r="AO4" s="76">
        <v>28.1</v>
      </c>
      <c r="AP4" s="76">
        <v>6.4</v>
      </c>
      <c r="AQ4" s="76">
        <v>0</v>
      </c>
      <c r="AR4" s="76">
        <v>0</v>
      </c>
      <c r="AS4" s="12">
        <f>IF(SUM(V4,Z4,AD4,AH4)&gt;0,SUM(V4,Z4,AD4,AH4),"")</f>
        <v>25.599999999999998</v>
      </c>
      <c r="AT4" s="12">
        <f>IF(SUM(U4:V4,X4:Z4,AB4)-SUM(W4,AA4)&gt;0,SUM(U4:V4,X4:Z4,AB4)-SUM(W4,AA4),"")</f>
        <v>67.8</v>
      </c>
      <c r="AU4" s="12">
        <f>IF(SUM(AC4:AD4,AF4:AH4,AJ4)-SUM(AE4,AI4)&gt;0,SUM(AC4:AD4,AF4:AH4,AJ4)-SUM(AE4,AI4),"")</f>
        <v>70.400000000000006</v>
      </c>
      <c r="AV4" s="12">
        <f>IF(SUM(U4:V4,X4:Z4,AB4:AD4,AF4:AH4,AJ4)-SUM(W4,AA4,AE4,AI4)&gt;0,SUM(U4:V4,X4:Z4,AB4:AD4,AF4:AH4,AJ4)-SUM(W4,AA4,AE4,AI4),"")</f>
        <v>138.20000000000002</v>
      </c>
      <c r="AW4" s="12">
        <f>IF(SUM(AK4:AL4,AN4:AP4,AR4)-SUM(AM4,AQ4)&gt;0,SUM(AK4:AL4,AN4:AP4,AR4)-SUM(AM4,AQ4),"")</f>
        <v>69.5</v>
      </c>
      <c r="AX4" s="12">
        <f>IF(SUM(AV4,AW4)&gt;0,SUM(AV4,AW4),"")</f>
        <v>207.70000000000002</v>
      </c>
      <c r="AY4" s="46">
        <v>27.9</v>
      </c>
      <c r="AZ4" s="46">
        <v>6.8</v>
      </c>
      <c r="BA4" s="46">
        <v>0.9</v>
      </c>
      <c r="BB4" s="46">
        <v>0</v>
      </c>
      <c r="BC4" s="46">
        <v>27.7</v>
      </c>
      <c r="BD4" s="46">
        <v>7.6</v>
      </c>
      <c r="BE4" s="46">
        <v>0</v>
      </c>
      <c r="BF4" s="46">
        <v>0</v>
      </c>
      <c r="BG4" s="46">
        <v>27.7</v>
      </c>
      <c r="BH4" s="46">
        <v>6.8</v>
      </c>
      <c r="BI4" s="46">
        <v>0</v>
      </c>
      <c r="BJ4" s="46">
        <v>0</v>
      </c>
      <c r="BK4" s="46">
        <v>28</v>
      </c>
      <c r="BL4" s="46">
        <v>7.2</v>
      </c>
      <c r="BM4" s="46">
        <v>0</v>
      </c>
      <c r="BN4" s="46">
        <v>0</v>
      </c>
      <c r="BO4" s="46">
        <v>27.9</v>
      </c>
      <c r="BP4" s="46">
        <v>6.8</v>
      </c>
      <c r="BQ4" s="46">
        <v>0.9</v>
      </c>
      <c r="BR4" s="46">
        <v>0</v>
      </c>
      <c r="BS4" s="46">
        <v>28.3</v>
      </c>
      <c r="BT4" s="46">
        <v>7.2</v>
      </c>
      <c r="BU4" s="46">
        <v>0</v>
      </c>
      <c r="BV4" s="46">
        <v>0</v>
      </c>
      <c r="BW4" s="15">
        <f>IF(SUM(AZ4,BD4,BH4,BL4)&gt;0,SUM(AZ4,BD4,BH4,BL4),"")</f>
        <v>28.4</v>
      </c>
      <c r="BX4" s="15">
        <f>IF(SUM(AY4:AZ4,BB4:BD4,BF4)-SUM(BA4,BE4)&gt;0,SUM(AY4:AZ4,BB4:BD4,BF4)-SUM(BA4,BE4),"")</f>
        <v>69.09999999999998</v>
      </c>
      <c r="BY4" s="15">
        <f>IF(SUM(BG4:BH4,BJ4:BL4,BN4)-SUM(BI4,BM4)&gt;0,SUM(BG4:BH4,BJ4:BL4,BN4)-SUM(BI4,BM4),"")</f>
        <v>69.7</v>
      </c>
      <c r="BZ4" s="15">
        <f>IF(SUM(AY4:AZ4,BB4:BD4,BF4:BH4,BJ4:BL4,BN4)-SUM(BA4,BE4,BI4,BM4)&gt;0,SUM(AY4:AZ4,BB4:BD4,BF4:BH4,BJ4:BL4,BN4)-SUM(BA4,BE4,BI4,BM4),"")</f>
        <v>138.79999999999998</v>
      </c>
      <c r="CA4" s="15">
        <f>IF(SUM(BO4:BP4,BR4:BT4,BV4)-SUM(BQ4,BU4)&gt;0,SUM(BO4:BP4,BR4:BT4,BV4)-SUM(BQ4,BU4),"")</f>
        <v>69.3</v>
      </c>
      <c r="CB4" s="15">
        <f>IF(SUM(BZ4,CA4)&gt;0,SUM(BZ4,CA4),"")</f>
        <v>208.09999999999997</v>
      </c>
      <c r="CC4" s="45">
        <v>28.3</v>
      </c>
      <c r="CD4" s="45">
        <v>7.6</v>
      </c>
      <c r="CE4" s="45">
        <v>0</v>
      </c>
      <c r="CF4" s="45">
        <v>0</v>
      </c>
      <c r="CG4" s="45">
        <v>27.6</v>
      </c>
      <c r="CH4" s="45">
        <v>6.8</v>
      </c>
      <c r="CI4" s="45">
        <v>0</v>
      </c>
      <c r="CJ4" s="45">
        <v>0</v>
      </c>
      <c r="CK4" s="45">
        <v>27.7</v>
      </c>
      <c r="CL4" s="45">
        <v>7.3</v>
      </c>
      <c r="CM4" s="45">
        <v>0</v>
      </c>
      <c r="CN4" s="45">
        <v>0</v>
      </c>
      <c r="CO4" s="45">
        <v>27.5</v>
      </c>
      <c r="CP4" s="45">
        <v>7.6</v>
      </c>
      <c r="CQ4" s="45">
        <v>0</v>
      </c>
      <c r="CR4" s="45">
        <v>0</v>
      </c>
      <c r="CS4" s="45">
        <v>28.1</v>
      </c>
      <c r="CT4" s="45">
        <v>7.6</v>
      </c>
      <c r="CU4" s="45">
        <v>0</v>
      </c>
      <c r="CV4" s="45">
        <v>0</v>
      </c>
      <c r="CW4" s="45">
        <v>28.1</v>
      </c>
      <c r="CX4" s="45">
        <v>7.2</v>
      </c>
      <c r="CY4" s="45">
        <v>0</v>
      </c>
      <c r="CZ4" s="45">
        <v>0</v>
      </c>
      <c r="DA4" s="12">
        <f>IF(SUM(CD4,CH4,CL4,CP4)&gt;0,SUM(CD4,CH4,CL4,CP4),"")</f>
        <v>29.299999999999997</v>
      </c>
      <c r="DB4" s="12">
        <f>IF(SUM(CC4:CD4,CF4:CH4,CJ4)-SUM(CE4,CI4)&gt;0,SUM(CC4:CD4,CF4:CH4,CJ4)-SUM(CE4,CI4),"")</f>
        <v>70.3</v>
      </c>
      <c r="DC4" s="12">
        <f>IF(SUM(CK4:CL4,CN4:CP4,CR4)-SUM(CM4,CQ4)&gt;0,SUM(CK4:CL4,CN4:CP4,CR4)-SUM(CM4,CQ4),"")</f>
        <v>70.099999999999994</v>
      </c>
      <c r="DD4" s="12">
        <f>IF(SUM(CC4:CD4,CF4:CH4,CJ4:CL4,CN4:CP4,CR4)-SUM(CE4,CI4,CM4,CQ4)&gt;0,SUM(CC4:CD4,CF4:CH4,CJ4:CL4,CN4:CP4,CR4)-SUM(CE4,CI4,CM4,CQ4),"")</f>
        <v>140.4</v>
      </c>
      <c r="DE4" s="12">
        <f>IF(SUM(CS4:CT4,CV4:CX4,CZ4)-SUM(CU4,CY4)&gt;0,SUM(CS4:CT4,CV4:CX4,CZ4)-SUM(CU4,CY4),"")</f>
        <v>71</v>
      </c>
      <c r="DF4" s="12">
        <f>IF(SUM(DD4,DE4)&gt;0,SUM(DD4,DE4),"")</f>
        <v>211.4</v>
      </c>
      <c r="DG4" s="28">
        <f>IF(MAX(EI4,FM4,GQ4,HU4,IY4,KC4,LG4,MK4,NO4,OS4,PW4,RA4)-L4&gt;0.001,MAX(EI4,FM4,GQ4,HU4,IY4,KC4,LG4,MK4,NO4,OS4,PW4,RA4)-L4,"")</f>
        <v>0.50000000000002842</v>
      </c>
      <c r="DH4" s="28" t="str">
        <f>IF(MAX(EJ4,FN4,GR4,HV4,IZ4,KD4,LH4,ML4,NP4,OT4,PX4,RB4)-N4&gt;0.001,MAX(EJ4,FN4,GR4,HV4,IZ4,KD4,LH4,ML4,NP4,OT4,PX4,RB4)-N4,"")</f>
        <v/>
      </c>
      <c r="DI4" s="28" t="str">
        <f>IF(MAX(EL4,FP4,GT4,HX4,JB4,KF4,LJ4,MN4,OV4,PZ4,RD4)-P4&gt;0.001,MAX(EL4,FP4,GT4,HX4,JB4,KF4,LJ4,MN4,OV4,PZ4,RD4)-P4,"")</f>
        <v/>
      </c>
      <c r="DJ4" s="45">
        <v>27.8</v>
      </c>
      <c r="DK4" s="45">
        <v>6.8</v>
      </c>
      <c r="DL4" s="45">
        <v>0.3</v>
      </c>
      <c r="DM4" s="45">
        <v>0</v>
      </c>
      <c r="DN4" s="45">
        <v>28.5</v>
      </c>
      <c r="DO4" s="45">
        <v>6.8</v>
      </c>
      <c r="DP4" s="45">
        <v>0</v>
      </c>
      <c r="DQ4" s="45">
        <v>0</v>
      </c>
      <c r="DR4" s="45">
        <v>28</v>
      </c>
      <c r="DS4" s="45">
        <v>6</v>
      </c>
      <c r="DT4" s="45">
        <v>0.3</v>
      </c>
      <c r="DU4" s="45">
        <v>0</v>
      </c>
      <c r="DV4" s="45">
        <v>28.3</v>
      </c>
      <c r="DW4" s="45">
        <v>6.4</v>
      </c>
      <c r="DX4" s="45">
        <v>0</v>
      </c>
      <c r="DY4" s="45">
        <v>0</v>
      </c>
      <c r="DZ4" s="45">
        <v>28.3</v>
      </c>
      <c r="EA4" s="45">
        <v>6</v>
      </c>
      <c r="EB4" s="45">
        <v>0.3</v>
      </c>
      <c r="EC4" s="45">
        <v>0</v>
      </c>
      <c r="ED4" s="45">
        <v>28.3</v>
      </c>
      <c r="EE4" s="45">
        <v>6.4</v>
      </c>
      <c r="EF4" s="45">
        <v>0</v>
      </c>
      <c r="EG4" s="45">
        <v>0</v>
      </c>
      <c r="EH4" s="12">
        <f>IF(SUM(DK4,DO4,DS4,DW4)&gt;0,SUM(DK4,DO4,DS4,DW4),"")</f>
        <v>26</v>
      </c>
      <c r="EI4" s="12">
        <f>IF(SUM(DJ4:DK4,DM4:DO4,DQ4)-SUM(DL4,DP4)&gt;0,SUM(DJ4:DK4,DM4:DO4,DQ4)-SUM(DL4,DP4),"")</f>
        <v>69.600000000000009</v>
      </c>
      <c r="EJ4" s="12">
        <f>IF(SUM(DR4:DS4,DU4:DW4,DY4)-SUM(DT4,DX4)&gt;0,SUM(DR4:DS4,DU4:DW4,DY4)-SUM(DT4,DX4),"")</f>
        <v>68.400000000000006</v>
      </c>
      <c r="EK4" s="12">
        <f>IF(SUM(DJ4:DK4,DM4:DO4,DQ4:DS4,DU4:DW4,DY4)-SUM(DL4,DP4,DT4,DX4)&gt;0,SUM(DJ4:DK4,DM4:DO4,DQ4:DS4,DU4:DW4,DY4)-SUM(DL4,DP4,DT4,DX4),"")</f>
        <v>138.00000000000003</v>
      </c>
      <c r="EL4" s="12">
        <f>IF(SUM(DZ4:EA4,EC4:EE4,EG4)-SUM(EB4,EF4)&gt;0,SUM(DZ4:EA4,EC4:EE4,EG4)-SUM(EB4,EF4),"")</f>
        <v>68.7</v>
      </c>
      <c r="EM4" s="12">
        <f>IF(SUM(EK4,EL4)&gt;0,SUM(EK4,EL4),"")</f>
        <v>206.70000000000005</v>
      </c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15" t="str">
        <f>IF(SUM(EO4,ES4,EW4,FA4)&gt;0,SUM(EO4,ES4,EW4,FA4),"")</f>
        <v/>
      </c>
      <c r="FM4" s="15" t="str">
        <f>IF(SUM(EN4:EO4,EQ4:ES4,EU4)-SUM(EP4,ET4)&gt;0,SUM(EN4:EO4,EQ4:ES4,EU4)-SUM(EP4,ET4),"")</f>
        <v/>
      </c>
      <c r="FN4" s="15" t="str">
        <f>IF(SUM(EV4:EW4,EY4:FA4,FC4)-SUM(EX4,FB4)&gt;0,SUM(EV4:EW4,EY4:FA4,FC4)-SUM(EX4,FB4),"")</f>
        <v/>
      </c>
      <c r="FO4" s="15" t="str">
        <f>IF(SUM(EN4:EO4,EQ4:ES4,EU4:EW4,EY4:FA4,FC4)-SUM(EP4,ET4,EX4,FB4)&gt;0,SUM(EN4:EO4,EQ4:ES4,EU4:EW4,EY4:FA4,FC4)-SUM(EP4,ET4,EX4,FB4),"")</f>
        <v/>
      </c>
      <c r="FP4" s="15" t="str">
        <f>IF(SUM(FD4:FE4,FG4:FI4,FK4)-SUM(FF4,FJ4)&gt;0,SUM(FD4:FE4,FG4:FI4,FK4)-SUM(FF4,FJ4),"")</f>
        <v/>
      </c>
      <c r="FQ4" s="15" t="str">
        <f>IF(SUM(FO4,FP4)&gt;0,SUM(FO4,FP4),"")</f>
        <v/>
      </c>
      <c r="FR4" s="51"/>
      <c r="FS4" s="51"/>
      <c r="FT4" s="51"/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12" t="str">
        <f>IF(SUM(FS4,FW4,GA4,GE4)&gt;0,SUM(FS4,FW4,GA4,GE4),"")</f>
        <v/>
      </c>
      <c r="GQ4" s="12" t="str">
        <f>IF(SUM(FR4:FS4,FU4:FW4,FY4)-SUM(FT4,FX4)&gt;0,SUM(FR4:FS4,FU4:FW4,FY4)-SUM(FT4,FX4),"")</f>
        <v/>
      </c>
      <c r="GR4" s="12" t="str">
        <f>IF(SUM(FZ4:GA4,GC4:GE4,GG4)-SUM(GB4,GF4)&gt;0,SUM(FZ4:GA4,GC4:GE4,GG4)-SUM(GB4,GF4),"")</f>
        <v/>
      </c>
      <c r="GS4" s="12" t="str">
        <f>IF(SUM(FR4:FS4,FU4:FW4,FY4:GA4,GC4:GE4,GG4)-SUM(FT4,FX4,GB4,GF4)&gt;0,SUM(FR4:FS4,FU4:FW4,FY4:GA4,GC4:GE4,GG4)-SUM(FT4,FX4,GB4,GF4),"")</f>
        <v/>
      </c>
      <c r="GT4" s="12" t="str">
        <f>IF(SUM(GH4:GI4,GK4:GM4,GO4)-SUM(GJ4,GN4)&gt;0,SUM(GH4:GI4,GK4:GM4,GO4)-SUM(GJ4,GN4),"")</f>
        <v/>
      </c>
      <c r="GU4" s="12" t="str">
        <f>IF(SUM(GS4,GT4)&gt;0,SUM(GS4,GT4),"")</f>
        <v/>
      </c>
      <c r="GV4" s="50"/>
      <c r="GW4" s="50"/>
      <c r="GX4" s="50"/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15" t="str">
        <f>IF(SUM(GW4,HA4,HE4,HI4)&gt;0,SUM(GW4,HA4,HE4,HI4),"")</f>
        <v/>
      </c>
      <c r="HU4" s="15" t="str">
        <f>IF(SUM(GV4:GW4,GY4:HA4,HC4)-SUM(GX4,HB4)&gt;0,SUM(GV4:GW4,GY4:HA4,HC4)-SUM(GX4,HB4),"")</f>
        <v/>
      </c>
      <c r="HV4" s="15" t="str">
        <f>IF(SUM(HD4:HE4,HG4:HI4,HK4)-SUM(HF4,HJ4)&gt;0,SUM(HD4:HE4,HG4:HI4,HK4)-SUM(HF4,HJ4),"")</f>
        <v/>
      </c>
      <c r="HW4" s="15" t="str">
        <f>IF(SUM(GV4:GW4,GY4:HA4,HC4:HE4,HG4:HI4,HK4)-SUM(GX4,HB4,HF4,HJ4)&gt;0,SUM(GV4:GW4,GY4:HA4,HC4:HE4,HG4:HI4,HK4)-SUM(GX4,HB4,HF4,HJ4),"")</f>
        <v/>
      </c>
      <c r="HX4" s="15" t="str">
        <f>IF(SUM(HL4:HM4,HO4:HQ4,HS4)-SUM(HN4,HR4)&gt;0,SUM(HL4:HM4,HO4:HQ4,HS4)-SUM(HN4,HR4),"")</f>
        <v/>
      </c>
      <c r="HY4" s="15" t="str">
        <f>IF(SUM(HW4,HX4)&gt;0,SUM(HW4,HX4),"")</f>
        <v/>
      </c>
      <c r="HZ4" s="51"/>
      <c r="IA4" s="51"/>
      <c r="IB4" s="51"/>
      <c r="IC4" s="51"/>
      <c r="ID4" s="51"/>
      <c r="IE4" s="51"/>
      <c r="IF4" s="51"/>
      <c r="IG4" s="51"/>
      <c r="IH4" s="51"/>
      <c r="II4" s="51"/>
      <c r="IJ4" s="51"/>
      <c r="IK4" s="51"/>
      <c r="IL4" s="51"/>
      <c r="IM4" s="51"/>
      <c r="IN4" s="51"/>
      <c r="IO4" s="51"/>
      <c r="IP4" s="51"/>
      <c r="IQ4" s="51"/>
      <c r="IR4" s="51"/>
      <c r="IS4" s="51"/>
      <c r="IT4" s="51"/>
      <c r="IU4" s="51"/>
      <c r="IV4" s="51"/>
      <c r="IW4" s="51"/>
      <c r="IX4" s="12" t="str">
        <f>IF(SUM(IA4,IE4,II4,IM4)&gt;0,SUM(IA4,IE4,II4,IM4),"")</f>
        <v/>
      </c>
      <c r="IY4" s="12" t="str">
        <f>IF(SUM(HZ4:IA4,IC4:IE4,IG4)-SUM(IB4,IF4)&gt;0,SUM(HZ4:IA4,IC4:IE4,IG4)-SUM(IB4,IF4),"")</f>
        <v/>
      </c>
      <c r="IZ4" s="12" t="str">
        <f>IF(SUM(IH4:II4,IK4:IM4,IO4)-SUM(IJ4,IN4)&gt;0,SUM(IH4:II4,IK4:IM4,IO4)-SUM(IJ4,IN4),"")</f>
        <v/>
      </c>
      <c r="JA4" s="12" t="str">
        <f>IF(SUM(HZ4:IA4,IC4:IE4,IG4:II4,IK4:IM4,IO4)-SUM(IB4,IF4,IJ4,IN4)&gt;0,SUM(HZ4:IA4,IC4:IE4,IG4:II4,IK4:IM4,IO4)-SUM(IB4,IF4,IJ4,IN4),"")</f>
        <v/>
      </c>
      <c r="JB4" s="12" t="str">
        <f>IF(SUM(IP4:IQ4,IS4:IU4,IW4)-SUM(IR4,IV4)&gt;0,SUM(IP4:IQ4,IS4:IU4,IW4)-SUM(IR4,IV4),"")</f>
        <v/>
      </c>
      <c r="JC4" s="12" t="str">
        <f>IF(SUM(JA4,JB4)&gt;0,SUM(JA4,JB4),"")</f>
        <v/>
      </c>
      <c r="JD4" s="50"/>
      <c r="JE4" s="50"/>
      <c r="JF4" s="50"/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JX4" s="50"/>
      <c r="JY4" s="50"/>
      <c r="JZ4" s="50"/>
      <c r="KA4" s="50"/>
      <c r="KB4" s="15" t="str">
        <f>IF(SUM(JE4,JI4,JM4,JQ4)&gt;0,SUM(JE4,JI4,JM4,JQ4),"")</f>
        <v/>
      </c>
      <c r="KC4" s="15" t="str">
        <f>IF(SUM(JD4:JE4,JG4:JI4,JK4)-SUM(JF4,JJ4)&gt;0,SUM(JD4:JE4,JG4:JI4,JK4)-SUM(JF4,JJ4),"")</f>
        <v/>
      </c>
      <c r="KD4" s="15" t="str">
        <f>IF(SUM(JL4:JM4,JO4:JQ4,JS4)-SUM(JN4,JR4)&gt;0,SUM(JL4:JM4,JO4:JQ4,JS4)-SUM(JN4,JR4),"")</f>
        <v/>
      </c>
      <c r="KE4" s="15" t="str">
        <f>IF(SUM(JD4:JE4,JG4:JI4,JK4:JM4,JO4:JQ4,JS4)-SUM(JF4,JJ4,JN4,JR4)&gt;0,SUM(JD4:JE4,JG4:JI4,JK4:JM4,JO4:JQ4,JS4)-SUM(JF4,JJ4,JN4,JR4),"")</f>
        <v/>
      </c>
      <c r="KF4" s="15" t="str">
        <f>IF(SUM(JT4:JU4,JW4:JY4,KA4)-SUM(JV4,JZ4)&gt;0,SUM(JT4:JU4,JW4:JY4,KA4)-SUM(JV4,JZ4),"")</f>
        <v/>
      </c>
      <c r="KG4" s="15" t="str">
        <f>IF(SUM(KE4,KF4)&gt;0,SUM(KE4,KF4),"")</f>
        <v/>
      </c>
      <c r="KH4" s="51"/>
      <c r="KI4" s="51"/>
      <c r="KJ4" s="51"/>
      <c r="KK4" s="51"/>
      <c r="KL4" s="51"/>
      <c r="KM4" s="51"/>
      <c r="KN4" s="51"/>
      <c r="KO4" s="51"/>
      <c r="KP4" s="51"/>
      <c r="KQ4" s="51"/>
      <c r="KR4" s="51"/>
      <c r="KS4" s="51"/>
      <c r="KT4" s="51"/>
      <c r="KU4" s="51"/>
      <c r="KV4" s="51"/>
      <c r="KW4" s="51"/>
      <c r="KX4" s="51"/>
      <c r="KY4" s="51"/>
      <c r="KZ4" s="51"/>
      <c r="LA4" s="51"/>
      <c r="LB4" s="51"/>
      <c r="LC4" s="51"/>
      <c r="LD4" s="51"/>
      <c r="LE4" s="51"/>
      <c r="LF4" s="12" t="str">
        <f>IF(SUM(KI4,KM4,KQ4,KU4)&gt;0,SUM(KI4,KM4,KQ4,KU4),"")</f>
        <v/>
      </c>
      <c r="LG4" s="12" t="str">
        <f>IF(SUM(KH4:KI4,KK4:KM4,KO4)-SUM(KJ4,KN4)&gt;0,SUM(KH4:KI4,KK4:KM4,KO4)-SUM(KJ4,KN4),"")</f>
        <v/>
      </c>
      <c r="LH4" s="12" t="str">
        <f>IF(SUM(KP4:KQ4,KS4:KU4,KW4)-SUM(KR4,KV4)&gt;0,SUM(KP4:KQ4,KS4:KU4,KW4)-SUM(KR4,KV4),"")</f>
        <v/>
      </c>
      <c r="LI4" s="12" t="str">
        <f>IF(SUM(KH4:KI4,KK4:KM4,KO4:KQ4,KS4:KU4,KW4)-SUM(KJ4,KN4,KR4,KV4)&gt;0,SUM(KH4:KI4,KK4:KM4,KO4:KQ4,KS4:KU4,KW4)-SUM(KJ4,KN4,KR4,KV4),"")</f>
        <v/>
      </c>
      <c r="LJ4" s="12" t="str">
        <f>IF(SUM(KX4:KY4,LA4:LC4,LE4)-SUM(KZ4,LD4)&gt;0,SUM(KX4:KY4,LA4:LC4,LE4)-SUM(KZ4,LD4),"")</f>
        <v/>
      </c>
      <c r="LK4" s="12" t="str">
        <f>IF(SUM(LI4,LJ4)&gt;0,SUM(LI4,LJ4),"")</f>
        <v/>
      </c>
      <c r="LL4" s="50"/>
      <c r="LM4" s="50"/>
      <c r="LN4" s="50"/>
      <c r="LO4" s="50"/>
      <c r="LP4" s="50"/>
      <c r="LQ4" s="50"/>
      <c r="LR4" s="50"/>
      <c r="LS4" s="50"/>
      <c r="LT4" s="50"/>
      <c r="LU4" s="50"/>
      <c r="LV4" s="50"/>
      <c r="LW4" s="50"/>
      <c r="LX4" s="50"/>
      <c r="LY4" s="50"/>
      <c r="LZ4" s="50"/>
      <c r="MA4" s="50"/>
      <c r="MB4" s="50"/>
      <c r="MC4" s="50"/>
      <c r="MD4" s="50"/>
      <c r="ME4" s="50"/>
      <c r="MF4" s="50"/>
      <c r="MG4" s="50"/>
      <c r="MH4" s="50"/>
      <c r="MI4" s="50"/>
      <c r="MJ4" s="15" t="str">
        <f>IF(SUM(LM4,LQ4,LU4,LY4)&gt;0,SUM(LM4,LQ4,LU4,LY4),"")</f>
        <v/>
      </c>
      <c r="MK4" s="15" t="str">
        <f>IF(SUM(LL4:LM4,LO4:LQ4,LS4)-SUM(LN4,LR4)&gt;0,SUM(LL4:LM4,LO4:LQ4,LS4)-SUM(LN4,LR4),"")</f>
        <v/>
      </c>
      <c r="ML4" s="15" t="str">
        <f>IF(SUM(LT4:LU4,LW4:LY4,MA4)-SUM(LV4,LZ4)&gt;0,SUM(LT4:LU4,LW4:LY4,MA4)-SUM(LV4,LZ4),"")</f>
        <v/>
      </c>
      <c r="MM4" s="15" t="str">
        <f>IF(SUM(LL4:LM4,LO4:LQ4,LS4:LU4,LW4:LY4,MA4)-SUM(LN4,LR4,LV4,LZ4)&gt;0,SUM(LL4:LM4,LO4:LQ4,LS4:LU4,LW4:LY4,MA4)-SUM(LN4,LR4,LV4,LZ4),"")</f>
        <v/>
      </c>
      <c r="MN4" s="15" t="str">
        <f>IF(SUM(MB4:MC4,ME4:MG4,MI4)-SUM(MD4,MH4)&gt;0,SUM(MB4:MC4,ME4:MG4,MI4)-SUM(MD4,MH4),"")</f>
        <v/>
      </c>
      <c r="MO4" s="15" t="str">
        <f>IF(SUM(MM4,MN4)&gt;0,SUM(MM4,MN4),"")</f>
        <v/>
      </c>
      <c r="MP4" s="51"/>
      <c r="MQ4" s="51"/>
      <c r="MR4" s="51"/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12" t="str">
        <f>IF(SUM(MQ4,MU4,MY4,NC4)&gt;0,SUM(MQ4,MU4,MY4,NC4),"")</f>
        <v/>
      </c>
      <c r="NO4" s="12" t="str">
        <f>IF(SUM(MP4:MQ4,MS4:MU4,MW4)-SUM(MR4,MV4)&gt;0,SUM(MP4:MQ4,MS4:MU4,MW4)-SUM(MR4,MV4),"")</f>
        <v/>
      </c>
      <c r="NP4" s="12" t="str">
        <f>IF(SUM(MX4:MY4,NA4:NC4,NE4)-SUM(MZ4,ND4)&gt;0,SUM(MX4:MY4,NA4:NC4,NE4)-SUM(MZ4,ND4),"")</f>
        <v/>
      </c>
      <c r="NQ4" s="12" t="str">
        <f>IF(SUM(MP4:MQ4,MS4:MU4,MW4:MY4,NA4:NC4,NE4)-SUM(MR4,MV4,MZ4,ND4)&gt;0,SUM(MP4:MQ4,MS4:MU4,MW4:MY4,NA4:NC4,NE4)-SUM(MR4,MV4,MZ4,ND4),"")</f>
        <v/>
      </c>
      <c r="NR4" s="12" t="str">
        <f>IF(SUM(NF4:NG4,NI4:NK4,NM4)-SUM(NH4,NL4)&gt;0,SUM(NF4:NG4,NI4:NK4,NM4)-SUM(NH4,NL4),"")</f>
        <v/>
      </c>
      <c r="NS4" s="12" t="str">
        <f>IF(SUM(NQ4,NR4)&gt;0,SUM(NQ4,NR4),"")</f>
        <v/>
      </c>
      <c r="NT4" s="50"/>
      <c r="NU4" s="50"/>
      <c r="NV4" s="50"/>
      <c r="NW4" s="50"/>
      <c r="NX4" s="50"/>
      <c r="NY4" s="50"/>
      <c r="NZ4" s="50"/>
      <c r="OA4" s="50"/>
      <c r="OB4" s="50"/>
      <c r="OC4" s="50"/>
      <c r="OD4" s="50"/>
      <c r="OE4" s="50"/>
      <c r="OF4" s="50"/>
      <c r="OG4" s="50"/>
      <c r="OH4" s="50"/>
      <c r="OI4" s="50"/>
      <c r="OJ4" s="50"/>
      <c r="OK4" s="50"/>
      <c r="OL4" s="50"/>
      <c r="OM4" s="50"/>
      <c r="ON4" s="50"/>
      <c r="OO4" s="50"/>
      <c r="OP4" s="50"/>
      <c r="OQ4" s="50"/>
      <c r="OR4" s="15" t="str">
        <f>IF(SUM(NU4,NY4,OC4,OG4)&gt;0,SUM(NU4,NY4,OC4,OG4),"")</f>
        <v/>
      </c>
      <c r="OS4" s="15" t="str">
        <f>IF(SUM(NT4:NU4,NW4:NY4,OA4)-SUM(NV4,NZ4)&gt;0,SUM(NT4:NU4,NW4:NY4,OA4)-SUM(NV4,NZ4),"")</f>
        <v/>
      </c>
      <c r="OT4" s="15" t="str">
        <f>IF(SUM(OB4:OC4,OE4:OG4,OI4)-SUM(OD4,OH4)&gt;0,SUM(OB4:OC4,OE4:OG4,OI4)-SUM(OD4,OH4),"")</f>
        <v/>
      </c>
      <c r="OU4" s="15" t="str">
        <f>IF(SUM(NT4:NU4,NW4:NY4,OA4:OC4,OE4:OG4,OI4)-SUM(NV4,NZ4,OD4,OH4)&gt;0,SUM(NT4:NU4,NW4:NY4,OA4:OC4,OE4:OG4,OI4)-SUM(NV4,NZ4,OD4,OH4),"")</f>
        <v/>
      </c>
      <c r="OV4" s="15" t="str">
        <f>IF(SUM(OJ4:OK4,OM4:OO4,OQ4)-SUM(OL4,OP4)&gt;0,SUM(OJ4:OK4,OM4:OO4,OQ4)-SUM(OL4,OP4),"")</f>
        <v/>
      </c>
      <c r="OW4" s="15" t="str">
        <f>IF(SUM(OU4,OV4)&gt;0,SUM(OU4,OV4),"")</f>
        <v/>
      </c>
      <c r="OX4" s="51"/>
      <c r="OY4" s="51"/>
      <c r="OZ4" s="51"/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12" t="str">
        <f>IF(SUM(OY4,PC4,PG4,PK4)&gt;0,SUM(OY4,PC4,PG4,PK4),"")</f>
        <v/>
      </c>
      <c r="PW4" s="12" t="str">
        <f>IF(SUM(OX4:OY4,PA4:PC4,PE4)-SUM(OZ4,PD4)&gt;0,SUM(OX4:OY4,PA4:PC4,PE4)-SUM(OZ4,PD4),"")</f>
        <v/>
      </c>
      <c r="PX4" s="12" t="str">
        <f>IF(SUM(PF4:PG4,PI4:PK4,PM4)-SUM(PH4,PL4)&gt;0,SUM(PF4:PG4,PI4:PK4,PM4)-SUM(PH4,PL4),"")</f>
        <v/>
      </c>
      <c r="PY4" s="12" t="str">
        <f>IF(SUM(OX4:OY4,PA4:PC4,PE4:PG4,PI4:PK4,PM4)-SUM(OZ4,PD4,PH4,PL4)&gt;0,SUM(OX4:OY4,PA4:PC4,PE4:PG4,PI4:PK4,PM4)-SUM(OZ4,PD4,PH4,PL4),"")</f>
        <v/>
      </c>
      <c r="PZ4" s="12" t="str">
        <f>IF(SUM(PN4:PO4,PQ4:PS4,PU4)-SUM(PP4,PT4)&gt;0,SUM(PN4:PO4,PQ4:PS4,PU4)-SUM(PP4,PT4),"")</f>
        <v/>
      </c>
      <c r="QA4" s="12" t="str">
        <f>IF(SUM(PY4,PZ4)&gt;0,SUM(PY4,PZ4),"")</f>
        <v/>
      </c>
      <c r="QB4" s="50"/>
      <c r="QC4" s="50"/>
      <c r="QD4" s="50"/>
      <c r="QE4" s="50"/>
      <c r="QF4" s="50"/>
      <c r="QG4" s="50"/>
      <c r="QH4" s="50"/>
      <c r="QI4" s="50"/>
      <c r="QJ4" s="50"/>
      <c r="QK4" s="50"/>
      <c r="QL4" s="50"/>
      <c r="QM4" s="50"/>
      <c r="QN4" s="50"/>
      <c r="QO4" s="50"/>
      <c r="QP4" s="50"/>
      <c r="QQ4" s="50"/>
      <c r="QR4" s="50"/>
      <c r="QS4" s="50"/>
      <c r="QT4" s="50"/>
      <c r="QU4" s="50"/>
      <c r="QV4" s="50"/>
      <c r="QW4" s="50"/>
      <c r="QX4" s="50"/>
      <c r="QY4" s="50"/>
      <c r="QZ4" s="15" t="str">
        <f>IF(SUM(QC4,QG4,QK4,QO4)&gt;0,SUM(QC4,QG4,QK4,QO4),"")</f>
        <v/>
      </c>
      <c r="RA4" s="15" t="str">
        <f>IF(SUM(QB4:QC4,QE4:QG4,QI4)-SUM(QD4,QH4)&gt;0,SUM(QB4:QC4,QE4:QG4,QI4)-SUM(QD4,QH4),"")</f>
        <v/>
      </c>
      <c r="RB4" s="15" t="str">
        <f>IF(SUM(QJ4:QK4,QM4:QO4,QQ4)-SUM(QL4,QP4)&gt;0,SUM(QJ4:QK4,QM4:QO4,QQ4)-SUM(QL4,QP4),"")</f>
        <v/>
      </c>
      <c r="RC4" s="15" t="str">
        <f>IF(SUM(QB4:QC4,QE4:QG4,QI4:QK4,QM4:QO4,QQ4)-SUM(QD4,QH4,QL4,QP4)&gt;0,SUM(QB4:QC4,QE4:QG4,QI4:QK4,QM4:QO4,QQ4)-SUM(QD4,QH4,QL4,QP4),"")</f>
        <v/>
      </c>
      <c r="RD4" s="15" t="str">
        <f>IF(SUM(QR4:QS4,QU4:QW4,QY4)-SUM(QT4,QX4)&gt;0,SUM(QR4:QS4,QU4:QW4,QY4)-SUM(QT4,QX4),"")</f>
        <v/>
      </c>
      <c r="RE4" s="15" t="str">
        <f>IF(SUM(RC4,RD4)&gt;0,SUM(RC4,RD4),"")</f>
        <v/>
      </c>
    </row>
    <row r="5" spans="1:473">
      <c r="A5" s="6">
        <f>IF(AND(F5="P",H5="P"),SUMPRODUCT((F$4:F$14="P")*(H$4:H$14="P")*(E$4:E$14&gt;E5))+1,IF(H5="P",SUMPRODUCT((F$4:F$14="")*(H$4:H$14="P")*(E$4:E$14&gt;E5))+1+SUMPRODUCT((F$4:F$14="P")*(H$4:H$14="P")),""))</f>
        <v>2</v>
      </c>
      <c r="B5" s="9" t="s">
        <v>94</v>
      </c>
      <c r="C5" s="5" t="s">
        <v>5</v>
      </c>
      <c r="D5" s="6">
        <v>2001</v>
      </c>
      <c r="E5" s="16">
        <f>SUM(J5:R5)</f>
        <v>339.1</v>
      </c>
      <c r="F5" s="4" t="str">
        <f>IF(OR(AND($AS5&gt;=$AT$17,NOT($AS5="")),AND($BW5&gt;=$BX$17,NOT($BW5="")),AND($DA5&gt;=$DB$17,NOT($DA5=""))),"P","")</f>
        <v>P</v>
      </c>
      <c r="G5" s="4" t="str">
        <f>IF(OR(AND($AS5&gt;=$AT$18,NOT($AS5="")),AND($BW5&gt;=$BX$18,NOT($BW5="")),AND($DA5&gt;=$DB$18,NOT($DA5=""))),"P","")</f>
        <v/>
      </c>
      <c r="H5" s="4" t="str">
        <f>IF(OR(AND($AV5&gt;=$AT$19,NOT($AV5="")),AND($BZ5&gt;=$BX$19,NOT($BZ5="")),AND($DD5&gt;=$DB$19,NOT($DD5=""))),"P","")</f>
        <v>P</v>
      </c>
      <c r="I5" t="str">
        <f>IF(AND(F5="P",OR(AND($AV5&gt;=$AT$22,NOT($AV5="")),AND($BZ5&gt;=$BX$22,NOT($BZ5="")),AND($DD5&gt;=$DB$22,NOT($DD5="")))),"Merit",IF(AND(F5="P",OR(AND($AV5&gt;=$AT$21,NOT($AV5="")),AND($BZ5&gt;=$BX$21,NOT($BZ5="")),AND($DD5&gt;=$DB$21,NOT($DD5="")))),"Funding",IF(AND(F5="P",OR(AND($AV5&gt;=$AT$20,NOT($AV5="")),AND($BZ5&gt;=$BX$20,NOT($BZ5="")),AND($DD5&gt;=$DB$20,NOT($DD5="")))),"Worlds Team",IF(AND(F5="P",OR(AND($AV5&gt;=$AT$19,NOT($AV5="")),AND($BZ5&gt;=$BX$19,NOT($BZ5="")),AND($DD5&gt;=$DB$19,NOT($DD5="")))),"National Team",""))))</f>
        <v>National Team</v>
      </c>
      <c r="J5" s="15">
        <f>MAX(AV5,BZ5,DD5)</f>
        <v>137.30000000000004</v>
      </c>
      <c r="K5" s="15" t="str">
        <f>IF(J5=DD5,$CC$1,IF(J5=BZ5,$AY$1,IF(J5=AV5,$U$1,"")))</f>
        <v>2017 Canada Cup</v>
      </c>
      <c r="L5" s="15">
        <f>IF($J5=$AV5,MAX(BX5,DB5),IF($J5=$BZ5,MAX(AT5,DB5),MAX(AT5,BX5)))</f>
        <v>55.599999999999994</v>
      </c>
      <c r="M5" s="15" t="str">
        <f>IF(L5=DB5,$CC$1,IF(L5=BX5,$AY$1,IF(L5=AT5,$U$1,"")))</f>
        <v>2018 Canada Cup</v>
      </c>
      <c r="N5" s="15">
        <f>IF($J5=$AV5,MAX(BY5,DC5),IF($J5=$BZ5,MAX(AU5,DC5),MAX(AU5,BY5)))</f>
        <v>66.599999999999994</v>
      </c>
      <c r="O5" s="15" t="str">
        <f>IF(N5=DC5,$CC$1,IF(N5=BY5,$AY$1,IF(N5=AU5,$U$1,"")))</f>
        <v>2018 Canada Cup</v>
      </c>
      <c r="P5" s="15">
        <f>MAX(AW5,CA5,DE5)</f>
        <v>67.599999999999994</v>
      </c>
      <c r="Q5" s="15" t="str">
        <f>IF(P5=DE5,$CC$1,IF(P5=CA5,$AY$1,IF(P5=AW5,$U$1,"")))</f>
        <v>2018 Canada Cup</v>
      </c>
      <c r="R5" s="15">
        <f>IF(MAX(DG5:DI5)&gt;0,MAX(DG5:DI5),"")</f>
        <v>12.000000000000014</v>
      </c>
      <c r="S5" s="29" t="str">
        <f>IF(R5="","",IF(R5=DG5,"(Pass 1-2)",IF(R5=DH5,"(Pass 3-4)",IF(R5=DI5,"(Final)"))))</f>
        <v>(Pass 1-2)</v>
      </c>
      <c r="T5" s="15" t="str">
        <f>IF(R5="","",IF(R5=DG5,IF(R5+L5=RA5,$QB$1,IF(R5+L5=PW5,$OX$1,IF(R5+L5=OS5,$NT$1,IF(R5+L5=NO5,$MP$1,IF(R5+L5=MK5,$LL$1,IF(R5+L5=LG5,$KH$1,IF(R5+L5=KC5,$JD$1,IF(R5+L5=IY5,$HZ$1,IF(R5+L5=HU5,$GV$1,IF(R5+L5=GQ5,$FR$1,IF(R5+L5=FM5,$EN$1,IF(R5+L5=EI5,$DJ$1)))))))))))),IF(R5=DH5,IF(R5+N5=RB5,$QB$1,IF(R5+N5=PX5,$OX$1,IF(R5+N5=OT5,$NT$1,IF(R5+N5=NP5,$MP$1,IF(R5+N5=ML5,$LL$1,IF(R5+N5=LH5,$KH$1,IF(R5+N5=KD5,$JD$1,IF(R5+N5=IZ5,$HZ$1,IF(R5+N5=HV5,$GV$1,IF(R5+N5=GR5,$FR$1,IF(R5+N5=FN5,$EN$1,IF(R5+N5=EJ5,$DJ$1)))))))))))),IF(R5=DI5,IF(R5+P5=RD5,$QB$1,IF(R5+P5=PZ5,$OX$1,IF(R5+P5=OV5,$NT$1,IF(R5+P5=NR5,$MP$1,IF(R5+P5=MN5,$LL$1,IF(R5+P5=LJ5,$KH$1,IF(R5+P5=KF5,$JD$1,IF(R5+P5=JB5,$HZ$1,IF(R5+P5=HX5,$GV$1,IF(R5+P5=GT5,$FR$1,IF(R5+P5=FP5,$EN$1,IF(R5+P5=EL5,$DJ$1))))))))))))))))</f>
        <v>World Age Group Championships (Nov)</v>
      </c>
      <c r="U5" s="76">
        <v>28.5</v>
      </c>
      <c r="V5" s="76">
        <v>7.2</v>
      </c>
      <c r="W5" s="76">
        <v>0.3</v>
      </c>
      <c r="X5" s="76">
        <v>0</v>
      </c>
      <c r="Y5" s="76">
        <v>27.9</v>
      </c>
      <c r="Z5" s="76">
        <v>6.8</v>
      </c>
      <c r="AA5" s="76">
        <v>0.9</v>
      </c>
      <c r="AB5" s="76">
        <v>0</v>
      </c>
      <c r="AC5" s="76">
        <v>28.5</v>
      </c>
      <c r="AD5" s="76">
        <v>5.2</v>
      </c>
      <c r="AE5" s="76">
        <v>0</v>
      </c>
      <c r="AF5" s="76">
        <v>0</v>
      </c>
      <c r="AG5" s="76">
        <v>28.5</v>
      </c>
      <c r="AH5" s="76">
        <v>6.8</v>
      </c>
      <c r="AI5" s="76">
        <v>0.9</v>
      </c>
      <c r="AJ5" s="76">
        <v>0</v>
      </c>
      <c r="AK5" s="76">
        <v>27.2</v>
      </c>
      <c r="AL5" s="76">
        <v>6</v>
      </c>
      <c r="AM5" s="76">
        <v>0.9</v>
      </c>
      <c r="AN5" s="76">
        <v>0</v>
      </c>
      <c r="AO5" s="76">
        <v>28.6</v>
      </c>
      <c r="AP5" s="76">
        <v>6.4</v>
      </c>
      <c r="AQ5" s="76">
        <v>0</v>
      </c>
      <c r="AR5" s="76">
        <v>0</v>
      </c>
      <c r="AS5" s="12">
        <f>IF(SUM(V5,Z5,AD5,AH5)&gt;0,SUM(V5,Z5,AD5,AH5),"")</f>
        <v>26</v>
      </c>
      <c r="AT5" s="12">
        <f>IF(SUM(U5:V5,X5:Z5,AB5)-SUM(W5,AA5)&gt;0,SUM(U5:V5,X5:Z5,AB5)-SUM(W5,AA5),"")</f>
        <v>69.2</v>
      </c>
      <c r="AU5" s="12">
        <f>IF(SUM(AC5:AD5,AF5:AH5,AJ5)-SUM(AE5,AI5)&gt;0,SUM(AC5:AD5,AF5:AH5,AJ5)-SUM(AE5,AI5),"")</f>
        <v>68.099999999999994</v>
      </c>
      <c r="AV5" s="12">
        <f>IF(SUM(U5:V5,X5:Z5,AB5:AD5,AF5:AH5,AJ5)-SUM(W5,AA5,AE5,AI5)&gt;0,SUM(U5:V5,X5:Z5,AB5:AD5,AF5:AH5,AJ5)-SUM(W5,AA5,AE5,AI5),"")</f>
        <v>137.30000000000004</v>
      </c>
      <c r="AW5" s="12">
        <f>IF(SUM(AK5:AL5,AN5:AP5,AR5)-SUM(AM5,AQ5)&gt;0,SUM(AK5:AL5,AN5:AP5,AR5)-SUM(AM5,AQ5),"")</f>
        <v>67.3</v>
      </c>
      <c r="AX5" s="12">
        <f>IF(SUM(AV5,AW5)&gt;0,SUM(AV5,AW5),"")</f>
        <v>204.60000000000002</v>
      </c>
      <c r="AY5" s="46">
        <v>20.3</v>
      </c>
      <c r="AZ5" s="46">
        <v>2.4</v>
      </c>
      <c r="BA5" s="46">
        <v>0</v>
      </c>
      <c r="BB5" s="46">
        <v>0</v>
      </c>
      <c r="BC5" s="46">
        <v>27</v>
      </c>
      <c r="BD5" s="46">
        <v>5.6</v>
      </c>
      <c r="BE5" s="46">
        <v>0</v>
      </c>
      <c r="BF5" s="46">
        <v>0</v>
      </c>
      <c r="BG5" s="46">
        <v>27.4</v>
      </c>
      <c r="BH5" s="46">
        <v>4.4000000000000004</v>
      </c>
      <c r="BI5" s="46">
        <v>0.9</v>
      </c>
      <c r="BJ5" s="46">
        <v>0</v>
      </c>
      <c r="BK5" s="46">
        <v>19.8</v>
      </c>
      <c r="BL5" s="46">
        <v>3.2</v>
      </c>
      <c r="BM5" s="46">
        <v>0</v>
      </c>
      <c r="BN5" s="46">
        <v>0</v>
      </c>
      <c r="BO5" s="46"/>
      <c r="BP5" s="46"/>
      <c r="BQ5" s="46"/>
      <c r="BR5" s="46"/>
      <c r="BS5" s="46"/>
      <c r="BT5" s="46"/>
      <c r="BU5" s="46"/>
      <c r="BV5" s="46"/>
      <c r="BW5" s="15">
        <f>IF(SUM(AZ5,BD5,BH5,BL5)&gt;0,SUM(AZ5,BD5,BH5,BL5),"")</f>
        <v>15.600000000000001</v>
      </c>
      <c r="BX5" s="15">
        <f>IF(SUM(AY5:AZ5,BB5:BD5,BF5)-SUM(BA5,BE5)&gt;0,SUM(AY5:AZ5,BB5:BD5,BF5)-SUM(BA5,BE5),"")</f>
        <v>55.300000000000004</v>
      </c>
      <c r="BY5" s="15">
        <f>IF(SUM(BG5:BH5,BJ5:BL5,BN5)-SUM(BI5,BM5)&gt;0,SUM(BG5:BH5,BJ5:BL5,BN5)-SUM(BI5,BM5),"")</f>
        <v>53.9</v>
      </c>
      <c r="BZ5" s="15">
        <f>IF(SUM(AY5:AZ5,BB5:BD5,BF5:BH5,BJ5:BL5,BN5)-SUM(BA5,BE5,BI5,BM5)&gt;0,SUM(AY5:AZ5,BB5:BD5,BF5:BH5,BJ5:BL5,BN5)-SUM(BA5,BE5,BI5,BM5),"")</f>
        <v>109.2</v>
      </c>
      <c r="CA5" s="15" t="str">
        <f>IF(SUM(BO5:BP5,BR5:BT5,BV5)-SUM(BQ5,BU5)&gt;0,SUM(BO5:BP5,BR5:BT5,BV5)-SUM(BQ5,BU5),"")</f>
        <v/>
      </c>
      <c r="CB5" s="15">
        <f>IF(SUM(BZ5,CA5)&gt;0,SUM(BZ5,CA5),"")</f>
        <v>109.2</v>
      </c>
      <c r="CC5" s="45">
        <v>20.5</v>
      </c>
      <c r="CD5" s="45">
        <v>2.4</v>
      </c>
      <c r="CE5" s="45">
        <v>0</v>
      </c>
      <c r="CF5" s="45">
        <v>0</v>
      </c>
      <c r="CG5" s="45">
        <v>27.2</v>
      </c>
      <c r="CH5" s="45">
        <v>6.4</v>
      </c>
      <c r="CI5" s="45">
        <v>0.9</v>
      </c>
      <c r="CJ5" s="45">
        <v>0</v>
      </c>
      <c r="CK5" s="45">
        <v>27.3</v>
      </c>
      <c r="CL5" s="45">
        <v>6</v>
      </c>
      <c r="CM5" s="45">
        <v>0</v>
      </c>
      <c r="CN5" s="45">
        <v>0</v>
      </c>
      <c r="CO5" s="45">
        <v>28</v>
      </c>
      <c r="CP5" s="45">
        <v>5.6</v>
      </c>
      <c r="CQ5" s="45">
        <v>0.3</v>
      </c>
      <c r="CR5" s="45">
        <v>0</v>
      </c>
      <c r="CS5" s="45">
        <v>27.5</v>
      </c>
      <c r="CT5" s="45">
        <v>7.3</v>
      </c>
      <c r="CU5" s="45">
        <v>0.3</v>
      </c>
      <c r="CV5" s="45">
        <v>0</v>
      </c>
      <c r="CW5" s="45">
        <v>27.5</v>
      </c>
      <c r="CX5" s="45">
        <v>6.8</v>
      </c>
      <c r="CY5" s="45">
        <v>1.2</v>
      </c>
      <c r="CZ5" s="45">
        <v>0</v>
      </c>
      <c r="DA5" s="12">
        <f>IF(SUM(CD5,CH5,CL5,CP5)&gt;0,SUM(CD5,CH5,CL5,CP5),"")</f>
        <v>20.399999999999999</v>
      </c>
      <c r="DB5" s="12">
        <f>IF(SUM(CC5:CD5,CF5:CH5,CJ5)-SUM(CE5,CI5)&gt;0,SUM(CC5:CD5,CF5:CH5,CJ5)-SUM(CE5,CI5),"")</f>
        <v>55.599999999999994</v>
      </c>
      <c r="DC5" s="12">
        <f>IF(SUM(CK5:CL5,CN5:CP5,CR5)-SUM(CM5,CQ5)&gt;0,SUM(CK5:CL5,CN5:CP5,CR5)-SUM(CM5,CQ5),"")</f>
        <v>66.599999999999994</v>
      </c>
      <c r="DD5" s="12">
        <f>IF(SUM(CC5:CD5,CF5:CH5,CJ5:CL5,CN5:CP5,CR5)-SUM(CE5,CI5,CM5,CQ5)&gt;0,SUM(CC5:CD5,CF5:CH5,CJ5:CL5,CN5:CP5,CR5)-SUM(CE5,CI5,CM5,CQ5),"")</f>
        <v>122.19999999999999</v>
      </c>
      <c r="DE5" s="12">
        <f>IF(SUM(CS5:CT5,CV5:CX5,CZ5)-SUM(CU5,CY5)&gt;0,SUM(CS5:CT5,CV5:CX5,CZ5)-SUM(CU5,CY5),"")</f>
        <v>67.599999999999994</v>
      </c>
      <c r="DF5" s="12">
        <f>IF(SUM(DD5,DE5)&gt;0,SUM(DD5,DE5),"")</f>
        <v>189.79999999999998</v>
      </c>
      <c r="DG5" s="28">
        <f>IF(MAX(EI5,FM5,GQ5,HU5,IY5,KC5,LG5,MK5,NO5,OS5,PW5,RA5)-L5&gt;0.001,MAX(EI5,FM5,GQ5,HU5,IY5,KC5,LG5,MK5,NO5,OS5,PW5,RA5)-L5,"")</f>
        <v>12.000000000000014</v>
      </c>
      <c r="DH5" s="28" t="str">
        <f>IF(MAX(EJ5,FN5,GR5,HV5,IZ5,KD5,LH5,ML5,NP5,OT5,PX5,RB5)-N5&gt;0.001,MAX(EJ5,FN5,GR5,HV5,IZ5,KD5,LH5,ML5,NP5,OT5,PX5,RB5)-N5,"")</f>
        <v/>
      </c>
      <c r="DI5" s="28" t="str">
        <f>IF(MAX(EL5,FP5,GT5,HX5,JB5,KF5,LJ5,MN5,OV5,PZ5,RD5)-P5&gt;0.001,MAX(EL5,FP5,GT5,HX5,JB5,KF5,LJ5,MN5,OV5,PZ5,RD5)-P5,"")</f>
        <v/>
      </c>
      <c r="DJ5" s="45">
        <v>28</v>
      </c>
      <c r="DK5" s="45">
        <v>6.9</v>
      </c>
      <c r="DL5" s="45">
        <v>0.9</v>
      </c>
      <c r="DM5" s="45">
        <v>0</v>
      </c>
      <c r="DN5" s="45">
        <v>27.5</v>
      </c>
      <c r="DO5" s="45">
        <v>6.8</v>
      </c>
      <c r="DP5" s="45">
        <v>0.7</v>
      </c>
      <c r="DQ5" s="45">
        <v>0</v>
      </c>
      <c r="DR5" s="45"/>
      <c r="DS5" s="45"/>
      <c r="DT5" s="45"/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12">
        <f>IF(SUM(DK5,DO5,DS5,DW5)&gt;0,SUM(DK5,DO5,DS5,DW5),"")</f>
        <v>13.7</v>
      </c>
      <c r="EI5" s="12">
        <f>IF(SUM(DJ5:DK5,DM5:DO5,DQ5)-SUM(DL5,DP5)&gt;0,SUM(DJ5:DK5,DM5:DO5,DQ5)-SUM(DL5,DP5),"")</f>
        <v>67.600000000000009</v>
      </c>
      <c r="EJ5" s="12" t="str">
        <f>IF(SUM(DR5:DS5,DU5:DW5,DY5)-SUM(DT5,DX5)&gt;0,SUM(DR5:DS5,DU5:DW5,DY5)-SUM(DT5,DX5),"")</f>
        <v/>
      </c>
      <c r="EK5" s="12">
        <f>IF(SUM(DJ5:DK5,DM5:DO5,DQ5:DS5,DU5:DW5,DY5)-SUM(DL5,DP5,DT5,DX5)&gt;0,SUM(DJ5:DK5,DM5:DO5,DQ5:DS5,DU5:DW5,DY5)-SUM(DL5,DP5,DT5,DX5),"")</f>
        <v>67.600000000000009</v>
      </c>
      <c r="EL5" s="12" t="str">
        <f>IF(SUM(DZ5:EA5,EC5:EE5,EG5)-SUM(EB5,EF5)&gt;0,SUM(DZ5:EA5,EC5:EE5,EG5)-SUM(EB5,EF5),"")</f>
        <v/>
      </c>
      <c r="EM5" s="12">
        <f>IF(SUM(EK5,EL5)&gt;0,SUM(EK5,EL5),"")</f>
        <v>67.600000000000009</v>
      </c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  <c r="FF5" s="50"/>
      <c r="FG5" s="50"/>
      <c r="FH5" s="50"/>
      <c r="FI5" s="50"/>
      <c r="FJ5" s="50"/>
      <c r="FK5" s="50"/>
      <c r="FL5" s="15" t="str">
        <f>IF(SUM(EO5,ES5,EW5,FA5)&gt;0,SUM(EO5,ES5,EW5,FA5),"")</f>
        <v/>
      </c>
      <c r="FM5" s="15" t="str">
        <f>IF(SUM(EN5:EO5,EQ5:ES5,EU5)-SUM(EP5,ET5)&gt;0,SUM(EN5:EO5,EQ5:ES5,EU5)-SUM(EP5,ET5),"")</f>
        <v/>
      </c>
      <c r="FN5" s="15" t="str">
        <f>IF(SUM(EV5:EW5,EY5:FA5,FC5)-SUM(EX5,FB5)&gt;0,SUM(EV5:EW5,EY5:FA5,FC5)-SUM(EX5,FB5),"")</f>
        <v/>
      </c>
      <c r="FO5" s="15" t="str">
        <f>IF(SUM(EN5:EO5,EQ5:ES5,EU5:EW5,EY5:FA5,FC5)-SUM(EP5,ET5,EX5,FB5)&gt;0,SUM(EN5:EO5,EQ5:ES5,EU5:EW5,EY5:FA5,FC5)-SUM(EP5,ET5,EX5,FB5),"")</f>
        <v/>
      </c>
      <c r="FP5" s="15" t="str">
        <f>IF(SUM(FD5:FE5,FG5:FI5,FK5)-SUM(FF5,FJ5)&gt;0,SUM(FD5:FE5,FG5:FI5,FK5)-SUM(FF5,FJ5),"")</f>
        <v/>
      </c>
      <c r="FQ5" s="15" t="str">
        <f>IF(SUM(FO5,FP5)&gt;0,SUM(FO5,FP5),"")</f>
        <v/>
      </c>
      <c r="FR5" s="51"/>
      <c r="FS5" s="51"/>
      <c r="FT5" s="51"/>
      <c r="FU5" s="51"/>
      <c r="FV5" s="51"/>
      <c r="FW5" s="51"/>
      <c r="FX5" s="51"/>
      <c r="FY5" s="51"/>
      <c r="FZ5" s="51"/>
      <c r="GA5" s="51"/>
      <c r="GB5" s="51"/>
      <c r="GC5" s="51"/>
      <c r="GD5" s="51"/>
      <c r="GE5" s="51"/>
      <c r="GF5" s="51"/>
      <c r="GG5" s="51"/>
      <c r="GH5" s="51"/>
      <c r="GI5" s="51"/>
      <c r="GJ5" s="51"/>
      <c r="GK5" s="51"/>
      <c r="GL5" s="51"/>
      <c r="GM5" s="51"/>
      <c r="GN5" s="51"/>
      <c r="GO5" s="51"/>
      <c r="GP5" s="12" t="str">
        <f>IF(SUM(FS5,FW5,GA5,GE5)&gt;0,SUM(FS5,FW5,GA5,GE5),"")</f>
        <v/>
      </c>
      <c r="GQ5" s="12" t="str">
        <f>IF(SUM(FR5:FS5,FU5:FW5,FY5)-SUM(FT5,FX5)&gt;0,SUM(FR5:FS5,FU5:FW5,FY5)-SUM(FT5,FX5),"")</f>
        <v/>
      </c>
      <c r="GR5" s="12" t="str">
        <f>IF(SUM(FZ5:GA5,GC5:GE5,GG5)-SUM(GB5,GF5)&gt;0,SUM(FZ5:GA5,GC5:GE5,GG5)-SUM(GB5,GF5),"")</f>
        <v/>
      </c>
      <c r="GS5" s="12" t="str">
        <f>IF(SUM(FR5:FS5,FU5:FW5,FY5:GA5,GC5:GE5,GG5)-SUM(FT5,FX5,GB5,GF5)&gt;0,SUM(FR5:FS5,FU5:FW5,FY5:GA5,GC5:GE5,GG5)-SUM(FT5,FX5,GB5,GF5),"")</f>
        <v/>
      </c>
      <c r="GT5" s="12" t="str">
        <f>IF(SUM(GH5:GI5,GK5:GM5,GO5)-SUM(GJ5,GN5)&gt;0,SUM(GH5:GI5,GK5:GM5,GO5)-SUM(GJ5,GN5),"")</f>
        <v/>
      </c>
      <c r="GU5" s="12" t="str">
        <f>IF(SUM(GS5,GT5)&gt;0,SUM(GS5,GT5),"")</f>
        <v/>
      </c>
      <c r="GV5" s="50"/>
      <c r="GW5" s="50"/>
      <c r="GX5" s="50"/>
      <c r="GY5" s="50"/>
      <c r="GZ5" s="50"/>
      <c r="HA5" s="50"/>
      <c r="HB5" s="50"/>
      <c r="HC5" s="50"/>
      <c r="HD5" s="50"/>
      <c r="HE5" s="50"/>
      <c r="HF5" s="50"/>
      <c r="HG5" s="50"/>
      <c r="HH5" s="50"/>
      <c r="HI5" s="50"/>
      <c r="HJ5" s="50"/>
      <c r="HK5" s="50"/>
      <c r="HL5" s="50"/>
      <c r="HM5" s="50"/>
      <c r="HN5" s="50"/>
      <c r="HO5" s="50"/>
      <c r="HP5" s="50"/>
      <c r="HQ5" s="50"/>
      <c r="HR5" s="50"/>
      <c r="HS5" s="50"/>
      <c r="HT5" s="15" t="str">
        <f>IF(SUM(GW5,HA5,HE5,HI5)&gt;0,SUM(GW5,HA5,HE5,HI5),"")</f>
        <v/>
      </c>
      <c r="HU5" s="15" t="str">
        <f>IF(SUM(GV5:GW5,GY5:HA5,HC5)-SUM(GX5,HB5)&gt;0,SUM(GV5:GW5,GY5:HA5,HC5)-SUM(GX5,HB5),"")</f>
        <v/>
      </c>
      <c r="HV5" s="15" t="str">
        <f>IF(SUM(HD5:HE5,HG5:HI5,HK5)-SUM(HF5,HJ5)&gt;0,SUM(HD5:HE5,HG5:HI5,HK5)-SUM(HF5,HJ5),"")</f>
        <v/>
      </c>
      <c r="HW5" s="15" t="str">
        <f>IF(SUM(GV5:GW5,GY5:HA5,HC5:HE5,HG5:HI5,HK5)-SUM(GX5,HB5,HF5,HJ5)&gt;0,SUM(GV5:GW5,GY5:HA5,HC5:HE5,HG5:HI5,HK5)-SUM(GX5,HB5,HF5,HJ5),"")</f>
        <v/>
      </c>
      <c r="HX5" s="15" t="str">
        <f>IF(SUM(HL5:HM5,HO5:HQ5,HS5)-SUM(HN5,HR5)&gt;0,SUM(HL5:HM5,HO5:HQ5,HS5)-SUM(HN5,HR5),"")</f>
        <v/>
      </c>
      <c r="HY5" s="15" t="str">
        <f>IF(SUM(HW5,HX5)&gt;0,SUM(HW5,HX5),"")</f>
        <v/>
      </c>
      <c r="HZ5" s="51"/>
      <c r="IA5" s="51"/>
      <c r="IB5" s="51"/>
      <c r="IC5" s="51"/>
      <c r="ID5" s="51"/>
      <c r="IE5" s="51"/>
      <c r="IF5" s="51"/>
      <c r="IG5" s="51"/>
      <c r="IH5" s="51"/>
      <c r="II5" s="51"/>
      <c r="IJ5" s="51"/>
      <c r="IK5" s="51"/>
      <c r="IL5" s="51"/>
      <c r="IM5" s="51"/>
      <c r="IN5" s="51"/>
      <c r="IO5" s="51"/>
      <c r="IP5" s="51"/>
      <c r="IQ5" s="51"/>
      <c r="IR5" s="51"/>
      <c r="IS5" s="51"/>
      <c r="IT5" s="51"/>
      <c r="IU5" s="51"/>
      <c r="IV5" s="51"/>
      <c r="IW5" s="51"/>
      <c r="IX5" s="12" t="str">
        <f>IF(SUM(IA5,IE5,II5,IM5)&gt;0,SUM(IA5,IE5,II5,IM5),"")</f>
        <v/>
      </c>
      <c r="IY5" s="12" t="str">
        <f>IF(SUM(HZ5:IA5,IC5:IE5,IG5)-SUM(IB5,IF5)&gt;0,SUM(HZ5:IA5,IC5:IE5,IG5)-SUM(IB5,IF5),"")</f>
        <v/>
      </c>
      <c r="IZ5" s="12" t="str">
        <f>IF(SUM(IH5:II5,IK5:IM5,IO5)-SUM(IJ5,IN5)&gt;0,SUM(IH5:II5,IK5:IM5,IO5)-SUM(IJ5,IN5),"")</f>
        <v/>
      </c>
      <c r="JA5" s="12" t="str">
        <f>IF(SUM(HZ5:IA5,IC5:IE5,IG5:II5,IK5:IM5,IO5)-SUM(IB5,IF5,IJ5,IN5)&gt;0,SUM(HZ5:IA5,IC5:IE5,IG5:II5,IK5:IM5,IO5)-SUM(IB5,IF5,IJ5,IN5),"")</f>
        <v/>
      </c>
      <c r="JB5" s="12" t="str">
        <f>IF(SUM(IP5:IQ5,IS5:IU5,IW5)-SUM(IR5,IV5)&gt;0,SUM(IP5:IQ5,IS5:IU5,IW5)-SUM(IR5,IV5),"")</f>
        <v/>
      </c>
      <c r="JC5" s="12" t="str">
        <f>IF(SUM(JA5,JB5)&gt;0,SUM(JA5,JB5),"")</f>
        <v/>
      </c>
      <c r="JD5" s="50"/>
      <c r="JE5" s="50"/>
      <c r="JF5" s="50"/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JX5" s="50"/>
      <c r="JY5" s="50"/>
      <c r="JZ5" s="50"/>
      <c r="KA5" s="50"/>
      <c r="KB5" s="15" t="str">
        <f>IF(SUM(JE5,JI5,JM5,JQ5)&gt;0,SUM(JE5,JI5,JM5,JQ5),"")</f>
        <v/>
      </c>
      <c r="KC5" s="15" t="str">
        <f>IF(SUM(JD5:JE5,JG5:JI5,JK5)-SUM(JF5,JJ5)&gt;0,SUM(JD5:JE5,JG5:JI5,JK5)-SUM(JF5,JJ5),"")</f>
        <v/>
      </c>
      <c r="KD5" s="15" t="str">
        <f>IF(SUM(JL5:JM5,JO5:JQ5,JS5)-SUM(JN5,JR5)&gt;0,SUM(JL5:JM5,JO5:JQ5,JS5)-SUM(JN5,JR5),"")</f>
        <v/>
      </c>
      <c r="KE5" s="15" t="str">
        <f>IF(SUM(JD5:JE5,JG5:JI5,JK5:JM5,JO5:JQ5,JS5)-SUM(JF5,JJ5,JN5,JR5)&gt;0,SUM(JD5:JE5,JG5:JI5,JK5:JM5,JO5:JQ5,JS5)-SUM(JF5,JJ5,JN5,JR5),"")</f>
        <v/>
      </c>
      <c r="KF5" s="15" t="str">
        <f>IF(SUM(JT5:JU5,JW5:JY5,KA5)-SUM(JV5,JZ5)&gt;0,SUM(JT5:JU5,JW5:JY5,KA5)-SUM(JV5,JZ5),"")</f>
        <v/>
      </c>
      <c r="KG5" s="15" t="str">
        <f>IF(SUM(KE5,KF5)&gt;0,SUM(KE5,KF5),"")</f>
        <v/>
      </c>
      <c r="KH5" s="51"/>
      <c r="KI5" s="51"/>
      <c r="KJ5" s="51"/>
      <c r="KK5" s="51"/>
      <c r="KL5" s="51"/>
      <c r="KM5" s="51"/>
      <c r="KN5" s="51"/>
      <c r="KO5" s="51"/>
      <c r="KP5" s="51"/>
      <c r="KQ5" s="51"/>
      <c r="KR5" s="51"/>
      <c r="KS5" s="51"/>
      <c r="KT5" s="51"/>
      <c r="KU5" s="51"/>
      <c r="KV5" s="51"/>
      <c r="KW5" s="51"/>
      <c r="KX5" s="51"/>
      <c r="KY5" s="51"/>
      <c r="KZ5" s="51"/>
      <c r="LA5" s="51"/>
      <c r="LB5" s="51"/>
      <c r="LC5" s="51"/>
      <c r="LD5" s="51"/>
      <c r="LE5" s="51"/>
      <c r="LF5" s="12" t="str">
        <f>IF(SUM(KI5,KM5,KQ5,KU5)&gt;0,SUM(KI5,KM5,KQ5,KU5),"")</f>
        <v/>
      </c>
      <c r="LG5" s="12" t="str">
        <f>IF(SUM(KH5:KI5,KK5:KM5,KO5)-SUM(KJ5,KN5)&gt;0,SUM(KH5:KI5,KK5:KM5,KO5)-SUM(KJ5,KN5),"")</f>
        <v/>
      </c>
      <c r="LH5" s="12" t="str">
        <f>IF(SUM(KP5:KQ5,KS5:KU5,KW5)-SUM(KR5,KV5)&gt;0,SUM(KP5:KQ5,KS5:KU5,KW5)-SUM(KR5,KV5),"")</f>
        <v/>
      </c>
      <c r="LI5" s="12" t="str">
        <f>IF(SUM(KH5:KI5,KK5:KM5,KO5:KQ5,KS5:KU5,KW5)-SUM(KJ5,KN5,KR5,KV5)&gt;0,SUM(KH5:KI5,KK5:KM5,KO5:KQ5,KS5:KU5,KW5)-SUM(KJ5,KN5,KR5,KV5),"")</f>
        <v/>
      </c>
      <c r="LJ5" s="12" t="str">
        <f>IF(SUM(KX5:KY5,LA5:LC5,LE5)-SUM(KZ5,LD5)&gt;0,SUM(KX5:KY5,LA5:LC5,LE5)-SUM(KZ5,LD5),"")</f>
        <v/>
      </c>
      <c r="LK5" s="12" t="str">
        <f>IF(SUM(LI5,LJ5)&gt;0,SUM(LI5,LJ5),"")</f>
        <v/>
      </c>
      <c r="LL5" s="50"/>
      <c r="LM5" s="50"/>
      <c r="LN5" s="50"/>
      <c r="LO5" s="50"/>
      <c r="LP5" s="50"/>
      <c r="LQ5" s="50"/>
      <c r="LR5" s="50"/>
      <c r="LS5" s="50"/>
      <c r="LT5" s="50"/>
      <c r="LU5" s="50"/>
      <c r="LV5" s="50"/>
      <c r="LW5" s="50"/>
      <c r="LX5" s="50"/>
      <c r="LY5" s="50"/>
      <c r="LZ5" s="50"/>
      <c r="MA5" s="50"/>
      <c r="MB5" s="50"/>
      <c r="MC5" s="50"/>
      <c r="MD5" s="50"/>
      <c r="ME5" s="50"/>
      <c r="MF5" s="50"/>
      <c r="MG5" s="50"/>
      <c r="MH5" s="50"/>
      <c r="MI5" s="50"/>
      <c r="MJ5" s="15" t="str">
        <f>IF(SUM(LM5,LQ5,LU5,LY5)&gt;0,SUM(LM5,LQ5,LU5,LY5),"")</f>
        <v/>
      </c>
      <c r="MK5" s="15" t="str">
        <f>IF(SUM(LL5:LM5,LO5:LQ5,LS5)-SUM(LN5,LR5)&gt;0,SUM(LL5:LM5,LO5:LQ5,LS5)-SUM(LN5,LR5),"")</f>
        <v/>
      </c>
      <c r="ML5" s="15" t="str">
        <f>IF(SUM(LT5:LU5,LW5:LY5,MA5)-SUM(LV5,LZ5)&gt;0,SUM(LT5:LU5,LW5:LY5,MA5)-SUM(LV5,LZ5),"")</f>
        <v/>
      </c>
      <c r="MM5" s="15" t="str">
        <f>IF(SUM(LL5:LM5,LO5:LQ5,LS5:LU5,LW5:LY5,MA5)-SUM(LN5,LR5,LV5,LZ5)&gt;0,SUM(LL5:LM5,LO5:LQ5,LS5:LU5,LW5:LY5,MA5)-SUM(LN5,LR5,LV5,LZ5),"")</f>
        <v/>
      </c>
      <c r="MN5" s="15" t="str">
        <f>IF(SUM(MB5:MC5,ME5:MG5,MI5)-SUM(MD5,MH5)&gt;0,SUM(MB5:MC5,ME5:MG5,MI5)-SUM(MD5,MH5),"")</f>
        <v/>
      </c>
      <c r="MO5" s="15" t="str">
        <f>IF(SUM(MM5,MN5)&gt;0,SUM(MM5,MN5),"")</f>
        <v/>
      </c>
      <c r="MP5" s="51"/>
      <c r="MQ5" s="51"/>
      <c r="MR5" s="51"/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12" t="str">
        <f>IF(SUM(MQ5,MU5,MY5,NC5)&gt;0,SUM(MQ5,MU5,MY5,NC5),"")</f>
        <v/>
      </c>
      <c r="NO5" s="12" t="str">
        <f>IF(SUM(MP5:MQ5,MS5:MU5,MW5)-SUM(MR5,MV5)&gt;0,SUM(MP5:MQ5,MS5:MU5,MW5)-SUM(MR5,MV5),"")</f>
        <v/>
      </c>
      <c r="NP5" s="12" t="str">
        <f>IF(SUM(MX5:MY5,NA5:NC5,NE5)-SUM(MZ5,ND5)&gt;0,SUM(MX5:MY5,NA5:NC5,NE5)-SUM(MZ5,ND5),"")</f>
        <v/>
      </c>
      <c r="NQ5" s="12" t="str">
        <f>IF(SUM(MP5:MQ5,MS5:MU5,MW5:MY5,NA5:NC5,NE5)-SUM(MR5,MV5,MZ5,ND5)&gt;0,SUM(MP5:MQ5,MS5:MU5,MW5:MY5,NA5:NC5,NE5)-SUM(MR5,MV5,MZ5,ND5),"")</f>
        <v/>
      </c>
      <c r="NR5" s="12" t="str">
        <f>IF(SUM(NF5:NG5,NI5:NK5,NM5)-SUM(NH5,NL5)&gt;0,SUM(NF5:NG5,NI5:NK5,NM5)-SUM(NH5,NL5),"")</f>
        <v/>
      </c>
      <c r="NS5" s="12" t="str">
        <f>IF(SUM(NQ5,NR5)&gt;0,SUM(NQ5,NR5),"")</f>
        <v/>
      </c>
      <c r="NT5" s="50"/>
      <c r="NU5" s="50"/>
      <c r="NV5" s="50"/>
      <c r="NW5" s="50"/>
      <c r="NX5" s="50"/>
      <c r="NY5" s="50"/>
      <c r="NZ5" s="50"/>
      <c r="OA5" s="50"/>
      <c r="OB5" s="50"/>
      <c r="OC5" s="50"/>
      <c r="OD5" s="50"/>
      <c r="OE5" s="50"/>
      <c r="OF5" s="50"/>
      <c r="OG5" s="50"/>
      <c r="OH5" s="50"/>
      <c r="OI5" s="50"/>
      <c r="OJ5" s="50"/>
      <c r="OK5" s="50"/>
      <c r="OL5" s="50"/>
      <c r="OM5" s="50"/>
      <c r="ON5" s="50"/>
      <c r="OO5" s="50"/>
      <c r="OP5" s="50"/>
      <c r="OQ5" s="50"/>
      <c r="OR5" s="15" t="str">
        <f>IF(SUM(NU5,NY5,OC5,OG5)&gt;0,SUM(NU5,NY5,OC5,OG5),"")</f>
        <v/>
      </c>
      <c r="OS5" s="15" t="str">
        <f>IF(SUM(NT5:NU5,NW5:NY5,OA5)-SUM(NV5,NZ5)&gt;0,SUM(NT5:NU5,NW5:NY5,OA5)-SUM(NV5,NZ5),"")</f>
        <v/>
      </c>
      <c r="OT5" s="15" t="str">
        <f>IF(SUM(OB5:OC5,OE5:OG5,OI5)-SUM(OD5,OH5)&gt;0,SUM(OB5:OC5,OE5:OG5,OI5)-SUM(OD5,OH5),"")</f>
        <v/>
      </c>
      <c r="OU5" s="15" t="str">
        <f>IF(SUM(NT5:NU5,NW5:NY5,OA5:OC5,OE5:OG5,OI5)-SUM(NV5,NZ5,OD5,OH5)&gt;0,SUM(NT5:NU5,NW5:NY5,OA5:OC5,OE5:OG5,OI5)-SUM(NV5,NZ5,OD5,OH5),"")</f>
        <v/>
      </c>
      <c r="OV5" s="15" t="str">
        <f>IF(SUM(OJ5:OK5,OM5:OO5,OQ5)-SUM(OL5,OP5)&gt;0,SUM(OJ5:OK5,OM5:OO5,OQ5)-SUM(OL5,OP5),"")</f>
        <v/>
      </c>
      <c r="OW5" s="15" t="str">
        <f>IF(SUM(OU5,OV5)&gt;0,SUM(OU5,OV5),"")</f>
        <v/>
      </c>
      <c r="OX5" s="51"/>
      <c r="OY5" s="51"/>
      <c r="OZ5" s="51"/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12" t="str">
        <f>IF(SUM(OY5,PC5,PG5,PK5)&gt;0,SUM(OY5,PC5,PG5,PK5),"")</f>
        <v/>
      </c>
      <c r="PW5" s="12" t="str">
        <f>IF(SUM(OX5:OY5,PA5:PC5,PE5)-SUM(OZ5,PD5)&gt;0,SUM(OX5:OY5,PA5:PC5,PE5)-SUM(OZ5,PD5),"")</f>
        <v/>
      </c>
      <c r="PX5" s="12" t="str">
        <f>IF(SUM(PF5:PG5,PI5:PK5,PM5)-SUM(PH5,PL5)&gt;0,SUM(PF5:PG5,PI5:PK5,PM5)-SUM(PH5,PL5),"")</f>
        <v/>
      </c>
      <c r="PY5" s="12" t="str">
        <f>IF(SUM(OX5:OY5,PA5:PC5,PE5:PG5,PI5:PK5,PM5)-SUM(OZ5,PD5,PH5,PL5)&gt;0,SUM(OX5:OY5,PA5:PC5,PE5:PG5,PI5:PK5,PM5)-SUM(OZ5,PD5,PH5,PL5),"")</f>
        <v/>
      </c>
      <c r="PZ5" s="12" t="str">
        <f>IF(SUM(PN5:PO5,PQ5:PS5,PU5)-SUM(PP5,PT5)&gt;0,SUM(PN5:PO5,PQ5:PS5,PU5)-SUM(PP5,PT5),"")</f>
        <v/>
      </c>
      <c r="QA5" s="12" t="str">
        <f>IF(SUM(PY5,PZ5)&gt;0,SUM(PY5,PZ5),"")</f>
        <v/>
      </c>
      <c r="QB5" s="50"/>
      <c r="QC5" s="50"/>
      <c r="QD5" s="50"/>
      <c r="QE5" s="50"/>
      <c r="QF5" s="50"/>
      <c r="QG5" s="50"/>
      <c r="QH5" s="50"/>
      <c r="QI5" s="50"/>
      <c r="QJ5" s="50"/>
      <c r="QK5" s="50"/>
      <c r="QL5" s="50"/>
      <c r="QM5" s="50"/>
      <c r="QN5" s="50"/>
      <c r="QO5" s="50"/>
      <c r="QP5" s="50"/>
      <c r="QQ5" s="50"/>
      <c r="QR5" s="50"/>
      <c r="QS5" s="50"/>
      <c r="QT5" s="50"/>
      <c r="QU5" s="50"/>
      <c r="QV5" s="50"/>
      <c r="QW5" s="50"/>
      <c r="QX5" s="50"/>
      <c r="QY5" s="50"/>
      <c r="QZ5" s="15" t="str">
        <f>IF(SUM(QC5,QG5,QK5,QO5)&gt;0,SUM(QC5,QG5,QK5,QO5),"")</f>
        <v/>
      </c>
      <c r="RA5" s="15" t="str">
        <f>IF(SUM(QB5:QC5,QE5:QG5,QI5)-SUM(QD5,QH5)&gt;0,SUM(QB5:QC5,QE5:QG5,QI5)-SUM(QD5,QH5),"")</f>
        <v/>
      </c>
      <c r="RB5" s="15" t="str">
        <f>IF(SUM(QJ5:QK5,QM5:QO5,QQ5)-SUM(QL5,QP5)&gt;0,SUM(QJ5:QK5,QM5:QO5,QQ5)-SUM(QL5,QP5),"")</f>
        <v/>
      </c>
      <c r="RC5" s="15" t="str">
        <f>IF(SUM(QB5:QC5,QE5:QG5,QI5:QK5,QM5:QO5,QQ5)-SUM(QD5,QH5,QL5,QP5)&gt;0,SUM(QB5:QC5,QE5:QG5,QI5:QK5,QM5:QO5,QQ5)-SUM(QD5,QH5,QL5,QP5),"")</f>
        <v/>
      </c>
      <c r="RD5" s="15" t="str">
        <f>IF(SUM(QR5:QS5,QU5:QW5,QY5)-SUM(QT5,QX5)&gt;0,SUM(QR5:QS5,QU5:QW5,QY5)-SUM(QT5,QX5),"")</f>
        <v/>
      </c>
      <c r="RE5" s="15" t="str">
        <f>IF(SUM(RC5,RD5)&gt;0,SUM(RC5,RD5),"")</f>
        <v/>
      </c>
    </row>
    <row r="6" spans="1:473">
      <c r="A6" s="6">
        <f>IF(AND(F6="P",H6="P"),SUMPRODUCT((F$4:F$14="P")*(H$4:H$14="P")*(E$4:E$14&gt;E6))+1,IF(H6="P",SUMPRODUCT((F$4:F$14="")*(H$4:H$14="P")*(E$4:E$14&gt;E6))+1+SUMPRODUCT((F$4:F$14="P")*(H$4:H$14="P")),""))</f>
        <v>3</v>
      </c>
      <c r="B6" s="9" t="s">
        <v>95</v>
      </c>
      <c r="C6" s="5" t="s">
        <v>3</v>
      </c>
      <c r="D6" s="6">
        <v>2003</v>
      </c>
      <c r="E6" s="16">
        <f>SUM(J6:R6)</f>
        <v>333.59999999999997</v>
      </c>
      <c r="F6" s="4" t="str">
        <f>IF(OR(AND($AS6&gt;=$AT$17,NOT($AS6="")),AND($BW6&gt;=$BX$17,NOT($BW6="")),AND($DA6&gt;=$DB$17,NOT($DA6=""))),"P","")</f>
        <v>P</v>
      </c>
      <c r="G6" s="4" t="str">
        <f>IF(OR(AND($AS6&gt;=$AT$18,NOT($AS6="")),AND($BW6&gt;=$BX$18,NOT($BW6="")),AND($DA6&gt;=$DB$18,NOT($DA6=""))),"P","")</f>
        <v/>
      </c>
      <c r="H6" s="4" t="str">
        <f>IF(OR(AND($AV6&gt;=$AT$19,NOT($AV6="")),AND($BZ6&gt;=$BX$19,NOT($BZ6="")),AND($DD6&gt;=$DB$19,NOT($DD6=""))),"P","")</f>
        <v>P</v>
      </c>
      <c r="I6" t="str">
        <f>IF(AND(F6="P",OR(AND($AV6&gt;=$AT$22,NOT($AV6="")),AND($BZ6&gt;=$BX$22,NOT($BZ6="")),AND($DD6&gt;=$DB$22,NOT($DD6="")))),"Merit",IF(AND(F6="P",OR(AND($AV6&gt;=$AT$21,NOT($AV6="")),AND($BZ6&gt;=$BX$21,NOT($BZ6="")),AND($DD6&gt;=$DB$21,NOT($DD6="")))),"Funding",IF(AND(F6="P",OR(AND($AV6&gt;=$AT$20,NOT($AV6="")),AND($BZ6&gt;=$BX$20,NOT($BZ6="")),AND($DD6&gt;=$DB$20,NOT($DD6="")))),"Worlds Team",IF(AND(F6="P",OR(AND($AV6&gt;=$AT$19,NOT($AV6="")),AND($BZ6&gt;=$BX$19,NOT($BZ6="")),AND($DD6&gt;=$DB$19,NOT($DD6="")))),"National Team",""))))</f>
        <v>National Team</v>
      </c>
      <c r="J6" s="15">
        <f>MAX(AV6,BZ6,DD6)</f>
        <v>135</v>
      </c>
      <c r="K6" s="15" t="str">
        <f>IF(J6=DD6,$CC$1,IF(J6=BZ6,$AY$1,IF(J6=AV6,$U$1,"")))</f>
        <v>2018 Canada Cup</v>
      </c>
      <c r="L6" s="15">
        <f>IF($J6=$AV6,MAX(BX6,DB6),IF($J6=$BZ6,MAX(AT6,DB6),MAX(AT6,BX6)))</f>
        <v>67</v>
      </c>
      <c r="M6" s="15" t="str">
        <f>IF(L6=DB6,$CC$1,IF(L6=BX6,$AY$1,IF(L6=AT6,$U$1,"")))</f>
        <v>2017 Nationals</v>
      </c>
      <c r="N6" s="15">
        <f>IF($J6=$AV6,MAX(BY6,DC6),IF($J6=$BZ6,MAX(AU6,DC6),MAX(AU6,BY6)))</f>
        <v>64.400000000000006</v>
      </c>
      <c r="O6" s="15" t="str">
        <f>IF(N6=DC6,$CC$1,IF(N6=BY6,$AY$1,IF(N6=AU6,$U$1,"")))</f>
        <v>2017 Canada Cup</v>
      </c>
      <c r="P6" s="15">
        <f>MAX(AW6,CA6,DE6)</f>
        <v>67.2</v>
      </c>
      <c r="Q6" s="15" t="str">
        <f>IF(P6=DE6,$CC$1,IF(P6=CA6,$AY$1,IF(P6=AW6,$U$1,"")))</f>
        <v>2017 Nationals</v>
      </c>
      <c r="R6" s="15" t="str">
        <f>IF(MAX(DG6:DI6)&gt;0,MAX(DG6:DI6),"")</f>
        <v/>
      </c>
      <c r="S6" s="29" t="str">
        <f>IF(R6="","",IF(R6=DG6,"(Pass 1-2)",IF(R6=DH6,"(Pass 3-4)",IF(R6=DI6,"(Final)"))))</f>
        <v/>
      </c>
      <c r="T6" s="15" t="str">
        <f>IF(R6="","",IF(R6=DG6,IF(R6+L6=RA6,$QB$1,IF(R6+L6=PW6,$OX$1,IF(R6+L6=OS6,$NT$1,IF(R6+L6=NO6,$MP$1,IF(R6+L6=MK6,$LL$1,IF(R6+L6=LG6,$KH$1,IF(R6+L6=KC6,$JD$1,IF(R6+L6=IY6,$HZ$1,IF(R6+L6=HU6,$GV$1,IF(R6+L6=GQ6,$FR$1,IF(R6+L6=FM6,$EN$1,IF(R6+L6=EI6,$DJ$1)))))))))))),IF(R6=DH6,IF(R6+N6=RB6,$QB$1,IF(R6+N6=PX6,$OX$1,IF(R6+N6=OT6,$NT$1,IF(R6+N6=NP6,$MP$1,IF(R6+N6=ML6,$LL$1,IF(R6+N6=LH6,$KH$1,IF(R6+N6=KD6,$JD$1,IF(R6+N6=IZ6,$HZ$1,IF(R6+N6=HV6,$GV$1,IF(R6+N6=GR6,$FR$1,IF(R6+N6=FN6,$EN$1,IF(R6+N6=EJ6,$DJ$1)))))))))))),IF(R6=DI6,IF(R6+P6=RD6,$QB$1,IF(R6+P6=PZ6,$OX$1,IF(R6+P6=OV6,$NT$1,IF(R6+P6=NR6,$MP$1,IF(R6+P6=MN6,$LL$1,IF(R6+P6=LJ6,$KH$1,IF(R6+P6=KF6,$JD$1,IF(R6+P6=JB6,$HZ$1,IF(R6+P6=HX6,$GV$1,IF(R6+P6=GT6,$FR$1,IF(R6+P6=FP6,$EN$1,IF(R6+P6=EL6,$DJ$1))))))))))))))))</f>
        <v/>
      </c>
      <c r="U6" s="76">
        <v>28</v>
      </c>
      <c r="V6" s="76">
        <v>4.3</v>
      </c>
      <c r="W6" s="76">
        <v>0.9</v>
      </c>
      <c r="X6" s="76">
        <v>0</v>
      </c>
      <c r="Y6" s="76">
        <v>28.3</v>
      </c>
      <c r="Z6" s="76">
        <v>4</v>
      </c>
      <c r="AA6" s="76">
        <v>0</v>
      </c>
      <c r="AB6" s="76">
        <v>0</v>
      </c>
      <c r="AC6" s="76">
        <v>27.7</v>
      </c>
      <c r="AD6" s="76">
        <v>4.3</v>
      </c>
      <c r="AE6" s="76">
        <v>0</v>
      </c>
      <c r="AF6" s="76">
        <v>0</v>
      </c>
      <c r="AG6" s="76">
        <v>27.6</v>
      </c>
      <c r="AH6" s="76">
        <v>4.8</v>
      </c>
      <c r="AI6" s="76">
        <v>0</v>
      </c>
      <c r="AJ6" s="76">
        <v>0</v>
      </c>
      <c r="AK6" s="76">
        <v>28.4</v>
      </c>
      <c r="AL6" s="76">
        <v>4.3</v>
      </c>
      <c r="AM6" s="76">
        <v>0</v>
      </c>
      <c r="AN6" s="76">
        <v>0</v>
      </c>
      <c r="AO6" s="76">
        <v>28</v>
      </c>
      <c r="AP6" s="76">
        <v>4.8</v>
      </c>
      <c r="AQ6" s="76">
        <v>0</v>
      </c>
      <c r="AR6" s="76">
        <v>0</v>
      </c>
      <c r="AS6" s="12">
        <f>IF(SUM(V6,Z6,AD6,AH6)&gt;0,SUM(V6,Z6,AD6,AH6),"")</f>
        <v>17.400000000000002</v>
      </c>
      <c r="AT6" s="12">
        <f>IF(SUM(U6:V6,X6:Z6,AB6)-SUM(W6,AA6)&gt;0,SUM(U6:V6,X6:Z6,AB6)-SUM(W6,AA6),"")</f>
        <v>63.699999999999996</v>
      </c>
      <c r="AU6" s="12">
        <f>IF(SUM(AC6:AD6,AF6:AH6,AJ6)-SUM(AE6,AI6)&gt;0,SUM(AC6:AD6,AF6:AH6,AJ6)-SUM(AE6,AI6),"")</f>
        <v>64.400000000000006</v>
      </c>
      <c r="AV6" s="12">
        <f>IF(SUM(U6:V6,X6:Z6,AB6:AD6,AF6:AH6,AJ6)-SUM(W6,AA6,AE6,AI6)&gt;0,SUM(U6:V6,X6:Z6,AB6:AD6,AF6:AH6,AJ6)-SUM(W6,AA6,AE6,AI6),"")</f>
        <v>128.1</v>
      </c>
      <c r="AW6" s="12">
        <f>IF(SUM(AK6:AL6,AN6:AP6,AR6)-SUM(AM6,AQ6)&gt;0,SUM(AK6:AL6,AN6:AP6,AR6)-SUM(AM6,AQ6),"")</f>
        <v>65.5</v>
      </c>
      <c r="AX6" s="12">
        <f>IF(SUM(AV6,AW6)&gt;0,SUM(AV6,AW6),"")</f>
        <v>193.6</v>
      </c>
      <c r="AY6" s="46">
        <v>28.2</v>
      </c>
      <c r="AZ6" s="46">
        <v>6</v>
      </c>
      <c r="BA6" s="46">
        <v>0.3</v>
      </c>
      <c r="BB6" s="46">
        <v>0</v>
      </c>
      <c r="BC6" s="46">
        <v>27.9</v>
      </c>
      <c r="BD6" s="46">
        <v>5.2</v>
      </c>
      <c r="BE6" s="46">
        <v>0</v>
      </c>
      <c r="BF6" s="46">
        <v>0</v>
      </c>
      <c r="BG6" s="46">
        <v>27.3</v>
      </c>
      <c r="BH6" s="46">
        <v>5.6</v>
      </c>
      <c r="BI6" s="46">
        <v>0</v>
      </c>
      <c r="BJ6" s="46">
        <v>0</v>
      </c>
      <c r="BK6" s="46">
        <v>19.899999999999999</v>
      </c>
      <c r="BL6" s="46">
        <v>2</v>
      </c>
      <c r="BM6" s="46">
        <v>0</v>
      </c>
      <c r="BN6" s="46">
        <v>0</v>
      </c>
      <c r="BO6" s="46">
        <v>27.8</v>
      </c>
      <c r="BP6" s="46">
        <v>6</v>
      </c>
      <c r="BQ6" s="46">
        <v>0.3</v>
      </c>
      <c r="BR6" s="46">
        <v>0</v>
      </c>
      <c r="BS6" s="46">
        <v>28.5</v>
      </c>
      <c r="BT6" s="46">
        <v>5.2</v>
      </c>
      <c r="BU6" s="46">
        <v>0</v>
      </c>
      <c r="BV6" s="46">
        <v>0</v>
      </c>
      <c r="BW6" s="15">
        <f>IF(SUM(AZ6,BD6,BH6,BL6)&gt;0,SUM(AZ6,BD6,BH6,BL6),"")</f>
        <v>18.799999999999997</v>
      </c>
      <c r="BX6" s="15">
        <f>IF(SUM(AY6:AZ6,BB6:BD6,BF6)-SUM(BA6,BE6)&gt;0,SUM(AY6:AZ6,BB6:BD6,BF6)-SUM(BA6,BE6),"")</f>
        <v>67</v>
      </c>
      <c r="BY6" s="15">
        <f>IF(SUM(BG6:BH6,BJ6:BL6,BN6)-SUM(BI6,BM6)&gt;0,SUM(BG6:BH6,BJ6:BL6,BN6)-SUM(BI6,BM6),"")</f>
        <v>54.8</v>
      </c>
      <c r="BZ6" s="15">
        <f>IF(SUM(AY6:AZ6,BB6:BD6,BF6:BH6,BJ6:BL6,BN6)-SUM(BA6,BE6,BI6,BM6)&gt;0,SUM(AY6:AZ6,BB6:BD6,BF6:BH6,BJ6:BL6,BN6)-SUM(BA6,BE6,BI6,BM6),"")</f>
        <v>121.8</v>
      </c>
      <c r="CA6" s="15">
        <f>IF(SUM(BO6:BP6,BR6:BT6,BV6)-SUM(BQ6,BU6)&gt;0,SUM(BO6:BP6,BR6:BT6,BV6)-SUM(BQ6,BU6),"")</f>
        <v>67.2</v>
      </c>
      <c r="CB6" s="15">
        <f>IF(SUM(BZ6,CA6)&gt;0,SUM(BZ6,CA6),"")</f>
        <v>189</v>
      </c>
      <c r="CC6" s="45">
        <v>27.9</v>
      </c>
      <c r="CD6" s="45">
        <v>6.8</v>
      </c>
      <c r="CE6" s="45">
        <v>0.3</v>
      </c>
      <c r="CF6" s="45">
        <v>0</v>
      </c>
      <c r="CG6" s="45">
        <v>27.9</v>
      </c>
      <c r="CH6" s="45">
        <v>6.4</v>
      </c>
      <c r="CI6" s="45">
        <v>0</v>
      </c>
      <c r="CJ6" s="45">
        <v>0</v>
      </c>
      <c r="CK6" s="45">
        <v>27.2</v>
      </c>
      <c r="CL6" s="45">
        <v>6.8</v>
      </c>
      <c r="CM6" s="45">
        <v>1.2</v>
      </c>
      <c r="CN6" s="45">
        <v>0</v>
      </c>
      <c r="CO6" s="45">
        <v>27.9</v>
      </c>
      <c r="CP6" s="45">
        <v>5.6</v>
      </c>
      <c r="CQ6" s="45">
        <v>0</v>
      </c>
      <c r="CR6" s="45">
        <v>0</v>
      </c>
      <c r="CS6" s="54">
        <v>28.1</v>
      </c>
      <c r="CT6" s="54">
        <v>5.15</v>
      </c>
      <c r="CU6" s="54">
        <v>0.15</v>
      </c>
      <c r="CV6" s="54">
        <v>0</v>
      </c>
      <c r="CW6" s="54">
        <v>28.25</v>
      </c>
      <c r="CX6" s="54">
        <v>5</v>
      </c>
      <c r="CY6" s="54">
        <v>0</v>
      </c>
      <c r="CZ6" s="54">
        <v>0</v>
      </c>
      <c r="DA6" s="12">
        <f>IF(SUM(CD6,CH6,CL6,CP6)&gt;0,SUM(CD6,CH6,CL6,CP6),"")</f>
        <v>25.6</v>
      </c>
      <c r="DB6" s="12">
        <f>IF(SUM(CC6:CD6,CF6:CH6,CJ6)-SUM(CE6,CI6)&gt;0,SUM(CC6:CD6,CF6:CH6,CJ6)-SUM(CE6,CI6),"")</f>
        <v>68.7</v>
      </c>
      <c r="DC6" s="12">
        <f>IF(SUM(CK6:CL6,CN6:CP6,CR6)-SUM(CM6,CQ6)&gt;0,SUM(CK6:CL6,CN6:CP6,CR6)-SUM(CM6,CQ6),"")</f>
        <v>66.3</v>
      </c>
      <c r="DD6" s="12">
        <f>IF(SUM(CC6:CD6,CF6:CH6,CJ6:CL6,CN6:CP6,CR6)-SUM(CE6,CI6,CM6,CQ6)&gt;0,SUM(CC6:CD6,CF6:CH6,CJ6:CL6,CN6:CP6,CR6)-SUM(CE6,CI6,CM6,CQ6),"")</f>
        <v>135</v>
      </c>
      <c r="DE6" s="12">
        <f>IF(SUM(CS6:CT6,CV6:CX6,CZ6)-SUM(CU6,CY6)&gt;0,SUM(CS6:CT6,CV6:CX6,CZ6)-SUM(CU6,CY6),"")</f>
        <v>66.349999999999994</v>
      </c>
      <c r="DF6" s="12">
        <f>IF(SUM(DD6,DE6)&gt;0,SUM(DD6,DE6),"")</f>
        <v>201.35</v>
      </c>
      <c r="DG6" s="28" t="str">
        <f>IF(MAX(EI6,FM6,GQ6,HU6,IY6,KC6,LG6,MK6,NO6,OS6,PW6,RA6)-L6&gt;0.001,MAX(EI6,FM6,GQ6,HU6,IY6,KC6,LG6,MK6,NO6,OS6,PW6,RA6)-L6,"")</f>
        <v/>
      </c>
      <c r="DH6" s="28" t="str">
        <f>IF(MAX(EJ6,FN6,GR6,HV6,IZ6,KD6,LH6,ML6,NP6,OT6,PX6,RB6)-N6&gt;0.001,MAX(EJ6,FN6,GR6,HV6,IZ6,KD6,LH6,ML6,NP6,OT6,PX6,RB6)-N6,"")</f>
        <v/>
      </c>
      <c r="DI6" s="28" t="str">
        <f>IF(MAX(EL6,FP6,GT6,HX6,JB6,KF6,LJ6,MN6,OV6,PZ6,RD6)-P6&gt;0.001,MAX(EL6,FP6,GT6,HX6,JB6,KF6,LJ6,MN6,OV6,PZ6,RD6)-P6,"")</f>
        <v/>
      </c>
      <c r="DJ6" s="45"/>
      <c r="DK6" s="45"/>
      <c r="DL6" s="45"/>
      <c r="DM6" s="45"/>
      <c r="DN6" s="45"/>
      <c r="DO6" s="45"/>
      <c r="DP6" s="45"/>
      <c r="DQ6" s="45"/>
      <c r="DR6" s="45"/>
      <c r="DS6" s="45"/>
      <c r="DT6" s="45"/>
      <c r="DU6" s="45"/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12" t="str">
        <f>IF(SUM(DK6,DO6,DS6,DW6)&gt;0,SUM(DK6,DO6,DS6,DW6),"")</f>
        <v/>
      </c>
      <c r="EI6" s="12" t="str">
        <f>IF(SUM(DJ6:DK6,DM6:DO6,DQ6)-SUM(DL6,DP6)&gt;0,SUM(DJ6:DK6,DM6:DO6,DQ6)-SUM(DL6,DP6),"")</f>
        <v/>
      </c>
      <c r="EJ6" s="12" t="str">
        <f>IF(SUM(DR6:DS6,DU6:DW6,DY6)-SUM(DT6,DX6)&gt;0,SUM(DR6:DS6,DU6:DW6,DY6)-SUM(DT6,DX6),"")</f>
        <v/>
      </c>
      <c r="EK6" s="12" t="str">
        <f>IF(SUM(DJ6:DK6,DM6:DO6,DQ6:DS6,DU6:DW6,DY6)-SUM(DL6,DP6,DT6,DX6)&gt;0,SUM(DJ6:DK6,DM6:DO6,DQ6:DS6,DU6:DW6,DY6)-SUM(DL6,DP6,DT6,DX6),"")</f>
        <v/>
      </c>
      <c r="EL6" s="12" t="str">
        <f>IF(SUM(DZ6:EA6,EC6:EE6,EG6)-SUM(EB6,EF6)&gt;0,SUM(DZ6:EA6,EC6:EE6,EG6)-SUM(EB6,EF6),"")</f>
        <v/>
      </c>
      <c r="EM6" s="12" t="str">
        <f>IF(SUM(EK6,EL6)&gt;0,SUM(EK6,EL6),"")</f>
        <v/>
      </c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  <c r="FF6" s="50"/>
      <c r="FG6" s="50"/>
      <c r="FH6" s="50"/>
      <c r="FI6" s="50"/>
      <c r="FJ6" s="50"/>
      <c r="FK6" s="50"/>
      <c r="FL6" s="15" t="str">
        <f>IF(SUM(EO6,ES6,EW6,FA6)&gt;0,SUM(EO6,ES6,EW6,FA6),"")</f>
        <v/>
      </c>
      <c r="FM6" s="15" t="str">
        <f>IF(SUM(EN6:EO6,EQ6:ES6,EU6)-SUM(EP6,ET6)&gt;0,SUM(EN6:EO6,EQ6:ES6,EU6)-SUM(EP6,ET6),"")</f>
        <v/>
      </c>
      <c r="FN6" s="15" t="str">
        <f>IF(SUM(EV6:EW6,EY6:FA6,FC6)-SUM(EX6,FB6)&gt;0,SUM(EV6:EW6,EY6:FA6,FC6)-SUM(EX6,FB6),"")</f>
        <v/>
      </c>
      <c r="FO6" s="15" t="str">
        <f>IF(SUM(EN6:EO6,EQ6:ES6,EU6:EW6,EY6:FA6,FC6)-SUM(EP6,ET6,EX6,FB6)&gt;0,SUM(EN6:EO6,EQ6:ES6,EU6:EW6,EY6:FA6,FC6)-SUM(EP6,ET6,EX6,FB6),"")</f>
        <v/>
      </c>
      <c r="FP6" s="15" t="str">
        <f>IF(SUM(FD6:FE6,FG6:FI6,FK6)-SUM(FF6,FJ6)&gt;0,SUM(FD6:FE6,FG6:FI6,FK6)-SUM(FF6,FJ6),"")</f>
        <v/>
      </c>
      <c r="FQ6" s="15" t="str">
        <f>IF(SUM(FO6,FP6)&gt;0,SUM(FO6,FP6),"")</f>
        <v/>
      </c>
      <c r="FR6" s="51"/>
      <c r="FS6" s="51"/>
      <c r="FT6" s="51"/>
      <c r="FU6" s="51"/>
      <c r="FV6" s="51"/>
      <c r="FW6" s="51"/>
      <c r="FX6" s="51"/>
      <c r="FY6" s="51"/>
      <c r="FZ6" s="51"/>
      <c r="GA6" s="51"/>
      <c r="GB6" s="51"/>
      <c r="GC6" s="51"/>
      <c r="GD6" s="51"/>
      <c r="GE6" s="51"/>
      <c r="GF6" s="51"/>
      <c r="GG6" s="51"/>
      <c r="GH6" s="51"/>
      <c r="GI6" s="51"/>
      <c r="GJ6" s="51"/>
      <c r="GK6" s="51"/>
      <c r="GL6" s="51"/>
      <c r="GM6" s="51"/>
      <c r="GN6" s="51"/>
      <c r="GO6" s="51"/>
      <c r="GP6" s="12" t="str">
        <f>IF(SUM(FS6,FW6,GA6,GE6)&gt;0,SUM(FS6,FW6,GA6,GE6),"")</f>
        <v/>
      </c>
      <c r="GQ6" s="12" t="str">
        <f>IF(SUM(FR6:FS6,FU6:FW6,FY6)-SUM(FT6,FX6)&gt;0,SUM(FR6:FS6,FU6:FW6,FY6)-SUM(FT6,FX6),"")</f>
        <v/>
      </c>
      <c r="GR6" s="12" t="str">
        <f>IF(SUM(FZ6:GA6,GC6:GE6,GG6)-SUM(GB6,GF6)&gt;0,SUM(FZ6:GA6,GC6:GE6,GG6)-SUM(GB6,GF6),"")</f>
        <v/>
      </c>
      <c r="GS6" s="12" t="str">
        <f>IF(SUM(FR6:FS6,FU6:FW6,FY6:GA6,GC6:GE6,GG6)-SUM(FT6,FX6,GB6,GF6)&gt;0,SUM(FR6:FS6,FU6:FW6,FY6:GA6,GC6:GE6,GG6)-SUM(FT6,FX6,GB6,GF6),"")</f>
        <v/>
      </c>
      <c r="GT6" s="12" t="str">
        <f>IF(SUM(GH6:GI6,GK6:GM6,GO6)-SUM(GJ6,GN6)&gt;0,SUM(GH6:GI6,GK6:GM6,GO6)-SUM(GJ6,GN6),"")</f>
        <v/>
      </c>
      <c r="GU6" s="12" t="str">
        <f>IF(SUM(GS6,GT6)&gt;0,SUM(GS6,GT6),"")</f>
        <v/>
      </c>
      <c r="GV6" s="50"/>
      <c r="GW6" s="50"/>
      <c r="GX6" s="50"/>
      <c r="GY6" s="50"/>
      <c r="GZ6" s="50"/>
      <c r="HA6" s="50"/>
      <c r="HB6" s="50"/>
      <c r="HC6" s="50"/>
      <c r="HD6" s="50"/>
      <c r="HE6" s="50"/>
      <c r="HF6" s="50"/>
      <c r="HG6" s="50"/>
      <c r="HH6" s="50"/>
      <c r="HI6" s="50"/>
      <c r="HJ6" s="50"/>
      <c r="HK6" s="50"/>
      <c r="HL6" s="50"/>
      <c r="HM6" s="50"/>
      <c r="HN6" s="50"/>
      <c r="HO6" s="50"/>
      <c r="HP6" s="50"/>
      <c r="HQ6" s="50"/>
      <c r="HR6" s="50"/>
      <c r="HS6" s="50"/>
      <c r="HT6" s="15" t="str">
        <f>IF(SUM(GW6,HA6,HE6,HI6)&gt;0,SUM(GW6,HA6,HE6,HI6),"")</f>
        <v/>
      </c>
      <c r="HU6" s="15" t="str">
        <f>IF(SUM(GV6:GW6,GY6:HA6,HC6)-SUM(GX6,HB6)&gt;0,SUM(GV6:GW6,GY6:HA6,HC6)-SUM(GX6,HB6),"")</f>
        <v/>
      </c>
      <c r="HV6" s="15" t="str">
        <f>IF(SUM(HD6:HE6,HG6:HI6,HK6)-SUM(HF6,HJ6)&gt;0,SUM(HD6:HE6,HG6:HI6,HK6)-SUM(HF6,HJ6),"")</f>
        <v/>
      </c>
      <c r="HW6" s="15" t="str">
        <f>IF(SUM(GV6:GW6,GY6:HA6,HC6:HE6,HG6:HI6,HK6)-SUM(GX6,HB6,HF6,HJ6)&gt;0,SUM(GV6:GW6,GY6:HA6,HC6:HE6,HG6:HI6,HK6)-SUM(GX6,HB6,HF6,HJ6),"")</f>
        <v/>
      </c>
      <c r="HX6" s="15" t="str">
        <f>IF(SUM(HL6:HM6,HO6:HQ6,HS6)-SUM(HN6,HR6)&gt;0,SUM(HL6:HM6,HO6:HQ6,HS6)-SUM(HN6,HR6),"")</f>
        <v/>
      </c>
      <c r="HY6" s="15" t="str">
        <f>IF(SUM(HW6,HX6)&gt;0,SUM(HW6,HX6),"")</f>
        <v/>
      </c>
      <c r="HZ6" s="51"/>
      <c r="IA6" s="51"/>
      <c r="IB6" s="51"/>
      <c r="IC6" s="51"/>
      <c r="ID6" s="51"/>
      <c r="IE6" s="51"/>
      <c r="IF6" s="51"/>
      <c r="IG6" s="51"/>
      <c r="IH6" s="51"/>
      <c r="II6" s="51"/>
      <c r="IJ6" s="51"/>
      <c r="IK6" s="51"/>
      <c r="IL6" s="51"/>
      <c r="IM6" s="51"/>
      <c r="IN6" s="51"/>
      <c r="IO6" s="51"/>
      <c r="IP6" s="51"/>
      <c r="IQ6" s="51"/>
      <c r="IR6" s="51"/>
      <c r="IS6" s="51"/>
      <c r="IT6" s="51"/>
      <c r="IU6" s="51"/>
      <c r="IV6" s="51"/>
      <c r="IW6" s="51"/>
      <c r="IX6" s="12" t="str">
        <f>IF(SUM(IA6,IE6,II6,IM6)&gt;0,SUM(IA6,IE6,II6,IM6),"")</f>
        <v/>
      </c>
      <c r="IY6" s="12" t="str">
        <f>IF(SUM(HZ6:IA6,IC6:IE6,IG6)-SUM(IB6,IF6)&gt;0,SUM(HZ6:IA6,IC6:IE6,IG6)-SUM(IB6,IF6),"")</f>
        <v/>
      </c>
      <c r="IZ6" s="12" t="str">
        <f>IF(SUM(IH6:II6,IK6:IM6,IO6)-SUM(IJ6,IN6)&gt;0,SUM(IH6:II6,IK6:IM6,IO6)-SUM(IJ6,IN6),"")</f>
        <v/>
      </c>
      <c r="JA6" s="12" t="str">
        <f>IF(SUM(HZ6:IA6,IC6:IE6,IG6:II6,IK6:IM6,IO6)-SUM(IB6,IF6,IJ6,IN6)&gt;0,SUM(HZ6:IA6,IC6:IE6,IG6:II6,IK6:IM6,IO6)-SUM(IB6,IF6,IJ6,IN6),"")</f>
        <v/>
      </c>
      <c r="JB6" s="12" t="str">
        <f>IF(SUM(IP6:IQ6,IS6:IU6,IW6)-SUM(IR6,IV6)&gt;0,SUM(IP6:IQ6,IS6:IU6,IW6)-SUM(IR6,IV6),"")</f>
        <v/>
      </c>
      <c r="JC6" s="12" t="str">
        <f>IF(SUM(JA6,JB6)&gt;0,SUM(JA6,JB6),"")</f>
        <v/>
      </c>
      <c r="JD6" s="50"/>
      <c r="JE6" s="50"/>
      <c r="JF6" s="50"/>
      <c r="JG6" s="50"/>
      <c r="JH6" s="50"/>
      <c r="JI6" s="50"/>
      <c r="JJ6" s="50"/>
      <c r="JK6" s="50"/>
      <c r="JL6" s="50"/>
      <c r="JM6" s="50"/>
      <c r="JN6" s="50"/>
      <c r="JO6" s="50"/>
      <c r="JP6" s="50"/>
      <c r="JQ6" s="50"/>
      <c r="JR6" s="50"/>
      <c r="JS6" s="50"/>
      <c r="JT6" s="50"/>
      <c r="JU6" s="50"/>
      <c r="JV6" s="50"/>
      <c r="JW6" s="50"/>
      <c r="JX6" s="50"/>
      <c r="JY6" s="50"/>
      <c r="JZ6" s="50"/>
      <c r="KA6" s="50"/>
      <c r="KB6" s="15" t="str">
        <f>IF(SUM(JE6,JI6,JM6,JQ6)&gt;0,SUM(JE6,JI6,JM6,JQ6),"")</f>
        <v/>
      </c>
      <c r="KC6" s="15" t="str">
        <f>IF(SUM(JD6:JE6,JG6:JI6,JK6)-SUM(JF6,JJ6)&gt;0,SUM(JD6:JE6,JG6:JI6,JK6)-SUM(JF6,JJ6),"")</f>
        <v/>
      </c>
      <c r="KD6" s="15" t="str">
        <f>IF(SUM(JL6:JM6,JO6:JQ6,JS6)-SUM(JN6,JR6)&gt;0,SUM(JL6:JM6,JO6:JQ6,JS6)-SUM(JN6,JR6),"")</f>
        <v/>
      </c>
      <c r="KE6" s="15" t="str">
        <f>IF(SUM(JD6:JE6,JG6:JI6,JK6:JM6,JO6:JQ6,JS6)-SUM(JF6,JJ6,JN6,JR6)&gt;0,SUM(JD6:JE6,JG6:JI6,JK6:JM6,JO6:JQ6,JS6)-SUM(JF6,JJ6,JN6,JR6),"")</f>
        <v/>
      </c>
      <c r="KF6" s="15" t="str">
        <f>IF(SUM(JT6:JU6,JW6:JY6,KA6)-SUM(JV6,JZ6)&gt;0,SUM(JT6:JU6,JW6:JY6,KA6)-SUM(JV6,JZ6),"")</f>
        <v/>
      </c>
      <c r="KG6" s="15" t="str">
        <f>IF(SUM(KE6,KF6)&gt;0,SUM(KE6,KF6),"")</f>
        <v/>
      </c>
      <c r="KH6" s="51"/>
      <c r="KI6" s="51"/>
      <c r="KJ6" s="51"/>
      <c r="KK6" s="51"/>
      <c r="KL6" s="51"/>
      <c r="KM6" s="51"/>
      <c r="KN6" s="51"/>
      <c r="KO6" s="51"/>
      <c r="KP6" s="51"/>
      <c r="KQ6" s="51"/>
      <c r="KR6" s="51"/>
      <c r="KS6" s="51"/>
      <c r="KT6" s="51"/>
      <c r="KU6" s="51"/>
      <c r="KV6" s="51"/>
      <c r="KW6" s="51"/>
      <c r="KX6" s="51"/>
      <c r="KY6" s="51"/>
      <c r="KZ6" s="51"/>
      <c r="LA6" s="51"/>
      <c r="LB6" s="51"/>
      <c r="LC6" s="51"/>
      <c r="LD6" s="51"/>
      <c r="LE6" s="51"/>
      <c r="LF6" s="12" t="str">
        <f>IF(SUM(KI6,KM6,KQ6,KU6)&gt;0,SUM(KI6,KM6,KQ6,KU6),"")</f>
        <v/>
      </c>
      <c r="LG6" s="12" t="str">
        <f>IF(SUM(KH6:KI6,KK6:KM6,KO6)-SUM(KJ6,KN6)&gt;0,SUM(KH6:KI6,KK6:KM6,KO6)-SUM(KJ6,KN6),"")</f>
        <v/>
      </c>
      <c r="LH6" s="12" t="str">
        <f>IF(SUM(KP6:KQ6,KS6:KU6,KW6)-SUM(KR6,KV6)&gt;0,SUM(KP6:KQ6,KS6:KU6,KW6)-SUM(KR6,KV6),"")</f>
        <v/>
      </c>
      <c r="LI6" s="12" t="str">
        <f>IF(SUM(KH6:KI6,KK6:KM6,KO6:KQ6,KS6:KU6,KW6)-SUM(KJ6,KN6,KR6,KV6)&gt;0,SUM(KH6:KI6,KK6:KM6,KO6:KQ6,KS6:KU6,KW6)-SUM(KJ6,KN6,KR6,KV6),"")</f>
        <v/>
      </c>
      <c r="LJ6" s="12" t="str">
        <f>IF(SUM(KX6:KY6,LA6:LC6,LE6)-SUM(KZ6,LD6)&gt;0,SUM(KX6:KY6,LA6:LC6,LE6)-SUM(KZ6,LD6),"")</f>
        <v/>
      </c>
      <c r="LK6" s="12" t="str">
        <f>IF(SUM(LI6,LJ6)&gt;0,SUM(LI6,LJ6),"")</f>
        <v/>
      </c>
      <c r="LL6" s="50"/>
      <c r="LM6" s="50"/>
      <c r="LN6" s="50"/>
      <c r="LO6" s="50"/>
      <c r="LP6" s="50"/>
      <c r="LQ6" s="50"/>
      <c r="LR6" s="50"/>
      <c r="LS6" s="50"/>
      <c r="LT6" s="50"/>
      <c r="LU6" s="50"/>
      <c r="LV6" s="50"/>
      <c r="LW6" s="50"/>
      <c r="LX6" s="50"/>
      <c r="LY6" s="50"/>
      <c r="LZ6" s="50"/>
      <c r="MA6" s="50"/>
      <c r="MB6" s="50"/>
      <c r="MC6" s="50"/>
      <c r="MD6" s="50"/>
      <c r="ME6" s="50"/>
      <c r="MF6" s="50"/>
      <c r="MG6" s="50"/>
      <c r="MH6" s="50"/>
      <c r="MI6" s="50"/>
      <c r="MJ6" s="15" t="str">
        <f>IF(SUM(LM6,LQ6,LU6,LY6)&gt;0,SUM(LM6,LQ6,LU6,LY6),"")</f>
        <v/>
      </c>
      <c r="MK6" s="15" t="str">
        <f>IF(SUM(LL6:LM6,LO6:LQ6,LS6)-SUM(LN6,LR6)&gt;0,SUM(LL6:LM6,LO6:LQ6,LS6)-SUM(LN6,LR6),"")</f>
        <v/>
      </c>
      <c r="ML6" s="15" t="str">
        <f>IF(SUM(LT6:LU6,LW6:LY6,MA6)-SUM(LV6,LZ6)&gt;0,SUM(LT6:LU6,LW6:LY6,MA6)-SUM(LV6,LZ6),"")</f>
        <v/>
      </c>
      <c r="MM6" s="15" t="str">
        <f>IF(SUM(LL6:LM6,LO6:LQ6,LS6:LU6,LW6:LY6,MA6)-SUM(LN6,LR6,LV6,LZ6)&gt;0,SUM(LL6:LM6,LO6:LQ6,LS6:LU6,LW6:LY6,MA6)-SUM(LN6,LR6,LV6,LZ6),"")</f>
        <v/>
      </c>
      <c r="MN6" s="15" t="str">
        <f>IF(SUM(MB6:MC6,ME6:MG6,MI6)-SUM(MD6,MH6)&gt;0,SUM(MB6:MC6,ME6:MG6,MI6)-SUM(MD6,MH6),"")</f>
        <v/>
      </c>
      <c r="MO6" s="15" t="str">
        <f>IF(SUM(MM6,MN6)&gt;0,SUM(MM6,MN6),"")</f>
        <v/>
      </c>
      <c r="MP6" s="51"/>
      <c r="MQ6" s="51"/>
      <c r="MR6" s="51"/>
      <c r="MS6" s="51"/>
      <c r="MT6" s="51"/>
      <c r="MU6" s="51"/>
      <c r="MV6" s="51"/>
      <c r="MW6" s="51"/>
      <c r="MX6" s="51"/>
      <c r="MY6" s="51"/>
      <c r="MZ6" s="51"/>
      <c r="NA6" s="51"/>
      <c r="NB6" s="51"/>
      <c r="NC6" s="51"/>
      <c r="ND6" s="51"/>
      <c r="NE6" s="51"/>
      <c r="NF6" s="51"/>
      <c r="NG6" s="51"/>
      <c r="NH6" s="51"/>
      <c r="NI6" s="51"/>
      <c r="NJ6" s="51"/>
      <c r="NK6" s="51"/>
      <c r="NL6" s="51"/>
      <c r="NM6" s="51"/>
      <c r="NN6" s="12" t="str">
        <f>IF(SUM(MQ6,MU6,MY6,NC6)&gt;0,SUM(MQ6,MU6,MY6,NC6),"")</f>
        <v/>
      </c>
      <c r="NO6" s="12" t="str">
        <f>IF(SUM(MP6:MQ6,MS6:MU6,MW6)-SUM(MR6,MV6)&gt;0,SUM(MP6:MQ6,MS6:MU6,MW6)-SUM(MR6,MV6),"")</f>
        <v/>
      </c>
      <c r="NP6" s="12" t="str">
        <f>IF(SUM(MX6:MY6,NA6:NC6,NE6)-SUM(MZ6,ND6)&gt;0,SUM(MX6:MY6,NA6:NC6,NE6)-SUM(MZ6,ND6),"")</f>
        <v/>
      </c>
      <c r="NQ6" s="12" t="str">
        <f>IF(SUM(MP6:MQ6,MS6:MU6,MW6:MY6,NA6:NC6,NE6)-SUM(MR6,MV6,MZ6,ND6)&gt;0,SUM(MP6:MQ6,MS6:MU6,MW6:MY6,NA6:NC6,NE6)-SUM(MR6,MV6,MZ6,ND6),"")</f>
        <v/>
      </c>
      <c r="NR6" s="12" t="str">
        <f>IF(SUM(NF6:NG6,NI6:NK6,NM6)-SUM(NH6,NL6)&gt;0,SUM(NF6:NG6,NI6:NK6,NM6)-SUM(NH6,NL6),"")</f>
        <v/>
      </c>
      <c r="NS6" s="12" t="str">
        <f>IF(SUM(NQ6,NR6)&gt;0,SUM(NQ6,NR6),"")</f>
        <v/>
      </c>
      <c r="NT6" s="50"/>
      <c r="NU6" s="50"/>
      <c r="NV6" s="50"/>
      <c r="NW6" s="50"/>
      <c r="NX6" s="50"/>
      <c r="NY6" s="50"/>
      <c r="NZ6" s="50"/>
      <c r="OA6" s="50"/>
      <c r="OB6" s="50"/>
      <c r="OC6" s="50"/>
      <c r="OD6" s="50"/>
      <c r="OE6" s="50"/>
      <c r="OF6" s="50"/>
      <c r="OG6" s="50"/>
      <c r="OH6" s="50"/>
      <c r="OI6" s="50"/>
      <c r="OJ6" s="50"/>
      <c r="OK6" s="50"/>
      <c r="OL6" s="50"/>
      <c r="OM6" s="50"/>
      <c r="ON6" s="50"/>
      <c r="OO6" s="50"/>
      <c r="OP6" s="50"/>
      <c r="OQ6" s="50"/>
      <c r="OR6" s="15" t="str">
        <f>IF(SUM(NU6,NY6,OC6,OG6)&gt;0,SUM(NU6,NY6,OC6,OG6),"")</f>
        <v/>
      </c>
      <c r="OS6" s="15" t="str">
        <f>IF(SUM(NT6:NU6,NW6:NY6,OA6)-SUM(NV6,NZ6)&gt;0,SUM(NT6:NU6,NW6:NY6,OA6)-SUM(NV6,NZ6),"")</f>
        <v/>
      </c>
      <c r="OT6" s="15" t="str">
        <f>IF(SUM(OB6:OC6,OE6:OG6,OI6)-SUM(OD6,OH6)&gt;0,SUM(OB6:OC6,OE6:OG6,OI6)-SUM(OD6,OH6),"")</f>
        <v/>
      </c>
      <c r="OU6" s="15" t="str">
        <f>IF(SUM(NT6:NU6,NW6:NY6,OA6:OC6,OE6:OG6,OI6)-SUM(NV6,NZ6,OD6,OH6)&gt;0,SUM(NT6:NU6,NW6:NY6,OA6:OC6,OE6:OG6,OI6)-SUM(NV6,NZ6,OD6,OH6),"")</f>
        <v/>
      </c>
      <c r="OV6" s="15" t="str">
        <f>IF(SUM(OJ6:OK6,OM6:OO6,OQ6)-SUM(OL6,OP6)&gt;0,SUM(OJ6:OK6,OM6:OO6,OQ6)-SUM(OL6,OP6),"")</f>
        <v/>
      </c>
      <c r="OW6" s="15" t="str">
        <f>IF(SUM(OU6,OV6)&gt;0,SUM(OU6,OV6),"")</f>
        <v/>
      </c>
      <c r="OX6" s="51"/>
      <c r="OY6" s="51"/>
      <c r="OZ6" s="51"/>
      <c r="PA6" s="51"/>
      <c r="PB6" s="51"/>
      <c r="PC6" s="51"/>
      <c r="PD6" s="51"/>
      <c r="PE6" s="51"/>
      <c r="PF6" s="51"/>
      <c r="PG6" s="51"/>
      <c r="PH6" s="51"/>
      <c r="PI6" s="51"/>
      <c r="PJ6" s="51"/>
      <c r="PK6" s="51"/>
      <c r="PL6" s="51"/>
      <c r="PM6" s="51"/>
      <c r="PN6" s="51"/>
      <c r="PO6" s="51"/>
      <c r="PP6" s="51"/>
      <c r="PQ6" s="51"/>
      <c r="PR6" s="51"/>
      <c r="PS6" s="51"/>
      <c r="PT6" s="51"/>
      <c r="PU6" s="51"/>
      <c r="PV6" s="12" t="str">
        <f>IF(SUM(OY6,PC6,PG6,PK6)&gt;0,SUM(OY6,PC6,PG6,PK6),"")</f>
        <v/>
      </c>
      <c r="PW6" s="12" t="str">
        <f>IF(SUM(OX6:OY6,PA6:PC6,PE6)-SUM(OZ6,PD6)&gt;0,SUM(OX6:OY6,PA6:PC6,PE6)-SUM(OZ6,PD6),"")</f>
        <v/>
      </c>
      <c r="PX6" s="12" t="str">
        <f>IF(SUM(PF6:PG6,PI6:PK6,PM6)-SUM(PH6,PL6)&gt;0,SUM(PF6:PG6,PI6:PK6,PM6)-SUM(PH6,PL6),"")</f>
        <v/>
      </c>
      <c r="PY6" s="12" t="str">
        <f>IF(SUM(OX6:OY6,PA6:PC6,PE6:PG6,PI6:PK6,PM6)-SUM(OZ6,PD6,PH6,PL6)&gt;0,SUM(OX6:OY6,PA6:PC6,PE6:PG6,PI6:PK6,PM6)-SUM(OZ6,PD6,PH6,PL6),"")</f>
        <v/>
      </c>
      <c r="PZ6" s="12" t="str">
        <f>IF(SUM(PN6:PO6,PQ6:PS6,PU6)-SUM(PP6,PT6)&gt;0,SUM(PN6:PO6,PQ6:PS6,PU6)-SUM(PP6,PT6),"")</f>
        <v/>
      </c>
      <c r="QA6" s="12" t="str">
        <f>IF(SUM(PY6,PZ6)&gt;0,SUM(PY6,PZ6),"")</f>
        <v/>
      </c>
      <c r="QB6" s="50"/>
      <c r="QC6" s="50"/>
      <c r="QD6" s="50"/>
      <c r="QE6" s="50"/>
      <c r="QF6" s="50"/>
      <c r="QG6" s="50"/>
      <c r="QH6" s="50"/>
      <c r="QI6" s="50"/>
      <c r="QJ6" s="50"/>
      <c r="QK6" s="50"/>
      <c r="QL6" s="50"/>
      <c r="QM6" s="50"/>
      <c r="QN6" s="50"/>
      <c r="QO6" s="50"/>
      <c r="QP6" s="50"/>
      <c r="QQ6" s="50"/>
      <c r="QR6" s="50"/>
      <c r="QS6" s="50"/>
      <c r="QT6" s="50"/>
      <c r="QU6" s="50"/>
      <c r="QV6" s="50"/>
      <c r="QW6" s="50"/>
      <c r="QX6" s="50"/>
      <c r="QY6" s="50"/>
      <c r="QZ6" s="15" t="str">
        <f>IF(SUM(QC6,QG6,QK6,QO6)&gt;0,SUM(QC6,QG6,QK6,QO6),"")</f>
        <v/>
      </c>
      <c r="RA6" s="15" t="str">
        <f>IF(SUM(QB6:QC6,QE6:QG6,QI6)-SUM(QD6,QH6)&gt;0,SUM(QB6:QC6,QE6:QG6,QI6)-SUM(QD6,QH6),"")</f>
        <v/>
      </c>
      <c r="RB6" s="15" t="str">
        <f>IF(SUM(QJ6:QK6,QM6:QO6,QQ6)-SUM(QL6,QP6)&gt;0,SUM(QJ6:QK6,QM6:QO6,QQ6)-SUM(QL6,QP6),"")</f>
        <v/>
      </c>
      <c r="RC6" s="15" t="str">
        <f>IF(SUM(QB6:QC6,QE6:QG6,QI6:QK6,QM6:QO6,QQ6)-SUM(QD6,QH6,QL6,QP6)&gt;0,SUM(QB6:QC6,QE6:QG6,QI6:QK6,QM6:QO6,QQ6)-SUM(QD6,QH6,QL6,QP6),"")</f>
        <v/>
      </c>
      <c r="RD6" s="15" t="str">
        <f>IF(SUM(QR6:QS6,QU6:QW6,QY6)-SUM(QT6,QX6)&gt;0,SUM(QR6:QS6,QU6:QW6,QY6)-SUM(QT6,QX6),"")</f>
        <v/>
      </c>
      <c r="RE6" s="15" t="str">
        <f>IF(SUM(RC6,RD6)&gt;0,SUM(RC6,RD6),"")</f>
        <v/>
      </c>
    </row>
    <row r="7" spans="1:473">
      <c r="A7" s="6" t="str">
        <f>IF(AND(F7="P",H7="P"),SUMPRODUCT((F$4:F$14="P")*(H$4:H$14="P")*(E$4:E$14&gt;E7))+1,IF(H7="P",SUMPRODUCT((F$4:F$14="")*(H$4:H$14="P")*(E$4:E$14&gt;E7))+1+SUMPRODUCT((F$4:F$14="P")*(H$4:H$14="P")),""))</f>
        <v/>
      </c>
      <c r="B7" s="9" t="s">
        <v>82</v>
      </c>
      <c r="C7" s="5" t="s">
        <v>5</v>
      </c>
      <c r="D7" s="6">
        <v>2001</v>
      </c>
      <c r="E7" s="16">
        <f>SUM(J7:R7)</f>
        <v>329.50000000000006</v>
      </c>
      <c r="F7" s="4" t="str">
        <f>IF(OR(AND($AS7&gt;=$AT$17,NOT($AS7="")),AND($BW7&gt;=$BX$17,NOT($BW7="")),AND($DA7&gt;=$DB$17,NOT($DA7=""))),"P","")</f>
        <v>P</v>
      </c>
      <c r="G7" s="4" t="str">
        <f>IF(OR(AND($AS7&gt;=$AT$18,NOT($AS7="")),AND($BW7&gt;=$BX$18,NOT($BW7="")),AND($DA7&gt;=$DB$18,NOT($DA7=""))),"P","")</f>
        <v/>
      </c>
      <c r="H7" s="4" t="str">
        <f>IF(OR(AND($AV7&gt;=$AT$19,NOT($AV7="")),AND($BZ7&gt;=$BX$19,NOT($BZ7="")),AND($DD7&gt;=$DB$19,NOT($DD7=""))),"P","")</f>
        <v/>
      </c>
      <c r="I7" t="str">
        <f>IF(AND(F7="P",OR(AND($AV7&gt;=$AT$22,NOT($AV7="")),AND($BZ7&gt;=$BX$22,NOT($BZ7="")),AND($DD7&gt;=$DB$22,NOT($DD7="")))),"Merit",IF(AND(F7="P",OR(AND($AV7&gt;=$AT$21,NOT($AV7="")),AND($BZ7&gt;=$BX$21,NOT($BZ7="")),AND($DD7&gt;=$DB$21,NOT($DD7="")))),"Funding",IF(AND(F7="P",OR(AND($AV7&gt;=$AT$20,NOT($AV7="")),AND($BZ7&gt;=$BX$20,NOT($BZ7="")),AND($DD7&gt;=$DB$20,NOT($DD7="")))),"Worlds Team",IF(AND(F7="P",OR(AND($AV7&gt;=$AT$19,NOT($AV7="")),AND($BZ7&gt;=$BX$19,NOT($BZ7="")),AND($DD7&gt;=$DB$19,NOT($DD7="")))),"National Team",""))))</f>
        <v/>
      </c>
      <c r="J7" s="15">
        <f>MAX(AV7,BZ7,DD7)</f>
        <v>132.5</v>
      </c>
      <c r="K7" s="15" t="str">
        <f>IF(J7=DD7,$CC$1,IF(J7=BZ7,$AY$1,IF(J7=AV7,$U$1,"")))</f>
        <v>2017 Canada Cup</v>
      </c>
      <c r="L7" s="15">
        <f>IF($J7=$AV7,MAX(BX7,DB7),IF($J7=$BZ7,MAX(AT7,DB7),MAX(AT7,BX7)))</f>
        <v>68.100000000000009</v>
      </c>
      <c r="M7" s="15" t="str">
        <f>IF(L7=DB7,$CC$1,IF(L7=BX7,$AY$1,IF(L7=AT7,$U$1,"")))</f>
        <v>2018 Canada Cup</v>
      </c>
      <c r="N7" s="15">
        <f>IF($J7=$AV7,MAX(BY7,DC7),IF($J7=$BZ7,MAX(AU7,DC7),MAX(AU7,BY7)))</f>
        <v>58.6</v>
      </c>
      <c r="O7" s="15" t="str">
        <f>IF(N7=DC7,$CC$1,IF(N7=BY7,$AY$1,IF(N7=AU7,$U$1,"")))</f>
        <v>2018 Canada Cup</v>
      </c>
      <c r="P7" s="15">
        <f>MAX(AW7,CA7,DE7)</f>
        <v>69.800000000000011</v>
      </c>
      <c r="Q7" s="15" t="str">
        <f>IF(P7=DE7,$CC$1,IF(P7=CA7,$AY$1,IF(P7=AW7,$U$1,"")))</f>
        <v>2017 Canada Cup</v>
      </c>
      <c r="R7" s="15">
        <f>IF(MAX(DG7:DI7)&gt;0,MAX(DG7:DI7),"")</f>
        <v>0.49999999999998579</v>
      </c>
      <c r="S7" s="29" t="str">
        <f>IF(R7="","",IF(R7=DG7,"(Pass 1-2)",IF(R7=DH7,"(Pass 3-4)",IF(R7=DI7,"(Final)"))))</f>
        <v>(Pass 1-2)</v>
      </c>
      <c r="T7" s="15" t="str">
        <f>IF(R7="","",IF(R7=DG7,IF(R7+L7=RA7,$QB$1,IF(R7+L7=PW7,$OX$1,IF(R7+L7=OS7,$NT$1,IF(R7+L7=NO7,$MP$1,IF(R7+L7=MK7,$LL$1,IF(R7+L7=LG7,$KH$1,IF(R7+L7=KC7,$JD$1,IF(R7+L7=IY7,$HZ$1,IF(R7+L7=HU7,$GV$1,IF(R7+L7=GQ7,$FR$1,IF(R7+L7=FM7,$EN$1,IF(R7+L7=EI7,$DJ$1)))))))))))),IF(R7=DH7,IF(R7+N7=RB7,$QB$1,IF(R7+N7=PX7,$OX$1,IF(R7+N7=OT7,$NT$1,IF(R7+N7=NP7,$MP$1,IF(R7+N7=ML7,$LL$1,IF(R7+N7=LH7,$KH$1,IF(R7+N7=KD7,$JD$1,IF(R7+N7=IZ7,$HZ$1,IF(R7+N7=HV7,$GV$1,IF(R7+N7=GR7,$FR$1,IF(R7+N7=FN7,$EN$1,IF(R7+N7=EJ7,$DJ$1)))))))))))),IF(R7=DI7,IF(R7+P7=RD7,$QB$1,IF(R7+P7=PZ7,$OX$1,IF(R7+P7=OV7,$NT$1,IF(R7+P7=NR7,$MP$1,IF(R7+P7=MN7,$LL$1,IF(R7+P7=LJ7,$KH$1,IF(R7+P7=KF7,$JD$1,IF(R7+P7=JB7,$HZ$1,IF(R7+P7=HX7,$GV$1,IF(R7+P7=GT7,$FR$1,IF(R7+P7=FP7,$EN$1,IF(R7+P7=EL7,$DJ$1))))))))))))))))</f>
        <v>World Age Group Championships (Nov)</v>
      </c>
      <c r="U7" s="76">
        <v>27.5</v>
      </c>
      <c r="V7" s="76">
        <v>6</v>
      </c>
      <c r="W7" s="76">
        <v>1.2</v>
      </c>
      <c r="X7" s="76">
        <v>0</v>
      </c>
      <c r="Y7" s="76">
        <v>28.6</v>
      </c>
      <c r="Z7" s="76">
        <v>5.6</v>
      </c>
      <c r="AA7" s="76">
        <v>0.3</v>
      </c>
      <c r="AB7" s="76">
        <v>0</v>
      </c>
      <c r="AC7" s="76">
        <v>28.5</v>
      </c>
      <c r="AD7" s="76">
        <v>6.4</v>
      </c>
      <c r="AE7" s="76">
        <v>0.9</v>
      </c>
      <c r="AF7" s="76">
        <v>0</v>
      </c>
      <c r="AG7" s="76">
        <v>28</v>
      </c>
      <c r="AH7" s="76">
        <v>5.2</v>
      </c>
      <c r="AI7" s="76">
        <v>0.9</v>
      </c>
      <c r="AJ7" s="76">
        <v>0</v>
      </c>
      <c r="AK7" s="76">
        <v>28.3</v>
      </c>
      <c r="AL7" s="76">
        <v>7.2</v>
      </c>
      <c r="AM7" s="76">
        <v>0.3</v>
      </c>
      <c r="AN7" s="76">
        <v>0</v>
      </c>
      <c r="AO7" s="76">
        <v>27.7</v>
      </c>
      <c r="AP7" s="76">
        <v>6.9</v>
      </c>
      <c r="AQ7" s="76">
        <v>0</v>
      </c>
      <c r="AR7" s="76">
        <v>0</v>
      </c>
      <c r="AS7" s="12">
        <f>IF(SUM(V7,Z7,AD7,AH7)&gt;0,SUM(V7,Z7,AD7,AH7),"")</f>
        <v>23.2</v>
      </c>
      <c r="AT7" s="12">
        <f>IF(SUM(U7:V7,X7:Z7,AB7)-SUM(W7,AA7)&gt;0,SUM(U7:V7,X7:Z7,AB7)-SUM(W7,AA7),"")</f>
        <v>66.2</v>
      </c>
      <c r="AU7" s="12">
        <f>IF(SUM(AC7:AD7,AF7:AH7,AJ7)-SUM(AE7,AI7)&gt;0,SUM(AC7:AD7,AF7:AH7,AJ7)-SUM(AE7,AI7),"")</f>
        <v>66.3</v>
      </c>
      <c r="AV7" s="12">
        <f>IF(SUM(U7:V7,X7:Z7,AB7:AD7,AF7:AH7,AJ7)-SUM(W7,AA7,AE7,AI7)&gt;0,SUM(U7:V7,X7:Z7,AB7:AD7,AF7:AH7,AJ7)-SUM(W7,AA7,AE7,AI7),"")</f>
        <v>132.5</v>
      </c>
      <c r="AW7" s="12">
        <f>IF(SUM(AK7:AL7,AN7:AP7,AR7)-SUM(AM7,AQ7)&gt;0,SUM(AK7:AL7,AN7:AP7,AR7)-SUM(AM7,AQ7),"")</f>
        <v>69.800000000000011</v>
      </c>
      <c r="AX7" s="12">
        <f>IF(SUM(AV7,AW7)&gt;0,SUM(AV7,AW7),"")</f>
        <v>202.3</v>
      </c>
      <c r="AY7" s="46">
        <v>27.2</v>
      </c>
      <c r="AZ7" s="46">
        <v>6.9</v>
      </c>
      <c r="BA7" s="46">
        <v>0.3</v>
      </c>
      <c r="BB7" s="46">
        <v>0</v>
      </c>
      <c r="BC7" s="46">
        <v>28.4</v>
      </c>
      <c r="BD7" s="46">
        <v>6.4</v>
      </c>
      <c r="BE7" s="46">
        <v>0.9</v>
      </c>
      <c r="BF7" s="46">
        <v>0</v>
      </c>
      <c r="BG7" s="46">
        <v>28.6</v>
      </c>
      <c r="BH7" s="46">
        <v>5.6</v>
      </c>
      <c r="BI7" s="46">
        <v>0.3</v>
      </c>
      <c r="BJ7" s="46">
        <v>0</v>
      </c>
      <c r="BK7" s="46">
        <v>19.600000000000001</v>
      </c>
      <c r="BL7" s="46">
        <v>2.4</v>
      </c>
      <c r="BM7" s="46">
        <v>0</v>
      </c>
      <c r="BN7" s="46">
        <v>0</v>
      </c>
      <c r="BO7" s="46">
        <v>27.3</v>
      </c>
      <c r="BP7" s="46">
        <v>6.9</v>
      </c>
      <c r="BQ7" s="46">
        <v>0.3</v>
      </c>
      <c r="BR7" s="46">
        <v>0</v>
      </c>
      <c r="BS7" s="46">
        <v>28.4</v>
      </c>
      <c r="BT7" s="46">
        <v>7.2</v>
      </c>
      <c r="BU7" s="46">
        <v>0.3</v>
      </c>
      <c r="BV7" s="46">
        <v>0</v>
      </c>
      <c r="BW7" s="15">
        <f>IF(SUM(AZ7,BD7,BH7,BL7)&gt;0,SUM(AZ7,BD7,BH7,BL7),"")</f>
        <v>21.299999999999997</v>
      </c>
      <c r="BX7" s="15">
        <f>IF(SUM(AY7:AZ7,BB7:BD7,BF7)-SUM(BA7,BE7)&gt;0,SUM(AY7:AZ7,BB7:BD7,BF7)-SUM(BA7,BE7),"")</f>
        <v>67.7</v>
      </c>
      <c r="BY7" s="15">
        <f>IF(SUM(BG7:BH7,BJ7:BL7,BN7)-SUM(BI7,BM7)&gt;0,SUM(BG7:BH7,BJ7:BL7,BN7)-SUM(BI7,BM7),"")</f>
        <v>55.900000000000006</v>
      </c>
      <c r="BZ7" s="15">
        <f>IF(SUM(AY7:AZ7,BB7:BD7,BF7:BH7,BJ7:BL7,BN7)-SUM(BA7,BE7,BI7,BM7)&gt;0,SUM(AY7:AZ7,BB7:BD7,BF7:BH7,BJ7:BL7,BN7)-SUM(BA7,BE7,BI7,BM7),"")</f>
        <v>123.6</v>
      </c>
      <c r="CA7" s="15">
        <f>IF(SUM(BO7:BP7,BR7:BT7,BV7)-SUM(BQ7,BU7)&gt;0,SUM(BO7:BP7,BR7:BT7,BV7)-SUM(BQ7,BU7),"")</f>
        <v>69.2</v>
      </c>
      <c r="CB7" s="15">
        <f>IF(SUM(BZ7,CA7)&gt;0,SUM(BZ7,CA7),"")</f>
        <v>192.8</v>
      </c>
      <c r="CC7" s="45">
        <v>28.5</v>
      </c>
      <c r="CD7" s="45">
        <v>7.6</v>
      </c>
      <c r="CE7" s="45">
        <v>0.9</v>
      </c>
      <c r="CF7" s="45">
        <v>0</v>
      </c>
      <c r="CG7" s="45">
        <v>26.9</v>
      </c>
      <c r="CH7" s="45">
        <v>7.2</v>
      </c>
      <c r="CI7" s="45">
        <v>1.2</v>
      </c>
      <c r="CJ7" s="45">
        <v>0</v>
      </c>
      <c r="CK7" s="45">
        <v>20.399999999999999</v>
      </c>
      <c r="CL7" s="45">
        <v>2.8</v>
      </c>
      <c r="CM7" s="45">
        <v>0</v>
      </c>
      <c r="CN7" s="45">
        <v>0</v>
      </c>
      <c r="CO7" s="45">
        <v>27.8</v>
      </c>
      <c r="CP7" s="45">
        <v>7.6</v>
      </c>
      <c r="CQ7" s="45">
        <v>0</v>
      </c>
      <c r="CR7" s="45">
        <v>0</v>
      </c>
      <c r="CS7" s="45">
        <v>0</v>
      </c>
      <c r="CT7" s="45">
        <v>0</v>
      </c>
      <c r="CU7" s="45">
        <v>0</v>
      </c>
      <c r="CV7" s="45">
        <v>0</v>
      </c>
      <c r="CW7" s="45">
        <v>0</v>
      </c>
      <c r="CX7" s="45">
        <v>0</v>
      </c>
      <c r="CY7" s="45">
        <v>0</v>
      </c>
      <c r="CZ7" s="45">
        <v>0</v>
      </c>
      <c r="DA7" s="12">
        <f>IF(SUM(CD7,CH7,CL7,CP7)&gt;0,SUM(CD7,CH7,CL7,CP7),"")</f>
        <v>25.200000000000003</v>
      </c>
      <c r="DB7" s="12">
        <f>IF(SUM(CC7:CD7,CF7:CH7,CJ7)-SUM(CE7,CI7)&gt;0,SUM(CC7:CD7,CF7:CH7,CJ7)-SUM(CE7,CI7),"")</f>
        <v>68.100000000000009</v>
      </c>
      <c r="DC7" s="12">
        <f>IF(SUM(CK7:CL7,CN7:CP7,CR7)-SUM(CM7,CQ7)&gt;0,SUM(CK7:CL7,CN7:CP7,CR7)-SUM(CM7,CQ7),"")</f>
        <v>58.6</v>
      </c>
      <c r="DD7" s="12">
        <f>IF(SUM(CC7:CD7,CF7:CH7,CJ7:CL7,CN7:CP7,CR7)-SUM(CE7,CI7,CM7,CQ7)&gt;0,SUM(CC7:CD7,CF7:CH7,CJ7:CL7,CN7:CP7,CR7)-SUM(CE7,CI7,CM7,CQ7),"")</f>
        <v>126.69999999999999</v>
      </c>
      <c r="DE7" s="12" t="str">
        <f>IF(SUM(CS7:CT7,CV7:CX7,CZ7)-SUM(CU7,CY7)&gt;0,SUM(CS7:CT7,CV7:CX7,CZ7)-SUM(CU7,CY7),"")</f>
        <v/>
      </c>
      <c r="DF7" s="12">
        <f>IF(SUM(DD7,DE7)&gt;0,SUM(DD7,DE7),"")</f>
        <v>126.69999999999999</v>
      </c>
      <c r="DG7" s="28">
        <f>IF(MAX(EI7,FM7,GQ7,HU7,IY7,KC7,LG7,MK7,NO7,OS7,PW7,RA7)-L7&gt;0.001,MAX(EI7,FM7,GQ7,HU7,IY7,KC7,LG7,MK7,NO7,OS7,PW7,RA7)-L7,"")</f>
        <v>0.49999999999998579</v>
      </c>
      <c r="DH7" s="28" t="str">
        <f>IF(MAX(EJ7,FN7,GR7,HV7,IZ7,KD7,LH7,ML7,NP7,OT7,PX7,RB7)-N7&gt;0.001,MAX(EJ7,FN7,GR7,HV7,IZ7,KD7,LH7,ML7,NP7,OT7,PX7,RB7)-N7,"")</f>
        <v/>
      </c>
      <c r="DI7" s="28" t="str">
        <f>IF(MAX(EL7,FP7,GT7,HX7,JB7,KF7,LJ7,MN7,OV7,PZ7,RD7)-P7&gt;0.001,MAX(EL7,FP7,GT7,HX7,JB7,KF7,LJ7,MN7,OV7,PZ7,RD7)-P7,"")</f>
        <v/>
      </c>
      <c r="DJ7" s="45">
        <v>27.3</v>
      </c>
      <c r="DK7" s="45">
        <v>7.3</v>
      </c>
      <c r="DL7" s="45">
        <v>0.6</v>
      </c>
      <c r="DM7" s="45">
        <v>0</v>
      </c>
      <c r="DN7" s="45">
        <v>27.3</v>
      </c>
      <c r="DO7" s="45">
        <v>7.6</v>
      </c>
      <c r="DP7" s="45">
        <v>0.3</v>
      </c>
      <c r="DQ7" s="45">
        <v>0</v>
      </c>
      <c r="DR7" s="45"/>
      <c r="DS7" s="45"/>
      <c r="DT7" s="45"/>
      <c r="DU7" s="45"/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12">
        <f>IF(SUM(DK7,DO7,DS7,DW7)&gt;0,SUM(DK7,DO7,DS7,DW7),"")</f>
        <v>14.899999999999999</v>
      </c>
      <c r="EI7" s="12">
        <f>IF(SUM(DJ7:DK7,DM7:DO7,DQ7)-SUM(DL7,DP7)&gt;0,SUM(DJ7:DK7,DM7:DO7,DQ7)-SUM(DL7,DP7),"")</f>
        <v>68.599999999999994</v>
      </c>
      <c r="EJ7" s="12" t="str">
        <f>IF(SUM(DR7:DS7,DU7:DW7,DY7)-SUM(DT7,DX7)&gt;0,SUM(DR7:DS7,DU7:DW7,DY7)-SUM(DT7,DX7),"")</f>
        <v/>
      </c>
      <c r="EK7" s="12">
        <f>IF(SUM(DJ7:DK7,DM7:DO7,DQ7:DS7,DU7:DW7,DY7)-SUM(DL7,DP7,DT7,DX7)&gt;0,SUM(DJ7:DK7,DM7:DO7,DQ7:DS7,DU7:DW7,DY7)-SUM(DL7,DP7,DT7,DX7),"")</f>
        <v>68.599999999999994</v>
      </c>
      <c r="EL7" s="12" t="str">
        <f>IF(SUM(DZ7:EA7,EC7:EE7,EG7)-SUM(EB7,EF7)&gt;0,SUM(DZ7:EA7,EC7:EE7,EG7)-SUM(EB7,EF7),"")</f>
        <v/>
      </c>
      <c r="EM7" s="12">
        <f>IF(SUM(EK7,EL7)&gt;0,SUM(EK7,EL7),"")</f>
        <v>68.599999999999994</v>
      </c>
      <c r="EN7" s="50"/>
      <c r="EO7" s="50"/>
      <c r="EP7" s="50"/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  <c r="FF7" s="50"/>
      <c r="FG7" s="50"/>
      <c r="FH7" s="50"/>
      <c r="FI7" s="50"/>
      <c r="FJ7" s="50"/>
      <c r="FK7" s="50"/>
      <c r="FL7" s="15" t="str">
        <f>IF(SUM(EO7,ES7,EW7,FA7)&gt;0,SUM(EO7,ES7,EW7,FA7),"")</f>
        <v/>
      </c>
      <c r="FM7" s="15" t="str">
        <f>IF(SUM(EN7:EO7,EQ7:ES7,EU7)-SUM(EP7,ET7)&gt;0,SUM(EN7:EO7,EQ7:ES7,EU7)-SUM(EP7,ET7),"")</f>
        <v/>
      </c>
      <c r="FN7" s="15" t="str">
        <f>IF(SUM(EV7:EW7,EY7:FA7,FC7)-SUM(EX7,FB7)&gt;0,SUM(EV7:EW7,EY7:FA7,FC7)-SUM(EX7,FB7),"")</f>
        <v/>
      </c>
      <c r="FO7" s="15" t="str">
        <f>IF(SUM(EN7:EO7,EQ7:ES7,EU7:EW7,EY7:FA7,FC7)-SUM(EP7,ET7,EX7,FB7)&gt;0,SUM(EN7:EO7,EQ7:ES7,EU7:EW7,EY7:FA7,FC7)-SUM(EP7,ET7,EX7,FB7),"")</f>
        <v/>
      </c>
      <c r="FP7" s="15" t="str">
        <f>IF(SUM(FD7:FE7,FG7:FI7,FK7)-SUM(FF7,FJ7)&gt;0,SUM(FD7:FE7,FG7:FI7,FK7)-SUM(FF7,FJ7),"")</f>
        <v/>
      </c>
      <c r="FQ7" s="15" t="str">
        <f>IF(SUM(FO7,FP7)&gt;0,SUM(FO7,FP7),"")</f>
        <v/>
      </c>
      <c r="FR7" s="51"/>
      <c r="FS7" s="51"/>
      <c r="FT7" s="51"/>
      <c r="FU7" s="51"/>
      <c r="FV7" s="51"/>
      <c r="FW7" s="51"/>
      <c r="FX7" s="51"/>
      <c r="FY7" s="51"/>
      <c r="FZ7" s="51"/>
      <c r="GA7" s="51"/>
      <c r="GB7" s="51"/>
      <c r="GC7" s="51"/>
      <c r="GD7" s="51"/>
      <c r="GE7" s="51"/>
      <c r="GF7" s="51"/>
      <c r="GG7" s="51"/>
      <c r="GH7" s="51"/>
      <c r="GI7" s="51"/>
      <c r="GJ7" s="51"/>
      <c r="GK7" s="51"/>
      <c r="GL7" s="51"/>
      <c r="GM7" s="51"/>
      <c r="GN7" s="51"/>
      <c r="GO7" s="51"/>
      <c r="GP7" s="12" t="str">
        <f>IF(SUM(FS7,FW7,GA7,GE7)&gt;0,SUM(FS7,FW7,GA7,GE7),"")</f>
        <v/>
      </c>
      <c r="GQ7" s="12" t="str">
        <f>IF(SUM(FR7:FS7,FU7:FW7,FY7)-SUM(FT7,FX7)&gt;0,SUM(FR7:FS7,FU7:FW7,FY7)-SUM(FT7,FX7),"")</f>
        <v/>
      </c>
      <c r="GR7" s="12" t="str">
        <f>IF(SUM(FZ7:GA7,GC7:GE7,GG7)-SUM(GB7,GF7)&gt;0,SUM(FZ7:GA7,GC7:GE7,GG7)-SUM(GB7,GF7),"")</f>
        <v/>
      </c>
      <c r="GS7" s="12" t="str">
        <f>IF(SUM(FR7:FS7,FU7:FW7,FY7:GA7,GC7:GE7,GG7)-SUM(FT7,FX7,GB7,GF7)&gt;0,SUM(FR7:FS7,FU7:FW7,FY7:GA7,GC7:GE7,GG7)-SUM(FT7,FX7,GB7,GF7),"")</f>
        <v/>
      </c>
      <c r="GT7" s="12" t="str">
        <f>IF(SUM(GH7:GI7,GK7:GM7,GO7)-SUM(GJ7,GN7)&gt;0,SUM(GH7:GI7,GK7:GM7,GO7)-SUM(GJ7,GN7),"")</f>
        <v/>
      </c>
      <c r="GU7" s="12" t="str">
        <f>IF(SUM(GS7,GT7)&gt;0,SUM(GS7,GT7),"")</f>
        <v/>
      </c>
      <c r="GV7" s="50"/>
      <c r="GW7" s="50"/>
      <c r="GX7" s="50"/>
      <c r="GY7" s="50"/>
      <c r="GZ7" s="50"/>
      <c r="HA7" s="50"/>
      <c r="HB7" s="50"/>
      <c r="HC7" s="50"/>
      <c r="HD7" s="50"/>
      <c r="HE7" s="50"/>
      <c r="HF7" s="50"/>
      <c r="HG7" s="50"/>
      <c r="HH7" s="50"/>
      <c r="HI7" s="50"/>
      <c r="HJ7" s="50"/>
      <c r="HK7" s="50"/>
      <c r="HL7" s="50"/>
      <c r="HM7" s="50"/>
      <c r="HN7" s="50"/>
      <c r="HO7" s="50"/>
      <c r="HP7" s="50"/>
      <c r="HQ7" s="50"/>
      <c r="HR7" s="50"/>
      <c r="HS7" s="50"/>
      <c r="HT7" s="15" t="str">
        <f>IF(SUM(GW7,HA7,HE7,HI7)&gt;0,SUM(GW7,HA7,HE7,HI7),"")</f>
        <v/>
      </c>
      <c r="HU7" s="15" t="str">
        <f>IF(SUM(GV7:GW7,GY7:HA7,HC7)-SUM(GX7,HB7)&gt;0,SUM(GV7:GW7,GY7:HA7,HC7)-SUM(GX7,HB7),"")</f>
        <v/>
      </c>
      <c r="HV7" s="15" t="str">
        <f>IF(SUM(HD7:HE7,HG7:HI7,HK7)-SUM(HF7,HJ7)&gt;0,SUM(HD7:HE7,HG7:HI7,HK7)-SUM(HF7,HJ7),"")</f>
        <v/>
      </c>
      <c r="HW7" s="15" t="str">
        <f>IF(SUM(GV7:GW7,GY7:HA7,HC7:HE7,HG7:HI7,HK7)-SUM(GX7,HB7,HF7,HJ7)&gt;0,SUM(GV7:GW7,GY7:HA7,HC7:HE7,HG7:HI7,HK7)-SUM(GX7,HB7,HF7,HJ7),"")</f>
        <v/>
      </c>
      <c r="HX7" s="15" t="str">
        <f>IF(SUM(HL7:HM7,HO7:HQ7,HS7)-SUM(HN7,HR7)&gt;0,SUM(HL7:HM7,HO7:HQ7,HS7)-SUM(HN7,HR7),"")</f>
        <v/>
      </c>
      <c r="HY7" s="15" t="str">
        <f>IF(SUM(HW7,HX7)&gt;0,SUM(HW7,HX7),"")</f>
        <v/>
      </c>
      <c r="HZ7" s="51"/>
      <c r="IA7" s="51"/>
      <c r="IB7" s="51"/>
      <c r="IC7" s="51"/>
      <c r="ID7" s="51"/>
      <c r="IE7" s="51"/>
      <c r="IF7" s="51"/>
      <c r="IG7" s="51"/>
      <c r="IH7" s="51"/>
      <c r="II7" s="51"/>
      <c r="IJ7" s="51"/>
      <c r="IK7" s="51"/>
      <c r="IL7" s="51"/>
      <c r="IM7" s="51"/>
      <c r="IN7" s="51"/>
      <c r="IO7" s="51"/>
      <c r="IP7" s="51"/>
      <c r="IQ7" s="51"/>
      <c r="IR7" s="51"/>
      <c r="IS7" s="51"/>
      <c r="IT7" s="51"/>
      <c r="IU7" s="51"/>
      <c r="IV7" s="51"/>
      <c r="IW7" s="51"/>
      <c r="IX7" s="12" t="str">
        <f>IF(SUM(IA7,IE7,II7,IM7)&gt;0,SUM(IA7,IE7,II7,IM7),"")</f>
        <v/>
      </c>
      <c r="IY7" s="12" t="str">
        <f>IF(SUM(HZ7:IA7,IC7:IE7,IG7)-SUM(IB7,IF7)&gt;0,SUM(HZ7:IA7,IC7:IE7,IG7)-SUM(IB7,IF7),"")</f>
        <v/>
      </c>
      <c r="IZ7" s="12" t="str">
        <f>IF(SUM(IH7:II7,IK7:IM7,IO7)-SUM(IJ7,IN7)&gt;0,SUM(IH7:II7,IK7:IM7,IO7)-SUM(IJ7,IN7),"")</f>
        <v/>
      </c>
      <c r="JA7" s="12" t="str">
        <f>IF(SUM(HZ7:IA7,IC7:IE7,IG7:II7,IK7:IM7,IO7)-SUM(IB7,IF7,IJ7,IN7)&gt;0,SUM(HZ7:IA7,IC7:IE7,IG7:II7,IK7:IM7,IO7)-SUM(IB7,IF7,IJ7,IN7),"")</f>
        <v/>
      </c>
      <c r="JB7" s="12" t="str">
        <f>IF(SUM(IP7:IQ7,IS7:IU7,IW7)-SUM(IR7,IV7)&gt;0,SUM(IP7:IQ7,IS7:IU7,IW7)-SUM(IR7,IV7),"")</f>
        <v/>
      </c>
      <c r="JC7" s="12" t="str">
        <f>IF(SUM(JA7,JB7)&gt;0,SUM(JA7,JB7),"")</f>
        <v/>
      </c>
      <c r="JD7" s="50"/>
      <c r="JE7" s="50"/>
      <c r="JF7" s="50"/>
      <c r="JG7" s="50"/>
      <c r="JH7" s="50"/>
      <c r="JI7" s="50"/>
      <c r="JJ7" s="50"/>
      <c r="JK7" s="50"/>
      <c r="JL7" s="50"/>
      <c r="JM7" s="50"/>
      <c r="JN7" s="50"/>
      <c r="JO7" s="50"/>
      <c r="JP7" s="50"/>
      <c r="JQ7" s="50"/>
      <c r="JR7" s="50"/>
      <c r="JS7" s="50"/>
      <c r="JT7" s="50"/>
      <c r="JU7" s="50"/>
      <c r="JV7" s="50"/>
      <c r="JW7" s="50"/>
      <c r="JX7" s="50"/>
      <c r="JY7" s="50"/>
      <c r="JZ7" s="50"/>
      <c r="KA7" s="50"/>
      <c r="KB7" s="15" t="str">
        <f>IF(SUM(JE7,JI7,JM7,JQ7)&gt;0,SUM(JE7,JI7,JM7,JQ7),"")</f>
        <v/>
      </c>
      <c r="KC7" s="15" t="str">
        <f>IF(SUM(JD7:JE7,JG7:JI7,JK7)-SUM(JF7,JJ7)&gt;0,SUM(JD7:JE7,JG7:JI7,JK7)-SUM(JF7,JJ7),"")</f>
        <v/>
      </c>
      <c r="KD7" s="15" t="str">
        <f>IF(SUM(JL7:JM7,JO7:JQ7,JS7)-SUM(JN7,JR7)&gt;0,SUM(JL7:JM7,JO7:JQ7,JS7)-SUM(JN7,JR7),"")</f>
        <v/>
      </c>
      <c r="KE7" s="15" t="str">
        <f>IF(SUM(JD7:JE7,JG7:JI7,JK7:JM7,JO7:JQ7,JS7)-SUM(JF7,JJ7,JN7,JR7)&gt;0,SUM(JD7:JE7,JG7:JI7,JK7:JM7,JO7:JQ7,JS7)-SUM(JF7,JJ7,JN7,JR7),"")</f>
        <v/>
      </c>
      <c r="KF7" s="15" t="str">
        <f>IF(SUM(JT7:JU7,JW7:JY7,KA7)-SUM(JV7,JZ7)&gt;0,SUM(JT7:JU7,JW7:JY7,KA7)-SUM(JV7,JZ7),"")</f>
        <v/>
      </c>
      <c r="KG7" s="15" t="str">
        <f>IF(SUM(KE7,KF7)&gt;0,SUM(KE7,KF7),"")</f>
        <v/>
      </c>
      <c r="KH7" s="51"/>
      <c r="KI7" s="51"/>
      <c r="KJ7" s="51"/>
      <c r="KK7" s="51"/>
      <c r="KL7" s="51"/>
      <c r="KM7" s="51"/>
      <c r="KN7" s="51"/>
      <c r="KO7" s="51"/>
      <c r="KP7" s="51"/>
      <c r="KQ7" s="51"/>
      <c r="KR7" s="51"/>
      <c r="KS7" s="51"/>
      <c r="KT7" s="51"/>
      <c r="KU7" s="51"/>
      <c r="KV7" s="51"/>
      <c r="KW7" s="51"/>
      <c r="KX7" s="51"/>
      <c r="KY7" s="51"/>
      <c r="KZ7" s="51"/>
      <c r="LA7" s="51"/>
      <c r="LB7" s="51"/>
      <c r="LC7" s="51"/>
      <c r="LD7" s="51"/>
      <c r="LE7" s="51"/>
      <c r="LF7" s="12" t="str">
        <f>IF(SUM(KI7,KM7,KQ7,KU7)&gt;0,SUM(KI7,KM7,KQ7,KU7),"")</f>
        <v/>
      </c>
      <c r="LG7" s="12" t="str">
        <f>IF(SUM(KH7:KI7,KK7:KM7,KO7)-SUM(KJ7,KN7)&gt;0,SUM(KH7:KI7,KK7:KM7,KO7)-SUM(KJ7,KN7),"")</f>
        <v/>
      </c>
      <c r="LH7" s="12" t="str">
        <f>IF(SUM(KP7:KQ7,KS7:KU7,KW7)-SUM(KR7,KV7)&gt;0,SUM(KP7:KQ7,KS7:KU7,KW7)-SUM(KR7,KV7),"")</f>
        <v/>
      </c>
      <c r="LI7" s="12" t="str">
        <f>IF(SUM(KH7:KI7,KK7:KM7,KO7:KQ7,KS7:KU7,KW7)-SUM(KJ7,KN7,KR7,KV7)&gt;0,SUM(KH7:KI7,KK7:KM7,KO7:KQ7,KS7:KU7,KW7)-SUM(KJ7,KN7,KR7,KV7),"")</f>
        <v/>
      </c>
      <c r="LJ7" s="12" t="str">
        <f>IF(SUM(KX7:KY7,LA7:LC7,LE7)-SUM(KZ7,LD7)&gt;0,SUM(KX7:KY7,LA7:LC7,LE7)-SUM(KZ7,LD7),"")</f>
        <v/>
      </c>
      <c r="LK7" s="12" t="str">
        <f>IF(SUM(LI7,LJ7)&gt;0,SUM(LI7,LJ7),"")</f>
        <v/>
      </c>
      <c r="LL7" s="50"/>
      <c r="LM7" s="50"/>
      <c r="LN7" s="50"/>
      <c r="LO7" s="50"/>
      <c r="LP7" s="50"/>
      <c r="LQ7" s="50"/>
      <c r="LR7" s="50"/>
      <c r="LS7" s="50"/>
      <c r="LT7" s="50"/>
      <c r="LU7" s="50"/>
      <c r="LV7" s="50"/>
      <c r="LW7" s="50"/>
      <c r="LX7" s="50"/>
      <c r="LY7" s="50"/>
      <c r="LZ7" s="50"/>
      <c r="MA7" s="50"/>
      <c r="MB7" s="50"/>
      <c r="MC7" s="50"/>
      <c r="MD7" s="50"/>
      <c r="ME7" s="50"/>
      <c r="MF7" s="50"/>
      <c r="MG7" s="50"/>
      <c r="MH7" s="50"/>
      <c r="MI7" s="50"/>
      <c r="MJ7" s="15" t="str">
        <f>IF(SUM(LM7,LQ7,LU7,LY7)&gt;0,SUM(LM7,LQ7,LU7,LY7),"")</f>
        <v/>
      </c>
      <c r="MK7" s="15" t="str">
        <f>IF(SUM(LL7:LM7,LO7:LQ7,LS7)-SUM(LN7,LR7)&gt;0,SUM(LL7:LM7,LO7:LQ7,LS7)-SUM(LN7,LR7),"")</f>
        <v/>
      </c>
      <c r="ML7" s="15" t="str">
        <f>IF(SUM(LT7:LU7,LW7:LY7,MA7)-SUM(LV7,LZ7)&gt;0,SUM(LT7:LU7,LW7:LY7,MA7)-SUM(LV7,LZ7),"")</f>
        <v/>
      </c>
      <c r="MM7" s="15" t="str">
        <f>IF(SUM(LL7:LM7,LO7:LQ7,LS7:LU7,LW7:LY7,MA7)-SUM(LN7,LR7,LV7,LZ7)&gt;0,SUM(LL7:LM7,LO7:LQ7,LS7:LU7,LW7:LY7,MA7)-SUM(LN7,LR7,LV7,LZ7),"")</f>
        <v/>
      </c>
      <c r="MN7" s="15" t="str">
        <f>IF(SUM(MB7:MC7,ME7:MG7,MI7)-SUM(MD7,MH7)&gt;0,SUM(MB7:MC7,ME7:MG7,MI7)-SUM(MD7,MH7),"")</f>
        <v/>
      </c>
      <c r="MO7" s="15" t="str">
        <f>IF(SUM(MM7,MN7)&gt;0,SUM(MM7,MN7),"")</f>
        <v/>
      </c>
      <c r="MP7" s="51"/>
      <c r="MQ7" s="51"/>
      <c r="MR7" s="51"/>
      <c r="MS7" s="51"/>
      <c r="MT7" s="51"/>
      <c r="MU7" s="51"/>
      <c r="MV7" s="51"/>
      <c r="MW7" s="51"/>
      <c r="MX7" s="51"/>
      <c r="MY7" s="51"/>
      <c r="MZ7" s="51"/>
      <c r="NA7" s="51"/>
      <c r="NB7" s="51"/>
      <c r="NC7" s="51"/>
      <c r="ND7" s="51"/>
      <c r="NE7" s="51"/>
      <c r="NF7" s="51"/>
      <c r="NG7" s="51"/>
      <c r="NH7" s="51"/>
      <c r="NI7" s="51"/>
      <c r="NJ7" s="51"/>
      <c r="NK7" s="51"/>
      <c r="NL7" s="51"/>
      <c r="NM7" s="51"/>
      <c r="NN7" s="12" t="str">
        <f>IF(SUM(MQ7,MU7,MY7,NC7)&gt;0,SUM(MQ7,MU7,MY7,NC7),"")</f>
        <v/>
      </c>
      <c r="NO7" s="12" t="str">
        <f>IF(SUM(MP7:MQ7,MS7:MU7,MW7)-SUM(MR7,MV7)&gt;0,SUM(MP7:MQ7,MS7:MU7,MW7)-SUM(MR7,MV7),"")</f>
        <v/>
      </c>
      <c r="NP7" s="12" t="str">
        <f>IF(SUM(MX7:MY7,NA7:NC7,NE7)-SUM(MZ7,ND7)&gt;0,SUM(MX7:MY7,NA7:NC7,NE7)-SUM(MZ7,ND7),"")</f>
        <v/>
      </c>
      <c r="NQ7" s="12" t="str">
        <f>IF(SUM(MP7:MQ7,MS7:MU7,MW7:MY7,NA7:NC7,NE7)-SUM(MR7,MV7,MZ7,ND7)&gt;0,SUM(MP7:MQ7,MS7:MU7,MW7:MY7,NA7:NC7,NE7)-SUM(MR7,MV7,MZ7,ND7),"")</f>
        <v/>
      </c>
      <c r="NR7" s="12" t="str">
        <f>IF(SUM(NF7:NG7,NI7:NK7,NM7)-SUM(NH7,NL7)&gt;0,SUM(NF7:NG7,NI7:NK7,NM7)-SUM(NH7,NL7),"")</f>
        <v/>
      </c>
      <c r="NS7" s="12" t="str">
        <f>IF(SUM(NQ7,NR7)&gt;0,SUM(NQ7,NR7),"")</f>
        <v/>
      </c>
      <c r="NT7" s="50"/>
      <c r="NU7" s="50"/>
      <c r="NV7" s="50"/>
      <c r="NW7" s="50"/>
      <c r="NX7" s="50"/>
      <c r="NY7" s="50"/>
      <c r="NZ7" s="50"/>
      <c r="OA7" s="50"/>
      <c r="OB7" s="50"/>
      <c r="OC7" s="50"/>
      <c r="OD7" s="50"/>
      <c r="OE7" s="50"/>
      <c r="OF7" s="50"/>
      <c r="OG7" s="50"/>
      <c r="OH7" s="50"/>
      <c r="OI7" s="50"/>
      <c r="OJ7" s="50"/>
      <c r="OK7" s="50"/>
      <c r="OL7" s="50"/>
      <c r="OM7" s="50"/>
      <c r="ON7" s="50"/>
      <c r="OO7" s="50"/>
      <c r="OP7" s="50"/>
      <c r="OQ7" s="50"/>
      <c r="OR7" s="15" t="str">
        <f>IF(SUM(NU7,NY7,OC7,OG7)&gt;0,SUM(NU7,NY7,OC7,OG7),"")</f>
        <v/>
      </c>
      <c r="OS7" s="15" t="str">
        <f>IF(SUM(NT7:NU7,NW7:NY7,OA7)-SUM(NV7,NZ7)&gt;0,SUM(NT7:NU7,NW7:NY7,OA7)-SUM(NV7,NZ7),"")</f>
        <v/>
      </c>
      <c r="OT7" s="15" t="str">
        <f>IF(SUM(OB7:OC7,OE7:OG7,OI7)-SUM(OD7,OH7)&gt;0,SUM(OB7:OC7,OE7:OG7,OI7)-SUM(OD7,OH7),"")</f>
        <v/>
      </c>
      <c r="OU7" s="15" t="str">
        <f>IF(SUM(NT7:NU7,NW7:NY7,OA7:OC7,OE7:OG7,OI7)-SUM(NV7,NZ7,OD7,OH7)&gt;0,SUM(NT7:NU7,NW7:NY7,OA7:OC7,OE7:OG7,OI7)-SUM(NV7,NZ7,OD7,OH7),"")</f>
        <v/>
      </c>
      <c r="OV7" s="15" t="str">
        <f>IF(SUM(OJ7:OK7,OM7:OO7,OQ7)-SUM(OL7,OP7)&gt;0,SUM(OJ7:OK7,OM7:OO7,OQ7)-SUM(OL7,OP7),"")</f>
        <v/>
      </c>
      <c r="OW7" s="15" t="str">
        <f>IF(SUM(OU7,OV7)&gt;0,SUM(OU7,OV7),"")</f>
        <v/>
      </c>
      <c r="OX7" s="51"/>
      <c r="OY7" s="51"/>
      <c r="OZ7" s="51"/>
      <c r="PA7" s="51"/>
      <c r="PB7" s="51"/>
      <c r="PC7" s="51"/>
      <c r="PD7" s="51"/>
      <c r="PE7" s="51"/>
      <c r="PF7" s="51"/>
      <c r="PG7" s="51"/>
      <c r="PH7" s="51"/>
      <c r="PI7" s="51"/>
      <c r="PJ7" s="51"/>
      <c r="PK7" s="51"/>
      <c r="PL7" s="51"/>
      <c r="PM7" s="51"/>
      <c r="PN7" s="51"/>
      <c r="PO7" s="51"/>
      <c r="PP7" s="51"/>
      <c r="PQ7" s="51"/>
      <c r="PR7" s="51"/>
      <c r="PS7" s="51"/>
      <c r="PT7" s="51"/>
      <c r="PU7" s="51"/>
      <c r="PV7" s="12" t="str">
        <f>IF(SUM(OY7,PC7,PG7,PK7)&gt;0,SUM(OY7,PC7,PG7,PK7),"")</f>
        <v/>
      </c>
      <c r="PW7" s="12" t="str">
        <f>IF(SUM(OX7:OY7,PA7:PC7,PE7)-SUM(OZ7,PD7)&gt;0,SUM(OX7:OY7,PA7:PC7,PE7)-SUM(OZ7,PD7),"")</f>
        <v/>
      </c>
      <c r="PX7" s="12" t="str">
        <f>IF(SUM(PF7:PG7,PI7:PK7,PM7)-SUM(PH7,PL7)&gt;0,SUM(PF7:PG7,PI7:PK7,PM7)-SUM(PH7,PL7),"")</f>
        <v/>
      </c>
      <c r="PY7" s="12" t="str">
        <f>IF(SUM(OX7:OY7,PA7:PC7,PE7:PG7,PI7:PK7,PM7)-SUM(OZ7,PD7,PH7,PL7)&gt;0,SUM(OX7:OY7,PA7:PC7,PE7:PG7,PI7:PK7,PM7)-SUM(OZ7,PD7,PH7,PL7),"")</f>
        <v/>
      </c>
      <c r="PZ7" s="12" t="str">
        <f>IF(SUM(PN7:PO7,PQ7:PS7,PU7)-SUM(PP7,PT7)&gt;0,SUM(PN7:PO7,PQ7:PS7,PU7)-SUM(PP7,PT7),"")</f>
        <v/>
      </c>
      <c r="QA7" s="12" t="str">
        <f>IF(SUM(PY7,PZ7)&gt;0,SUM(PY7,PZ7),"")</f>
        <v/>
      </c>
      <c r="QB7" s="50"/>
      <c r="QC7" s="50"/>
      <c r="QD7" s="50"/>
      <c r="QE7" s="50"/>
      <c r="QF7" s="50"/>
      <c r="QG7" s="50"/>
      <c r="QH7" s="50"/>
      <c r="QI7" s="50"/>
      <c r="QJ7" s="50"/>
      <c r="QK7" s="50"/>
      <c r="QL7" s="50"/>
      <c r="QM7" s="50"/>
      <c r="QN7" s="50"/>
      <c r="QO7" s="50"/>
      <c r="QP7" s="50"/>
      <c r="QQ7" s="50"/>
      <c r="QR7" s="50"/>
      <c r="QS7" s="50"/>
      <c r="QT7" s="50"/>
      <c r="QU7" s="50"/>
      <c r="QV7" s="50"/>
      <c r="QW7" s="50"/>
      <c r="QX7" s="50"/>
      <c r="QY7" s="50"/>
      <c r="QZ7" s="15" t="str">
        <f>IF(SUM(QC7,QG7,QK7,QO7)&gt;0,SUM(QC7,QG7,QK7,QO7),"")</f>
        <v/>
      </c>
      <c r="RA7" s="15" t="str">
        <f>IF(SUM(QB7:QC7,QE7:QG7,QI7)-SUM(QD7,QH7)&gt;0,SUM(QB7:QC7,QE7:QG7,QI7)-SUM(QD7,QH7),"")</f>
        <v/>
      </c>
      <c r="RB7" s="15" t="str">
        <f>IF(SUM(QJ7:QK7,QM7:QO7,QQ7)-SUM(QL7,QP7)&gt;0,SUM(QJ7:QK7,QM7:QO7,QQ7)-SUM(QL7,QP7),"")</f>
        <v/>
      </c>
      <c r="RC7" s="15" t="str">
        <f>IF(SUM(QB7:QC7,QE7:QG7,QI7:QK7,QM7:QO7,QQ7)-SUM(QD7,QH7,QL7,QP7)&gt;0,SUM(QB7:QC7,QE7:QG7,QI7:QK7,QM7:QO7,QQ7)-SUM(QD7,QH7,QL7,QP7),"")</f>
        <v/>
      </c>
      <c r="RD7" s="15" t="str">
        <f>IF(SUM(QR7:QS7,QU7:QW7,QY7)-SUM(QT7,QX7)&gt;0,SUM(QR7:QS7,QU7:QW7,QY7)-SUM(QT7,QX7),"")</f>
        <v/>
      </c>
      <c r="RE7" s="15" t="str">
        <f>IF(SUM(RC7,RD7)&gt;0,SUM(RC7,RD7),"")</f>
        <v/>
      </c>
    </row>
    <row r="8" spans="1:473">
      <c r="A8" s="6">
        <f>IF(AND(F8="P",H8="P"),SUMPRODUCT((F$4:F$14="P")*(H$4:H$14="P")*(E$4:E$14&gt;E8))+1,IF(H8="P",SUMPRODUCT((F$4:F$14="")*(H$4:H$14="P")*(E$4:E$14&gt;E8))+1+SUMPRODUCT((F$4:F$14="P")*(H$4:H$14="P")),""))</f>
        <v>4</v>
      </c>
      <c r="B8" s="9" t="s">
        <v>77</v>
      </c>
      <c r="C8" s="5" t="s">
        <v>5</v>
      </c>
      <c r="D8" s="6">
        <v>2001</v>
      </c>
      <c r="E8" s="16">
        <f>SUM(J8:R8)</f>
        <v>335.90000000000003</v>
      </c>
      <c r="F8" s="4" t="str">
        <f>IF(OR(AND($AS8&gt;=$AT$17,NOT($AS8="")),AND($BW8&gt;=$BX$17,NOT($BW8="")),AND($DA8&gt;=$DB$17,NOT($DA8=""))),"P","")</f>
        <v/>
      </c>
      <c r="G8" s="4" t="str">
        <f>IF(OR(AND($AS8&gt;=$AT$18,NOT($AS8="")),AND($BW8&gt;=$BX$18,NOT($BW8="")),AND($DA8&gt;=$DB$18,NOT($DA8=""))),"P","")</f>
        <v/>
      </c>
      <c r="H8" s="4" t="str">
        <f>IF(OR(AND($AV8&gt;=$AT$19,NOT($AV8="")),AND($BZ8&gt;=$BX$19,NOT($BZ8="")),AND($DD8&gt;=$DB$19,NOT($DD8=""))),"P","")</f>
        <v>P</v>
      </c>
      <c r="I8" t="str">
        <f>IF(AND(F8="P",OR(AND($AV8&gt;=$AT$22,NOT($AV8="")),AND($BZ8&gt;=$BX$22,NOT($BZ8="")),AND($DD8&gt;=$DB$22,NOT($DD8="")))),"Merit",IF(AND(F8="P",OR(AND($AV8&gt;=$AT$21,NOT($AV8="")),AND($BZ8&gt;=$BX$21,NOT($BZ8="")),AND($DD8&gt;=$DB$21,NOT($DD8="")))),"Funding",IF(AND(F8="P",OR(AND($AV8&gt;=$AT$20,NOT($AV8="")),AND($BZ8&gt;=$BX$20,NOT($BZ8="")),AND($DD8&gt;=$DB$20,NOT($DD8="")))),"Worlds Team",IF(AND(F8="P",OR(AND($AV8&gt;=$AT$19,NOT($AV8="")),AND($BZ8&gt;=$BX$19,NOT($BZ8="")),AND($DD8&gt;=$DB$19,NOT($DD8="")))),"National Team",""))))</f>
        <v/>
      </c>
      <c r="J8" s="15">
        <f>MAX(AV8,BZ8,DD8)</f>
        <v>133.80000000000001</v>
      </c>
      <c r="K8" s="15" t="str">
        <f>IF(J8=DD8,$CC$1,IF(J8=BZ8,$AY$1,IF(J8=AV8,$U$1,"")))</f>
        <v>2017 Nationals</v>
      </c>
      <c r="L8" s="15">
        <f>IF($J8=$AV8,MAX(BX8,DB8),IF($J8=$BZ8,MAX(AT8,DB8),MAX(AT8,BX8)))</f>
        <v>67.099999999999994</v>
      </c>
      <c r="M8" s="15" t="str">
        <f>IF(L8=DB8,$CC$1,IF(L8=BX8,$AY$1,IF(L8=AT8,$U$1,"")))</f>
        <v>2018 Canada Cup</v>
      </c>
      <c r="N8" s="15">
        <f>IF($J8=$AV8,MAX(BY8,DC8),IF($J8=$BZ8,MAX(AU8,DC8),MAX(AU8,BY8)))</f>
        <v>66.7</v>
      </c>
      <c r="O8" s="15" t="str">
        <f>IF(N8=DC8,$CC$1,IF(N8=BY8,$AY$1,IF(N8=AU8,$U$1,"")))</f>
        <v>2017 Canada Cup</v>
      </c>
      <c r="P8" s="15">
        <f>MAX(AW8,CA8,DE8)</f>
        <v>68.099999999999994</v>
      </c>
      <c r="Q8" s="15" t="str">
        <f>IF(P8=DE8,$CC$1,IF(P8=CA8,$AY$1,IF(P8=AW8,$U$1,"")))</f>
        <v>2017 Canada Cup</v>
      </c>
      <c r="R8" s="15">
        <f>IF(MAX(DG8:DI8)&gt;0,MAX(DG8:DI8),"")</f>
        <v>0.20000000000000284</v>
      </c>
      <c r="S8" s="29" t="str">
        <f>IF(R8="","",IF(R8=DG8,"(Pass 1-2)",IF(R8=DH8,"(Pass 3-4)",IF(R8=DI8,"(Final)"))))</f>
        <v>(Pass 1-2)</v>
      </c>
      <c r="T8" s="15" t="str">
        <f>IF(R8="","",IF(R8=DG8,IF(R8+L8=RA8,$QB$1,IF(R8+L8=PW8,$OX$1,IF(R8+L8=OS8,$NT$1,IF(R8+L8=NO8,$MP$1,IF(R8+L8=MK8,$LL$1,IF(R8+L8=LG8,$KH$1,IF(R8+L8=KC8,$JD$1,IF(R8+L8=IY8,$HZ$1,IF(R8+L8=HU8,$GV$1,IF(R8+L8=GQ8,$FR$1,IF(R8+L8=FM8,$EN$1,IF(R8+L8=EI8,$DJ$1)))))))))))),IF(R8=DH8,IF(R8+N8=RB8,$QB$1,IF(R8+N8=PX8,$OX$1,IF(R8+N8=OT8,$NT$1,IF(R8+N8=NP8,$MP$1,IF(R8+N8=ML8,$LL$1,IF(R8+N8=LH8,$KH$1,IF(R8+N8=KD8,$JD$1,IF(R8+N8=IZ8,$HZ$1,IF(R8+N8=HV8,$GV$1,IF(R8+N8=GR8,$FR$1,IF(R8+N8=FN8,$EN$1,IF(R8+N8=EJ8,$DJ$1)))))))))))),IF(R8=DI8,IF(R8+P8=RD8,$QB$1,IF(R8+P8=PZ8,$OX$1,IF(R8+P8=OV8,$NT$1,IF(R8+P8=NR8,$MP$1,IF(R8+P8=MN8,$LL$1,IF(R8+P8=LJ8,$KH$1,IF(R8+P8=KF8,$JD$1,IF(R8+P8=JB8,$HZ$1,IF(R8+P8=HX8,$GV$1,IF(R8+P8=GT8,$FR$1,IF(R8+P8=FP8,$EN$1,IF(R8+P8=EL8,$DJ$1))))))))))))))))</f>
        <v>World Age Group Championships (Nov)</v>
      </c>
      <c r="U8" s="76">
        <v>27.8</v>
      </c>
      <c r="V8" s="76">
        <v>5.6</v>
      </c>
      <c r="W8" s="76">
        <v>0.9</v>
      </c>
      <c r="X8" s="76">
        <v>0</v>
      </c>
      <c r="Y8" s="76">
        <v>28.4</v>
      </c>
      <c r="Z8" s="76">
        <v>6</v>
      </c>
      <c r="AA8" s="76">
        <v>0</v>
      </c>
      <c r="AB8" s="76">
        <v>0</v>
      </c>
      <c r="AC8" s="76">
        <v>28.6</v>
      </c>
      <c r="AD8" s="76">
        <v>4.4000000000000004</v>
      </c>
      <c r="AE8" s="76">
        <v>0</v>
      </c>
      <c r="AF8" s="76">
        <v>0</v>
      </c>
      <c r="AG8" s="76">
        <v>28.6</v>
      </c>
      <c r="AH8" s="76">
        <v>5.0999999999999996</v>
      </c>
      <c r="AI8" s="76">
        <v>0</v>
      </c>
      <c r="AJ8" s="76">
        <v>0</v>
      </c>
      <c r="AK8" s="76">
        <v>28.6</v>
      </c>
      <c r="AL8" s="76">
        <v>6</v>
      </c>
      <c r="AM8" s="76">
        <v>0</v>
      </c>
      <c r="AN8" s="76">
        <v>0</v>
      </c>
      <c r="AO8" s="76">
        <v>28.4</v>
      </c>
      <c r="AP8" s="76">
        <v>5.0999999999999996</v>
      </c>
      <c r="AQ8" s="76">
        <v>0</v>
      </c>
      <c r="AR8" s="76">
        <v>0</v>
      </c>
      <c r="AS8" s="12">
        <f>IF(SUM(V8,Z8,AD8,AH8)&gt;0,SUM(V8,Z8,AD8,AH8),"")</f>
        <v>21.1</v>
      </c>
      <c r="AT8" s="12">
        <f>IF(SUM(U8:V8,X8:Z8,AB8)-SUM(W8,AA8)&gt;0,SUM(U8:V8,X8:Z8,AB8)-SUM(W8,AA8),"")</f>
        <v>66.899999999999991</v>
      </c>
      <c r="AU8" s="12">
        <f>IF(SUM(AC8:AD8,AF8:AH8,AJ8)-SUM(AE8,AI8)&gt;0,SUM(AC8:AD8,AF8:AH8,AJ8)-SUM(AE8,AI8),"")</f>
        <v>66.7</v>
      </c>
      <c r="AV8" s="12">
        <f>IF(SUM(U8:V8,X8:Z8,AB8:AD8,AF8:AH8,AJ8)-SUM(W8,AA8,AE8,AI8)&gt;0,SUM(U8:V8,X8:Z8,AB8:AD8,AF8:AH8,AJ8)-SUM(W8,AA8,AE8,AI8),"")</f>
        <v>133.6</v>
      </c>
      <c r="AW8" s="12">
        <f>IF(SUM(AK8:AL8,AN8:AP8,AR8)-SUM(AM8,AQ8)&gt;0,SUM(AK8:AL8,AN8:AP8,AR8)-SUM(AM8,AQ8),"")</f>
        <v>68.099999999999994</v>
      </c>
      <c r="AX8" s="12">
        <f>IF(SUM(AV8,AW8)&gt;0,SUM(AV8,AW8),"")</f>
        <v>201.7</v>
      </c>
      <c r="AY8" s="46">
        <v>28.5</v>
      </c>
      <c r="AZ8" s="46">
        <v>6</v>
      </c>
      <c r="BA8" s="46">
        <v>0</v>
      </c>
      <c r="BB8" s="46">
        <v>0</v>
      </c>
      <c r="BC8" s="46">
        <v>28.4</v>
      </c>
      <c r="BD8" s="46">
        <v>5.0999999999999996</v>
      </c>
      <c r="BE8" s="46">
        <v>0</v>
      </c>
      <c r="BF8" s="46">
        <v>0</v>
      </c>
      <c r="BG8" s="46">
        <v>28.1</v>
      </c>
      <c r="BH8" s="46">
        <v>4.8</v>
      </c>
      <c r="BI8" s="46">
        <v>0</v>
      </c>
      <c r="BJ8" s="46">
        <v>0</v>
      </c>
      <c r="BK8" s="46">
        <v>28.1</v>
      </c>
      <c r="BL8" s="46">
        <v>4.8</v>
      </c>
      <c r="BM8" s="46">
        <v>0</v>
      </c>
      <c r="BN8" s="46">
        <v>0</v>
      </c>
      <c r="BO8" s="46">
        <v>28.1</v>
      </c>
      <c r="BP8" s="46">
        <v>6</v>
      </c>
      <c r="BQ8" s="46">
        <v>0</v>
      </c>
      <c r="BR8" s="46">
        <v>0</v>
      </c>
      <c r="BS8" s="46">
        <v>28.3</v>
      </c>
      <c r="BT8" s="46">
        <v>5.0999999999999996</v>
      </c>
      <c r="BU8" s="46">
        <v>0</v>
      </c>
      <c r="BV8" s="46">
        <v>0</v>
      </c>
      <c r="BW8" s="15">
        <f>IF(SUM(AZ8,BD8,BH8,BL8)&gt;0,SUM(AZ8,BD8,BH8,BL8),"")</f>
        <v>20.7</v>
      </c>
      <c r="BX8" s="15">
        <f>IF(SUM(AY8:AZ8,BB8:BD8,BF8)-SUM(BA8,BE8)&gt;0,SUM(AY8:AZ8,BB8:BD8,BF8)-SUM(BA8,BE8),"")</f>
        <v>68</v>
      </c>
      <c r="BY8" s="15">
        <f>IF(SUM(BG8:BH8,BJ8:BL8,BN8)-SUM(BI8,BM8)&gt;0,SUM(BG8:BH8,BJ8:BL8,BN8)-SUM(BI8,BM8),"")</f>
        <v>65.8</v>
      </c>
      <c r="BZ8" s="15">
        <f>IF(SUM(AY8:AZ8,BB8:BD8,BF8:BH8,BJ8:BL8,BN8)-SUM(BA8,BE8,BI8,BM8)&gt;0,SUM(AY8:AZ8,BB8:BD8,BF8:BH8,BJ8:BL8,BN8)-SUM(BA8,BE8,BI8,BM8),"")</f>
        <v>133.80000000000001</v>
      </c>
      <c r="CA8" s="15">
        <f>IF(SUM(BO8:BP8,BR8:BT8,BV8)-SUM(BQ8,BU8)&gt;0,SUM(BO8:BP8,BR8:BT8,BV8)-SUM(BQ8,BU8),"")</f>
        <v>67.5</v>
      </c>
      <c r="CB8" s="15">
        <f>IF(SUM(BZ8,CA8)&gt;0,SUM(BZ8,CA8),"")</f>
        <v>201.3</v>
      </c>
      <c r="CC8" s="45">
        <v>28.8</v>
      </c>
      <c r="CD8" s="45">
        <v>6</v>
      </c>
      <c r="CE8" s="45">
        <v>0</v>
      </c>
      <c r="CF8" s="45">
        <v>0</v>
      </c>
      <c r="CG8" s="45">
        <v>27.6</v>
      </c>
      <c r="CH8" s="45">
        <v>5.6</v>
      </c>
      <c r="CI8" s="45">
        <v>0.9</v>
      </c>
      <c r="CJ8" s="45">
        <v>0</v>
      </c>
      <c r="CK8" s="45">
        <v>0</v>
      </c>
      <c r="CL8" s="45">
        <v>0</v>
      </c>
      <c r="CM8" s="45">
        <v>0</v>
      </c>
      <c r="CN8" s="45">
        <v>0</v>
      </c>
      <c r="CO8" s="45">
        <v>27</v>
      </c>
      <c r="CP8" s="45">
        <v>6</v>
      </c>
      <c r="CQ8" s="45">
        <v>0</v>
      </c>
      <c r="CR8" s="45">
        <v>0</v>
      </c>
      <c r="CS8" s="45"/>
      <c r="CT8" s="45"/>
      <c r="CU8" s="45"/>
      <c r="CV8" s="45"/>
      <c r="CW8" s="45"/>
      <c r="CX8" s="45"/>
      <c r="CY8" s="45"/>
      <c r="CZ8" s="45"/>
      <c r="DA8" s="12">
        <f>IF(SUM(CD8,CH8,CL8,CP8)&gt;0,SUM(CD8,CH8,CL8,CP8),"")</f>
        <v>17.600000000000001</v>
      </c>
      <c r="DB8" s="12">
        <f>IF(SUM(CC8:CD8,CF8:CH8,CJ8)-SUM(CE8,CI8)&gt;0,SUM(CC8:CD8,CF8:CH8,CJ8)-SUM(CE8,CI8),"")</f>
        <v>67.099999999999994</v>
      </c>
      <c r="DC8" s="12">
        <f>IF(SUM(CK8:CL8,CN8:CP8,CR8)-SUM(CM8,CQ8)&gt;0,SUM(CK8:CL8,CN8:CP8,CR8)-SUM(CM8,CQ8),"")</f>
        <v>33</v>
      </c>
      <c r="DD8" s="12">
        <f>IF(SUM(CC8:CD8,CF8:CH8,CJ8:CL8,CN8:CP8,CR8)-SUM(CE8,CI8,CM8,CQ8)&gt;0,SUM(CC8:CD8,CF8:CH8,CJ8:CL8,CN8:CP8,CR8)-SUM(CE8,CI8,CM8,CQ8),"")</f>
        <v>100.1</v>
      </c>
      <c r="DE8" s="12" t="str">
        <f>IF(SUM(CS8:CT8,CV8:CX8,CZ8)-SUM(CU8,CY8)&gt;0,SUM(CS8:CT8,CV8:CX8,CZ8)-SUM(CU8,CY8),"")</f>
        <v/>
      </c>
      <c r="DF8" s="12">
        <f>IF(SUM(DD8,DE8)&gt;0,SUM(DD8,DE8),"")</f>
        <v>100.1</v>
      </c>
      <c r="DG8" s="28">
        <f>IF(MAX(EI8,FM8,GQ8,HU8,IY8,KC8,LG8,MK8,NO8,OS8,PW8,RA8)-L8&gt;0.001,MAX(EI8,FM8,GQ8,HU8,IY8,KC8,LG8,MK8,NO8,OS8,PW8,RA8)-L8,"")</f>
        <v>0.20000000000000284</v>
      </c>
      <c r="DH8" s="28" t="str">
        <f>IF(MAX(EJ8,FN8,GR8,HV8,IZ8,KD8,LH8,ML8,NP8,OT8,PX8,RB8)-N8&gt;0.001,MAX(EJ8,FN8,GR8,HV8,IZ8,KD8,LH8,ML8,NP8,OT8,PX8,RB8)-N8,"")</f>
        <v/>
      </c>
      <c r="DI8" s="28" t="str">
        <f>IF(MAX(EL8,FP8,GT8,HX8,JB8,KF8,LJ8,MN8,OV8,PZ8,RD8)-P8&gt;0.001,MAX(EL8,FP8,GT8,HX8,JB8,KF8,LJ8,MN8,OV8,PZ8,RD8)-P8,"")</f>
        <v/>
      </c>
      <c r="DJ8" s="45">
        <v>28</v>
      </c>
      <c r="DK8" s="45">
        <v>6.4</v>
      </c>
      <c r="DL8" s="45">
        <v>0</v>
      </c>
      <c r="DM8" s="45">
        <v>0</v>
      </c>
      <c r="DN8" s="45">
        <v>27</v>
      </c>
      <c r="DO8" s="45">
        <v>6.8</v>
      </c>
      <c r="DP8" s="45">
        <v>0.9</v>
      </c>
      <c r="DQ8" s="45">
        <v>0</v>
      </c>
      <c r="DR8" s="45"/>
      <c r="DS8" s="45"/>
      <c r="DT8" s="45"/>
      <c r="DU8" s="45"/>
      <c r="DV8" s="45"/>
      <c r="DW8" s="45"/>
      <c r="DX8" s="45"/>
      <c r="DY8" s="45"/>
      <c r="DZ8" s="45"/>
      <c r="EA8" s="45"/>
      <c r="EB8" s="45"/>
      <c r="EC8" s="45"/>
      <c r="ED8" s="45"/>
      <c r="EE8" s="45"/>
      <c r="EF8" s="45"/>
      <c r="EG8" s="45"/>
      <c r="EH8" s="12">
        <f>IF(SUM(DK8,DO8,DS8,DW8)&gt;0,SUM(DK8,DO8,DS8,DW8),"")</f>
        <v>13.2</v>
      </c>
      <c r="EI8" s="12">
        <f>IF(SUM(DJ8:DK8,DM8:DO8,DQ8)-SUM(DL8,DP8)&gt;0,SUM(DJ8:DK8,DM8:DO8,DQ8)-SUM(DL8,DP8),"")</f>
        <v>67.3</v>
      </c>
      <c r="EJ8" s="12" t="str">
        <f>IF(SUM(DR8:DS8,DU8:DW8,DY8)-SUM(DT8,DX8)&gt;0,SUM(DR8:DS8,DU8:DW8,DY8)-SUM(DT8,DX8),"")</f>
        <v/>
      </c>
      <c r="EK8" s="12">
        <f>IF(SUM(DJ8:DK8,DM8:DO8,DQ8:DS8,DU8:DW8,DY8)-SUM(DL8,DP8,DT8,DX8)&gt;0,SUM(DJ8:DK8,DM8:DO8,DQ8:DS8,DU8:DW8,DY8)-SUM(DL8,DP8,DT8,DX8),"")</f>
        <v>67.3</v>
      </c>
      <c r="EL8" s="12" t="str">
        <f>IF(SUM(DZ8:EA8,EC8:EE8,EG8)-SUM(EB8,EF8)&gt;0,SUM(DZ8:EA8,EC8:EE8,EG8)-SUM(EB8,EF8),"")</f>
        <v/>
      </c>
      <c r="EM8" s="12">
        <f>IF(SUM(EK8,EL8)&gt;0,SUM(EK8,EL8),"")</f>
        <v>67.3</v>
      </c>
      <c r="EN8" s="50"/>
      <c r="EO8" s="50"/>
      <c r="EP8" s="50"/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  <c r="FF8" s="50"/>
      <c r="FG8" s="50"/>
      <c r="FH8" s="50"/>
      <c r="FI8" s="50"/>
      <c r="FJ8" s="50"/>
      <c r="FK8" s="50"/>
      <c r="FL8" s="15" t="str">
        <f>IF(SUM(EO8,ES8,EW8,FA8)&gt;0,SUM(EO8,ES8,EW8,FA8),"")</f>
        <v/>
      </c>
      <c r="FM8" s="15" t="str">
        <f>IF(SUM(EN8:EO8,EQ8:ES8,EU8)-SUM(EP8,ET8)&gt;0,SUM(EN8:EO8,EQ8:ES8,EU8)-SUM(EP8,ET8),"")</f>
        <v/>
      </c>
      <c r="FN8" s="15" t="str">
        <f>IF(SUM(EV8:EW8,EY8:FA8,FC8)-SUM(EX8,FB8)&gt;0,SUM(EV8:EW8,EY8:FA8,FC8)-SUM(EX8,FB8),"")</f>
        <v/>
      </c>
      <c r="FO8" s="15" t="str">
        <f>IF(SUM(EN8:EO8,EQ8:ES8,EU8:EW8,EY8:FA8,FC8)-SUM(EP8,ET8,EX8,FB8)&gt;0,SUM(EN8:EO8,EQ8:ES8,EU8:EW8,EY8:FA8,FC8)-SUM(EP8,ET8,EX8,FB8),"")</f>
        <v/>
      </c>
      <c r="FP8" s="15" t="str">
        <f>IF(SUM(FD8:FE8,FG8:FI8,FK8)-SUM(FF8,FJ8)&gt;0,SUM(FD8:FE8,FG8:FI8,FK8)-SUM(FF8,FJ8),"")</f>
        <v/>
      </c>
      <c r="FQ8" s="15" t="str">
        <f>IF(SUM(FO8,FP8)&gt;0,SUM(FO8,FP8),"")</f>
        <v/>
      </c>
      <c r="FR8" s="51"/>
      <c r="FS8" s="51"/>
      <c r="FT8" s="51"/>
      <c r="FU8" s="51"/>
      <c r="FV8" s="51"/>
      <c r="FW8" s="51"/>
      <c r="FX8" s="51"/>
      <c r="FY8" s="51"/>
      <c r="FZ8" s="51"/>
      <c r="GA8" s="51"/>
      <c r="GB8" s="51"/>
      <c r="GC8" s="51"/>
      <c r="GD8" s="51"/>
      <c r="GE8" s="51"/>
      <c r="GF8" s="51"/>
      <c r="GG8" s="51"/>
      <c r="GH8" s="51"/>
      <c r="GI8" s="51"/>
      <c r="GJ8" s="51"/>
      <c r="GK8" s="51"/>
      <c r="GL8" s="51"/>
      <c r="GM8" s="51"/>
      <c r="GN8" s="51"/>
      <c r="GO8" s="51"/>
      <c r="GP8" s="12" t="str">
        <f>IF(SUM(FS8,FW8,GA8,GE8)&gt;0,SUM(FS8,FW8,GA8,GE8),"")</f>
        <v/>
      </c>
      <c r="GQ8" s="12" t="str">
        <f>IF(SUM(FR8:FS8,FU8:FW8,FY8)-SUM(FT8,FX8)&gt;0,SUM(FR8:FS8,FU8:FW8,FY8)-SUM(FT8,FX8),"")</f>
        <v/>
      </c>
      <c r="GR8" s="12" t="str">
        <f>IF(SUM(FZ8:GA8,GC8:GE8,GG8)-SUM(GB8,GF8)&gt;0,SUM(FZ8:GA8,GC8:GE8,GG8)-SUM(GB8,GF8),"")</f>
        <v/>
      </c>
      <c r="GS8" s="12" t="str">
        <f>IF(SUM(FR8:FS8,FU8:FW8,FY8:GA8,GC8:GE8,GG8)-SUM(FT8,FX8,GB8,GF8)&gt;0,SUM(FR8:FS8,FU8:FW8,FY8:GA8,GC8:GE8,GG8)-SUM(FT8,FX8,GB8,GF8),"")</f>
        <v/>
      </c>
      <c r="GT8" s="12" t="str">
        <f>IF(SUM(GH8:GI8,GK8:GM8,GO8)-SUM(GJ8,GN8)&gt;0,SUM(GH8:GI8,GK8:GM8,GO8)-SUM(GJ8,GN8),"")</f>
        <v/>
      </c>
      <c r="GU8" s="12" t="str">
        <f>IF(SUM(GS8,GT8)&gt;0,SUM(GS8,GT8),"")</f>
        <v/>
      </c>
      <c r="GV8" s="50"/>
      <c r="GW8" s="50"/>
      <c r="GX8" s="50"/>
      <c r="GY8" s="50"/>
      <c r="GZ8" s="50"/>
      <c r="HA8" s="50"/>
      <c r="HB8" s="50"/>
      <c r="HC8" s="50"/>
      <c r="HD8" s="50"/>
      <c r="HE8" s="50"/>
      <c r="HF8" s="50"/>
      <c r="HG8" s="50"/>
      <c r="HH8" s="50"/>
      <c r="HI8" s="50"/>
      <c r="HJ8" s="50"/>
      <c r="HK8" s="50"/>
      <c r="HL8" s="50"/>
      <c r="HM8" s="50"/>
      <c r="HN8" s="50"/>
      <c r="HO8" s="50"/>
      <c r="HP8" s="50"/>
      <c r="HQ8" s="50"/>
      <c r="HR8" s="50"/>
      <c r="HS8" s="50"/>
      <c r="HT8" s="15" t="str">
        <f>IF(SUM(GW8,HA8,HE8,HI8)&gt;0,SUM(GW8,HA8,HE8,HI8),"")</f>
        <v/>
      </c>
      <c r="HU8" s="15" t="str">
        <f>IF(SUM(GV8:GW8,GY8:HA8,HC8)-SUM(GX8,HB8)&gt;0,SUM(GV8:GW8,GY8:HA8,HC8)-SUM(GX8,HB8),"")</f>
        <v/>
      </c>
      <c r="HV8" s="15" t="str">
        <f>IF(SUM(HD8:HE8,HG8:HI8,HK8)-SUM(HF8,HJ8)&gt;0,SUM(HD8:HE8,HG8:HI8,HK8)-SUM(HF8,HJ8),"")</f>
        <v/>
      </c>
      <c r="HW8" s="15" t="str">
        <f>IF(SUM(GV8:GW8,GY8:HA8,HC8:HE8,HG8:HI8,HK8)-SUM(GX8,HB8,HF8,HJ8)&gt;0,SUM(GV8:GW8,GY8:HA8,HC8:HE8,HG8:HI8,HK8)-SUM(GX8,HB8,HF8,HJ8),"")</f>
        <v/>
      </c>
      <c r="HX8" s="15" t="str">
        <f>IF(SUM(HL8:HM8,HO8:HQ8,HS8)-SUM(HN8,HR8)&gt;0,SUM(HL8:HM8,HO8:HQ8,HS8)-SUM(HN8,HR8),"")</f>
        <v/>
      </c>
      <c r="HY8" s="15" t="str">
        <f>IF(SUM(HW8,HX8)&gt;0,SUM(HW8,HX8),"")</f>
        <v/>
      </c>
      <c r="HZ8" s="51"/>
      <c r="IA8" s="51"/>
      <c r="IB8" s="51"/>
      <c r="IC8" s="51"/>
      <c r="ID8" s="51"/>
      <c r="IE8" s="51"/>
      <c r="IF8" s="51"/>
      <c r="IG8" s="51"/>
      <c r="IH8" s="51"/>
      <c r="II8" s="51"/>
      <c r="IJ8" s="51"/>
      <c r="IK8" s="51"/>
      <c r="IL8" s="51"/>
      <c r="IM8" s="51"/>
      <c r="IN8" s="51"/>
      <c r="IO8" s="51"/>
      <c r="IP8" s="51"/>
      <c r="IQ8" s="51"/>
      <c r="IR8" s="51"/>
      <c r="IS8" s="51"/>
      <c r="IT8" s="51"/>
      <c r="IU8" s="51"/>
      <c r="IV8" s="51"/>
      <c r="IW8" s="51"/>
      <c r="IX8" s="12" t="str">
        <f>IF(SUM(IA8,IE8,II8,IM8)&gt;0,SUM(IA8,IE8,II8,IM8),"")</f>
        <v/>
      </c>
      <c r="IY8" s="12" t="str">
        <f>IF(SUM(HZ8:IA8,IC8:IE8,IG8)-SUM(IB8,IF8)&gt;0,SUM(HZ8:IA8,IC8:IE8,IG8)-SUM(IB8,IF8),"")</f>
        <v/>
      </c>
      <c r="IZ8" s="12" t="str">
        <f>IF(SUM(IH8:II8,IK8:IM8,IO8)-SUM(IJ8,IN8)&gt;0,SUM(IH8:II8,IK8:IM8,IO8)-SUM(IJ8,IN8),"")</f>
        <v/>
      </c>
      <c r="JA8" s="12" t="str">
        <f>IF(SUM(HZ8:IA8,IC8:IE8,IG8:II8,IK8:IM8,IO8)-SUM(IB8,IF8,IJ8,IN8)&gt;0,SUM(HZ8:IA8,IC8:IE8,IG8:II8,IK8:IM8,IO8)-SUM(IB8,IF8,IJ8,IN8),"")</f>
        <v/>
      </c>
      <c r="JB8" s="12" t="str">
        <f>IF(SUM(IP8:IQ8,IS8:IU8,IW8)-SUM(IR8,IV8)&gt;0,SUM(IP8:IQ8,IS8:IU8,IW8)-SUM(IR8,IV8),"")</f>
        <v/>
      </c>
      <c r="JC8" s="12" t="str">
        <f>IF(SUM(JA8,JB8)&gt;0,SUM(JA8,JB8),"")</f>
        <v/>
      </c>
      <c r="JD8" s="50"/>
      <c r="JE8" s="50"/>
      <c r="JF8" s="50"/>
      <c r="JG8" s="50"/>
      <c r="JH8" s="50"/>
      <c r="JI8" s="50"/>
      <c r="JJ8" s="50"/>
      <c r="JK8" s="50"/>
      <c r="JL8" s="50"/>
      <c r="JM8" s="50"/>
      <c r="JN8" s="50"/>
      <c r="JO8" s="50"/>
      <c r="JP8" s="50"/>
      <c r="JQ8" s="50"/>
      <c r="JR8" s="50"/>
      <c r="JS8" s="50"/>
      <c r="JT8" s="50"/>
      <c r="JU8" s="50"/>
      <c r="JV8" s="50"/>
      <c r="JW8" s="50"/>
      <c r="JX8" s="50"/>
      <c r="JY8" s="50"/>
      <c r="JZ8" s="50"/>
      <c r="KA8" s="50"/>
      <c r="KB8" s="15" t="str">
        <f>IF(SUM(JE8,JI8,JM8,JQ8)&gt;0,SUM(JE8,JI8,JM8,JQ8),"")</f>
        <v/>
      </c>
      <c r="KC8" s="15" t="str">
        <f>IF(SUM(JD8:JE8,JG8:JI8,JK8)-SUM(JF8,JJ8)&gt;0,SUM(JD8:JE8,JG8:JI8,JK8)-SUM(JF8,JJ8),"")</f>
        <v/>
      </c>
      <c r="KD8" s="15" t="str">
        <f>IF(SUM(JL8:JM8,JO8:JQ8,JS8)-SUM(JN8,JR8)&gt;0,SUM(JL8:JM8,JO8:JQ8,JS8)-SUM(JN8,JR8),"")</f>
        <v/>
      </c>
      <c r="KE8" s="15" t="str">
        <f>IF(SUM(JD8:JE8,JG8:JI8,JK8:JM8,JO8:JQ8,JS8)-SUM(JF8,JJ8,JN8,JR8)&gt;0,SUM(JD8:JE8,JG8:JI8,JK8:JM8,JO8:JQ8,JS8)-SUM(JF8,JJ8,JN8,JR8),"")</f>
        <v/>
      </c>
      <c r="KF8" s="15" t="str">
        <f>IF(SUM(JT8:JU8,JW8:JY8,KA8)-SUM(JV8,JZ8)&gt;0,SUM(JT8:JU8,JW8:JY8,KA8)-SUM(JV8,JZ8),"")</f>
        <v/>
      </c>
      <c r="KG8" s="15" t="str">
        <f>IF(SUM(KE8,KF8)&gt;0,SUM(KE8,KF8),"")</f>
        <v/>
      </c>
      <c r="KH8" s="51"/>
      <c r="KI8" s="51"/>
      <c r="KJ8" s="51"/>
      <c r="KK8" s="51"/>
      <c r="KL8" s="51"/>
      <c r="KM8" s="51"/>
      <c r="KN8" s="51"/>
      <c r="KO8" s="51"/>
      <c r="KP8" s="51"/>
      <c r="KQ8" s="51"/>
      <c r="KR8" s="51"/>
      <c r="KS8" s="51"/>
      <c r="KT8" s="51"/>
      <c r="KU8" s="51"/>
      <c r="KV8" s="51"/>
      <c r="KW8" s="51"/>
      <c r="KX8" s="51"/>
      <c r="KY8" s="51"/>
      <c r="KZ8" s="51"/>
      <c r="LA8" s="51"/>
      <c r="LB8" s="51"/>
      <c r="LC8" s="51"/>
      <c r="LD8" s="51"/>
      <c r="LE8" s="51"/>
      <c r="LF8" s="12" t="str">
        <f>IF(SUM(KI8,KM8,KQ8,KU8)&gt;0,SUM(KI8,KM8,KQ8,KU8),"")</f>
        <v/>
      </c>
      <c r="LG8" s="12" t="str">
        <f>IF(SUM(KH8:KI8,KK8:KM8,KO8)-SUM(KJ8,KN8)&gt;0,SUM(KH8:KI8,KK8:KM8,KO8)-SUM(KJ8,KN8),"")</f>
        <v/>
      </c>
      <c r="LH8" s="12" t="str">
        <f>IF(SUM(KP8:KQ8,KS8:KU8,KW8)-SUM(KR8,KV8)&gt;0,SUM(KP8:KQ8,KS8:KU8,KW8)-SUM(KR8,KV8),"")</f>
        <v/>
      </c>
      <c r="LI8" s="12" t="str">
        <f>IF(SUM(KH8:KI8,KK8:KM8,KO8:KQ8,KS8:KU8,KW8)-SUM(KJ8,KN8,KR8,KV8)&gt;0,SUM(KH8:KI8,KK8:KM8,KO8:KQ8,KS8:KU8,KW8)-SUM(KJ8,KN8,KR8,KV8),"")</f>
        <v/>
      </c>
      <c r="LJ8" s="12" t="str">
        <f>IF(SUM(KX8:KY8,LA8:LC8,LE8)-SUM(KZ8,LD8)&gt;0,SUM(KX8:KY8,LA8:LC8,LE8)-SUM(KZ8,LD8),"")</f>
        <v/>
      </c>
      <c r="LK8" s="12" t="str">
        <f>IF(SUM(LI8,LJ8)&gt;0,SUM(LI8,LJ8),"")</f>
        <v/>
      </c>
      <c r="LL8" s="50"/>
      <c r="LM8" s="50"/>
      <c r="LN8" s="50"/>
      <c r="LO8" s="50"/>
      <c r="LP8" s="50"/>
      <c r="LQ8" s="50"/>
      <c r="LR8" s="50"/>
      <c r="LS8" s="50"/>
      <c r="LT8" s="50"/>
      <c r="LU8" s="50"/>
      <c r="LV8" s="50"/>
      <c r="LW8" s="50"/>
      <c r="LX8" s="50"/>
      <c r="LY8" s="50"/>
      <c r="LZ8" s="50"/>
      <c r="MA8" s="50"/>
      <c r="MB8" s="50"/>
      <c r="MC8" s="50"/>
      <c r="MD8" s="50"/>
      <c r="ME8" s="50"/>
      <c r="MF8" s="50"/>
      <c r="MG8" s="50"/>
      <c r="MH8" s="50"/>
      <c r="MI8" s="50"/>
      <c r="MJ8" s="15" t="str">
        <f>IF(SUM(LM8,LQ8,LU8,LY8)&gt;0,SUM(LM8,LQ8,LU8,LY8),"")</f>
        <v/>
      </c>
      <c r="MK8" s="15" t="str">
        <f>IF(SUM(LL8:LM8,LO8:LQ8,LS8)-SUM(LN8,LR8)&gt;0,SUM(LL8:LM8,LO8:LQ8,LS8)-SUM(LN8,LR8),"")</f>
        <v/>
      </c>
      <c r="ML8" s="15" t="str">
        <f>IF(SUM(LT8:LU8,LW8:LY8,MA8)-SUM(LV8,LZ8)&gt;0,SUM(LT8:LU8,LW8:LY8,MA8)-SUM(LV8,LZ8),"")</f>
        <v/>
      </c>
      <c r="MM8" s="15" t="str">
        <f>IF(SUM(LL8:LM8,LO8:LQ8,LS8:LU8,LW8:LY8,MA8)-SUM(LN8,LR8,LV8,LZ8)&gt;0,SUM(LL8:LM8,LO8:LQ8,LS8:LU8,LW8:LY8,MA8)-SUM(LN8,LR8,LV8,LZ8),"")</f>
        <v/>
      </c>
      <c r="MN8" s="15" t="str">
        <f>IF(SUM(MB8:MC8,ME8:MG8,MI8)-SUM(MD8,MH8)&gt;0,SUM(MB8:MC8,ME8:MG8,MI8)-SUM(MD8,MH8),"")</f>
        <v/>
      </c>
      <c r="MO8" s="15" t="str">
        <f>IF(SUM(MM8,MN8)&gt;0,SUM(MM8,MN8),"")</f>
        <v/>
      </c>
      <c r="MP8" s="51"/>
      <c r="MQ8" s="51"/>
      <c r="MR8" s="51"/>
      <c r="MS8" s="51"/>
      <c r="MT8" s="51"/>
      <c r="MU8" s="51"/>
      <c r="MV8" s="51"/>
      <c r="MW8" s="51"/>
      <c r="MX8" s="51"/>
      <c r="MY8" s="51"/>
      <c r="MZ8" s="51"/>
      <c r="NA8" s="51"/>
      <c r="NB8" s="51"/>
      <c r="NC8" s="51"/>
      <c r="ND8" s="51"/>
      <c r="NE8" s="51"/>
      <c r="NF8" s="51"/>
      <c r="NG8" s="51"/>
      <c r="NH8" s="51"/>
      <c r="NI8" s="51"/>
      <c r="NJ8" s="51"/>
      <c r="NK8" s="51"/>
      <c r="NL8" s="51"/>
      <c r="NM8" s="51"/>
      <c r="NN8" s="12" t="str">
        <f>IF(SUM(MQ8,MU8,MY8,NC8)&gt;0,SUM(MQ8,MU8,MY8,NC8),"")</f>
        <v/>
      </c>
      <c r="NO8" s="12" t="str">
        <f>IF(SUM(MP8:MQ8,MS8:MU8,MW8)-SUM(MR8,MV8)&gt;0,SUM(MP8:MQ8,MS8:MU8,MW8)-SUM(MR8,MV8),"")</f>
        <v/>
      </c>
      <c r="NP8" s="12" t="str">
        <f>IF(SUM(MX8:MY8,NA8:NC8,NE8)-SUM(MZ8,ND8)&gt;0,SUM(MX8:MY8,NA8:NC8,NE8)-SUM(MZ8,ND8),"")</f>
        <v/>
      </c>
      <c r="NQ8" s="12" t="str">
        <f>IF(SUM(MP8:MQ8,MS8:MU8,MW8:MY8,NA8:NC8,NE8)-SUM(MR8,MV8,MZ8,ND8)&gt;0,SUM(MP8:MQ8,MS8:MU8,MW8:MY8,NA8:NC8,NE8)-SUM(MR8,MV8,MZ8,ND8),"")</f>
        <v/>
      </c>
      <c r="NR8" s="12" t="str">
        <f>IF(SUM(NF8:NG8,NI8:NK8,NM8)-SUM(NH8,NL8)&gt;0,SUM(NF8:NG8,NI8:NK8,NM8)-SUM(NH8,NL8),"")</f>
        <v/>
      </c>
      <c r="NS8" s="12" t="str">
        <f>IF(SUM(NQ8,NR8)&gt;0,SUM(NQ8,NR8),"")</f>
        <v/>
      </c>
      <c r="NT8" s="50"/>
      <c r="NU8" s="50"/>
      <c r="NV8" s="50"/>
      <c r="NW8" s="50"/>
      <c r="NX8" s="50"/>
      <c r="NY8" s="50"/>
      <c r="NZ8" s="50"/>
      <c r="OA8" s="50"/>
      <c r="OB8" s="50"/>
      <c r="OC8" s="50"/>
      <c r="OD8" s="50"/>
      <c r="OE8" s="50"/>
      <c r="OF8" s="50"/>
      <c r="OG8" s="50"/>
      <c r="OH8" s="50"/>
      <c r="OI8" s="50"/>
      <c r="OJ8" s="50"/>
      <c r="OK8" s="50"/>
      <c r="OL8" s="50"/>
      <c r="OM8" s="50"/>
      <c r="ON8" s="50"/>
      <c r="OO8" s="50"/>
      <c r="OP8" s="50"/>
      <c r="OQ8" s="50"/>
      <c r="OR8" s="15" t="str">
        <f>IF(SUM(NU8,NY8,OC8,OG8)&gt;0,SUM(NU8,NY8,OC8,OG8),"")</f>
        <v/>
      </c>
      <c r="OS8" s="15" t="str">
        <f>IF(SUM(NT8:NU8,NW8:NY8,OA8)-SUM(NV8,NZ8)&gt;0,SUM(NT8:NU8,NW8:NY8,OA8)-SUM(NV8,NZ8),"")</f>
        <v/>
      </c>
      <c r="OT8" s="15" t="str">
        <f>IF(SUM(OB8:OC8,OE8:OG8,OI8)-SUM(OD8,OH8)&gt;0,SUM(OB8:OC8,OE8:OG8,OI8)-SUM(OD8,OH8),"")</f>
        <v/>
      </c>
      <c r="OU8" s="15" t="str">
        <f>IF(SUM(NT8:NU8,NW8:NY8,OA8:OC8,OE8:OG8,OI8)-SUM(NV8,NZ8,OD8,OH8)&gt;0,SUM(NT8:NU8,NW8:NY8,OA8:OC8,OE8:OG8,OI8)-SUM(NV8,NZ8,OD8,OH8),"")</f>
        <v/>
      </c>
      <c r="OV8" s="15" t="str">
        <f>IF(SUM(OJ8:OK8,OM8:OO8,OQ8)-SUM(OL8,OP8)&gt;0,SUM(OJ8:OK8,OM8:OO8,OQ8)-SUM(OL8,OP8),"")</f>
        <v/>
      </c>
      <c r="OW8" s="15" t="str">
        <f>IF(SUM(OU8,OV8)&gt;0,SUM(OU8,OV8),"")</f>
        <v/>
      </c>
      <c r="OX8" s="51"/>
      <c r="OY8" s="51"/>
      <c r="OZ8" s="51"/>
      <c r="PA8" s="51"/>
      <c r="PB8" s="51"/>
      <c r="PC8" s="51"/>
      <c r="PD8" s="51"/>
      <c r="PE8" s="51"/>
      <c r="PF8" s="51"/>
      <c r="PG8" s="51"/>
      <c r="PH8" s="51"/>
      <c r="PI8" s="51"/>
      <c r="PJ8" s="51"/>
      <c r="PK8" s="51"/>
      <c r="PL8" s="51"/>
      <c r="PM8" s="51"/>
      <c r="PN8" s="51"/>
      <c r="PO8" s="51"/>
      <c r="PP8" s="51"/>
      <c r="PQ8" s="51"/>
      <c r="PR8" s="51"/>
      <c r="PS8" s="51"/>
      <c r="PT8" s="51"/>
      <c r="PU8" s="51"/>
      <c r="PV8" s="12" t="str">
        <f>IF(SUM(OY8,PC8,PG8,PK8)&gt;0,SUM(OY8,PC8,PG8,PK8),"")</f>
        <v/>
      </c>
      <c r="PW8" s="12" t="str">
        <f>IF(SUM(OX8:OY8,PA8:PC8,PE8)-SUM(OZ8,PD8)&gt;0,SUM(OX8:OY8,PA8:PC8,PE8)-SUM(OZ8,PD8),"")</f>
        <v/>
      </c>
      <c r="PX8" s="12" t="str">
        <f>IF(SUM(PF8:PG8,PI8:PK8,PM8)-SUM(PH8,PL8)&gt;0,SUM(PF8:PG8,PI8:PK8,PM8)-SUM(PH8,PL8),"")</f>
        <v/>
      </c>
      <c r="PY8" s="12" t="str">
        <f>IF(SUM(OX8:OY8,PA8:PC8,PE8:PG8,PI8:PK8,PM8)-SUM(OZ8,PD8,PH8,PL8)&gt;0,SUM(OX8:OY8,PA8:PC8,PE8:PG8,PI8:PK8,PM8)-SUM(OZ8,PD8,PH8,PL8),"")</f>
        <v/>
      </c>
      <c r="PZ8" s="12" t="str">
        <f>IF(SUM(PN8:PO8,PQ8:PS8,PU8)-SUM(PP8,PT8)&gt;0,SUM(PN8:PO8,PQ8:PS8,PU8)-SUM(PP8,PT8),"")</f>
        <v/>
      </c>
      <c r="QA8" s="12" t="str">
        <f>IF(SUM(PY8,PZ8)&gt;0,SUM(PY8,PZ8),"")</f>
        <v/>
      </c>
      <c r="QB8" s="50"/>
      <c r="QC8" s="50"/>
      <c r="QD8" s="50"/>
      <c r="QE8" s="50"/>
      <c r="QF8" s="50"/>
      <c r="QG8" s="50"/>
      <c r="QH8" s="50"/>
      <c r="QI8" s="50"/>
      <c r="QJ8" s="50"/>
      <c r="QK8" s="50"/>
      <c r="QL8" s="50"/>
      <c r="QM8" s="50"/>
      <c r="QN8" s="50"/>
      <c r="QO8" s="50"/>
      <c r="QP8" s="50"/>
      <c r="QQ8" s="50"/>
      <c r="QR8" s="50"/>
      <c r="QS8" s="50"/>
      <c r="QT8" s="50"/>
      <c r="QU8" s="50"/>
      <c r="QV8" s="50"/>
      <c r="QW8" s="50"/>
      <c r="QX8" s="50"/>
      <c r="QY8" s="50"/>
      <c r="QZ8" s="15" t="str">
        <f>IF(SUM(QC8,QG8,QK8,QO8)&gt;0,SUM(QC8,QG8,QK8,QO8),"")</f>
        <v/>
      </c>
      <c r="RA8" s="15" t="str">
        <f>IF(SUM(QB8:QC8,QE8:QG8,QI8)-SUM(QD8,QH8)&gt;0,SUM(QB8:QC8,QE8:QG8,QI8)-SUM(QD8,QH8),"")</f>
        <v/>
      </c>
      <c r="RB8" s="15" t="str">
        <f>IF(SUM(QJ8:QK8,QM8:QO8,QQ8)-SUM(QL8,QP8)&gt;0,SUM(QJ8:QK8,QM8:QO8,QQ8)-SUM(QL8,QP8),"")</f>
        <v/>
      </c>
      <c r="RC8" s="15" t="str">
        <f>IF(SUM(QB8:QC8,QE8:QG8,QI8:QK8,QM8:QO8,QQ8)-SUM(QD8,QH8,QL8,QP8)&gt;0,SUM(QB8:QC8,QE8:QG8,QI8:QK8,QM8:QO8,QQ8)-SUM(QD8,QH8,QL8,QP8),"")</f>
        <v/>
      </c>
      <c r="RD8" s="15" t="str">
        <f>IF(SUM(QR8:QS8,QU8:QW8,QY8)-SUM(QT8,QX8)&gt;0,SUM(QR8:QS8,QU8:QW8,QY8)-SUM(QT8,QX8),"")</f>
        <v/>
      </c>
      <c r="RE8" s="15" t="str">
        <f>IF(SUM(RC8,RD8)&gt;0,SUM(RC8,RD8),"")</f>
        <v/>
      </c>
    </row>
    <row r="9" spans="1:473">
      <c r="A9" s="6" t="str">
        <f>IF(AND(F9="P",H9="P"),SUMPRODUCT((F$4:F$14="P")*(H$4:H$14="P")*(E$4:E$14&gt;E9))+1,IF(H9="P",SUMPRODUCT((F$4:F$14="")*(H$4:H$14="P")*(E$4:E$14&gt;E9))+1+SUMPRODUCT((F$4:F$14="P")*(H$4:H$14="P")),""))</f>
        <v/>
      </c>
      <c r="B9" s="9" t="s">
        <v>96</v>
      </c>
      <c r="C9" s="5" t="s">
        <v>4</v>
      </c>
      <c r="D9" s="6">
        <v>2003</v>
      </c>
      <c r="E9" s="16">
        <f>SUM(J9:R9)</f>
        <v>328.4</v>
      </c>
      <c r="F9" s="4" t="str">
        <f>IF(OR(AND($AS9&gt;=$AT$17,NOT($AS9="")),AND($BW9&gt;=$BX$17,NOT($BW9="")),AND($DA9&gt;=$DB$17,NOT($DA9=""))),"P","")</f>
        <v/>
      </c>
      <c r="G9" s="4" t="str">
        <f>IF(OR(AND($AS9&gt;=$AT$18,NOT($AS9="")),AND($BW9&gt;=$BX$18,NOT($BW9="")),AND($DA9&gt;=$DB$18,NOT($DA9=""))),"P","")</f>
        <v/>
      </c>
      <c r="H9" s="4" t="str">
        <f>IF(OR(AND($AV9&gt;=$AT$19,NOT($AV9="")),AND($BZ9&gt;=$BX$19,NOT($BZ9="")),AND($DD9&gt;=$DB$19,NOT($DD9=""))),"P","")</f>
        <v/>
      </c>
      <c r="I9" t="str">
        <f>IF(AND(F9="P",OR(AND($AV9&gt;=$AT$22,NOT($AV9="")),AND($BZ9&gt;=$BX$22,NOT($BZ9="")),AND($DD9&gt;=$DB$22,NOT($DD9="")))),"Merit",IF(AND(F9="P",OR(AND($AV9&gt;=$AT$21,NOT($AV9="")),AND($BZ9&gt;=$BX$21,NOT($BZ9="")),AND($DD9&gt;=$DB$21,NOT($DD9="")))),"Funding",IF(AND(F9="P",OR(AND($AV9&gt;=$AT$20,NOT($AV9="")),AND($BZ9&gt;=$BX$20,NOT($BZ9="")),AND($DD9&gt;=$DB$20,NOT($DD9="")))),"Worlds Team",IF(AND(F9="P",OR(AND($AV9&gt;=$AT$19,NOT($AV9="")),AND($BZ9&gt;=$BX$19,NOT($BZ9="")),AND($DD9&gt;=$DB$19,NOT($DD9="")))),"National Team",""))))</f>
        <v/>
      </c>
      <c r="J9" s="15">
        <f>MAX(AV9,BZ9,DD9)</f>
        <v>131.69999999999999</v>
      </c>
      <c r="K9" s="15" t="str">
        <f>IF(J9=DD9,$CC$1,IF(J9=BZ9,$AY$1,IF(J9=AV9,$U$1,"")))</f>
        <v>2018 Canada Cup</v>
      </c>
      <c r="L9" s="15">
        <f>IF($J9=$AV9,MAX(BX9,DB9),IF($J9=$BZ9,MAX(AT9,DB9),MAX(AT9,BX9)))</f>
        <v>64</v>
      </c>
      <c r="M9" s="15" t="str">
        <f>IF(L9=DB9,$CC$1,IF(L9=BX9,$AY$1,IF(L9=AT9,$U$1,"")))</f>
        <v>2017 Nationals</v>
      </c>
      <c r="N9" s="15">
        <f>IF($J9=$AV9,MAX(BY9,DC9),IF($J9=$BZ9,MAX(AU9,DC9),MAX(AU9,BY9)))</f>
        <v>65.3</v>
      </c>
      <c r="O9" s="15" t="str">
        <f>IF(N9=DC9,$CC$1,IF(N9=BY9,$AY$1,IF(N9=AU9,$U$1,"")))</f>
        <v>2017 Nationals</v>
      </c>
      <c r="P9" s="15">
        <f>MAX(AW9,CA9,DE9)</f>
        <v>67.400000000000006</v>
      </c>
      <c r="Q9" s="15" t="str">
        <f>IF(P9=DE9,$CC$1,IF(P9=CA9,$AY$1,IF(P9=AW9,$U$1,"")))</f>
        <v>2018 Canada Cup</v>
      </c>
      <c r="R9" s="15" t="str">
        <f>IF(MAX(DG9:DI9)&gt;0,MAX(DG9:DI9),"")</f>
        <v/>
      </c>
      <c r="S9" s="29" t="str">
        <f>IF(R9="","",IF(R9=DG9,"(Pass 1-2)",IF(R9=DH9,"(Pass 3-4)",IF(R9=DI9,"(Final)"))))</f>
        <v/>
      </c>
      <c r="T9" s="15" t="str">
        <f>IF(R9="","",IF(R9=DG9,IF(R9+L9=RA9,$QB$1,IF(R9+L9=PW9,$OX$1,IF(R9+L9=OS9,$NT$1,IF(R9+L9=NO9,$MP$1,IF(R9+L9=MK9,$LL$1,IF(R9+L9=LG9,$KH$1,IF(R9+L9=KC9,$JD$1,IF(R9+L9=IY9,$HZ$1,IF(R9+L9=HU9,$GV$1,IF(R9+L9=GQ9,$FR$1,IF(R9+L9=FM9,$EN$1,IF(R9+L9=EI9,$DJ$1)))))))))))),IF(R9=DH9,IF(R9+N9=RB9,$QB$1,IF(R9+N9=PX9,$OX$1,IF(R9+N9=OT9,$NT$1,IF(R9+N9=NP9,$MP$1,IF(R9+N9=ML9,$LL$1,IF(R9+N9=LH9,$KH$1,IF(R9+N9=KD9,$JD$1,IF(R9+N9=IZ9,$HZ$1,IF(R9+N9=HV9,$GV$1,IF(R9+N9=GR9,$FR$1,IF(R9+N9=FN9,$EN$1,IF(R9+N9=EJ9,$DJ$1)))))))))))),IF(R9=DI9,IF(R9+P9=RD9,$QB$1,IF(R9+P9=PZ9,$OX$1,IF(R9+P9=OV9,$NT$1,IF(R9+P9=NR9,$MP$1,IF(R9+P9=MN9,$LL$1,IF(R9+P9=LJ9,$KH$1,IF(R9+P9=KF9,$JD$1,IF(R9+P9=JB9,$HZ$1,IF(R9+P9=HX9,$GV$1,IF(R9+P9=GT9,$FR$1,IF(R9+P9=FP9,$EN$1,IF(R9+P9=EL9,$DJ$1))))))))))))))))</f>
        <v/>
      </c>
      <c r="U9" s="76">
        <v>20.2</v>
      </c>
      <c r="V9" s="76">
        <v>2.4</v>
      </c>
      <c r="W9" s="76">
        <v>0</v>
      </c>
      <c r="X9" s="76">
        <v>0</v>
      </c>
      <c r="Y9" s="76">
        <v>28</v>
      </c>
      <c r="Z9" s="76">
        <v>3.7</v>
      </c>
      <c r="AA9" s="76">
        <v>0</v>
      </c>
      <c r="AB9" s="76">
        <v>0</v>
      </c>
      <c r="AC9" s="76">
        <v>27.5</v>
      </c>
      <c r="AD9" s="76">
        <v>4.8</v>
      </c>
      <c r="AE9" s="76">
        <v>0</v>
      </c>
      <c r="AF9" s="76">
        <v>0</v>
      </c>
      <c r="AG9" s="76">
        <v>27.9</v>
      </c>
      <c r="AH9" s="76">
        <v>3.5</v>
      </c>
      <c r="AI9" s="76">
        <v>0.9</v>
      </c>
      <c r="AJ9" s="76">
        <v>0</v>
      </c>
      <c r="AK9" s="76">
        <v>27.2</v>
      </c>
      <c r="AL9" s="76">
        <v>4.8</v>
      </c>
      <c r="AM9" s="76">
        <v>0.9</v>
      </c>
      <c r="AN9" s="76">
        <v>0</v>
      </c>
      <c r="AO9" s="76">
        <v>27.5</v>
      </c>
      <c r="AP9" s="76">
        <v>3.7</v>
      </c>
      <c r="AQ9" s="76">
        <v>0</v>
      </c>
      <c r="AR9" s="76">
        <v>0</v>
      </c>
      <c r="AS9" s="12">
        <f>IF(SUM(V9,Z9,AD9,AH9)&gt;0,SUM(V9,Z9,AD9,AH9),"")</f>
        <v>14.399999999999999</v>
      </c>
      <c r="AT9" s="12">
        <f>IF(SUM(U9:V9,X9:Z9,AB9)-SUM(W9,AA9)&gt;0,SUM(U9:V9,X9:Z9,AB9)-SUM(W9,AA9),"")</f>
        <v>54.3</v>
      </c>
      <c r="AU9" s="12">
        <f>IF(SUM(AC9:AD9,AF9:AH9,AJ9)-SUM(AE9,AI9)&gt;0,SUM(AC9:AD9,AF9:AH9,AJ9)-SUM(AE9,AI9),"")</f>
        <v>62.8</v>
      </c>
      <c r="AV9" s="12">
        <f>IF(SUM(U9:V9,X9:Z9,AB9:AD9,AF9:AH9,AJ9)-SUM(W9,AA9,AE9,AI9)&gt;0,SUM(U9:V9,X9:Z9,AB9:AD9,AF9:AH9,AJ9)-SUM(W9,AA9,AE9,AI9),"")</f>
        <v>117.1</v>
      </c>
      <c r="AW9" s="12">
        <f>IF(SUM(AK9:AL9,AN9:AP9,AR9)-SUM(AM9,AQ9)&gt;0,SUM(AK9:AL9,AN9:AP9,AR9)-SUM(AM9,AQ9),"")</f>
        <v>62.300000000000004</v>
      </c>
      <c r="AX9" s="12">
        <f>IF(SUM(AV9,AW9)&gt;0,SUM(AV9,AW9),"")</f>
        <v>179.4</v>
      </c>
      <c r="AY9" s="46">
        <v>26.9</v>
      </c>
      <c r="AZ9" s="46">
        <v>5.2</v>
      </c>
      <c r="BA9" s="46">
        <v>1.2</v>
      </c>
      <c r="BB9" s="46">
        <v>0</v>
      </c>
      <c r="BC9" s="46">
        <v>27.9</v>
      </c>
      <c r="BD9" s="46">
        <v>5.2</v>
      </c>
      <c r="BE9" s="46">
        <v>0</v>
      </c>
      <c r="BF9" s="46">
        <v>0</v>
      </c>
      <c r="BG9" s="46">
        <v>28.2</v>
      </c>
      <c r="BH9" s="46">
        <v>4.8</v>
      </c>
      <c r="BI9" s="46">
        <v>0</v>
      </c>
      <c r="BJ9" s="46">
        <v>0</v>
      </c>
      <c r="BK9" s="46">
        <v>28.5</v>
      </c>
      <c r="BL9" s="46">
        <v>3.8</v>
      </c>
      <c r="BM9" s="46">
        <v>0</v>
      </c>
      <c r="BN9" s="46">
        <v>0</v>
      </c>
      <c r="BO9" s="46">
        <v>27.5</v>
      </c>
      <c r="BP9" s="46">
        <v>5.2</v>
      </c>
      <c r="BQ9" s="46">
        <v>0</v>
      </c>
      <c r="BR9" s="46">
        <v>0</v>
      </c>
      <c r="BS9" s="46">
        <v>27.8</v>
      </c>
      <c r="BT9" s="46">
        <v>4.8</v>
      </c>
      <c r="BU9" s="46">
        <v>0.9</v>
      </c>
      <c r="BV9" s="46">
        <v>0</v>
      </c>
      <c r="BW9" s="15">
        <f>IF(SUM(AZ9,BD9,BH9,BL9)&gt;0,SUM(AZ9,BD9,BH9,BL9),"")</f>
        <v>19</v>
      </c>
      <c r="BX9" s="15">
        <f>IF(SUM(AY9:AZ9,BB9:BD9,BF9)-SUM(BA9,BE9)&gt;0,SUM(AY9:AZ9,BB9:BD9,BF9)-SUM(BA9,BE9),"")</f>
        <v>64</v>
      </c>
      <c r="BY9" s="15">
        <f>IF(SUM(BG9:BH9,BJ9:BL9,BN9)-SUM(BI9,BM9)&gt;0,SUM(BG9:BH9,BJ9:BL9,BN9)-SUM(BI9,BM9),"")</f>
        <v>65.3</v>
      </c>
      <c r="BZ9" s="15">
        <f>IF(SUM(AY9:AZ9,BB9:BD9,BF9:BH9,BJ9:BL9,BN9)-SUM(BA9,BE9,BI9,BM9)&gt;0,SUM(AY9:AZ9,BB9:BD9,BF9:BH9,BJ9:BL9,BN9)-SUM(BA9,BE9,BI9,BM9),"")</f>
        <v>129.30000000000001</v>
      </c>
      <c r="CA9" s="15">
        <f>IF(SUM(BO9:BP9,BR9:BT9,BV9)-SUM(BQ9,BU9)&gt;0,SUM(BO9:BP9,BR9:BT9,BV9)-SUM(BQ9,BU9),"")</f>
        <v>64.399999999999991</v>
      </c>
      <c r="CB9" s="15">
        <f>IF(SUM(BZ9,CA9)&gt;0,SUM(BZ9,CA9),"")</f>
        <v>193.7</v>
      </c>
      <c r="CC9" s="45">
        <v>28.7</v>
      </c>
      <c r="CD9" s="45">
        <v>5.2</v>
      </c>
      <c r="CE9" s="45">
        <v>0</v>
      </c>
      <c r="CF9" s="45">
        <v>0</v>
      </c>
      <c r="CG9" s="45">
        <v>28</v>
      </c>
      <c r="CH9" s="45">
        <v>6</v>
      </c>
      <c r="CI9" s="45">
        <v>0</v>
      </c>
      <c r="CJ9" s="45">
        <v>0</v>
      </c>
      <c r="CK9" s="45">
        <v>27.5</v>
      </c>
      <c r="CL9" s="45">
        <v>5.2</v>
      </c>
      <c r="CM9" s="45">
        <v>0.9</v>
      </c>
      <c r="CN9" s="45">
        <v>0</v>
      </c>
      <c r="CO9" s="45">
        <v>27.7</v>
      </c>
      <c r="CP9" s="45">
        <v>5.2</v>
      </c>
      <c r="CQ9" s="45">
        <v>0.9</v>
      </c>
      <c r="CR9" s="45">
        <v>0</v>
      </c>
      <c r="CS9" s="45">
        <v>28.5</v>
      </c>
      <c r="CT9" s="45">
        <v>5.2</v>
      </c>
      <c r="CU9" s="45">
        <v>0</v>
      </c>
      <c r="CV9" s="45">
        <v>0</v>
      </c>
      <c r="CW9" s="45">
        <v>27.7</v>
      </c>
      <c r="CX9" s="45">
        <v>6</v>
      </c>
      <c r="CY9" s="45">
        <v>0</v>
      </c>
      <c r="CZ9" s="45">
        <v>0</v>
      </c>
      <c r="DA9" s="12">
        <f>IF(SUM(CD9,CH9,CL9,CP9)&gt;0,SUM(CD9,CH9,CL9,CP9),"")</f>
        <v>21.599999999999998</v>
      </c>
      <c r="DB9" s="12">
        <f>IF(SUM(CC9:CD9,CF9:CH9,CJ9)-SUM(CE9,CI9)&gt;0,SUM(CC9:CD9,CF9:CH9,CJ9)-SUM(CE9,CI9),"")</f>
        <v>67.900000000000006</v>
      </c>
      <c r="DC9" s="12">
        <f>IF(SUM(CK9:CL9,CN9:CP9,CR9)-SUM(CM9,CQ9)&gt;0,SUM(CK9:CL9,CN9:CP9,CR9)-SUM(CM9,CQ9),"")</f>
        <v>63.800000000000011</v>
      </c>
      <c r="DD9" s="12">
        <f>IF(SUM(CC9:CD9,CF9:CH9,CJ9:CL9,CN9:CP9,CR9)-SUM(CE9,CI9,CM9,CQ9)&gt;0,SUM(CC9:CD9,CF9:CH9,CJ9:CL9,CN9:CP9,CR9)-SUM(CE9,CI9,CM9,CQ9),"")</f>
        <v>131.69999999999999</v>
      </c>
      <c r="DE9" s="12">
        <f>IF(SUM(CS9:CT9,CV9:CX9,CZ9)-SUM(CU9,CY9)&gt;0,SUM(CS9:CT9,CV9:CX9,CZ9)-SUM(CU9,CY9),"")</f>
        <v>67.400000000000006</v>
      </c>
      <c r="DF9" s="12">
        <f>IF(SUM(DD9,DE9)&gt;0,SUM(DD9,DE9),"")</f>
        <v>199.1</v>
      </c>
      <c r="DG9" s="28" t="str">
        <f>IF(MAX(EI9,FM9,GQ9,HU9,IY9,KC9,LG9,MK9,NO9,OS9,PW9,RA9)-L9&gt;0.001,MAX(EI9,FM9,GQ9,HU9,IY9,KC9,LG9,MK9,NO9,OS9,PW9,RA9)-L9,"")</f>
        <v/>
      </c>
      <c r="DH9" s="28" t="str">
        <f>IF(MAX(EJ9,FN9,GR9,HV9,IZ9,KD9,LH9,ML9,NP9,OT9,PX9,RB9)-N9&gt;0.001,MAX(EJ9,FN9,GR9,HV9,IZ9,KD9,LH9,ML9,NP9,OT9,PX9,RB9)-N9,"")</f>
        <v/>
      </c>
      <c r="DI9" s="28" t="str">
        <f>IF(MAX(EL9,FP9,GT9,HX9,JB9,KF9,LJ9,MN9,OV9,PZ9,RD9)-P9&gt;0.001,MAX(EL9,FP9,GT9,HX9,JB9,KF9,LJ9,MN9,OV9,PZ9,RD9)-P9,"")</f>
        <v/>
      </c>
      <c r="DJ9" s="45"/>
      <c r="DK9" s="45"/>
      <c r="DL9" s="45"/>
      <c r="DM9" s="45"/>
      <c r="DN9" s="45"/>
      <c r="DO9" s="45"/>
      <c r="DP9" s="45"/>
      <c r="DQ9" s="45"/>
      <c r="DR9" s="45"/>
      <c r="DS9" s="45"/>
      <c r="DT9" s="45"/>
      <c r="DU9" s="45"/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12" t="str">
        <f>IF(SUM(DK9,DO9,DS9,DW9)&gt;0,SUM(DK9,DO9,DS9,DW9),"")</f>
        <v/>
      </c>
      <c r="EI9" s="12" t="str">
        <f>IF(SUM(DJ9:DK9,DM9:DO9,DQ9)-SUM(DL9,DP9)&gt;0,SUM(DJ9:DK9,DM9:DO9,DQ9)-SUM(DL9,DP9),"")</f>
        <v/>
      </c>
      <c r="EJ9" s="12" t="str">
        <f>IF(SUM(DR9:DS9,DU9:DW9,DY9)-SUM(DT9,DX9)&gt;0,SUM(DR9:DS9,DU9:DW9,DY9)-SUM(DT9,DX9),"")</f>
        <v/>
      </c>
      <c r="EK9" s="12" t="str">
        <f>IF(SUM(DJ9:DK9,DM9:DO9,DQ9:DS9,DU9:DW9,DY9)-SUM(DL9,DP9,DT9,DX9)&gt;0,SUM(DJ9:DK9,DM9:DO9,DQ9:DS9,DU9:DW9,DY9)-SUM(DL9,DP9,DT9,DX9),"")</f>
        <v/>
      </c>
      <c r="EL9" s="12" t="str">
        <f>IF(SUM(DZ9:EA9,EC9:EE9,EG9)-SUM(EB9,EF9)&gt;0,SUM(DZ9:EA9,EC9:EE9,EG9)-SUM(EB9,EF9),"")</f>
        <v/>
      </c>
      <c r="EM9" s="12" t="str">
        <f>IF(SUM(EK9,EL9)&gt;0,SUM(EK9,EL9),"")</f>
        <v/>
      </c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  <c r="FF9" s="50"/>
      <c r="FG9" s="50"/>
      <c r="FH9" s="50"/>
      <c r="FI9" s="50"/>
      <c r="FJ9" s="50"/>
      <c r="FK9" s="50"/>
      <c r="FL9" s="15" t="str">
        <f>IF(SUM(EO9,ES9,EW9,FA9)&gt;0,SUM(EO9,ES9,EW9,FA9),"")</f>
        <v/>
      </c>
      <c r="FM9" s="15" t="str">
        <f>IF(SUM(EN9:EO9,EQ9:ES9,EU9)-SUM(EP9,ET9)&gt;0,SUM(EN9:EO9,EQ9:ES9,EU9)-SUM(EP9,ET9),"")</f>
        <v/>
      </c>
      <c r="FN9" s="15" t="str">
        <f>IF(SUM(EV9:EW9,EY9:FA9,FC9)-SUM(EX9,FB9)&gt;0,SUM(EV9:EW9,EY9:FA9,FC9)-SUM(EX9,FB9),"")</f>
        <v/>
      </c>
      <c r="FO9" s="15" t="str">
        <f>IF(SUM(EN9:EO9,EQ9:ES9,EU9:EW9,EY9:FA9,FC9)-SUM(EP9,ET9,EX9,FB9)&gt;0,SUM(EN9:EO9,EQ9:ES9,EU9:EW9,EY9:FA9,FC9)-SUM(EP9,ET9,EX9,FB9),"")</f>
        <v/>
      </c>
      <c r="FP9" s="15" t="str">
        <f>IF(SUM(FD9:FE9,FG9:FI9,FK9)-SUM(FF9,FJ9)&gt;0,SUM(FD9:FE9,FG9:FI9,FK9)-SUM(FF9,FJ9),"")</f>
        <v/>
      </c>
      <c r="FQ9" s="15" t="str">
        <f>IF(SUM(FO9,FP9)&gt;0,SUM(FO9,FP9),"")</f>
        <v/>
      </c>
      <c r="FR9" s="51"/>
      <c r="FS9" s="51"/>
      <c r="FT9" s="51"/>
      <c r="FU9" s="51"/>
      <c r="FV9" s="51"/>
      <c r="FW9" s="51"/>
      <c r="FX9" s="51"/>
      <c r="FY9" s="51"/>
      <c r="FZ9" s="51"/>
      <c r="GA9" s="51"/>
      <c r="GB9" s="51"/>
      <c r="GC9" s="51"/>
      <c r="GD9" s="51"/>
      <c r="GE9" s="51"/>
      <c r="GF9" s="51"/>
      <c r="GG9" s="51"/>
      <c r="GH9" s="51"/>
      <c r="GI9" s="51"/>
      <c r="GJ9" s="51"/>
      <c r="GK9" s="51"/>
      <c r="GL9" s="51"/>
      <c r="GM9" s="51"/>
      <c r="GN9" s="51"/>
      <c r="GO9" s="51"/>
      <c r="GP9" s="12" t="str">
        <f>IF(SUM(FS9,FW9,GA9,GE9)&gt;0,SUM(FS9,FW9,GA9,GE9),"")</f>
        <v/>
      </c>
      <c r="GQ9" s="12" t="str">
        <f>IF(SUM(FR9:FS9,FU9:FW9,FY9)-SUM(FT9,FX9)&gt;0,SUM(FR9:FS9,FU9:FW9,FY9)-SUM(FT9,FX9),"")</f>
        <v/>
      </c>
      <c r="GR9" s="12" t="str">
        <f>IF(SUM(FZ9:GA9,GC9:GE9,GG9)-SUM(GB9,GF9)&gt;0,SUM(FZ9:GA9,GC9:GE9,GG9)-SUM(GB9,GF9),"")</f>
        <v/>
      </c>
      <c r="GS9" s="12" t="str">
        <f>IF(SUM(FR9:FS9,FU9:FW9,FY9:GA9,GC9:GE9,GG9)-SUM(FT9,FX9,GB9,GF9)&gt;0,SUM(FR9:FS9,FU9:FW9,FY9:GA9,GC9:GE9,GG9)-SUM(FT9,FX9,GB9,GF9),"")</f>
        <v/>
      </c>
      <c r="GT9" s="12" t="str">
        <f>IF(SUM(GH9:GI9,GK9:GM9,GO9)-SUM(GJ9,GN9)&gt;0,SUM(GH9:GI9,GK9:GM9,GO9)-SUM(GJ9,GN9),"")</f>
        <v/>
      </c>
      <c r="GU9" s="12" t="str">
        <f>IF(SUM(GS9,GT9)&gt;0,SUM(GS9,GT9),"")</f>
        <v/>
      </c>
      <c r="GV9" s="50"/>
      <c r="GW9" s="50"/>
      <c r="GX9" s="50"/>
      <c r="GY9" s="50"/>
      <c r="GZ9" s="50"/>
      <c r="HA9" s="50"/>
      <c r="HB9" s="50"/>
      <c r="HC9" s="50"/>
      <c r="HD9" s="50"/>
      <c r="HE9" s="50"/>
      <c r="HF9" s="50"/>
      <c r="HG9" s="50"/>
      <c r="HH9" s="50"/>
      <c r="HI9" s="50"/>
      <c r="HJ9" s="50"/>
      <c r="HK9" s="50"/>
      <c r="HL9" s="50"/>
      <c r="HM9" s="50"/>
      <c r="HN9" s="50"/>
      <c r="HO9" s="50"/>
      <c r="HP9" s="50"/>
      <c r="HQ9" s="50"/>
      <c r="HR9" s="50"/>
      <c r="HS9" s="50"/>
      <c r="HT9" s="15" t="str">
        <f>IF(SUM(GW9,HA9,HE9,HI9)&gt;0,SUM(GW9,HA9,HE9,HI9),"")</f>
        <v/>
      </c>
      <c r="HU9" s="15" t="str">
        <f>IF(SUM(GV9:GW9,GY9:HA9,HC9)-SUM(GX9,HB9)&gt;0,SUM(GV9:GW9,GY9:HA9,HC9)-SUM(GX9,HB9),"")</f>
        <v/>
      </c>
      <c r="HV9" s="15" t="str">
        <f>IF(SUM(HD9:HE9,HG9:HI9,HK9)-SUM(HF9,HJ9)&gt;0,SUM(HD9:HE9,HG9:HI9,HK9)-SUM(HF9,HJ9),"")</f>
        <v/>
      </c>
      <c r="HW9" s="15" t="str">
        <f>IF(SUM(GV9:GW9,GY9:HA9,HC9:HE9,HG9:HI9,HK9)-SUM(GX9,HB9,HF9,HJ9)&gt;0,SUM(GV9:GW9,GY9:HA9,HC9:HE9,HG9:HI9,HK9)-SUM(GX9,HB9,HF9,HJ9),"")</f>
        <v/>
      </c>
      <c r="HX9" s="15" t="str">
        <f>IF(SUM(HL9:HM9,HO9:HQ9,HS9)-SUM(HN9,HR9)&gt;0,SUM(HL9:HM9,HO9:HQ9,HS9)-SUM(HN9,HR9),"")</f>
        <v/>
      </c>
      <c r="HY9" s="15" t="str">
        <f>IF(SUM(HW9,HX9)&gt;0,SUM(HW9,HX9),"")</f>
        <v/>
      </c>
      <c r="HZ9" s="51"/>
      <c r="IA9" s="51"/>
      <c r="IB9" s="51"/>
      <c r="IC9" s="51"/>
      <c r="ID9" s="51"/>
      <c r="IE9" s="51"/>
      <c r="IF9" s="51"/>
      <c r="IG9" s="51"/>
      <c r="IH9" s="51"/>
      <c r="II9" s="51"/>
      <c r="IJ9" s="51"/>
      <c r="IK9" s="51"/>
      <c r="IL9" s="51"/>
      <c r="IM9" s="51"/>
      <c r="IN9" s="51"/>
      <c r="IO9" s="51"/>
      <c r="IP9" s="51"/>
      <c r="IQ9" s="51"/>
      <c r="IR9" s="51"/>
      <c r="IS9" s="51"/>
      <c r="IT9" s="51"/>
      <c r="IU9" s="51"/>
      <c r="IV9" s="51"/>
      <c r="IW9" s="51"/>
      <c r="IX9" s="12" t="str">
        <f>IF(SUM(IA9,IE9,II9,IM9)&gt;0,SUM(IA9,IE9,II9,IM9),"")</f>
        <v/>
      </c>
      <c r="IY9" s="12" t="str">
        <f>IF(SUM(HZ9:IA9,IC9:IE9,IG9)-SUM(IB9,IF9)&gt;0,SUM(HZ9:IA9,IC9:IE9,IG9)-SUM(IB9,IF9),"")</f>
        <v/>
      </c>
      <c r="IZ9" s="12" t="str">
        <f>IF(SUM(IH9:II9,IK9:IM9,IO9)-SUM(IJ9,IN9)&gt;0,SUM(IH9:II9,IK9:IM9,IO9)-SUM(IJ9,IN9),"")</f>
        <v/>
      </c>
      <c r="JA9" s="12" t="str">
        <f>IF(SUM(HZ9:IA9,IC9:IE9,IG9:II9,IK9:IM9,IO9)-SUM(IB9,IF9,IJ9,IN9)&gt;0,SUM(HZ9:IA9,IC9:IE9,IG9:II9,IK9:IM9,IO9)-SUM(IB9,IF9,IJ9,IN9),"")</f>
        <v/>
      </c>
      <c r="JB9" s="12" t="str">
        <f>IF(SUM(IP9:IQ9,IS9:IU9,IW9)-SUM(IR9,IV9)&gt;0,SUM(IP9:IQ9,IS9:IU9,IW9)-SUM(IR9,IV9),"")</f>
        <v/>
      </c>
      <c r="JC9" s="12" t="str">
        <f>IF(SUM(JA9,JB9)&gt;0,SUM(JA9,JB9),"")</f>
        <v/>
      </c>
      <c r="JD9" s="50"/>
      <c r="JE9" s="50"/>
      <c r="JF9" s="50"/>
      <c r="JG9" s="50"/>
      <c r="JH9" s="50"/>
      <c r="JI9" s="50"/>
      <c r="JJ9" s="50"/>
      <c r="JK9" s="50"/>
      <c r="JL9" s="50"/>
      <c r="JM9" s="50"/>
      <c r="JN9" s="50"/>
      <c r="JO9" s="50"/>
      <c r="JP9" s="50"/>
      <c r="JQ9" s="50"/>
      <c r="JR9" s="50"/>
      <c r="JS9" s="50"/>
      <c r="JT9" s="50"/>
      <c r="JU9" s="50"/>
      <c r="JV9" s="50"/>
      <c r="JW9" s="50"/>
      <c r="JX9" s="50"/>
      <c r="JY9" s="50"/>
      <c r="JZ9" s="50"/>
      <c r="KA9" s="50"/>
      <c r="KB9" s="15" t="str">
        <f>IF(SUM(JE9,JI9,JM9,JQ9)&gt;0,SUM(JE9,JI9,JM9,JQ9),"")</f>
        <v/>
      </c>
      <c r="KC9" s="15" t="str">
        <f>IF(SUM(JD9:JE9,JG9:JI9,JK9)-SUM(JF9,JJ9)&gt;0,SUM(JD9:JE9,JG9:JI9,JK9)-SUM(JF9,JJ9),"")</f>
        <v/>
      </c>
      <c r="KD9" s="15" t="str">
        <f>IF(SUM(JL9:JM9,JO9:JQ9,JS9)-SUM(JN9,JR9)&gt;0,SUM(JL9:JM9,JO9:JQ9,JS9)-SUM(JN9,JR9),"")</f>
        <v/>
      </c>
      <c r="KE9" s="15" t="str">
        <f>IF(SUM(JD9:JE9,JG9:JI9,JK9:JM9,JO9:JQ9,JS9)-SUM(JF9,JJ9,JN9,JR9)&gt;0,SUM(JD9:JE9,JG9:JI9,JK9:JM9,JO9:JQ9,JS9)-SUM(JF9,JJ9,JN9,JR9),"")</f>
        <v/>
      </c>
      <c r="KF9" s="15" t="str">
        <f>IF(SUM(JT9:JU9,JW9:JY9,KA9)-SUM(JV9,JZ9)&gt;0,SUM(JT9:JU9,JW9:JY9,KA9)-SUM(JV9,JZ9),"")</f>
        <v/>
      </c>
      <c r="KG9" s="15" t="str">
        <f>IF(SUM(KE9,KF9)&gt;0,SUM(KE9,KF9),"")</f>
        <v/>
      </c>
      <c r="KH9" s="51"/>
      <c r="KI9" s="51"/>
      <c r="KJ9" s="51"/>
      <c r="KK9" s="51"/>
      <c r="KL9" s="51"/>
      <c r="KM9" s="51"/>
      <c r="KN9" s="51"/>
      <c r="KO9" s="51"/>
      <c r="KP9" s="51"/>
      <c r="KQ9" s="51"/>
      <c r="KR9" s="51"/>
      <c r="KS9" s="51"/>
      <c r="KT9" s="51"/>
      <c r="KU9" s="51"/>
      <c r="KV9" s="51"/>
      <c r="KW9" s="51"/>
      <c r="KX9" s="51"/>
      <c r="KY9" s="51"/>
      <c r="KZ9" s="51"/>
      <c r="LA9" s="51"/>
      <c r="LB9" s="51"/>
      <c r="LC9" s="51"/>
      <c r="LD9" s="51"/>
      <c r="LE9" s="51"/>
      <c r="LF9" s="12" t="str">
        <f>IF(SUM(KI9,KM9,KQ9,KU9)&gt;0,SUM(KI9,KM9,KQ9,KU9),"")</f>
        <v/>
      </c>
      <c r="LG9" s="12" t="str">
        <f>IF(SUM(KH9:KI9,KK9:KM9,KO9)-SUM(KJ9,KN9)&gt;0,SUM(KH9:KI9,KK9:KM9,KO9)-SUM(KJ9,KN9),"")</f>
        <v/>
      </c>
      <c r="LH9" s="12" t="str">
        <f>IF(SUM(KP9:KQ9,KS9:KU9,KW9)-SUM(KR9,KV9)&gt;0,SUM(KP9:KQ9,KS9:KU9,KW9)-SUM(KR9,KV9),"")</f>
        <v/>
      </c>
      <c r="LI9" s="12" t="str">
        <f>IF(SUM(KH9:KI9,KK9:KM9,KO9:KQ9,KS9:KU9,KW9)-SUM(KJ9,KN9,KR9,KV9)&gt;0,SUM(KH9:KI9,KK9:KM9,KO9:KQ9,KS9:KU9,KW9)-SUM(KJ9,KN9,KR9,KV9),"")</f>
        <v/>
      </c>
      <c r="LJ9" s="12" t="str">
        <f>IF(SUM(KX9:KY9,LA9:LC9,LE9)-SUM(KZ9,LD9)&gt;0,SUM(KX9:KY9,LA9:LC9,LE9)-SUM(KZ9,LD9),"")</f>
        <v/>
      </c>
      <c r="LK9" s="12" t="str">
        <f>IF(SUM(LI9,LJ9)&gt;0,SUM(LI9,LJ9),"")</f>
        <v/>
      </c>
      <c r="LL9" s="50"/>
      <c r="LM9" s="50"/>
      <c r="LN9" s="50"/>
      <c r="LO9" s="50"/>
      <c r="LP9" s="50"/>
      <c r="LQ9" s="50"/>
      <c r="LR9" s="50"/>
      <c r="LS9" s="50"/>
      <c r="LT9" s="50"/>
      <c r="LU9" s="50"/>
      <c r="LV9" s="50"/>
      <c r="LW9" s="50"/>
      <c r="LX9" s="50"/>
      <c r="LY9" s="50"/>
      <c r="LZ9" s="50"/>
      <c r="MA9" s="50"/>
      <c r="MB9" s="50"/>
      <c r="MC9" s="50"/>
      <c r="MD9" s="50"/>
      <c r="ME9" s="50"/>
      <c r="MF9" s="50"/>
      <c r="MG9" s="50"/>
      <c r="MH9" s="50"/>
      <c r="MI9" s="50"/>
      <c r="MJ9" s="15" t="str">
        <f>IF(SUM(LM9,LQ9,LU9,LY9)&gt;0,SUM(LM9,LQ9,LU9,LY9),"")</f>
        <v/>
      </c>
      <c r="MK9" s="15" t="str">
        <f>IF(SUM(LL9:LM9,LO9:LQ9,LS9)-SUM(LN9,LR9)&gt;0,SUM(LL9:LM9,LO9:LQ9,LS9)-SUM(LN9,LR9),"")</f>
        <v/>
      </c>
      <c r="ML9" s="15" t="str">
        <f>IF(SUM(LT9:LU9,LW9:LY9,MA9)-SUM(LV9,LZ9)&gt;0,SUM(LT9:LU9,LW9:LY9,MA9)-SUM(LV9,LZ9),"")</f>
        <v/>
      </c>
      <c r="MM9" s="15" t="str">
        <f>IF(SUM(LL9:LM9,LO9:LQ9,LS9:LU9,LW9:LY9,MA9)-SUM(LN9,LR9,LV9,LZ9)&gt;0,SUM(LL9:LM9,LO9:LQ9,LS9:LU9,LW9:LY9,MA9)-SUM(LN9,LR9,LV9,LZ9),"")</f>
        <v/>
      </c>
      <c r="MN9" s="15" t="str">
        <f>IF(SUM(MB9:MC9,ME9:MG9,MI9)-SUM(MD9,MH9)&gt;0,SUM(MB9:MC9,ME9:MG9,MI9)-SUM(MD9,MH9),"")</f>
        <v/>
      </c>
      <c r="MO9" s="15" t="str">
        <f>IF(SUM(MM9,MN9)&gt;0,SUM(MM9,MN9),"")</f>
        <v/>
      </c>
      <c r="MP9" s="51"/>
      <c r="MQ9" s="51"/>
      <c r="MR9" s="51"/>
      <c r="MS9" s="51"/>
      <c r="MT9" s="51"/>
      <c r="MU9" s="51"/>
      <c r="MV9" s="51"/>
      <c r="MW9" s="51"/>
      <c r="MX9" s="51"/>
      <c r="MY9" s="51"/>
      <c r="MZ9" s="51"/>
      <c r="NA9" s="51"/>
      <c r="NB9" s="51"/>
      <c r="NC9" s="51"/>
      <c r="ND9" s="51"/>
      <c r="NE9" s="51"/>
      <c r="NF9" s="51"/>
      <c r="NG9" s="51"/>
      <c r="NH9" s="51"/>
      <c r="NI9" s="51"/>
      <c r="NJ9" s="51"/>
      <c r="NK9" s="51"/>
      <c r="NL9" s="51"/>
      <c r="NM9" s="51"/>
      <c r="NN9" s="12" t="str">
        <f>IF(SUM(MQ9,MU9,MY9,NC9)&gt;0,SUM(MQ9,MU9,MY9,NC9),"")</f>
        <v/>
      </c>
      <c r="NO9" s="12" t="str">
        <f>IF(SUM(MP9:MQ9,MS9:MU9,MW9)-SUM(MR9,MV9)&gt;0,SUM(MP9:MQ9,MS9:MU9,MW9)-SUM(MR9,MV9),"")</f>
        <v/>
      </c>
      <c r="NP9" s="12" t="str">
        <f>IF(SUM(MX9:MY9,NA9:NC9,NE9)-SUM(MZ9,ND9)&gt;0,SUM(MX9:MY9,NA9:NC9,NE9)-SUM(MZ9,ND9),"")</f>
        <v/>
      </c>
      <c r="NQ9" s="12" t="str">
        <f>IF(SUM(MP9:MQ9,MS9:MU9,MW9:MY9,NA9:NC9,NE9)-SUM(MR9,MV9,MZ9,ND9)&gt;0,SUM(MP9:MQ9,MS9:MU9,MW9:MY9,NA9:NC9,NE9)-SUM(MR9,MV9,MZ9,ND9),"")</f>
        <v/>
      </c>
      <c r="NR9" s="12" t="str">
        <f>IF(SUM(NF9:NG9,NI9:NK9,NM9)-SUM(NH9,NL9)&gt;0,SUM(NF9:NG9,NI9:NK9,NM9)-SUM(NH9,NL9),"")</f>
        <v/>
      </c>
      <c r="NS9" s="12" t="str">
        <f>IF(SUM(NQ9,NR9)&gt;0,SUM(NQ9,NR9),"")</f>
        <v/>
      </c>
      <c r="NT9" s="50"/>
      <c r="NU9" s="50"/>
      <c r="NV9" s="50"/>
      <c r="NW9" s="50"/>
      <c r="NX9" s="50"/>
      <c r="NY9" s="50"/>
      <c r="NZ9" s="50"/>
      <c r="OA9" s="50"/>
      <c r="OB9" s="50"/>
      <c r="OC9" s="50"/>
      <c r="OD9" s="50"/>
      <c r="OE9" s="50"/>
      <c r="OF9" s="50"/>
      <c r="OG9" s="50"/>
      <c r="OH9" s="50"/>
      <c r="OI9" s="50"/>
      <c r="OJ9" s="50"/>
      <c r="OK9" s="50"/>
      <c r="OL9" s="50"/>
      <c r="OM9" s="50"/>
      <c r="ON9" s="50"/>
      <c r="OO9" s="50"/>
      <c r="OP9" s="50"/>
      <c r="OQ9" s="50"/>
      <c r="OR9" s="15" t="str">
        <f>IF(SUM(NU9,NY9,OC9,OG9)&gt;0,SUM(NU9,NY9,OC9,OG9),"")</f>
        <v/>
      </c>
      <c r="OS9" s="15" t="str">
        <f>IF(SUM(NT9:NU9,NW9:NY9,OA9)-SUM(NV9,NZ9)&gt;0,SUM(NT9:NU9,NW9:NY9,OA9)-SUM(NV9,NZ9),"")</f>
        <v/>
      </c>
      <c r="OT9" s="15" t="str">
        <f>IF(SUM(OB9:OC9,OE9:OG9,OI9)-SUM(OD9,OH9)&gt;0,SUM(OB9:OC9,OE9:OG9,OI9)-SUM(OD9,OH9),"")</f>
        <v/>
      </c>
      <c r="OU9" s="15" t="str">
        <f>IF(SUM(NT9:NU9,NW9:NY9,OA9:OC9,OE9:OG9,OI9)-SUM(NV9,NZ9,OD9,OH9)&gt;0,SUM(NT9:NU9,NW9:NY9,OA9:OC9,OE9:OG9,OI9)-SUM(NV9,NZ9,OD9,OH9),"")</f>
        <v/>
      </c>
      <c r="OV9" s="15" t="str">
        <f>IF(SUM(OJ9:OK9,OM9:OO9,OQ9)-SUM(OL9,OP9)&gt;0,SUM(OJ9:OK9,OM9:OO9,OQ9)-SUM(OL9,OP9),"")</f>
        <v/>
      </c>
      <c r="OW9" s="15" t="str">
        <f>IF(SUM(OU9,OV9)&gt;0,SUM(OU9,OV9),"")</f>
        <v/>
      </c>
      <c r="OX9" s="51"/>
      <c r="OY9" s="51"/>
      <c r="OZ9" s="51"/>
      <c r="PA9" s="51"/>
      <c r="PB9" s="51"/>
      <c r="PC9" s="51"/>
      <c r="PD9" s="51"/>
      <c r="PE9" s="51"/>
      <c r="PF9" s="51"/>
      <c r="PG9" s="51"/>
      <c r="PH9" s="51"/>
      <c r="PI9" s="51"/>
      <c r="PJ9" s="51"/>
      <c r="PK9" s="51"/>
      <c r="PL9" s="51"/>
      <c r="PM9" s="51"/>
      <c r="PN9" s="51"/>
      <c r="PO9" s="51"/>
      <c r="PP9" s="51"/>
      <c r="PQ9" s="51"/>
      <c r="PR9" s="51"/>
      <c r="PS9" s="51"/>
      <c r="PT9" s="51"/>
      <c r="PU9" s="51"/>
      <c r="PV9" s="12" t="str">
        <f>IF(SUM(OY9,PC9,PG9,PK9)&gt;0,SUM(OY9,PC9,PG9,PK9),"")</f>
        <v/>
      </c>
      <c r="PW9" s="12" t="str">
        <f>IF(SUM(OX9:OY9,PA9:PC9,PE9)-SUM(OZ9,PD9)&gt;0,SUM(OX9:OY9,PA9:PC9,PE9)-SUM(OZ9,PD9),"")</f>
        <v/>
      </c>
      <c r="PX9" s="12" t="str">
        <f>IF(SUM(PF9:PG9,PI9:PK9,PM9)-SUM(PH9,PL9)&gt;0,SUM(PF9:PG9,PI9:PK9,PM9)-SUM(PH9,PL9),"")</f>
        <v/>
      </c>
      <c r="PY9" s="12" t="str">
        <f>IF(SUM(OX9:OY9,PA9:PC9,PE9:PG9,PI9:PK9,PM9)-SUM(OZ9,PD9,PH9,PL9)&gt;0,SUM(OX9:OY9,PA9:PC9,PE9:PG9,PI9:PK9,PM9)-SUM(OZ9,PD9,PH9,PL9),"")</f>
        <v/>
      </c>
      <c r="PZ9" s="12" t="str">
        <f>IF(SUM(PN9:PO9,PQ9:PS9,PU9)-SUM(PP9,PT9)&gt;0,SUM(PN9:PO9,PQ9:PS9,PU9)-SUM(PP9,PT9),"")</f>
        <v/>
      </c>
      <c r="QA9" s="12" t="str">
        <f>IF(SUM(PY9,PZ9)&gt;0,SUM(PY9,PZ9),"")</f>
        <v/>
      </c>
      <c r="QB9" s="50"/>
      <c r="QC9" s="50"/>
      <c r="QD9" s="50"/>
      <c r="QE9" s="50"/>
      <c r="QF9" s="50"/>
      <c r="QG9" s="50"/>
      <c r="QH9" s="50"/>
      <c r="QI9" s="50"/>
      <c r="QJ9" s="50"/>
      <c r="QK9" s="50"/>
      <c r="QL9" s="50"/>
      <c r="QM9" s="50"/>
      <c r="QN9" s="50"/>
      <c r="QO9" s="50"/>
      <c r="QP9" s="50"/>
      <c r="QQ9" s="50"/>
      <c r="QR9" s="50"/>
      <c r="QS9" s="50"/>
      <c r="QT9" s="50"/>
      <c r="QU9" s="50"/>
      <c r="QV9" s="50"/>
      <c r="QW9" s="50"/>
      <c r="QX9" s="50"/>
      <c r="QY9" s="50"/>
      <c r="QZ9" s="15" t="str">
        <f>IF(SUM(QC9,QG9,QK9,QO9)&gt;0,SUM(QC9,QG9,QK9,QO9),"")</f>
        <v/>
      </c>
      <c r="RA9" s="15" t="str">
        <f>IF(SUM(QB9:QC9,QE9:QG9,QI9)-SUM(QD9,QH9)&gt;0,SUM(QB9:QC9,QE9:QG9,QI9)-SUM(QD9,QH9),"")</f>
        <v/>
      </c>
      <c r="RB9" s="15" t="str">
        <f>IF(SUM(QJ9:QK9,QM9:QO9,QQ9)-SUM(QL9,QP9)&gt;0,SUM(QJ9:QK9,QM9:QO9,QQ9)-SUM(QL9,QP9),"")</f>
        <v/>
      </c>
      <c r="RC9" s="15" t="str">
        <f>IF(SUM(QB9:QC9,QE9:QG9,QI9:QK9,QM9:QO9,QQ9)-SUM(QD9,QH9,QL9,QP9)&gt;0,SUM(QB9:QC9,QE9:QG9,QI9:QK9,QM9:QO9,QQ9)-SUM(QD9,QH9,QL9,QP9),"")</f>
        <v/>
      </c>
      <c r="RD9" s="15" t="str">
        <f>IF(SUM(QR9:QS9,QU9:QW9,QY9)-SUM(QT9,QX9)&gt;0,SUM(QR9:QS9,QU9:QW9,QY9)-SUM(QT9,QX9),"")</f>
        <v/>
      </c>
      <c r="RE9" s="15" t="str">
        <f>IF(SUM(RC9,RD9)&gt;0,SUM(RC9,RD9),"")</f>
        <v/>
      </c>
    </row>
    <row r="10" spans="1:473">
      <c r="A10" s="6" t="str">
        <f>IF(AND(F10="P",H10="P"),SUMPRODUCT((F$4:F$14="P")*(H$4:H$14="P")*(E$4:E$14&gt;E10))+1,IF(H10="P",SUMPRODUCT((F$4:F$14="")*(H$4:H$14="P")*(E$4:E$14&gt;E10))+1+SUMPRODUCT((F$4:F$14="P")*(H$4:H$14="P")),""))</f>
        <v/>
      </c>
      <c r="B10" s="9" t="s">
        <v>97</v>
      </c>
      <c r="C10" s="5" t="s">
        <v>3</v>
      </c>
      <c r="D10" s="6">
        <v>2000</v>
      </c>
      <c r="E10" s="16">
        <f>SUM(J10:R10)</f>
        <v>323.7</v>
      </c>
      <c r="F10" s="4" t="str">
        <f>IF(OR(AND($AS10&gt;=$AT$17,NOT($AS10="")),AND($BW10&gt;=$BX$17,NOT($BW10="")),AND($DA10&gt;=$DB$17,NOT($DA10=""))),"P","")</f>
        <v/>
      </c>
      <c r="G10" s="4" t="str">
        <f>IF(OR(AND($AS10&gt;=$AT$18,NOT($AS10="")),AND($BW10&gt;=$BX$18,NOT($BW10="")),AND($DA10&gt;=$DB$18,NOT($DA10=""))),"P","")</f>
        <v/>
      </c>
      <c r="H10" s="4" t="str">
        <f>IF(OR(AND($AV10&gt;=$AT$19,NOT($AV10="")),AND($BZ10&gt;=$BX$19,NOT($BZ10="")),AND($DD10&gt;=$DB$19,NOT($DD10=""))),"P","")</f>
        <v/>
      </c>
      <c r="I10" t="str">
        <f>IF(AND(F10="P",OR(AND($AV10&gt;=$AT$22,NOT($AV10="")),AND($BZ10&gt;=$BX$22,NOT($BZ10="")),AND($DD10&gt;=$DB$22,NOT($DD10="")))),"Merit",IF(AND(F10="P",OR(AND($AV10&gt;=$AT$21,NOT($AV10="")),AND($BZ10&gt;=$BX$21,NOT($BZ10="")),AND($DD10&gt;=$DB$21,NOT($DD10="")))),"Funding",IF(AND(F10="P",OR(AND($AV10&gt;=$AT$20,NOT($AV10="")),AND($BZ10&gt;=$BX$20,NOT($BZ10="")),AND($DD10&gt;=$DB$20,NOT($DD10="")))),"Worlds Team",IF(AND(F10="P",OR(AND($AV10&gt;=$AT$19,NOT($AV10="")),AND($BZ10&gt;=$BX$19,NOT($BZ10="")),AND($DD10&gt;=$DB$19,NOT($DD10="")))),"National Team",""))))</f>
        <v/>
      </c>
      <c r="J10" s="15">
        <f>MAX(AV10,BZ10,DD10)</f>
        <v>131.6</v>
      </c>
      <c r="K10" s="15" t="str">
        <f>IF(J10=DD10,$CC$1,IF(J10=BZ10,$AY$1,IF(J10=AV10,$U$1,"")))</f>
        <v>2017 Nationals</v>
      </c>
      <c r="L10" s="15">
        <f>IF($J10=$AV10,MAX(BX10,DB10),IF($J10=$BZ10,MAX(AT10,DB10),MAX(AT10,BX10)))</f>
        <v>63.399999999999991</v>
      </c>
      <c r="M10" s="15" t="str">
        <f>IF(L10=DB10,$CC$1,IF(L10=BX10,$AY$1,IF(L10=AT10,$U$1,"")))</f>
        <v>2017 Canada Cup</v>
      </c>
      <c r="N10" s="15">
        <f>IF($J10=$AV10,MAX(BY10,DC10),IF($J10=$BZ10,MAX(AU10,DC10),MAX(AU10,BY10)))</f>
        <v>64.7</v>
      </c>
      <c r="O10" s="15" t="str">
        <f>IF(N10=DC10,$CC$1,IF(N10=BY10,$AY$1,IF(N10=AU10,$U$1,"")))</f>
        <v>2017 Canada Cup</v>
      </c>
      <c r="P10" s="15">
        <f>MAX(AW10,CA10,DE10)</f>
        <v>64</v>
      </c>
      <c r="Q10" s="15" t="str">
        <f>IF(P10=DE10,$CC$1,IF(P10=CA10,$AY$1,IF(P10=AW10,$U$1,"")))</f>
        <v>2017 Canada Cup</v>
      </c>
      <c r="R10" s="15" t="str">
        <f>IF(MAX(DG10:DI10)&gt;0,MAX(DG10:DI10),"")</f>
        <v/>
      </c>
      <c r="S10" s="29" t="str">
        <f>IF(R10="","",IF(R10=DG10,"(Pass 1-2)",IF(R10=DH10,"(Pass 3-4)",IF(R10=DI10,"(Final)"))))</f>
        <v/>
      </c>
      <c r="T10" s="15" t="str">
        <f>IF(R10="","",IF(R10=DG10,IF(R10+L10=RA10,$QB$1,IF(R10+L10=PW10,$OX$1,IF(R10+L10=OS10,$NT$1,IF(R10+L10=NO10,$MP$1,IF(R10+L10=MK10,$LL$1,IF(R10+L10=LG10,$KH$1,IF(R10+L10=KC10,$JD$1,IF(R10+L10=IY10,$HZ$1,IF(R10+L10=HU10,$GV$1,IF(R10+L10=GQ10,$FR$1,IF(R10+L10=FM10,$EN$1,IF(R10+L10=EI10,$DJ$1)))))))))))),IF(R10=DH10,IF(R10+N10=RB10,$QB$1,IF(R10+N10=PX10,$OX$1,IF(R10+N10=OT10,$NT$1,IF(R10+N10=NP10,$MP$1,IF(R10+N10=ML10,$LL$1,IF(R10+N10=LH10,$KH$1,IF(R10+N10=KD10,$JD$1,IF(R10+N10=IZ10,$HZ$1,IF(R10+N10=HV10,$GV$1,IF(R10+N10=GR10,$FR$1,IF(R10+N10=FN10,$EN$1,IF(R10+N10=EJ10,$DJ$1)))))))))))),IF(R10=DI10,IF(R10+P10=RD10,$QB$1,IF(R10+P10=PZ10,$OX$1,IF(R10+P10=OV10,$NT$1,IF(R10+P10=NR10,$MP$1,IF(R10+P10=MN10,$LL$1,IF(R10+P10=LJ10,$KH$1,IF(R10+P10=KF10,$JD$1,IF(R10+P10=JB10,$HZ$1,IF(R10+P10=HX10,$GV$1,IF(R10+P10=GT10,$FR$1,IF(R10+P10=FP10,$EN$1,IF(R10+P10=EL10,$DJ$1))))))))))))))))</f>
        <v/>
      </c>
      <c r="U10" s="76">
        <v>27.7</v>
      </c>
      <c r="V10" s="76">
        <v>5.2</v>
      </c>
      <c r="W10" s="76">
        <v>1.2</v>
      </c>
      <c r="X10" s="76">
        <v>0</v>
      </c>
      <c r="Y10" s="76">
        <v>28.4</v>
      </c>
      <c r="Z10" s="76">
        <v>3.6</v>
      </c>
      <c r="AA10" s="76">
        <v>0.3</v>
      </c>
      <c r="AB10" s="76">
        <v>0</v>
      </c>
      <c r="AC10" s="76">
        <v>27.9</v>
      </c>
      <c r="AD10" s="76">
        <v>4.4000000000000004</v>
      </c>
      <c r="AE10" s="76">
        <v>0</v>
      </c>
      <c r="AF10" s="76">
        <v>0</v>
      </c>
      <c r="AG10" s="76">
        <v>28</v>
      </c>
      <c r="AH10" s="76">
        <v>4.4000000000000004</v>
      </c>
      <c r="AI10" s="76">
        <v>0</v>
      </c>
      <c r="AJ10" s="76">
        <v>0</v>
      </c>
      <c r="AK10" s="76">
        <v>27.6</v>
      </c>
      <c r="AL10" s="76">
        <v>5.2</v>
      </c>
      <c r="AM10" s="76">
        <v>1.2</v>
      </c>
      <c r="AN10" s="76">
        <v>0</v>
      </c>
      <c r="AO10" s="76">
        <v>28</v>
      </c>
      <c r="AP10" s="76">
        <v>4.4000000000000004</v>
      </c>
      <c r="AQ10" s="76">
        <v>0</v>
      </c>
      <c r="AR10" s="76">
        <v>0</v>
      </c>
      <c r="AS10" s="12">
        <f>IF(SUM(V10,Z10,AD10,AH10)&gt;0,SUM(V10,Z10,AD10,AH10),"")</f>
        <v>17.600000000000001</v>
      </c>
      <c r="AT10" s="12">
        <f>IF(SUM(U10:V10,X10:Z10,AB10)-SUM(W10,AA10)&gt;0,SUM(U10:V10,X10:Z10,AB10)-SUM(W10,AA10),"")</f>
        <v>63.399999999999991</v>
      </c>
      <c r="AU10" s="12">
        <f>IF(SUM(AC10:AD10,AF10:AH10,AJ10)-SUM(AE10,AI10)&gt;0,SUM(AC10:AD10,AF10:AH10,AJ10)-SUM(AE10,AI10),"")</f>
        <v>64.7</v>
      </c>
      <c r="AV10" s="12">
        <f>IF(SUM(U10:V10,X10:Z10,AB10:AD10,AF10:AH10,AJ10)-SUM(W10,AA10,AE10,AI10)&gt;0,SUM(U10:V10,X10:Z10,AB10:AD10,AF10:AH10,AJ10)-SUM(W10,AA10,AE10,AI10),"")</f>
        <v>128.1</v>
      </c>
      <c r="AW10" s="12">
        <f>IF(SUM(AK10:AL10,AN10:AP10,AR10)-SUM(AM10,AQ10)&gt;0,SUM(AK10:AL10,AN10:AP10,AR10)-SUM(AM10,AQ10),"")</f>
        <v>64</v>
      </c>
      <c r="AX10" s="12">
        <f>IF(SUM(AV10,AW10)&gt;0,SUM(AV10,AW10),"")</f>
        <v>192.1</v>
      </c>
      <c r="AY10" s="46">
        <v>27.7</v>
      </c>
      <c r="AZ10" s="46">
        <v>6</v>
      </c>
      <c r="BA10" s="46">
        <v>0.9</v>
      </c>
      <c r="BB10" s="46">
        <v>0</v>
      </c>
      <c r="BC10" s="46">
        <v>27.9</v>
      </c>
      <c r="BD10" s="46">
        <v>5.2</v>
      </c>
      <c r="BE10" s="46">
        <v>0</v>
      </c>
      <c r="BF10" s="46">
        <v>0</v>
      </c>
      <c r="BG10" s="46">
        <v>27.9</v>
      </c>
      <c r="BH10" s="46">
        <v>5.2</v>
      </c>
      <c r="BI10" s="46">
        <v>0</v>
      </c>
      <c r="BJ10" s="46">
        <v>0</v>
      </c>
      <c r="BK10" s="46">
        <v>27.7</v>
      </c>
      <c r="BL10" s="46">
        <v>5.2</v>
      </c>
      <c r="BM10" s="46">
        <v>0.3</v>
      </c>
      <c r="BN10" s="46">
        <v>0</v>
      </c>
      <c r="BO10" s="46">
        <v>27.7</v>
      </c>
      <c r="BP10" s="46">
        <v>5.2</v>
      </c>
      <c r="BQ10" s="46">
        <v>0</v>
      </c>
      <c r="BR10" s="46">
        <v>0</v>
      </c>
      <c r="BS10" s="46">
        <v>27.6</v>
      </c>
      <c r="BT10" s="46">
        <v>2</v>
      </c>
      <c r="BU10" s="46">
        <v>0</v>
      </c>
      <c r="BV10" s="46">
        <v>0</v>
      </c>
      <c r="BW10" s="15">
        <f>IF(SUM(AZ10,BD10,BH10,BL10)&gt;0,SUM(AZ10,BD10,BH10,BL10),"")</f>
        <v>21.599999999999998</v>
      </c>
      <c r="BX10" s="15">
        <f>IF(SUM(AY10:AZ10,BB10:BD10,BF10)-SUM(BA10,BE10)&gt;0,SUM(AY10:AZ10,BB10:BD10,BF10)-SUM(BA10,BE10),"")</f>
        <v>65.899999999999991</v>
      </c>
      <c r="BY10" s="15">
        <f>IF(SUM(BG10:BH10,BJ10:BL10,BN10)-SUM(BI10,BM10)&gt;0,SUM(BG10:BH10,BJ10:BL10,BN10)-SUM(BI10,BM10),"")</f>
        <v>65.7</v>
      </c>
      <c r="BZ10" s="15">
        <f>IF(SUM(AY10:AZ10,BB10:BD10,BF10:BH10,BJ10:BL10,BN10)-SUM(BA10,BE10,BI10,BM10)&gt;0,SUM(AY10:AZ10,BB10:BD10,BF10:BH10,BJ10:BL10,BN10)-SUM(BA10,BE10,BI10,BM10),"")</f>
        <v>131.6</v>
      </c>
      <c r="CA10" s="15">
        <f>IF(SUM(BO10:BP10,BR10:BT10,BV10)-SUM(BQ10,BU10)&gt;0,SUM(BO10:BP10,BR10:BT10,BV10)-SUM(BQ10,BU10),"")</f>
        <v>62.5</v>
      </c>
      <c r="CB10" s="15">
        <f>IF(SUM(BZ10,CA10)&gt;0,SUM(BZ10,CA10),"")</f>
        <v>194.1</v>
      </c>
      <c r="CC10" s="45">
        <v>27</v>
      </c>
      <c r="CD10" s="45">
        <v>5.2</v>
      </c>
      <c r="CE10" s="45">
        <v>0</v>
      </c>
      <c r="CF10" s="45">
        <v>0</v>
      </c>
      <c r="CG10" s="45">
        <v>27.3</v>
      </c>
      <c r="CH10" s="45">
        <v>4.4000000000000004</v>
      </c>
      <c r="CI10" s="45">
        <v>0.9</v>
      </c>
      <c r="CJ10" s="45">
        <v>0</v>
      </c>
      <c r="CK10" s="45">
        <v>27</v>
      </c>
      <c r="CL10" s="45">
        <v>2</v>
      </c>
      <c r="CM10" s="45">
        <v>0</v>
      </c>
      <c r="CN10" s="45">
        <v>0</v>
      </c>
      <c r="CO10" s="45">
        <v>19.8</v>
      </c>
      <c r="CP10" s="45">
        <v>2.4</v>
      </c>
      <c r="CQ10" s="45">
        <v>0</v>
      </c>
      <c r="CR10" s="45">
        <v>0</v>
      </c>
      <c r="CS10" s="45"/>
      <c r="CT10" s="45"/>
      <c r="CU10" s="45"/>
      <c r="CV10" s="45"/>
      <c r="CW10" s="45"/>
      <c r="CX10" s="45"/>
      <c r="CY10" s="45"/>
      <c r="CZ10" s="45"/>
      <c r="DA10" s="12">
        <f>IF(SUM(CD10,CH10,CL10,CP10)&gt;0,SUM(CD10,CH10,CL10,CP10),"")</f>
        <v>14.000000000000002</v>
      </c>
      <c r="DB10" s="12">
        <f>IF(SUM(CC10:CD10,CF10:CH10,CJ10)-SUM(CE10,CI10)&gt;0,SUM(CC10:CD10,CF10:CH10,CJ10)-SUM(CE10,CI10),"")</f>
        <v>63</v>
      </c>
      <c r="DC10" s="12">
        <f>IF(SUM(CK10:CL10,CN10:CP10,CR10)-SUM(CM10,CQ10)&gt;0,SUM(CK10:CL10,CN10:CP10,CR10)-SUM(CM10,CQ10),"")</f>
        <v>51.199999999999996</v>
      </c>
      <c r="DD10" s="12">
        <f>IF(SUM(CC10:CD10,CF10:CH10,CJ10:CL10,CN10:CP10,CR10)-SUM(CE10,CI10,CM10,CQ10)&gt;0,SUM(CC10:CD10,CF10:CH10,CJ10:CL10,CN10:CP10,CR10)-SUM(CE10,CI10,CM10,CQ10),"")</f>
        <v>114.2</v>
      </c>
      <c r="DE10" s="12" t="str">
        <f>IF(SUM(CS10:CT10,CV10:CX10,CZ10)-SUM(CU10,CY10)&gt;0,SUM(CS10:CT10,CV10:CX10,CZ10)-SUM(CU10,CY10),"")</f>
        <v/>
      </c>
      <c r="DF10" s="12">
        <f>IF(SUM(DD10,DE10)&gt;0,SUM(DD10,DE10),"")</f>
        <v>114.2</v>
      </c>
      <c r="DG10" s="28" t="str">
        <f>IF(MAX(EI10,FM10,GQ10,HU10,IY10,KC10,LG10,MK10,NO10,OS10,PW10,RA10)-L10&gt;0.001,MAX(EI10,FM10,GQ10,HU10,IY10,KC10,LG10,MK10,NO10,OS10,PW10,RA10)-L10,"")</f>
        <v/>
      </c>
      <c r="DH10" s="28" t="str">
        <f>IF(MAX(EJ10,FN10,GR10,HV10,IZ10,KD10,LH10,ML10,NP10,OT10,PX10,RB10)-N10&gt;0.001,MAX(EJ10,FN10,GR10,HV10,IZ10,KD10,LH10,ML10,NP10,OT10,PX10,RB10)-N10,"")</f>
        <v/>
      </c>
      <c r="DI10" s="28" t="str">
        <f>IF(MAX(EL10,FP10,GT10,HX10,JB10,KF10,LJ10,MN10,OV10,PZ10,RD10)-P10&gt;0.001,MAX(EL10,FP10,GT10,HX10,JB10,KF10,LJ10,MN10,OV10,PZ10,RD10)-P10,"")</f>
        <v/>
      </c>
      <c r="DJ10" s="45"/>
      <c r="DK10" s="45"/>
      <c r="DL10" s="45"/>
      <c r="DM10" s="45"/>
      <c r="DN10" s="45"/>
      <c r="DO10" s="45"/>
      <c r="DP10" s="45"/>
      <c r="DQ10" s="45"/>
      <c r="DR10" s="45"/>
      <c r="DS10" s="45"/>
      <c r="DT10" s="45"/>
      <c r="DU10" s="45"/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12" t="str">
        <f>IF(SUM(DK10,DO10,DS10,DW10)&gt;0,SUM(DK10,DO10,DS10,DW10),"")</f>
        <v/>
      </c>
      <c r="EI10" s="12" t="str">
        <f>IF(SUM(DJ10:DK10,DM10:DO10,DQ10)-SUM(DL10,DP10)&gt;0,SUM(DJ10:DK10,DM10:DO10,DQ10)-SUM(DL10,DP10),"")</f>
        <v/>
      </c>
      <c r="EJ10" s="12" t="str">
        <f>IF(SUM(DR10:DS10,DU10:DW10,DY10)-SUM(DT10,DX10)&gt;0,SUM(DR10:DS10,DU10:DW10,DY10)-SUM(DT10,DX10),"")</f>
        <v/>
      </c>
      <c r="EK10" s="12" t="str">
        <f>IF(SUM(DJ10:DK10,DM10:DO10,DQ10:DS10,DU10:DW10,DY10)-SUM(DL10,DP10,DT10,DX10)&gt;0,SUM(DJ10:DK10,DM10:DO10,DQ10:DS10,DU10:DW10,DY10)-SUM(DL10,DP10,DT10,DX10),"")</f>
        <v/>
      </c>
      <c r="EL10" s="12" t="str">
        <f>IF(SUM(DZ10:EA10,EC10:EE10,EG10)-SUM(EB10,EF10)&gt;0,SUM(DZ10:EA10,EC10:EE10,EG10)-SUM(EB10,EF10),"")</f>
        <v/>
      </c>
      <c r="EM10" s="12" t="str">
        <f>IF(SUM(EK10,EL10)&gt;0,SUM(EK10,EL10),"")</f>
        <v/>
      </c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  <c r="FF10" s="50"/>
      <c r="FG10" s="50"/>
      <c r="FH10" s="50"/>
      <c r="FI10" s="50"/>
      <c r="FJ10" s="50"/>
      <c r="FK10" s="50"/>
      <c r="FL10" s="15" t="str">
        <f>IF(SUM(EO10,ES10,EW10,FA10)&gt;0,SUM(EO10,ES10,EW10,FA10),"")</f>
        <v/>
      </c>
      <c r="FM10" s="15" t="str">
        <f>IF(SUM(EN10:EO10,EQ10:ES10,EU10)-SUM(EP10,ET10)&gt;0,SUM(EN10:EO10,EQ10:ES10,EU10)-SUM(EP10,ET10),"")</f>
        <v/>
      </c>
      <c r="FN10" s="15" t="str">
        <f>IF(SUM(EV10:EW10,EY10:FA10,FC10)-SUM(EX10,FB10)&gt;0,SUM(EV10:EW10,EY10:FA10,FC10)-SUM(EX10,FB10),"")</f>
        <v/>
      </c>
      <c r="FO10" s="15" t="str">
        <f>IF(SUM(EN10:EO10,EQ10:ES10,EU10:EW10,EY10:FA10,FC10)-SUM(EP10,ET10,EX10,FB10)&gt;0,SUM(EN10:EO10,EQ10:ES10,EU10:EW10,EY10:FA10,FC10)-SUM(EP10,ET10,EX10,FB10),"")</f>
        <v/>
      </c>
      <c r="FP10" s="15" t="str">
        <f>IF(SUM(FD10:FE10,FG10:FI10,FK10)-SUM(FF10,FJ10)&gt;0,SUM(FD10:FE10,FG10:FI10,FK10)-SUM(FF10,FJ10),"")</f>
        <v/>
      </c>
      <c r="FQ10" s="15" t="str">
        <f>IF(SUM(FO10,FP10)&gt;0,SUM(FO10,FP10),"")</f>
        <v/>
      </c>
      <c r="FR10" s="51"/>
      <c r="FS10" s="51"/>
      <c r="FT10" s="51"/>
      <c r="FU10" s="51"/>
      <c r="FV10" s="51"/>
      <c r="FW10" s="51"/>
      <c r="FX10" s="51"/>
      <c r="FY10" s="51"/>
      <c r="FZ10" s="51"/>
      <c r="GA10" s="51"/>
      <c r="GB10" s="51"/>
      <c r="GC10" s="51"/>
      <c r="GD10" s="51"/>
      <c r="GE10" s="51"/>
      <c r="GF10" s="51"/>
      <c r="GG10" s="51"/>
      <c r="GH10" s="51"/>
      <c r="GI10" s="51"/>
      <c r="GJ10" s="51"/>
      <c r="GK10" s="51"/>
      <c r="GL10" s="51"/>
      <c r="GM10" s="51"/>
      <c r="GN10" s="51"/>
      <c r="GO10" s="51"/>
      <c r="GP10" s="12" t="str">
        <f>IF(SUM(FS10,FW10,GA10,GE10)&gt;0,SUM(FS10,FW10,GA10,GE10),"")</f>
        <v/>
      </c>
      <c r="GQ10" s="12" t="str">
        <f>IF(SUM(FR10:FS10,FU10:FW10,FY10)-SUM(FT10,FX10)&gt;0,SUM(FR10:FS10,FU10:FW10,FY10)-SUM(FT10,FX10),"")</f>
        <v/>
      </c>
      <c r="GR10" s="12" t="str">
        <f>IF(SUM(FZ10:GA10,GC10:GE10,GG10)-SUM(GB10,GF10)&gt;0,SUM(FZ10:GA10,GC10:GE10,GG10)-SUM(GB10,GF10),"")</f>
        <v/>
      </c>
      <c r="GS10" s="12" t="str">
        <f>IF(SUM(FR10:FS10,FU10:FW10,FY10:GA10,GC10:GE10,GG10)-SUM(FT10,FX10,GB10,GF10)&gt;0,SUM(FR10:FS10,FU10:FW10,FY10:GA10,GC10:GE10,GG10)-SUM(FT10,FX10,GB10,GF10),"")</f>
        <v/>
      </c>
      <c r="GT10" s="12" t="str">
        <f>IF(SUM(GH10:GI10,GK10:GM10,GO10)-SUM(GJ10,GN10)&gt;0,SUM(GH10:GI10,GK10:GM10,GO10)-SUM(GJ10,GN10),"")</f>
        <v/>
      </c>
      <c r="GU10" s="12" t="str">
        <f>IF(SUM(GS10,GT10)&gt;0,SUM(GS10,GT10),"")</f>
        <v/>
      </c>
      <c r="GV10" s="50"/>
      <c r="GW10" s="50"/>
      <c r="GX10" s="50"/>
      <c r="GY10" s="50"/>
      <c r="GZ10" s="50"/>
      <c r="HA10" s="50"/>
      <c r="HB10" s="50"/>
      <c r="HC10" s="50"/>
      <c r="HD10" s="50"/>
      <c r="HE10" s="50"/>
      <c r="HF10" s="50"/>
      <c r="HG10" s="50"/>
      <c r="HH10" s="50"/>
      <c r="HI10" s="50"/>
      <c r="HJ10" s="50"/>
      <c r="HK10" s="50"/>
      <c r="HL10" s="50"/>
      <c r="HM10" s="50"/>
      <c r="HN10" s="50"/>
      <c r="HO10" s="50"/>
      <c r="HP10" s="50"/>
      <c r="HQ10" s="50"/>
      <c r="HR10" s="50"/>
      <c r="HS10" s="50"/>
      <c r="HT10" s="15" t="str">
        <f>IF(SUM(GW10,HA10,HE10,HI10)&gt;0,SUM(GW10,HA10,HE10,HI10),"")</f>
        <v/>
      </c>
      <c r="HU10" s="15" t="str">
        <f>IF(SUM(GV10:GW10,GY10:HA10,HC10)-SUM(GX10,HB10)&gt;0,SUM(GV10:GW10,GY10:HA10,HC10)-SUM(GX10,HB10),"")</f>
        <v/>
      </c>
      <c r="HV10" s="15" t="str">
        <f>IF(SUM(HD10:HE10,HG10:HI10,HK10)-SUM(HF10,HJ10)&gt;0,SUM(HD10:HE10,HG10:HI10,HK10)-SUM(HF10,HJ10),"")</f>
        <v/>
      </c>
      <c r="HW10" s="15" t="str">
        <f>IF(SUM(GV10:GW10,GY10:HA10,HC10:HE10,HG10:HI10,HK10)-SUM(GX10,HB10,HF10,HJ10)&gt;0,SUM(GV10:GW10,GY10:HA10,HC10:HE10,HG10:HI10,HK10)-SUM(GX10,HB10,HF10,HJ10),"")</f>
        <v/>
      </c>
      <c r="HX10" s="15" t="str">
        <f>IF(SUM(HL10:HM10,HO10:HQ10,HS10)-SUM(HN10,HR10)&gt;0,SUM(HL10:HM10,HO10:HQ10,HS10)-SUM(HN10,HR10),"")</f>
        <v/>
      </c>
      <c r="HY10" s="15" t="str">
        <f>IF(SUM(HW10,HX10)&gt;0,SUM(HW10,HX10),"")</f>
        <v/>
      </c>
      <c r="HZ10" s="51"/>
      <c r="IA10" s="51"/>
      <c r="IB10" s="51"/>
      <c r="IC10" s="51"/>
      <c r="ID10" s="51"/>
      <c r="IE10" s="51"/>
      <c r="IF10" s="51"/>
      <c r="IG10" s="51"/>
      <c r="IH10" s="51"/>
      <c r="II10" s="51"/>
      <c r="IJ10" s="51"/>
      <c r="IK10" s="51"/>
      <c r="IL10" s="51"/>
      <c r="IM10" s="51"/>
      <c r="IN10" s="51"/>
      <c r="IO10" s="51"/>
      <c r="IP10" s="51"/>
      <c r="IQ10" s="51"/>
      <c r="IR10" s="51"/>
      <c r="IS10" s="51"/>
      <c r="IT10" s="51"/>
      <c r="IU10" s="51"/>
      <c r="IV10" s="51"/>
      <c r="IW10" s="51"/>
      <c r="IX10" s="12" t="str">
        <f>IF(SUM(IA10,IE10,II10,IM10)&gt;0,SUM(IA10,IE10,II10,IM10),"")</f>
        <v/>
      </c>
      <c r="IY10" s="12" t="str">
        <f>IF(SUM(HZ10:IA10,IC10:IE10,IG10)-SUM(IB10,IF10)&gt;0,SUM(HZ10:IA10,IC10:IE10,IG10)-SUM(IB10,IF10),"")</f>
        <v/>
      </c>
      <c r="IZ10" s="12" t="str">
        <f>IF(SUM(IH10:II10,IK10:IM10,IO10)-SUM(IJ10,IN10)&gt;0,SUM(IH10:II10,IK10:IM10,IO10)-SUM(IJ10,IN10),"")</f>
        <v/>
      </c>
      <c r="JA10" s="12" t="str">
        <f>IF(SUM(HZ10:IA10,IC10:IE10,IG10:II10,IK10:IM10,IO10)-SUM(IB10,IF10,IJ10,IN10)&gt;0,SUM(HZ10:IA10,IC10:IE10,IG10:II10,IK10:IM10,IO10)-SUM(IB10,IF10,IJ10,IN10),"")</f>
        <v/>
      </c>
      <c r="JB10" s="12" t="str">
        <f>IF(SUM(IP10:IQ10,IS10:IU10,IW10)-SUM(IR10,IV10)&gt;0,SUM(IP10:IQ10,IS10:IU10,IW10)-SUM(IR10,IV10),"")</f>
        <v/>
      </c>
      <c r="JC10" s="12" t="str">
        <f>IF(SUM(JA10,JB10)&gt;0,SUM(JA10,JB10),"")</f>
        <v/>
      </c>
      <c r="JD10" s="50"/>
      <c r="JE10" s="50"/>
      <c r="JF10" s="50"/>
      <c r="JG10" s="50"/>
      <c r="JH10" s="50"/>
      <c r="JI10" s="50"/>
      <c r="JJ10" s="50"/>
      <c r="JK10" s="50"/>
      <c r="JL10" s="50"/>
      <c r="JM10" s="50"/>
      <c r="JN10" s="50"/>
      <c r="JO10" s="50"/>
      <c r="JP10" s="50"/>
      <c r="JQ10" s="50"/>
      <c r="JR10" s="50"/>
      <c r="JS10" s="50"/>
      <c r="JT10" s="50"/>
      <c r="JU10" s="50"/>
      <c r="JV10" s="50"/>
      <c r="JW10" s="50"/>
      <c r="JX10" s="50"/>
      <c r="JY10" s="50"/>
      <c r="JZ10" s="50"/>
      <c r="KA10" s="50"/>
      <c r="KB10" s="15" t="str">
        <f>IF(SUM(JE10,JI10,JM10,JQ10)&gt;0,SUM(JE10,JI10,JM10,JQ10),"")</f>
        <v/>
      </c>
      <c r="KC10" s="15" t="str">
        <f>IF(SUM(JD10:JE10,JG10:JI10,JK10)-SUM(JF10,JJ10)&gt;0,SUM(JD10:JE10,JG10:JI10,JK10)-SUM(JF10,JJ10),"")</f>
        <v/>
      </c>
      <c r="KD10" s="15" t="str">
        <f>IF(SUM(JL10:JM10,JO10:JQ10,JS10)-SUM(JN10,JR10)&gt;0,SUM(JL10:JM10,JO10:JQ10,JS10)-SUM(JN10,JR10),"")</f>
        <v/>
      </c>
      <c r="KE10" s="15" t="str">
        <f>IF(SUM(JD10:JE10,JG10:JI10,JK10:JM10,JO10:JQ10,JS10)-SUM(JF10,JJ10,JN10,JR10)&gt;0,SUM(JD10:JE10,JG10:JI10,JK10:JM10,JO10:JQ10,JS10)-SUM(JF10,JJ10,JN10,JR10),"")</f>
        <v/>
      </c>
      <c r="KF10" s="15" t="str">
        <f>IF(SUM(JT10:JU10,JW10:JY10,KA10)-SUM(JV10,JZ10)&gt;0,SUM(JT10:JU10,JW10:JY10,KA10)-SUM(JV10,JZ10),"")</f>
        <v/>
      </c>
      <c r="KG10" s="15" t="str">
        <f>IF(SUM(KE10,KF10)&gt;0,SUM(KE10,KF10),"")</f>
        <v/>
      </c>
      <c r="KH10" s="51"/>
      <c r="KI10" s="51"/>
      <c r="KJ10" s="51"/>
      <c r="KK10" s="51"/>
      <c r="KL10" s="51"/>
      <c r="KM10" s="51"/>
      <c r="KN10" s="51"/>
      <c r="KO10" s="51"/>
      <c r="KP10" s="51"/>
      <c r="KQ10" s="51"/>
      <c r="KR10" s="51"/>
      <c r="KS10" s="51"/>
      <c r="KT10" s="51"/>
      <c r="KU10" s="51"/>
      <c r="KV10" s="51"/>
      <c r="KW10" s="51"/>
      <c r="KX10" s="51"/>
      <c r="KY10" s="51"/>
      <c r="KZ10" s="51"/>
      <c r="LA10" s="51"/>
      <c r="LB10" s="51"/>
      <c r="LC10" s="51"/>
      <c r="LD10" s="51"/>
      <c r="LE10" s="51"/>
      <c r="LF10" s="12" t="str">
        <f>IF(SUM(KI10,KM10,KQ10,KU10)&gt;0,SUM(KI10,KM10,KQ10,KU10),"")</f>
        <v/>
      </c>
      <c r="LG10" s="12" t="str">
        <f>IF(SUM(KH10:KI10,KK10:KM10,KO10)-SUM(KJ10,KN10)&gt;0,SUM(KH10:KI10,KK10:KM10,KO10)-SUM(KJ10,KN10),"")</f>
        <v/>
      </c>
      <c r="LH10" s="12" t="str">
        <f>IF(SUM(KP10:KQ10,KS10:KU10,KW10)-SUM(KR10,KV10)&gt;0,SUM(KP10:KQ10,KS10:KU10,KW10)-SUM(KR10,KV10),"")</f>
        <v/>
      </c>
      <c r="LI10" s="12" t="str">
        <f>IF(SUM(KH10:KI10,KK10:KM10,KO10:KQ10,KS10:KU10,KW10)-SUM(KJ10,KN10,KR10,KV10)&gt;0,SUM(KH10:KI10,KK10:KM10,KO10:KQ10,KS10:KU10,KW10)-SUM(KJ10,KN10,KR10,KV10),"")</f>
        <v/>
      </c>
      <c r="LJ10" s="12" t="str">
        <f>IF(SUM(KX10:KY10,LA10:LC10,LE10)-SUM(KZ10,LD10)&gt;0,SUM(KX10:KY10,LA10:LC10,LE10)-SUM(KZ10,LD10),"")</f>
        <v/>
      </c>
      <c r="LK10" s="12" t="str">
        <f>IF(SUM(LI10,LJ10)&gt;0,SUM(LI10,LJ10),"")</f>
        <v/>
      </c>
      <c r="LL10" s="50"/>
      <c r="LM10" s="50"/>
      <c r="LN10" s="50"/>
      <c r="LO10" s="50"/>
      <c r="LP10" s="50"/>
      <c r="LQ10" s="50"/>
      <c r="LR10" s="50"/>
      <c r="LS10" s="50"/>
      <c r="LT10" s="50"/>
      <c r="LU10" s="50"/>
      <c r="LV10" s="50"/>
      <c r="LW10" s="50"/>
      <c r="LX10" s="50"/>
      <c r="LY10" s="50"/>
      <c r="LZ10" s="50"/>
      <c r="MA10" s="50"/>
      <c r="MB10" s="50"/>
      <c r="MC10" s="50"/>
      <c r="MD10" s="50"/>
      <c r="ME10" s="50"/>
      <c r="MF10" s="50"/>
      <c r="MG10" s="50"/>
      <c r="MH10" s="50"/>
      <c r="MI10" s="50"/>
      <c r="MJ10" s="15" t="str">
        <f>IF(SUM(LM10,LQ10,LU10,LY10)&gt;0,SUM(LM10,LQ10,LU10,LY10),"")</f>
        <v/>
      </c>
      <c r="MK10" s="15" t="str">
        <f>IF(SUM(LL10:LM10,LO10:LQ10,LS10)-SUM(LN10,LR10)&gt;0,SUM(LL10:LM10,LO10:LQ10,LS10)-SUM(LN10,LR10),"")</f>
        <v/>
      </c>
      <c r="ML10" s="15" t="str">
        <f>IF(SUM(LT10:LU10,LW10:LY10,MA10)-SUM(LV10,LZ10)&gt;0,SUM(LT10:LU10,LW10:LY10,MA10)-SUM(LV10,LZ10),"")</f>
        <v/>
      </c>
      <c r="MM10" s="15" t="str">
        <f>IF(SUM(LL10:LM10,LO10:LQ10,LS10:LU10,LW10:LY10,MA10)-SUM(LN10,LR10,LV10,LZ10)&gt;0,SUM(LL10:LM10,LO10:LQ10,LS10:LU10,LW10:LY10,MA10)-SUM(LN10,LR10,LV10,LZ10),"")</f>
        <v/>
      </c>
      <c r="MN10" s="15" t="str">
        <f>IF(SUM(MB10:MC10,ME10:MG10,MI10)-SUM(MD10,MH10)&gt;0,SUM(MB10:MC10,ME10:MG10,MI10)-SUM(MD10,MH10),"")</f>
        <v/>
      </c>
      <c r="MO10" s="15" t="str">
        <f>IF(SUM(MM10,MN10)&gt;0,SUM(MM10,MN10),"")</f>
        <v/>
      </c>
      <c r="MP10" s="51"/>
      <c r="MQ10" s="51"/>
      <c r="MR10" s="51"/>
      <c r="MS10" s="51"/>
      <c r="MT10" s="51"/>
      <c r="MU10" s="51"/>
      <c r="MV10" s="51"/>
      <c r="MW10" s="51"/>
      <c r="MX10" s="51"/>
      <c r="MY10" s="51"/>
      <c r="MZ10" s="51"/>
      <c r="NA10" s="51"/>
      <c r="NB10" s="51"/>
      <c r="NC10" s="51"/>
      <c r="ND10" s="51"/>
      <c r="NE10" s="51"/>
      <c r="NF10" s="51"/>
      <c r="NG10" s="51"/>
      <c r="NH10" s="51"/>
      <c r="NI10" s="51"/>
      <c r="NJ10" s="51"/>
      <c r="NK10" s="51"/>
      <c r="NL10" s="51"/>
      <c r="NM10" s="51"/>
      <c r="NN10" s="12" t="str">
        <f>IF(SUM(MQ10,MU10,MY10,NC10)&gt;0,SUM(MQ10,MU10,MY10,NC10),"")</f>
        <v/>
      </c>
      <c r="NO10" s="12" t="str">
        <f>IF(SUM(MP10:MQ10,MS10:MU10,MW10)-SUM(MR10,MV10)&gt;0,SUM(MP10:MQ10,MS10:MU10,MW10)-SUM(MR10,MV10),"")</f>
        <v/>
      </c>
      <c r="NP10" s="12" t="str">
        <f>IF(SUM(MX10:MY10,NA10:NC10,NE10)-SUM(MZ10,ND10)&gt;0,SUM(MX10:MY10,NA10:NC10,NE10)-SUM(MZ10,ND10),"")</f>
        <v/>
      </c>
      <c r="NQ10" s="12" t="str">
        <f>IF(SUM(MP10:MQ10,MS10:MU10,MW10:MY10,NA10:NC10,NE10)-SUM(MR10,MV10,MZ10,ND10)&gt;0,SUM(MP10:MQ10,MS10:MU10,MW10:MY10,NA10:NC10,NE10)-SUM(MR10,MV10,MZ10,ND10),"")</f>
        <v/>
      </c>
      <c r="NR10" s="12" t="str">
        <f>IF(SUM(NF10:NG10,NI10:NK10,NM10)-SUM(NH10,NL10)&gt;0,SUM(NF10:NG10,NI10:NK10,NM10)-SUM(NH10,NL10),"")</f>
        <v/>
      </c>
      <c r="NS10" s="12" t="str">
        <f>IF(SUM(NQ10,NR10)&gt;0,SUM(NQ10,NR10),"")</f>
        <v/>
      </c>
      <c r="NT10" s="50"/>
      <c r="NU10" s="50"/>
      <c r="NV10" s="50"/>
      <c r="NW10" s="50"/>
      <c r="NX10" s="50"/>
      <c r="NY10" s="50"/>
      <c r="NZ10" s="50"/>
      <c r="OA10" s="50"/>
      <c r="OB10" s="50"/>
      <c r="OC10" s="50"/>
      <c r="OD10" s="50"/>
      <c r="OE10" s="50"/>
      <c r="OF10" s="50"/>
      <c r="OG10" s="50"/>
      <c r="OH10" s="50"/>
      <c r="OI10" s="50"/>
      <c r="OJ10" s="50"/>
      <c r="OK10" s="50"/>
      <c r="OL10" s="50"/>
      <c r="OM10" s="50"/>
      <c r="ON10" s="50"/>
      <c r="OO10" s="50"/>
      <c r="OP10" s="50"/>
      <c r="OQ10" s="50"/>
      <c r="OR10" s="15" t="str">
        <f>IF(SUM(NU10,NY10,OC10,OG10)&gt;0,SUM(NU10,NY10,OC10,OG10),"")</f>
        <v/>
      </c>
      <c r="OS10" s="15" t="str">
        <f>IF(SUM(NT10:NU10,NW10:NY10,OA10)-SUM(NV10,NZ10)&gt;0,SUM(NT10:NU10,NW10:NY10,OA10)-SUM(NV10,NZ10),"")</f>
        <v/>
      </c>
      <c r="OT10" s="15" t="str">
        <f>IF(SUM(OB10:OC10,OE10:OG10,OI10)-SUM(OD10,OH10)&gt;0,SUM(OB10:OC10,OE10:OG10,OI10)-SUM(OD10,OH10),"")</f>
        <v/>
      </c>
      <c r="OU10" s="15" t="str">
        <f>IF(SUM(NT10:NU10,NW10:NY10,OA10:OC10,OE10:OG10,OI10)-SUM(NV10,NZ10,OD10,OH10)&gt;0,SUM(NT10:NU10,NW10:NY10,OA10:OC10,OE10:OG10,OI10)-SUM(NV10,NZ10,OD10,OH10),"")</f>
        <v/>
      </c>
      <c r="OV10" s="15" t="str">
        <f>IF(SUM(OJ10:OK10,OM10:OO10,OQ10)-SUM(OL10,OP10)&gt;0,SUM(OJ10:OK10,OM10:OO10,OQ10)-SUM(OL10,OP10),"")</f>
        <v/>
      </c>
      <c r="OW10" s="15" t="str">
        <f>IF(SUM(OU10,OV10)&gt;0,SUM(OU10,OV10),"")</f>
        <v/>
      </c>
      <c r="OX10" s="51"/>
      <c r="OY10" s="51"/>
      <c r="OZ10" s="51"/>
      <c r="PA10" s="51"/>
      <c r="PB10" s="51"/>
      <c r="PC10" s="51"/>
      <c r="PD10" s="51"/>
      <c r="PE10" s="51"/>
      <c r="PF10" s="51"/>
      <c r="PG10" s="51"/>
      <c r="PH10" s="51"/>
      <c r="PI10" s="51"/>
      <c r="PJ10" s="51"/>
      <c r="PK10" s="51"/>
      <c r="PL10" s="51"/>
      <c r="PM10" s="51"/>
      <c r="PN10" s="51"/>
      <c r="PO10" s="51"/>
      <c r="PP10" s="51"/>
      <c r="PQ10" s="51"/>
      <c r="PR10" s="51"/>
      <c r="PS10" s="51"/>
      <c r="PT10" s="51"/>
      <c r="PU10" s="51"/>
      <c r="PV10" s="12" t="str">
        <f>IF(SUM(OY10,PC10,PG10,PK10)&gt;0,SUM(OY10,PC10,PG10,PK10),"")</f>
        <v/>
      </c>
      <c r="PW10" s="12" t="str">
        <f>IF(SUM(OX10:OY10,PA10:PC10,PE10)-SUM(OZ10,PD10)&gt;0,SUM(OX10:OY10,PA10:PC10,PE10)-SUM(OZ10,PD10),"")</f>
        <v/>
      </c>
      <c r="PX10" s="12" t="str">
        <f>IF(SUM(PF10:PG10,PI10:PK10,PM10)-SUM(PH10,PL10)&gt;0,SUM(PF10:PG10,PI10:PK10,PM10)-SUM(PH10,PL10),"")</f>
        <v/>
      </c>
      <c r="PY10" s="12" t="str">
        <f>IF(SUM(OX10:OY10,PA10:PC10,PE10:PG10,PI10:PK10,PM10)-SUM(OZ10,PD10,PH10,PL10)&gt;0,SUM(OX10:OY10,PA10:PC10,PE10:PG10,PI10:PK10,PM10)-SUM(OZ10,PD10,PH10,PL10),"")</f>
        <v/>
      </c>
      <c r="PZ10" s="12" t="str">
        <f>IF(SUM(PN10:PO10,PQ10:PS10,PU10)-SUM(PP10,PT10)&gt;0,SUM(PN10:PO10,PQ10:PS10,PU10)-SUM(PP10,PT10),"")</f>
        <v/>
      </c>
      <c r="QA10" s="12" t="str">
        <f>IF(SUM(PY10,PZ10)&gt;0,SUM(PY10,PZ10),"")</f>
        <v/>
      </c>
      <c r="QB10" s="50"/>
      <c r="QC10" s="50"/>
      <c r="QD10" s="50"/>
      <c r="QE10" s="50"/>
      <c r="QF10" s="50"/>
      <c r="QG10" s="50"/>
      <c r="QH10" s="50"/>
      <c r="QI10" s="50"/>
      <c r="QJ10" s="50"/>
      <c r="QK10" s="50"/>
      <c r="QL10" s="50"/>
      <c r="QM10" s="50"/>
      <c r="QN10" s="50"/>
      <c r="QO10" s="50"/>
      <c r="QP10" s="50"/>
      <c r="QQ10" s="50"/>
      <c r="QR10" s="50"/>
      <c r="QS10" s="50"/>
      <c r="QT10" s="50"/>
      <c r="QU10" s="50"/>
      <c r="QV10" s="50"/>
      <c r="QW10" s="50"/>
      <c r="QX10" s="50"/>
      <c r="QY10" s="50"/>
      <c r="QZ10" s="15" t="str">
        <f>IF(SUM(QC10,QG10,QK10,QO10)&gt;0,SUM(QC10,QG10,QK10,QO10),"")</f>
        <v/>
      </c>
      <c r="RA10" s="15" t="str">
        <f>IF(SUM(QB10:QC10,QE10:QG10,QI10)-SUM(QD10,QH10)&gt;0,SUM(QB10:QC10,QE10:QG10,QI10)-SUM(QD10,QH10),"")</f>
        <v/>
      </c>
      <c r="RB10" s="15" t="str">
        <f>IF(SUM(QJ10:QK10,QM10:QO10,QQ10)-SUM(QL10,QP10)&gt;0,SUM(QJ10:QK10,QM10:QO10,QQ10)-SUM(QL10,QP10),"")</f>
        <v/>
      </c>
      <c r="RC10" s="15" t="str">
        <f>IF(SUM(QB10:QC10,QE10:QG10,QI10:QK10,QM10:QO10,QQ10)-SUM(QD10,QH10,QL10,QP10)&gt;0,SUM(QB10:QC10,QE10:QG10,QI10:QK10,QM10:QO10,QQ10)-SUM(QD10,QH10,QL10,QP10),"")</f>
        <v/>
      </c>
      <c r="RD10" s="15" t="str">
        <f>IF(SUM(QR10:QS10,QU10:QW10,QY10)-SUM(QT10,QX10)&gt;0,SUM(QR10:QS10,QU10:QW10,QY10)-SUM(QT10,QX10),"")</f>
        <v/>
      </c>
      <c r="RE10" s="15" t="str">
        <f>IF(SUM(RC10,RD10)&gt;0,SUM(RC10,RD10),"")</f>
        <v/>
      </c>
    </row>
    <row r="11" spans="1:473">
      <c r="A11" s="6" t="str">
        <f>IF(AND(F11="P",H11="P"),SUMPRODUCT((F$4:F$14="P")*(H$4:H$14="P")*(E$4:E$14&gt;E11))+1,IF(H11="P",SUMPRODUCT((F$4:F$14="")*(H$4:H$14="P")*(E$4:E$14&gt;E11))+1+SUMPRODUCT((F$4:F$14="P")*(H$4:H$14="P")),""))</f>
        <v/>
      </c>
      <c r="B11" s="9" t="s">
        <v>98</v>
      </c>
      <c r="C11" s="5" t="s">
        <v>4</v>
      </c>
      <c r="D11" s="6">
        <v>2003</v>
      </c>
      <c r="E11" s="16">
        <f>SUM(J11:R11)</f>
        <v>318.90000000000003</v>
      </c>
      <c r="F11" s="4" t="str">
        <f>IF(OR(AND($AS11&gt;=$AT$17,NOT($AS11="")),AND($BW11&gt;=$BX$17,NOT($BW11="")),AND($DA11&gt;=$DB$17,NOT($DA11=""))),"P","")</f>
        <v/>
      </c>
      <c r="G11" s="4" t="str">
        <f>IF(OR(AND($AS11&gt;=$AT$18,NOT($AS11="")),AND($BW11&gt;=$BX$18,NOT($BW11="")),AND($DA11&gt;=$DB$18,NOT($DA11=""))),"P","")</f>
        <v/>
      </c>
      <c r="H11" s="4" t="str">
        <f>IF(OR(AND($AV11&gt;=$AT$19,NOT($AV11="")),AND($BZ11&gt;=$BX$19,NOT($BZ11="")),AND($DD11&gt;=$DB$19,NOT($DD11=""))),"P","")</f>
        <v/>
      </c>
      <c r="I11" t="str">
        <f>IF(AND(F11="P",OR(AND($AV11&gt;=$AT$22,NOT($AV11="")),AND($BZ11&gt;=$BX$22,NOT($BZ11="")),AND($DD11&gt;=$DB$22,NOT($DD11="")))),"Merit",IF(AND(F11="P",OR(AND($AV11&gt;=$AT$21,NOT($AV11="")),AND($BZ11&gt;=$BX$21,NOT($BZ11="")),AND($DD11&gt;=$DB$21,NOT($DD11="")))),"Funding",IF(AND(F11="P",OR(AND($AV11&gt;=$AT$20,NOT($AV11="")),AND($BZ11&gt;=$BX$20,NOT($BZ11="")),AND($DD11&gt;=$DB$20,NOT($DD11="")))),"Worlds Team",IF(AND(F11="P",OR(AND($AV11&gt;=$AT$19,NOT($AV11="")),AND($BZ11&gt;=$BX$19,NOT($BZ11="")),AND($DD11&gt;=$DB$19,NOT($DD11="")))),"National Team",""))))</f>
        <v/>
      </c>
      <c r="J11" s="15">
        <f>MAX(AV11,BZ11,DD11)</f>
        <v>126.80000000000001</v>
      </c>
      <c r="K11" s="15" t="str">
        <f>IF(J11=DD11,$CC$1,IF(J11=BZ11,$AY$1,IF(J11=AV11,$U$1,"")))</f>
        <v>2017 Nationals</v>
      </c>
      <c r="L11" s="15">
        <f>IF($J11=$AV11,MAX(BX11,DB11),IF($J11=$BZ11,MAX(AT11,DB11),MAX(AT11,BX11)))</f>
        <v>65.5</v>
      </c>
      <c r="M11" s="15" t="str">
        <f>IF(L11=DB11,$CC$1,IF(L11=BX11,$AY$1,IF(L11=AT11,$U$1,"")))</f>
        <v>2018 Canada Cup</v>
      </c>
      <c r="N11" s="15">
        <f>IF($J11=$AV11,MAX(BY11,DC11),IF($J11=$BZ11,MAX(AU11,DC11),MAX(AU11,BY11)))</f>
        <v>62.800000000000004</v>
      </c>
      <c r="O11" s="15" t="str">
        <f>IF(N11=DC11,$CC$1,IF(N11=BY11,$AY$1,IF(N11=AU11,$U$1,"")))</f>
        <v>2017 Nationals</v>
      </c>
      <c r="P11" s="15">
        <f>MAX(AW11,CA11,DE11)</f>
        <v>63.8</v>
      </c>
      <c r="Q11" s="15" t="str">
        <f>IF(P11=DE11,$CC$1,IF(P11=CA11,$AY$1,IF(P11=AW11,$U$1,"")))</f>
        <v>2017 Canada Cup</v>
      </c>
      <c r="R11" s="15" t="str">
        <f>IF(MAX(DG11:DI11)&gt;0,MAX(DG11:DI11),"")</f>
        <v/>
      </c>
      <c r="S11" s="29" t="str">
        <f>IF(R11="","",IF(R11=DG11,"(Pass 1-2)",IF(R11=DH11,"(Pass 3-4)",IF(R11=DI11,"(Final)"))))</f>
        <v/>
      </c>
      <c r="T11" s="15" t="str">
        <f>IF(R11="","",IF(R11=DG11,IF(R11+L11=RA11,$QB$1,IF(R11+L11=PW11,$OX$1,IF(R11+L11=OS11,$NT$1,IF(R11+L11=NO11,$MP$1,IF(R11+L11=MK11,$LL$1,IF(R11+L11=LG11,$KH$1,IF(R11+L11=KC11,$JD$1,IF(R11+L11=IY11,$HZ$1,IF(R11+L11=HU11,$GV$1,IF(R11+L11=GQ11,$FR$1,IF(R11+L11=FM11,$EN$1,IF(R11+L11=EI11,$DJ$1)))))))))))),IF(R11=DH11,IF(R11+N11=RB11,$QB$1,IF(R11+N11=PX11,$OX$1,IF(R11+N11=OT11,$NT$1,IF(R11+N11=NP11,$MP$1,IF(R11+N11=ML11,$LL$1,IF(R11+N11=LH11,$KH$1,IF(R11+N11=KD11,$JD$1,IF(R11+N11=IZ11,$HZ$1,IF(R11+N11=HV11,$GV$1,IF(R11+N11=GR11,$FR$1,IF(R11+N11=FN11,$EN$1,IF(R11+N11=EJ11,$DJ$1)))))))))))),IF(R11=DI11,IF(R11+P11=RD11,$QB$1,IF(R11+P11=PZ11,$OX$1,IF(R11+P11=OV11,$NT$1,IF(R11+P11=NR11,$MP$1,IF(R11+P11=MN11,$LL$1,IF(R11+P11=LJ11,$KH$1,IF(R11+P11=KF11,$JD$1,IF(R11+P11=JB11,$HZ$1,IF(R11+P11=HX11,$GV$1,IF(R11+P11=GT11,$FR$1,IF(R11+P11=FP11,$EN$1,IF(R11+P11=EL11,$DJ$1))))))))))))))))</f>
        <v/>
      </c>
      <c r="U11" s="76">
        <v>26.7</v>
      </c>
      <c r="V11" s="76">
        <v>4</v>
      </c>
      <c r="W11" s="76">
        <v>0</v>
      </c>
      <c r="X11" s="76">
        <v>0</v>
      </c>
      <c r="Y11" s="76">
        <v>27.6</v>
      </c>
      <c r="Z11" s="76">
        <v>4.8</v>
      </c>
      <c r="AA11" s="76">
        <v>0</v>
      </c>
      <c r="AB11" s="76">
        <v>0</v>
      </c>
      <c r="AC11" s="76">
        <v>27.2</v>
      </c>
      <c r="AD11" s="76">
        <v>4.4000000000000004</v>
      </c>
      <c r="AE11" s="76">
        <v>0</v>
      </c>
      <c r="AF11" s="76">
        <v>0</v>
      </c>
      <c r="AG11" s="76">
        <v>28.4</v>
      </c>
      <c r="AH11" s="76">
        <v>3.7</v>
      </c>
      <c r="AI11" s="76">
        <v>0.9</v>
      </c>
      <c r="AJ11" s="76">
        <v>0</v>
      </c>
      <c r="AK11" s="76">
        <v>27.8</v>
      </c>
      <c r="AL11" s="76">
        <v>4</v>
      </c>
      <c r="AM11" s="76">
        <v>0.3</v>
      </c>
      <c r="AN11" s="76">
        <v>0</v>
      </c>
      <c r="AO11" s="76">
        <v>27.5</v>
      </c>
      <c r="AP11" s="76">
        <v>4.8</v>
      </c>
      <c r="AQ11" s="76">
        <v>0</v>
      </c>
      <c r="AR11" s="76">
        <v>0</v>
      </c>
      <c r="AS11" s="12">
        <f>IF(SUM(V11,Z11,AD11,AH11)&gt;0,SUM(V11,Z11,AD11,AH11),"")</f>
        <v>16.900000000000002</v>
      </c>
      <c r="AT11" s="12">
        <f>IF(SUM(U11:V11,X11:Z11,AB11)-SUM(W11,AA11)&gt;0,SUM(U11:V11,X11:Z11,AB11)-SUM(W11,AA11),"")</f>
        <v>63.099999999999994</v>
      </c>
      <c r="AU11" s="12">
        <f>IF(SUM(AC11:AD11,AF11:AH11,AJ11)-SUM(AE11,AI11)&gt;0,SUM(AC11:AD11,AF11:AH11,AJ11)-SUM(AE11,AI11),"")</f>
        <v>62.800000000000004</v>
      </c>
      <c r="AV11" s="12">
        <f>IF(SUM(U11:V11,X11:Z11,AB11:AD11,AF11:AH11,AJ11)-SUM(W11,AA11,AE11,AI11)&gt;0,SUM(U11:V11,X11:Z11,AB11:AD11,AF11:AH11,AJ11)-SUM(W11,AA11,AE11,AI11),"")</f>
        <v>125.89999999999999</v>
      </c>
      <c r="AW11" s="12">
        <f>IF(SUM(AK11:AL11,AN11:AP11,AR11)-SUM(AM11,AQ11)&gt;0,SUM(AK11:AL11,AN11:AP11,AR11)-SUM(AM11,AQ11),"")</f>
        <v>63.8</v>
      </c>
      <c r="AX11" s="12">
        <f>IF(SUM(AV11,AW11)&gt;0,SUM(AV11,AW11),"")</f>
        <v>189.7</v>
      </c>
      <c r="AY11" s="46">
        <v>27.4</v>
      </c>
      <c r="AZ11" s="46">
        <v>4.8</v>
      </c>
      <c r="BA11" s="46">
        <v>0</v>
      </c>
      <c r="BB11" s="46">
        <v>0</v>
      </c>
      <c r="BC11" s="46">
        <v>28.1</v>
      </c>
      <c r="BD11" s="46">
        <v>3.7</v>
      </c>
      <c r="BE11" s="46">
        <v>0</v>
      </c>
      <c r="BF11" s="46">
        <v>0</v>
      </c>
      <c r="BG11" s="46">
        <v>27.6</v>
      </c>
      <c r="BH11" s="46">
        <v>3.2</v>
      </c>
      <c r="BI11" s="46">
        <v>0.3</v>
      </c>
      <c r="BJ11" s="46">
        <v>0</v>
      </c>
      <c r="BK11" s="46">
        <v>27.1</v>
      </c>
      <c r="BL11" s="46">
        <v>5.2</v>
      </c>
      <c r="BM11" s="46">
        <v>0</v>
      </c>
      <c r="BN11" s="46">
        <v>0</v>
      </c>
      <c r="BO11" s="46">
        <v>27</v>
      </c>
      <c r="BP11" s="46">
        <v>5.2</v>
      </c>
      <c r="BQ11" s="46">
        <v>0</v>
      </c>
      <c r="BR11" s="46">
        <v>0</v>
      </c>
      <c r="BS11" s="46">
        <v>27</v>
      </c>
      <c r="BT11" s="46">
        <v>4.8</v>
      </c>
      <c r="BU11" s="46">
        <v>0.9</v>
      </c>
      <c r="BV11" s="46">
        <v>0</v>
      </c>
      <c r="BW11" s="15">
        <f>IF(SUM(AZ11,BD11,BH11,BL11)&gt;0,SUM(AZ11,BD11,BH11,BL11),"")</f>
        <v>16.899999999999999</v>
      </c>
      <c r="BX11" s="15">
        <f>IF(SUM(AY11:AZ11,BB11:BD11,BF11)-SUM(BA11,BE11)&gt;0,SUM(AY11:AZ11,BB11:BD11,BF11)-SUM(BA11,BE11),"")</f>
        <v>64</v>
      </c>
      <c r="BY11" s="15">
        <f>IF(SUM(BG11:BH11,BJ11:BL11,BN11)-SUM(BI11,BM11)&gt;0,SUM(BG11:BH11,BJ11:BL11,BN11)-SUM(BI11,BM11),"")</f>
        <v>62.800000000000011</v>
      </c>
      <c r="BZ11" s="15">
        <f>IF(SUM(AY11:AZ11,BB11:BD11,BF11:BH11,BJ11:BL11,BN11)-SUM(BA11,BE11,BI11,BM11)&gt;0,SUM(AY11:AZ11,BB11:BD11,BF11:BH11,BJ11:BL11,BN11)-SUM(BA11,BE11,BI11,BM11),"")</f>
        <v>126.80000000000001</v>
      </c>
      <c r="CA11" s="15">
        <f>IF(SUM(BO11:BP11,BR11:BT11,BV11)-SUM(BQ11,BU11)&gt;0,SUM(BO11:BP11,BR11:BT11,BV11)-SUM(BQ11,BU11),"")</f>
        <v>63.1</v>
      </c>
      <c r="CB11" s="15">
        <f>IF(SUM(BZ11,CA11)&gt;0,SUM(BZ11,CA11),"")</f>
        <v>189.9</v>
      </c>
      <c r="CC11" s="45">
        <v>27.6</v>
      </c>
      <c r="CD11" s="45">
        <v>5.6</v>
      </c>
      <c r="CE11" s="45">
        <v>0</v>
      </c>
      <c r="CF11" s="45">
        <v>0</v>
      </c>
      <c r="CG11" s="45">
        <v>27.4</v>
      </c>
      <c r="CH11" s="45">
        <v>5.2</v>
      </c>
      <c r="CI11" s="45">
        <v>0.3</v>
      </c>
      <c r="CJ11" s="45">
        <v>0</v>
      </c>
      <c r="CK11" s="45">
        <v>27.9</v>
      </c>
      <c r="CL11" s="45">
        <v>3.3</v>
      </c>
      <c r="CM11" s="45">
        <v>0</v>
      </c>
      <c r="CN11" s="45">
        <v>0</v>
      </c>
      <c r="CO11" s="45">
        <v>0</v>
      </c>
      <c r="CP11" s="45">
        <v>0</v>
      </c>
      <c r="CQ11" s="45">
        <v>0</v>
      </c>
      <c r="CR11" s="45">
        <v>0</v>
      </c>
      <c r="CS11" s="45"/>
      <c r="CT11" s="45"/>
      <c r="CU11" s="45"/>
      <c r="CV11" s="45"/>
      <c r="CW11" s="45"/>
      <c r="CX11" s="45"/>
      <c r="CY11" s="45"/>
      <c r="CZ11" s="45"/>
      <c r="DA11" s="12">
        <f>IF(SUM(CD11,CH11,CL11,CP11)&gt;0,SUM(CD11,CH11,CL11,CP11),"")</f>
        <v>14.100000000000001</v>
      </c>
      <c r="DB11" s="12">
        <f>IF(SUM(CC11:CD11,CF11:CH11,CJ11)-SUM(CE11,CI11)&gt;0,SUM(CC11:CD11,CF11:CH11,CJ11)-SUM(CE11,CI11),"")</f>
        <v>65.5</v>
      </c>
      <c r="DC11" s="12">
        <f>IF(SUM(CK11:CL11,CN11:CP11,CR11)-SUM(CM11,CQ11)&gt;0,SUM(CK11:CL11,CN11:CP11,CR11)-SUM(CM11,CQ11),"")</f>
        <v>31.2</v>
      </c>
      <c r="DD11" s="12">
        <f>IF(SUM(CC11:CD11,CF11:CH11,CJ11:CL11,CN11:CP11,CR11)-SUM(CE11,CI11,CM11,CQ11)&gt;0,SUM(CC11:CD11,CF11:CH11,CJ11:CL11,CN11:CP11,CR11)-SUM(CE11,CI11,CM11,CQ11),"")</f>
        <v>96.699999999999989</v>
      </c>
      <c r="DE11" s="12" t="str">
        <f>IF(SUM(CS11:CT11,CV11:CX11,CZ11)-SUM(CU11,CY11)&gt;0,SUM(CS11:CT11,CV11:CX11,CZ11)-SUM(CU11,CY11),"")</f>
        <v/>
      </c>
      <c r="DF11" s="12">
        <f>IF(SUM(DD11,DE11)&gt;0,SUM(DD11,DE11),"")</f>
        <v>96.699999999999989</v>
      </c>
      <c r="DG11" s="28" t="str">
        <f>IF(MAX(EI11,FM11,GQ11,HU11,IY11,KC11,LG11,MK11,NO11,OS11,PW11,RA11)-L11&gt;0.001,MAX(EI11,FM11,GQ11,HU11,IY11,KC11,LG11,MK11,NO11,OS11,PW11,RA11)-L11,"")</f>
        <v/>
      </c>
      <c r="DH11" s="28" t="str">
        <f>IF(MAX(EJ11,FN11,GR11,HV11,IZ11,KD11,LH11,ML11,NP11,OT11,PX11,RB11)-N11&gt;0.001,MAX(EJ11,FN11,GR11,HV11,IZ11,KD11,LH11,ML11,NP11,OT11,PX11,RB11)-N11,"")</f>
        <v/>
      </c>
      <c r="DI11" s="28" t="str">
        <f>IF(MAX(EL11,FP11,GT11,HX11,JB11,KF11,LJ11,MN11,OV11,PZ11,RD11)-P11&gt;0.001,MAX(EL11,FP11,GT11,HX11,JB11,KF11,LJ11,MN11,OV11,PZ11,RD11)-P11,"")</f>
        <v/>
      </c>
      <c r="DJ11" s="45"/>
      <c r="DK11" s="45"/>
      <c r="DL11" s="45"/>
      <c r="DM11" s="45"/>
      <c r="DN11" s="45"/>
      <c r="DO11" s="45"/>
      <c r="DP11" s="45"/>
      <c r="DQ11" s="45"/>
      <c r="DR11" s="45"/>
      <c r="DS11" s="45"/>
      <c r="DT11" s="45"/>
      <c r="DU11" s="45"/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12" t="str">
        <f>IF(SUM(DK11,DO11,DS11,DW11)&gt;0,SUM(DK11,DO11,DS11,DW11),"")</f>
        <v/>
      </c>
      <c r="EI11" s="12" t="str">
        <f>IF(SUM(DJ11:DK11,DM11:DO11,DQ11)-SUM(DL11,DP11)&gt;0,SUM(DJ11:DK11,DM11:DO11,DQ11)-SUM(DL11,DP11),"")</f>
        <v/>
      </c>
      <c r="EJ11" s="12" t="str">
        <f>IF(SUM(DR11:DS11,DU11:DW11,DY11)-SUM(DT11,DX11)&gt;0,SUM(DR11:DS11,DU11:DW11,DY11)-SUM(DT11,DX11),"")</f>
        <v/>
      </c>
      <c r="EK11" s="12" t="str">
        <f>IF(SUM(DJ11:DK11,DM11:DO11,DQ11:DS11,DU11:DW11,DY11)-SUM(DL11,DP11,DT11,DX11)&gt;0,SUM(DJ11:DK11,DM11:DO11,DQ11:DS11,DU11:DW11,DY11)-SUM(DL11,DP11,DT11,DX11),"")</f>
        <v/>
      </c>
      <c r="EL11" s="12" t="str">
        <f>IF(SUM(DZ11:EA11,EC11:EE11,EG11)-SUM(EB11,EF11)&gt;0,SUM(DZ11:EA11,EC11:EE11,EG11)-SUM(EB11,EF11),"")</f>
        <v/>
      </c>
      <c r="EM11" s="12" t="str">
        <f>IF(SUM(EK11,EL11)&gt;0,SUM(EK11,EL11),"")</f>
        <v/>
      </c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  <c r="FF11" s="50"/>
      <c r="FG11" s="50"/>
      <c r="FH11" s="50"/>
      <c r="FI11" s="50"/>
      <c r="FJ11" s="50"/>
      <c r="FK11" s="50"/>
      <c r="FL11" s="15" t="str">
        <f>IF(SUM(EO11,ES11,EW11,FA11)&gt;0,SUM(EO11,ES11,EW11,FA11),"")</f>
        <v/>
      </c>
      <c r="FM11" s="15" t="str">
        <f>IF(SUM(EN11:EO11,EQ11:ES11,EU11)-SUM(EP11,ET11)&gt;0,SUM(EN11:EO11,EQ11:ES11,EU11)-SUM(EP11,ET11),"")</f>
        <v/>
      </c>
      <c r="FN11" s="15" t="str">
        <f>IF(SUM(EV11:EW11,EY11:FA11,FC11)-SUM(EX11,FB11)&gt;0,SUM(EV11:EW11,EY11:FA11,FC11)-SUM(EX11,FB11),"")</f>
        <v/>
      </c>
      <c r="FO11" s="15" t="str">
        <f>IF(SUM(EN11:EO11,EQ11:ES11,EU11:EW11,EY11:FA11,FC11)-SUM(EP11,ET11,EX11,FB11)&gt;0,SUM(EN11:EO11,EQ11:ES11,EU11:EW11,EY11:FA11,FC11)-SUM(EP11,ET11,EX11,FB11),"")</f>
        <v/>
      </c>
      <c r="FP11" s="15" t="str">
        <f>IF(SUM(FD11:FE11,FG11:FI11,FK11)-SUM(FF11,FJ11)&gt;0,SUM(FD11:FE11,FG11:FI11,FK11)-SUM(FF11,FJ11),"")</f>
        <v/>
      </c>
      <c r="FQ11" s="15" t="str">
        <f>IF(SUM(FO11,FP11)&gt;0,SUM(FO11,FP11),"")</f>
        <v/>
      </c>
      <c r="FR11" s="51"/>
      <c r="FS11" s="51"/>
      <c r="FT11" s="51"/>
      <c r="FU11" s="51"/>
      <c r="FV11" s="51"/>
      <c r="FW11" s="51"/>
      <c r="FX11" s="51"/>
      <c r="FY11" s="51"/>
      <c r="FZ11" s="51"/>
      <c r="GA11" s="51"/>
      <c r="GB11" s="51"/>
      <c r="GC11" s="51"/>
      <c r="GD11" s="51"/>
      <c r="GE11" s="51"/>
      <c r="GF11" s="51"/>
      <c r="GG11" s="51"/>
      <c r="GH11" s="51"/>
      <c r="GI11" s="51"/>
      <c r="GJ11" s="51"/>
      <c r="GK11" s="51"/>
      <c r="GL11" s="51"/>
      <c r="GM11" s="51"/>
      <c r="GN11" s="51"/>
      <c r="GO11" s="51"/>
      <c r="GP11" s="12" t="str">
        <f>IF(SUM(FS11,FW11,GA11,GE11)&gt;0,SUM(FS11,FW11,GA11,GE11),"")</f>
        <v/>
      </c>
      <c r="GQ11" s="12" t="str">
        <f>IF(SUM(FR11:FS11,FU11:FW11,FY11)-SUM(FT11,FX11)&gt;0,SUM(FR11:FS11,FU11:FW11,FY11)-SUM(FT11,FX11),"")</f>
        <v/>
      </c>
      <c r="GR11" s="12" t="str">
        <f>IF(SUM(FZ11:GA11,GC11:GE11,GG11)-SUM(GB11,GF11)&gt;0,SUM(FZ11:GA11,GC11:GE11,GG11)-SUM(GB11,GF11),"")</f>
        <v/>
      </c>
      <c r="GS11" s="12" t="str">
        <f>IF(SUM(FR11:FS11,FU11:FW11,FY11:GA11,GC11:GE11,GG11)-SUM(FT11,FX11,GB11,GF11)&gt;0,SUM(FR11:FS11,FU11:FW11,FY11:GA11,GC11:GE11,GG11)-SUM(FT11,FX11,GB11,GF11),"")</f>
        <v/>
      </c>
      <c r="GT11" s="12" t="str">
        <f>IF(SUM(GH11:GI11,GK11:GM11,GO11)-SUM(GJ11,GN11)&gt;0,SUM(GH11:GI11,GK11:GM11,GO11)-SUM(GJ11,GN11),"")</f>
        <v/>
      </c>
      <c r="GU11" s="12" t="str">
        <f>IF(SUM(GS11,GT11)&gt;0,SUM(GS11,GT11),"")</f>
        <v/>
      </c>
      <c r="GV11" s="50"/>
      <c r="GW11" s="50"/>
      <c r="GX11" s="50"/>
      <c r="GY11" s="50"/>
      <c r="GZ11" s="50"/>
      <c r="HA11" s="50"/>
      <c r="HB11" s="50"/>
      <c r="HC11" s="50"/>
      <c r="HD11" s="50"/>
      <c r="HE11" s="50"/>
      <c r="HF11" s="50"/>
      <c r="HG11" s="50"/>
      <c r="HH11" s="50"/>
      <c r="HI11" s="50"/>
      <c r="HJ11" s="50"/>
      <c r="HK11" s="50"/>
      <c r="HL11" s="50"/>
      <c r="HM11" s="50"/>
      <c r="HN11" s="50"/>
      <c r="HO11" s="50"/>
      <c r="HP11" s="50"/>
      <c r="HQ11" s="50"/>
      <c r="HR11" s="50"/>
      <c r="HS11" s="50"/>
      <c r="HT11" s="15" t="str">
        <f>IF(SUM(GW11,HA11,HE11,HI11)&gt;0,SUM(GW11,HA11,HE11,HI11),"")</f>
        <v/>
      </c>
      <c r="HU11" s="15" t="str">
        <f>IF(SUM(GV11:GW11,GY11:HA11,HC11)-SUM(GX11,HB11)&gt;0,SUM(GV11:GW11,GY11:HA11,HC11)-SUM(GX11,HB11),"")</f>
        <v/>
      </c>
      <c r="HV11" s="15" t="str">
        <f>IF(SUM(HD11:HE11,HG11:HI11,HK11)-SUM(HF11,HJ11)&gt;0,SUM(HD11:HE11,HG11:HI11,HK11)-SUM(HF11,HJ11),"")</f>
        <v/>
      </c>
      <c r="HW11" s="15" t="str">
        <f>IF(SUM(GV11:GW11,GY11:HA11,HC11:HE11,HG11:HI11,HK11)-SUM(GX11,HB11,HF11,HJ11)&gt;0,SUM(GV11:GW11,GY11:HA11,HC11:HE11,HG11:HI11,HK11)-SUM(GX11,HB11,HF11,HJ11),"")</f>
        <v/>
      </c>
      <c r="HX11" s="15" t="str">
        <f>IF(SUM(HL11:HM11,HO11:HQ11,HS11)-SUM(HN11,HR11)&gt;0,SUM(HL11:HM11,HO11:HQ11,HS11)-SUM(HN11,HR11),"")</f>
        <v/>
      </c>
      <c r="HY11" s="15" t="str">
        <f>IF(SUM(HW11,HX11)&gt;0,SUM(HW11,HX11),"")</f>
        <v/>
      </c>
      <c r="HZ11" s="51"/>
      <c r="IA11" s="51"/>
      <c r="IB11" s="51"/>
      <c r="IC11" s="51"/>
      <c r="ID11" s="51"/>
      <c r="IE11" s="51"/>
      <c r="IF11" s="51"/>
      <c r="IG11" s="51"/>
      <c r="IH11" s="51"/>
      <c r="II11" s="51"/>
      <c r="IJ11" s="51"/>
      <c r="IK11" s="51"/>
      <c r="IL11" s="51"/>
      <c r="IM11" s="51"/>
      <c r="IN11" s="51"/>
      <c r="IO11" s="51"/>
      <c r="IP11" s="51"/>
      <c r="IQ11" s="51"/>
      <c r="IR11" s="51"/>
      <c r="IS11" s="51"/>
      <c r="IT11" s="51"/>
      <c r="IU11" s="51"/>
      <c r="IV11" s="51"/>
      <c r="IW11" s="51"/>
      <c r="IX11" s="12" t="str">
        <f>IF(SUM(IA11,IE11,II11,IM11)&gt;0,SUM(IA11,IE11,II11,IM11),"")</f>
        <v/>
      </c>
      <c r="IY11" s="12" t="str">
        <f>IF(SUM(HZ11:IA11,IC11:IE11,IG11)-SUM(IB11,IF11)&gt;0,SUM(HZ11:IA11,IC11:IE11,IG11)-SUM(IB11,IF11),"")</f>
        <v/>
      </c>
      <c r="IZ11" s="12" t="str">
        <f>IF(SUM(IH11:II11,IK11:IM11,IO11)-SUM(IJ11,IN11)&gt;0,SUM(IH11:II11,IK11:IM11,IO11)-SUM(IJ11,IN11),"")</f>
        <v/>
      </c>
      <c r="JA11" s="12" t="str">
        <f>IF(SUM(HZ11:IA11,IC11:IE11,IG11:II11,IK11:IM11,IO11)-SUM(IB11,IF11,IJ11,IN11)&gt;0,SUM(HZ11:IA11,IC11:IE11,IG11:II11,IK11:IM11,IO11)-SUM(IB11,IF11,IJ11,IN11),"")</f>
        <v/>
      </c>
      <c r="JB11" s="12" t="str">
        <f>IF(SUM(IP11:IQ11,IS11:IU11,IW11)-SUM(IR11,IV11)&gt;0,SUM(IP11:IQ11,IS11:IU11,IW11)-SUM(IR11,IV11),"")</f>
        <v/>
      </c>
      <c r="JC11" s="12" t="str">
        <f>IF(SUM(JA11,JB11)&gt;0,SUM(JA11,JB11),"")</f>
        <v/>
      </c>
      <c r="JD11" s="50"/>
      <c r="JE11" s="50"/>
      <c r="JF11" s="50"/>
      <c r="JG11" s="50"/>
      <c r="JH11" s="50"/>
      <c r="JI11" s="50"/>
      <c r="JJ11" s="50"/>
      <c r="JK11" s="50"/>
      <c r="JL11" s="50"/>
      <c r="JM11" s="50"/>
      <c r="JN11" s="50"/>
      <c r="JO11" s="50"/>
      <c r="JP11" s="50"/>
      <c r="JQ11" s="50"/>
      <c r="JR11" s="50"/>
      <c r="JS11" s="50"/>
      <c r="JT11" s="50"/>
      <c r="JU11" s="50"/>
      <c r="JV11" s="50"/>
      <c r="JW11" s="50"/>
      <c r="JX11" s="50"/>
      <c r="JY11" s="50"/>
      <c r="JZ11" s="50"/>
      <c r="KA11" s="50"/>
      <c r="KB11" s="15" t="str">
        <f>IF(SUM(JE11,JI11,JM11,JQ11)&gt;0,SUM(JE11,JI11,JM11,JQ11),"")</f>
        <v/>
      </c>
      <c r="KC11" s="15" t="str">
        <f>IF(SUM(JD11:JE11,JG11:JI11,JK11)-SUM(JF11,JJ11)&gt;0,SUM(JD11:JE11,JG11:JI11,JK11)-SUM(JF11,JJ11),"")</f>
        <v/>
      </c>
      <c r="KD11" s="15" t="str">
        <f>IF(SUM(JL11:JM11,JO11:JQ11,JS11)-SUM(JN11,JR11)&gt;0,SUM(JL11:JM11,JO11:JQ11,JS11)-SUM(JN11,JR11),"")</f>
        <v/>
      </c>
      <c r="KE11" s="15" t="str">
        <f>IF(SUM(JD11:JE11,JG11:JI11,JK11:JM11,JO11:JQ11,JS11)-SUM(JF11,JJ11,JN11,JR11)&gt;0,SUM(JD11:JE11,JG11:JI11,JK11:JM11,JO11:JQ11,JS11)-SUM(JF11,JJ11,JN11,JR11),"")</f>
        <v/>
      </c>
      <c r="KF11" s="15" t="str">
        <f>IF(SUM(JT11:JU11,JW11:JY11,KA11)-SUM(JV11,JZ11)&gt;0,SUM(JT11:JU11,JW11:JY11,KA11)-SUM(JV11,JZ11),"")</f>
        <v/>
      </c>
      <c r="KG11" s="15" t="str">
        <f>IF(SUM(KE11,KF11)&gt;0,SUM(KE11,KF11),"")</f>
        <v/>
      </c>
      <c r="KH11" s="51"/>
      <c r="KI11" s="51"/>
      <c r="KJ11" s="51"/>
      <c r="KK11" s="51"/>
      <c r="KL11" s="51"/>
      <c r="KM11" s="51"/>
      <c r="KN11" s="51"/>
      <c r="KO11" s="51"/>
      <c r="KP11" s="51"/>
      <c r="KQ11" s="51"/>
      <c r="KR11" s="51"/>
      <c r="KS11" s="51"/>
      <c r="KT11" s="51"/>
      <c r="KU11" s="51"/>
      <c r="KV11" s="51"/>
      <c r="KW11" s="51"/>
      <c r="KX11" s="51"/>
      <c r="KY11" s="51"/>
      <c r="KZ11" s="51"/>
      <c r="LA11" s="51"/>
      <c r="LB11" s="51"/>
      <c r="LC11" s="51"/>
      <c r="LD11" s="51"/>
      <c r="LE11" s="51"/>
      <c r="LF11" s="12" t="str">
        <f>IF(SUM(KI11,KM11,KQ11,KU11)&gt;0,SUM(KI11,KM11,KQ11,KU11),"")</f>
        <v/>
      </c>
      <c r="LG11" s="12" t="str">
        <f>IF(SUM(KH11:KI11,KK11:KM11,KO11)-SUM(KJ11,KN11)&gt;0,SUM(KH11:KI11,KK11:KM11,KO11)-SUM(KJ11,KN11),"")</f>
        <v/>
      </c>
      <c r="LH11" s="12" t="str">
        <f>IF(SUM(KP11:KQ11,KS11:KU11,KW11)-SUM(KR11,KV11)&gt;0,SUM(KP11:KQ11,KS11:KU11,KW11)-SUM(KR11,KV11),"")</f>
        <v/>
      </c>
      <c r="LI11" s="12" t="str">
        <f>IF(SUM(KH11:KI11,KK11:KM11,KO11:KQ11,KS11:KU11,KW11)-SUM(KJ11,KN11,KR11,KV11)&gt;0,SUM(KH11:KI11,KK11:KM11,KO11:KQ11,KS11:KU11,KW11)-SUM(KJ11,KN11,KR11,KV11),"")</f>
        <v/>
      </c>
      <c r="LJ11" s="12" t="str">
        <f>IF(SUM(KX11:KY11,LA11:LC11,LE11)-SUM(KZ11,LD11)&gt;0,SUM(KX11:KY11,LA11:LC11,LE11)-SUM(KZ11,LD11),"")</f>
        <v/>
      </c>
      <c r="LK11" s="12" t="str">
        <f>IF(SUM(LI11,LJ11)&gt;0,SUM(LI11,LJ11),"")</f>
        <v/>
      </c>
      <c r="LL11" s="50"/>
      <c r="LM11" s="50"/>
      <c r="LN11" s="50"/>
      <c r="LO11" s="50"/>
      <c r="LP11" s="50"/>
      <c r="LQ11" s="50"/>
      <c r="LR11" s="50"/>
      <c r="LS11" s="50"/>
      <c r="LT11" s="50"/>
      <c r="LU11" s="50"/>
      <c r="LV11" s="50"/>
      <c r="LW11" s="50"/>
      <c r="LX11" s="50"/>
      <c r="LY11" s="50"/>
      <c r="LZ11" s="50"/>
      <c r="MA11" s="50"/>
      <c r="MB11" s="50"/>
      <c r="MC11" s="50"/>
      <c r="MD11" s="50"/>
      <c r="ME11" s="50"/>
      <c r="MF11" s="50"/>
      <c r="MG11" s="50"/>
      <c r="MH11" s="50"/>
      <c r="MI11" s="50"/>
      <c r="MJ11" s="15" t="str">
        <f>IF(SUM(LM11,LQ11,LU11,LY11)&gt;0,SUM(LM11,LQ11,LU11,LY11),"")</f>
        <v/>
      </c>
      <c r="MK11" s="15" t="str">
        <f>IF(SUM(LL11:LM11,LO11:LQ11,LS11)-SUM(LN11,LR11)&gt;0,SUM(LL11:LM11,LO11:LQ11,LS11)-SUM(LN11,LR11),"")</f>
        <v/>
      </c>
      <c r="ML11" s="15" t="str">
        <f>IF(SUM(LT11:LU11,LW11:LY11,MA11)-SUM(LV11,LZ11)&gt;0,SUM(LT11:LU11,LW11:LY11,MA11)-SUM(LV11,LZ11),"")</f>
        <v/>
      </c>
      <c r="MM11" s="15" t="str">
        <f>IF(SUM(LL11:LM11,LO11:LQ11,LS11:LU11,LW11:LY11,MA11)-SUM(LN11,LR11,LV11,LZ11)&gt;0,SUM(LL11:LM11,LO11:LQ11,LS11:LU11,LW11:LY11,MA11)-SUM(LN11,LR11,LV11,LZ11),"")</f>
        <v/>
      </c>
      <c r="MN11" s="15" t="str">
        <f>IF(SUM(MB11:MC11,ME11:MG11,MI11)-SUM(MD11,MH11)&gt;0,SUM(MB11:MC11,ME11:MG11,MI11)-SUM(MD11,MH11),"")</f>
        <v/>
      </c>
      <c r="MO11" s="15" t="str">
        <f>IF(SUM(MM11,MN11)&gt;0,SUM(MM11,MN11),"")</f>
        <v/>
      </c>
      <c r="MP11" s="51"/>
      <c r="MQ11" s="51"/>
      <c r="MR11" s="51"/>
      <c r="MS11" s="51"/>
      <c r="MT11" s="51"/>
      <c r="MU11" s="51"/>
      <c r="MV11" s="51"/>
      <c r="MW11" s="51"/>
      <c r="MX11" s="51"/>
      <c r="MY11" s="51"/>
      <c r="MZ11" s="51"/>
      <c r="NA11" s="51"/>
      <c r="NB11" s="51"/>
      <c r="NC11" s="51"/>
      <c r="ND11" s="51"/>
      <c r="NE11" s="51"/>
      <c r="NF11" s="51"/>
      <c r="NG11" s="51"/>
      <c r="NH11" s="51"/>
      <c r="NI11" s="51"/>
      <c r="NJ11" s="51"/>
      <c r="NK11" s="51"/>
      <c r="NL11" s="51"/>
      <c r="NM11" s="51"/>
      <c r="NN11" s="12" t="str">
        <f>IF(SUM(MQ11,MU11,MY11,NC11)&gt;0,SUM(MQ11,MU11,MY11,NC11),"")</f>
        <v/>
      </c>
      <c r="NO11" s="12" t="str">
        <f>IF(SUM(MP11:MQ11,MS11:MU11,MW11)-SUM(MR11,MV11)&gt;0,SUM(MP11:MQ11,MS11:MU11,MW11)-SUM(MR11,MV11),"")</f>
        <v/>
      </c>
      <c r="NP11" s="12" t="str">
        <f>IF(SUM(MX11:MY11,NA11:NC11,NE11)-SUM(MZ11,ND11)&gt;0,SUM(MX11:MY11,NA11:NC11,NE11)-SUM(MZ11,ND11),"")</f>
        <v/>
      </c>
      <c r="NQ11" s="12" t="str">
        <f>IF(SUM(MP11:MQ11,MS11:MU11,MW11:MY11,NA11:NC11,NE11)-SUM(MR11,MV11,MZ11,ND11)&gt;0,SUM(MP11:MQ11,MS11:MU11,MW11:MY11,NA11:NC11,NE11)-SUM(MR11,MV11,MZ11,ND11),"")</f>
        <v/>
      </c>
      <c r="NR11" s="12" t="str">
        <f>IF(SUM(NF11:NG11,NI11:NK11,NM11)-SUM(NH11,NL11)&gt;0,SUM(NF11:NG11,NI11:NK11,NM11)-SUM(NH11,NL11),"")</f>
        <v/>
      </c>
      <c r="NS11" s="12" t="str">
        <f>IF(SUM(NQ11,NR11)&gt;0,SUM(NQ11,NR11),"")</f>
        <v/>
      </c>
      <c r="NT11" s="50"/>
      <c r="NU11" s="50"/>
      <c r="NV11" s="50"/>
      <c r="NW11" s="50"/>
      <c r="NX11" s="50"/>
      <c r="NY11" s="50"/>
      <c r="NZ11" s="50"/>
      <c r="OA11" s="50"/>
      <c r="OB11" s="50"/>
      <c r="OC11" s="50"/>
      <c r="OD11" s="50"/>
      <c r="OE11" s="50"/>
      <c r="OF11" s="50"/>
      <c r="OG11" s="50"/>
      <c r="OH11" s="50"/>
      <c r="OI11" s="50"/>
      <c r="OJ11" s="50"/>
      <c r="OK11" s="50"/>
      <c r="OL11" s="50"/>
      <c r="OM11" s="50"/>
      <c r="ON11" s="50"/>
      <c r="OO11" s="50"/>
      <c r="OP11" s="50"/>
      <c r="OQ11" s="50"/>
      <c r="OR11" s="15" t="str">
        <f>IF(SUM(NU11,NY11,OC11,OG11)&gt;0,SUM(NU11,NY11,OC11,OG11),"")</f>
        <v/>
      </c>
      <c r="OS11" s="15" t="str">
        <f>IF(SUM(NT11:NU11,NW11:NY11,OA11)-SUM(NV11,NZ11)&gt;0,SUM(NT11:NU11,NW11:NY11,OA11)-SUM(NV11,NZ11),"")</f>
        <v/>
      </c>
      <c r="OT11" s="15" t="str">
        <f>IF(SUM(OB11:OC11,OE11:OG11,OI11)-SUM(OD11,OH11)&gt;0,SUM(OB11:OC11,OE11:OG11,OI11)-SUM(OD11,OH11),"")</f>
        <v/>
      </c>
      <c r="OU11" s="15" t="str">
        <f>IF(SUM(NT11:NU11,NW11:NY11,OA11:OC11,OE11:OG11,OI11)-SUM(NV11,NZ11,OD11,OH11)&gt;0,SUM(NT11:NU11,NW11:NY11,OA11:OC11,OE11:OG11,OI11)-SUM(NV11,NZ11,OD11,OH11),"")</f>
        <v/>
      </c>
      <c r="OV11" s="15" t="str">
        <f>IF(SUM(OJ11:OK11,OM11:OO11,OQ11)-SUM(OL11,OP11)&gt;0,SUM(OJ11:OK11,OM11:OO11,OQ11)-SUM(OL11,OP11),"")</f>
        <v/>
      </c>
      <c r="OW11" s="15" t="str">
        <f>IF(SUM(OU11,OV11)&gt;0,SUM(OU11,OV11),"")</f>
        <v/>
      </c>
      <c r="OX11" s="51"/>
      <c r="OY11" s="51"/>
      <c r="OZ11" s="51"/>
      <c r="PA11" s="51"/>
      <c r="PB11" s="51"/>
      <c r="PC11" s="51"/>
      <c r="PD11" s="51"/>
      <c r="PE11" s="51"/>
      <c r="PF11" s="51"/>
      <c r="PG11" s="51"/>
      <c r="PH11" s="51"/>
      <c r="PI11" s="51"/>
      <c r="PJ11" s="51"/>
      <c r="PK11" s="51"/>
      <c r="PL11" s="51"/>
      <c r="PM11" s="51"/>
      <c r="PN11" s="51"/>
      <c r="PO11" s="51"/>
      <c r="PP11" s="51"/>
      <c r="PQ11" s="51"/>
      <c r="PR11" s="51"/>
      <c r="PS11" s="51"/>
      <c r="PT11" s="51"/>
      <c r="PU11" s="51"/>
      <c r="PV11" s="12" t="str">
        <f>IF(SUM(OY11,PC11,PG11,PK11)&gt;0,SUM(OY11,PC11,PG11,PK11),"")</f>
        <v/>
      </c>
      <c r="PW11" s="12" t="str">
        <f>IF(SUM(OX11:OY11,PA11:PC11,PE11)-SUM(OZ11,PD11)&gt;0,SUM(OX11:OY11,PA11:PC11,PE11)-SUM(OZ11,PD11),"")</f>
        <v/>
      </c>
      <c r="PX11" s="12" t="str">
        <f>IF(SUM(PF11:PG11,PI11:PK11,PM11)-SUM(PH11,PL11)&gt;0,SUM(PF11:PG11,PI11:PK11,PM11)-SUM(PH11,PL11),"")</f>
        <v/>
      </c>
      <c r="PY11" s="12" t="str">
        <f>IF(SUM(OX11:OY11,PA11:PC11,PE11:PG11,PI11:PK11,PM11)-SUM(OZ11,PD11,PH11,PL11)&gt;0,SUM(OX11:OY11,PA11:PC11,PE11:PG11,PI11:PK11,PM11)-SUM(OZ11,PD11,PH11,PL11),"")</f>
        <v/>
      </c>
      <c r="PZ11" s="12" t="str">
        <f>IF(SUM(PN11:PO11,PQ11:PS11,PU11)-SUM(PP11,PT11)&gt;0,SUM(PN11:PO11,PQ11:PS11,PU11)-SUM(PP11,PT11),"")</f>
        <v/>
      </c>
      <c r="QA11" s="12" t="str">
        <f>IF(SUM(PY11,PZ11)&gt;0,SUM(PY11,PZ11),"")</f>
        <v/>
      </c>
      <c r="QB11" s="50"/>
      <c r="QC11" s="50"/>
      <c r="QD11" s="50"/>
      <c r="QE11" s="50"/>
      <c r="QF11" s="50"/>
      <c r="QG11" s="50"/>
      <c r="QH11" s="50"/>
      <c r="QI11" s="50"/>
      <c r="QJ11" s="50"/>
      <c r="QK11" s="50"/>
      <c r="QL11" s="50"/>
      <c r="QM11" s="50"/>
      <c r="QN11" s="50"/>
      <c r="QO11" s="50"/>
      <c r="QP11" s="50"/>
      <c r="QQ11" s="50"/>
      <c r="QR11" s="50"/>
      <c r="QS11" s="50"/>
      <c r="QT11" s="50"/>
      <c r="QU11" s="50"/>
      <c r="QV11" s="50"/>
      <c r="QW11" s="50"/>
      <c r="QX11" s="50"/>
      <c r="QY11" s="50"/>
      <c r="QZ11" s="15" t="str">
        <f>IF(SUM(QC11,QG11,QK11,QO11)&gt;0,SUM(QC11,QG11,QK11,QO11),"")</f>
        <v/>
      </c>
      <c r="RA11" s="15" t="str">
        <f>IF(SUM(QB11:QC11,QE11:QG11,QI11)-SUM(QD11,QH11)&gt;0,SUM(QB11:QC11,QE11:QG11,QI11)-SUM(QD11,QH11),"")</f>
        <v/>
      </c>
      <c r="RB11" s="15" t="str">
        <f>IF(SUM(QJ11:QK11,QM11:QO11,QQ11)-SUM(QL11,QP11)&gt;0,SUM(QJ11:QK11,QM11:QO11,QQ11)-SUM(QL11,QP11),"")</f>
        <v/>
      </c>
      <c r="RC11" s="15" t="str">
        <f>IF(SUM(QB11:QC11,QE11:QG11,QI11:QK11,QM11:QO11,QQ11)-SUM(QD11,QH11,QL11,QP11)&gt;0,SUM(QB11:QC11,QE11:QG11,QI11:QK11,QM11:QO11,QQ11)-SUM(QD11,QH11,QL11,QP11),"")</f>
        <v/>
      </c>
      <c r="RD11" s="15" t="str">
        <f>IF(SUM(QR11:QS11,QU11:QW11,QY11)-SUM(QT11,QX11)&gt;0,SUM(QR11:QS11,QU11:QW11,QY11)-SUM(QT11,QX11),"")</f>
        <v/>
      </c>
      <c r="RE11" s="15" t="str">
        <f>IF(SUM(RC11,RD11)&gt;0,SUM(RC11,RD11),"")</f>
        <v/>
      </c>
    </row>
    <row r="12" spans="1:473">
      <c r="A12" s="6" t="str">
        <f>IF(AND(F12="P",H12="P"),SUMPRODUCT((F$4:F$14="P")*(H$4:H$14="P")*(E$4:E$14&gt;E12))+1,IF(H12="P",SUMPRODUCT((F$4:F$14="")*(H$4:H$14="P")*(E$4:E$14&gt;E12))+1+SUMPRODUCT((F$4:F$14="P")*(H$4:H$14="P")),""))</f>
        <v/>
      </c>
      <c r="B12" s="9" t="s">
        <v>99</v>
      </c>
      <c r="C12" s="5" t="s">
        <v>4</v>
      </c>
      <c r="D12" s="6">
        <v>2003</v>
      </c>
      <c r="E12" s="16">
        <f>SUM(J12:R12)</f>
        <v>317.90000000000003</v>
      </c>
      <c r="F12" s="4" t="str">
        <f>IF(OR(AND($AS12&gt;=$AT$17,NOT($AS12="")),AND($BW12&gt;=$BX$17,NOT($BW12="")),AND($DA12&gt;=$DB$17,NOT($DA12=""))),"P","")</f>
        <v/>
      </c>
      <c r="G12" s="4" t="str">
        <f>IF(OR(AND($AS12&gt;=$AT$18,NOT($AS12="")),AND($BW12&gt;=$BX$18,NOT($BW12="")),AND($DA12&gt;=$DB$18,NOT($DA12=""))),"P","")</f>
        <v/>
      </c>
      <c r="H12" s="4" t="str">
        <f>IF(OR(AND($AV12&gt;=$AT$19,NOT($AV12="")),AND($BZ12&gt;=$BX$19,NOT($BZ12="")),AND($DD12&gt;=$DB$19,NOT($DD12=""))),"P","")</f>
        <v/>
      </c>
      <c r="I12" t="str">
        <f>IF(AND(F12="P",OR(AND($AV12&gt;=$AT$22,NOT($AV12="")),AND($BZ12&gt;=$BX$22,NOT($BZ12="")),AND($DD12&gt;=$DB$22,NOT($DD12="")))),"Merit",IF(AND(F12="P",OR(AND($AV12&gt;=$AT$21,NOT($AV12="")),AND($BZ12&gt;=$BX$21,NOT($BZ12="")),AND($DD12&gt;=$DB$21,NOT($DD12="")))),"Funding",IF(AND(F12="P",OR(AND($AV12&gt;=$AT$20,NOT($AV12="")),AND($BZ12&gt;=$BX$20,NOT($BZ12="")),AND($DD12&gt;=$DB$20,NOT($DD12="")))),"Worlds Team",IF(AND(F12="P",OR(AND($AV12&gt;=$AT$19,NOT($AV12="")),AND($BZ12&gt;=$BX$19,NOT($BZ12="")),AND($DD12&gt;=$DB$19,NOT($DD12="")))),"National Team",""))))</f>
        <v/>
      </c>
      <c r="J12" s="15">
        <f>MAX(AV12,BZ12,DD12)</f>
        <v>129</v>
      </c>
      <c r="K12" s="15" t="str">
        <f>IF(J12=DD12,$CC$1,IF(J12=BZ12,$AY$1,IF(J12=AV12,$U$1,"")))</f>
        <v>2017 Canada Cup</v>
      </c>
      <c r="L12" s="15">
        <f>IF($J12=$AV12,MAX(BX12,DB12),IF($J12=$BZ12,MAX(AT12,DB12),MAX(AT12,BX12)))</f>
        <v>62.8</v>
      </c>
      <c r="M12" s="15" t="str">
        <f>IF(L12=DB12,$CC$1,IF(L12=BX12,$AY$1,IF(L12=AT12,$U$1,"")))</f>
        <v>2017 Nationals</v>
      </c>
      <c r="N12" s="15">
        <f>IF($J12=$AV12,MAX(BY12,DC12),IF($J12=$BZ12,MAX(AU12,DC12),MAX(AU12,BY12)))</f>
        <v>61</v>
      </c>
      <c r="O12" s="15" t="str">
        <f>IF(N12=DC12,$CC$1,IF(N12=BY12,$AY$1,IF(N12=AU12,$U$1,"")))</f>
        <v>2017 Nationals</v>
      </c>
      <c r="P12" s="15">
        <f>MAX(AW12,CA12,DE12)</f>
        <v>65.100000000000009</v>
      </c>
      <c r="Q12" s="15" t="str">
        <f>IF(P12=DE12,$CC$1,IF(P12=CA12,$AY$1,IF(P12=AW12,$U$1,"")))</f>
        <v>2017 Nationals</v>
      </c>
      <c r="R12" s="15" t="str">
        <f>IF(MAX(DG12:DI12)&gt;0,MAX(DG12:DI12),"")</f>
        <v/>
      </c>
      <c r="S12" s="29" t="str">
        <f>IF(R12="","",IF(R12=DG12,"(Pass 1-2)",IF(R12=DH12,"(Pass 3-4)",IF(R12=DI12,"(Final)"))))</f>
        <v/>
      </c>
      <c r="T12" s="15" t="str">
        <f>IF(R12="","",IF(R12=DG12,IF(R12+L12=RA12,$QB$1,IF(R12+L12=PW12,$OX$1,IF(R12+L12=OS12,$NT$1,IF(R12+L12=NO12,$MP$1,IF(R12+L12=MK12,$LL$1,IF(R12+L12=LG12,$KH$1,IF(R12+L12=KC12,$JD$1,IF(R12+L12=IY12,$HZ$1,IF(R12+L12=HU12,$GV$1,IF(R12+L12=GQ12,$FR$1,IF(R12+L12=FM12,$EN$1,IF(R12+L12=EI12,$DJ$1)))))))))))),IF(R12=DH12,IF(R12+N12=RB12,$QB$1,IF(R12+N12=PX12,$OX$1,IF(R12+N12=OT12,$NT$1,IF(R12+N12=NP12,$MP$1,IF(R12+N12=ML12,$LL$1,IF(R12+N12=LH12,$KH$1,IF(R12+N12=KD12,$JD$1,IF(R12+N12=IZ12,$HZ$1,IF(R12+N12=HV12,$GV$1,IF(R12+N12=GR12,$FR$1,IF(R12+N12=FN12,$EN$1,IF(R12+N12=EJ12,$DJ$1)))))))))))),IF(R12=DI12,IF(R12+P12=RD12,$QB$1,IF(R12+P12=PZ12,$OX$1,IF(R12+P12=OV12,$NT$1,IF(R12+P12=NR12,$MP$1,IF(R12+P12=MN12,$LL$1,IF(R12+P12=LJ12,$KH$1,IF(R12+P12=KF12,$JD$1,IF(R12+P12=JB12,$HZ$1,IF(R12+P12=HX12,$GV$1,IF(R12+P12=GT12,$FR$1,IF(R12+P12=FP12,$EN$1,IF(R12+P12=EL12,$DJ$1))))))))))))))))</f>
        <v/>
      </c>
      <c r="U12" s="76">
        <v>26.9</v>
      </c>
      <c r="V12" s="76">
        <v>4.8</v>
      </c>
      <c r="W12" s="76">
        <v>0.3</v>
      </c>
      <c r="X12" s="76">
        <v>0</v>
      </c>
      <c r="Y12" s="76">
        <v>27.9</v>
      </c>
      <c r="Z12" s="76">
        <v>4.8</v>
      </c>
      <c r="AA12" s="76">
        <v>0.3</v>
      </c>
      <c r="AB12" s="76">
        <v>0</v>
      </c>
      <c r="AC12" s="76">
        <v>28.4</v>
      </c>
      <c r="AD12" s="76">
        <v>4</v>
      </c>
      <c r="AE12" s="76">
        <v>0</v>
      </c>
      <c r="AF12" s="76">
        <v>0</v>
      </c>
      <c r="AG12" s="76">
        <v>28.5</v>
      </c>
      <c r="AH12" s="76">
        <v>4.3</v>
      </c>
      <c r="AI12" s="76">
        <v>0</v>
      </c>
      <c r="AJ12" s="76">
        <v>0</v>
      </c>
      <c r="AK12" s="76">
        <v>27.6</v>
      </c>
      <c r="AL12" s="76">
        <v>4.8</v>
      </c>
      <c r="AM12" s="76">
        <v>0.3</v>
      </c>
      <c r="AN12" s="76">
        <v>0</v>
      </c>
      <c r="AO12" s="76">
        <v>25.5</v>
      </c>
      <c r="AP12" s="76">
        <v>4.3</v>
      </c>
      <c r="AQ12" s="76">
        <v>0.3</v>
      </c>
      <c r="AR12" s="76">
        <v>0</v>
      </c>
      <c r="AS12" s="12">
        <f>IF(SUM(V12,Z12,AD12,AH12)&gt;0,SUM(V12,Z12,AD12,AH12),"")</f>
        <v>17.899999999999999</v>
      </c>
      <c r="AT12" s="12">
        <f>IF(SUM(U12:V12,X12:Z12,AB12)-SUM(W12,AA12)&gt;0,SUM(U12:V12,X12:Z12,AB12)-SUM(W12,AA12),"")</f>
        <v>63.79999999999999</v>
      </c>
      <c r="AU12" s="12">
        <f>IF(SUM(AC12:AD12,AF12:AH12,AJ12)-SUM(AE12,AI12)&gt;0,SUM(AC12:AD12,AF12:AH12,AJ12)-SUM(AE12,AI12),"")</f>
        <v>65.2</v>
      </c>
      <c r="AV12" s="12">
        <f>IF(SUM(U12:V12,X12:Z12,AB12:AD12,AF12:AH12,AJ12)-SUM(W12,AA12,AE12,AI12)&gt;0,SUM(U12:V12,X12:Z12,AB12:AD12,AF12:AH12,AJ12)-SUM(W12,AA12,AE12,AI12),"")</f>
        <v>129</v>
      </c>
      <c r="AW12" s="12">
        <f>IF(SUM(AK12:AL12,AN12:AP12,AR12)-SUM(AM12,AQ12)&gt;0,SUM(AK12:AL12,AN12:AP12,AR12)-SUM(AM12,AQ12),"")</f>
        <v>61.599999999999994</v>
      </c>
      <c r="AX12" s="12">
        <f>IF(SUM(AV12,AW12)&gt;0,SUM(AV12,AW12),"")</f>
        <v>190.6</v>
      </c>
      <c r="AY12" s="46">
        <v>27.1</v>
      </c>
      <c r="AZ12" s="46">
        <v>4.4000000000000004</v>
      </c>
      <c r="BA12" s="46">
        <v>1.2</v>
      </c>
      <c r="BB12" s="46">
        <v>0</v>
      </c>
      <c r="BC12" s="46">
        <v>27.3</v>
      </c>
      <c r="BD12" s="46">
        <v>5.2</v>
      </c>
      <c r="BE12" s="46">
        <v>0</v>
      </c>
      <c r="BF12" s="46">
        <v>0</v>
      </c>
      <c r="BG12" s="46">
        <v>27.5</v>
      </c>
      <c r="BH12" s="46">
        <v>4.4000000000000004</v>
      </c>
      <c r="BI12" s="46">
        <v>0</v>
      </c>
      <c r="BJ12" s="46">
        <v>0</v>
      </c>
      <c r="BK12" s="46">
        <v>25.1</v>
      </c>
      <c r="BL12" s="46">
        <v>4.3</v>
      </c>
      <c r="BM12" s="46">
        <v>0.3</v>
      </c>
      <c r="BN12" s="46">
        <v>0</v>
      </c>
      <c r="BO12" s="46">
        <v>27.8</v>
      </c>
      <c r="BP12" s="46">
        <v>5.2</v>
      </c>
      <c r="BQ12" s="46">
        <v>0</v>
      </c>
      <c r="BR12" s="46">
        <v>0</v>
      </c>
      <c r="BS12" s="46">
        <v>28.1</v>
      </c>
      <c r="BT12" s="46">
        <v>4.3</v>
      </c>
      <c r="BU12" s="46">
        <v>0.3</v>
      </c>
      <c r="BV12" s="46">
        <v>0</v>
      </c>
      <c r="BW12" s="15">
        <f>IF(SUM(AZ12,BD12,BH12,BL12)&gt;0,SUM(AZ12,BD12,BH12,BL12),"")</f>
        <v>18.3</v>
      </c>
      <c r="BX12" s="15">
        <f>IF(SUM(AY12:AZ12,BB12:BD12,BF12)-SUM(BA12,BE12)&gt;0,SUM(AY12:AZ12,BB12:BD12,BF12)-SUM(BA12,BE12),"")</f>
        <v>62.8</v>
      </c>
      <c r="BY12" s="15">
        <f>IF(SUM(BG12:BH12,BJ12:BL12,BN12)-SUM(BI12,BM12)&gt;0,SUM(BG12:BH12,BJ12:BL12,BN12)-SUM(BI12,BM12),"")</f>
        <v>61</v>
      </c>
      <c r="BZ12" s="15">
        <f>IF(SUM(AY12:AZ12,BB12:BD12,BF12:BH12,BJ12:BL12,BN12)-SUM(BA12,BE12,BI12,BM12)&gt;0,SUM(AY12:AZ12,BB12:BD12,BF12:BH12,BJ12:BL12,BN12)-SUM(BA12,BE12,BI12,BM12),"")</f>
        <v>123.8</v>
      </c>
      <c r="CA12" s="15">
        <f>IF(SUM(BO12:BP12,BR12:BT12,BV12)-SUM(BQ12,BU12)&gt;0,SUM(BO12:BP12,BR12:BT12,BV12)-SUM(BQ12,BU12),"")</f>
        <v>65.100000000000009</v>
      </c>
      <c r="CB12" s="15">
        <f>IF(SUM(BZ12,CA12)&gt;0,SUM(BZ12,CA12),"")</f>
        <v>188.9</v>
      </c>
      <c r="CC12" s="45">
        <v>27.6</v>
      </c>
      <c r="CD12" s="45">
        <v>5.6</v>
      </c>
      <c r="CE12" s="45">
        <v>0</v>
      </c>
      <c r="CF12" s="45">
        <v>0</v>
      </c>
      <c r="CG12" s="45">
        <v>19.7</v>
      </c>
      <c r="CH12" s="45">
        <v>2.4</v>
      </c>
      <c r="CI12" s="45">
        <v>0</v>
      </c>
      <c r="CJ12" s="45">
        <v>0</v>
      </c>
      <c r="CK12" s="45">
        <v>27.1</v>
      </c>
      <c r="CL12" s="45">
        <v>4.8</v>
      </c>
      <c r="CM12" s="45">
        <v>0</v>
      </c>
      <c r="CN12" s="45">
        <v>0</v>
      </c>
      <c r="CO12" s="45">
        <v>0</v>
      </c>
      <c r="CP12" s="45">
        <v>0</v>
      </c>
      <c r="CQ12" s="45">
        <v>0</v>
      </c>
      <c r="CR12" s="45">
        <v>0</v>
      </c>
      <c r="CS12" s="45"/>
      <c r="CT12" s="45"/>
      <c r="CU12" s="45"/>
      <c r="CV12" s="45"/>
      <c r="CW12" s="45"/>
      <c r="CX12" s="45"/>
      <c r="CY12" s="45"/>
      <c r="CZ12" s="45"/>
      <c r="DA12" s="12">
        <f>IF(SUM(CD12,CH12,CL12,CP12)&gt;0,SUM(CD12,CH12,CL12,CP12),"")</f>
        <v>12.8</v>
      </c>
      <c r="DB12" s="12">
        <f>IF(SUM(CC12:CD12,CF12:CH12,CJ12)-SUM(CE12,CI12)&gt;0,SUM(CC12:CD12,CF12:CH12,CJ12)-SUM(CE12,CI12),"")</f>
        <v>55.300000000000004</v>
      </c>
      <c r="DC12" s="12">
        <f>IF(SUM(CK12:CL12,CN12:CP12,CR12)-SUM(CM12,CQ12)&gt;0,SUM(CK12:CL12,CN12:CP12,CR12)-SUM(CM12,CQ12),"")</f>
        <v>31.900000000000002</v>
      </c>
      <c r="DD12" s="12">
        <f>IF(SUM(CC12:CD12,CF12:CH12,CJ12:CL12,CN12:CP12,CR12)-SUM(CE12,CI12,CM12,CQ12)&gt;0,SUM(CC12:CD12,CF12:CH12,CJ12:CL12,CN12:CP12,CR12)-SUM(CE12,CI12,CM12,CQ12),"")</f>
        <v>87.2</v>
      </c>
      <c r="DE12" s="12" t="str">
        <f>IF(SUM(CS12:CT12,CV12:CX12,CZ12)-SUM(CU12,CY12)&gt;0,SUM(CS12:CT12,CV12:CX12,CZ12)-SUM(CU12,CY12),"")</f>
        <v/>
      </c>
      <c r="DF12" s="12">
        <f>IF(SUM(DD12,DE12)&gt;0,SUM(DD12,DE12),"")</f>
        <v>87.2</v>
      </c>
      <c r="DG12" s="28" t="str">
        <f>IF(MAX(EI12,FM12,GQ12,HU12,IY12,KC12,LG12,MK12,NO12,OS12,PW12,RA12)-L12&gt;0.001,MAX(EI12,FM12,GQ12,HU12,IY12,KC12,LG12,MK12,NO12,OS12,PW12,RA12)-L12,"")</f>
        <v/>
      </c>
      <c r="DH12" s="28" t="str">
        <f>IF(MAX(EJ12,FN12,GR12,HV12,IZ12,KD12,LH12,ML12,NP12,OT12,PX12,RB12)-N12&gt;0.001,MAX(EJ12,FN12,GR12,HV12,IZ12,KD12,LH12,ML12,NP12,OT12,PX12,RB12)-N12,"")</f>
        <v/>
      </c>
      <c r="DI12" s="28" t="str">
        <f>IF(MAX(EL12,FP12,GT12,HX12,JB12,KF12,LJ12,MN12,OV12,PZ12,RD12)-P12&gt;0.001,MAX(EL12,FP12,GT12,HX12,JB12,KF12,LJ12,MN12,OV12,PZ12,RD12)-P12,"")</f>
        <v/>
      </c>
      <c r="DJ12" s="45"/>
      <c r="DK12" s="45"/>
      <c r="DL12" s="45"/>
      <c r="DM12" s="45"/>
      <c r="DN12" s="45"/>
      <c r="DO12" s="45"/>
      <c r="DP12" s="45"/>
      <c r="DQ12" s="45"/>
      <c r="DR12" s="45"/>
      <c r="DS12" s="45"/>
      <c r="DT12" s="45"/>
      <c r="DU12" s="45"/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12" t="str">
        <f>IF(SUM(DK12,DO12,DS12,DW12)&gt;0,SUM(DK12,DO12,DS12,DW12),"")</f>
        <v/>
      </c>
      <c r="EI12" s="12" t="str">
        <f>IF(SUM(DJ12:DK12,DM12:DO12,DQ12)-SUM(DL12,DP12)&gt;0,SUM(DJ12:DK12,DM12:DO12,DQ12)-SUM(DL12,DP12),"")</f>
        <v/>
      </c>
      <c r="EJ12" s="12" t="str">
        <f>IF(SUM(DR12:DS12,DU12:DW12,DY12)-SUM(DT12,DX12)&gt;0,SUM(DR12:DS12,DU12:DW12,DY12)-SUM(DT12,DX12),"")</f>
        <v/>
      </c>
      <c r="EK12" s="12" t="str">
        <f>IF(SUM(DJ12:DK12,DM12:DO12,DQ12:DS12,DU12:DW12,DY12)-SUM(DL12,DP12,DT12,DX12)&gt;0,SUM(DJ12:DK12,DM12:DO12,DQ12:DS12,DU12:DW12,DY12)-SUM(DL12,DP12,DT12,DX12),"")</f>
        <v/>
      </c>
      <c r="EL12" s="12" t="str">
        <f>IF(SUM(DZ12:EA12,EC12:EE12,EG12)-SUM(EB12,EF12)&gt;0,SUM(DZ12:EA12,EC12:EE12,EG12)-SUM(EB12,EF12),"")</f>
        <v/>
      </c>
      <c r="EM12" s="12" t="str">
        <f>IF(SUM(EK12,EL12)&gt;0,SUM(EK12,EL12),"")</f>
        <v/>
      </c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  <c r="FF12" s="50"/>
      <c r="FG12" s="50"/>
      <c r="FH12" s="50"/>
      <c r="FI12" s="50"/>
      <c r="FJ12" s="50"/>
      <c r="FK12" s="50"/>
      <c r="FL12" s="15" t="str">
        <f>IF(SUM(EO12,ES12,EW12,FA12)&gt;0,SUM(EO12,ES12,EW12,FA12),"")</f>
        <v/>
      </c>
      <c r="FM12" s="15" t="str">
        <f>IF(SUM(EN12:EO12,EQ12:ES12,EU12)-SUM(EP12,ET12)&gt;0,SUM(EN12:EO12,EQ12:ES12,EU12)-SUM(EP12,ET12),"")</f>
        <v/>
      </c>
      <c r="FN12" s="15" t="str">
        <f>IF(SUM(EV12:EW12,EY12:FA12,FC12)-SUM(EX12,FB12)&gt;0,SUM(EV12:EW12,EY12:FA12,FC12)-SUM(EX12,FB12),"")</f>
        <v/>
      </c>
      <c r="FO12" s="15" t="str">
        <f>IF(SUM(EN12:EO12,EQ12:ES12,EU12:EW12,EY12:FA12,FC12)-SUM(EP12,ET12,EX12,FB12)&gt;0,SUM(EN12:EO12,EQ12:ES12,EU12:EW12,EY12:FA12,FC12)-SUM(EP12,ET12,EX12,FB12),"")</f>
        <v/>
      </c>
      <c r="FP12" s="15" t="str">
        <f>IF(SUM(FD12:FE12,FG12:FI12,FK12)-SUM(FF12,FJ12)&gt;0,SUM(FD12:FE12,FG12:FI12,FK12)-SUM(FF12,FJ12),"")</f>
        <v/>
      </c>
      <c r="FQ12" s="15" t="str">
        <f>IF(SUM(FO12,FP12)&gt;0,SUM(FO12,FP12),"")</f>
        <v/>
      </c>
      <c r="FR12" s="51"/>
      <c r="FS12" s="51"/>
      <c r="FT12" s="51"/>
      <c r="FU12" s="51"/>
      <c r="FV12" s="51"/>
      <c r="FW12" s="51"/>
      <c r="FX12" s="51"/>
      <c r="FY12" s="51"/>
      <c r="FZ12" s="51"/>
      <c r="GA12" s="51"/>
      <c r="GB12" s="51"/>
      <c r="GC12" s="51"/>
      <c r="GD12" s="51"/>
      <c r="GE12" s="51"/>
      <c r="GF12" s="51"/>
      <c r="GG12" s="51"/>
      <c r="GH12" s="51"/>
      <c r="GI12" s="51"/>
      <c r="GJ12" s="51"/>
      <c r="GK12" s="51"/>
      <c r="GL12" s="51"/>
      <c r="GM12" s="51"/>
      <c r="GN12" s="51"/>
      <c r="GO12" s="51"/>
      <c r="GP12" s="12" t="str">
        <f>IF(SUM(FS12,FW12,GA12,GE12)&gt;0,SUM(FS12,FW12,GA12,GE12),"")</f>
        <v/>
      </c>
      <c r="GQ12" s="12" t="str">
        <f>IF(SUM(FR12:FS12,FU12:FW12,FY12)-SUM(FT12,FX12)&gt;0,SUM(FR12:FS12,FU12:FW12,FY12)-SUM(FT12,FX12),"")</f>
        <v/>
      </c>
      <c r="GR12" s="12" t="str">
        <f>IF(SUM(FZ12:GA12,GC12:GE12,GG12)-SUM(GB12,GF12)&gt;0,SUM(FZ12:GA12,GC12:GE12,GG12)-SUM(GB12,GF12),"")</f>
        <v/>
      </c>
      <c r="GS12" s="12" t="str">
        <f>IF(SUM(FR12:FS12,FU12:FW12,FY12:GA12,GC12:GE12,GG12)-SUM(FT12,FX12,GB12,GF12)&gt;0,SUM(FR12:FS12,FU12:FW12,FY12:GA12,GC12:GE12,GG12)-SUM(FT12,FX12,GB12,GF12),"")</f>
        <v/>
      </c>
      <c r="GT12" s="12" t="str">
        <f>IF(SUM(GH12:GI12,GK12:GM12,GO12)-SUM(GJ12,GN12)&gt;0,SUM(GH12:GI12,GK12:GM12,GO12)-SUM(GJ12,GN12),"")</f>
        <v/>
      </c>
      <c r="GU12" s="12" t="str">
        <f>IF(SUM(GS12,GT12)&gt;0,SUM(GS12,GT12),"")</f>
        <v/>
      </c>
      <c r="GV12" s="50"/>
      <c r="GW12" s="50"/>
      <c r="GX12" s="50"/>
      <c r="GY12" s="50"/>
      <c r="GZ12" s="50"/>
      <c r="HA12" s="50"/>
      <c r="HB12" s="50"/>
      <c r="HC12" s="50"/>
      <c r="HD12" s="50"/>
      <c r="HE12" s="50"/>
      <c r="HF12" s="50"/>
      <c r="HG12" s="50"/>
      <c r="HH12" s="50"/>
      <c r="HI12" s="50"/>
      <c r="HJ12" s="50"/>
      <c r="HK12" s="50"/>
      <c r="HL12" s="50"/>
      <c r="HM12" s="50"/>
      <c r="HN12" s="50"/>
      <c r="HO12" s="50"/>
      <c r="HP12" s="50"/>
      <c r="HQ12" s="50"/>
      <c r="HR12" s="50"/>
      <c r="HS12" s="50"/>
      <c r="HT12" s="15" t="str">
        <f>IF(SUM(GW12,HA12,HE12,HI12)&gt;0,SUM(GW12,HA12,HE12,HI12),"")</f>
        <v/>
      </c>
      <c r="HU12" s="15" t="str">
        <f>IF(SUM(GV12:GW12,GY12:HA12,HC12)-SUM(GX12,HB12)&gt;0,SUM(GV12:GW12,GY12:HA12,HC12)-SUM(GX12,HB12),"")</f>
        <v/>
      </c>
      <c r="HV12" s="15" t="str">
        <f>IF(SUM(HD12:HE12,HG12:HI12,HK12)-SUM(HF12,HJ12)&gt;0,SUM(HD12:HE12,HG12:HI12,HK12)-SUM(HF12,HJ12),"")</f>
        <v/>
      </c>
      <c r="HW12" s="15" t="str">
        <f>IF(SUM(GV12:GW12,GY12:HA12,HC12:HE12,HG12:HI12,HK12)-SUM(GX12,HB12,HF12,HJ12)&gt;0,SUM(GV12:GW12,GY12:HA12,HC12:HE12,HG12:HI12,HK12)-SUM(GX12,HB12,HF12,HJ12),"")</f>
        <v/>
      </c>
      <c r="HX12" s="15" t="str">
        <f>IF(SUM(HL12:HM12,HO12:HQ12,HS12)-SUM(HN12,HR12)&gt;0,SUM(HL12:HM12,HO12:HQ12,HS12)-SUM(HN12,HR12),"")</f>
        <v/>
      </c>
      <c r="HY12" s="15" t="str">
        <f>IF(SUM(HW12,HX12)&gt;0,SUM(HW12,HX12),"")</f>
        <v/>
      </c>
      <c r="HZ12" s="51"/>
      <c r="IA12" s="51"/>
      <c r="IB12" s="51"/>
      <c r="IC12" s="51"/>
      <c r="ID12" s="51"/>
      <c r="IE12" s="51"/>
      <c r="IF12" s="51"/>
      <c r="IG12" s="51"/>
      <c r="IH12" s="51"/>
      <c r="II12" s="51"/>
      <c r="IJ12" s="51"/>
      <c r="IK12" s="51"/>
      <c r="IL12" s="51"/>
      <c r="IM12" s="51"/>
      <c r="IN12" s="51"/>
      <c r="IO12" s="51"/>
      <c r="IP12" s="51"/>
      <c r="IQ12" s="51"/>
      <c r="IR12" s="51"/>
      <c r="IS12" s="51"/>
      <c r="IT12" s="51"/>
      <c r="IU12" s="51"/>
      <c r="IV12" s="51"/>
      <c r="IW12" s="51"/>
      <c r="IX12" s="12" t="str">
        <f>IF(SUM(IA12,IE12,II12,IM12)&gt;0,SUM(IA12,IE12,II12,IM12),"")</f>
        <v/>
      </c>
      <c r="IY12" s="12" t="str">
        <f>IF(SUM(HZ12:IA12,IC12:IE12,IG12)-SUM(IB12,IF12)&gt;0,SUM(HZ12:IA12,IC12:IE12,IG12)-SUM(IB12,IF12),"")</f>
        <v/>
      </c>
      <c r="IZ12" s="12" t="str">
        <f>IF(SUM(IH12:II12,IK12:IM12,IO12)-SUM(IJ12,IN12)&gt;0,SUM(IH12:II12,IK12:IM12,IO12)-SUM(IJ12,IN12),"")</f>
        <v/>
      </c>
      <c r="JA12" s="12" t="str">
        <f>IF(SUM(HZ12:IA12,IC12:IE12,IG12:II12,IK12:IM12,IO12)-SUM(IB12,IF12,IJ12,IN12)&gt;0,SUM(HZ12:IA12,IC12:IE12,IG12:II12,IK12:IM12,IO12)-SUM(IB12,IF12,IJ12,IN12),"")</f>
        <v/>
      </c>
      <c r="JB12" s="12" t="str">
        <f>IF(SUM(IP12:IQ12,IS12:IU12,IW12)-SUM(IR12,IV12)&gt;0,SUM(IP12:IQ12,IS12:IU12,IW12)-SUM(IR12,IV12),"")</f>
        <v/>
      </c>
      <c r="JC12" s="12" t="str">
        <f>IF(SUM(JA12,JB12)&gt;0,SUM(JA12,JB12),"")</f>
        <v/>
      </c>
      <c r="JD12" s="50"/>
      <c r="JE12" s="50"/>
      <c r="JF12" s="50"/>
      <c r="JG12" s="50"/>
      <c r="JH12" s="50"/>
      <c r="JI12" s="50"/>
      <c r="JJ12" s="50"/>
      <c r="JK12" s="50"/>
      <c r="JL12" s="50"/>
      <c r="JM12" s="50"/>
      <c r="JN12" s="50"/>
      <c r="JO12" s="50"/>
      <c r="JP12" s="50"/>
      <c r="JQ12" s="50"/>
      <c r="JR12" s="50"/>
      <c r="JS12" s="50"/>
      <c r="JT12" s="50"/>
      <c r="JU12" s="50"/>
      <c r="JV12" s="50"/>
      <c r="JW12" s="50"/>
      <c r="JX12" s="50"/>
      <c r="JY12" s="50"/>
      <c r="JZ12" s="50"/>
      <c r="KA12" s="50"/>
      <c r="KB12" s="15" t="str">
        <f>IF(SUM(JE12,JI12,JM12,JQ12)&gt;0,SUM(JE12,JI12,JM12,JQ12),"")</f>
        <v/>
      </c>
      <c r="KC12" s="15" t="str">
        <f>IF(SUM(JD12:JE12,JG12:JI12,JK12)-SUM(JF12,JJ12)&gt;0,SUM(JD12:JE12,JG12:JI12,JK12)-SUM(JF12,JJ12),"")</f>
        <v/>
      </c>
      <c r="KD12" s="15" t="str">
        <f>IF(SUM(JL12:JM12,JO12:JQ12,JS12)-SUM(JN12,JR12)&gt;0,SUM(JL12:JM12,JO12:JQ12,JS12)-SUM(JN12,JR12),"")</f>
        <v/>
      </c>
      <c r="KE12" s="15" t="str">
        <f>IF(SUM(JD12:JE12,JG12:JI12,JK12:JM12,JO12:JQ12,JS12)-SUM(JF12,JJ12,JN12,JR12)&gt;0,SUM(JD12:JE12,JG12:JI12,JK12:JM12,JO12:JQ12,JS12)-SUM(JF12,JJ12,JN12,JR12),"")</f>
        <v/>
      </c>
      <c r="KF12" s="15" t="str">
        <f>IF(SUM(JT12:JU12,JW12:JY12,KA12)-SUM(JV12,JZ12)&gt;0,SUM(JT12:JU12,JW12:JY12,KA12)-SUM(JV12,JZ12),"")</f>
        <v/>
      </c>
      <c r="KG12" s="15" t="str">
        <f>IF(SUM(KE12,KF12)&gt;0,SUM(KE12,KF12),"")</f>
        <v/>
      </c>
      <c r="KH12" s="51"/>
      <c r="KI12" s="51"/>
      <c r="KJ12" s="51"/>
      <c r="KK12" s="51"/>
      <c r="KL12" s="51"/>
      <c r="KM12" s="51"/>
      <c r="KN12" s="51"/>
      <c r="KO12" s="51"/>
      <c r="KP12" s="51"/>
      <c r="KQ12" s="51"/>
      <c r="KR12" s="51"/>
      <c r="KS12" s="51"/>
      <c r="KT12" s="51"/>
      <c r="KU12" s="51"/>
      <c r="KV12" s="51"/>
      <c r="KW12" s="51"/>
      <c r="KX12" s="51"/>
      <c r="KY12" s="51"/>
      <c r="KZ12" s="51"/>
      <c r="LA12" s="51"/>
      <c r="LB12" s="51"/>
      <c r="LC12" s="51"/>
      <c r="LD12" s="51"/>
      <c r="LE12" s="51"/>
      <c r="LF12" s="12" t="str">
        <f>IF(SUM(KI12,KM12,KQ12,KU12)&gt;0,SUM(KI12,KM12,KQ12,KU12),"")</f>
        <v/>
      </c>
      <c r="LG12" s="12" t="str">
        <f>IF(SUM(KH12:KI12,KK12:KM12,KO12)-SUM(KJ12,KN12)&gt;0,SUM(KH12:KI12,KK12:KM12,KO12)-SUM(KJ12,KN12),"")</f>
        <v/>
      </c>
      <c r="LH12" s="12" t="str">
        <f>IF(SUM(KP12:KQ12,KS12:KU12,KW12)-SUM(KR12,KV12)&gt;0,SUM(KP12:KQ12,KS12:KU12,KW12)-SUM(KR12,KV12),"")</f>
        <v/>
      </c>
      <c r="LI12" s="12" t="str">
        <f>IF(SUM(KH12:KI12,KK12:KM12,KO12:KQ12,KS12:KU12,KW12)-SUM(KJ12,KN12,KR12,KV12)&gt;0,SUM(KH12:KI12,KK12:KM12,KO12:KQ12,KS12:KU12,KW12)-SUM(KJ12,KN12,KR12,KV12),"")</f>
        <v/>
      </c>
      <c r="LJ12" s="12" t="str">
        <f>IF(SUM(KX12:KY12,LA12:LC12,LE12)-SUM(KZ12,LD12)&gt;0,SUM(KX12:KY12,LA12:LC12,LE12)-SUM(KZ12,LD12),"")</f>
        <v/>
      </c>
      <c r="LK12" s="12" t="str">
        <f>IF(SUM(LI12,LJ12)&gt;0,SUM(LI12,LJ12),"")</f>
        <v/>
      </c>
      <c r="LL12" s="50"/>
      <c r="LM12" s="50"/>
      <c r="LN12" s="50"/>
      <c r="LO12" s="50"/>
      <c r="LP12" s="50"/>
      <c r="LQ12" s="50"/>
      <c r="LR12" s="50"/>
      <c r="LS12" s="50"/>
      <c r="LT12" s="50"/>
      <c r="LU12" s="50"/>
      <c r="LV12" s="50"/>
      <c r="LW12" s="50"/>
      <c r="LX12" s="50"/>
      <c r="LY12" s="50"/>
      <c r="LZ12" s="50"/>
      <c r="MA12" s="50"/>
      <c r="MB12" s="50"/>
      <c r="MC12" s="50"/>
      <c r="MD12" s="50"/>
      <c r="ME12" s="50"/>
      <c r="MF12" s="50"/>
      <c r="MG12" s="50"/>
      <c r="MH12" s="50"/>
      <c r="MI12" s="50"/>
      <c r="MJ12" s="15" t="str">
        <f>IF(SUM(LM12,LQ12,LU12,LY12)&gt;0,SUM(LM12,LQ12,LU12,LY12),"")</f>
        <v/>
      </c>
      <c r="MK12" s="15" t="str">
        <f>IF(SUM(LL12:LM12,LO12:LQ12,LS12)-SUM(LN12,LR12)&gt;0,SUM(LL12:LM12,LO12:LQ12,LS12)-SUM(LN12,LR12),"")</f>
        <v/>
      </c>
      <c r="ML12" s="15" t="str">
        <f>IF(SUM(LT12:LU12,LW12:LY12,MA12)-SUM(LV12,LZ12)&gt;0,SUM(LT12:LU12,LW12:LY12,MA12)-SUM(LV12,LZ12),"")</f>
        <v/>
      </c>
      <c r="MM12" s="15" t="str">
        <f>IF(SUM(LL12:LM12,LO12:LQ12,LS12:LU12,LW12:LY12,MA12)-SUM(LN12,LR12,LV12,LZ12)&gt;0,SUM(LL12:LM12,LO12:LQ12,LS12:LU12,LW12:LY12,MA12)-SUM(LN12,LR12,LV12,LZ12),"")</f>
        <v/>
      </c>
      <c r="MN12" s="15" t="str">
        <f>IF(SUM(MB12:MC12,ME12:MG12,MI12)-SUM(MD12,MH12)&gt;0,SUM(MB12:MC12,ME12:MG12,MI12)-SUM(MD12,MH12),"")</f>
        <v/>
      </c>
      <c r="MO12" s="15" t="str">
        <f>IF(SUM(MM12,MN12)&gt;0,SUM(MM12,MN12),"")</f>
        <v/>
      </c>
      <c r="MP12" s="51"/>
      <c r="MQ12" s="51"/>
      <c r="MR12" s="51"/>
      <c r="MS12" s="51"/>
      <c r="MT12" s="51"/>
      <c r="MU12" s="51"/>
      <c r="MV12" s="51"/>
      <c r="MW12" s="51"/>
      <c r="MX12" s="51"/>
      <c r="MY12" s="51"/>
      <c r="MZ12" s="51"/>
      <c r="NA12" s="51"/>
      <c r="NB12" s="51"/>
      <c r="NC12" s="51"/>
      <c r="ND12" s="51"/>
      <c r="NE12" s="51"/>
      <c r="NF12" s="51"/>
      <c r="NG12" s="51"/>
      <c r="NH12" s="51"/>
      <c r="NI12" s="51"/>
      <c r="NJ12" s="51"/>
      <c r="NK12" s="51"/>
      <c r="NL12" s="51"/>
      <c r="NM12" s="51"/>
      <c r="NN12" s="12" t="str">
        <f>IF(SUM(MQ12,MU12,MY12,NC12)&gt;0,SUM(MQ12,MU12,MY12,NC12),"")</f>
        <v/>
      </c>
      <c r="NO12" s="12" t="str">
        <f>IF(SUM(MP12:MQ12,MS12:MU12,MW12)-SUM(MR12,MV12)&gt;0,SUM(MP12:MQ12,MS12:MU12,MW12)-SUM(MR12,MV12),"")</f>
        <v/>
      </c>
      <c r="NP12" s="12" t="str">
        <f>IF(SUM(MX12:MY12,NA12:NC12,NE12)-SUM(MZ12,ND12)&gt;0,SUM(MX12:MY12,NA12:NC12,NE12)-SUM(MZ12,ND12),"")</f>
        <v/>
      </c>
      <c r="NQ12" s="12" t="str">
        <f>IF(SUM(MP12:MQ12,MS12:MU12,MW12:MY12,NA12:NC12,NE12)-SUM(MR12,MV12,MZ12,ND12)&gt;0,SUM(MP12:MQ12,MS12:MU12,MW12:MY12,NA12:NC12,NE12)-SUM(MR12,MV12,MZ12,ND12),"")</f>
        <v/>
      </c>
      <c r="NR12" s="12" t="str">
        <f>IF(SUM(NF12:NG12,NI12:NK12,NM12)-SUM(NH12,NL12)&gt;0,SUM(NF12:NG12,NI12:NK12,NM12)-SUM(NH12,NL12),"")</f>
        <v/>
      </c>
      <c r="NS12" s="12" t="str">
        <f>IF(SUM(NQ12,NR12)&gt;0,SUM(NQ12,NR12),"")</f>
        <v/>
      </c>
      <c r="NT12" s="50"/>
      <c r="NU12" s="50"/>
      <c r="NV12" s="50"/>
      <c r="NW12" s="50"/>
      <c r="NX12" s="50"/>
      <c r="NY12" s="50"/>
      <c r="NZ12" s="50"/>
      <c r="OA12" s="50"/>
      <c r="OB12" s="50"/>
      <c r="OC12" s="50"/>
      <c r="OD12" s="50"/>
      <c r="OE12" s="50"/>
      <c r="OF12" s="50"/>
      <c r="OG12" s="50"/>
      <c r="OH12" s="50"/>
      <c r="OI12" s="50"/>
      <c r="OJ12" s="50"/>
      <c r="OK12" s="50"/>
      <c r="OL12" s="50"/>
      <c r="OM12" s="50"/>
      <c r="ON12" s="50"/>
      <c r="OO12" s="50"/>
      <c r="OP12" s="50"/>
      <c r="OQ12" s="50"/>
      <c r="OR12" s="15" t="str">
        <f>IF(SUM(NU12,NY12,OC12,OG12)&gt;0,SUM(NU12,NY12,OC12,OG12),"")</f>
        <v/>
      </c>
      <c r="OS12" s="15" t="str">
        <f>IF(SUM(NT12:NU12,NW12:NY12,OA12)-SUM(NV12,NZ12)&gt;0,SUM(NT12:NU12,NW12:NY12,OA12)-SUM(NV12,NZ12),"")</f>
        <v/>
      </c>
      <c r="OT12" s="15" t="str">
        <f>IF(SUM(OB12:OC12,OE12:OG12,OI12)-SUM(OD12,OH12)&gt;0,SUM(OB12:OC12,OE12:OG12,OI12)-SUM(OD12,OH12),"")</f>
        <v/>
      </c>
      <c r="OU12" s="15" t="str">
        <f>IF(SUM(NT12:NU12,NW12:NY12,OA12:OC12,OE12:OG12,OI12)-SUM(NV12,NZ12,OD12,OH12)&gt;0,SUM(NT12:NU12,NW12:NY12,OA12:OC12,OE12:OG12,OI12)-SUM(NV12,NZ12,OD12,OH12),"")</f>
        <v/>
      </c>
      <c r="OV12" s="15" t="str">
        <f>IF(SUM(OJ12:OK12,OM12:OO12,OQ12)-SUM(OL12,OP12)&gt;0,SUM(OJ12:OK12,OM12:OO12,OQ12)-SUM(OL12,OP12),"")</f>
        <v/>
      </c>
      <c r="OW12" s="15" t="str">
        <f>IF(SUM(OU12,OV12)&gt;0,SUM(OU12,OV12),"")</f>
        <v/>
      </c>
      <c r="OX12" s="51"/>
      <c r="OY12" s="51"/>
      <c r="OZ12" s="51"/>
      <c r="PA12" s="51"/>
      <c r="PB12" s="51"/>
      <c r="PC12" s="51"/>
      <c r="PD12" s="51"/>
      <c r="PE12" s="51"/>
      <c r="PF12" s="51"/>
      <c r="PG12" s="51"/>
      <c r="PH12" s="51"/>
      <c r="PI12" s="51"/>
      <c r="PJ12" s="51"/>
      <c r="PK12" s="51"/>
      <c r="PL12" s="51"/>
      <c r="PM12" s="51"/>
      <c r="PN12" s="51"/>
      <c r="PO12" s="51"/>
      <c r="PP12" s="51"/>
      <c r="PQ12" s="51"/>
      <c r="PR12" s="51"/>
      <c r="PS12" s="51"/>
      <c r="PT12" s="51"/>
      <c r="PU12" s="51"/>
      <c r="PV12" s="12" t="str">
        <f>IF(SUM(OY12,PC12,PG12,PK12)&gt;0,SUM(OY12,PC12,PG12,PK12),"")</f>
        <v/>
      </c>
      <c r="PW12" s="12" t="str">
        <f>IF(SUM(OX12:OY12,PA12:PC12,PE12)-SUM(OZ12,PD12)&gt;0,SUM(OX12:OY12,PA12:PC12,PE12)-SUM(OZ12,PD12),"")</f>
        <v/>
      </c>
      <c r="PX12" s="12" t="str">
        <f>IF(SUM(PF12:PG12,PI12:PK12,PM12)-SUM(PH12,PL12)&gt;0,SUM(PF12:PG12,PI12:PK12,PM12)-SUM(PH12,PL12),"")</f>
        <v/>
      </c>
      <c r="PY12" s="12" t="str">
        <f>IF(SUM(OX12:OY12,PA12:PC12,PE12:PG12,PI12:PK12,PM12)-SUM(OZ12,PD12,PH12,PL12)&gt;0,SUM(OX12:OY12,PA12:PC12,PE12:PG12,PI12:PK12,PM12)-SUM(OZ12,PD12,PH12,PL12),"")</f>
        <v/>
      </c>
      <c r="PZ12" s="12" t="str">
        <f>IF(SUM(PN12:PO12,PQ12:PS12,PU12)-SUM(PP12,PT12)&gt;0,SUM(PN12:PO12,PQ12:PS12,PU12)-SUM(PP12,PT12),"")</f>
        <v/>
      </c>
      <c r="QA12" s="12" t="str">
        <f>IF(SUM(PY12,PZ12)&gt;0,SUM(PY12,PZ12),"")</f>
        <v/>
      </c>
      <c r="QB12" s="50"/>
      <c r="QC12" s="50"/>
      <c r="QD12" s="50"/>
      <c r="QE12" s="50"/>
      <c r="QF12" s="50"/>
      <c r="QG12" s="50"/>
      <c r="QH12" s="50"/>
      <c r="QI12" s="50"/>
      <c r="QJ12" s="50"/>
      <c r="QK12" s="50"/>
      <c r="QL12" s="50"/>
      <c r="QM12" s="50"/>
      <c r="QN12" s="50"/>
      <c r="QO12" s="50"/>
      <c r="QP12" s="50"/>
      <c r="QQ12" s="50"/>
      <c r="QR12" s="50"/>
      <c r="QS12" s="50"/>
      <c r="QT12" s="50"/>
      <c r="QU12" s="50"/>
      <c r="QV12" s="50"/>
      <c r="QW12" s="50"/>
      <c r="QX12" s="50"/>
      <c r="QY12" s="50"/>
      <c r="QZ12" s="15" t="str">
        <f>IF(SUM(QC12,QG12,QK12,QO12)&gt;0,SUM(QC12,QG12,QK12,QO12),"")</f>
        <v/>
      </c>
      <c r="RA12" s="15" t="str">
        <f>IF(SUM(QB12:QC12,QE12:QG12,QI12)-SUM(QD12,QH12)&gt;0,SUM(QB12:QC12,QE12:QG12,QI12)-SUM(QD12,QH12),"")</f>
        <v/>
      </c>
      <c r="RB12" s="15" t="str">
        <f>IF(SUM(QJ12:QK12,QM12:QO12,QQ12)-SUM(QL12,QP12)&gt;0,SUM(QJ12:QK12,QM12:QO12,QQ12)-SUM(QL12,QP12),"")</f>
        <v/>
      </c>
      <c r="RC12" s="15" t="str">
        <f>IF(SUM(QB12:QC12,QE12:QG12,QI12:QK12,QM12:QO12,QQ12)-SUM(QD12,QH12,QL12,QP12)&gt;0,SUM(QB12:QC12,QE12:QG12,QI12:QK12,QM12:QO12,QQ12)-SUM(QD12,QH12,QL12,QP12),"")</f>
        <v/>
      </c>
      <c r="RD12" s="15" t="str">
        <f>IF(SUM(QR12:QS12,QU12:QW12,QY12)-SUM(QT12,QX12)&gt;0,SUM(QR12:QS12,QU12:QW12,QY12)-SUM(QT12,QX12),"")</f>
        <v/>
      </c>
      <c r="RE12" s="15" t="str">
        <f>IF(SUM(RC12,RD12)&gt;0,SUM(RC12,RD12),"")</f>
        <v/>
      </c>
    </row>
    <row r="13" spans="1:473">
      <c r="A13" s="6" t="str">
        <f>IF(AND(F13="P",H13="P"),SUMPRODUCT((F$4:F$14="P")*(H$4:H$14="P")*(E$4:E$14&gt;E13))+1,IF(H13="P",SUMPRODUCT((F$4:F$14="")*(H$4:H$14="P")*(E$4:E$14&gt;E13))+1+SUMPRODUCT((F$4:F$14="P")*(H$4:H$14="P")),""))</f>
        <v/>
      </c>
      <c r="B13" s="9" t="s">
        <v>100</v>
      </c>
      <c r="C13" s="5" t="s">
        <v>5</v>
      </c>
      <c r="D13" s="6">
        <v>2000</v>
      </c>
      <c r="E13" s="16">
        <f>SUM(J13:R13)</f>
        <v>110.89999999999999</v>
      </c>
      <c r="F13" s="4" t="str">
        <f>IF(OR(AND($AS13&gt;=$AT$17,NOT($AS13="")),AND($BW13&gt;=$BX$17,NOT($BW13="")),AND($DA13&gt;=$DB$17,NOT($DA13=""))),"P","")</f>
        <v/>
      </c>
      <c r="G13" s="4" t="str">
        <f>IF(OR(AND($AS13&gt;=$AT$18,NOT($AS13="")),AND($BW13&gt;=$BX$18,NOT($BW13="")),AND($DA13&gt;=$DB$18,NOT($DA13=""))),"P","")</f>
        <v/>
      </c>
      <c r="H13" s="4" t="str">
        <f>IF(OR(AND($AV13&gt;=$AT$19,NOT($AV13="")),AND($BZ13&gt;=$BX$19,NOT($BZ13="")),AND($DD13&gt;=$DB$19,NOT($DD13=""))),"P","")</f>
        <v/>
      </c>
      <c r="I13" t="str">
        <f>IF(AND(F13="P",OR(AND($AV13&gt;=$AT$22,NOT($AV13="")),AND($BZ13&gt;=$BX$22,NOT($BZ13="")),AND($DD13&gt;=$DB$22,NOT($DD13="")))),"Merit",IF(AND(F13="P",OR(AND($AV13&gt;=$AT$21,NOT($AV13="")),AND($BZ13&gt;=$BX$21,NOT($BZ13="")),AND($DD13&gt;=$DB$21,NOT($DD13="")))),"Funding",IF(AND(F13="P",OR(AND($AV13&gt;=$AT$20,NOT($AV13="")),AND($BZ13&gt;=$BX$20,NOT($BZ13="")),AND($DD13&gt;=$DB$20,NOT($DD13="")))),"Worlds Team",IF(AND(F13="P",OR(AND($AV13&gt;=$AT$19,NOT($AV13="")),AND($BZ13&gt;=$BX$19,NOT($BZ13="")),AND($DD13&gt;=$DB$19,NOT($DD13="")))),"National Team",""))))</f>
        <v/>
      </c>
      <c r="J13" s="15">
        <f>MAX(AV13,BZ13,DD13)</f>
        <v>110.89999999999999</v>
      </c>
      <c r="K13" s="15" t="str">
        <f>IF(J13=DD13,$CC$1,IF(J13=BZ13,$AY$1,IF(J13=AV13,$U$1,"")))</f>
        <v>2018 Canada Cup</v>
      </c>
      <c r="L13" s="15">
        <f>IF($J13=$AV13,MAX(BX13,DB13),IF($J13=$BZ13,MAX(AT13,DB13),MAX(AT13,BX13)))</f>
        <v>0</v>
      </c>
      <c r="M13" s="15" t="str">
        <f>IF(L13=DB13,$CC$1,IF(L13=BX13,$AY$1,IF(L13=AT13,$U$1,"")))</f>
        <v/>
      </c>
      <c r="N13" s="15">
        <f>IF($J13=$AV13,MAX(BY13,DC13),IF($J13=$BZ13,MAX(AU13,DC13),MAX(AU13,BY13)))</f>
        <v>0</v>
      </c>
      <c r="O13" s="15" t="str">
        <f>IF(N13=DC13,$CC$1,IF(N13=BY13,$AY$1,IF(N13=AU13,$U$1,"")))</f>
        <v/>
      </c>
      <c r="P13" s="15">
        <f>MAX(AW13,CA13,DE13)</f>
        <v>0</v>
      </c>
      <c r="Q13" s="15" t="str">
        <f>IF(P13=DE13,$CC$1,IF(P13=CA13,$AY$1,IF(P13=AW13,$U$1,"")))</f>
        <v/>
      </c>
      <c r="R13" s="15" t="str">
        <f>IF(MAX(DG13:DI13)&gt;0,MAX(DG13:DI13),"")</f>
        <v/>
      </c>
      <c r="S13" s="29" t="str">
        <f>IF(R13="","",IF(R13=DG13,"(Pass 1-2)",IF(R13=DH13,"(Pass 3-4)",IF(R13=DI13,"(Final)"))))</f>
        <v/>
      </c>
      <c r="T13" s="15" t="str">
        <f>IF(R13="","",IF(R13=DG13,IF(R13+L13=RA13,$QB$1,IF(R13+L13=PW13,$OX$1,IF(R13+L13=OS13,$NT$1,IF(R13+L13=NO13,$MP$1,IF(R13+L13=MK13,$LL$1,IF(R13+L13=LG13,$KH$1,IF(R13+L13=KC13,$JD$1,IF(R13+L13=IY13,$HZ$1,IF(R13+L13=HU13,$GV$1,IF(R13+L13=GQ13,$FR$1,IF(R13+L13=FM13,$EN$1,IF(R13+L13=EI13,$DJ$1)))))))))))),IF(R13=DH13,IF(R13+N13=RB13,$QB$1,IF(R13+N13=PX13,$OX$1,IF(R13+N13=OT13,$NT$1,IF(R13+N13=NP13,$MP$1,IF(R13+N13=ML13,$LL$1,IF(R13+N13=LH13,$KH$1,IF(R13+N13=KD13,$JD$1,IF(R13+N13=IZ13,$HZ$1,IF(R13+N13=HV13,$GV$1,IF(R13+N13=GR13,$FR$1,IF(R13+N13=FN13,$EN$1,IF(R13+N13=EJ13,$DJ$1)))))))))))),IF(R13=DI13,IF(R13+P13=RD13,$QB$1,IF(R13+P13=PZ13,$OX$1,IF(R13+P13=OV13,$NT$1,IF(R13+P13=NR13,$MP$1,IF(R13+P13=MN13,$LL$1,IF(R13+P13=LJ13,$KH$1,IF(R13+P13=KF13,$JD$1,IF(R13+P13=JB13,$HZ$1,IF(R13+P13=HX13,$GV$1,IF(R13+P13=GT13,$FR$1,IF(R13+P13=FP13,$EN$1,IF(R13+P13=EL13,$DJ$1))))))))))))))))</f>
        <v/>
      </c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12" t="str">
        <f>IF(SUM(V13,Z13,AD13,AH13)&gt;0,SUM(V13,Z13,AD13,AH13),"")</f>
        <v/>
      </c>
      <c r="AT13" s="12" t="str">
        <f>IF(SUM(U13:V13,X13:Z13,AB13)-SUM(W13,AA13)&gt;0,SUM(U13:V13,X13:Z13,AB13)-SUM(W13,AA13),"")</f>
        <v/>
      </c>
      <c r="AU13" s="12" t="str">
        <f>IF(SUM(AC13:AD13,AF13:AH13,AJ13)-SUM(AE13,AI13)&gt;0,SUM(AC13:AD13,AF13:AH13,AJ13)-SUM(AE13,AI13),"")</f>
        <v/>
      </c>
      <c r="AV13" s="12" t="str">
        <f>IF(SUM(U13:V13,X13:Z13,AB13:AD13,AF13:AH13,AJ13)-SUM(W13,AA13,AE13,AI13)&gt;0,SUM(U13:V13,X13:Z13,AB13:AD13,AF13:AH13,AJ13)-SUM(W13,AA13,AE13,AI13),"")</f>
        <v/>
      </c>
      <c r="AW13" s="12" t="str">
        <f>IF(SUM(AK13:AL13,AN13:AP13,AR13)-SUM(AM13,AQ13)&gt;0,SUM(AK13:AL13,AN13:AP13,AR13)-SUM(AM13,AQ13),"")</f>
        <v/>
      </c>
      <c r="AX13" s="12" t="str">
        <f>IF(SUM(AV13,AW13)&gt;0,SUM(AV13,AW13),"")</f>
        <v/>
      </c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15" t="str">
        <f>IF(SUM(AZ13,BD13,BH13,BL13)&gt;0,SUM(AZ13,BD13,BH13,BL13),"")</f>
        <v/>
      </c>
      <c r="BX13" s="15" t="str">
        <f>IF(SUM(AY13:AZ13,BB13:BD13,BF13)-SUM(BA13,BE13)&gt;0,SUM(AY13:AZ13,BB13:BD13,BF13)-SUM(BA13,BE13),"")</f>
        <v/>
      </c>
      <c r="BY13" s="15" t="str">
        <f>IF(SUM(BG13:BH13,BJ13:BL13,BN13)-SUM(BI13,BM13)&gt;0,SUM(BG13:BH13,BJ13:BL13,BN13)-SUM(BI13,BM13),"")</f>
        <v/>
      </c>
      <c r="BZ13" s="15" t="str">
        <f>IF(SUM(AY13:AZ13,BB13:BD13,BF13:BH13,BJ13:BL13,BN13)-SUM(BA13,BE13,BI13,BM13)&gt;0,SUM(AY13:AZ13,BB13:BD13,BF13:BH13,BJ13:BL13,BN13)-SUM(BA13,BE13,BI13,BM13),"")</f>
        <v/>
      </c>
      <c r="CA13" s="15" t="str">
        <f>IF(SUM(BO13:BP13,BR13:BT13,BV13)-SUM(BQ13,BU13)&gt;0,SUM(BO13:BP13,BR13:BT13,BV13)-SUM(BQ13,BU13),"")</f>
        <v/>
      </c>
      <c r="CB13" s="15" t="str">
        <f>IF(SUM(BZ13,CA13)&gt;0,SUM(BZ13,CA13),"")</f>
        <v/>
      </c>
      <c r="CC13" s="45">
        <v>19.5</v>
      </c>
      <c r="CD13" s="45">
        <v>3.6</v>
      </c>
      <c r="CE13" s="45">
        <v>0</v>
      </c>
      <c r="CF13" s="45">
        <v>0</v>
      </c>
      <c r="CG13" s="45">
        <v>27.3</v>
      </c>
      <c r="CH13" s="45">
        <v>5.6</v>
      </c>
      <c r="CI13" s="45">
        <v>0.3</v>
      </c>
      <c r="CJ13" s="45">
        <v>0</v>
      </c>
      <c r="CK13" s="45">
        <v>19.5</v>
      </c>
      <c r="CL13" s="45">
        <v>3.2</v>
      </c>
      <c r="CM13" s="45">
        <v>0</v>
      </c>
      <c r="CN13" s="45">
        <v>0</v>
      </c>
      <c r="CO13" s="45">
        <v>27.4</v>
      </c>
      <c r="CP13" s="45">
        <v>6</v>
      </c>
      <c r="CQ13" s="45">
        <v>0.9</v>
      </c>
      <c r="CR13" s="45">
        <v>0</v>
      </c>
      <c r="CS13" s="45"/>
      <c r="CT13" s="45"/>
      <c r="CU13" s="45"/>
      <c r="CV13" s="45"/>
      <c r="CW13" s="45"/>
      <c r="CX13" s="45"/>
      <c r="CY13" s="45"/>
      <c r="CZ13" s="45"/>
      <c r="DA13" s="12">
        <f>IF(SUM(CD13,CH13,CL13,CP13)&gt;0,SUM(CD13,CH13,CL13,CP13),"")</f>
        <v>18.399999999999999</v>
      </c>
      <c r="DB13" s="12">
        <f>IF(SUM(CC13:CD13,CF13:CH13,CJ13)-SUM(CE13,CI13)&gt;0,SUM(CC13:CD13,CF13:CH13,CJ13)-SUM(CE13,CI13),"")</f>
        <v>55.70000000000001</v>
      </c>
      <c r="DC13" s="12">
        <f>IF(SUM(CK13:CL13,CN13:CP13,CR13)-SUM(CM13,CQ13)&gt;0,SUM(CK13:CL13,CN13:CP13,CR13)-SUM(CM13,CQ13),"")</f>
        <v>55.199999999999996</v>
      </c>
      <c r="DD13" s="12">
        <f>IF(SUM(CC13:CD13,CF13:CH13,CJ13:CL13,CN13:CP13,CR13)-SUM(CE13,CI13,CM13,CQ13)&gt;0,SUM(CC13:CD13,CF13:CH13,CJ13:CL13,CN13:CP13,CR13)-SUM(CE13,CI13,CM13,CQ13),"")</f>
        <v>110.89999999999999</v>
      </c>
      <c r="DE13" s="12" t="str">
        <f>IF(SUM(CS13:CT13,CV13:CX13,CZ13)-SUM(CU13,CY13)&gt;0,SUM(CS13:CT13,CV13:CX13,CZ13)-SUM(CU13,CY13),"")</f>
        <v/>
      </c>
      <c r="DF13" s="12">
        <f>IF(SUM(DD13,DE13)&gt;0,SUM(DD13,DE13),"")</f>
        <v>110.89999999999999</v>
      </c>
      <c r="DG13" s="28" t="str">
        <f>IF(MAX(EI13,FM13,GQ13,HU13,IY13,KC13,LG13,MK13,NO13,OS13,PW13,RA13)-L13&gt;0.001,MAX(EI13,FM13,GQ13,HU13,IY13,KC13,LG13,MK13,NO13,OS13,PW13,RA13)-L13,"")</f>
        <v/>
      </c>
      <c r="DH13" s="28" t="str">
        <f>IF(MAX(EJ13,FN13,GR13,HV13,IZ13,KD13,LH13,ML13,NP13,OT13,PX13,RB13)-N13&gt;0.001,MAX(EJ13,FN13,GR13,HV13,IZ13,KD13,LH13,ML13,NP13,OT13,PX13,RB13)-N13,"")</f>
        <v/>
      </c>
      <c r="DI13" s="28" t="str">
        <f>IF(MAX(EL13,FP13,GT13,HX13,JB13,KF13,LJ13,MN13,OV13,PZ13,RD13)-P13&gt;0.001,MAX(EL13,FP13,GT13,HX13,JB13,KF13,LJ13,MN13,OV13,PZ13,RD13)-P13,"")</f>
        <v/>
      </c>
      <c r="DJ13" s="45"/>
      <c r="DK13" s="45"/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12" t="str">
        <f>IF(SUM(DK13,DO13,DS13,DW13)&gt;0,SUM(DK13,DO13,DS13,DW13),"")</f>
        <v/>
      </c>
      <c r="EI13" s="12" t="str">
        <f>IF(SUM(DJ13:DK13,DM13:DO13,DQ13)-SUM(DL13,DP13)&gt;0,SUM(DJ13:DK13,DM13:DO13,DQ13)-SUM(DL13,DP13),"")</f>
        <v/>
      </c>
      <c r="EJ13" s="12" t="str">
        <f>IF(SUM(DR13:DS13,DU13:DW13,DY13)-SUM(DT13,DX13)&gt;0,SUM(DR13:DS13,DU13:DW13,DY13)-SUM(DT13,DX13),"")</f>
        <v/>
      </c>
      <c r="EK13" s="12" t="str">
        <f>IF(SUM(DJ13:DK13,DM13:DO13,DQ13:DS13,DU13:DW13,DY13)-SUM(DL13,DP13,DT13,DX13)&gt;0,SUM(DJ13:DK13,DM13:DO13,DQ13:DS13,DU13:DW13,DY13)-SUM(DL13,DP13,DT13,DX13),"")</f>
        <v/>
      </c>
      <c r="EL13" s="12" t="str">
        <f>IF(SUM(DZ13:EA13,EC13:EE13,EG13)-SUM(EB13,EF13)&gt;0,SUM(DZ13:EA13,EC13:EE13,EG13)-SUM(EB13,EF13),"")</f>
        <v/>
      </c>
      <c r="EM13" s="12" t="str">
        <f>IF(SUM(EK13,EL13)&gt;0,SUM(EK13,EL13),"")</f>
        <v/>
      </c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  <c r="FF13" s="50"/>
      <c r="FG13" s="50"/>
      <c r="FH13" s="50"/>
      <c r="FI13" s="50"/>
      <c r="FJ13" s="50"/>
      <c r="FK13" s="50"/>
      <c r="FL13" s="15" t="str">
        <f>IF(SUM(EO13,ES13,EW13,FA13)&gt;0,SUM(EO13,ES13,EW13,FA13),"")</f>
        <v/>
      </c>
      <c r="FM13" s="15" t="str">
        <f>IF(SUM(EN13:EO13,EQ13:ES13,EU13)-SUM(EP13,ET13)&gt;0,SUM(EN13:EO13,EQ13:ES13,EU13)-SUM(EP13,ET13),"")</f>
        <v/>
      </c>
      <c r="FN13" s="15" t="str">
        <f>IF(SUM(EV13:EW13,EY13:FA13,FC13)-SUM(EX13,FB13)&gt;0,SUM(EV13:EW13,EY13:FA13,FC13)-SUM(EX13,FB13),"")</f>
        <v/>
      </c>
      <c r="FO13" s="15" t="str">
        <f>IF(SUM(EN13:EO13,EQ13:ES13,EU13:EW13,EY13:FA13,FC13)-SUM(EP13,ET13,EX13,FB13)&gt;0,SUM(EN13:EO13,EQ13:ES13,EU13:EW13,EY13:FA13,FC13)-SUM(EP13,ET13,EX13,FB13),"")</f>
        <v/>
      </c>
      <c r="FP13" s="15" t="str">
        <f>IF(SUM(FD13:FE13,FG13:FI13,FK13)-SUM(FF13,FJ13)&gt;0,SUM(FD13:FE13,FG13:FI13,FK13)-SUM(FF13,FJ13),"")</f>
        <v/>
      </c>
      <c r="FQ13" s="15" t="str">
        <f>IF(SUM(FO13,FP13)&gt;0,SUM(FO13,FP13),"")</f>
        <v/>
      </c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12" t="str">
        <f>IF(SUM(FS13,FW13,GA13,GE13)&gt;0,SUM(FS13,FW13,GA13,GE13),"")</f>
        <v/>
      </c>
      <c r="GQ13" s="12" t="str">
        <f>IF(SUM(FR13:FS13,FU13:FW13,FY13)-SUM(FT13,FX13)&gt;0,SUM(FR13:FS13,FU13:FW13,FY13)-SUM(FT13,FX13),"")</f>
        <v/>
      </c>
      <c r="GR13" s="12" t="str">
        <f>IF(SUM(FZ13:GA13,GC13:GE13,GG13)-SUM(GB13,GF13)&gt;0,SUM(FZ13:GA13,GC13:GE13,GG13)-SUM(GB13,GF13),"")</f>
        <v/>
      </c>
      <c r="GS13" s="12" t="str">
        <f>IF(SUM(FR13:FS13,FU13:FW13,FY13:GA13,GC13:GE13,GG13)-SUM(FT13,FX13,GB13,GF13)&gt;0,SUM(FR13:FS13,FU13:FW13,FY13:GA13,GC13:GE13,GG13)-SUM(FT13,FX13,GB13,GF13),"")</f>
        <v/>
      </c>
      <c r="GT13" s="12" t="str">
        <f>IF(SUM(GH13:GI13,GK13:GM13,GO13)-SUM(GJ13,GN13)&gt;0,SUM(GH13:GI13,GK13:GM13,GO13)-SUM(GJ13,GN13),"")</f>
        <v/>
      </c>
      <c r="GU13" s="12" t="str">
        <f>IF(SUM(GS13,GT13)&gt;0,SUM(GS13,GT13),"")</f>
        <v/>
      </c>
      <c r="GV13" s="50"/>
      <c r="GW13" s="50"/>
      <c r="GX13" s="50"/>
      <c r="GY13" s="50"/>
      <c r="GZ13" s="50"/>
      <c r="HA13" s="50"/>
      <c r="HB13" s="50"/>
      <c r="HC13" s="50"/>
      <c r="HD13" s="50"/>
      <c r="HE13" s="50"/>
      <c r="HF13" s="50"/>
      <c r="HG13" s="50"/>
      <c r="HH13" s="50"/>
      <c r="HI13" s="50"/>
      <c r="HJ13" s="50"/>
      <c r="HK13" s="50"/>
      <c r="HL13" s="50"/>
      <c r="HM13" s="50"/>
      <c r="HN13" s="50"/>
      <c r="HO13" s="50"/>
      <c r="HP13" s="50"/>
      <c r="HQ13" s="50"/>
      <c r="HR13" s="50"/>
      <c r="HS13" s="50"/>
      <c r="HT13" s="15" t="str">
        <f>IF(SUM(GW13,HA13,HE13,HI13)&gt;0,SUM(GW13,HA13,HE13,HI13),"")</f>
        <v/>
      </c>
      <c r="HU13" s="15" t="str">
        <f>IF(SUM(GV13:GW13,GY13:HA13,HC13)-SUM(GX13,HB13)&gt;0,SUM(GV13:GW13,GY13:HA13,HC13)-SUM(GX13,HB13),"")</f>
        <v/>
      </c>
      <c r="HV13" s="15" t="str">
        <f>IF(SUM(HD13:HE13,HG13:HI13,HK13)-SUM(HF13,HJ13)&gt;0,SUM(HD13:HE13,HG13:HI13,HK13)-SUM(HF13,HJ13),"")</f>
        <v/>
      </c>
      <c r="HW13" s="15" t="str">
        <f>IF(SUM(GV13:GW13,GY13:HA13,HC13:HE13,HG13:HI13,HK13)-SUM(GX13,HB13,HF13,HJ13)&gt;0,SUM(GV13:GW13,GY13:HA13,HC13:HE13,HG13:HI13,HK13)-SUM(GX13,HB13,HF13,HJ13),"")</f>
        <v/>
      </c>
      <c r="HX13" s="15" t="str">
        <f>IF(SUM(HL13:HM13,HO13:HQ13,HS13)-SUM(HN13,HR13)&gt;0,SUM(HL13:HM13,HO13:HQ13,HS13)-SUM(HN13,HR13),"")</f>
        <v/>
      </c>
      <c r="HY13" s="15" t="str">
        <f>IF(SUM(HW13,HX13)&gt;0,SUM(HW13,HX13),"")</f>
        <v/>
      </c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12" t="str">
        <f>IF(SUM(IA13,IE13,II13,IM13)&gt;0,SUM(IA13,IE13,II13,IM13),"")</f>
        <v/>
      </c>
      <c r="IY13" s="12" t="str">
        <f>IF(SUM(HZ13:IA13,IC13:IE13,IG13)-SUM(IB13,IF13)&gt;0,SUM(HZ13:IA13,IC13:IE13,IG13)-SUM(IB13,IF13),"")</f>
        <v/>
      </c>
      <c r="IZ13" s="12" t="str">
        <f>IF(SUM(IH13:II13,IK13:IM13,IO13)-SUM(IJ13,IN13)&gt;0,SUM(IH13:II13,IK13:IM13,IO13)-SUM(IJ13,IN13),"")</f>
        <v/>
      </c>
      <c r="JA13" s="12" t="str">
        <f>IF(SUM(HZ13:IA13,IC13:IE13,IG13:II13,IK13:IM13,IO13)-SUM(IB13,IF13,IJ13,IN13)&gt;0,SUM(HZ13:IA13,IC13:IE13,IG13:II13,IK13:IM13,IO13)-SUM(IB13,IF13,IJ13,IN13),"")</f>
        <v/>
      </c>
      <c r="JB13" s="12" t="str">
        <f>IF(SUM(IP13:IQ13,IS13:IU13,IW13)-SUM(IR13,IV13)&gt;0,SUM(IP13:IQ13,IS13:IU13,IW13)-SUM(IR13,IV13),"")</f>
        <v/>
      </c>
      <c r="JC13" s="12" t="str">
        <f>IF(SUM(JA13,JB13)&gt;0,SUM(JA13,JB13),"")</f>
        <v/>
      </c>
      <c r="JD13" s="50"/>
      <c r="JE13" s="50"/>
      <c r="JF13" s="50"/>
      <c r="JG13" s="50"/>
      <c r="JH13" s="50"/>
      <c r="JI13" s="50"/>
      <c r="JJ13" s="50"/>
      <c r="JK13" s="50"/>
      <c r="JL13" s="50"/>
      <c r="JM13" s="50"/>
      <c r="JN13" s="50"/>
      <c r="JO13" s="50"/>
      <c r="JP13" s="50"/>
      <c r="JQ13" s="50"/>
      <c r="JR13" s="50"/>
      <c r="JS13" s="50"/>
      <c r="JT13" s="50"/>
      <c r="JU13" s="50"/>
      <c r="JV13" s="50"/>
      <c r="JW13" s="50"/>
      <c r="JX13" s="50"/>
      <c r="JY13" s="50"/>
      <c r="JZ13" s="50"/>
      <c r="KA13" s="50"/>
      <c r="KB13" s="15" t="str">
        <f>IF(SUM(JE13,JI13,JM13,JQ13)&gt;0,SUM(JE13,JI13,JM13,JQ13),"")</f>
        <v/>
      </c>
      <c r="KC13" s="15" t="str">
        <f>IF(SUM(JD13:JE13,JG13:JI13,JK13)-SUM(JF13,JJ13)&gt;0,SUM(JD13:JE13,JG13:JI13,JK13)-SUM(JF13,JJ13),"")</f>
        <v/>
      </c>
      <c r="KD13" s="15" t="str">
        <f>IF(SUM(JL13:JM13,JO13:JQ13,JS13)-SUM(JN13,JR13)&gt;0,SUM(JL13:JM13,JO13:JQ13,JS13)-SUM(JN13,JR13),"")</f>
        <v/>
      </c>
      <c r="KE13" s="15" t="str">
        <f>IF(SUM(JD13:JE13,JG13:JI13,JK13:JM13,JO13:JQ13,JS13)-SUM(JF13,JJ13,JN13,JR13)&gt;0,SUM(JD13:JE13,JG13:JI13,JK13:JM13,JO13:JQ13,JS13)-SUM(JF13,JJ13,JN13,JR13),"")</f>
        <v/>
      </c>
      <c r="KF13" s="15" t="str">
        <f>IF(SUM(JT13:JU13,JW13:JY13,KA13)-SUM(JV13,JZ13)&gt;0,SUM(JT13:JU13,JW13:JY13,KA13)-SUM(JV13,JZ13),"")</f>
        <v/>
      </c>
      <c r="KG13" s="15" t="str">
        <f>IF(SUM(KE13,KF13)&gt;0,SUM(KE13,KF13),"")</f>
        <v/>
      </c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12" t="str">
        <f>IF(SUM(KI13,KM13,KQ13,KU13)&gt;0,SUM(KI13,KM13,KQ13,KU13),"")</f>
        <v/>
      </c>
      <c r="LG13" s="12" t="str">
        <f>IF(SUM(KH13:KI13,KK13:KM13,KO13)-SUM(KJ13,KN13)&gt;0,SUM(KH13:KI13,KK13:KM13,KO13)-SUM(KJ13,KN13),"")</f>
        <v/>
      </c>
      <c r="LH13" s="12" t="str">
        <f>IF(SUM(KP13:KQ13,KS13:KU13,KW13)-SUM(KR13,KV13)&gt;0,SUM(KP13:KQ13,KS13:KU13,KW13)-SUM(KR13,KV13),"")</f>
        <v/>
      </c>
      <c r="LI13" s="12" t="str">
        <f>IF(SUM(KH13:KI13,KK13:KM13,KO13:KQ13,KS13:KU13,KW13)-SUM(KJ13,KN13,KR13,KV13)&gt;0,SUM(KH13:KI13,KK13:KM13,KO13:KQ13,KS13:KU13,KW13)-SUM(KJ13,KN13,KR13,KV13),"")</f>
        <v/>
      </c>
      <c r="LJ13" s="12" t="str">
        <f>IF(SUM(KX13:KY13,LA13:LC13,LE13)-SUM(KZ13,LD13)&gt;0,SUM(KX13:KY13,LA13:LC13,LE13)-SUM(KZ13,LD13),"")</f>
        <v/>
      </c>
      <c r="LK13" s="12" t="str">
        <f>IF(SUM(LI13,LJ13)&gt;0,SUM(LI13,LJ13),"")</f>
        <v/>
      </c>
      <c r="LL13" s="50"/>
      <c r="LM13" s="50"/>
      <c r="LN13" s="50"/>
      <c r="LO13" s="50"/>
      <c r="LP13" s="50"/>
      <c r="LQ13" s="50"/>
      <c r="LR13" s="50"/>
      <c r="LS13" s="50"/>
      <c r="LT13" s="50"/>
      <c r="LU13" s="50"/>
      <c r="LV13" s="50"/>
      <c r="LW13" s="50"/>
      <c r="LX13" s="50"/>
      <c r="LY13" s="50"/>
      <c r="LZ13" s="50"/>
      <c r="MA13" s="50"/>
      <c r="MB13" s="50"/>
      <c r="MC13" s="50"/>
      <c r="MD13" s="50"/>
      <c r="ME13" s="50"/>
      <c r="MF13" s="50"/>
      <c r="MG13" s="50"/>
      <c r="MH13" s="50"/>
      <c r="MI13" s="50"/>
      <c r="MJ13" s="15" t="str">
        <f>IF(SUM(LM13,LQ13,LU13,LY13)&gt;0,SUM(LM13,LQ13,LU13,LY13),"")</f>
        <v/>
      </c>
      <c r="MK13" s="15" t="str">
        <f>IF(SUM(LL13:LM13,LO13:LQ13,LS13)-SUM(LN13,LR13)&gt;0,SUM(LL13:LM13,LO13:LQ13,LS13)-SUM(LN13,LR13),"")</f>
        <v/>
      </c>
      <c r="ML13" s="15" t="str">
        <f>IF(SUM(LT13:LU13,LW13:LY13,MA13)-SUM(LV13,LZ13)&gt;0,SUM(LT13:LU13,LW13:LY13,MA13)-SUM(LV13,LZ13),"")</f>
        <v/>
      </c>
      <c r="MM13" s="15" t="str">
        <f>IF(SUM(LL13:LM13,LO13:LQ13,LS13:LU13,LW13:LY13,MA13)-SUM(LN13,LR13,LV13,LZ13)&gt;0,SUM(LL13:LM13,LO13:LQ13,LS13:LU13,LW13:LY13,MA13)-SUM(LN13,LR13,LV13,LZ13),"")</f>
        <v/>
      </c>
      <c r="MN13" s="15" t="str">
        <f>IF(SUM(MB13:MC13,ME13:MG13,MI13)-SUM(MD13,MH13)&gt;0,SUM(MB13:MC13,ME13:MG13,MI13)-SUM(MD13,MH13),"")</f>
        <v/>
      </c>
      <c r="MO13" s="15" t="str">
        <f>IF(SUM(MM13,MN13)&gt;0,SUM(MM13,MN13),"")</f>
        <v/>
      </c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12" t="str">
        <f>IF(SUM(MQ13,MU13,MY13,NC13)&gt;0,SUM(MQ13,MU13,MY13,NC13),"")</f>
        <v/>
      </c>
      <c r="NO13" s="12" t="str">
        <f>IF(SUM(MP13:MQ13,MS13:MU13,MW13)-SUM(MR13,MV13)&gt;0,SUM(MP13:MQ13,MS13:MU13,MW13)-SUM(MR13,MV13),"")</f>
        <v/>
      </c>
      <c r="NP13" s="12" t="str">
        <f>IF(SUM(MX13:MY13,NA13:NC13,NE13)-SUM(MZ13,ND13)&gt;0,SUM(MX13:MY13,NA13:NC13,NE13)-SUM(MZ13,ND13),"")</f>
        <v/>
      </c>
      <c r="NQ13" s="12" t="str">
        <f>IF(SUM(MP13:MQ13,MS13:MU13,MW13:MY13,NA13:NC13,NE13)-SUM(MR13,MV13,MZ13,ND13)&gt;0,SUM(MP13:MQ13,MS13:MU13,MW13:MY13,NA13:NC13,NE13)-SUM(MR13,MV13,MZ13,ND13),"")</f>
        <v/>
      </c>
      <c r="NR13" s="12" t="str">
        <f>IF(SUM(NF13:NG13,NI13:NK13,NM13)-SUM(NH13,NL13)&gt;0,SUM(NF13:NG13,NI13:NK13,NM13)-SUM(NH13,NL13),"")</f>
        <v/>
      </c>
      <c r="NS13" s="12" t="str">
        <f>IF(SUM(NQ13,NR13)&gt;0,SUM(NQ13,NR13),"")</f>
        <v/>
      </c>
      <c r="NT13" s="50"/>
      <c r="NU13" s="50"/>
      <c r="NV13" s="50"/>
      <c r="NW13" s="50"/>
      <c r="NX13" s="50"/>
      <c r="NY13" s="50"/>
      <c r="NZ13" s="50"/>
      <c r="OA13" s="50"/>
      <c r="OB13" s="50"/>
      <c r="OC13" s="50"/>
      <c r="OD13" s="50"/>
      <c r="OE13" s="50"/>
      <c r="OF13" s="50"/>
      <c r="OG13" s="50"/>
      <c r="OH13" s="50"/>
      <c r="OI13" s="50"/>
      <c r="OJ13" s="50"/>
      <c r="OK13" s="50"/>
      <c r="OL13" s="50"/>
      <c r="OM13" s="50"/>
      <c r="ON13" s="50"/>
      <c r="OO13" s="50"/>
      <c r="OP13" s="50"/>
      <c r="OQ13" s="50"/>
      <c r="OR13" s="15" t="str">
        <f>IF(SUM(NU13,NY13,OC13,OG13)&gt;0,SUM(NU13,NY13,OC13,OG13),"")</f>
        <v/>
      </c>
      <c r="OS13" s="15" t="str">
        <f>IF(SUM(NT13:NU13,NW13:NY13,OA13)-SUM(NV13,NZ13)&gt;0,SUM(NT13:NU13,NW13:NY13,OA13)-SUM(NV13,NZ13),"")</f>
        <v/>
      </c>
      <c r="OT13" s="15" t="str">
        <f>IF(SUM(OB13:OC13,OE13:OG13,OI13)-SUM(OD13,OH13)&gt;0,SUM(OB13:OC13,OE13:OG13,OI13)-SUM(OD13,OH13),"")</f>
        <v/>
      </c>
      <c r="OU13" s="15" t="str">
        <f>IF(SUM(NT13:NU13,NW13:NY13,OA13:OC13,OE13:OG13,OI13)-SUM(NV13,NZ13,OD13,OH13)&gt;0,SUM(NT13:NU13,NW13:NY13,OA13:OC13,OE13:OG13,OI13)-SUM(NV13,NZ13,OD13,OH13),"")</f>
        <v/>
      </c>
      <c r="OV13" s="15" t="str">
        <f>IF(SUM(OJ13:OK13,OM13:OO13,OQ13)-SUM(OL13,OP13)&gt;0,SUM(OJ13:OK13,OM13:OO13,OQ13)-SUM(OL13,OP13),"")</f>
        <v/>
      </c>
      <c r="OW13" s="15" t="str">
        <f>IF(SUM(OU13,OV13)&gt;0,SUM(OU13,OV13),"")</f>
        <v/>
      </c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12" t="str">
        <f>IF(SUM(OY13,PC13,PG13,PK13)&gt;0,SUM(OY13,PC13,PG13,PK13),"")</f>
        <v/>
      </c>
      <c r="PW13" s="12" t="str">
        <f>IF(SUM(OX13:OY13,PA13:PC13,PE13)-SUM(OZ13,PD13)&gt;0,SUM(OX13:OY13,PA13:PC13,PE13)-SUM(OZ13,PD13),"")</f>
        <v/>
      </c>
      <c r="PX13" s="12" t="str">
        <f>IF(SUM(PF13:PG13,PI13:PK13,PM13)-SUM(PH13,PL13)&gt;0,SUM(PF13:PG13,PI13:PK13,PM13)-SUM(PH13,PL13),"")</f>
        <v/>
      </c>
      <c r="PY13" s="12" t="str">
        <f>IF(SUM(OX13:OY13,PA13:PC13,PE13:PG13,PI13:PK13,PM13)-SUM(OZ13,PD13,PH13,PL13)&gt;0,SUM(OX13:OY13,PA13:PC13,PE13:PG13,PI13:PK13,PM13)-SUM(OZ13,PD13,PH13,PL13),"")</f>
        <v/>
      </c>
      <c r="PZ13" s="12" t="str">
        <f>IF(SUM(PN13:PO13,PQ13:PS13,PU13)-SUM(PP13,PT13)&gt;0,SUM(PN13:PO13,PQ13:PS13,PU13)-SUM(PP13,PT13),"")</f>
        <v/>
      </c>
      <c r="QA13" s="12" t="str">
        <f>IF(SUM(PY13,PZ13)&gt;0,SUM(PY13,PZ13),"")</f>
        <v/>
      </c>
      <c r="QB13" s="50"/>
      <c r="QC13" s="50"/>
      <c r="QD13" s="50"/>
      <c r="QE13" s="50"/>
      <c r="QF13" s="50"/>
      <c r="QG13" s="50"/>
      <c r="QH13" s="50"/>
      <c r="QI13" s="50"/>
      <c r="QJ13" s="50"/>
      <c r="QK13" s="50"/>
      <c r="QL13" s="50"/>
      <c r="QM13" s="50"/>
      <c r="QN13" s="50"/>
      <c r="QO13" s="50"/>
      <c r="QP13" s="50"/>
      <c r="QQ13" s="50"/>
      <c r="QR13" s="50"/>
      <c r="QS13" s="50"/>
      <c r="QT13" s="50"/>
      <c r="QU13" s="50"/>
      <c r="QV13" s="50"/>
      <c r="QW13" s="50"/>
      <c r="QX13" s="50"/>
      <c r="QY13" s="50"/>
      <c r="QZ13" s="15" t="str">
        <f>IF(SUM(QC13,QG13,QK13,QO13)&gt;0,SUM(QC13,QG13,QK13,QO13),"")</f>
        <v/>
      </c>
      <c r="RA13" s="15" t="str">
        <f>IF(SUM(QB13:QC13,QE13:QG13,QI13)-SUM(QD13,QH13)&gt;0,SUM(QB13:QC13,QE13:QG13,QI13)-SUM(QD13,QH13),"")</f>
        <v/>
      </c>
      <c r="RB13" s="15" t="str">
        <f>IF(SUM(QJ13:QK13,QM13:QO13,QQ13)-SUM(QL13,QP13)&gt;0,SUM(QJ13:QK13,QM13:QO13,QQ13)-SUM(QL13,QP13),"")</f>
        <v/>
      </c>
      <c r="RC13" s="15" t="str">
        <f>IF(SUM(QB13:QC13,QE13:QG13,QI13:QK13,QM13:QO13,QQ13)-SUM(QD13,QH13,QL13,QP13)&gt;0,SUM(QB13:QC13,QE13:QG13,QI13:QK13,QM13:QO13,QQ13)-SUM(QD13,QH13,QL13,QP13),"")</f>
        <v/>
      </c>
      <c r="RD13" s="15" t="str">
        <f>IF(SUM(QR13:QS13,QU13:QW13,QY13)-SUM(QT13,QX13)&gt;0,SUM(QR13:QS13,QU13:QW13,QY13)-SUM(QT13,QX13),"")</f>
        <v/>
      </c>
      <c r="RE13" s="15" t="str">
        <f>IF(SUM(RC13,RD13)&gt;0,SUM(RC13,RD13),"")</f>
        <v/>
      </c>
    </row>
    <row r="14" spans="1:473">
      <c r="A14" s="6" t="str">
        <f>IF(AND(F14="P",H14="P"),SUMPRODUCT((F$4:F$14="P")*(H$4:H$14="P")*(E$4:E$14&gt;E14))+1,IF(H14="P",SUMPRODUCT((F$4:F$14="")*(H$4:H$14="P")*(E$4:E$14&gt;E14))+1+SUMPRODUCT((F$4:F$14="P")*(H$4:H$14="P")),""))</f>
        <v/>
      </c>
      <c r="B14" s="9" t="s">
        <v>101</v>
      </c>
      <c r="C14" s="5" t="s">
        <v>6</v>
      </c>
      <c r="D14" s="6">
        <v>2000</v>
      </c>
      <c r="E14" s="16">
        <f>SUM(J14:R14)</f>
        <v>99.3</v>
      </c>
      <c r="F14" s="4" t="str">
        <f>IF(OR(AND($AS14&gt;=$AT$17,NOT($AS14="")),AND($BW14&gt;=$BX$17,NOT($BW14="")),AND($DA14&gt;=$DB$17,NOT($DA14=""))),"P","")</f>
        <v/>
      </c>
      <c r="G14" s="4" t="str">
        <f>IF(OR(AND($AS14&gt;=$AT$18,NOT($AS14="")),AND($BW14&gt;=$BX$18,NOT($BW14="")),AND($DA14&gt;=$DB$18,NOT($DA14=""))),"P","")</f>
        <v/>
      </c>
      <c r="H14" s="4" t="str">
        <f>IF(OR(AND($AV14&gt;=$AT$19,NOT($AV14="")),AND($BZ14&gt;=$BX$19,NOT($BZ14="")),AND($DD14&gt;=$DB$19,NOT($DD14=""))),"P","")</f>
        <v/>
      </c>
      <c r="I14" t="str">
        <f>IF(AND(F14="P",OR(AND($AV14&gt;=$AT$22,NOT($AV14="")),AND($BZ14&gt;=$BX$22,NOT($BZ14="")),AND($DD14&gt;=$DB$22,NOT($DD14="")))),"Merit",IF(AND(F14="P",OR(AND($AV14&gt;=$AT$21,NOT($AV14="")),AND($BZ14&gt;=$BX$21,NOT($BZ14="")),AND($DD14&gt;=$DB$21,NOT($DD14="")))),"Funding",IF(AND(F14="P",OR(AND($AV14&gt;=$AT$20,NOT($AV14="")),AND($BZ14&gt;=$BX$20,NOT($BZ14="")),AND($DD14&gt;=$DB$20,NOT($DD14="")))),"Worlds Team",IF(AND(F14="P",OR(AND($AV14&gt;=$AT$19,NOT($AV14="")),AND($BZ14&gt;=$BX$19,NOT($BZ14="")),AND($DD14&gt;=$DB$19,NOT($DD14="")))),"National Team",""))))</f>
        <v/>
      </c>
      <c r="J14" s="15">
        <f>MAX(AV14,BZ14,DD14)</f>
        <v>99.3</v>
      </c>
      <c r="K14" s="15" t="str">
        <f>IF(J14=DD14,$CC$1,IF(J14=BZ14,$AY$1,IF(J14=AV14,$U$1,"")))</f>
        <v>2018 Canada Cup</v>
      </c>
      <c r="L14" s="15">
        <f>IF($J14=$AV14,MAX(BX14,DB14),IF($J14=$BZ14,MAX(AT14,DB14),MAX(AT14,BX14)))</f>
        <v>0</v>
      </c>
      <c r="M14" s="15" t="str">
        <f>IF(L14=DB14,$CC$1,IF(L14=BX14,$AY$1,IF(L14=AT14,$U$1,"")))</f>
        <v/>
      </c>
      <c r="N14" s="15">
        <f>IF($J14=$AV14,MAX(BY14,DC14),IF($J14=$BZ14,MAX(AU14,DC14),MAX(AU14,BY14)))</f>
        <v>0</v>
      </c>
      <c r="O14" s="15" t="str">
        <f>IF(N14=DC14,$CC$1,IF(N14=BY14,$AY$1,IF(N14=AU14,$U$1,"")))</f>
        <v/>
      </c>
      <c r="P14" s="15">
        <f>MAX(AW14,CA14,DE14)</f>
        <v>0</v>
      </c>
      <c r="Q14" s="15" t="str">
        <f>IF(P14=DE14,$CC$1,IF(P14=CA14,$AY$1,IF(P14=AW14,$U$1,"")))</f>
        <v/>
      </c>
      <c r="R14" s="15" t="str">
        <f>IF(MAX(DG14:DI14)&gt;0,MAX(DG14:DI14),"")</f>
        <v/>
      </c>
      <c r="S14" s="29" t="str">
        <f>IF(R14="","",IF(R14=DG14,"(Pass 1-2)",IF(R14=DH14,"(Pass 3-4)",IF(R14=DI14,"(Final)"))))</f>
        <v/>
      </c>
      <c r="T14" s="15" t="str">
        <f>IF(R14="","",IF(R14=DG14,IF(R14+L14=RA14,$QB$1,IF(R14+L14=PW14,$OX$1,IF(R14+L14=OS14,$NT$1,IF(R14+L14=NO14,$MP$1,IF(R14+L14=MK14,$LL$1,IF(R14+L14=LG14,$KH$1,IF(R14+L14=KC14,$JD$1,IF(R14+L14=IY14,$HZ$1,IF(R14+L14=HU14,$GV$1,IF(R14+L14=GQ14,$FR$1,IF(R14+L14=FM14,$EN$1,IF(R14+L14=EI14,$DJ$1)))))))))))),IF(R14=DH14,IF(R14+N14=RB14,$QB$1,IF(R14+N14=PX14,$OX$1,IF(R14+N14=OT14,$NT$1,IF(R14+N14=NP14,$MP$1,IF(R14+N14=ML14,$LL$1,IF(R14+N14=LH14,$KH$1,IF(R14+N14=KD14,$JD$1,IF(R14+N14=IZ14,$HZ$1,IF(R14+N14=HV14,$GV$1,IF(R14+N14=GR14,$FR$1,IF(R14+N14=FN14,$EN$1,IF(R14+N14=EJ14,$DJ$1)))))))))))),IF(R14=DI14,IF(R14+P14=RD14,$QB$1,IF(R14+P14=PZ14,$OX$1,IF(R14+P14=OV14,$NT$1,IF(R14+P14=NR14,$MP$1,IF(R14+P14=MN14,$LL$1,IF(R14+P14=LJ14,$KH$1,IF(R14+P14=KF14,$JD$1,IF(R14+P14=JB14,$HZ$1,IF(R14+P14=HX14,$GV$1,IF(R14+P14=GT14,$FR$1,IF(R14+P14=FP14,$EN$1,IF(R14+P14=EL14,$DJ$1))))))))))))))))</f>
        <v/>
      </c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12" t="str">
        <f>IF(SUM(V14,Z14,AD14,AH14)&gt;0,SUM(V14,Z14,AD14,AH14),"")</f>
        <v/>
      </c>
      <c r="AT14" s="12" t="str">
        <f>IF(SUM(U14:V14,X14:Z14,AB14)-SUM(W14,AA14)&gt;0,SUM(U14:V14,X14:Z14,AB14)-SUM(W14,AA14),"")</f>
        <v/>
      </c>
      <c r="AU14" s="12" t="str">
        <f>IF(SUM(AC14:AD14,AF14:AH14,AJ14)-SUM(AE14,AI14)&gt;0,SUM(AC14:AD14,AF14:AH14,AJ14)-SUM(AE14,AI14),"")</f>
        <v/>
      </c>
      <c r="AV14" s="12" t="str">
        <f>IF(SUM(U14:V14,X14:Z14,AB14:AD14,AF14:AH14,AJ14)-SUM(W14,AA14,AE14,AI14)&gt;0,SUM(U14:V14,X14:Z14,AB14:AD14,AF14:AH14,AJ14)-SUM(W14,AA14,AE14,AI14),"")</f>
        <v/>
      </c>
      <c r="AW14" s="12" t="str">
        <f>IF(SUM(AK14:AL14,AN14:AP14,AR14)-SUM(AM14,AQ14)&gt;0,SUM(AK14:AL14,AN14:AP14,AR14)-SUM(AM14,AQ14),"")</f>
        <v/>
      </c>
      <c r="AX14" s="12" t="str">
        <f>IF(SUM(AV14,AW14)&gt;0,SUM(AV14,AW14),"")</f>
        <v/>
      </c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15" t="str">
        <f>IF(SUM(AZ14,BD14,BH14,BL14)&gt;0,SUM(AZ14,BD14,BH14,BL14),"")</f>
        <v/>
      </c>
      <c r="BX14" s="15" t="str">
        <f>IF(SUM(AY14:AZ14,BB14:BD14,BF14)-SUM(BA14,BE14)&gt;0,SUM(AY14:AZ14,BB14:BD14,BF14)-SUM(BA14,BE14),"")</f>
        <v/>
      </c>
      <c r="BY14" s="15" t="str">
        <f>IF(SUM(BG14:BH14,BJ14:BL14,BN14)-SUM(BI14,BM14)&gt;0,SUM(BG14:BH14,BJ14:BL14,BN14)-SUM(BI14,BM14),"")</f>
        <v/>
      </c>
      <c r="BZ14" s="15" t="str">
        <f>IF(SUM(AY14:AZ14,BB14:BD14,BF14:BH14,BJ14:BL14,BN14)-SUM(BA14,BE14,BI14,BM14)&gt;0,SUM(AY14:AZ14,BB14:BD14,BF14:BH14,BJ14:BL14,BN14)-SUM(BA14,BE14,BI14,BM14),"")</f>
        <v/>
      </c>
      <c r="CA14" s="15" t="str">
        <f>IF(SUM(BO14:BP14,BR14:BT14,BV14)-SUM(BQ14,BU14)&gt;0,SUM(BO14:BP14,BR14:BT14,BV14)-SUM(BQ14,BU14),"")</f>
        <v/>
      </c>
      <c r="CB14" s="15" t="str">
        <f>IF(SUM(BZ14,CA14)&gt;0,SUM(BZ14,CA14),"")</f>
        <v/>
      </c>
      <c r="CC14" s="45">
        <v>0</v>
      </c>
      <c r="CD14" s="45">
        <v>0</v>
      </c>
      <c r="CE14" s="45">
        <v>0</v>
      </c>
      <c r="CF14" s="45">
        <v>0</v>
      </c>
      <c r="CG14" s="45">
        <v>27</v>
      </c>
      <c r="CH14" s="45">
        <v>4.8</v>
      </c>
      <c r="CI14" s="45">
        <v>0.9</v>
      </c>
      <c r="CJ14" s="45">
        <v>0</v>
      </c>
      <c r="CK14" s="45">
        <v>26.4</v>
      </c>
      <c r="CL14" s="45">
        <v>7.6</v>
      </c>
      <c r="CM14" s="45">
        <v>1.2</v>
      </c>
      <c r="CN14" s="45">
        <v>0</v>
      </c>
      <c r="CO14" s="45">
        <v>28.4</v>
      </c>
      <c r="CP14" s="45">
        <v>7.2</v>
      </c>
      <c r="CQ14" s="45">
        <v>0</v>
      </c>
      <c r="CR14" s="45">
        <v>0</v>
      </c>
      <c r="CS14" s="45"/>
      <c r="CT14" s="45"/>
      <c r="CU14" s="45"/>
      <c r="CV14" s="45"/>
      <c r="CW14" s="45"/>
      <c r="CX14" s="45"/>
      <c r="CY14" s="45"/>
      <c r="CZ14" s="45"/>
      <c r="DA14" s="12">
        <f>IF(SUM(CD14,CH14,CL14,CP14)&gt;0,SUM(CD14,CH14,CL14,CP14),"")</f>
        <v>19.599999999999998</v>
      </c>
      <c r="DB14" s="12">
        <f>IF(SUM(CC14:CD14,CF14:CH14,CJ14)-SUM(CE14,CI14)&gt;0,SUM(CC14:CD14,CF14:CH14,CJ14)-SUM(CE14,CI14),"")</f>
        <v>30.900000000000002</v>
      </c>
      <c r="DC14" s="12">
        <f>IF(SUM(CK14:CL14,CN14:CP14,CR14)-SUM(CM14,CQ14)&gt;0,SUM(CK14:CL14,CN14:CP14,CR14)-SUM(CM14,CQ14),"")</f>
        <v>68.399999999999991</v>
      </c>
      <c r="DD14" s="12">
        <f>IF(SUM(CC14:CD14,CF14:CH14,CJ14:CL14,CN14:CP14,CR14)-SUM(CE14,CI14,CM14,CQ14)&gt;0,SUM(CC14:CD14,CF14:CH14,CJ14:CL14,CN14:CP14,CR14)-SUM(CE14,CI14,CM14,CQ14),"")</f>
        <v>99.3</v>
      </c>
      <c r="DE14" s="12" t="str">
        <f>IF(SUM(CS14:CT14,CV14:CX14,CZ14)-SUM(CU14,CY14)&gt;0,SUM(CS14:CT14,CV14:CX14,CZ14)-SUM(CU14,CY14),"")</f>
        <v/>
      </c>
      <c r="DF14" s="12">
        <f>IF(SUM(DD14,DE14)&gt;0,SUM(DD14,DE14),"")</f>
        <v>99.3</v>
      </c>
      <c r="DG14" s="28" t="str">
        <f>IF(MAX(EI14,FM14,GQ14,HU14,IY14,KC14,LG14,MK14,NO14,OS14,PW14,RA14)-L14&gt;0.001,MAX(EI14,FM14,GQ14,HU14,IY14,KC14,LG14,MK14,NO14,OS14,PW14,RA14)-L14,"")</f>
        <v/>
      </c>
      <c r="DH14" s="28" t="str">
        <f>IF(MAX(EJ14,FN14,GR14,HV14,IZ14,KD14,LH14,ML14,NP14,OT14,PX14,RB14)-N14&gt;0.001,MAX(EJ14,FN14,GR14,HV14,IZ14,KD14,LH14,ML14,NP14,OT14,PX14,RB14)-N14,"")</f>
        <v/>
      </c>
      <c r="DI14" s="28" t="str">
        <f>IF(MAX(EL14,FP14,GT14,HX14,JB14,KF14,LJ14,MN14,OV14,PZ14,RD14)-P14&gt;0.001,MAX(EL14,FP14,GT14,HX14,JB14,KF14,LJ14,MN14,OV14,PZ14,RD14)-P14,"")</f>
        <v/>
      </c>
      <c r="DJ14" s="45"/>
      <c r="DK14" s="45"/>
      <c r="DL14" s="45"/>
      <c r="DM14" s="45"/>
      <c r="DN14" s="45"/>
      <c r="DO14" s="45"/>
      <c r="DP14" s="45"/>
      <c r="DQ14" s="45"/>
      <c r="DR14" s="45"/>
      <c r="DS14" s="45"/>
      <c r="DT14" s="45"/>
      <c r="DU14" s="45"/>
      <c r="DV14" s="45"/>
      <c r="DW14" s="45"/>
      <c r="DX14" s="45"/>
      <c r="DY14" s="45"/>
      <c r="DZ14" s="45"/>
      <c r="EA14" s="45"/>
      <c r="EB14" s="45"/>
      <c r="EC14" s="45"/>
      <c r="ED14" s="45"/>
      <c r="EE14" s="45"/>
      <c r="EF14" s="45"/>
      <c r="EG14" s="45"/>
      <c r="EH14" s="12" t="str">
        <f>IF(SUM(DK14,DO14,DS14,DW14)&gt;0,SUM(DK14,DO14,DS14,DW14),"")</f>
        <v/>
      </c>
      <c r="EI14" s="12" t="str">
        <f>IF(SUM(DJ14:DK14,DM14:DO14,DQ14)-SUM(DL14,DP14)&gt;0,SUM(DJ14:DK14,DM14:DO14,DQ14)-SUM(DL14,DP14),"")</f>
        <v/>
      </c>
      <c r="EJ14" s="12" t="str">
        <f>IF(SUM(DR14:DS14,DU14:DW14,DY14)-SUM(DT14,DX14)&gt;0,SUM(DR14:DS14,DU14:DW14,DY14)-SUM(DT14,DX14),"")</f>
        <v/>
      </c>
      <c r="EK14" s="12" t="str">
        <f>IF(SUM(DJ14:DK14,DM14:DO14,DQ14:DS14,DU14:DW14,DY14)-SUM(DL14,DP14,DT14,DX14)&gt;0,SUM(DJ14:DK14,DM14:DO14,DQ14:DS14,DU14:DW14,DY14)-SUM(DL14,DP14,DT14,DX14),"")</f>
        <v/>
      </c>
      <c r="EL14" s="12" t="str">
        <f>IF(SUM(DZ14:EA14,EC14:EE14,EG14)-SUM(EB14,EF14)&gt;0,SUM(DZ14:EA14,EC14:EE14,EG14)-SUM(EB14,EF14),"")</f>
        <v/>
      </c>
      <c r="EM14" s="12" t="str">
        <f>IF(SUM(EK14,EL14)&gt;0,SUM(EK14,EL14),"")</f>
        <v/>
      </c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  <c r="FF14" s="50"/>
      <c r="FG14" s="50"/>
      <c r="FH14" s="50"/>
      <c r="FI14" s="50"/>
      <c r="FJ14" s="50"/>
      <c r="FK14" s="50"/>
      <c r="FL14" s="15" t="str">
        <f>IF(SUM(EO14,ES14,EW14,FA14)&gt;0,SUM(EO14,ES14,EW14,FA14),"")</f>
        <v/>
      </c>
      <c r="FM14" s="15" t="str">
        <f>IF(SUM(EN14:EO14,EQ14:ES14,EU14)-SUM(EP14,ET14)&gt;0,SUM(EN14:EO14,EQ14:ES14,EU14)-SUM(EP14,ET14),"")</f>
        <v/>
      </c>
      <c r="FN14" s="15" t="str">
        <f>IF(SUM(EV14:EW14,EY14:FA14,FC14)-SUM(EX14,FB14)&gt;0,SUM(EV14:EW14,EY14:FA14,FC14)-SUM(EX14,FB14),"")</f>
        <v/>
      </c>
      <c r="FO14" s="15" t="str">
        <f>IF(SUM(EN14:EO14,EQ14:ES14,EU14:EW14,EY14:FA14,FC14)-SUM(EP14,ET14,EX14,FB14)&gt;0,SUM(EN14:EO14,EQ14:ES14,EU14:EW14,EY14:FA14,FC14)-SUM(EP14,ET14,EX14,FB14),"")</f>
        <v/>
      </c>
      <c r="FP14" s="15" t="str">
        <f>IF(SUM(FD14:FE14,FG14:FI14,FK14)-SUM(FF14,FJ14)&gt;0,SUM(FD14:FE14,FG14:FI14,FK14)-SUM(FF14,FJ14),"")</f>
        <v/>
      </c>
      <c r="FQ14" s="15" t="str">
        <f>IF(SUM(FO14,FP14)&gt;0,SUM(FO14,FP14),"")</f>
        <v/>
      </c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12" t="str">
        <f>IF(SUM(FS14,FW14,GA14,GE14)&gt;0,SUM(FS14,FW14,GA14,GE14),"")</f>
        <v/>
      </c>
      <c r="GQ14" s="12" t="str">
        <f>IF(SUM(FR14:FS14,FU14:FW14,FY14)-SUM(FT14,FX14)&gt;0,SUM(FR14:FS14,FU14:FW14,FY14)-SUM(FT14,FX14),"")</f>
        <v/>
      </c>
      <c r="GR14" s="12" t="str">
        <f>IF(SUM(FZ14:GA14,GC14:GE14,GG14)-SUM(GB14,GF14)&gt;0,SUM(FZ14:GA14,GC14:GE14,GG14)-SUM(GB14,GF14),"")</f>
        <v/>
      </c>
      <c r="GS14" s="12" t="str">
        <f>IF(SUM(FR14:FS14,FU14:FW14,FY14:GA14,GC14:GE14,GG14)-SUM(FT14,FX14,GB14,GF14)&gt;0,SUM(FR14:FS14,FU14:FW14,FY14:GA14,GC14:GE14,GG14)-SUM(FT14,FX14,GB14,GF14),"")</f>
        <v/>
      </c>
      <c r="GT14" s="12" t="str">
        <f>IF(SUM(GH14:GI14,GK14:GM14,GO14)-SUM(GJ14,GN14)&gt;0,SUM(GH14:GI14,GK14:GM14,GO14)-SUM(GJ14,GN14),"")</f>
        <v/>
      </c>
      <c r="GU14" s="12" t="str">
        <f>IF(SUM(GS14,GT14)&gt;0,SUM(GS14,GT14),"")</f>
        <v/>
      </c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15" t="str">
        <f>IF(SUM(GW14,HA14,HE14,HI14)&gt;0,SUM(GW14,HA14,HE14,HI14),"")</f>
        <v/>
      </c>
      <c r="HU14" s="15" t="str">
        <f>IF(SUM(GV14:GW14,GY14:HA14,HC14)-SUM(GX14,HB14)&gt;0,SUM(GV14:GW14,GY14:HA14,HC14)-SUM(GX14,HB14),"")</f>
        <v/>
      </c>
      <c r="HV14" s="15" t="str">
        <f>IF(SUM(HD14:HE14,HG14:HI14,HK14)-SUM(HF14,HJ14)&gt;0,SUM(HD14:HE14,HG14:HI14,HK14)-SUM(HF14,HJ14),"")</f>
        <v/>
      </c>
      <c r="HW14" s="15" t="str">
        <f>IF(SUM(GV14:GW14,GY14:HA14,HC14:HE14,HG14:HI14,HK14)-SUM(GX14,HB14,HF14,HJ14)&gt;0,SUM(GV14:GW14,GY14:HA14,HC14:HE14,HG14:HI14,HK14)-SUM(GX14,HB14,HF14,HJ14),"")</f>
        <v/>
      </c>
      <c r="HX14" s="15" t="str">
        <f>IF(SUM(HL14:HM14,HO14:HQ14,HS14)-SUM(HN14,HR14)&gt;0,SUM(HL14:HM14,HO14:HQ14,HS14)-SUM(HN14,HR14),"")</f>
        <v/>
      </c>
      <c r="HY14" s="15" t="str">
        <f>IF(SUM(HW14,HX14)&gt;0,SUM(HW14,HX14),"")</f>
        <v/>
      </c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12" t="str">
        <f>IF(SUM(IA14,IE14,II14,IM14)&gt;0,SUM(IA14,IE14,II14,IM14),"")</f>
        <v/>
      </c>
      <c r="IY14" s="12" t="str">
        <f>IF(SUM(HZ14:IA14,IC14:IE14,IG14)-SUM(IB14,IF14)&gt;0,SUM(HZ14:IA14,IC14:IE14,IG14)-SUM(IB14,IF14),"")</f>
        <v/>
      </c>
      <c r="IZ14" s="12" t="str">
        <f>IF(SUM(IH14:II14,IK14:IM14,IO14)-SUM(IJ14,IN14)&gt;0,SUM(IH14:II14,IK14:IM14,IO14)-SUM(IJ14,IN14),"")</f>
        <v/>
      </c>
      <c r="JA14" s="12" t="str">
        <f>IF(SUM(HZ14:IA14,IC14:IE14,IG14:II14,IK14:IM14,IO14)-SUM(IB14,IF14,IJ14,IN14)&gt;0,SUM(HZ14:IA14,IC14:IE14,IG14:II14,IK14:IM14,IO14)-SUM(IB14,IF14,IJ14,IN14),"")</f>
        <v/>
      </c>
      <c r="JB14" s="12" t="str">
        <f>IF(SUM(IP14:IQ14,IS14:IU14,IW14)-SUM(IR14,IV14)&gt;0,SUM(IP14:IQ14,IS14:IU14,IW14)-SUM(IR14,IV14),"")</f>
        <v/>
      </c>
      <c r="JC14" s="12" t="str">
        <f>IF(SUM(JA14,JB14)&gt;0,SUM(JA14,JB14),"")</f>
        <v/>
      </c>
      <c r="JD14" s="50"/>
      <c r="JE14" s="50"/>
      <c r="JF14" s="50"/>
      <c r="JG14" s="50"/>
      <c r="JH14" s="50"/>
      <c r="JI14" s="50"/>
      <c r="JJ14" s="50"/>
      <c r="JK14" s="50"/>
      <c r="JL14" s="50"/>
      <c r="JM14" s="50"/>
      <c r="JN14" s="50"/>
      <c r="JO14" s="50"/>
      <c r="JP14" s="50"/>
      <c r="JQ14" s="50"/>
      <c r="JR14" s="50"/>
      <c r="JS14" s="50"/>
      <c r="JT14" s="50"/>
      <c r="JU14" s="50"/>
      <c r="JV14" s="50"/>
      <c r="JW14" s="50"/>
      <c r="JX14" s="50"/>
      <c r="JY14" s="50"/>
      <c r="JZ14" s="50"/>
      <c r="KA14" s="50"/>
      <c r="KB14" s="15" t="str">
        <f>IF(SUM(JE14,JI14,JM14,JQ14)&gt;0,SUM(JE14,JI14,JM14,JQ14),"")</f>
        <v/>
      </c>
      <c r="KC14" s="15" t="str">
        <f>IF(SUM(JD14:JE14,JG14:JI14,JK14)-SUM(JF14,JJ14)&gt;0,SUM(JD14:JE14,JG14:JI14,JK14)-SUM(JF14,JJ14),"")</f>
        <v/>
      </c>
      <c r="KD14" s="15" t="str">
        <f>IF(SUM(JL14:JM14,JO14:JQ14,JS14)-SUM(JN14,JR14)&gt;0,SUM(JL14:JM14,JO14:JQ14,JS14)-SUM(JN14,JR14),"")</f>
        <v/>
      </c>
      <c r="KE14" s="15" t="str">
        <f>IF(SUM(JD14:JE14,JG14:JI14,JK14:JM14,JO14:JQ14,JS14)-SUM(JF14,JJ14,JN14,JR14)&gt;0,SUM(JD14:JE14,JG14:JI14,JK14:JM14,JO14:JQ14,JS14)-SUM(JF14,JJ14,JN14,JR14),"")</f>
        <v/>
      </c>
      <c r="KF14" s="15" t="str">
        <f>IF(SUM(JT14:JU14,JW14:JY14,KA14)-SUM(JV14,JZ14)&gt;0,SUM(JT14:JU14,JW14:JY14,KA14)-SUM(JV14,JZ14),"")</f>
        <v/>
      </c>
      <c r="KG14" s="15" t="str">
        <f>IF(SUM(KE14,KF14)&gt;0,SUM(KE14,KF14),"")</f>
        <v/>
      </c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12" t="str">
        <f>IF(SUM(KI14,KM14,KQ14,KU14)&gt;0,SUM(KI14,KM14,KQ14,KU14),"")</f>
        <v/>
      </c>
      <c r="LG14" s="12" t="str">
        <f>IF(SUM(KH14:KI14,KK14:KM14,KO14)-SUM(KJ14,KN14)&gt;0,SUM(KH14:KI14,KK14:KM14,KO14)-SUM(KJ14,KN14),"")</f>
        <v/>
      </c>
      <c r="LH14" s="12" t="str">
        <f>IF(SUM(KP14:KQ14,KS14:KU14,KW14)-SUM(KR14,KV14)&gt;0,SUM(KP14:KQ14,KS14:KU14,KW14)-SUM(KR14,KV14),"")</f>
        <v/>
      </c>
      <c r="LI14" s="12" t="str">
        <f>IF(SUM(KH14:KI14,KK14:KM14,KO14:KQ14,KS14:KU14,KW14)-SUM(KJ14,KN14,KR14,KV14)&gt;0,SUM(KH14:KI14,KK14:KM14,KO14:KQ14,KS14:KU14,KW14)-SUM(KJ14,KN14,KR14,KV14),"")</f>
        <v/>
      </c>
      <c r="LJ14" s="12" t="str">
        <f>IF(SUM(KX14:KY14,LA14:LC14,LE14)-SUM(KZ14,LD14)&gt;0,SUM(KX14:KY14,LA14:LC14,LE14)-SUM(KZ14,LD14),"")</f>
        <v/>
      </c>
      <c r="LK14" s="12" t="str">
        <f>IF(SUM(LI14,LJ14)&gt;0,SUM(LI14,LJ14),"")</f>
        <v/>
      </c>
      <c r="LL14" s="50"/>
      <c r="LM14" s="50"/>
      <c r="LN14" s="50"/>
      <c r="LO14" s="50"/>
      <c r="LP14" s="50"/>
      <c r="LQ14" s="50"/>
      <c r="LR14" s="50"/>
      <c r="LS14" s="50"/>
      <c r="LT14" s="50"/>
      <c r="LU14" s="50"/>
      <c r="LV14" s="50"/>
      <c r="LW14" s="50"/>
      <c r="LX14" s="50"/>
      <c r="LY14" s="50"/>
      <c r="LZ14" s="50"/>
      <c r="MA14" s="50"/>
      <c r="MB14" s="50"/>
      <c r="MC14" s="50"/>
      <c r="MD14" s="50"/>
      <c r="ME14" s="50"/>
      <c r="MF14" s="50"/>
      <c r="MG14" s="50"/>
      <c r="MH14" s="50"/>
      <c r="MI14" s="50"/>
      <c r="MJ14" s="15" t="str">
        <f>IF(SUM(LM14,LQ14,LU14,LY14)&gt;0,SUM(LM14,LQ14,LU14,LY14),"")</f>
        <v/>
      </c>
      <c r="MK14" s="15" t="str">
        <f>IF(SUM(LL14:LM14,LO14:LQ14,LS14)-SUM(LN14,LR14)&gt;0,SUM(LL14:LM14,LO14:LQ14,LS14)-SUM(LN14,LR14),"")</f>
        <v/>
      </c>
      <c r="ML14" s="15" t="str">
        <f>IF(SUM(LT14:LU14,LW14:LY14,MA14)-SUM(LV14,LZ14)&gt;0,SUM(LT14:LU14,LW14:LY14,MA14)-SUM(LV14,LZ14),"")</f>
        <v/>
      </c>
      <c r="MM14" s="15" t="str">
        <f>IF(SUM(LL14:LM14,LO14:LQ14,LS14:LU14,LW14:LY14,MA14)-SUM(LN14,LR14,LV14,LZ14)&gt;0,SUM(LL14:LM14,LO14:LQ14,LS14:LU14,LW14:LY14,MA14)-SUM(LN14,LR14,LV14,LZ14),"")</f>
        <v/>
      </c>
      <c r="MN14" s="15" t="str">
        <f>IF(SUM(MB14:MC14,ME14:MG14,MI14)-SUM(MD14,MH14)&gt;0,SUM(MB14:MC14,ME14:MG14,MI14)-SUM(MD14,MH14),"")</f>
        <v/>
      </c>
      <c r="MO14" s="15" t="str">
        <f>IF(SUM(MM14,MN14)&gt;0,SUM(MM14,MN14),"")</f>
        <v/>
      </c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12" t="str">
        <f>IF(SUM(MQ14,MU14,MY14,NC14)&gt;0,SUM(MQ14,MU14,MY14,NC14),"")</f>
        <v/>
      </c>
      <c r="NO14" s="12" t="str">
        <f>IF(SUM(MP14:MQ14,MS14:MU14,MW14)-SUM(MR14,MV14)&gt;0,SUM(MP14:MQ14,MS14:MU14,MW14)-SUM(MR14,MV14),"")</f>
        <v/>
      </c>
      <c r="NP14" s="12" t="str">
        <f>IF(SUM(MX14:MY14,NA14:NC14,NE14)-SUM(MZ14,ND14)&gt;0,SUM(MX14:MY14,NA14:NC14,NE14)-SUM(MZ14,ND14),"")</f>
        <v/>
      </c>
      <c r="NQ14" s="12" t="str">
        <f>IF(SUM(MP14:MQ14,MS14:MU14,MW14:MY14,NA14:NC14,NE14)-SUM(MR14,MV14,MZ14,ND14)&gt;0,SUM(MP14:MQ14,MS14:MU14,MW14:MY14,NA14:NC14,NE14)-SUM(MR14,MV14,MZ14,ND14),"")</f>
        <v/>
      </c>
      <c r="NR14" s="12" t="str">
        <f>IF(SUM(NF14:NG14,NI14:NK14,NM14)-SUM(NH14,NL14)&gt;0,SUM(NF14:NG14,NI14:NK14,NM14)-SUM(NH14,NL14),"")</f>
        <v/>
      </c>
      <c r="NS14" s="12" t="str">
        <f>IF(SUM(NQ14,NR14)&gt;0,SUM(NQ14,NR14),"")</f>
        <v/>
      </c>
      <c r="NT14" s="50"/>
      <c r="NU14" s="50"/>
      <c r="NV14" s="50"/>
      <c r="NW14" s="50"/>
      <c r="NX14" s="50"/>
      <c r="NY14" s="50"/>
      <c r="NZ14" s="50"/>
      <c r="OA14" s="50"/>
      <c r="OB14" s="50"/>
      <c r="OC14" s="50"/>
      <c r="OD14" s="50"/>
      <c r="OE14" s="50"/>
      <c r="OF14" s="50"/>
      <c r="OG14" s="50"/>
      <c r="OH14" s="50"/>
      <c r="OI14" s="50"/>
      <c r="OJ14" s="50"/>
      <c r="OK14" s="50"/>
      <c r="OL14" s="50"/>
      <c r="OM14" s="50"/>
      <c r="ON14" s="50"/>
      <c r="OO14" s="50"/>
      <c r="OP14" s="50"/>
      <c r="OQ14" s="50"/>
      <c r="OR14" s="15" t="str">
        <f>IF(SUM(NU14,NY14,OC14,OG14)&gt;0,SUM(NU14,NY14,OC14,OG14),"")</f>
        <v/>
      </c>
      <c r="OS14" s="15" t="str">
        <f>IF(SUM(NT14:NU14,NW14:NY14,OA14)-SUM(NV14,NZ14)&gt;0,SUM(NT14:NU14,NW14:NY14,OA14)-SUM(NV14,NZ14),"")</f>
        <v/>
      </c>
      <c r="OT14" s="15" t="str">
        <f>IF(SUM(OB14:OC14,OE14:OG14,OI14)-SUM(OD14,OH14)&gt;0,SUM(OB14:OC14,OE14:OG14,OI14)-SUM(OD14,OH14),"")</f>
        <v/>
      </c>
      <c r="OU14" s="15" t="str">
        <f>IF(SUM(NT14:NU14,NW14:NY14,OA14:OC14,OE14:OG14,OI14)-SUM(NV14,NZ14,OD14,OH14)&gt;0,SUM(NT14:NU14,NW14:NY14,OA14:OC14,OE14:OG14,OI14)-SUM(NV14,NZ14,OD14,OH14),"")</f>
        <v/>
      </c>
      <c r="OV14" s="15" t="str">
        <f>IF(SUM(OJ14:OK14,OM14:OO14,OQ14)-SUM(OL14,OP14)&gt;0,SUM(OJ14:OK14,OM14:OO14,OQ14)-SUM(OL14,OP14),"")</f>
        <v/>
      </c>
      <c r="OW14" s="15" t="str">
        <f>IF(SUM(OU14,OV14)&gt;0,SUM(OU14,OV14),"")</f>
        <v/>
      </c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12" t="str">
        <f>IF(SUM(OY14,PC14,PG14,PK14)&gt;0,SUM(OY14,PC14,PG14,PK14),"")</f>
        <v/>
      </c>
      <c r="PW14" s="12" t="str">
        <f>IF(SUM(OX14:OY14,PA14:PC14,PE14)-SUM(OZ14,PD14)&gt;0,SUM(OX14:OY14,PA14:PC14,PE14)-SUM(OZ14,PD14),"")</f>
        <v/>
      </c>
      <c r="PX14" s="12" t="str">
        <f>IF(SUM(PF14:PG14,PI14:PK14,PM14)-SUM(PH14,PL14)&gt;0,SUM(PF14:PG14,PI14:PK14,PM14)-SUM(PH14,PL14),"")</f>
        <v/>
      </c>
      <c r="PY14" s="12" t="str">
        <f>IF(SUM(OX14:OY14,PA14:PC14,PE14:PG14,PI14:PK14,PM14)-SUM(OZ14,PD14,PH14,PL14)&gt;0,SUM(OX14:OY14,PA14:PC14,PE14:PG14,PI14:PK14,PM14)-SUM(OZ14,PD14,PH14,PL14),"")</f>
        <v/>
      </c>
      <c r="PZ14" s="12" t="str">
        <f>IF(SUM(PN14:PO14,PQ14:PS14,PU14)-SUM(PP14,PT14)&gt;0,SUM(PN14:PO14,PQ14:PS14,PU14)-SUM(PP14,PT14),"")</f>
        <v/>
      </c>
      <c r="QA14" s="12" t="str">
        <f>IF(SUM(PY14,PZ14)&gt;0,SUM(PY14,PZ14),"")</f>
        <v/>
      </c>
      <c r="QB14" s="50"/>
      <c r="QC14" s="50"/>
      <c r="QD14" s="50"/>
      <c r="QE14" s="50"/>
      <c r="QF14" s="50"/>
      <c r="QG14" s="50"/>
      <c r="QH14" s="50"/>
      <c r="QI14" s="50"/>
      <c r="QJ14" s="50"/>
      <c r="QK14" s="50"/>
      <c r="QL14" s="50"/>
      <c r="QM14" s="50"/>
      <c r="QN14" s="50"/>
      <c r="QO14" s="50"/>
      <c r="QP14" s="50"/>
      <c r="QQ14" s="50"/>
      <c r="QR14" s="50"/>
      <c r="QS14" s="50"/>
      <c r="QT14" s="50"/>
      <c r="QU14" s="50"/>
      <c r="QV14" s="50"/>
      <c r="QW14" s="50"/>
      <c r="QX14" s="50"/>
      <c r="QY14" s="50"/>
      <c r="QZ14" s="15" t="str">
        <f>IF(SUM(QC14,QG14,QK14,QO14)&gt;0,SUM(QC14,QG14,QK14,QO14),"")</f>
        <v/>
      </c>
      <c r="RA14" s="15" t="str">
        <f>IF(SUM(QB14:QC14,QE14:QG14,QI14)-SUM(QD14,QH14)&gt;0,SUM(QB14:QC14,QE14:QG14,QI14)-SUM(QD14,QH14),"")</f>
        <v/>
      </c>
      <c r="RB14" s="15" t="str">
        <f>IF(SUM(QJ14:QK14,QM14:QO14,QQ14)-SUM(QL14,QP14)&gt;0,SUM(QJ14:QK14,QM14:QO14,QQ14)-SUM(QL14,QP14),"")</f>
        <v/>
      </c>
      <c r="RC14" s="15" t="str">
        <f>IF(SUM(QB14:QC14,QE14:QG14,QI14:QK14,QM14:QO14,QQ14)-SUM(QD14,QH14,QL14,QP14)&gt;0,SUM(QB14:QC14,QE14:QG14,QI14:QK14,QM14:QO14,QQ14)-SUM(QD14,QH14,QL14,QP14),"")</f>
        <v/>
      </c>
      <c r="RD14" s="15" t="str">
        <f>IF(SUM(QR14:QS14,QU14:QW14,QY14)-SUM(QT14,QX14)&gt;0,SUM(QR14:QS14,QU14:QW14,QY14)-SUM(QT14,QX14),"")</f>
        <v/>
      </c>
      <c r="RE14" s="15" t="str">
        <f>IF(SUM(RC14,RD14)&gt;0,SUM(RC14,RD14),"")</f>
        <v/>
      </c>
    </row>
    <row r="17" spans="1:471">
      <c r="B17" s="88" t="s">
        <v>65</v>
      </c>
      <c r="AS17" s="62"/>
      <c r="AT17" s="70">
        <v>24</v>
      </c>
      <c r="AV17" s="62"/>
      <c r="BW17" s="62"/>
      <c r="BX17" s="70">
        <v>24</v>
      </c>
      <c r="BZ17" s="62"/>
      <c r="DA17" s="62"/>
      <c r="DB17" s="70">
        <v>24</v>
      </c>
      <c r="DD17" s="62"/>
      <c r="EH17" s="62"/>
      <c r="EI17" s="70">
        <v>24</v>
      </c>
      <c r="EK17" s="62"/>
      <c r="FL17" s="62"/>
      <c r="FM17" s="70">
        <v>24</v>
      </c>
      <c r="FO17" s="62"/>
      <c r="GP17" s="62"/>
      <c r="GQ17" s="70">
        <v>24</v>
      </c>
      <c r="GS17" s="62"/>
      <c r="HT17" s="62"/>
      <c r="HU17" s="70">
        <v>24</v>
      </c>
      <c r="HW17" s="62"/>
      <c r="IX17" s="62"/>
      <c r="IY17" s="70">
        <v>24</v>
      </c>
      <c r="JA17" s="62"/>
      <c r="KB17" s="62"/>
      <c r="KC17" s="70">
        <v>24</v>
      </c>
      <c r="KE17" s="62"/>
      <c r="LF17" s="62"/>
      <c r="LG17" s="70">
        <v>24</v>
      </c>
      <c r="LI17" s="62"/>
      <c r="MJ17" s="62"/>
      <c r="MK17" s="70">
        <v>24</v>
      </c>
      <c r="MM17" s="62"/>
      <c r="NN17" s="62"/>
      <c r="NO17" s="70">
        <v>24</v>
      </c>
      <c r="NQ17" s="62"/>
      <c r="OR17" s="62"/>
      <c r="OS17" s="70">
        <v>24</v>
      </c>
      <c r="OU17" s="62"/>
      <c r="PV17" s="62"/>
      <c r="PW17" s="70">
        <v>24</v>
      </c>
      <c r="PY17" s="62"/>
      <c r="QZ17" s="62"/>
      <c r="RA17" s="70">
        <v>24</v>
      </c>
      <c r="RC17" s="62"/>
    </row>
    <row r="18" spans="1:471" ht="16" hidden="1" customHeight="1">
      <c r="A18" s="62"/>
      <c r="B18" s="83" t="s">
        <v>64</v>
      </c>
      <c r="C18" s="61"/>
      <c r="AS18" s="62"/>
      <c r="AT18" s="71">
        <v>1000</v>
      </c>
      <c r="AV18" s="62"/>
      <c r="BW18" s="62"/>
      <c r="BX18" s="71">
        <v>1000</v>
      </c>
      <c r="BZ18" s="62"/>
      <c r="DA18" s="62"/>
      <c r="DB18" s="71">
        <v>1000</v>
      </c>
      <c r="DD18" s="62"/>
      <c r="EH18" s="62"/>
      <c r="EI18" s="71">
        <v>1000</v>
      </c>
      <c r="EK18" s="62"/>
      <c r="FL18" s="62"/>
      <c r="FM18" s="71">
        <v>1000</v>
      </c>
      <c r="FO18" s="62"/>
      <c r="GP18" s="62"/>
      <c r="GQ18" s="71">
        <v>1000</v>
      </c>
      <c r="GS18" s="62"/>
      <c r="HT18" s="62"/>
      <c r="HU18" s="71">
        <v>1000</v>
      </c>
      <c r="HW18" s="62"/>
      <c r="IX18" s="62"/>
      <c r="IY18" s="71">
        <v>1000</v>
      </c>
      <c r="JA18" s="62"/>
      <c r="KB18" s="62"/>
      <c r="KC18" s="71">
        <v>1000</v>
      </c>
      <c r="KE18" s="62"/>
      <c r="LF18" s="62"/>
      <c r="LG18" s="71">
        <v>1000</v>
      </c>
      <c r="LI18" s="62"/>
      <c r="MJ18" s="62"/>
      <c r="MK18" s="71">
        <v>1000</v>
      </c>
      <c r="MM18" s="62"/>
      <c r="NN18" s="62"/>
      <c r="NO18" s="71">
        <v>1000</v>
      </c>
      <c r="NQ18" s="62"/>
      <c r="OR18" s="62"/>
      <c r="OS18" s="71">
        <v>1000</v>
      </c>
      <c r="OU18" s="62"/>
      <c r="PV18" s="62"/>
      <c r="PW18" s="71">
        <v>1000</v>
      </c>
      <c r="PY18" s="62"/>
      <c r="QZ18" s="62"/>
      <c r="RA18" s="71">
        <v>1000</v>
      </c>
      <c r="RC18" s="62"/>
    </row>
    <row r="19" spans="1:471">
      <c r="A19" s="62"/>
      <c r="B19" s="84" t="s">
        <v>62</v>
      </c>
      <c r="C19" s="61"/>
      <c r="AS19" s="62"/>
      <c r="AT19" s="72">
        <v>132.6</v>
      </c>
      <c r="AV19" s="62"/>
      <c r="BW19" s="62"/>
      <c r="BX19" s="72">
        <v>132.6</v>
      </c>
      <c r="BZ19" s="62"/>
      <c r="DA19" s="62"/>
      <c r="DB19" s="72">
        <v>132</v>
      </c>
      <c r="DD19" s="62"/>
      <c r="EH19" s="62"/>
      <c r="EI19" s="72">
        <v>132.6</v>
      </c>
      <c r="EK19" s="62"/>
      <c r="FL19" s="62"/>
      <c r="FM19" s="72">
        <v>132</v>
      </c>
      <c r="FO19" s="62"/>
      <c r="GP19" s="62"/>
      <c r="GQ19" s="72">
        <v>132</v>
      </c>
      <c r="GS19" s="62"/>
      <c r="HT19" s="62"/>
      <c r="HU19" s="72">
        <v>132</v>
      </c>
      <c r="HW19" s="62"/>
      <c r="IX19" s="62"/>
      <c r="IY19" s="72">
        <v>132</v>
      </c>
      <c r="JA19" s="62"/>
      <c r="KB19" s="62"/>
      <c r="KC19" s="72">
        <v>132</v>
      </c>
      <c r="KE19" s="62"/>
      <c r="LF19" s="62"/>
      <c r="LG19" s="72">
        <v>132</v>
      </c>
      <c r="LI19" s="62"/>
      <c r="MJ19" s="62"/>
      <c r="MK19" s="72">
        <v>132</v>
      </c>
      <c r="MM19" s="62"/>
      <c r="NN19" s="62"/>
      <c r="NO19" s="72">
        <v>132</v>
      </c>
      <c r="NQ19" s="62"/>
      <c r="OR19" s="62"/>
      <c r="OS19" s="72">
        <v>132</v>
      </c>
      <c r="OU19" s="62"/>
      <c r="PV19" s="62"/>
      <c r="PW19" s="72">
        <v>132</v>
      </c>
      <c r="PY19" s="62"/>
      <c r="QZ19" s="62"/>
      <c r="RA19" s="72">
        <v>132</v>
      </c>
      <c r="RC19" s="62"/>
    </row>
    <row r="20" spans="1:471" ht="16" hidden="1" customHeight="1">
      <c r="A20" s="62"/>
      <c r="B20" s="85" t="s">
        <v>63</v>
      </c>
      <c r="C20" s="61"/>
      <c r="AS20" s="62"/>
      <c r="AT20" s="73">
        <v>1000</v>
      </c>
      <c r="AV20" s="62"/>
      <c r="BW20" s="62"/>
      <c r="BX20" s="73">
        <v>1000</v>
      </c>
      <c r="BZ20" s="62"/>
      <c r="DA20" s="62"/>
      <c r="DB20" s="73">
        <v>1000</v>
      </c>
      <c r="DD20" s="62"/>
      <c r="EH20" s="62"/>
      <c r="EI20" s="73">
        <v>1000</v>
      </c>
      <c r="EK20" s="62"/>
      <c r="FL20" s="62"/>
      <c r="FM20" s="73">
        <v>1000</v>
      </c>
      <c r="FO20" s="62"/>
      <c r="GP20" s="62"/>
      <c r="GQ20" s="73">
        <v>1000</v>
      </c>
      <c r="GS20" s="62"/>
      <c r="HT20" s="62"/>
      <c r="HU20" s="73">
        <v>1000</v>
      </c>
      <c r="HW20" s="62"/>
      <c r="IX20" s="62"/>
      <c r="IY20" s="73">
        <v>1000</v>
      </c>
      <c r="JA20" s="62"/>
      <c r="KB20" s="62"/>
      <c r="KC20" s="73">
        <v>1000</v>
      </c>
      <c r="KE20" s="62"/>
      <c r="LF20" s="62"/>
      <c r="LG20" s="73">
        <v>1000</v>
      </c>
      <c r="LI20" s="62"/>
      <c r="MJ20" s="62"/>
      <c r="MK20" s="73">
        <v>1000</v>
      </c>
      <c r="MM20" s="62"/>
      <c r="NN20" s="62"/>
      <c r="NO20" s="73">
        <v>1000</v>
      </c>
      <c r="NQ20" s="62"/>
      <c r="OR20" s="62"/>
      <c r="OS20" s="73">
        <v>1000</v>
      </c>
      <c r="OU20" s="62"/>
      <c r="PV20" s="62"/>
      <c r="PW20" s="73">
        <v>1000</v>
      </c>
      <c r="PY20" s="62"/>
      <c r="QZ20" s="62"/>
      <c r="RA20" s="73">
        <v>1000</v>
      </c>
      <c r="RC20" s="62"/>
    </row>
    <row r="21" spans="1:471" ht="16" hidden="1" customHeight="1">
      <c r="A21" s="62"/>
      <c r="B21" s="86" t="s">
        <v>27</v>
      </c>
      <c r="C21" s="61"/>
      <c r="AS21" s="62"/>
      <c r="AT21" s="74">
        <v>1000</v>
      </c>
      <c r="AV21" s="62"/>
      <c r="BW21" s="62"/>
      <c r="BX21" s="74">
        <v>1000</v>
      </c>
      <c r="BZ21" s="62"/>
      <c r="DA21" s="62"/>
      <c r="DB21" s="74">
        <v>1000</v>
      </c>
      <c r="DD21" s="62"/>
      <c r="EH21" s="62"/>
      <c r="EI21" s="74">
        <v>1000</v>
      </c>
      <c r="EK21" s="62"/>
      <c r="FL21" s="62"/>
      <c r="FM21" s="74">
        <v>1000</v>
      </c>
      <c r="FO21" s="62"/>
      <c r="GP21" s="62"/>
      <c r="GQ21" s="74">
        <v>1000</v>
      </c>
      <c r="GS21" s="62"/>
      <c r="HT21" s="62"/>
      <c r="HU21" s="74">
        <v>1000</v>
      </c>
      <c r="HW21" s="62"/>
      <c r="IX21" s="62"/>
      <c r="IY21" s="74">
        <v>1000</v>
      </c>
      <c r="JA21" s="62"/>
      <c r="KB21" s="62"/>
      <c r="KC21" s="74">
        <v>1000</v>
      </c>
      <c r="KE21" s="62"/>
      <c r="LF21" s="62"/>
      <c r="LG21" s="74">
        <v>1000</v>
      </c>
      <c r="LI21" s="62"/>
      <c r="MJ21" s="62"/>
      <c r="MK21" s="74">
        <v>1000</v>
      </c>
      <c r="MM21" s="62"/>
      <c r="NN21" s="62"/>
      <c r="NO21" s="74">
        <v>1000</v>
      </c>
      <c r="NQ21" s="62"/>
      <c r="OR21" s="62"/>
      <c r="OS21" s="74">
        <v>1000</v>
      </c>
      <c r="OU21" s="62"/>
      <c r="PV21" s="62"/>
      <c r="PW21" s="74">
        <v>1000</v>
      </c>
      <c r="PY21" s="62"/>
      <c r="QZ21" s="62"/>
      <c r="RA21" s="74">
        <v>1000</v>
      </c>
      <c r="RC21" s="62"/>
    </row>
    <row r="22" spans="1:471" ht="16" hidden="1" customHeight="1">
      <c r="A22" s="62"/>
      <c r="B22" s="87" t="s">
        <v>48</v>
      </c>
      <c r="C22" s="61"/>
      <c r="AS22" s="62"/>
      <c r="AT22" s="75">
        <v>1000</v>
      </c>
      <c r="AV22" s="62"/>
      <c r="BW22" s="62"/>
      <c r="BX22" s="75">
        <v>1000</v>
      </c>
      <c r="BZ22" s="62"/>
      <c r="DA22" s="62"/>
      <c r="DB22" s="75">
        <v>1000</v>
      </c>
      <c r="DD22" s="62"/>
      <c r="EH22" s="62"/>
      <c r="EI22" s="75">
        <v>1000</v>
      </c>
      <c r="EK22" s="62"/>
      <c r="FL22" s="62"/>
      <c r="FM22" s="75">
        <v>1000</v>
      </c>
      <c r="FO22" s="62"/>
      <c r="GP22" s="62"/>
      <c r="GQ22" s="75">
        <v>1000</v>
      </c>
      <c r="GS22" s="62"/>
      <c r="HT22" s="62"/>
      <c r="HU22" s="75">
        <v>1000</v>
      </c>
      <c r="HW22" s="62"/>
      <c r="IX22" s="62"/>
      <c r="IY22" s="75">
        <v>1000</v>
      </c>
      <c r="JA22" s="62"/>
      <c r="KB22" s="62"/>
      <c r="KC22" s="75">
        <v>1000</v>
      </c>
      <c r="KE22" s="62"/>
      <c r="LF22" s="62"/>
      <c r="LG22" s="75">
        <v>1000</v>
      </c>
      <c r="LI22" s="62"/>
      <c r="MJ22" s="62"/>
      <c r="MK22" s="75">
        <v>1000</v>
      </c>
      <c r="MM22" s="62"/>
      <c r="NN22" s="62"/>
      <c r="NO22" s="75">
        <v>1000</v>
      </c>
      <c r="NQ22" s="62"/>
      <c r="OR22" s="62"/>
      <c r="OS22" s="75">
        <v>1000</v>
      </c>
      <c r="OU22" s="62"/>
      <c r="PV22" s="62"/>
      <c r="PW22" s="75">
        <v>1000</v>
      </c>
      <c r="PY22" s="62"/>
      <c r="QZ22" s="62"/>
      <c r="RA22" s="75">
        <v>1000</v>
      </c>
      <c r="RC22" s="62"/>
    </row>
    <row r="23" spans="1:471">
      <c r="C23" s="3"/>
      <c r="AS23" s="7"/>
      <c r="AT23" t="s">
        <v>121</v>
      </c>
      <c r="AV23" s="7"/>
      <c r="BW23" s="7"/>
      <c r="BX23" t="s">
        <v>121</v>
      </c>
      <c r="BZ23" s="7"/>
      <c r="DA23" s="7"/>
      <c r="DD23" s="7"/>
      <c r="EH23" s="7"/>
      <c r="EI23" t="s">
        <v>121</v>
      </c>
      <c r="EK23" s="7"/>
      <c r="FL23" s="7"/>
      <c r="FO23" s="7"/>
      <c r="GP23" s="7"/>
      <c r="GS23" s="7"/>
      <c r="HT23" s="7"/>
      <c r="HW23" s="7"/>
      <c r="IX23" s="7"/>
      <c r="JA23" s="7"/>
      <c r="KB23" s="7"/>
      <c r="KE23" s="7"/>
      <c r="LF23" s="7"/>
      <c r="LI23" s="7"/>
      <c r="MJ23" s="7"/>
      <c r="MM23" s="7"/>
      <c r="NN23" s="7"/>
      <c r="NQ23" s="7"/>
      <c r="OR23" s="7"/>
      <c r="OU23" s="7"/>
      <c r="PV23" s="7"/>
      <c r="PY23" s="7"/>
      <c r="QZ23" s="7"/>
      <c r="RC23" s="7"/>
    </row>
    <row r="24" spans="1:471">
      <c r="A24" s="62"/>
      <c r="B24" s="62"/>
      <c r="C24" s="61"/>
      <c r="OR24" s="7"/>
      <c r="OU24" s="7"/>
    </row>
    <row r="25" spans="1:471">
      <c r="A25" s="62"/>
      <c r="B25" s="62"/>
      <c r="C25" s="61"/>
    </row>
    <row r="26" spans="1:471">
      <c r="A26" s="62"/>
      <c r="B26" s="62"/>
      <c r="C26" s="61"/>
    </row>
  </sheetData>
  <sheetProtection sheet="1" objects="1" scenarios="1" formatCells="0" formatColumns="0" formatRows="0"/>
  <autoFilter ref="A1:RE3" xr:uid="{00000000-0009-0000-0000-000007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1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1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1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sortState ref="A4:RE14">
      <sortCondition descending="1" ref="F1:F13"/>
    </sortState>
  </autoFilter>
  <mergeCells count="126">
    <mergeCell ref="A1:A3"/>
    <mergeCell ref="B1:B3"/>
    <mergeCell ref="C1:C3"/>
    <mergeCell ref="E1:E3"/>
    <mergeCell ref="G1:G3"/>
    <mergeCell ref="FR1:GU1"/>
    <mergeCell ref="FR2:FU2"/>
    <mergeCell ref="FV2:FY2"/>
    <mergeCell ref="FZ2:GC2"/>
    <mergeCell ref="GD2:GG2"/>
    <mergeCell ref="GH2:GK2"/>
    <mergeCell ref="GL2:GO2"/>
    <mergeCell ref="DJ1:EM1"/>
    <mergeCell ref="EN1:FQ1"/>
    <mergeCell ref="I1:I3"/>
    <mergeCell ref="J1:J3"/>
    <mergeCell ref="L1:L3"/>
    <mergeCell ref="N1:N3"/>
    <mergeCell ref="P1:P3"/>
    <mergeCell ref="R1:R3"/>
    <mergeCell ref="AO2:AR2"/>
    <mergeCell ref="U1:AX1"/>
    <mergeCell ref="AY1:CB1"/>
    <mergeCell ref="CC1:DF1"/>
    <mergeCell ref="DG1:DI1"/>
    <mergeCell ref="U2:X2"/>
    <mergeCell ref="Y2:AB2"/>
    <mergeCell ref="AC2:AF2"/>
    <mergeCell ref="FD2:FG2"/>
    <mergeCell ref="AG2:AJ2"/>
    <mergeCell ref="AK2:AN2"/>
    <mergeCell ref="CW2:CZ2"/>
    <mergeCell ref="AY2:BB2"/>
    <mergeCell ref="BC2:BF2"/>
    <mergeCell ref="BG2:BJ2"/>
    <mergeCell ref="BK2:BN2"/>
    <mergeCell ref="BO2:BR2"/>
    <mergeCell ref="BS2:BV2"/>
    <mergeCell ref="CC2:CF2"/>
    <mergeCell ref="CG2:CJ2"/>
    <mergeCell ref="CK2:CN2"/>
    <mergeCell ref="CO2:CR2"/>
    <mergeCell ref="CS2:CV2"/>
    <mergeCell ref="FH2:FK2"/>
    <mergeCell ref="DJ2:DM2"/>
    <mergeCell ref="DN2:DQ2"/>
    <mergeCell ref="DR2:DU2"/>
    <mergeCell ref="DV2:DY2"/>
    <mergeCell ref="DZ2:EC2"/>
    <mergeCell ref="ED2:EG2"/>
    <mergeCell ref="EN2:EQ2"/>
    <mergeCell ref="ER2:EU2"/>
    <mergeCell ref="EV2:EY2"/>
    <mergeCell ref="EZ2:FC2"/>
    <mergeCell ref="HZ1:JC1"/>
    <mergeCell ref="GV2:GY2"/>
    <mergeCell ref="GZ2:HC2"/>
    <mergeCell ref="HD2:HG2"/>
    <mergeCell ref="HH2:HK2"/>
    <mergeCell ref="HL2:HO2"/>
    <mergeCell ref="HP2:HS2"/>
    <mergeCell ref="HZ2:IC2"/>
    <mergeCell ref="ID2:IG2"/>
    <mergeCell ref="IH2:IK2"/>
    <mergeCell ref="IL2:IO2"/>
    <mergeCell ref="IP2:IS2"/>
    <mergeCell ref="IT2:IW2"/>
    <mergeCell ref="GV1:HY1"/>
    <mergeCell ref="JD1:KG1"/>
    <mergeCell ref="KH1:LK1"/>
    <mergeCell ref="JD2:JG2"/>
    <mergeCell ref="JH2:JK2"/>
    <mergeCell ref="JL2:JO2"/>
    <mergeCell ref="JP2:JS2"/>
    <mergeCell ref="JT2:JW2"/>
    <mergeCell ref="JX2:KA2"/>
    <mergeCell ref="KH2:KK2"/>
    <mergeCell ref="KL2:KO2"/>
    <mergeCell ref="KP2:KS2"/>
    <mergeCell ref="KT2:KW2"/>
    <mergeCell ref="KX2:LA2"/>
    <mergeCell ref="LB2:LE2"/>
    <mergeCell ref="LL1:MO1"/>
    <mergeCell ref="MP1:NS1"/>
    <mergeCell ref="LL2:LO2"/>
    <mergeCell ref="LP2:LS2"/>
    <mergeCell ref="LT2:LW2"/>
    <mergeCell ref="LX2:MA2"/>
    <mergeCell ref="MB2:ME2"/>
    <mergeCell ref="MF2:MI2"/>
    <mergeCell ref="MP2:MS2"/>
    <mergeCell ref="MT2:MW2"/>
    <mergeCell ref="MX2:NA2"/>
    <mergeCell ref="NB2:NE2"/>
    <mergeCell ref="NF2:NI2"/>
    <mergeCell ref="NJ2:NM2"/>
    <mergeCell ref="QB1:RE1"/>
    <mergeCell ref="QB2:QE2"/>
    <mergeCell ref="QF2:QI2"/>
    <mergeCell ref="QJ2:QM2"/>
    <mergeCell ref="QN2:QQ2"/>
    <mergeCell ref="QR2:QU2"/>
    <mergeCell ref="QV2:QY2"/>
    <mergeCell ref="NT1:OW1"/>
    <mergeCell ref="OX1:QA1"/>
    <mergeCell ref="NT2:NW2"/>
    <mergeCell ref="NX2:OA2"/>
    <mergeCell ref="OB2:OE2"/>
    <mergeCell ref="OF2:OI2"/>
    <mergeCell ref="OJ2:OM2"/>
    <mergeCell ref="ON2:OQ2"/>
    <mergeCell ref="OX2:PA2"/>
    <mergeCell ref="PB2:PE2"/>
    <mergeCell ref="PF2:PI2"/>
    <mergeCell ref="PJ2:PM2"/>
    <mergeCell ref="PN2:PQ2"/>
    <mergeCell ref="PR2:PU2"/>
    <mergeCell ref="F1:F3"/>
    <mergeCell ref="M1:M3"/>
    <mergeCell ref="K1:K3"/>
    <mergeCell ref="O1:O3"/>
    <mergeCell ref="Q1:Q3"/>
    <mergeCell ref="H1:H3"/>
    <mergeCell ref="D1:D3"/>
    <mergeCell ref="S1:S3"/>
    <mergeCell ref="T1:T3"/>
  </mergeCells>
  <conditionalFormatting sqref="A1:A1048576">
    <cfRule type="expression" dxfId="39" priority="67">
      <formula>AND(H1="P",F1="")</formula>
    </cfRule>
  </conditionalFormatting>
  <conditionalFormatting sqref="I1:I1048576">
    <cfRule type="containsText" dxfId="38" priority="77" operator="containsText" text="National Team">
      <formula>NOT(ISERROR(SEARCH("National Team",I1)))</formula>
    </cfRule>
    <cfRule type="containsText" dxfId="37" priority="68" operator="containsText" text="Merit">
      <formula>NOT(ISERROR(SEARCH("Merit",I1)))</formula>
    </cfRule>
    <cfRule type="containsText" dxfId="36" priority="69" operator="containsText" text="Funding">
      <formula>NOT(ISERROR(SEARCH("Funding",I1)))</formula>
    </cfRule>
    <cfRule type="containsText" dxfId="35" priority="70" operator="containsText" text="Worlds Team">
      <formula>NOT(ISERROR(SEARCH("Worlds Team",I1)))</formula>
    </cfRule>
  </conditionalFormatting>
  <conditionalFormatting sqref="K1:K1048576">
    <cfRule type="expression" dxfId="34" priority="78">
      <formula>IF(J1=DD1,1,0)</formula>
    </cfRule>
    <cfRule type="expression" dxfId="33" priority="79">
      <formula>IF(J1=BZ1,1,0)</formula>
    </cfRule>
    <cfRule type="expression" dxfId="32" priority="81">
      <formula>IF(J1=AV1,1,0)</formula>
    </cfRule>
  </conditionalFormatting>
  <conditionalFormatting sqref="M1:M1048576">
    <cfRule type="expression" dxfId="31" priority="84">
      <formula>IF(L1=DB1,1,0)</formula>
    </cfRule>
    <cfRule type="expression" dxfId="30" priority="85">
      <formula>IF(L1=BX1,1,0)</formula>
    </cfRule>
    <cfRule type="expression" dxfId="29" priority="699">
      <formula>IF(L1=AT1,1,0)</formula>
    </cfRule>
  </conditionalFormatting>
  <conditionalFormatting sqref="O1:O1048576 Q1:Q1048576">
    <cfRule type="expression" dxfId="28" priority="2371">
      <formula>IF(N1=DC1,1,0)</formula>
    </cfRule>
    <cfRule type="expression" dxfId="27" priority="2372">
      <formula>IF(N1=BY1,1,0)</formula>
    </cfRule>
    <cfRule type="expression" dxfId="26" priority="2373">
      <formula>IF(N1=AU1,1,0)</formula>
    </cfRule>
  </conditionalFormatting>
  <conditionalFormatting sqref="AS1:AS1048576 BW1:BW1048576 DA1:DA1048576 EH1:EH1048576 FL1:FL1048576 GP1:GP1048576 HT1:HT1048576 IX1:IX1048576 KB1:KB1048576 LF1:LF1048576 MJ1:MJ1048576 NN1:NN1048576 OR1:OR1048576 PV1:PV1048576 QZ1:QZ1048576">
    <cfRule type="cellIs" dxfId="25" priority="2374" operator="between">
      <formula>AT$18</formula>
      <formula>100</formula>
    </cfRule>
    <cfRule type="cellIs" dxfId="24" priority="2375" operator="between">
      <formula>AT$17</formula>
      <formula>AT$18</formula>
    </cfRule>
  </conditionalFormatting>
  <conditionalFormatting sqref="RC1:RC1048576 PY1:PY1048576 OU1:OU1048576 NQ1:NQ1048576 MM1:MM1048576 LI1:LI1048576 KE1:KE1048576 JA1:JA1048576 HW1:HW1048576 GS1:GS1048576 FO1:FO1048576 EK1:EK1048576 DD1:DD1048576 BZ1:BZ1048576 AV1:AV1048576">
    <cfRule type="cellIs" dxfId="23" priority="2376" operator="between">
      <formula>AT$22</formula>
      <formula>1000</formula>
    </cfRule>
    <cfRule type="cellIs" dxfId="22" priority="2380" operator="between">
      <formula>AT$21</formula>
      <formula>AT$22</formula>
    </cfRule>
    <cfRule type="cellIs" dxfId="21" priority="2381" operator="between">
      <formula>AT$20</formula>
      <formula>AT$21</formula>
    </cfRule>
    <cfRule type="cellIs" dxfId="20" priority="2382" operator="between">
      <formula>AT$19</formula>
      <formula>AT$20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E20"/>
  <sheetViews>
    <sheetView workbookViewId="0">
      <pane xSplit="3" topLeftCell="D1" activePane="topRight" state="frozen"/>
      <selection pane="topRight" sqref="A1:A3"/>
    </sheetView>
  </sheetViews>
  <sheetFormatPr baseColWidth="10" defaultRowHeight="16"/>
  <cols>
    <col min="2" max="2" width="21.33203125" bestFit="1" customWidth="1"/>
    <col min="3" max="3" width="8.1640625" bestFit="1" customWidth="1"/>
    <col min="4" max="4" width="16.33203125" customWidth="1"/>
    <col min="6" max="6" width="15.83203125" customWidth="1"/>
    <col min="7" max="7" width="15" hidden="1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4" width="10.83203125" hidden="1" customWidth="1"/>
    <col min="45" max="50" width="10.83203125" customWidth="1"/>
    <col min="51" max="74" width="10.83203125" hidden="1" customWidth="1"/>
    <col min="75" max="80" width="10.83203125" customWidth="1"/>
    <col min="81" max="104" width="10.83203125" hidden="1" customWidth="1"/>
    <col min="105" max="110" width="10.83203125" customWidth="1"/>
    <col min="114" max="137" width="10.83203125" hidden="1" customWidth="1"/>
    <col min="138" max="143" width="10.83203125" customWidth="1"/>
    <col min="144" max="167" width="10.83203125" hidden="1" customWidth="1"/>
    <col min="168" max="173" width="10.83203125" customWidth="1"/>
    <col min="174" max="197" width="10.83203125" hidden="1" customWidth="1"/>
    <col min="198" max="203" width="10.83203125" customWidth="1"/>
    <col min="204" max="227" width="10.83203125" hidden="1" customWidth="1"/>
    <col min="228" max="233" width="10.83203125" customWidth="1"/>
    <col min="234" max="257" width="10.83203125" hidden="1" customWidth="1"/>
    <col min="258" max="263" width="10.83203125" customWidth="1"/>
    <col min="264" max="287" width="10.83203125" hidden="1" customWidth="1"/>
    <col min="288" max="293" width="10.83203125" customWidth="1"/>
    <col min="294" max="317" width="10.83203125" hidden="1" customWidth="1"/>
    <col min="318" max="323" width="10.83203125" customWidth="1"/>
    <col min="324" max="347" width="10.83203125" hidden="1" customWidth="1"/>
    <col min="348" max="353" width="10.83203125" customWidth="1"/>
    <col min="354" max="377" width="10.83203125" hidden="1" customWidth="1"/>
    <col min="378" max="383" width="10.83203125" customWidth="1"/>
    <col min="384" max="407" width="10.83203125" hidden="1" customWidth="1"/>
    <col min="408" max="413" width="10.83203125" customWidth="1"/>
    <col min="414" max="437" width="10.83203125" hidden="1" customWidth="1"/>
    <col min="438" max="443" width="10.83203125" customWidth="1"/>
    <col min="444" max="467" width="10.83203125" hidden="1" customWidth="1"/>
    <col min="468" max="473" width="10.83203125" customWidth="1"/>
  </cols>
  <sheetData>
    <row r="1" spans="1:473">
      <c r="A1" s="100" t="s">
        <v>1</v>
      </c>
      <c r="B1" s="100" t="s">
        <v>29</v>
      </c>
      <c r="C1" s="100" t="s">
        <v>0</v>
      </c>
      <c r="D1" s="100" t="s">
        <v>69</v>
      </c>
      <c r="E1" s="100" t="s">
        <v>2</v>
      </c>
      <c r="F1" s="101" t="s">
        <v>65</v>
      </c>
      <c r="G1" s="101" t="s">
        <v>64</v>
      </c>
      <c r="H1" s="100" t="s">
        <v>8</v>
      </c>
      <c r="I1" s="100" t="s">
        <v>9</v>
      </c>
      <c r="J1" s="102" t="s">
        <v>10</v>
      </c>
      <c r="K1" s="102" t="s">
        <v>46</v>
      </c>
      <c r="L1" s="102" t="s">
        <v>30</v>
      </c>
      <c r="M1" s="102" t="s">
        <v>46</v>
      </c>
      <c r="N1" s="102" t="s">
        <v>31</v>
      </c>
      <c r="O1" s="102" t="s">
        <v>46</v>
      </c>
      <c r="P1" s="102" t="s">
        <v>13</v>
      </c>
      <c r="Q1" s="102" t="s">
        <v>46</v>
      </c>
      <c r="R1" s="103" t="s">
        <v>14</v>
      </c>
      <c r="S1" s="102" t="s">
        <v>47</v>
      </c>
      <c r="T1" s="102" t="s">
        <v>46</v>
      </c>
      <c r="U1" s="97" t="s">
        <v>25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6" t="s">
        <v>26</v>
      </c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7" t="s">
        <v>66</v>
      </c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  <c r="DE1" s="97"/>
      <c r="DF1" s="97"/>
      <c r="DG1" s="104" t="s">
        <v>14</v>
      </c>
      <c r="DH1" s="104"/>
      <c r="DI1" s="104"/>
      <c r="DJ1" s="111" t="s">
        <v>61</v>
      </c>
      <c r="DK1" s="111"/>
      <c r="DL1" s="111"/>
      <c r="DM1" s="111"/>
      <c r="DN1" s="111"/>
      <c r="DO1" s="111"/>
      <c r="DP1" s="111"/>
      <c r="DQ1" s="111"/>
      <c r="DR1" s="111"/>
      <c r="DS1" s="111"/>
      <c r="DT1" s="111"/>
      <c r="DU1" s="111"/>
      <c r="DV1" s="111"/>
      <c r="DW1" s="111"/>
      <c r="DX1" s="111"/>
      <c r="DY1" s="111"/>
      <c r="DZ1" s="111"/>
      <c r="EA1" s="111"/>
      <c r="EB1" s="111"/>
      <c r="EC1" s="111"/>
      <c r="ED1" s="111"/>
      <c r="EE1" s="111"/>
      <c r="EF1" s="111"/>
      <c r="EG1" s="111"/>
      <c r="EH1" s="111"/>
      <c r="EI1" s="111"/>
      <c r="EJ1" s="111"/>
      <c r="EK1" s="111"/>
      <c r="EL1" s="111"/>
      <c r="EM1" s="111"/>
      <c r="EN1" s="109"/>
      <c r="EO1" s="109"/>
      <c r="EP1" s="109"/>
      <c r="EQ1" s="109"/>
      <c r="ER1" s="109"/>
      <c r="ES1" s="109"/>
      <c r="ET1" s="109"/>
      <c r="EU1" s="109"/>
      <c r="EV1" s="109"/>
      <c r="EW1" s="109"/>
      <c r="EX1" s="109"/>
      <c r="EY1" s="109"/>
      <c r="EZ1" s="109"/>
      <c r="FA1" s="109"/>
      <c r="FB1" s="109"/>
      <c r="FC1" s="109"/>
      <c r="FD1" s="109"/>
      <c r="FE1" s="109"/>
      <c r="FF1" s="109"/>
      <c r="FG1" s="109"/>
      <c r="FH1" s="109"/>
      <c r="FI1" s="109"/>
      <c r="FJ1" s="109"/>
      <c r="FK1" s="109"/>
      <c r="FL1" s="109"/>
      <c r="FM1" s="109"/>
      <c r="FN1" s="109"/>
      <c r="FO1" s="109"/>
      <c r="FP1" s="109"/>
      <c r="FQ1" s="109"/>
      <c r="FR1" s="111"/>
      <c r="FS1" s="111"/>
      <c r="FT1" s="111"/>
      <c r="FU1" s="111"/>
      <c r="FV1" s="111"/>
      <c r="FW1" s="111"/>
      <c r="FX1" s="111"/>
      <c r="FY1" s="111"/>
      <c r="FZ1" s="111"/>
      <c r="GA1" s="111"/>
      <c r="GB1" s="111"/>
      <c r="GC1" s="111"/>
      <c r="GD1" s="111"/>
      <c r="GE1" s="111"/>
      <c r="GF1" s="111"/>
      <c r="GG1" s="111"/>
      <c r="GH1" s="111"/>
      <c r="GI1" s="111"/>
      <c r="GJ1" s="111"/>
      <c r="GK1" s="111"/>
      <c r="GL1" s="111"/>
      <c r="GM1" s="111"/>
      <c r="GN1" s="111"/>
      <c r="GO1" s="111"/>
      <c r="GP1" s="111"/>
      <c r="GQ1" s="111"/>
      <c r="GR1" s="111"/>
      <c r="GS1" s="111"/>
      <c r="GT1" s="111"/>
      <c r="GU1" s="111"/>
      <c r="GV1" s="109"/>
      <c r="GW1" s="109"/>
      <c r="GX1" s="109"/>
      <c r="GY1" s="109"/>
      <c r="GZ1" s="109"/>
      <c r="HA1" s="109"/>
      <c r="HB1" s="109"/>
      <c r="HC1" s="109"/>
      <c r="HD1" s="109"/>
      <c r="HE1" s="109"/>
      <c r="HF1" s="109"/>
      <c r="HG1" s="109"/>
      <c r="HH1" s="109"/>
      <c r="HI1" s="109"/>
      <c r="HJ1" s="109"/>
      <c r="HK1" s="109"/>
      <c r="HL1" s="109"/>
      <c r="HM1" s="109"/>
      <c r="HN1" s="109"/>
      <c r="HO1" s="109"/>
      <c r="HP1" s="109"/>
      <c r="HQ1" s="109"/>
      <c r="HR1" s="109"/>
      <c r="HS1" s="109"/>
      <c r="HT1" s="109"/>
      <c r="HU1" s="109"/>
      <c r="HV1" s="109"/>
      <c r="HW1" s="109"/>
      <c r="HX1" s="109"/>
      <c r="HY1" s="109"/>
      <c r="HZ1" s="111"/>
      <c r="IA1" s="111"/>
      <c r="IB1" s="111"/>
      <c r="IC1" s="111"/>
      <c r="ID1" s="111"/>
      <c r="IE1" s="111"/>
      <c r="IF1" s="111"/>
      <c r="IG1" s="111"/>
      <c r="IH1" s="111"/>
      <c r="II1" s="111"/>
      <c r="IJ1" s="111"/>
      <c r="IK1" s="111"/>
      <c r="IL1" s="111"/>
      <c r="IM1" s="111"/>
      <c r="IN1" s="111"/>
      <c r="IO1" s="111"/>
      <c r="IP1" s="111"/>
      <c r="IQ1" s="111"/>
      <c r="IR1" s="111"/>
      <c r="IS1" s="111"/>
      <c r="IT1" s="111"/>
      <c r="IU1" s="111"/>
      <c r="IV1" s="111"/>
      <c r="IW1" s="111"/>
      <c r="IX1" s="111"/>
      <c r="IY1" s="111"/>
      <c r="IZ1" s="111"/>
      <c r="JA1" s="111"/>
      <c r="JB1" s="111"/>
      <c r="JC1" s="111"/>
      <c r="JD1" s="109"/>
      <c r="JE1" s="109"/>
      <c r="JF1" s="109"/>
      <c r="JG1" s="109"/>
      <c r="JH1" s="109"/>
      <c r="JI1" s="109"/>
      <c r="JJ1" s="109"/>
      <c r="JK1" s="109"/>
      <c r="JL1" s="109"/>
      <c r="JM1" s="109"/>
      <c r="JN1" s="109"/>
      <c r="JO1" s="109"/>
      <c r="JP1" s="109"/>
      <c r="JQ1" s="109"/>
      <c r="JR1" s="109"/>
      <c r="JS1" s="109"/>
      <c r="JT1" s="109"/>
      <c r="JU1" s="109"/>
      <c r="JV1" s="109"/>
      <c r="JW1" s="109"/>
      <c r="JX1" s="109"/>
      <c r="JY1" s="109"/>
      <c r="JZ1" s="109"/>
      <c r="KA1" s="109"/>
      <c r="KB1" s="109"/>
      <c r="KC1" s="109"/>
      <c r="KD1" s="109"/>
      <c r="KE1" s="109"/>
      <c r="KF1" s="109"/>
      <c r="KG1" s="109"/>
      <c r="KH1" s="111"/>
      <c r="KI1" s="111"/>
      <c r="KJ1" s="111"/>
      <c r="KK1" s="111"/>
      <c r="KL1" s="111"/>
      <c r="KM1" s="111"/>
      <c r="KN1" s="111"/>
      <c r="KO1" s="111"/>
      <c r="KP1" s="111"/>
      <c r="KQ1" s="111"/>
      <c r="KR1" s="111"/>
      <c r="KS1" s="111"/>
      <c r="KT1" s="111"/>
      <c r="KU1" s="111"/>
      <c r="KV1" s="111"/>
      <c r="KW1" s="111"/>
      <c r="KX1" s="111"/>
      <c r="KY1" s="111"/>
      <c r="KZ1" s="111"/>
      <c r="LA1" s="111"/>
      <c r="LB1" s="111"/>
      <c r="LC1" s="111"/>
      <c r="LD1" s="111"/>
      <c r="LE1" s="111"/>
      <c r="LF1" s="111"/>
      <c r="LG1" s="111"/>
      <c r="LH1" s="111"/>
      <c r="LI1" s="111"/>
      <c r="LJ1" s="111"/>
      <c r="LK1" s="111"/>
      <c r="LL1" s="109"/>
      <c r="LM1" s="109"/>
      <c r="LN1" s="109"/>
      <c r="LO1" s="109"/>
      <c r="LP1" s="109"/>
      <c r="LQ1" s="109"/>
      <c r="LR1" s="109"/>
      <c r="LS1" s="109"/>
      <c r="LT1" s="109"/>
      <c r="LU1" s="109"/>
      <c r="LV1" s="109"/>
      <c r="LW1" s="109"/>
      <c r="LX1" s="109"/>
      <c r="LY1" s="109"/>
      <c r="LZ1" s="109"/>
      <c r="MA1" s="109"/>
      <c r="MB1" s="109"/>
      <c r="MC1" s="109"/>
      <c r="MD1" s="109"/>
      <c r="ME1" s="109"/>
      <c r="MF1" s="109"/>
      <c r="MG1" s="109"/>
      <c r="MH1" s="109"/>
      <c r="MI1" s="109"/>
      <c r="MJ1" s="109"/>
      <c r="MK1" s="109"/>
      <c r="ML1" s="109"/>
      <c r="MM1" s="109"/>
      <c r="MN1" s="109"/>
      <c r="MO1" s="109"/>
      <c r="MP1" s="111"/>
      <c r="MQ1" s="111"/>
      <c r="MR1" s="111"/>
      <c r="MS1" s="111"/>
      <c r="MT1" s="111"/>
      <c r="MU1" s="111"/>
      <c r="MV1" s="111"/>
      <c r="MW1" s="111"/>
      <c r="MX1" s="111"/>
      <c r="MY1" s="111"/>
      <c r="MZ1" s="111"/>
      <c r="NA1" s="111"/>
      <c r="NB1" s="111"/>
      <c r="NC1" s="111"/>
      <c r="ND1" s="111"/>
      <c r="NE1" s="111"/>
      <c r="NF1" s="111"/>
      <c r="NG1" s="111"/>
      <c r="NH1" s="111"/>
      <c r="NI1" s="111"/>
      <c r="NJ1" s="111"/>
      <c r="NK1" s="111"/>
      <c r="NL1" s="111"/>
      <c r="NM1" s="111"/>
      <c r="NN1" s="111"/>
      <c r="NO1" s="111"/>
      <c r="NP1" s="111"/>
      <c r="NQ1" s="111"/>
      <c r="NR1" s="111"/>
      <c r="NS1" s="111"/>
      <c r="NT1" s="109"/>
      <c r="NU1" s="109"/>
      <c r="NV1" s="109"/>
      <c r="NW1" s="109"/>
      <c r="NX1" s="109"/>
      <c r="NY1" s="109"/>
      <c r="NZ1" s="109"/>
      <c r="OA1" s="109"/>
      <c r="OB1" s="109"/>
      <c r="OC1" s="109"/>
      <c r="OD1" s="109"/>
      <c r="OE1" s="109"/>
      <c r="OF1" s="109"/>
      <c r="OG1" s="109"/>
      <c r="OH1" s="109"/>
      <c r="OI1" s="109"/>
      <c r="OJ1" s="109"/>
      <c r="OK1" s="109"/>
      <c r="OL1" s="109"/>
      <c r="OM1" s="109"/>
      <c r="ON1" s="109"/>
      <c r="OO1" s="109"/>
      <c r="OP1" s="109"/>
      <c r="OQ1" s="109"/>
      <c r="OR1" s="109"/>
      <c r="OS1" s="109"/>
      <c r="OT1" s="109"/>
      <c r="OU1" s="109"/>
      <c r="OV1" s="109"/>
      <c r="OW1" s="109"/>
      <c r="OX1" s="111"/>
      <c r="OY1" s="111"/>
      <c r="OZ1" s="111"/>
      <c r="PA1" s="111"/>
      <c r="PB1" s="111"/>
      <c r="PC1" s="111"/>
      <c r="PD1" s="111"/>
      <c r="PE1" s="111"/>
      <c r="PF1" s="111"/>
      <c r="PG1" s="111"/>
      <c r="PH1" s="111"/>
      <c r="PI1" s="111"/>
      <c r="PJ1" s="111"/>
      <c r="PK1" s="111"/>
      <c r="PL1" s="111"/>
      <c r="PM1" s="111"/>
      <c r="PN1" s="111"/>
      <c r="PO1" s="111"/>
      <c r="PP1" s="111"/>
      <c r="PQ1" s="111"/>
      <c r="PR1" s="111"/>
      <c r="PS1" s="111"/>
      <c r="PT1" s="111"/>
      <c r="PU1" s="111"/>
      <c r="PV1" s="111"/>
      <c r="PW1" s="111"/>
      <c r="PX1" s="111"/>
      <c r="PY1" s="111"/>
      <c r="PZ1" s="111"/>
      <c r="QA1" s="111"/>
      <c r="QB1" s="109"/>
      <c r="QC1" s="109"/>
      <c r="QD1" s="109"/>
      <c r="QE1" s="109"/>
      <c r="QF1" s="109"/>
      <c r="QG1" s="109"/>
      <c r="QH1" s="109"/>
      <c r="QI1" s="109"/>
      <c r="QJ1" s="109"/>
      <c r="QK1" s="109"/>
      <c r="QL1" s="109"/>
      <c r="QM1" s="109"/>
      <c r="QN1" s="109"/>
      <c r="QO1" s="109"/>
      <c r="QP1" s="109"/>
      <c r="QQ1" s="109"/>
      <c r="QR1" s="109"/>
      <c r="QS1" s="109"/>
      <c r="QT1" s="109"/>
      <c r="QU1" s="109"/>
      <c r="QV1" s="109"/>
      <c r="QW1" s="109"/>
      <c r="QX1" s="109"/>
      <c r="QY1" s="109"/>
      <c r="QZ1" s="109"/>
      <c r="RA1" s="109"/>
      <c r="RB1" s="109"/>
      <c r="RC1" s="109"/>
      <c r="RD1" s="109"/>
      <c r="RE1" s="109"/>
    </row>
    <row r="2" spans="1:473">
      <c r="A2" s="100"/>
      <c r="B2" s="100"/>
      <c r="C2" s="100"/>
      <c r="D2" s="100"/>
      <c r="E2" s="100"/>
      <c r="F2" s="101"/>
      <c r="G2" s="101"/>
      <c r="H2" s="100"/>
      <c r="I2" s="100"/>
      <c r="J2" s="102"/>
      <c r="K2" s="102"/>
      <c r="L2" s="102"/>
      <c r="M2" s="102"/>
      <c r="N2" s="102"/>
      <c r="O2" s="102"/>
      <c r="P2" s="102"/>
      <c r="Q2" s="102"/>
      <c r="R2" s="103"/>
      <c r="S2" s="102"/>
      <c r="T2" s="102"/>
      <c r="U2" s="99" t="s">
        <v>32</v>
      </c>
      <c r="V2" s="99"/>
      <c r="W2" s="99"/>
      <c r="X2" s="99"/>
      <c r="Y2" s="99" t="s">
        <v>35</v>
      </c>
      <c r="Z2" s="99"/>
      <c r="AA2" s="99"/>
      <c r="AB2" s="99"/>
      <c r="AC2" s="99" t="s">
        <v>36</v>
      </c>
      <c r="AD2" s="99"/>
      <c r="AE2" s="99"/>
      <c r="AF2" s="99"/>
      <c r="AG2" s="107" t="s">
        <v>37</v>
      </c>
      <c r="AH2" s="107"/>
      <c r="AI2" s="107"/>
      <c r="AJ2" s="107"/>
      <c r="AK2" s="107" t="s">
        <v>38</v>
      </c>
      <c r="AL2" s="107"/>
      <c r="AM2" s="107"/>
      <c r="AN2" s="107"/>
      <c r="AO2" s="107" t="s">
        <v>39</v>
      </c>
      <c r="AP2" s="107"/>
      <c r="AQ2" s="107"/>
      <c r="AR2" s="107"/>
      <c r="AS2" s="64" t="s">
        <v>28</v>
      </c>
      <c r="AT2" s="10" t="s">
        <v>40</v>
      </c>
      <c r="AU2" s="10" t="s">
        <v>41</v>
      </c>
      <c r="AV2" s="10" t="s">
        <v>24</v>
      </c>
      <c r="AW2" s="10" t="s">
        <v>23</v>
      </c>
      <c r="AX2" s="10" t="s">
        <v>18</v>
      </c>
      <c r="AY2" s="98" t="s">
        <v>32</v>
      </c>
      <c r="AZ2" s="98"/>
      <c r="BA2" s="98"/>
      <c r="BB2" s="98"/>
      <c r="BC2" s="98" t="s">
        <v>35</v>
      </c>
      <c r="BD2" s="98"/>
      <c r="BE2" s="98"/>
      <c r="BF2" s="98"/>
      <c r="BG2" s="98" t="s">
        <v>36</v>
      </c>
      <c r="BH2" s="98"/>
      <c r="BI2" s="98"/>
      <c r="BJ2" s="98"/>
      <c r="BK2" s="110" t="s">
        <v>37</v>
      </c>
      <c r="BL2" s="110"/>
      <c r="BM2" s="110"/>
      <c r="BN2" s="110"/>
      <c r="BO2" s="110" t="s">
        <v>38</v>
      </c>
      <c r="BP2" s="110"/>
      <c r="BQ2" s="110"/>
      <c r="BR2" s="110"/>
      <c r="BS2" s="110" t="s">
        <v>39</v>
      </c>
      <c r="BT2" s="110"/>
      <c r="BU2" s="110"/>
      <c r="BV2" s="110"/>
      <c r="BW2" s="63" t="s">
        <v>28</v>
      </c>
      <c r="BX2" s="13" t="s">
        <v>40</v>
      </c>
      <c r="BY2" s="13" t="s">
        <v>41</v>
      </c>
      <c r="BZ2" s="13" t="s">
        <v>24</v>
      </c>
      <c r="CA2" s="13" t="s">
        <v>23</v>
      </c>
      <c r="CB2" s="13" t="s">
        <v>18</v>
      </c>
      <c r="CC2" s="99" t="s">
        <v>32</v>
      </c>
      <c r="CD2" s="99"/>
      <c r="CE2" s="99"/>
      <c r="CF2" s="99"/>
      <c r="CG2" s="99" t="s">
        <v>35</v>
      </c>
      <c r="CH2" s="99"/>
      <c r="CI2" s="99"/>
      <c r="CJ2" s="99"/>
      <c r="CK2" s="99" t="s">
        <v>36</v>
      </c>
      <c r="CL2" s="99"/>
      <c r="CM2" s="99"/>
      <c r="CN2" s="99"/>
      <c r="CO2" s="107" t="s">
        <v>37</v>
      </c>
      <c r="CP2" s="107"/>
      <c r="CQ2" s="107"/>
      <c r="CR2" s="107"/>
      <c r="CS2" s="107" t="s">
        <v>38</v>
      </c>
      <c r="CT2" s="107"/>
      <c r="CU2" s="107"/>
      <c r="CV2" s="107"/>
      <c r="CW2" s="107" t="s">
        <v>39</v>
      </c>
      <c r="CX2" s="107"/>
      <c r="CY2" s="107"/>
      <c r="CZ2" s="107"/>
      <c r="DA2" s="17" t="s">
        <v>28</v>
      </c>
      <c r="DB2" s="10" t="s">
        <v>40</v>
      </c>
      <c r="DC2" s="10" t="s">
        <v>41</v>
      </c>
      <c r="DD2" s="10" t="s">
        <v>24</v>
      </c>
      <c r="DE2" s="10" t="s">
        <v>23</v>
      </c>
      <c r="DF2" s="10" t="s">
        <v>18</v>
      </c>
      <c r="DG2" s="26" t="s">
        <v>40</v>
      </c>
      <c r="DH2" s="26" t="s">
        <v>41</v>
      </c>
      <c r="DI2" s="26" t="s">
        <v>23</v>
      </c>
      <c r="DJ2" s="99" t="s">
        <v>32</v>
      </c>
      <c r="DK2" s="99"/>
      <c r="DL2" s="99"/>
      <c r="DM2" s="99"/>
      <c r="DN2" s="99" t="s">
        <v>35</v>
      </c>
      <c r="DO2" s="99"/>
      <c r="DP2" s="99"/>
      <c r="DQ2" s="99"/>
      <c r="DR2" s="99" t="s">
        <v>36</v>
      </c>
      <c r="DS2" s="99"/>
      <c r="DT2" s="99"/>
      <c r="DU2" s="99"/>
      <c r="DV2" s="107" t="s">
        <v>37</v>
      </c>
      <c r="DW2" s="107"/>
      <c r="DX2" s="107"/>
      <c r="DY2" s="107"/>
      <c r="DZ2" s="107" t="s">
        <v>38</v>
      </c>
      <c r="EA2" s="107"/>
      <c r="EB2" s="107"/>
      <c r="EC2" s="107"/>
      <c r="ED2" s="107" t="s">
        <v>39</v>
      </c>
      <c r="EE2" s="107"/>
      <c r="EF2" s="107"/>
      <c r="EG2" s="107"/>
      <c r="EH2" s="64" t="s">
        <v>28</v>
      </c>
      <c r="EI2" s="10" t="s">
        <v>40</v>
      </c>
      <c r="EJ2" s="10" t="s">
        <v>41</v>
      </c>
      <c r="EK2" s="10" t="s">
        <v>24</v>
      </c>
      <c r="EL2" s="10" t="s">
        <v>23</v>
      </c>
      <c r="EM2" s="10" t="s">
        <v>18</v>
      </c>
      <c r="EN2" s="110" t="s">
        <v>32</v>
      </c>
      <c r="EO2" s="110"/>
      <c r="EP2" s="110"/>
      <c r="EQ2" s="110"/>
      <c r="ER2" s="110" t="s">
        <v>35</v>
      </c>
      <c r="ES2" s="110"/>
      <c r="ET2" s="110"/>
      <c r="EU2" s="110"/>
      <c r="EV2" s="110" t="s">
        <v>36</v>
      </c>
      <c r="EW2" s="110"/>
      <c r="EX2" s="110"/>
      <c r="EY2" s="110"/>
      <c r="EZ2" s="110" t="s">
        <v>37</v>
      </c>
      <c r="FA2" s="110"/>
      <c r="FB2" s="110"/>
      <c r="FC2" s="110"/>
      <c r="FD2" s="110" t="s">
        <v>38</v>
      </c>
      <c r="FE2" s="110"/>
      <c r="FF2" s="110"/>
      <c r="FG2" s="110"/>
      <c r="FH2" s="110" t="s">
        <v>39</v>
      </c>
      <c r="FI2" s="110"/>
      <c r="FJ2" s="110"/>
      <c r="FK2" s="110"/>
      <c r="FL2" s="68" t="s">
        <v>28</v>
      </c>
      <c r="FM2" s="18" t="s">
        <v>40</v>
      </c>
      <c r="FN2" s="18" t="s">
        <v>41</v>
      </c>
      <c r="FO2" s="18" t="s">
        <v>24</v>
      </c>
      <c r="FP2" s="18" t="s">
        <v>23</v>
      </c>
      <c r="FQ2" s="18" t="s">
        <v>18</v>
      </c>
      <c r="FR2" s="107" t="s">
        <v>32</v>
      </c>
      <c r="FS2" s="107"/>
      <c r="FT2" s="107"/>
      <c r="FU2" s="107"/>
      <c r="FV2" s="107" t="s">
        <v>35</v>
      </c>
      <c r="FW2" s="107"/>
      <c r="FX2" s="107"/>
      <c r="FY2" s="107"/>
      <c r="FZ2" s="107" t="s">
        <v>36</v>
      </c>
      <c r="GA2" s="107"/>
      <c r="GB2" s="107"/>
      <c r="GC2" s="107"/>
      <c r="GD2" s="107" t="s">
        <v>37</v>
      </c>
      <c r="GE2" s="107"/>
      <c r="GF2" s="107"/>
      <c r="GG2" s="107"/>
      <c r="GH2" s="107" t="s">
        <v>38</v>
      </c>
      <c r="GI2" s="107"/>
      <c r="GJ2" s="107"/>
      <c r="GK2" s="107"/>
      <c r="GL2" s="107" t="s">
        <v>39</v>
      </c>
      <c r="GM2" s="107"/>
      <c r="GN2" s="107"/>
      <c r="GO2" s="107"/>
      <c r="GP2" s="67" t="s">
        <v>28</v>
      </c>
      <c r="GQ2" s="19" t="s">
        <v>40</v>
      </c>
      <c r="GR2" s="19" t="s">
        <v>41</v>
      </c>
      <c r="GS2" s="19" t="s">
        <v>24</v>
      </c>
      <c r="GT2" s="19" t="s">
        <v>23</v>
      </c>
      <c r="GU2" s="19" t="s">
        <v>18</v>
      </c>
      <c r="GV2" s="110" t="s">
        <v>32</v>
      </c>
      <c r="GW2" s="110"/>
      <c r="GX2" s="110"/>
      <c r="GY2" s="110"/>
      <c r="GZ2" s="110" t="s">
        <v>35</v>
      </c>
      <c r="HA2" s="110"/>
      <c r="HB2" s="110"/>
      <c r="HC2" s="110"/>
      <c r="HD2" s="110" t="s">
        <v>36</v>
      </c>
      <c r="HE2" s="110"/>
      <c r="HF2" s="110"/>
      <c r="HG2" s="110"/>
      <c r="HH2" s="110" t="s">
        <v>37</v>
      </c>
      <c r="HI2" s="110"/>
      <c r="HJ2" s="110"/>
      <c r="HK2" s="110"/>
      <c r="HL2" s="110" t="s">
        <v>38</v>
      </c>
      <c r="HM2" s="110"/>
      <c r="HN2" s="110"/>
      <c r="HO2" s="110"/>
      <c r="HP2" s="110" t="s">
        <v>39</v>
      </c>
      <c r="HQ2" s="110"/>
      <c r="HR2" s="110"/>
      <c r="HS2" s="110"/>
      <c r="HT2" s="68" t="s">
        <v>28</v>
      </c>
      <c r="HU2" s="18" t="s">
        <v>40</v>
      </c>
      <c r="HV2" s="18" t="s">
        <v>41</v>
      </c>
      <c r="HW2" s="18" t="s">
        <v>24</v>
      </c>
      <c r="HX2" s="18" t="s">
        <v>23</v>
      </c>
      <c r="HY2" s="18" t="s">
        <v>18</v>
      </c>
      <c r="HZ2" s="107" t="s">
        <v>32</v>
      </c>
      <c r="IA2" s="107"/>
      <c r="IB2" s="107"/>
      <c r="IC2" s="107"/>
      <c r="ID2" s="107" t="s">
        <v>35</v>
      </c>
      <c r="IE2" s="107"/>
      <c r="IF2" s="107"/>
      <c r="IG2" s="107"/>
      <c r="IH2" s="107" t="s">
        <v>36</v>
      </c>
      <c r="II2" s="107"/>
      <c r="IJ2" s="107"/>
      <c r="IK2" s="107"/>
      <c r="IL2" s="107" t="s">
        <v>37</v>
      </c>
      <c r="IM2" s="107"/>
      <c r="IN2" s="107"/>
      <c r="IO2" s="107"/>
      <c r="IP2" s="107" t="s">
        <v>38</v>
      </c>
      <c r="IQ2" s="107"/>
      <c r="IR2" s="107"/>
      <c r="IS2" s="107"/>
      <c r="IT2" s="107" t="s">
        <v>39</v>
      </c>
      <c r="IU2" s="107"/>
      <c r="IV2" s="107"/>
      <c r="IW2" s="107"/>
      <c r="IX2" s="67" t="s">
        <v>28</v>
      </c>
      <c r="IY2" s="19" t="s">
        <v>40</v>
      </c>
      <c r="IZ2" s="19" t="s">
        <v>41</v>
      </c>
      <c r="JA2" s="19" t="s">
        <v>24</v>
      </c>
      <c r="JB2" s="19" t="s">
        <v>23</v>
      </c>
      <c r="JC2" s="19" t="s">
        <v>18</v>
      </c>
      <c r="JD2" s="110" t="s">
        <v>32</v>
      </c>
      <c r="JE2" s="110"/>
      <c r="JF2" s="110"/>
      <c r="JG2" s="110"/>
      <c r="JH2" s="110" t="s">
        <v>35</v>
      </c>
      <c r="JI2" s="110"/>
      <c r="JJ2" s="110"/>
      <c r="JK2" s="110"/>
      <c r="JL2" s="110" t="s">
        <v>36</v>
      </c>
      <c r="JM2" s="110"/>
      <c r="JN2" s="110"/>
      <c r="JO2" s="110"/>
      <c r="JP2" s="110" t="s">
        <v>37</v>
      </c>
      <c r="JQ2" s="110"/>
      <c r="JR2" s="110"/>
      <c r="JS2" s="110"/>
      <c r="JT2" s="110" t="s">
        <v>38</v>
      </c>
      <c r="JU2" s="110"/>
      <c r="JV2" s="110"/>
      <c r="JW2" s="110"/>
      <c r="JX2" s="110" t="s">
        <v>39</v>
      </c>
      <c r="JY2" s="110"/>
      <c r="JZ2" s="110"/>
      <c r="KA2" s="110"/>
      <c r="KB2" s="24" t="s">
        <v>28</v>
      </c>
      <c r="KC2" s="18" t="s">
        <v>40</v>
      </c>
      <c r="KD2" s="18" t="s">
        <v>41</v>
      </c>
      <c r="KE2" s="18" t="s">
        <v>24</v>
      </c>
      <c r="KF2" s="18" t="s">
        <v>23</v>
      </c>
      <c r="KG2" s="18" t="s">
        <v>18</v>
      </c>
      <c r="KH2" s="107" t="s">
        <v>32</v>
      </c>
      <c r="KI2" s="107"/>
      <c r="KJ2" s="107"/>
      <c r="KK2" s="107"/>
      <c r="KL2" s="107" t="s">
        <v>35</v>
      </c>
      <c r="KM2" s="107"/>
      <c r="KN2" s="107"/>
      <c r="KO2" s="107"/>
      <c r="KP2" s="107" t="s">
        <v>36</v>
      </c>
      <c r="KQ2" s="107"/>
      <c r="KR2" s="107"/>
      <c r="KS2" s="107"/>
      <c r="KT2" s="107" t="s">
        <v>37</v>
      </c>
      <c r="KU2" s="107"/>
      <c r="KV2" s="107"/>
      <c r="KW2" s="107"/>
      <c r="KX2" s="107" t="s">
        <v>38</v>
      </c>
      <c r="KY2" s="107"/>
      <c r="KZ2" s="107"/>
      <c r="LA2" s="107"/>
      <c r="LB2" s="107" t="s">
        <v>39</v>
      </c>
      <c r="LC2" s="107"/>
      <c r="LD2" s="107"/>
      <c r="LE2" s="107"/>
      <c r="LF2" s="25" t="s">
        <v>28</v>
      </c>
      <c r="LG2" s="19" t="s">
        <v>40</v>
      </c>
      <c r="LH2" s="19" t="s">
        <v>41</v>
      </c>
      <c r="LI2" s="19" t="s">
        <v>24</v>
      </c>
      <c r="LJ2" s="19" t="s">
        <v>23</v>
      </c>
      <c r="LK2" s="19" t="s">
        <v>18</v>
      </c>
      <c r="LL2" s="110" t="s">
        <v>32</v>
      </c>
      <c r="LM2" s="110"/>
      <c r="LN2" s="110"/>
      <c r="LO2" s="110"/>
      <c r="LP2" s="110" t="s">
        <v>35</v>
      </c>
      <c r="LQ2" s="110"/>
      <c r="LR2" s="110"/>
      <c r="LS2" s="110"/>
      <c r="LT2" s="110" t="s">
        <v>36</v>
      </c>
      <c r="LU2" s="110"/>
      <c r="LV2" s="110"/>
      <c r="LW2" s="110"/>
      <c r="LX2" s="110" t="s">
        <v>37</v>
      </c>
      <c r="LY2" s="110"/>
      <c r="LZ2" s="110"/>
      <c r="MA2" s="110"/>
      <c r="MB2" s="110" t="s">
        <v>38</v>
      </c>
      <c r="MC2" s="110"/>
      <c r="MD2" s="110"/>
      <c r="ME2" s="110"/>
      <c r="MF2" s="110" t="s">
        <v>39</v>
      </c>
      <c r="MG2" s="110"/>
      <c r="MH2" s="110"/>
      <c r="MI2" s="110"/>
      <c r="MJ2" s="24" t="s">
        <v>28</v>
      </c>
      <c r="MK2" s="18" t="s">
        <v>40</v>
      </c>
      <c r="ML2" s="18" t="s">
        <v>41</v>
      </c>
      <c r="MM2" s="18" t="s">
        <v>24</v>
      </c>
      <c r="MN2" s="18" t="s">
        <v>23</v>
      </c>
      <c r="MO2" s="18" t="s">
        <v>18</v>
      </c>
      <c r="MP2" s="107" t="s">
        <v>32</v>
      </c>
      <c r="MQ2" s="107"/>
      <c r="MR2" s="107"/>
      <c r="MS2" s="107"/>
      <c r="MT2" s="107" t="s">
        <v>35</v>
      </c>
      <c r="MU2" s="107"/>
      <c r="MV2" s="107"/>
      <c r="MW2" s="107"/>
      <c r="MX2" s="107" t="s">
        <v>36</v>
      </c>
      <c r="MY2" s="107"/>
      <c r="MZ2" s="107"/>
      <c r="NA2" s="107"/>
      <c r="NB2" s="107" t="s">
        <v>37</v>
      </c>
      <c r="NC2" s="107"/>
      <c r="ND2" s="107"/>
      <c r="NE2" s="107"/>
      <c r="NF2" s="107" t="s">
        <v>38</v>
      </c>
      <c r="NG2" s="107"/>
      <c r="NH2" s="107"/>
      <c r="NI2" s="107"/>
      <c r="NJ2" s="107" t="s">
        <v>39</v>
      </c>
      <c r="NK2" s="107"/>
      <c r="NL2" s="107"/>
      <c r="NM2" s="107"/>
      <c r="NN2" s="25" t="s">
        <v>28</v>
      </c>
      <c r="NO2" s="19" t="s">
        <v>40</v>
      </c>
      <c r="NP2" s="19" t="s">
        <v>41</v>
      </c>
      <c r="NQ2" s="19" t="s">
        <v>24</v>
      </c>
      <c r="NR2" s="19" t="s">
        <v>23</v>
      </c>
      <c r="NS2" s="19" t="s">
        <v>18</v>
      </c>
      <c r="NT2" s="110" t="s">
        <v>32</v>
      </c>
      <c r="NU2" s="110"/>
      <c r="NV2" s="110"/>
      <c r="NW2" s="110"/>
      <c r="NX2" s="110" t="s">
        <v>35</v>
      </c>
      <c r="NY2" s="110"/>
      <c r="NZ2" s="110"/>
      <c r="OA2" s="110"/>
      <c r="OB2" s="110" t="s">
        <v>36</v>
      </c>
      <c r="OC2" s="110"/>
      <c r="OD2" s="110"/>
      <c r="OE2" s="110"/>
      <c r="OF2" s="110" t="s">
        <v>37</v>
      </c>
      <c r="OG2" s="110"/>
      <c r="OH2" s="110"/>
      <c r="OI2" s="110"/>
      <c r="OJ2" s="110" t="s">
        <v>38</v>
      </c>
      <c r="OK2" s="110"/>
      <c r="OL2" s="110"/>
      <c r="OM2" s="110"/>
      <c r="ON2" s="110" t="s">
        <v>39</v>
      </c>
      <c r="OO2" s="110"/>
      <c r="OP2" s="110"/>
      <c r="OQ2" s="110"/>
      <c r="OR2" s="24" t="s">
        <v>28</v>
      </c>
      <c r="OS2" s="18" t="s">
        <v>40</v>
      </c>
      <c r="OT2" s="18" t="s">
        <v>41</v>
      </c>
      <c r="OU2" s="18" t="s">
        <v>24</v>
      </c>
      <c r="OV2" s="18" t="s">
        <v>23</v>
      </c>
      <c r="OW2" s="18" t="s">
        <v>18</v>
      </c>
      <c r="OX2" s="107" t="s">
        <v>32</v>
      </c>
      <c r="OY2" s="107"/>
      <c r="OZ2" s="107"/>
      <c r="PA2" s="107"/>
      <c r="PB2" s="107" t="s">
        <v>35</v>
      </c>
      <c r="PC2" s="107"/>
      <c r="PD2" s="107"/>
      <c r="PE2" s="107"/>
      <c r="PF2" s="107" t="s">
        <v>36</v>
      </c>
      <c r="PG2" s="107"/>
      <c r="PH2" s="107"/>
      <c r="PI2" s="107"/>
      <c r="PJ2" s="107" t="s">
        <v>37</v>
      </c>
      <c r="PK2" s="107"/>
      <c r="PL2" s="107"/>
      <c r="PM2" s="107"/>
      <c r="PN2" s="107" t="s">
        <v>38</v>
      </c>
      <c r="PO2" s="107"/>
      <c r="PP2" s="107"/>
      <c r="PQ2" s="107"/>
      <c r="PR2" s="107" t="s">
        <v>39</v>
      </c>
      <c r="PS2" s="107"/>
      <c r="PT2" s="107"/>
      <c r="PU2" s="107"/>
      <c r="PV2" s="25" t="s">
        <v>28</v>
      </c>
      <c r="PW2" s="19" t="s">
        <v>40</v>
      </c>
      <c r="PX2" s="19" t="s">
        <v>41</v>
      </c>
      <c r="PY2" s="19" t="s">
        <v>24</v>
      </c>
      <c r="PZ2" s="19" t="s">
        <v>23</v>
      </c>
      <c r="QA2" s="19" t="s">
        <v>18</v>
      </c>
      <c r="QB2" s="110" t="s">
        <v>32</v>
      </c>
      <c r="QC2" s="110"/>
      <c r="QD2" s="110"/>
      <c r="QE2" s="110"/>
      <c r="QF2" s="110" t="s">
        <v>35</v>
      </c>
      <c r="QG2" s="110"/>
      <c r="QH2" s="110"/>
      <c r="QI2" s="110"/>
      <c r="QJ2" s="110" t="s">
        <v>36</v>
      </c>
      <c r="QK2" s="110"/>
      <c r="QL2" s="110"/>
      <c r="QM2" s="110"/>
      <c r="QN2" s="110" t="s">
        <v>37</v>
      </c>
      <c r="QO2" s="110"/>
      <c r="QP2" s="110"/>
      <c r="QQ2" s="110"/>
      <c r="QR2" s="110" t="s">
        <v>38</v>
      </c>
      <c r="QS2" s="110"/>
      <c r="QT2" s="110"/>
      <c r="QU2" s="110"/>
      <c r="QV2" s="110" t="s">
        <v>39</v>
      </c>
      <c r="QW2" s="110"/>
      <c r="QX2" s="110"/>
      <c r="QY2" s="110"/>
      <c r="QZ2" s="24" t="s">
        <v>28</v>
      </c>
      <c r="RA2" s="18" t="s">
        <v>40</v>
      </c>
      <c r="RB2" s="18" t="s">
        <v>41</v>
      </c>
      <c r="RC2" s="18" t="s">
        <v>24</v>
      </c>
      <c r="RD2" s="18" t="s">
        <v>23</v>
      </c>
      <c r="RE2" s="18" t="s">
        <v>18</v>
      </c>
    </row>
    <row r="3" spans="1:473">
      <c r="A3" s="100"/>
      <c r="B3" s="100"/>
      <c r="C3" s="100"/>
      <c r="D3" s="100"/>
      <c r="E3" s="100"/>
      <c r="F3" s="101"/>
      <c r="G3" s="101"/>
      <c r="H3" s="100"/>
      <c r="I3" s="100"/>
      <c r="J3" s="102"/>
      <c r="K3" s="102"/>
      <c r="L3" s="102"/>
      <c r="M3" s="102"/>
      <c r="N3" s="102"/>
      <c r="O3" s="102"/>
      <c r="P3" s="102"/>
      <c r="Q3" s="102"/>
      <c r="R3" s="103"/>
      <c r="S3" s="102"/>
      <c r="T3" s="102"/>
      <c r="U3" s="64" t="s">
        <v>15</v>
      </c>
      <c r="V3" s="64" t="s">
        <v>7</v>
      </c>
      <c r="W3" s="64" t="s">
        <v>33</v>
      </c>
      <c r="X3" s="64" t="s">
        <v>34</v>
      </c>
      <c r="Y3" s="64" t="s">
        <v>15</v>
      </c>
      <c r="Z3" s="64" t="s">
        <v>7</v>
      </c>
      <c r="AA3" s="64" t="s">
        <v>33</v>
      </c>
      <c r="AB3" s="64" t="s">
        <v>34</v>
      </c>
      <c r="AC3" s="64" t="s">
        <v>15</v>
      </c>
      <c r="AD3" s="64" t="s">
        <v>7</v>
      </c>
      <c r="AE3" s="64" t="s">
        <v>33</v>
      </c>
      <c r="AF3" s="64" t="s">
        <v>34</v>
      </c>
      <c r="AG3" s="67" t="s">
        <v>15</v>
      </c>
      <c r="AH3" s="67" t="s">
        <v>7</v>
      </c>
      <c r="AI3" s="67" t="s">
        <v>33</v>
      </c>
      <c r="AJ3" s="67" t="s">
        <v>34</v>
      </c>
      <c r="AK3" s="67" t="s">
        <v>15</v>
      </c>
      <c r="AL3" s="67" t="s">
        <v>7</v>
      </c>
      <c r="AM3" s="67" t="s">
        <v>33</v>
      </c>
      <c r="AN3" s="67" t="s">
        <v>34</v>
      </c>
      <c r="AO3" s="67" t="s">
        <v>15</v>
      </c>
      <c r="AP3" s="67" t="s">
        <v>7</v>
      </c>
      <c r="AQ3" s="67" t="s">
        <v>33</v>
      </c>
      <c r="AR3" s="67" t="s">
        <v>34</v>
      </c>
      <c r="AS3" s="11"/>
      <c r="AT3" s="10"/>
      <c r="AU3" s="10"/>
      <c r="AV3" s="10"/>
      <c r="AW3" s="11"/>
      <c r="AX3" s="11"/>
      <c r="AY3" s="63" t="s">
        <v>15</v>
      </c>
      <c r="AZ3" s="63" t="s">
        <v>7</v>
      </c>
      <c r="BA3" s="63" t="s">
        <v>33</v>
      </c>
      <c r="BB3" s="63" t="s">
        <v>34</v>
      </c>
      <c r="BC3" s="63" t="s">
        <v>15</v>
      </c>
      <c r="BD3" s="63" t="s">
        <v>7</v>
      </c>
      <c r="BE3" s="63" t="s">
        <v>33</v>
      </c>
      <c r="BF3" s="63" t="s">
        <v>34</v>
      </c>
      <c r="BG3" s="63" t="s">
        <v>15</v>
      </c>
      <c r="BH3" s="63" t="s">
        <v>7</v>
      </c>
      <c r="BI3" s="63" t="s">
        <v>33</v>
      </c>
      <c r="BJ3" s="63" t="s">
        <v>34</v>
      </c>
      <c r="BK3" s="68" t="s">
        <v>15</v>
      </c>
      <c r="BL3" s="68" t="s">
        <v>7</v>
      </c>
      <c r="BM3" s="68" t="s">
        <v>33</v>
      </c>
      <c r="BN3" s="68" t="s">
        <v>34</v>
      </c>
      <c r="BO3" s="68" t="s">
        <v>15</v>
      </c>
      <c r="BP3" s="68" t="s">
        <v>7</v>
      </c>
      <c r="BQ3" s="68" t="s">
        <v>33</v>
      </c>
      <c r="BR3" s="68" t="s">
        <v>34</v>
      </c>
      <c r="BS3" s="68" t="s">
        <v>15</v>
      </c>
      <c r="BT3" s="68" t="s">
        <v>7</v>
      </c>
      <c r="BU3" s="68" t="s">
        <v>33</v>
      </c>
      <c r="BV3" s="68" t="s">
        <v>34</v>
      </c>
      <c r="BW3" s="14"/>
      <c r="BX3" s="13"/>
      <c r="BY3" s="13"/>
      <c r="BZ3" s="13"/>
      <c r="CA3" s="14"/>
      <c r="CB3" s="14"/>
      <c r="CC3" s="33" t="s">
        <v>15</v>
      </c>
      <c r="CD3" s="33" t="s">
        <v>7</v>
      </c>
      <c r="CE3" s="33" t="s">
        <v>33</v>
      </c>
      <c r="CF3" s="33" t="s">
        <v>34</v>
      </c>
      <c r="CG3" s="33" t="s">
        <v>15</v>
      </c>
      <c r="CH3" s="33" t="s">
        <v>7</v>
      </c>
      <c r="CI3" s="33" t="s">
        <v>33</v>
      </c>
      <c r="CJ3" s="33" t="s">
        <v>34</v>
      </c>
      <c r="CK3" s="33" t="s">
        <v>15</v>
      </c>
      <c r="CL3" s="33" t="s">
        <v>7</v>
      </c>
      <c r="CM3" s="33" t="s">
        <v>33</v>
      </c>
      <c r="CN3" s="33" t="s">
        <v>34</v>
      </c>
      <c r="CO3" s="38" t="s">
        <v>15</v>
      </c>
      <c r="CP3" s="38" t="s">
        <v>7</v>
      </c>
      <c r="CQ3" s="38" t="s">
        <v>33</v>
      </c>
      <c r="CR3" s="38" t="s">
        <v>34</v>
      </c>
      <c r="CS3" s="38" t="s">
        <v>15</v>
      </c>
      <c r="CT3" s="38" t="s">
        <v>7</v>
      </c>
      <c r="CU3" s="38" t="s">
        <v>33</v>
      </c>
      <c r="CV3" s="38" t="s">
        <v>34</v>
      </c>
      <c r="CW3" s="38" t="s">
        <v>15</v>
      </c>
      <c r="CX3" s="38" t="s">
        <v>7</v>
      </c>
      <c r="CY3" s="38" t="s">
        <v>33</v>
      </c>
      <c r="CZ3" s="38" t="s">
        <v>34</v>
      </c>
      <c r="DA3" s="11"/>
      <c r="DB3" s="10"/>
      <c r="DC3" s="10"/>
      <c r="DD3" s="10"/>
      <c r="DE3" s="11"/>
      <c r="DF3" s="11"/>
      <c r="DG3" s="27"/>
      <c r="DH3" s="27"/>
      <c r="DI3" s="27"/>
      <c r="DJ3" s="64" t="s">
        <v>15</v>
      </c>
      <c r="DK3" s="64" t="s">
        <v>7</v>
      </c>
      <c r="DL3" s="64" t="s">
        <v>33</v>
      </c>
      <c r="DM3" s="64" t="s">
        <v>34</v>
      </c>
      <c r="DN3" s="64" t="s">
        <v>15</v>
      </c>
      <c r="DO3" s="64" t="s">
        <v>7</v>
      </c>
      <c r="DP3" s="64" t="s">
        <v>33</v>
      </c>
      <c r="DQ3" s="64" t="s">
        <v>34</v>
      </c>
      <c r="DR3" s="64" t="s">
        <v>15</v>
      </c>
      <c r="DS3" s="64" t="s">
        <v>7</v>
      </c>
      <c r="DT3" s="64" t="s">
        <v>33</v>
      </c>
      <c r="DU3" s="64" t="s">
        <v>34</v>
      </c>
      <c r="DV3" s="67" t="s">
        <v>15</v>
      </c>
      <c r="DW3" s="67" t="s">
        <v>7</v>
      </c>
      <c r="DX3" s="67" t="s">
        <v>33</v>
      </c>
      <c r="DY3" s="67" t="s">
        <v>34</v>
      </c>
      <c r="DZ3" s="67" t="s">
        <v>15</v>
      </c>
      <c r="EA3" s="67" t="s">
        <v>7</v>
      </c>
      <c r="EB3" s="67" t="s">
        <v>33</v>
      </c>
      <c r="EC3" s="67" t="s">
        <v>34</v>
      </c>
      <c r="ED3" s="67" t="s">
        <v>15</v>
      </c>
      <c r="EE3" s="67" t="s">
        <v>7</v>
      </c>
      <c r="EF3" s="67" t="s">
        <v>33</v>
      </c>
      <c r="EG3" s="67" t="s">
        <v>34</v>
      </c>
      <c r="EH3" s="11"/>
      <c r="EI3" s="10"/>
      <c r="EJ3" s="10"/>
      <c r="EK3" s="10"/>
      <c r="EL3" s="11"/>
      <c r="EM3" s="11"/>
      <c r="EN3" s="68" t="s">
        <v>15</v>
      </c>
      <c r="EO3" s="68" t="s">
        <v>7</v>
      </c>
      <c r="EP3" s="68" t="s">
        <v>33</v>
      </c>
      <c r="EQ3" s="68" t="s">
        <v>34</v>
      </c>
      <c r="ER3" s="68" t="s">
        <v>15</v>
      </c>
      <c r="ES3" s="68" t="s">
        <v>7</v>
      </c>
      <c r="ET3" s="68" t="s">
        <v>33</v>
      </c>
      <c r="EU3" s="68" t="s">
        <v>34</v>
      </c>
      <c r="EV3" s="68" t="s">
        <v>15</v>
      </c>
      <c r="EW3" s="68" t="s">
        <v>7</v>
      </c>
      <c r="EX3" s="68" t="s">
        <v>33</v>
      </c>
      <c r="EY3" s="68" t="s">
        <v>34</v>
      </c>
      <c r="EZ3" s="68" t="s">
        <v>15</v>
      </c>
      <c r="FA3" s="68" t="s">
        <v>7</v>
      </c>
      <c r="FB3" s="68" t="s">
        <v>33</v>
      </c>
      <c r="FC3" s="68" t="s">
        <v>34</v>
      </c>
      <c r="FD3" s="68" t="s">
        <v>15</v>
      </c>
      <c r="FE3" s="68" t="s">
        <v>7</v>
      </c>
      <c r="FF3" s="68" t="s">
        <v>33</v>
      </c>
      <c r="FG3" s="68" t="s">
        <v>34</v>
      </c>
      <c r="FH3" s="68" t="s">
        <v>15</v>
      </c>
      <c r="FI3" s="68" t="s">
        <v>7</v>
      </c>
      <c r="FJ3" s="68" t="s">
        <v>33</v>
      </c>
      <c r="FK3" s="68" t="s">
        <v>34</v>
      </c>
      <c r="FL3" s="18"/>
      <c r="FM3" s="18"/>
      <c r="FN3" s="18"/>
      <c r="FO3" s="18"/>
      <c r="FP3" s="18"/>
      <c r="FQ3" s="18"/>
      <c r="FR3" s="67" t="s">
        <v>15</v>
      </c>
      <c r="FS3" s="67" t="s">
        <v>7</v>
      </c>
      <c r="FT3" s="67" t="s">
        <v>33</v>
      </c>
      <c r="FU3" s="67" t="s">
        <v>34</v>
      </c>
      <c r="FV3" s="67" t="s">
        <v>15</v>
      </c>
      <c r="FW3" s="67" t="s">
        <v>7</v>
      </c>
      <c r="FX3" s="67" t="s">
        <v>33</v>
      </c>
      <c r="FY3" s="67" t="s">
        <v>34</v>
      </c>
      <c r="FZ3" s="67" t="s">
        <v>15</v>
      </c>
      <c r="GA3" s="67" t="s">
        <v>7</v>
      </c>
      <c r="GB3" s="67" t="s">
        <v>33</v>
      </c>
      <c r="GC3" s="67" t="s">
        <v>34</v>
      </c>
      <c r="GD3" s="67" t="s">
        <v>15</v>
      </c>
      <c r="GE3" s="67" t="s">
        <v>7</v>
      </c>
      <c r="GF3" s="67" t="s">
        <v>33</v>
      </c>
      <c r="GG3" s="67" t="s">
        <v>34</v>
      </c>
      <c r="GH3" s="67" t="s">
        <v>15</v>
      </c>
      <c r="GI3" s="67" t="s">
        <v>7</v>
      </c>
      <c r="GJ3" s="67" t="s">
        <v>33</v>
      </c>
      <c r="GK3" s="67" t="s">
        <v>34</v>
      </c>
      <c r="GL3" s="67" t="s">
        <v>15</v>
      </c>
      <c r="GM3" s="67" t="s">
        <v>7</v>
      </c>
      <c r="GN3" s="67" t="s">
        <v>33</v>
      </c>
      <c r="GO3" s="67" t="s">
        <v>34</v>
      </c>
      <c r="GP3" s="19"/>
      <c r="GQ3" s="19"/>
      <c r="GR3" s="19"/>
      <c r="GS3" s="19"/>
      <c r="GT3" s="19"/>
      <c r="GU3" s="19"/>
      <c r="GV3" s="68" t="s">
        <v>15</v>
      </c>
      <c r="GW3" s="68" t="s">
        <v>7</v>
      </c>
      <c r="GX3" s="68" t="s">
        <v>33</v>
      </c>
      <c r="GY3" s="68" t="s">
        <v>34</v>
      </c>
      <c r="GZ3" s="68" t="s">
        <v>15</v>
      </c>
      <c r="HA3" s="68" t="s">
        <v>7</v>
      </c>
      <c r="HB3" s="68" t="s">
        <v>33</v>
      </c>
      <c r="HC3" s="68" t="s">
        <v>34</v>
      </c>
      <c r="HD3" s="68" t="s">
        <v>15</v>
      </c>
      <c r="HE3" s="68" t="s">
        <v>7</v>
      </c>
      <c r="HF3" s="68" t="s">
        <v>33</v>
      </c>
      <c r="HG3" s="68" t="s">
        <v>34</v>
      </c>
      <c r="HH3" s="68" t="s">
        <v>15</v>
      </c>
      <c r="HI3" s="68" t="s">
        <v>7</v>
      </c>
      <c r="HJ3" s="68" t="s">
        <v>33</v>
      </c>
      <c r="HK3" s="68" t="s">
        <v>34</v>
      </c>
      <c r="HL3" s="68" t="s">
        <v>15</v>
      </c>
      <c r="HM3" s="68" t="s">
        <v>7</v>
      </c>
      <c r="HN3" s="68" t="s">
        <v>33</v>
      </c>
      <c r="HO3" s="68" t="s">
        <v>34</v>
      </c>
      <c r="HP3" s="68" t="s">
        <v>15</v>
      </c>
      <c r="HQ3" s="68" t="s">
        <v>7</v>
      </c>
      <c r="HR3" s="68" t="s">
        <v>33</v>
      </c>
      <c r="HS3" s="68" t="s">
        <v>34</v>
      </c>
      <c r="HT3" s="18"/>
      <c r="HU3" s="18"/>
      <c r="HV3" s="18"/>
      <c r="HW3" s="18"/>
      <c r="HX3" s="18"/>
      <c r="HY3" s="18"/>
      <c r="HZ3" s="67" t="s">
        <v>15</v>
      </c>
      <c r="IA3" s="67" t="s">
        <v>7</v>
      </c>
      <c r="IB3" s="67" t="s">
        <v>33</v>
      </c>
      <c r="IC3" s="67" t="s">
        <v>34</v>
      </c>
      <c r="ID3" s="67" t="s">
        <v>15</v>
      </c>
      <c r="IE3" s="67" t="s">
        <v>7</v>
      </c>
      <c r="IF3" s="67" t="s">
        <v>33</v>
      </c>
      <c r="IG3" s="67" t="s">
        <v>34</v>
      </c>
      <c r="IH3" s="67" t="s">
        <v>15</v>
      </c>
      <c r="II3" s="67" t="s">
        <v>7</v>
      </c>
      <c r="IJ3" s="67" t="s">
        <v>33</v>
      </c>
      <c r="IK3" s="67" t="s">
        <v>34</v>
      </c>
      <c r="IL3" s="67" t="s">
        <v>15</v>
      </c>
      <c r="IM3" s="67" t="s">
        <v>7</v>
      </c>
      <c r="IN3" s="67" t="s">
        <v>33</v>
      </c>
      <c r="IO3" s="67" t="s">
        <v>34</v>
      </c>
      <c r="IP3" s="67" t="s">
        <v>15</v>
      </c>
      <c r="IQ3" s="67" t="s">
        <v>7</v>
      </c>
      <c r="IR3" s="67" t="s">
        <v>33</v>
      </c>
      <c r="IS3" s="67" t="s">
        <v>34</v>
      </c>
      <c r="IT3" s="67" t="s">
        <v>15</v>
      </c>
      <c r="IU3" s="67" t="s">
        <v>7</v>
      </c>
      <c r="IV3" s="67" t="s">
        <v>33</v>
      </c>
      <c r="IW3" s="67" t="s">
        <v>34</v>
      </c>
      <c r="IX3" s="19"/>
      <c r="IY3" s="19"/>
      <c r="IZ3" s="19"/>
      <c r="JA3" s="19"/>
      <c r="JB3" s="19"/>
      <c r="JC3" s="19"/>
      <c r="JD3" s="37" t="s">
        <v>15</v>
      </c>
      <c r="JE3" s="37" t="s">
        <v>7</v>
      </c>
      <c r="JF3" s="37" t="s">
        <v>33</v>
      </c>
      <c r="JG3" s="37" t="s">
        <v>34</v>
      </c>
      <c r="JH3" s="37" t="s">
        <v>15</v>
      </c>
      <c r="JI3" s="37" t="s">
        <v>7</v>
      </c>
      <c r="JJ3" s="37" t="s">
        <v>33</v>
      </c>
      <c r="JK3" s="37" t="s">
        <v>34</v>
      </c>
      <c r="JL3" s="37" t="s">
        <v>15</v>
      </c>
      <c r="JM3" s="37" t="s">
        <v>7</v>
      </c>
      <c r="JN3" s="37" t="s">
        <v>33</v>
      </c>
      <c r="JO3" s="37" t="s">
        <v>34</v>
      </c>
      <c r="JP3" s="37" t="s">
        <v>15</v>
      </c>
      <c r="JQ3" s="37" t="s">
        <v>7</v>
      </c>
      <c r="JR3" s="37" t="s">
        <v>33</v>
      </c>
      <c r="JS3" s="37" t="s">
        <v>34</v>
      </c>
      <c r="JT3" s="37" t="s">
        <v>15</v>
      </c>
      <c r="JU3" s="37" t="s">
        <v>7</v>
      </c>
      <c r="JV3" s="37" t="s">
        <v>33</v>
      </c>
      <c r="JW3" s="37" t="s">
        <v>34</v>
      </c>
      <c r="JX3" s="37" t="s">
        <v>15</v>
      </c>
      <c r="JY3" s="37" t="s">
        <v>7</v>
      </c>
      <c r="JZ3" s="37" t="s">
        <v>33</v>
      </c>
      <c r="KA3" s="37" t="s">
        <v>34</v>
      </c>
      <c r="KB3" s="18"/>
      <c r="KC3" s="18"/>
      <c r="KD3" s="18"/>
      <c r="KE3" s="18"/>
      <c r="KF3" s="18"/>
      <c r="KG3" s="18"/>
      <c r="KH3" s="38" t="s">
        <v>15</v>
      </c>
      <c r="KI3" s="38" t="s">
        <v>7</v>
      </c>
      <c r="KJ3" s="38" t="s">
        <v>33</v>
      </c>
      <c r="KK3" s="38" t="s">
        <v>34</v>
      </c>
      <c r="KL3" s="38" t="s">
        <v>15</v>
      </c>
      <c r="KM3" s="38" t="s">
        <v>7</v>
      </c>
      <c r="KN3" s="38" t="s">
        <v>33</v>
      </c>
      <c r="KO3" s="38" t="s">
        <v>34</v>
      </c>
      <c r="KP3" s="38" t="s">
        <v>15</v>
      </c>
      <c r="KQ3" s="38" t="s">
        <v>7</v>
      </c>
      <c r="KR3" s="38" t="s">
        <v>33</v>
      </c>
      <c r="KS3" s="38" t="s">
        <v>34</v>
      </c>
      <c r="KT3" s="38" t="s">
        <v>15</v>
      </c>
      <c r="KU3" s="38" t="s">
        <v>7</v>
      </c>
      <c r="KV3" s="38" t="s">
        <v>33</v>
      </c>
      <c r="KW3" s="38" t="s">
        <v>34</v>
      </c>
      <c r="KX3" s="38" t="s">
        <v>15</v>
      </c>
      <c r="KY3" s="38" t="s">
        <v>7</v>
      </c>
      <c r="KZ3" s="38" t="s">
        <v>33</v>
      </c>
      <c r="LA3" s="38" t="s">
        <v>34</v>
      </c>
      <c r="LB3" s="38" t="s">
        <v>15</v>
      </c>
      <c r="LC3" s="38" t="s">
        <v>7</v>
      </c>
      <c r="LD3" s="38" t="s">
        <v>33</v>
      </c>
      <c r="LE3" s="38" t="s">
        <v>34</v>
      </c>
      <c r="LF3" s="19"/>
      <c r="LG3" s="19"/>
      <c r="LH3" s="19"/>
      <c r="LI3" s="19"/>
      <c r="LJ3" s="19"/>
      <c r="LK3" s="19"/>
      <c r="LL3" s="37" t="s">
        <v>15</v>
      </c>
      <c r="LM3" s="37" t="s">
        <v>7</v>
      </c>
      <c r="LN3" s="37" t="s">
        <v>33</v>
      </c>
      <c r="LO3" s="37" t="s">
        <v>34</v>
      </c>
      <c r="LP3" s="37" t="s">
        <v>15</v>
      </c>
      <c r="LQ3" s="37" t="s">
        <v>7</v>
      </c>
      <c r="LR3" s="37" t="s">
        <v>33</v>
      </c>
      <c r="LS3" s="37" t="s">
        <v>34</v>
      </c>
      <c r="LT3" s="37" t="s">
        <v>15</v>
      </c>
      <c r="LU3" s="37" t="s">
        <v>7</v>
      </c>
      <c r="LV3" s="37" t="s">
        <v>33</v>
      </c>
      <c r="LW3" s="37" t="s">
        <v>34</v>
      </c>
      <c r="LX3" s="37" t="s">
        <v>15</v>
      </c>
      <c r="LY3" s="37" t="s">
        <v>7</v>
      </c>
      <c r="LZ3" s="37" t="s">
        <v>33</v>
      </c>
      <c r="MA3" s="37" t="s">
        <v>34</v>
      </c>
      <c r="MB3" s="37" t="s">
        <v>15</v>
      </c>
      <c r="MC3" s="37" t="s">
        <v>7</v>
      </c>
      <c r="MD3" s="37" t="s">
        <v>33</v>
      </c>
      <c r="ME3" s="37" t="s">
        <v>34</v>
      </c>
      <c r="MF3" s="37" t="s">
        <v>15</v>
      </c>
      <c r="MG3" s="37" t="s">
        <v>7</v>
      </c>
      <c r="MH3" s="37" t="s">
        <v>33</v>
      </c>
      <c r="MI3" s="37" t="s">
        <v>34</v>
      </c>
      <c r="MJ3" s="18"/>
      <c r="MK3" s="18"/>
      <c r="ML3" s="18"/>
      <c r="MM3" s="18"/>
      <c r="MN3" s="18"/>
      <c r="MO3" s="18"/>
      <c r="MP3" s="38" t="s">
        <v>15</v>
      </c>
      <c r="MQ3" s="38" t="s">
        <v>7</v>
      </c>
      <c r="MR3" s="38" t="s">
        <v>33</v>
      </c>
      <c r="MS3" s="38" t="s">
        <v>34</v>
      </c>
      <c r="MT3" s="38" t="s">
        <v>15</v>
      </c>
      <c r="MU3" s="38" t="s">
        <v>7</v>
      </c>
      <c r="MV3" s="38" t="s">
        <v>33</v>
      </c>
      <c r="MW3" s="38" t="s">
        <v>34</v>
      </c>
      <c r="MX3" s="38" t="s">
        <v>15</v>
      </c>
      <c r="MY3" s="38" t="s">
        <v>7</v>
      </c>
      <c r="MZ3" s="38" t="s">
        <v>33</v>
      </c>
      <c r="NA3" s="38" t="s">
        <v>34</v>
      </c>
      <c r="NB3" s="38" t="s">
        <v>15</v>
      </c>
      <c r="NC3" s="38" t="s">
        <v>7</v>
      </c>
      <c r="ND3" s="38" t="s">
        <v>33</v>
      </c>
      <c r="NE3" s="38" t="s">
        <v>34</v>
      </c>
      <c r="NF3" s="38" t="s">
        <v>15</v>
      </c>
      <c r="NG3" s="38" t="s">
        <v>7</v>
      </c>
      <c r="NH3" s="38" t="s">
        <v>33</v>
      </c>
      <c r="NI3" s="38" t="s">
        <v>34</v>
      </c>
      <c r="NJ3" s="38" t="s">
        <v>15</v>
      </c>
      <c r="NK3" s="38" t="s">
        <v>7</v>
      </c>
      <c r="NL3" s="38" t="s">
        <v>33</v>
      </c>
      <c r="NM3" s="38" t="s">
        <v>34</v>
      </c>
      <c r="NN3" s="19"/>
      <c r="NO3" s="19"/>
      <c r="NP3" s="19"/>
      <c r="NQ3" s="19"/>
      <c r="NR3" s="19"/>
      <c r="NS3" s="19"/>
      <c r="NT3" s="37" t="s">
        <v>15</v>
      </c>
      <c r="NU3" s="37" t="s">
        <v>7</v>
      </c>
      <c r="NV3" s="37" t="s">
        <v>33</v>
      </c>
      <c r="NW3" s="37" t="s">
        <v>34</v>
      </c>
      <c r="NX3" s="37" t="s">
        <v>15</v>
      </c>
      <c r="NY3" s="37" t="s">
        <v>7</v>
      </c>
      <c r="NZ3" s="37" t="s">
        <v>33</v>
      </c>
      <c r="OA3" s="37" t="s">
        <v>34</v>
      </c>
      <c r="OB3" s="37" t="s">
        <v>15</v>
      </c>
      <c r="OC3" s="37" t="s">
        <v>7</v>
      </c>
      <c r="OD3" s="37" t="s">
        <v>33</v>
      </c>
      <c r="OE3" s="37" t="s">
        <v>34</v>
      </c>
      <c r="OF3" s="37" t="s">
        <v>15</v>
      </c>
      <c r="OG3" s="37" t="s">
        <v>7</v>
      </c>
      <c r="OH3" s="37" t="s">
        <v>33</v>
      </c>
      <c r="OI3" s="37" t="s">
        <v>34</v>
      </c>
      <c r="OJ3" s="37" t="s">
        <v>15</v>
      </c>
      <c r="OK3" s="37" t="s">
        <v>7</v>
      </c>
      <c r="OL3" s="37" t="s">
        <v>33</v>
      </c>
      <c r="OM3" s="37" t="s">
        <v>34</v>
      </c>
      <c r="ON3" s="37" t="s">
        <v>15</v>
      </c>
      <c r="OO3" s="37" t="s">
        <v>7</v>
      </c>
      <c r="OP3" s="37" t="s">
        <v>33</v>
      </c>
      <c r="OQ3" s="37" t="s">
        <v>34</v>
      </c>
      <c r="OR3" s="18"/>
      <c r="OS3" s="18"/>
      <c r="OT3" s="18"/>
      <c r="OU3" s="18"/>
      <c r="OV3" s="18"/>
      <c r="OW3" s="18"/>
      <c r="OX3" s="38" t="s">
        <v>15</v>
      </c>
      <c r="OY3" s="38" t="s">
        <v>7</v>
      </c>
      <c r="OZ3" s="38" t="s">
        <v>33</v>
      </c>
      <c r="PA3" s="38" t="s">
        <v>34</v>
      </c>
      <c r="PB3" s="38" t="s">
        <v>15</v>
      </c>
      <c r="PC3" s="38" t="s">
        <v>7</v>
      </c>
      <c r="PD3" s="38" t="s">
        <v>33</v>
      </c>
      <c r="PE3" s="38" t="s">
        <v>34</v>
      </c>
      <c r="PF3" s="38" t="s">
        <v>15</v>
      </c>
      <c r="PG3" s="38" t="s">
        <v>7</v>
      </c>
      <c r="PH3" s="38" t="s">
        <v>33</v>
      </c>
      <c r="PI3" s="38" t="s">
        <v>34</v>
      </c>
      <c r="PJ3" s="38" t="s">
        <v>15</v>
      </c>
      <c r="PK3" s="38" t="s">
        <v>7</v>
      </c>
      <c r="PL3" s="38" t="s">
        <v>33</v>
      </c>
      <c r="PM3" s="38" t="s">
        <v>34</v>
      </c>
      <c r="PN3" s="38" t="s">
        <v>15</v>
      </c>
      <c r="PO3" s="38" t="s">
        <v>7</v>
      </c>
      <c r="PP3" s="38" t="s">
        <v>33</v>
      </c>
      <c r="PQ3" s="38" t="s">
        <v>34</v>
      </c>
      <c r="PR3" s="38" t="s">
        <v>15</v>
      </c>
      <c r="PS3" s="38" t="s">
        <v>7</v>
      </c>
      <c r="PT3" s="38" t="s">
        <v>33</v>
      </c>
      <c r="PU3" s="38" t="s">
        <v>34</v>
      </c>
      <c r="PV3" s="19"/>
      <c r="PW3" s="19"/>
      <c r="PX3" s="19"/>
      <c r="PY3" s="19"/>
      <c r="PZ3" s="19"/>
      <c r="QA3" s="19"/>
      <c r="QB3" s="37" t="s">
        <v>15</v>
      </c>
      <c r="QC3" s="37" t="s">
        <v>7</v>
      </c>
      <c r="QD3" s="37" t="s">
        <v>33</v>
      </c>
      <c r="QE3" s="37" t="s">
        <v>34</v>
      </c>
      <c r="QF3" s="37" t="s">
        <v>15</v>
      </c>
      <c r="QG3" s="37" t="s">
        <v>7</v>
      </c>
      <c r="QH3" s="37" t="s">
        <v>33</v>
      </c>
      <c r="QI3" s="37" t="s">
        <v>34</v>
      </c>
      <c r="QJ3" s="37" t="s">
        <v>15</v>
      </c>
      <c r="QK3" s="37" t="s">
        <v>7</v>
      </c>
      <c r="QL3" s="37" t="s">
        <v>33</v>
      </c>
      <c r="QM3" s="37" t="s">
        <v>34</v>
      </c>
      <c r="QN3" s="37" t="s">
        <v>15</v>
      </c>
      <c r="QO3" s="37" t="s">
        <v>7</v>
      </c>
      <c r="QP3" s="37" t="s">
        <v>33</v>
      </c>
      <c r="QQ3" s="37" t="s">
        <v>34</v>
      </c>
      <c r="QR3" s="37" t="s">
        <v>15</v>
      </c>
      <c r="QS3" s="37" t="s">
        <v>7</v>
      </c>
      <c r="QT3" s="37" t="s">
        <v>33</v>
      </c>
      <c r="QU3" s="37" t="s">
        <v>34</v>
      </c>
      <c r="QV3" s="37" t="s">
        <v>15</v>
      </c>
      <c r="QW3" s="37" t="s">
        <v>7</v>
      </c>
      <c r="QX3" s="37" t="s">
        <v>33</v>
      </c>
      <c r="QY3" s="37" t="s">
        <v>34</v>
      </c>
      <c r="QZ3" s="18"/>
      <c r="RA3" s="18"/>
      <c r="RB3" s="18"/>
      <c r="RC3" s="18"/>
      <c r="RD3" s="18"/>
      <c r="RE3" s="18"/>
    </row>
    <row r="4" spans="1:473">
      <c r="A4" s="6">
        <f>IF(AND(F4="P",H4="P"),SUMPRODUCT((F$4:F$5="P")*(H$4:H$5="P")*(E$4:E$5&gt;E4))+1,IF(H4="P",SUMPRODUCT((F$4:F$5="")*(H$4:H$5="P")*(E$4:E$5&gt;E4))+1+SUMPRODUCT((F$4:F$5="P")*(H$4:H$5="P")),""))</f>
        <v>1</v>
      </c>
      <c r="B4" s="9" t="s">
        <v>102</v>
      </c>
      <c r="C4" s="5" t="s">
        <v>5</v>
      </c>
      <c r="D4" s="31">
        <v>2002</v>
      </c>
      <c r="E4" s="16">
        <f>SUM(J4:R4)</f>
        <v>330.7</v>
      </c>
      <c r="F4" s="4" t="str">
        <f>IF(OR(AND($AS4&gt;=$AT$8,NOT($AS4="")),AND($BW4&gt;=$BX$8,NOT($BW4="")),AND($DA4&gt;=$DB$8,NOT($DA4=""))),"P","")</f>
        <v>P</v>
      </c>
      <c r="G4" s="4" t="str">
        <f>IF(OR(AND($AS4&gt;=$AT$9,NOT($AS4="")),AND($BW4&gt;=$BX$9,NOT($BW4="")),AND($DA4&gt;=$DB$9,NOT($DA4=""))),"P","")</f>
        <v/>
      </c>
      <c r="H4" s="4" t="str">
        <f>IF(OR(AND($AV4&gt;=$AT$10,NOT($AV4="")),AND($BZ4&gt;=$BX$10,NOT($BZ4="")),AND($DD4&gt;=$DB$10,NOT($DD4=""))),"P","")</f>
        <v>P</v>
      </c>
      <c r="I4" t="str">
        <f>IF(AND(F4="P",OR(AND($AV4&gt;=$AT$13,NOT($AV4="")),AND($BZ4&gt;=$BX$13,NOT($BZ4="")),AND($DD4&gt;=$DB$13,NOT($DD4="")))),"Merit",IF(AND(F4="P",OR(AND($AV4&gt;=$AT$12,NOT($AV4="")),AND($BZ4&gt;=$BX$12,NOT($BZ4="")),AND($DD4&gt;=$DB$12,NOT($DD4="")))),"Funding",IF(AND(F4="P",OR(AND($AV4&gt;=$AT$11,NOT($AV4="")),AND($BZ4&gt;=$BX$11,NOT($BZ4="")),AND($DD4&gt;=$DB$11,NOT($DD4="")))),"Worlds Team",IF(AND(F4="P",OR(AND($AV4&gt;=$AT$10,NOT($AV4="")),AND($BZ4&gt;=$BX$10,NOT($BZ4="")),AND($DD4&gt;=$DB$10,NOT($DD4="")))),"National Team",""))))</f>
        <v>National Team</v>
      </c>
      <c r="J4" s="15">
        <f>MAX(AV4,BZ4,DD4)</f>
        <v>132.1</v>
      </c>
      <c r="K4" s="15" t="str">
        <f>IF(J4=DD4,$CC$1,IF(J4=BZ4,$AY$1,IF(J4=AV4,$U$1,"")))</f>
        <v>2017 Canada Cup</v>
      </c>
      <c r="L4" s="15">
        <f>IF($J4=$AV4,MAX(BX4,DB4),IF($J4=$BZ4,MAX(AT4,DB4),MAX(AT4,BX4)))</f>
        <v>67.399999999999991</v>
      </c>
      <c r="M4" s="15" t="str">
        <f>IF(L4=DB4,$CC$1,IF(L4=BX4,$AY$1,IF(L4=AT4,$U$1,"")))</f>
        <v>2018 Canada Cup</v>
      </c>
      <c r="N4" s="15">
        <f>IF($J4=$AV4,MAX(BY4,DC4),IF($J4=$BZ4,MAX(AU4,DC4),MAX(AU4,BY4)))</f>
        <v>63.699999999999996</v>
      </c>
      <c r="O4" s="15" t="str">
        <f>IF(N4=DC4,$CC$1,IF(N4=BY4,$AY$1,IF(N4=AU4,$U$1,"")))</f>
        <v>2018 Canada Cup</v>
      </c>
      <c r="P4" s="15">
        <f>MAX(AW4,CA4,DE4)</f>
        <v>67.5</v>
      </c>
      <c r="Q4" s="15" t="str">
        <f>IF(P4=DE4,$CC$1,IF(P4=CA4,$AY$1,IF(P4=AW4,$U$1,"")))</f>
        <v>2018 Canada Cup</v>
      </c>
      <c r="R4" s="15" t="str">
        <f>IF(MAX(DG4:DI4)&gt;0,MAX(DG4:DI4),"")</f>
        <v/>
      </c>
      <c r="S4" s="29" t="str">
        <f>IF(R4="","",IF(R4=DG4,"(Pass 1-2)",IF(R4=DH4,"(Pass 3-4)",IF(R4=DI4,"(Final)"))))</f>
        <v/>
      </c>
      <c r="T4" s="15" t="str">
        <f>IF(R4="","",IF(R4=DG4,IF(R4+L4=RA4,$QB$1,IF(R4+L4=PW4,$OX$1,IF(R4+L4=OS4,$NT$1,IF(R4+L4=NO4,$MP$1,IF(R4+L4=MK4,$LL$1,IF(R4+L4=LG4,$KH$1,IF(R4+L4=KC4,$JD$1,IF(R4+L4=IY4,$HZ$1,IF(R4+L4=HU4,$GV$1,IF(R4+L4=GQ4,$FR$1,IF(R4+L4=FM4,$EN$1,IF(R4+L4=EI4,$DJ$1)))))))))))),IF(R4=DH4,IF(R4+N4=RB4,$QB$1,IF(R4+N4=PX4,$OX$1,IF(R4+N4=OT4,$NT$1,IF(R4+N4=NP4,$MP$1,IF(R4+N4=ML4,$LL$1,IF(R4+N4=LH4,$KH$1,IF(R4+N4=KD4,$JD$1,IF(R4+N4=IZ4,$HZ$1,IF(R4+N4=HV4,$GV$1,IF(R4+N4=GR4,$FR$1,IF(R4+N4=FN4,$EN$1,IF(R4+N4=EJ4,$DJ$1)))))))))))),IF(R4=DI4,IF(R4+P4=RD4,$QB$1,IF(R4+P4=PZ4,$OX$1,IF(R4+P4=OV4,$NT$1,IF(R4+P4=NR4,$MP$1,IF(R4+P4=MN4,$LL$1,IF(R4+P4=LJ4,$KH$1,IF(R4+P4=KF4,$JD$1,IF(R4+P4=JB4,$HZ$1,IF(R4+P4=HX4,$GV$1,IF(R4+P4=GT4,$FR$1,IF(R4+P4=FP4,$EN$1,IF(R4+P4=EL4,$DJ$1))))))))))))))))</f>
        <v/>
      </c>
      <c r="U4" s="45">
        <v>28.5</v>
      </c>
      <c r="V4" s="45">
        <v>5.2</v>
      </c>
      <c r="W4" s="45">
        <v>0</v>
      </c>
      <c r="X4" s="45">
        <v>0</v>
      </c>
      <c r="Y4" s="45">
        <v>27.8</v>
      </c>
      <c r="Z4" s="45">
        <v>4.8</v>
      </c>
      <c r="AA4" s="45">
        <v>0.9</v>
      </c>
      <c r="AB4" s="45">
        <v>0.5</v>
      </c>
      <c r="AC4" s="45">
        <v>28</v>
      </c>
      <c r="AD4" s="45">
        <v>4.8</v>
      </c>
      <c r="AE4" s="45">
        <v>0</v>
      </c>
      <c r="AF4" s="45">
        <v>0</v>
      </c>
      <c r="AG4" s="45">
        <v>28.6</v>
      </c>
      <c r="AH4" s="45">
        <v>4.8</v>
      </c>
      <c r="AI4" s="45">
        <v>0</v>
      </c>
      <c r="AJ4" s="45">
        <v>0</v>
      </c>
      <c r="AK4" s="45">
        <v>28.6</v>
      </c>
      <c r="AL4" s="45">
        <v>5.2</v>
      </c>
      <c r="AM4" s="45">
        <v>0</v>
      </c>
      <c r="AN4" s="45">
        <v>0</v>
      </c>
      <c r="AO4" s="45">
        <v>28.1</v>
      </c>
      <c r="AP4" s="45">
        <v>4.8</v>
      </c>
      <c r="AQ4" s="45">
        <v>0</v>
      </c>
      <c r="AR4" s="45">
        <v>0</v>
      </c>
      <c r="AS4" s="12">
        <f>IF(SUM(V4,Z4,AD4,AH4)&gt;0,SUM(V4,Z4,AD4,AH4),"")</f>
        <v>19.600000000000001</v>
      </c>
      <c r="AT4" s="12">
        <f>IF(SUM(U4:V4,X4:Z4,AB4)-SUM(W4,AA4)&gt;0,SUM(U4:V4,X4:Z4,AB4)-SUM(W4,AA4),"")</f>
        <v>65.899999999999991</v>
      </c>
      <c r="AU4" s="12">
        <f>IF(SUM(AC4:AD4,AF4:AH4,AJ4)-SUM(AE4,AI4)&gt;0,SUM(AC4:AD4,AF4:AH4,AJ4)-SUM(AE4,AI4),"")</f>
        <v>66.2</v>
      </c>
      <c r="AV4" s="12">
        <f>IF(SUM(U4:V4,X4:Z4,AB4:AD4,AF4:AH4,AJ4)-SUM(W4,AA4,AE4,AI4)&gt;0,SUM(U4:V4,X4:Z4,AB4:AD4,AF4:AH4,AJ4)-SUM(W4,AA4,AE4,AI4),"")</f>
        <v>132.1</v>
      </c>
      <c r="AW4" s="12">
        <f>IF(SUM(AK4:AL4,AN4:AP4,AR4)-SUM(AM4,AQ4)&gt;0,SUM(AK4:AL4,AN4:AP4,AR4)-SUM(AM4,AQ4),"")</f>
        <v>66.7</v>
      </c>
      <c r="AX4" s="12">
        <f>IF(SUM(AV4,AW4)&gt;0,SUM(AV4,AW4),"")</f>
        <v>198.8</v>
      </c>
      <c r="AY4" s="46">
        <v>25.8</v>
      </c>
      <c r="AZ4" s="46">
        <v>5.2</v>
      </c>
      <c r="BA4" s="46">
        <v>0.3</v>
      </c>
      <c r="BB4" s="46">
        <v>0</v>
      </c>
      <c r="BC4" s="46">
        <v>28.3</v>
      </c>
      <c r="BD4" s="46">
        <v>5.2</v>
      </c>
      <c r="BE4" s="46">
        <v>0.3</v>
      </c>
      <c r="BF4" s="46">
        <v>0</v>
      </c>
      <c r="BG4" s="46">
        <v>28.1</v>
      </c>
      <c r="BH4" s="46">
        <v>3</v>
      </c>
      <c r="BI4" s="46">
        <v>0.9</v>
      </c>
      <c r="BJ4" s="46">
        <v>0</v>
      </c>
      <c r="BK4" s="46">
        <v>28.1</v>
      </c>
      <c r="BL4" s="46">
        <v>4.8</v>
      </c>
      <c r="BM4" s="46">
        <v>1.2</v>
      </c>
      <c r="BN4" s="46">
        <v>0</v>
      </c>
      <c r="BO4" s="46">
        <v>28.2</v>
      </c>
      <c r="BP4" s="46">
        <v>5.2</v>
      </c>
      <c r="BQ4" s="46">
        <v>0</v>
      </c>
      <c r="BR4" s="46">
        <v>0</v>
      </c>
      <c r="BS4" s="46">
        <v>28.2</v>
      </c>
      <c r="BT4" s="46">
        <v>5.2</v>
      </c>
      <c r="BU4" s="46">
        <v>0</v>
      </c>
      <c r="BV4" s="46">
        <v>0</v>
      </c>
      <c r="BW4" s="15">
        <f>IF(SUM(AZ4,BD4,BH4,BL4)&gt;0,SUM(AZ4,BD4,BH4,BL4),"")</f>
        <v>18.2</v>
      </c>
      <c r="BX4" s="15">
        <f>IF(SUM(AY4:AZ4,BB4:BD4,BF4)-SUM(BA4,BE4)&gt;0,SUM(AY4:AZ4,BB4:BD4,BF4)-SUM(BA4,BE4),"")</f>
        <v>63.9</v>
      </c>
      <c r="BY4" s="15">
        <f>IF(SUM(BG4:BH4,BJ4:BL4,BN4)-SUM(BI4,BM4)&gt;0,SUM(BG4:BH4,BJ4:BL4,BN4)-SUM(BI4,BM4),"")</f>
        <v>61.9</v>
      </c>
      <c r="BZ4" s="15">
        <f>IF(SUM(AY4:AZ4,BB4:BD4,BF4:BH4,BJ4:BL4,BN4)-SUM(BA4,BE4,BI4,BM4)&gt;0,SUM(AY4:AZ4,BB4:BD4,BF4:BH4,BJ4:BL4,BN4)-SUM(BA4,BE4,BI4,BM4),"")</f>
        <v>125.8</v>
      </c>
      <c r="CA4" s="15">
        <f>IF(SUM(BO4:BP4,BR4:BT4,BV4)-SUM(BQ4,BU4)&gt;0,SUM(BO4:BP4,BR4:BT4,BV4)-SUM(BQ4,BU4),"")</f>
        <v>66.8</v>
      </c>
      <c r="CB4" s="15">
        <f>IF(SUM(BZ4,CA4)&gt;0,SUM(BZ4,CA4),"")</f>
        <v>192.6</v>
      </c>
      <c r="CC4" s="76">
        <v>28</v>
      </c>
      <c r="CD4" s="76">
        <v>6</v>
      </c>
      <c r="CE4" s="76">
        <v>0</v>
      </c>
      <c r="CF4" s="76">
        <v>0</v>
      </c>
      <c r="CG4" s="76">
        <v>27.8</v>
      </c>
      <c r="CH4" s="76">
        <v>5.6</v>
      </c>
      <c r="CI4" s="76">
        <v>0</v>
      </c>
      <c r="CJ4" s="76">
        <v>0</v>
      </c>
      <c r="CK4" s="76">
        <v>28.4</v>
      </c>
      <c r="CL4" s="76">
        <v>3.2</v>
      </c>
      <c r="CM4" s="76">
        <v>0</v>
      </c>
      <c r="CN4" s="76">
        <v>0</v>
      </c>
      <c r="CO4" s="76">
        <v>29</v>
      </c>
      <c r="CP4" s="76">
        <v>3.1</v>
      </c>
      <c r="CQ4" s="76">
        <v>0</v>
      </c>
      <c r="CR4" s="76">
        <v>0</v>
      </c>
      <c r="CS4" s="76">
        <v>28</v>
      </c>
      <c r="CT4" s="76">
        <v>6</v>
      </c>
      <c r="CU4" s="76">
        <v>0</v>
      </c>
      <c r="CV4" s="76">
        <v>0</v>
      </c>
      <c r="CW4" s="76">
        <v>27.9</v>
      </c>
      <c r="CX4" s="76">
        <v>5.6</v>
      </c>
      <c r="CY4" s="76">
        <v>0</v>
      </c>
      <c r="CZ4" s="76">
        <v>0</v>
      </c>
      <c r="DA4" s="12">
        <f>IF(SUM(CD4,CH4,CL4,CP4)&gt;0,SUM(CD4,CH4,CL4,CP4),"")</f>
        <v>17.900000000000002</v>
      </c>
      <c r="DB4" s="12">
        <f>IF(SUM(CC4:CD4,CF4:CH4,CJ4)-SUM(CE4,CI4)&gt;0,SUM(CC4:CD4,CF4:CH4,CJ4)-SUM(CE4,CI4),"")</f>
        <v>67.399999999999991</v>
      </c>
      <c r="DC4" s="12">
        <f>IF(SUM(CK4:CL4,CN4:CP4,CR4)-SUM(CM4,CQ4)&gt;0,SUM(CK4:CL4,CN4:CP4,CR4)-SUM(CM4,CQ4),"")</f>
        <v>63.699999999999996</v>
      </c>
      <c r="DD4" s="12">
        <f>IF(SUM(CC4:CD4,CF4:CH4,CJ4:CL4,CN4:CP4,CR4)-SUM(CE4,CI4,CM4,CQ4)&gt;0,SUM(CC4:CD4,CF4:CH4,CJ4:CL4,CN4:CP4,CR4)-SUM(CE4,CI4,CM4,CQ4),"")</f>
        <v>131.1</v>
      </c>
      <c r="DE4" s="12">
        <f>IF(SUM(CS4:CT4,CV4:CX4,CZ4)-SUM(CU4,CY4)&gt;0,SUM(CS4:CT4,CV4:CX4,CZ4)-SUM(CU4,CY4),"")</f>
        <v>67.5</v>
      </c>
      <c r="DF4" s="12">
        <f>IF(SUM(DD4,DE4)&gt;0,SUM(DD4,DE4),"")</f>
        <v>198.6</v>
      </c>
      <c r="DG4" s="28" t="str">
        <f>IF(MAX(EI4,FM4,GQ4,HU4,IY4,KC4,LG4,MK4,NO4,OS4,PW4,RA4)-L4&gt;0.001,MAX(EI4,FM4,GQ4,HU4,IY4,KC4,LG4,MK4,NO4,OS4,PW4,RA4)-L4,"")</f>
        <v/>
      </c>
      <c r="DH4" s="28" t="str">
        <f>IF(MAX(EJ4,FN4,GR4,HV4,IZ4,KD4,LH4,ML4,NP4,OT4,PX4,RB4)-N4&gt;0.001,MAX(EJ4,FN4,GR4,HV4,IZ4,KD4,LH4,ML4,NP4,OT4,PX4,RB4)-N4,"")</f>
        <v/>
      </c>
      <c r="DI4" s="28" t="str">
        <f>IF(MAX(EL4,FP4,GT4,HX4,JB4,KF4,LJ4,MN4,OV4,PZ4,RD4)-P4&gt;0.001,MAX(EL4,FP4,GT4,HX4,JB4,KF4,LJ4,MN4,OV4,PZ4,RD4)-P4,"")</f>
        <v/>
      </c>
      <c r="DJ4" s="45">
        <v>20.100000000000001</v>
      </c>
      <c r="DK4" s="45">
        <v>2.4</v>
      </c>
      <c r="DL4" s="45">
        <v>0</v>
      </c>
      <c r="DM4" s="45">
        <v>0</v>
      </c>
      <c r="DN4" s="45">
        <v>27.8</v>
      </c>
      <c r="DO4" s="45">
        <v>4.8</v>
      </c>
      <c r="DP4" s="45">
        <v>0.7</v>
      </c>
      <c r="DQ4" s="45">
        <v>0</v>
      </c>
      <c r="DR4" s="45"/>
      <c r="DS4" s="45"/>
      <c r="DT4" s="45"/>
      <c r="DU4" s="45"/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12">
        <f>IF(SUM(DK4,DO4,DS4,DW4)&gt;0,SUM(DK4,DO4,DS4,DW4),"")</f>
        <v>7.1999999999999993</v>
      </c>
      <c r="EI4" s="12">
        <f>IF(SUM(DJ4:DK4,DM4:DO4,DQ4)-SUM(DL4,DP4)&gt;0,SUM(DJ4:DK4,DM4:DO4,DQ4)-SUM(DL4,DP4),"")</f>
        <v>54.399999999999991</v>
      </c>
      <c r="EJ4" s="12" t="str">
        <f>IF(SUM(DR4:DS4,DU4:DW4,DY4)-SUM(DT4,DX4)&gt;0,SUM(DR4:DS4,DU4:DW4,DY4)-SUM(DT4,DX4),"")</f>
        <v/>
      </c>
      <c r="EK4" s="12">
        <f>IF(SUM(DJ4:DK4,DM4:DO4,DQ4:DS4,DU4:DW4,DY4)-SUM(DL4,DP4,DT4,DX4)&gt;0,SUM(DJ4:DK4,DM4:DO4,DQ4:DS4,DU4:DW4,DY4)-SUM(DL4,DP4,DT4,DX4),"")</f>
        <v>54.399999999999991</v>
      </c>
      <c r="EL4" s="12" t="str">
        <f>IF(SUM(DZ4:EA4,EC4:EE4,EG4)-SUM(EB4,EF4)&gt;0,SUM(DZ4:EA4,EC4:EE4,EG4)-SUM(EB4,EF4),"")</f>
        <v/>
      </c>
      <c r="EM4" s="12">
        <f>IF(SUM(EK4,EL4)&gt;0,SUM(EK4,EL4),"")</f>
        <v>54.399999999999991</v>
      </c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15" t="str">
        <f>IF(SUM(EO4,ES4,EW4,FA4)&gt;0,SUM(EO4,ES4,EW4,FA4),"")</f>
        <v/>
      </c>
      <c r="FM4" s="15" t="str">
        <f>IF(SUM(EN4:EO4,EQ4:ES4,EU4)-SUM(EP4,ET4)&gt;0,SUM(EN4:EO4,EQ4:ES4,EU4)-SUM(EP4,ET4),"")</f>
        <v/>
      </c>
      <c r="FN4" s="15" t="str">
        <f>IF(SUM(EV4:EW4,EY4:FA4,FC4)-SUM(EX4,FB4)&gt;0,SUM(EV4:EW4,EY4:FA4,FC4)-SUM(EX4,FB4),"")</f>
        <v/>
      </c>
      <c r="FO4" s="15" t="str">
        <f>IF(SUM(EN4:EO4,EQ4:ES4,EU4:EW4,EY4:FA4,FC4)-SUM(EP4,ET4,EX4,FB4)&gt;0,SUM(EN4:EO4,EQ4:ES4,EU4:EW4,EY4:FA4,FC4)-SUM(EP4,ET4,EX4,FB4),"")</f>
        <v/>
      </c>
      <c r="FP4" s="15" t="str">
        <f>IF(SUM(FD4:FE4,FG4:FI4,FK4)-SUM(FF4,FJ4)&gt;0,SUM(FD4:FE4,FG4:FI4,FK4)-SUM(FF4,FJ4),"")</f>
        <v/>
      </c>
      <c r="FQ4" s="15" t="str">
        <f>IF(SUM(FO4,FP4)&gt;0,SUM(FO4,FP4),"")</f>
        <v/>
      </c>
      <c r="FR4" s="51"/>
      <c r="FS4" s="51"/>
      <c r="FT4" s="51"/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12" t="str">
        <f>IF(SUM(FS4,FW4,GA4,GE4)&gt;0,SUM(FS4,FW4,GA4,GE4),"")</f>
        <v/>
      </c>
      <c r="GQ4" s="12" t="str">
        <f>IF(SUM(FR4:FS4,FU4:FW4,FY4)-SUM(FT4,FX4)&gt;0,SUM(FR4:FS4,FU4:FW4,FY4)-SUM(FT4,FX4),"")</f>
        <v/>
      </c>
      <c r="GR4" s="12" t="str">
        <f>IF(SUM(FZ4:GA4,GC4:GE4,GG4)-SUM(GB4,GF4)&gt;0,SUM(FZ4:GA4,GC4:GE4,GG4)-SUM(GB4,GF4),"")</f>
        <v/>
      </c>
      <c r="GS4" s="12" t="str">
        <f>IF(SUM(FR4:FS4,FU4:FW4,FY4:GA4,GC4:GE4,GG4)-SUM(FT4,FX4,GB4,GF4)&gt;0,SUM(FR4:FS4,FU4:FW4,FY4:GA4,GC4:GE4,GG4)-SUM(FT4,FX4,GB4,GF4),"")</f>
        <v/>
      </c>
      <c r="GT4" s="12" t="str">
        <f>IF(SUM(GH4:GI4,GK4:GM4,GO4)-SUM(GJ4,GN4)&gt;0,SUM(GH4:GI4,GK4:GM4,GO4)-SUM(GJ4,GN4),"")</f>
        <v/>
      </c>
      <c r="GU4" s="12" t="str">
        <f>IF(SUM(GS4,GT4)&gt;0,SUM(GS4,GT4),"")</f>
        <v/>
      </c>
      <c r="GV4" s="50"/>
      <c r="GW4" s="50"/>
      <c r="GX4" s="50"/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15" t="str">
        <f>IF(SUM(GW4,HA4,HE4,HI4)&gt;0,SUM(GW4,HA4,HE4,HI4),"")</f>
        <v/>
      </c>
      <c r="HU4" s="15" t="str">
        <f>IF(SUM(GV4:GW4,GY4:HA4,HC4)-SUM(GX4,HB4)&gt;0,SUM(GV4:GW4,GY4:HA4,HC4)-SUM(GX4,HB4),"")</f>
        <v/>
      </c>
      <c r="HV4" s="15" t="str">
        <f>IF(SUM(HD4:HE4,HG4:HI4,HK4)-SUM(HF4,HJ4)&gt;0,SUM(HD4:HE4,HG4:HI4,HK4)-SUM(HF4,HJ4),"")</f>
        <v/>
      </c>
      <c r="HW4" s="15" t="str">
        <f>IF(SUM(GV4:GW4,GY4:HA4,HC4:HE4,HG4:HI4,HK4)-SUM(GX4,HB4,HF4,HJ4)&gt;0,SUM(GV4:GW4,GY4:HA4,HC4:HE4,HG4:HI4,HK4)-SUM(GX4,HB4,HF4,HJ4),"")</f>
        <v/>
      </c>
      <c r="HX4" s="15" t="str">
        <f>IF(SUM(HL4:HM4,HO4:HQ4,HS4)-SUM(HN4,HR4)&gt;0,SUM(HL4:HM4,HO4:HQ4,HS4)-SUM(HN4,HR4),"")</f>
        <v/>
      </c>
      <c r="HY4" s="15" t="str">
        <f>IF(SUM(HW4,HX4)&gt;0,SUM(HW4,HX4),"")</f>
        <v/>
      </c>
      <c r="HZ4" s="51"/>
      <c r="IA4" s="51"/>
      <c r="IB4" s="51"/>
      <c r="IC4" s="51"/>
      <c r="ID4" s="51"/>
      <c r="IE4" s="51"/>
      <c r="IF4" s="51"/>
      <c r="IG4" s="51"/>
      <c r="IH4" s="51"/>
      <c r="II4" s="51"/>
      <c r="IJ4" s="51"/>
      <c r="IK4" s="51"/>
      <c r="IL4" s="51"/>
      <c r="IM4" s="51"/>
      <c r="IN4" s="51"/>
      <c r="IO4" s="51"/>
      <c r="IP4" s="51"/>
      <c r="IQ4" s="51"/>
      <c r="IR4" s="51"/>
      <c r="IS4" s="51"/>
      <c r="IT4" s="51"/>
      <c r="IU4" s="51"/>
      <c r="IV4" s="51"/>
      <c r="IW4" s="51"/>
      <c r="IX4" s="12" t="str">
        <f>IF(SUM(IA4,IE4,II4,IM4)&gt;0,SUM(IA4,IE4,II4,IM4),"")</f>
        <v/>
      </c>
      <c r="IY4" s="12" t="str">
        <f>IF(SUM(HZ4:IA4,IC4:IE4,IG4)-SUM(IB4,IF4)&gt;0,SUM(HZ4:IA4,IC4:IE4,IG4)-SUM(IB4,IF4),"")</f>
        <v/>
      </c>
      <c r="IZ4" s="12" t="str">
        <f>IF(SUM(IH4:II4,IK4:IM4,IO4)-SUM(IJ4,IN4)&gt;0,SUM(IH4:II4,IK4:IM4,IO4)-SUM(IJ4,IN4),"")</f>
        <v/>
      </c>
      <c r="JA4" s="12" t="str">
        <f>IF(SUM(HZ4:IA4,IC4:IE4,IG4:II4,IK4:IM4,IO4)-SUM(IB4,IF4,IJ4,IN4)&gt;0,SUM(HZ4:IA4,IC4:IE4,IG4:II4,IK4:IM4,IO4)-SUM(IB4,IF4,IJ4,IN4),"")</f>
        <v/>
      </c>
      <c r="JB4" s="12" t="str">
        <f>IF(SUM(IP4:IQ4,IS4:IU4,IW4)-SUM(IR4,IV4)&gt;0,SUM(IP4:IQ4,IS4:IU4,IW4)-SUM(IR4,IV4),"")</f>
        <v/>
      </c>
      <c r="JC4" s="12" t="str">
        <f>IF(SUM(JA4,JB4)&gt;0,SUM(JA4,JB4),"")</f>
        <v/>
      </c>
      <c r="JD4" s="50"/>
      <c r="JE4" s="50"/>
      <c r="JF4" s="50"/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JX4" s="50"/>
      <c r="JY4" s="50"/>
      <c r="JZ4" s="50"/>
      <c r="KA4" s="50"/>
      <c r="KB4" s="15" t="str">
        <f>IF(SUM(JE4,JI4,JM4,JQ4)&gt;0,SUM(JE4,JI4,JM4,JQ4),"")</f>
        <v/>
      </c>
      <c r="KC4" s="15" t="str">
        <f>IF(SUM(JD4:JE4,JG4:JI4,JK4)-SUM(JF4,JJ4)&gt;0,SUM(JD4:JE4,JG4:JI4,JK4)-SUM(JF4,JJ4),"")</f>
        <v/>
      </c>
      <c r="KD4" s="15" t="str">
        <f>IF(SUM(JL4:JM4,JO4:JQ4,JS4)-SUM(JN4,JR4)&gt;0,SUM(JL4:JM4,JO4:JQ4,JS4)-SUM(JN4,JR4),"")</f>
        <v/>
      </c>
      <c r="KE4" s="15" t="str">
        <f>IF(SUM(JD4:JE4,JG4:JI4,JK4:JM4,JO4:JQ4,JS4)-SUM(JF4,JJ4,JN4,JR4)&gt;0,SUM(JD4:JE4,JG4:JI4,JK4:JM4,JO4:JQ4,JS4)-SUM(JF4,JJ4,JN4,JR4),"")</f>
        <v/>
      </c>
      <c r="KF4" s="15" t="str">
        <f>IF(SUM(JT4:JU4,JW4:JY4,KA4)-SUM(JV4,JZ4)&gt;0,SUM(JT4:JU4,JW4:JY4,KA4)-SUM(JV4,JZ4),"")</f>
        <v/>
      </c>
      <c r="KG4" s="15" t="str">
        <f>IF(SUM(KE4,KF4)&gt;0,SUM(KE4,KF4),"")</f>
        <v/>
      </c>
      <c r="KH4" s="51"/>
      <c r="KI4" s="51"/>
      <c r="KJ4" s="51"/>
      <c r="KK4" s="51"/>
      <c r="KL4" s="51"/>
      <c r="KM4" s="51"/>
      <c r="KN4" s="51"/>
      <c r="KO4" s="51"/>
      <c r="KP4" s="51"/>
      <c r="KQ4" s="51"/>
      <c r="KR4" s="51"/>
      <c r="KS4" s="51"/>
      <c r="KT4" s="51"/>
      <c r="KU4" s="51"/>
      <c r="KV4" s="51"/>
      <c r="KW4" s="51"/>
      <c r="KX4" s="51"/>
      <c r="KY4" s="51"/>
      <c r="KZ4" s="51"/>
      <c r="LA4" s="51"/>
      <c r="LB4" s="51"/>
      <c r="LC4" s="51"/>
      <c r="LD4" s="51"/>
      <c r="LE4" s="51"/>
      <c r="LF4" s="12" t="str">
        <f>IF(SUM(KI4,KM4,KQ4,KU4)&gt;0,SUM(KI4,KM4,KQ4,KU4),"")</f>
        <v/>
      </c>
      <c r="LG4" s="12" t="str">
        <f>IF(SUM(KH4:KI4,KK4:KM4,KO4)-SUM(KJ4,KN4)&gt;0,SUM(KH4:KI4,KK4:KM4,KO4)-SUM(KJ4,KN4),"")</f>
        <v/>
      </c>
      <c r="LH4" s="12" t="str">
        <f>IF(SUM(KP4:KQ4,KS4:KU4,KW4)-SUM(KR4,KV4)&gt;0,SUM(KP4:KQ4,KS4:KU4,KW4)-SUM(KR4,KV4),"")</f>
        <v/>
      </c>
      <c r="LI4" s="12" t="str">
        <f>IF(SUM(KH4:KI4,KK4:KM4,KO4:KQ4,KS4:KU4,KW4)-SUM(KJ4,KN4,KR4,KV4)&gt;0,SUM(KH4:KI4,KK4:KM4,KO4:KQ4,KS4:KU4,KW4)-SUM(KJ4,KN4,KR4,KV4),"")</f>
        <v/>
      </c>
      <c r="LJ4" s="12" t="str">
        <f>IF(SUM(KX4:KY4,LA4:LC4,LE4)-SUM(KZ4,LD4)&gt;0,SUM(KX4:KY4,LA4:LC4,LE4)-SUM(KZ4,LD4),"")</f>
        <v/>
      </c>
      <c r="LK4" s="12" t="str">
        <f>IF(SUM(LI4,LJ4)&gt;0,SUM(LI4,LJ4),"")</f>
        <v/>
      </c>
      <c r="LL4" s="50"/>
      <c r="LM4" s="50"/>
      <c r="LN4" s="50"/>
      <c r="LO4" s="50"/>
      <c r="LP4" s="50"/>
      <c r="LQ4" s="50"/>
      <c r="LR4" s="50"/>
      <c r="LS4" s="50"/>
      <c r="LT4" s="50"/>
      <c r="LU4" s="50"/>
      <c r="LV4" s="50"/>
      <c r="LW4" s="50"/>
      <c r="LX4" s="50"/>
      <c r="LY4" s="50"/>
      <c r="LZ4" s="50"/>
      <c r="MA4" s="50"/>
      <c r="MB4" s="50"/>
      <c r="MC4" s="50"/>
      <c r="MD4" s="50"/>
      <c r="ME4" s="50"/>
      <c r="MF4" s="50"/>
      <c r="MG4" s="50"/>
      <c r="MH4" s="50"/>
      <c r="MI4" s="50"/>
      <c r="MJ4" s="15" t="str">
        <f>IF(SUM(LM4,LQ4,LU4,LY4)&gt;0,SUM(LM4,LQ4,LU4,LY4),"")</f>
        <v/>
      </c>
      <c r="MK4" s="15" t="str">
        <f>IF(SUM(LL4:LM4,LO4:LQ4,LS4)-SUM(LN4,LR4)&gt;0,SUM(LL4:LM4,LO4:LQ4,LS4)-SUM(LN4,LR4),"")</f>
        <v/>
      </c>
      <c r="ML4" s="15" t="str">
        <f>IF(SUM(LT4:LU4,LW4:LY4,MA4)-SUM(LV4,LZ4)&gt;0,SUM(LT4:LU4,LW4:LY4,MA4)-SUM(LV4,LZ4),"")</f>
        <v/>
      </c>
      <c r="MM4" s="15" t="str">
        <f>IF(SUM(LL4:LM4,LO4:LQ4,LS4:LU4,LW4:LY4,MA4)-SUM(LN4,LR4,LV4,LZ4)&gt;0,SUM(LL4:LM4,LO4:LQ4,LS4:LU4,LW4:LY4,MA4)-SUM(LN4,LR4,LV4,LZ4),"")</f>
        <v/>
      </c>
      <c r="MN4" s="15" t="str">
        <f>IF(SUM(MB4:MC4,ME4:MG4,MI4)-SUM(MD4,MH4)&gt;0,SUM(MB4:MC4,ME4:MG4,MI4)-SUM(MD4,MH4),"")</f>
        <v/>
      </c>
      <c r="MO4" s="15" t="str">
        <f>IF(SUM(MM4,MN4)&gt;0,SUM(MM4,MN4),"")</f>
        <v/>
      </c>
      <c r="MP4" s="51"/>
      <c r="MQ4" s="51"/>
      <c r="MR4" s="51"/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12" t="str">
        <f>IF(SUM(MQ4,MU4,MY4,NC4)&gt;0,SUM(MQ4,MU4,MY4,NC4),"")</f>
        <v/>
      </c>
      <c r="NO4" s="12" t="str">
        <f>IF(SUM(MP4:MQ4,MS4:MU4,MW4)-SUM(MR4,MV4)&gt;0,SUM(MP4:MQ4,MS4:MU4,MW4)-SUM(MR4,MV4),"")</f>
        <v/>
      </c>
      <c r="NP4" s="12" t="str">
        <f>IF(SUM(MX4:MY4,NA4:NC4,NE4)-SUM(MZ4,ND4)&gt;0,SUM(MX4:MY4,NA4:NC4,NE4)-SUM(MZ4,ND4),"")</f>
        <v/>
      </c>
      <c r="NQ4" s="12" t="str">
        <f>IF(SUM(MP4:MQ4,MS4:MU4,MW4:MY4,NA4:NC4,NE4)-SUM(MR4,MV4,MZ4,ND4)&gt;0,SUM(MP4:MQ4,MS4:MU4,MW4:MY4,NA4:NC4,NE4)-SUM(MR4,MV4,MZ4,ND4),"")</f>
        <v/>
      </c>
      <c r="NR4" s="12" t="str">
        <f>IF(SUM(NF4:NG4,NI4:NK4,NM4)-SUM(NH4,NL4)&gt;0,SUM(NF4:NG4,NI4:NK4,NM4)-SUM(NH4,NL4),"")</f>
        <v/>
      </c>
      <c r="NS4" s="12" t="str">
        <f>IF(SUM(NQ4,NR4)&gt;0,SUM(NQ4,NR4),"")</f>
        <v/>
      </c>
      <c r="NT4" s="50"/>
      <c r="NU4" s="50"/>
      <c r="NV4" s="50"/>
      <c r="NW4" s="50"/>
      <c r="NX4" s="50"/>
      <c r="NY4" s="50"/>
      <c r="NZ4" s="50"/>
      <c r="OA4" s="50"/>
      <c r="OB4" s="50"/>
      <c r="OC4" s="50"/>
      <c r="OD4" s="50"/>
      <c r="OE4" s="50"/>
      <c r="OF4" s="50"/>
      <c r="OG4" s="50"/>
      <c r="OH4" s="50"/>
      <c r="OI4" s="50"/>
      <c r="OJ4" s="50"/>
      <c r="OK4" s="50"/>
      <c r="OL4" s="50"/>
      <c r="OM4" s="50"/>
      <c r="ON4" s="50"/>
      <c r="OO4" s="50"/>
      <c r="OP4" s="50"/>
      <c r="OQ4" s="50"/>
      <c r="OR4" s="15" t="str">
        <f>IF(SUM(NU4,NY4,OC4,OG4)&gt;0,SUM(NU4,NY4,OC4,OG4),"")</f>
        <v/>
      </c>
      <c r="OS4" s="15" t="str">
        <f>IF(SUM(NT4:NU4,NW4:NY4,OA4)-SUM(NV4,NZ4)&gt;0,SUM(NT4:NU4,NW4:NY4,OA4)-SUM(NV4,NZ4),"")</f>
        <v/>
      </c>
      <c r="OT4" s="15" t="str">
        <f>IF(SUM(OB4:OC4,OE4:OG4,OI4)-SUM(OD4,OH4)&gt;0,SUM(OB4:OC4,OE4:OG4,OI4)-SUM(OD4,OH4),"")</f>
        <v/>
      </c>
      <c r="OU4" s="15" t="str">
        <f>IF(SUM(NT4:NU4,NW4:NY4,OA4:OC4,OE4:OG4,OI4)-SUM(NV4,NZ4,OD4,OH4)&gt;0,SUM(NT4:NU4,NW4:NY4,OA4:OC4,OE4:OG4,OI4)-SUM(NV4,NZ4,OD4,OH4),"")</f>
        <v/>
      </c>
      <c r="OV4" s="15" t="str">
        <f>IF(SUM(OJ4:OK4,OM4:OO4,OQ4)-SUM(OL4,OP4)&gt;0,SUM(OJ4:OK4,OM4:OO4,OQ4)-SUM(OL4,OP4),"")</f>
        <v/>
      </c>
      <c r="OW4" s="15" t="str">
        <f>IF(SUM(OU4,OV4)&gt;0,SUM(OU4,OV4),"")</f>
        <v/>
      </c>
      <c r="OX4" s="51"/>
      <c r="OY4" s="51"/>
      <c r="OZ4" s="51"/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12" t="str">
        <f>IF(SUM(OY4,PC4,PG4,PK4)&gt;0,SUM(OY4,PC4,PG4,PK4),"")</f>
        <v/>
      </c>
      <c r="PW4" s="12" t="str">
        <f>IF(SUM(OX4:OY4,PA4:PC4,PE4)-SUM(OZ4,PD4)&gt;0,SUM(OX4:OY4,PA4:PC4,PE4)-SUM(OZ4,PD4),"")</f>
        <v/>
      </c>
      <c r="PX4" s="12" t="str">
        <f>IF(SUM(PF4:PG4,PI4:PK4,PM4)-SUM(PH4,PL4)&gt;0,SUM(PF4:PG4,PI4:PK4,PM4)-SUM(PH4,PL4),"")</f>
        <v/>
      </c>
      <c r="PY4" s="12" t="str">
        <f>IF(SUM(OX4:OY4,PA4:PC4,PE4:PG4,PI4:PK4,PM4)-SUM(OZ4,PD4,PH4,PL4)&gt;0,SUM(OX4:OY4,PA4:PC4,PE4:PG4,PI4:PK4,PM4)-SUM(OZ4,PD4,PH4,PL4),"")</f>
        <v/>
      </c>
      <c r="PZ4" s="12" t="str">
        <f>IF(SUM(PN4:PO4,PQ4:PS4,PU4)-SUM(PP4,PT4)&gt;0,SUM(PN4:PO4,PQ4:PS4,PU4)-SUM(PP4,PT4),"")</f>
        <v/>
      </c>
      <c r="QA4" s="12" t="str">
        <f>IF(SUM(PY4,PZ4)&gt;0,SUM(PY4,PZ4),"")</f>
        <v/>
      </c>
      <c r="QB4" s="50"/>
      <c r="QC4" s="50"/>
      <c r="QD4" s="50"/>
      <c r="QE4" s="50"/>
      <c r="QF4" s="50"/>
      <c r="QG4" s="50"/>
      <c r="QH4" s="50"/>
      <c r="QI4" s="50"/>
      <c r="QJ4" s="50"/>
      <c r="QK4" s="50"/>
      <c r="QL4" s="50"/>
      <c r="QM4" s="50"/>
      <c r="QN4" s="50"/>
      <c r="QO4" s="50"/>
      <c r="QP4" s="50"/>
      <c r="QQ4" s="50"/>
      <c r="QR4" s="50"/>
      <c r="QS4" s="50"/>
      <c r="QT4" s="50"/>
      <c r="QU4" s="50"/>
      <c r="QV4" s="50"/>
      <c r="QW4" s="50"/>
      <c r="QX4" s="50"/>
      <c r="QY4" s="50"/>
      <c r="QZ4" s="15" t="str">
        <f>IF(SUM(QC4,QG4,QK4,QO4)&gt;0,SUM(QC4,QG4,QK4,QO4),"")</f>
        <v/>
      </c>
      <c r="RA4" s="15" t="str">
        <f>IF(SUM(QB4:QC4,QE4:QG4,QI4)-SUM(QD4,QH4)&gt;0,SUM(QB4:QC4,QE4:QG4,QI4)-SUM(QD4,QH4),"")</f>
        <v/>
      </c>
      <c r="RB4" s="15" t="str">
        <f>IF(SUM(QJ4:QK4,QM4:QO4,QQ4)-SUM(QL4,QP4)&gt;0,SUM(QJ4:QK4,QM4:QO4,QQ4)-SUM(QL4,QP4),"")</f>
        <v/>
      </c>
      <c r="RC4" s="15" t="str">
        <f>IF(SUM(QB4:QC4,QE4:QG4,QI4:QK4,QM4:QO4,QQ4)-SUM(QD4,QH4,QL4,QP4)&gt;0,SUM(QB4:QC4,QE4:QG4,QI4:QK4,QM4:QO4,QQ4)-SUM(QD4,QH4,QL4,QP4),"")</f>
        <v/>
      </c>
      <c r="RD4" s="15" t="str">
        <f>IF(SUM(QR4:QS4,QU4:QW4,QY4)-SUM(QT4,QX4)&gt;0,SUM(QR4:QS4,QU4:QW4,QY4)-SUM(QT4,QX4),"")</f>
        <v/>
      </c>
      <c r="RE4" s="15" t="str">
        <f>IF(SUM(RC4,RD4)&gt;0,SUM(RC4,RD4),"")</f>
        <v/>
      </c>
    </row>
    <row r="5" spans="1:473">
      <c r="A5" s="6">
        <f>IF(AND(F5="P",H5="P"),SUMPRODUCT((F$4:F$5="P")*(H$4:H$5="P")*(E$4:E$5&gt;E5))+1,IF(H5="P",SUMPRODUCT((F$4:F$5="")*(H$4:H$5="P")*(E$4:E$5&gt;E5))+1+SUMPRODUCT((F$4:F$5="P")*(H$4:H$5="P")),""))</f>
        <v>2</v>
      </c>
      <c r="B5" s="9" t="s">
        <v>103</v>
      </c>
      <c r="C5" s="5" t="s">
        <v>4</v>
      </c>
      <c r="D5" s="31">
        <v>2000</v>
      </c>
      <c r="E5" s="16">
        <f>SUM(J5:R5)</f>
        <v>322.30000000000007</v>
      </c>
      <c r="F5" s="4" t="str">
        <f>IF(OR(AND($AS5&gt;=$AT$8,NOT($AS5="")),AND($BW5&gt;=$BX$8,NOT($BW5="")),AND($DA5&gt;=$DB$8,NOT($DA5=""))),"P","")</f>
        <v>P</v>
      </c>
      <c r="G5" s="4" t="str">
        <f>IF(OR(AND($AS5&gt;=$AT$9,NOT($AS5="")),AND($BW5&gt;=$BX$9,NOT($BW5="")),AND($DA5&gt;=$DB$9,NOT($DA5=""))),"P","")</f>
        <v/>
      </c>
      <c r="H5" s="4" t="str">
        <f>IF(OR(AND($AV5&gt;=$AT$10,NOT($AV5="")),AND($BZ5&gt;=$BX$10,NOT($BZ5="")),AND($DD5&gt;=$DB$10,NOT($DD5=""))),"P","")</f>
        <v>P</v>
      </c>
      <c r="I5" t="str">
        <f>IF(AND(F5="P",OR(AND($AV5&gt;=$AT$13,NOT($AV5="")),AND($BZ5&gt;=$BX$13,NOT($BZ5="")),AND($DD5&gt;=$DB$13,NOT($DD5="")))),"Merit",IF(AND(F5="P",OR(AND($AV5&gt;=$AT$12,NOT($AV5="")),AND($BZ5&gt;=$BX$12,NOT($BZ5="")),AND($DD5&gt;=$DB$12,NOT($DD5="")))),"Funding",IF(AND(F5="P",OR(AND($AV5&gt;=$AT$11,NOT($AV5="")),AND($BZ5&gt;=$BX$11,NOT($BZ5="")),AND($DD5&gt;=$DB$11,NOT($DD5="")))),"Worlds Team",IF(AND(F5="P",OR(AND($AV5&gt;=$AT$10,NOT($AV5="")),AND($BZ5&gt;=$BX$10,NOT($BZ5="")),AND($DD5&gt;=$DB$10,NOT($DD5="")))),"National Team",""))))</f>
        <v>National Team</v>
      </c>
      <c r="J5" s="15">
        <f>MAX(AV5,BZ5,DD5)</f>
        <v>128.30000000000001</v>
      </c>
      <c r="K5" s="15" t="str">
        <f>IF(J5=DD5,$CC$1,IF(J5=BZ5,$AY$1,IF(J5=AV5,$U$1,"")))</f>
        <v>2017 Canada Cup</v>
      </c>
      <c r="L5" s="15">
        <f>IF($J5=$AV5,MAX(BX5,DB5),IF($J5=$BZ5,MAX(AT5,DB5),MAX(AT5,BX5)))</f>
        <v>63.8</v>
      </c>
      <c r="M5" s="15" t="str">
        <f>IF(L5=DB5,$CC$1,IF(L5=BX5,$AY$1,IF(L5=AT5,$U$1,"")))</f>
        <v>2017 Nationals</v>
      </c>
      <c r="N5" s="15">
        <f>IF($J5=$AV5,MAX(BY5,DC5),IF($J5=$BZ5,MAX(AU5,DC5),MAX(AU5,BY5)))</f>
        <v>64.3</v>
      </c>
      <c r="O5" s="15" t="str">
        <f>IF(N5=DC5,$CC$1,IF(N5=BY5,$AY$1,IF(N5=AU5,$U$1,"")))</f>
        <v>2017 Nationals</v>
      </c>
      <c r="P5" s="15">
        <f>MAX(AW5,CA5,DE5)</f>
        <v>63.6</v>
      </c>
      <c r="Q5" s="15" t="str">
        <f>IF(P5=DE5,$CC$1,IF(P5=CA5,$AY$1,IF(P5=AW5,$U$1,"")))</f>
        <v>2017 Canada Cup</v>
      </c>
      <c r="R5" s="15">
        <f>IF(MAX(DG5:DI5)&gt;0,MAX(DG5:DI5),"")</f>
        <v>2.3000000000000114</v>
      </c>
      <c r="S5" s="29" t="str">
        <f>IF(R5="","",IF(R5=DG5,"(Pass 1-2)",IF(R5=DH5,"(Pass 3-4)",IF(R5=DI5,"(Final)"))))</f>
        <v>(Pass 1-2)</v>
      </c>
      <c r="T5" s="15" t="str">
        <f>IF(R5="","",IF(R5=DG5,IF(R5+L5=RA5,$QB$1,IF(R5+L5=PW5,$OX$1,IF(R5+L5=OS5,$NT$1,IF(R5+L5=NO5,$MP$1,IF(R5+L5=MK5,$LL$1,IF(R5+L5=LG5,$KH$1,IF(R5+L5=KC5,$JD$1,IF(R5+L5=IY5,$HZ$1,IF(R5+L5=HU5,$GV$1,IF(R5+L5=GQ5,$FR$1,IF(R5+L5=FM5,$EN$1,IF(R5+L5=EI5,$DJ$1)))))))))))),IF(R5=DH5,IF(R5+N5=RB5,$QB$1,IF(R5+N5=PX5,$OX$1,IF(R5+N5=OT5,$NT$1,IF(R5+N5=NP5,$MP$1,IF(R5+N5=ML5,$LL$1,IF(R5+N5=LH5,$KH$1,IF(R5+N5=KD5,$JD$1,IF(R5+N5=IZ5,$HZ$1,IF(R5+N5=HV5,$GV$1,IF(R5+N5=GR5,$FR$1,IF(R5+N5=FN5,$EN$1,IF(R5+N5=EJ5,$DJ$1)))))))))))),IF(R5=DI5,IF(R5+P5=RD5,$QB$1,IF(R5+P5=PZ5,$OX$1,IF(R5+P5=OV5,$NT$1,IF(R5+P5=NR5,$MP$1,IF(R5+P5=MN5,$LL$1,IF(R5+P5=LJ5,$KH$1,IF(R5+P5=KF5,$JD$1,IF(R5+P5=JB5,$HZ$1,IF(R5+P5=HX5,$GV$1,IF(R5+P5=GT5,$FR$1,IF(R5+P5=FP5,$EN$1,IF(R5+P5=EL5,$DJ$1))))))))))))))))</f>
        <v>2017 World Age Group Championships (Nov)</v>
      </c>
      <c r="U5" s="45">
        <v>28</v>
      </c>
      <c r="V5" s="45">
        <v>4.4000000000000004</v>
      </c>
      <c r="W5" s="45">
        <v>0</v>
      </c>
      <c r="X5" s="45">
        <v>0</v>
      </c>
      <c r="Y5" s="45">
        <v>27.3</v>
      </c>
      <c r="Z5" s="45">
        <v>4.8</v>
      </c>
      <c r="AA5" s="45">
        <v>0</v>
      </c>
      <c r="AB5" s="45">
        <v>0</v>
      </c>
      <c r="AC5" s="45">
        <v>27.9</v>
      </c>
      <c r="AD5" s="45">
        <v>4.8</v>
      </c>
      <c r="AE5" s="45">
        <v>0</v>
      </c>
      <c r="AF5" s="45">
        <v>0</v>
      </c>
      <c r="AG5" s="45">
        <v>27.2</v>
      </c>
      <c r="AH5" s="45">
        <v>4.8</v>
      </c>
      <c r="AI5" s="45">
        <v>0.9</v>
      </c>
      <c r="AJ5" s="45">
        <v>0</v>
      </c>
      <c r="AK5" s="45">
        <v>27.2</v>
      </c>
      <c r="AL5" s="45">
        <v>4.4000000000000004</v>
      </c>
      <c r="AM5" s="45">
        <v>0.3</v>
      </c>
      <c r="AN5" s="45">
        <v>0</v>
      </c>
      <c r="AO5" s="45">
        <v>27.5</v>
      </c>
      <c r="AP5" s="45">
        <v>4.8</v>
      </c>
      <c r="AQ5" s="45">
        <v>0</v>
      </c>
      <c r="AR5" s="45">
        <v>0</v>
      </c>
      <c r="AS5" s="12">
        <f>IF(SUM(V5,Z5,AD5,AH5)&gt;0,SUM(V5,Z5,AD5,AH5),"")</f>
        <v>18.8</v>
      </c>
      <c r="AT5" s="12">
        <f>IF(SUM(U5:V5,X5:Z5,AB5)-SUM(W5,AA5)&gt;0,SUM(U5:V5,X5:Z5,AB5)-SUM(W5,AA5),"")</f>
        <v>64.5</v>
      </c>
      <c r="AU5" s="12">
        <f>IF(SUM(AC5:AD5,AF5:AH5,AJ5)-SUM(AE5,AI5)&gt;0,SUM(AC5:AD5,AF5:AH5,AJ5)-SUM(AE5,AI5),"")</f>
        <v>63.79999999999999</v>
      </c>
      <c r="AV5" s="12">
        <f>IF(SUM(U5:V5,X5:Z5,AB5:AD5,AF5:AH5,AJ5)-SUM(W5,AA5,AE5,AI5)&gt;0,SUM(U5:V5,X5:Z5,AB5:AD5,AF5:AH5,AJ5)-SUM(W5,AA5,AE5,AI5),"")</f>
        <v>128.30000000000001</v>
      </c>
      <c r="AW5" s="12">
        <f>IF(SUM(AK5:AL5,AN5:AP5,AR5)-SUM(AM5,AQ5)&gt;0,SUM(AK5:AL5,AN5:AP5,AR5)-SUM(AM5,AQ5),"")</f>
        <v>63.6</v>
      </c>
      <c r="AX5" s="12">
        <f>IF(SUM(AV5,AW5)&gt;0,SUM(AV5,AW5),"")</f>
        <v>191.9</v>
      </c>
      <c r="AY5" s="46">
        <v>27.3</v>
      </c>
      <c r="AZ5" s="46">
        <v>5.2</v>
      </c>
      <c r="BA5" s="46">
        <v>0.3</v>
      </c>
      <c r="BB5" s="46">
        <v>0</v>
      </c>
      <c r="BC5" s="46">
        <v>26.9</v>
      </c>
      <c r="BD5" s="46">
        <v>5.6</v>
      </c>
      <c r="BE5" s="46">
        <v>0.9</v>
      </c>
      <c r="BF5" s="46">
        <v>0</v>
      </c>
      <c r="BG5" s="46">
        <v>27.4</v>
      </c>
      <c r="BH5" s="46">
        <v>4.8</v>
      </c>
      <c r="BI5" s="46">
        <v>0</v>
      </c>
      <c r="BJ5" s="46">
        <v>0</v>
      </c>
      <c r="BK5" s="46">
        <v>27.3</v>
      </c>
      <c r="BL5" s="46">
        <v>4.8</v>
      </c>
      <c r="BM5" s="46">
        <v>0</v>
      </c>
      <c r="BN5" s="46">
        <v>0</v>
      </c>
      <c r="BO5" s="46">
        <v>26.9</v>
      </c>
      <c r="BP5" s="46">
        <v>4.4000000000000004</v>
      </c>
      <c r="BQ5" s="46">
        <v>1.2</v>
      </c>
      <c r="BR5" s="46">
        <v>0</v>
      </c>
      <c r="BS5" s="46">
        <v>27.5</v>
      </c>
      <c r="BT5" s="46">
        <v>5.6</v>
      </c>
      <c r="BU5" s="46">
        <v>0</v>
      </c>
      <c r="BV5" s="46">
        <v>0</v>
      </c>
      <c r="BW5" s="15">
        <f>IF(SUM(AZ5,BD5,BH5,BL5)&gt;0,SUM(AZ5,BD5,BH5,BL5),"")</f>
        <v>20.400000000000002</v>
      </c>
      <c r="BX5" s="15">
        <f>IF(SUM(AY5:AZ5,BB5:BD5,BF5)-SUM(BA5,BE5)&gt;0,SUM(AY5:AZ5,BB5:BD5,BF5)-SUM(BA5,BE5),"")</f>
        <v>63.8</v>
      </c>
      <c r="BY5" s="15">
        <f>IF(SUM(BG5:BH5,BJ5:BL5,BN5)-SUM(BI5,BM5)&gt;0,SUM(BG5:BH5,BJ5:BL5,BN5)-SUM(BI5,BM5),"")</f>
        <v>64.3</v>
      </c>
      <c r="BZ5" s="15">
        <f>IF(SUM(AY5:AZ5,BB5:BD5,BF5:BH5,BJ5:BL5,BN5)-SUM(BA5,BE5,BI5,BM5)&gt;0,SUM(AY5:AZ5,BB5:BD5,BF5:BH5,BJ5:BL5,BN5)-SUM(BA5,BE5,BI5,BM5),"")</f>
        <v>128.10000000000002</v>
      </c>
      <c r="CA5" s="15">
        <f>IF(SUM(BO5:BP5,BR5:BT5,BV5)-SUM(BQ5,BU5)&gt;0,SUM(BO5:BP5,BR5:BT5,BV5)-SUM(BQ5,BU5),"")</f>
        <v>63.199999999999989</v>
      </c>
      <c r="CB5" s="15">
        <f>IF(SUM(BZ5,CA5)&gt;0,SUM(BZ5,CA5),"")</f>
        <v>191.3</v>
      </c>
      <c r="CC5" s="76"/>
      <c r="CD5" s="76"/>
      <c r="CE5" s="76"/>
      <c r="CF5" s="76"/>
      <c r="CG5" s="76"/>
      <c r="CH5" s="76"/>
      <c r="CI5" s="76"/>
      <c r="CJ5" s="76"/>
      <c r="CK5" s="76"/>
      <c r="CL5" s="76"/>
      <c r="CM5" s="76"/>
      <c r="CN5" s="76"/>
      <c r="CO5" s="76"/>
      <c r="CP5" s="76"/>
      <c r="CQ5" s="76"/>
      <c r="CR5" s="76"/>
      <c r="CS5" s="76"/>
      <c r="CT5" s="76"/>
      <c r="CU5" s="76"/>
      <c r="CV5" s="76"/>
      <c r="CW5" s="76"/>
      <c r="CX5" s="76"/>
      <c r="CY5" s="76"/>
      <c r="CZ5" s="76"/>
      <c r="DA5" s="12" t="str">
        <f>IF(SUM(CD5,CH5,CL5,CP5)&gt;0,SUM(CD5,CH5,CL5,CP5),"")</f>
        <v/>
      </c>
      <c r="DB5" s="12" t="str">
        <f>IF(SUM(CC5:CD5,CF5:CH5,CJ5)-SUM(CE5,CI5)&gt;0,SUM(CC5:CD5,CF5:CH5,CJ5)-SUM(CE5,CI5),"")</f>
        <v/>
      </c>
      <c r="DC5" s="12" t="str">
        <f>IF(SUM(CK5:CL5,CN5:CP5,CR5)-SUM(CM5,CQ5)&gt;0,SUM(CK5:CL5,CN5:CP5,CR5)-SUM(CM5,CQ5),"")</f>
        <v/>
      </c>
      <c r="DD5" s="12" t="str">
        <f>IF(SUM(CC5:CD5,CF5:CH5,CJ5:CL5,CN5:CP5,CR5)-SUM(CE5,CI5,CM5,CQ5)&gt;0,SUM(CC5:CD5,CF5:CH5,CJ5:CL5,CN5:CP5,CR5)-SUM(CE5,CI5,CM5,CQ5),"")</f>
        <v/>
      </c>
      <c r="DE5" s="12" t="str">
        <f>IF(SUM(CS5:CT5,CV5:CX5,CZ5)-SUM(CU5,CY5)&gt;0,SUM(CS5:CT5,CV5:CX5,CZ5)-SUM(CU5,CY5),"")</f>
        <v/>
      </c>
      <c r="DF5" s="12" t="str">
        <f>IF(SUM(DD5,DE5)&gt;0,SUM(DD5,DE5),"")</f>
        <v/>
      </c>
      <c r="DG5" s="28">
        <f>IF(MAX(EI5,FM5,GQ5,HU5,IY5,KC5,LG5,MK5,NO5,OS5,PW5,RA5)-L5&gt;0.001,MAX(EI5,FM5,GQ5,HU5,IY5,KC5,LG5,MK5,NO5,OS5,PW5,RA5)-L5,"")</f>
        <v>2.3000000000000114</v>
      </c>
      <c r="DH5" s="28" t="str">
        <f>IF(MAX(EJ5,FN5,GR5,HV5,IZ5,KD5,LH5,ML5,NP5,OT5,PX5,RB5)-N5&gt;0.001,MAX(EJ5,FN5,GR5,HV5,IZ5,KD5,LH5,ML5,NP5,OT5,PX5,RB5)-N5,"")</f>
        <v/>
      </c>
      <c r="DI5" s="28">
        <f>IF(MAX(EL5,FP5,GT5,HX5,JB5,KF5,LJ5,MN5,OV5,PZ5,RD5)-P5&gt;0.001,MAX(EL5,FP5,GT5,HX5,JB5,KF5,LJ5,MN5,OV5,PZ5,RD5)-P5,"")</f>
        <v>0.89999999999998437</v>
      </c>
      <c r="DJ5" s="45">
        <v>28</v>
      </c>
      <c r="DK5" s="45">
        <v>6</v>
      </c>
      <c r="DL5" s="45">
        <v>0.3</v>
      </c>
      <c r="DM5" s="45">
        <v>0</v>
      </c>
      <c r="DN5" s="45">
        <v>27.9</v>
      </c>
      <c r="DO5" s="45">
        <v>4.8</v>
      </c>
      <c r="DP5" s="45">
        <v>0.3</v>
      </c>
      <c r="DQ5" s="45">
        <v>0</v>
      </c>
      <c r="DR5" s="45"/>
      <c r="DS5" s="45"/>
      <c r="DT5" s="45"/>
      <c r="DU5" s="45"/>
      <c r="DV5" s="45"/>
      <c r="DW5" s="45"/>
      <c r="DX5" s="45"/>
      <c r="DY5" s="45"/>
      <c r="DZ5" s="45">
        <v>27.2</v>
      </c>
      <c r="EA5" s="45">
        <v>5.6</v>
      </c>
      <c r="EB5" s="45">
        <v>0.9</v>
      </c>
      <c r="EC5" s="45">
        <v>0</v>
      </c>
      <c r="ED5" s="45">
        <v>27.8</v>
      </c>
      <c r="EE5" s="45">
        <v>4.8</v>
      </c>
      <c r="EF5" s="45">
        <v>0</v>
      </c>
      <c r="EG5" s="45">
        <v>0</v>
      </c>
      <c r="EH5" s="12">
        <f>IF(SUM(DK5,DO5,DS5,DW5)&gt;0,SUM(DK5,DO5,DS5,DW5),"")</f>
        <v>10.8</v>
      </c>
      <c r="EI5" s="12">
        <f>IF(SUM(DJ5:DK5,DM5:DO5,DQ5)-SUM(DL5,DP5)&gt;0,SUM(DJ5:DK5,DM5:DO5,DQ5)-SUM(DL5,DP5),"")</f>
        <v>66.100000000000009</v>
      </c>
      <c r="EJ5" s="12" t="str">
        <f>IF(SUM(DR5:DS5,DU5:DW5,DY5)-SUM(DT5,DX5)&gt;0,SUM(DR5:DS5,DU5:DW5,DY5)-SUM(DT5,DX5),"")</f>
        <v/>
      </c>
      <c r="EK5" s="12">
        <f>IF(SUM(DJ5:DK5,DM5:DO5,DQ5:DS5,DU5:DW5,DY5)-SUM(DL5,DP5,DT5,DX5)&gt;0,SUM(DJ5:DK5,DM5:DO5,DQ5:DS5,DU5:DW5,DY5)-SUM(DL5,DP5,DT5,DX5),"")</f>
        <v>66.100000000000009</v>
      </c>
      <c r="EL5" s="12">
        <f>IF(SUM(DZ5:EA5,EC5:EE5,EG5)-SUM(EB5,EF5)&gt;0,SUM(DZ5:EA5,EC5:EE5,EG5)-SUM(EB5,EF5),"")</f>
        <v>64.499999999999986</v>
      </c>
      <c r="EM5" s="12">
        <f>IF(SUM(EK5,EL5)&gt;0,SUM(EK5,EL5),"")</f>
        <v>130.6</v>
      </c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  <c r="FF5" s="50"/>
      <c r="FG5" s="50"/>
      <c r="FH5" s="50"/>
      <c r="FI5" s="50"/>
      <c r="FJ5" s="50"/>
      <c r="FK5" s="50"/>
      <c r="FL5" s="15" t="str">
        <f>IF(SUM(EO5,ES5,EW5,FA5)&gt;0,SUM(EO5,ES5,EW5,FA5),"")</f>
        <v/>
      </c>
      <c r="FM5" s="15" t="str">
        <f>IF(SUM(EN5:EO5,EQ5:ES5,EU5)-SUM(EP5,ET5)&gt;0,SUM(EN5:EO5,EQ5:ES5,EU5)-SUM(EP5,ET5),"")</f>
        <v/>
      </c>
      <c r="FN5" s="15" t="str">
        <f>IF(SUM(EV5:EW5,EY5:FA5,FC5)-SUM(EX5,FB5)&gt;0,SUM(EV5:EW5,EY5:FA5,FC5)-SUM(EX5,FB5),"")</f>
        <v/>
      </c>
      <c r="FO5" s="15" t="str">
        <f>IF(SUM(EN5:EO5,EQ5:ES5,EU5:EW5,EY5:FA5,FC5)-SUM(EP5,ET5,EX5,FB5)&gt;0,SUM(EN5:EO5,EQ5:ES5,EU5:EW5,EY5:FA5,FC5)-SUM(EP5,ET5,EX5,FB5),"")</f>
        <v/>
      </c>
      <c r="FP5" s="15" t="str">
        <f>IF(SUM(FD5:FE5,FG5:FI5,FK5)-SUM(FF5,FJ5)&gt;0,SUM(FD5:FE5,FG5:FI5,FK5)-SUM(FF5,FJ5),"")</f>
        <v/>
      </c>
      <c r="FQ5" s="15" t="str">
        <f>IF(SUM(FO5,FP5)&gt;0,SUM(FO5,FP5),"")</f>
        <v/>
      </c>
      <c r="FR5" s="51"/>
      <c r="FS5" s="51"/>
      <c r="FT5" s="51"/>
      <c r="FU5" s="51"/>
      <c r="FV5" s="51"/>
      <c r="FW5" s="51"/>
      <c r="FX5" s="51"/>
      <c r="FY5" s="51"/>
      <c r="FZ5" s="51"/>
      <c r="GA5" s="51"/>
      <c r="GB5" s="51"/>
      <c r="GC5" s="51"/>
      <c r="GD5" s="51"/>
      <c r="GE5" s="51"/>
      <c r="GF5" s="51"/>
      <c r="GG5" s="51"/>
      <c r="GH5" s="51"/>
      <c r="GI5" s="51"/>
      <c r="GJ5" s="51"/>
      <c r="GK5" s="51"/>
      <c r="GL5" s="51"/>
      <c r="GM5" s="51"/>
      <c r="GN5" s="51"/>
      <c r="GO5" s="51"/>
      <c r="GP5" s="12" t="str">
        <f>IF(SUM(FS5,FW5,GA5,GE5)&gt;0,SUM(FS5,FW5,GA5,GE5),"")</f>
        <v/>
      </c>
      <c r="GQ5" s="12" t="str">
        <f>IF(SUM(FR5:FS5,FU5:FW5,FY5)-SUM(FT5,FX5)&gt;0,SUM(FR5:FS5,FU5:FW5,FY5)-SUM(FT5,FX5),"")</f>
        <v/>
      </c>
      <c r="GR5" s="12" t="str">
        <f>IF(SUM(FZ5:GA5,GC5:GE5,GG5)-SUM(GB5,GF5)&gt;0,SUM(FZ5:GA5,GC5:GE5,GG5)-SUM(GB5,GF5),"")</f>
        <v/>
      </c>
      <c r="GS5" s="12" t="str">
        <f>IF(SUM(FR5:FS5,FU5:FW5,FY5:GA5,GC5:GE5,GG5)-SUM(FT5,FX5,GB5,GF5)&gt;0,SUM(FR5:FS5,FU5:FW5,FY5:GA5,GC5:GE5,GG5)-SUM(FT5,FX5,GB5,GF5),"")</f>
        <v/>
      </c>
      <c r="GT5" s="12" t="str">
        <f>IF(SUM(GH5:GI5,GK5:GM5,GO5)-SUM(GJ5,GN5)&gt;0,SUM(GH5:GI5,GK5:GM5,GO5)-SUM(GJ5,GN5),"")</f>
        <v/>
      </c>
      <c r="GU5" s="12" t="str">
        <f>IF(SUM(GS5,GT5)&gt;0,SUM(GS5,GT5),"")</f>
        <v/>
      </c>
      <c r="GV5" s="50"/>
      <c r="GW5" s="50"/>
      <c r="GX5" s="50"/>
      <c r="GY5" s="50"/>
      <c r="GZ5" s="50"/>
      <c r="HA5" s="50"/>
      <c r="HB5" s="50"/>
      <c r="HC5" s="50"/>
      <c r="HD5" s="50"/>
      <c r="HE5" s="50"/>
      <c r="HF5" s="50"/>
      <c r="HG5" s="50"/>
      <c r="HH5" s="50"/>
      <c r="HI5" s="50"/>
      <c r="HJ5" s="50"/>
      <c r="HK5" s="50"/>
      <c r="HL5" s="50"/>
      <c r="HM5" s="50"/>
      <c r="HN5" s="50"/>
      <c r="HO5" s="50"/>
      <c r="HP5" s="50"/>
      <c r="HQ5" s="50"/>
      <c r="HR5" s="50"/>
      <c r="HS5" s="50"/>
      <c r="HT5" s="15" t="str">
        <f>IF(SUM(GW5,HA5,HE5,HI5)&gt;0,SUM(GW5,HA5,HE5,HI5),"")</f>
        <v/>
      </c>
      <c r="HU5" s="15" t="str">
        <f>IF(SUM(GV5:GW5,GY5:HA5,HC5)-SUM(GX5,HB5)&gt;0,SUM(GV5:GW5,GY5:HA5,HC5)-SUM(GX5,HB5),"")</f>
        <v/>
      </c>
      <c r="HV5" s="15" t="str">
        <f>IF(SUM(HD5:HE5,HG5:HI5,HK5)-SUM(HF5,HJ5)&gt;0,SUM(HD5:HE5,HG5:HI5,HK5)-SUM(HF5,HJ5),"")</f>
        <v/>
      </c>
      <c r="HW5" s="15" t="str">
        <f>IF(SUM(GV5:GW5,GY5:HA5,HC5:HE5,HG5:HI5,HK5)-SUM(GX5,HB5,HF5,HJ5)&gt;0,SUM(GV5:GW5,GY5:HA5,HC5:HE5,HG5:HI5,HK5)-SUM(GX5,HB5,HF5,HJ5),"")</f>
        <v/>
      </c>
      <c r="HX5" s="15" t="str">
        <f>IF(SUM(HL5:HM5,HO5:HQ5,HS5)-SUM(HN5,HR5)&gt;0,SUM(HL5:HM5,HO5:HQ5,HS5)-SUM(HN5,HR5),"")</f>
        <v/>
      </c>
      <c r="HY5" s="15" t="str">
        <f>IF(SUM(HW5,HX5)&gt;0,SUM(HW5,HX5),"")</f>
        <v/>
      </c>
      <c r="HZ5" s="51"/>
      <c r="IA5" s="51"/>
      <c r="IB5" s="51"/>
      <c r="IC5" s="51"/>
      <c r="ID5" s="51"/>
      <c r="IE5" s="51"/>
      <c r="IF5" s="51"/>
      <c r="IG5" s="51"/>
      <c r="IH5" s="51"/>
      <c r="II5" s="51"/>
      <c r="IJ5" s="51"/>
      <c r="IK5" s="51"/>
      <c r="IL5" s="51"/>
      <c r="IM5" s="51"/>
      <c r="IN5" s="51"/>
      <c r="IO5" s="51"/>
      <c r="IP5" s="51"/>
      <c r="IQ5" s="51"/>
      <c r="IR5" s="51"/>
      <c r="IS5" s="51"/>
      <c r="IT5" s="51"/>
      <c r="IU5" s="51"/>
      <c r="IV5" s="51"/>
      <c r="IW5" s="51"/>
      <c r="IX5" s="12" t="str">
        <f>IF(SUM(IA5,IE5,II5,IM5)&gt;0,SUM(IA5,IE5,II5,IM5),"")</f>
        <v/>
      </c>
      <c r="IY5" s="12" t="str">
        <f>IF(SUM(HZ5:IA5,IC5:IE5,IG5)-SUM(IB5,IF5)&gt;0,SUM(HZ5:IA5,IC5:IE5,IG5)-SUM(IB5,IF5),"")</f>
        <v/>
      </c>
      <c r="IZ5" s="12" t="str">
        <f>IF(SUM(IH5:II5,IK5:IM5,IO5)-SUM(IJ5,IN5)&gt;0,SUM(IH5:II5,IK5:IM5,IO5)-SUM(IJ5,IN5),"")</f>
        <v/>
      </c>
      <c r="JA5" s="12" t="str">
        <f>IF(SUM(HZ5:IA5,IC5:IE5,IG5:II5,IK5:IM5,IO5)-SUM(IB5,IF5,IJ5,IN5)&gt;0,SUM(HZ5:IA5,IC5:IE5,IG5:II5,IK5:IM5,IO5)-SUM(IB5,IF5,IJ5,IN5),"")</f>
        <v/>
      </c>
      <c r="JB5" s="12" t="str">
        <f>IF(SUM(IP5:IQ5,IS5:IU5,IW5)-SUM(IR5,IV5)&gt;0,SUM(IP5:IQ5,IS5:IU5,IW5)-SUM(IR5,IV5),"")</f>
        <v/>
      </c>
      <c r="JC5" s="12" t="str">
        <f>IF(SUM(JA5,JB5)&gt;0,SUM(JA5,JB5),"")</f>
        <v/>
      </c>
      <c r="JD5" s="50"/>
      <c r="JE5" s="50"/>
      <c r="JF5" s="50"/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JX5" s="50"/>
      <c r="JY5" s="50"/>
      <c r="JZ5" s="50"/>
      <c r="KA5" s="50"/>
      <c r="KB5" s="15" t="str">
        <f>IF(SUM(JE5,JI5,JM5,JQ5)&gt;0,SUM(JE5,JI5,JM5,JQ5),"")</f>
        <v/>
      </c>
      <c r="KC5" s="15" t="str">
        <f>IF(SUM(JD5:JE5,JG5:JI5,JK5)-SUM(JF5,JJ5)&gt;0,SUM(JD5:JE5,JG5:JI5,JK5)-SUM(JF5,JJ5),"")</f>
        <v/>
      </c>
      <c r="KD5" s="15" t="str">
        <f>IF(SUM(JL5:JM5,JO5:JQ5,JS5)-SUM(JN5,JR5)&gt;0,SUM(JL5:JM5,JO5:JQ5,JS5)-SUM(JN5,JR5),"")</f>
        <v/>
      </c>
      <c r="KE5" s="15" t="str">
        <f>IF(SUM(JD5:JE5,JG5:JI5,JK5:JM5,JO5:JQ5,JS5)-SUM(JF5,JJ5,JN5,JR5)&gt;0,SUM(JD5:JE5,JG5:JI5,JK5:JM5,JO5:JQ5,JS5)-SUM(JF5,JJ5,JN5,JR5),"")</f>
        <v/>
      </c>
      <c r="KF5" s="15" t="str">
        <f>IF(SUM(JT5:JU5,JW5:JY5,KA5)-SUM(JV5,JZ5)&gt;0,SUM(JT5:JU5,JW5:JY5,KA5)-SUM(JV5,JZ5),"")</f>
        <v/>
      </c>
      <c r="KG5" s="15" t="str">
        <f>IF(SUM(KE5,KF5)&gt;0,SUM(KE5,KF5),"")</f>
        <v/>
      </c>
      <c r="KH5" s="51"/>
      <c r="KI5" s="51"/>
      <c r="KJ5" s="51"/>
      <c r="KK5" s="51"/>
      <c r="KL5" s="51"/>
      <c r="KM5" s="51"/>
      <c r="KN5" s="51"/>
      <c r="KO5" s="51"/>
      <c r="KP5" s="51"/>
      <c r="KQ5" s="51"/>
      <c r="KR5" s="51"/>
      <c r="KS5" s="51"/>
      <c r="KT5" s="51"/>
      <c r="KU5" s="51"/>
      <c r="KV5" s="51"/>
      <c r="KW5" s="51"/>
      <c r="KX5" s="51"/>
      <c r="KY5" s="51"/>
      <c r="KZ5" s="51"/>
      <c r="LA5" s="51"/>
      <c r="LB5" s="51"/>
      <c r="LC5" s="51"/>
      <c r="LD5" s="51"/>
      <c r="LE5" s="51"/>
      <c r="LF5" s="12" t="str">
        <f>IF(SUM(KI5,KM5,KQ5,KU5)&gt;0,SUM(KI5,KM5,KQ5,KU5),"")</f>
        <v/>
      </c>
      <c r="LG5" s="12" t="str">
        <f>IF(SUM(KH5:KI5,KK5:KM5,KO5)-SUM(KJ5,KN5)&gt;0,SUM(KH5:KI5,KK5:KM5,KO5)-SUM(KJ5,KN5),"")</f>
        <v/>
      </c>
      <c r="LH5" s="12" t="str">
        <f>IF(SUM(KP5:KQ5,KS5:KU5,KW5)-SUM(KR5,KV5)&gt;0,SUM(KP5:KQ5,KS5:KU5,KW5)-SUM(KR5,KV5),"")</f>
        <v/>
      </c>
      <c r="LI5" s="12" t="str">
        <f>IF(SUM(KH5:KI5,KK5:KM5,KO5:KQ5,KS5:KU5,KW5)-SUM(KJ5,KN5,KR5,KV5)&gt;0,SUM(KH5:KI5,KK5:KM5,KO5:KQ5,KS5:KU5,KW5)-SUM(KJ5,KN5,KR5,KV5),"")</f>
        <v/>
      </c>
      <c r="LJ5" s="12" t="str">
        <f>IF(SUM(KX5:KY5,LA5:LC5,LE5)-SUM(KZ5,LD5)&gt;0,SUM(KX5:KY5,LA5:LC5,LE5)-SUM(KZ5,LD5),"")</f>
        <v/>
      </c>
      <c r="LK5" s="12" t="str">
        <f>IF(SUM(LI5,LJ5)&gt;0,SUM(LI5,LJ5),"")</f>
        <v/>
      </c>
      <c r="LL5" s="50"/>
      <c r="LM5" s="50"/>
      <c r="LN5" s="50"/>
      <c r="LO5" s="50"/>
      <c r="LP5" s="50"/>
      <c r="LQ5" s="50"/>
      <c r="LR5" s="50"/>
      <c r="LS5" s="50"/>
      <c r="LT5" s="50"/>
      <c r="LU5" s="50"/>
      <c r="LV5" s="50"/>
      <c r="LW5" s="50"/>
      <c r="LX5" s="50"/>
      <c r="LY5" s="50"/>
      <c r="LZ5" s="50"/>
      <c r="MA5" s="50"/>
      <c r="MB5" s="50"/>
      <c r="MC5" s="50"/>
      <c r="MD5" s="50"/>
      <c r="ME5" s="50"/>
      <c r="MF5" s="50"/>
      <c r="MG5" s="50"/>
      <c r="MH5" s="50"/>
      <c r="MI5" s="50"/>
      <c r="MJ5" s="15" t="str">
        <f>IF(SUM(LM5,LQ5,LU5,LY5)&gt;0,SUM(LM5,LQ5,LU5,LY5),"")</f>
        <v/>
      </c>
      <c r="MK5" s="15" t="str">
        <f>IF(SUM(LL5:LM5,LO5:LQ5,LS5)-SUM(LN5,LR5)&gt;0,SUM(LL5:LM5,LO5:LQ5,LS5)-SUM(LN5,LR5),"")</f>
        <v/>
      </c>
      <c r="ML5" s="15" t="str">
        <f>IF(SUM(LT5:LU5,LW5:LY5,MA5)-SUM(LV5,LZ5)&gt;0,SUM(LT5:LU5,LW5:LY5,MA5)-SUM(LV5,LZ5),"")</f>
        <v/>
      </c>
      <c r="MM5" s="15" t="str">
        <f>IF(SUM(LL5:LM5,LO5:LQ5,LS5:LU5,LW5:LY5,MA5)-SUM(LN5,LR5,LV5,LZ5)&gt;0,SUM(LL5:LM5,LO5:LQ5,LS5:LU5,LW5:LY5,MA5)-SUM(LN5,LR5,LV5,LZ5),"")</f>
        <v/>
      </c>
      <c r="MN5" s="15" t="str">
        <f>IF(SUM(MB5:MC5,ME5:MG5,MI5)-SUM(MD5,MH5)&gt;0,SUM(MB5:MC5,ME5:MG5,MI5)-SUM(MD5,MH5),"")</f>
        <v/>
      </c>
      <c r="MO5" s="15" t="str">
        <f>IF(SUM(MM5,MN5)&gt;0,SUM(MM5,MN5),"")</f>
        <v/>
      </c>
      <c r="MP5" s="51"/>
      <c r="MQ5" s="51"/>
      <c r="MR5" s="51"/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12" t="str">
        <f>IF(SUM(MQ5,MU5,MY5,NC5)&gt;0,SUM(MQ5,MU5,MY5,NC5),"")</f>
        <v/>
      </c>
      <c r="NO5" s="12" t="str">
        <f>IF(SUM(MP5:MQ5,MS5:MU5,MW5)-SUM(MR5,MV5)&gt;0,SUM(MP5:MQ5,MS5:MU5,MW5)-SUM(MR5,MV5),"")</f>
        <v/>
      </c>
      <c r="NP5" s="12" t="str">
        <f>IF(SUM(MX5:MY5,NA5:NC5,NE5)-SUM(MZ5,ND5)&gt;0,SUM(MX5:MY5,NA5:NC5,NE5)-SUM(MZ5,ND5),"")</f>
        <v/>
      </c>
      <c r="NQ5" s="12" t="str">
        <f>IF(SUM(MP5:MQ5,MS5:MU5,MW5:MY5,NA5:NC5,NE5)-SUM(MR5,MV5,MZ5,ND5)&gt;0,SUM(MP5:MQ5,MS5:MU5,MW5:MY5,NA5:NC5,NE5)-SUM(MR5,MV5,MZ5,ND5),"")</f>
        <v/>
      </c>
      <c r="NR5" s="12" t="str">
        <f>IF(SUM(NF5:NG5,NI5:NK5,NM5)-SUM(NH5,NL5)&gt;0,SUM(NF5:NG5,NI5:NK5,NM5)-SUM(NH5,NL5),"")</f>
        <v/>
      </c>
      <c r="NS5" s="12" t="str">
        <f>IF(SUM(NQ5,NR5)&gt;0,SUM(NQ5,NR5),"")</f>
        <v/>
      </c>
      <c r="NT5" s="50"/>
      <c r="NU5" s="50"/>
      <c r="NV5" s="50"/>
      <c r="NW5" s="50"/>
      <c r="NX5" s="50"/>
      <c r="NY5" s="50"/>
      <c r="NZ5" s="50"/>
      <c r="OA5" s="50"/>
      <c r="OB5" s="50"/>
      <c r="OC5" s="50"/>
      <c r="OD5" s="50"/>
      <c r="OE5" s="50"/>
      <c r="OF5" s="50"/>
      <c r="OG5" s="50"/>
      <c r="OH5" s="50"/>
      <c r="OI5" s="50"/>
      <c r="OJ5" s="50"/>
      <c r="OK5" s="50"/>
      <c r="OL5" s="50"/>
      <c r="OM5" s="50"/>
      <c r="ON5" s="50"/>
      <c r="OO5" s="50"/>
      <c r="OP5" s="50"/>
      <c r="OQ5" s="50"/>
      <c r="OR5" s="15" t="str">
        <f>IF(SUM(NU5,NY5,OC5,OG5)&gt;0,SUM(NU5,NY5,OC5,OG5),"")</f>
        <v/>
      </c>
      <c r="OS5" s="15" t="str">
        <f>IF(SUM(NT5:NU5,NW5:NY5,OA5)-SUM(NV5,NZ5)&gt;0,SUM(NT5:NU5,NW5:NY5,OA5)-SUM(NV5,NZ5),"")</f>
        <v/>
      </c>
      <c r="OT5" s="15" t="str">
        <f>IF(SUM(OB5:OC5,OE5:OG5,OI5)-SUM(OD5,OH5)&gt;0,SUM(OB5:OC5,OE5:OG5,OI5)-SUM(OD5,OH5),"")</f>
        <v/>
      </c>
      <c r="OU5" s="15" t="str">
        <f>IF(SUM(NT5:NU5,NW5:NY5,OA5:OC5,OE5:OG5,OI5)-SUM(NV5,NZ5,OD5,OH5)&gt;0,SUM(NT5:NU5,NW5:NY5,OA5:OC5,OE5:OG5,OI5)-SUM(NV5,NZ5,OD5,OH5),"")</f>
        <v/>
      </c>
      <c r="OV5" s="15" t="str">
        <f>IF(SUM(OJ5:OK5,OM5:OO5,OQ5)-SUM(OL5,OP5)&gt;0,SUM(OJ5:OK5,OM5:OO5,OQ5)-SUM(OL5,OP5),"")</f>
        <v/>
      </c>
      <c r="OW5" s="15" t="str">
        <f>IF(SUM(OU5,OV5)&gt;0,SUM(OU5,OV5),"")</f>
        <v/>
      </c>
      <c r="OX5" s="51"/>
      <c r="OY5" s="51"/>
      <c r="OZ5" s="51"/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12" t="str">
        <f>IF(SUM(OY5,PC5,PG5,PK5)&gt;0,SUM(OY5,PC5,PG5,PK5),"")</f>
        <v/>
      </c>
      <c r="PW5" s="12" t="str">
        <f>IF(SUM(OX5:OY5,PA5:PC5,PE5)-SUM(OZ5,PD5)&gt;0,SUM(OX5:OY5,PA5:PC5,PE5)-SUM(OZ5,PD5),"")</f>
        <v/>
      </c>
      <c r="PX5" s="12" t="str">
        <f>IF(SUM(PF5:PG5,PI5:PK5,PM5)-SUM(PH5,PL5)&gt;0,SUM(PF5:PG5,PI5:PK5,PM5)-SUM(PH5,PL5),"")</f>
        <v/>
      </c>
      <c r="PY5" s="12" t="str">
        <f>IF(SUM(OX5:OY5,PA5:PC5,PE5:PG5,PI5:PK5,PM5)-SUM(OZ5,PD5,PH5,PL5)&gt;0,SUM(OX5:OY5,PA5:PC5,PE5:PG5,PI5:PK5,PM5)-SUM(OZ5,PD5,PH5,PL5),"")</f>
        <v/>
      </c>
      <c r="PZ5" s="12" t="str">
        <f>IF(SUM(PN5:PO5,PQ5:PS5,PU5)-SUM(PP5,PT5)&gt;0,SUM(PN5:PO5,PQ5:PS5,PU5)-SUM(PP5,PT5),"")</f>
        <v/>
      </c>
      <c r="QA5" s="12" t="str">
        <f>IF(SUM(PY5,PZ5)&gt;0,SUM(PY5,PZ5),"")</f>
        <v/>
      </c>
      <c r="QB5" s="50"/>
      <c r="QC5" s="50"/>
      <c r="QD5" s="50"/>
      <c r="QE5" s="50"/>
      <c r="QF5" s="50"/>
      <c r="QG5" s="50"/>
      <c r="QH5" s="50"/>
      <c r="QI5" s="50"/>
      <c r="QJ5" s="50"/>
      <c r="QK5" s="50"/>
      <c r="QL5" s="50"/>
      <c r="QM5" s="50"/>
      <c r="QN5" s="50"/>
      <c r="QO5" s="50"/>
      <c r="QP5" s="50"/>
      <c r="QQ5" s="50"/>
      <c r="QR5" s="50"/>
      <c r="QS5" s="50"/>
      <c r="QT5" s="50"/>
      <c r="QU5" s="50"/>
      <c r="QV5" s="50"/>
      <c r="QW5" s="50"/>
      <c r="QX5" s="50"/>
      <c r="QY5" s="50"/>
      <c r="QZ5" s="15" t="str">
        <f>IF(SUM(QC5,QG5,QK5,QO5)&gt;0,SUM(QC5,QG5,QK5,QO5),"")</f>
        <v/>
      </c>
      <c r="RA5" s="15" t="str">
        <f>IF(SUM(QB5:QC5,QE5:QG5,QI5)-SUM(QD5,QH5)&gt;0,SUM(QB5:QC5,QE5:QG5,QI5)-SUM(QD5,QH5),"")</f>
        <v/>
      </c>
      <c r="RB5" s="15" t="str">
        <f>IF(SUM(QJ5:QK5,QM5:QO5,QQ5)-SUM(QL5,QP5)&gt;0,SUM(QJ5:QK5,QM5:QO5,QQ5)-SUM(QL5,QP5),"")</f>
        <v/>
      </c>
      <c r="RC5" s="15" t="str">
        <f>IF(SUM(QB5:QC5,QE5:QG5,QI5:QK5,QM5:QO5,QQ5)-SUM(QD5,QH5,QL5,QP5)&gt;0,SUM(QB5:QC5,QE5:QG5,QI5:QK5,QM5:QO5,QQ5)-SUM(QD5,QH5,QL5,QP5),"")</f>
        <v/>
      </c>
      <c r="RD5" s="15" t="str">
        <f>IF(SUM(QR5:QS5,QU5:QW5,QY5)-SUM(QT5,QX5)&gt;0,SUM(QR5:QS5,QU5:QW5,QY5)-SUM(QT5,QX5),"")</f>
        <v/>
      </c>
      <c r="RE5" s="15" t="str">
        <f>IF(SUM(RC5,RD5)&gt;0,SUM(RC5,RD5),"")</f>
        <v/>
      </c>
    </row>
    <row r="6" spans="1:473" s="41" customFormat="1">
      <c r="GV6" s="42"/>
      <c r="GW6" s="42"/>
      <c r="GX6" s="42"/>
      <c r="GY6" s="42"/>
      <c r="GZ6" s="42"/>
      <c r="HA6" s="42"/>
      <c r="HB6" s="42"/>
      <c r="HC6" s="42"/>
      <c r="HD6" s="42"/>
      <c r="HE6" s="42"/>
      <c r="HF6" s="42"/>
      <c r="HG6" s="42"/>
      <c r="HH6" s="42"/>
      <c r="HI6" s="42"/>
      <c r="HJ6" s="42"/>
      <c r="HK6" s="42"/>
      <c r="HL6" s="42"/>
      <c r="HM6" s="42"/>
      <c r="HN6" s="42"/>
      <c r="HO6" s="42"/>
      <c r="HP6" s="42"/>
      <c r="HQ6" s="42"/>
      <c r="HR6" s="42"/>
      <c r="HS6" s="42"/>
      <c r="HT6" s="43" t="str">
        <f>IF(SUM(GW6,HA6,HE6,HI6)&gt;0,SUM(GW6,HA6,HE6,HI6),"")</f>
        <v/>
      </c>
      <c r="HU6" s="43" t="str">
        <f>IF(SUM(GV6:GW6,GY6:HA6,HC6)-SUM(GX6,HB6)&gt;0,SUM(GV6:GW6,GY6:HA6,HC6)-SUM(GX6,HB6),"")</f>
        <v/>
      </c>
      <c r="HV6" s="43" t="str">
        <f>IF(SUM(HD6:HE6,HG6:HI6,HK6)-SUM(HF6,HJ6)&gt;0,SUM(HD6:HE6,HG6:HI6,HK6)-SUM(HF6,HJ6),"")</f>
        <v/>
      </c>
      <c r="HW6" s="43" t="str">
        <f>IF(SUM(GV6:GW6,GY6:HA6,HC6:HE6,HG6:HI6,HK6)-SUM(GX6,HB6,HF6,HJ6)&gt;0,SUM(GV6:GW6,GY6:HA6,HC6:HE6,HG6:HI6,HK6)-SUM(GX6,HB6,HF6,HJ6),"")</f>
        <v/>
      </c>
      <c r="HX6" s="43" t="str">
        <f>IF(SUM(HL6:HM6,HO6:HQ6,HS6)-SUM(HN6,HR6)&gt;0,SUM(HL6:HM6,HO6:HQ6,HS6)-SUM(HN6,HR6),"")</f>
        <v/>
      </c>
      <c r="HY6" s="43" t="str">
        <f>IF(SUM(HW6,HX6)&gt;0,SUM(HW6,HX6),"")</f>
        <v/>
      </c>
      <c r="HZ6" s="44"/>
      <c r="IA6" s="44"/>
      <c r="IB6" s="44"/>
      <c r="IC6" s="44"/>
      <c r="ID6" s="44"/>
      <c r="IE6" s="44"/>
      <c r="IF6" s="44"/>
      <c r="IG6" s="44"/>
      <c r="IH6" s="44"/>
      <c r="II6" s="44"/>
      <c r="IJ6" s="44"/>
      <c r="IK6" s="44"/>
      <c r="IL6" s="44"/>
      <c r="IM6" s="44"/>
      <c r="IN6" s="44"/>
      <c r="IO6" s="44"/>
      <c r="IP6" s="44"/>
      <c r="IQ6" s="44"/>
      <c r="IR6" s="44"/>
      <c r="IS6" s="44"/>
      <c r="IT6" s="44"/>
      <c r="IU6" s="44"/>
      <c r="IV6" s="44"/>
      <c r="IW6" s="44"/>
      <c r="IX6" s="43" t="str">
        <f>IF(SUM(IA6,IE6,II6,IM6)&gt;0,SUM(IA6,IE6,II6,IM6),"")</f>
        <v/>
      </c>
      <c r="IY6" s="43" t="str">
        <f>IF(SUM(HZ6:IA6,IC6:IE6,IG6)-SUM(IB6,IF6)&gt;0,SUM(HZ6:IA6,IC6:IE6,IG6)-SUM(IB6,IF6),"")</f>
        <v/>
      </c>
      <c r="IZ6" s="43" t="str">
        <f>IF(SUM(IH6:II6,IK6:IM6,IO6)-SUM(IJ6,IN6)&gt;0,SUM(IH6:II6,IK6:IM6,IO6)-SUM(IJ6,IN6),"")</f>
        <v/>
      </c>
      <c r="JA6" s="43" t="str">
        <f>IF(SUM(HZ6:IA6,IC6:IE6,IG6:II6,IK6:IM6,IO6)-SUM(IB6,IF6,IJ6,IN6)&gt;0,SUM(HZ6:IA6,IC6:IE6,IG6:II6,IK6:IM6,IO6)-SUM(IB6,IF6,IJ6,IN6),"")</f>
        <v/>
      </c>
      <c r="JB6" s="43" t="str">
        <f>IF(SUM(IP6:IQ6,IS6:IU6,IW6)-SUM(IR6,IV6)&gt;0,SUM(IP6:IQ6,IS6:IU6,IW6)-SUM(IR6,IV6),"")</f>
        <v/>
      </c>
      <c r="JC6" s="43" t="str">
        <f>IF(SUM(JA6,JB6)&gt;0,SUM(JA6,JB6),"")</f>
        <v/>
      </c>
      <c r="JD6" s="42"/>
      <c r="JE6" s="42"/>
      <c r="JF6" s="42"/>
      <c r="JG6" s="42"/>
      <c r="JH6" s="42"/>
      <c r="JI6" s="42"/>
      <c r="JJ6" s="42"/>
      <c r="JK6" s="42"/>
      <c r="JL6" s="42"/>
      <c r="JM6" s="42"/>
      <c r="JN6" s="42"/>
      <c r="JO6" s="42"/>
      <c r="JP6" s="42"/>
      <c r="JQ6" s="42"/>
      <c r="JR6" s="42"/>
      <c r="JS6" s="42"/>
      <c r="JT6" s="42"/>
      <c r="JU6" s="42"/>
      <c r="JV6" s="42"/>
      <c r="JW6" s="42"/>
      <c r="JX6" s="42"/>
      <c r="JY6" s="42"/>
      <c r="JZ6" s="42"/>
      <c r="KA6" s="42"/>
      <c r="KB6" s="43" t="str">
        <f>IF(SUM(JE6,JI6,JM6,JQ6)&gt;0,SUM(JE6,JI6,JM6,JQ6),"")</f>
        <v/>
      </c>
      <c r="KC6" s="43" t="str">
        <f>IF(SUM(JD6:JE6,JG6:JI6,JK6)-SUM(JF6,JJ6)&gt;0,SUM(JD6:JE6,JG6:JI6,JK6)-SUM(JF6,JJ6),"")</f>
        <v/>
      </c>
      <c r="KD6" s="43" t="str">
        <f>IF(SUM(JL6:JM6,JO6:JQ6,JS6)-SUM(JN6,JR6)&gt;0,SUM(JL6:JM6,JO6:JQ6,JS6)-SUM(JN6,JR6),"")</f>
        <v/>
      </c>
      <c r="KE6" s="43" t="str">
        <f>IF(SUM(JD6:JE6,JG6:JI6,JK6:JM6,JO6:JQ6,JS6)-SUM(JF6,JJ6,JN6,JR6)&gt;0,SUM(JD6:JE6,JG6:JI6,JK6:JM6,JO6:JQ6,JS6)-SUM(JF6,JJ6,JN6,JR6),"")</f>
        <v/>
      </c>
      <c r="KF6" s="43" t="str">
        <f>IF(SUM(JT6:JU6,JW6:JY6,KA6)-SUM(JV6,JZ6)&gt;0,SUM(JT6:JU6,JW6:JY6,KA6)-SUM(JV6,JZ6),"")</f>
        <v/>
      </c>
      <c r="KG6" s="43" t="str">
        <f>IF(SUM(KE6,KF6)&gt;0,SUM(KE6,KF6),"")</f>
        <v/>
      </c>
      <c r="KH6" s="44"/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44"/>
      <c r="KZ6" s="44"/>
      <c r="LA6" s="44"/>
      <c r="LB6" s="44"/>
      <c r="LC6" s="44"/>
      <c r="LD6" s="44"/>
      <c r="LE6" s="44"/>
      <c r="LF6" s="43" t="str">
        <f>IF(SUM(KI6,KM6,KQ6,KU6)&gt;0,SUM(KI6,KM6,KQ6,KU6),"")</f>
        <v/>
      </c>
      <c r="LG6" s="43" t="str">
        <f>IF(SUM(KH6:KI6,KK6:KM6,KO6)-SUM(KJ6,KN6)&gt;0,SUM(KH6:KI6,KK6:KM6,KO6)-SUM(KJ6,KN6),"")</f>
        <v/>
      </c>
      <c r="LH6" s="43" t="str">
        <f>IF(SUM(KP6:KQ6,KS6:KU6,KW6)-SUM(KR6,KV6)&gt;0,SUM(KP6:KQ6,KS6:KU6,KW6)-SUM(KR6,KV6),"")</f>
        <v/>
      </c>
      <c r="LI6" s="43" t="str">
        <f>IF(SUM(KH6:KI6,KK6:KM6,KO6:KQ6,KS6:KU6,KW6)-SUM(KJ6,KN6,KR6,KV6)&gt;0,SUM(KH6:KI6,KK6:KM6,KO6:KQ6,KS6:KU6,KW6)-SUM(KJ6,KN6,KR6,KV6),"")</f>
        <v/>
      </c>
      <c r="LJ6" s="43" t="str">
        <f>IF(SUM(KX6:KY6,LA6:LC6,LE6)-SUM(KZ6,LD6)&gt;0,SUM(KX6:KY6,LA6:LC6,LE6)-SUM(KZ6,LD6),"")</f>
        <v/>
      </c>
      <c r="LK6" s="43" t="str">
        <f>IF(SUM(LI6,LJ6)&gt;0,SUM(LI6,LJ6),"")</f>
        <v/>
      </c>
      <c r="LL6" s="42"/>
      <c r="LM6" s="42"/>
      <c r="LN6" s="42"/>
      <c r="LO6" s="42"/>
      <c r="LP6" s="42"/>
      <c r="LQ6" s="42"/>
      <c r="LR6" s="42"/>
      <c r="LS6" s="42"/>
      <c r="LT6" s="42"/>
      <c r="LU6" s="42"/>
      <c r="LV6" s="42"/>
      <c r="LW6" s="42"/>
      <c r="LX6" s="42"/>
      <c r="LY6" s="42"/>
      <c r="LZ6" s="42"/>
      <c r="MA6" s="42"/>
      <c r="MB6" s="42"/>
      <c r="MC6" s="42"/>
      <c r="MD6" s="42"/>
      <c r="ME6" s="42"/>
      <c r="MF6" s="42"/>
      <c r="MG6" s="42"/>
      <c r="MH6" s="42"/>
      <c r="MI6" s="42"/>
      <c r="MJ6" s="43" t="str">
        <f>IF(SUM(LM6,LQ6,LU6,LY6)&gt;0,SUM(LM6,LQ6,LU6,LY6),"")</f>
        <v/>
      </c>
      <c r="MK6" s="43" t="str">
        <f>IF(SUM(LL6:LM6,LO6:LQ6,LS6)-SUM(LN6,LR6)&gt;0,SUM(LL6:LM6,LO6:LQ6,LS6)-SUM(LN6,LR6),"")</f>
        <v/>
      </c>
      <c r="ML6" s="43" t="str">
        <f>IF(SUM(LT6:LU6,LW6:LY6,MA6)-SUM(LV6,LZ6)&gt;0,SUM(LT6:LU6,LW6:LY6,MA6)-SUM(LV6,LZ6),"")</f>
        <v/>
      </c>
      <c r="MM6" s="43" t="str">
        <f>IF(SUM(LL6:LM6,LO6:LQ6,LS6:LU6,LW6:LY6,MA6)-SUM(LN6,LR6,LV6,LZ6)&gt;0,SUM(LL6:LM6,LO6:LQ6,LS6:LU6,LW6:LY6,MA6)-SUM(LN6,LR6,LV6,LZ6),"")</f>
        <v/>
      </c>
      <c r="MN6" s="43" t="str">
        <f>IF(SUM(MB6:MC6,ME6:MG6,MI6)-SUM(MD6,MH6)&gt;0,SUM(MB6:MC6,ME6:MG6,MI6)-SUM(MD6,MH6),"")</f>
        <v/>
      </c>
      <c r="MO6" s="43" t="str">
        <f>IF(SUM(MM6,MN6)&gt;0,SUM(MM6,MN6),"")</f>
        <v/>
      </c>
      <c r="MP6" s="44"/>
      <c r="MQ6" s="44"/>
      <c r="MR6" s="44"/>
      <c r="MS6" s="44"/>
      <c r="MT6" s="44"/>
      <c r="MU6" s="44"/>
      <c r="MV6" s="44"/>
      <c r="MW6" s="44"/>
      <c r="MX6" s="44"/>
      <c r="MY6" s="44"/>
      <c r="MZ6" s="44"/>
      <c r="NA6" s="44"/>
      <c r="NB6" s="44"/>
      <c r="NC6" s="44"/>
      <c r="ND6" s="44"/>
      <c r="NE6" s="44"/>
      <c r="NF6" s="44"/>
      <c r="NG6" s="44"/>
      <c r="NH6" s="44"/>
      <c r="NI6" s="44"/>
      <c r="NJ6" s="44"/>
      <c r="NK6" s="44"/>
      <c r="NL6" s="44"/>
      <c r="NM6" s="44"/>
      <c r="NN6" s="43" t="str">
        <f>IF(SUM(MQ6,MU6,MY6,NC6)&gt;0,SUM(MQ6,MU6,MY6,NC6),"")</f>
        <v/>
      </c>
      <c r="NO6" s="43" t="str">
        <f>IF(SUM(MP6:MQ6,MS6:MU6,MW6)-SUM(MR6,MV6)&gt;0,SUM(MP6:MQ6,MS6:MU6,MW6)-SUM(MR6,MV6),"")</f>
        <v/>
      </c>
      <c r="NP6" s="43" t="str">
        <f>IF(SUM(MX6:MY6,NA6:NC6,NE6)-SUM(MZ6,ND6)&gt;0,SUM(MX6:MY6,NA6:NC6,NE6)-SUM(MZ6,ND6),"")</f>
        <v/>
      </c>
      <c r="NQ6" s="43" t="str">
        <f>IF(SUM(MP6:MQ6,MS6:MU6,MW6:MY6,NA6:NC6,NE6)-SUM(MR6,MV6,MZ6,ND6)&gt;0,SUM(MP6:MQ6,MS6:MU6,MW6:MY6,NA6:NC6,NE6)-SUM(MR6,MV6,MZ6,ND6),"")</f>
        <v/>
      </c>
      <c r="NR6" s="43" t="str">
        <f>IF(SUM(NF6:NG6,NI6:NK6,NM6)-SUM(NH6,NL6)&gt;0,SUM(NF6:NG6,NI6:NK6,NM6)-SUM(NH6,NL6),"")</f>
        <v/>
      </c>
      <c r="NS6" s="43" t="str">
        <f>IF(SUM(NQ6,NR6)&gt;0,SUM(NQ6,NR6),"")</f>
        <v/>
      </c>
      <c r="NT6" s="42"/>
      <c r="NU6" s="42"/>
      <c r="NV6" s="42"/>
      <c r="NW6" s="42"/>
      <c r="NX6" s="42"/>
      <c r="NY6" s="42"/>
      <c r="NZ6" s="42"/>
      <c r="OA6" s="42"/>
      <c r="OB6" s="42"/>
      <c r="OC6" s="42"/>
      <c r="OD6" s="42"/>
      <c r="OE6" s="42"/>
      <c r="OF6" s="42"/>
      <c r="OG6" s="42"/>
      <c r="OH6" s="42"/>
      <c r="OI6" s="42"/>
      <c r="OJ6" s="42"/>
      <c r="OK6" s="42"/>
      <c r="OL6" s="42"/>
      <c r="OM6" s="42"/>
      <c r="ON6" s="42"/>
      <c r="OO6" s="42"/>
      <c r="OP6" s="42"/>
      <c r="OQ6" s="42"/>
      <c r="OR6" s="43" t="str">
        <f>IF(SUM(NU6,NY6,OC6,OG6)&gt;0,SUM(NU6,NY6,OC6,OG6),"")</f>
        <v/>
      </c>
      <c r="OS6" s="43" t="str">
        <f>IF(SUM(NT6:NU6,NW6:NY6,OA6)-SUM(NV6,NZ6)&gt;0,SUM(NT6:NU6,NW6:NY6,OA6)-SUM(NV6,NZ6),"")</f>
        <v/>
      </c>
      <c r="OT6" s="43" t="str">
        <f>IF(SUM(OB6:OC6,OE6:OG6,OI6)-SUM(OD6,OH6)&gt;0,SUM(OB6:OC6,OE6:OG6,OI6)-SUM(OD6,OH6),"")</f>
        <v/>
      </c>
      <c r="OU6" s="43" t="str">
        <f>IF(SUM(NT6:NU6,NW6:NY6,OA6:OC6,OE6:OG6,OI6)-SUM(NV6,NZ6,OD6,OH6)&gt;0,SUM(NT6:NU6,NW6:NY6,OA6:OC6,OE6:OG6,OI6)-SUM(NV6,NZ6,OD6,OH6),"")</f>
        <v/>
      </c>
      <c r="OV6" s="43" t="str">
        <f>IF(SUM(OJ6:OK6,OM6:OO6,OQ6)-SUM(OL6,OP6)&gt;0,SUM(OJ6:OK6,OM6:OO6,OQ6)-SUM(OL6,OP6),"")</f>
        <v/>
      </c>
      <c r="OW6" s="43" t="str">
        <f>IF(SUM(OU6,OV6)&gt;0,SUM(OU6,OV6),"")</f>
        <v/>
      </c>
      <c r="OX6" s="44"/>
      <c r="OY6" s="44"/>
      <c r="OZ6" s="44"/>
      <c r="PA6" s="44"/>
      <c r="PB6" s="44"/>
      <c r="PC6" s="44"/>
      <c r="PD6" s="44"/>
      <c r="PE6" s="44"/>
      <c r="PF6" s="44"/>
      <c r="PG6" s="44"/>
      <c r="PH6" s="44"/>
      <c r="PI6" s="44"/>
      <c r="PJ6" s="44"/>
      <c r="PK6" s="44"/>
      <c r="PL6" s="44"/>
      <c r="PM6" s="44"/>
      <c r="PN6" s="44"/>
      <c r="PO6" s="44"/>
      <c r="PP6" s="44"/>
      <c r="PQ6" s="44"/>
      <c r="PR6" s="44"/>
      <c r="PS6" s="44"/>
      <c r="PT6" s="44"/>
      <c r="PU6" s="44"/>
      <c r="PV6" s="43" t="str">
        <f>IF(SUM(OY6,PC6,PG6,PK6)&gt;0,SUM(OY6,PC6,PG6,PK6),"")</f>
        <v/>
      </c>
      <c r="PW6" s="43" t="str">
        <f>IF(SUM(OX6:OY6,PA6:PC6,PE6)-SUM(OZ6,PD6)&gt;0,SUM(OX6:OY6,PA6:PC6,PE6)-SUM(OZ6,PD6),"")</f>
        <v/>
      </c>
      <c r="PX6" s="43" t="str">
        <f>IF(SUM(PF6:PG6,PI6:PK6,PM6)-SUM(PH6,PL6)&gt;0,SUM(PF6:PG6,PI6:PK6,PM6)-SUM(PH6,PL6),"")</f>
        <v/>
      </c>
      <c r="PY6" s="43" t="str">
        <f>IF(SUM(OX6:OY6,PA6:PC6,PE6:PG6,PI6:PK6,PM6)-SUM(OZ6,PD6,PH6,PL6)&gt;0,SUM(OX6:OY6,PA6:PC6,PE6:PG6,PI6:PK6,PM6)-SUM(OZ6,PD6,PH6,PL6),"")</f>
        <v/>
      </c>
      <c r="PZ6" s="43" t="str">
        <f>IF(SUM(PN6:PO6,PQ6:PS6,PU6)-SUM(PP6,PT6)&gt;0,SUM(PN6:PO6,PQ6:PS6,PU6)-SUM(PP6,PT6),"")</f>
        <v/>
      </c>
      <c r="QA6" s="43" t="str">
        <f>IF(SUM(PY6,PZ6)&gt;0,SUM(PY6,PZ6),"")</f>
        <v/>
      </c>
      <c r="QB6" s="42"/>
      <c r="QC6" s="42"/>
      <c r="QD6" s="42"/>
      <c r="QE6" s="42"/>
      <c r="QF6" s="42"/>
      <c r="QG6" s="42"/>
      <c r="QH6" s="42"/>
      <c r="QI6" s="42"/>
      <c r="QJ6" s="42"/>
      <c r="QK6" s="42"/>
      <c r="QL6" s="42"/>
      <c r="QM6" s="42"/>
      <c r="QN6" s="42"/>
      <c r="QO6" s="42"/>
      <c r="QP6" s="42"/>
      <c r="QQ6" s="42"/>
      <c r="QR6" s="42"/>
      <c r="QS6" s="42"/>
      <c r="QT6" s="42"/>
      <c r="QU6" s="42"/>
      <c r="QV6" s="42"/>
      <c r="QW6" s="42"/>
      <c r="QX6" s="42"/>
      <c r="QY6" s="42"/>
      <c r="QZ6" s="43" t="str">
        <f>IF(SUM(QC6,QG6,QK6,QO6)&gt;0,SUM(QC6,QG6,QK6,QO6),"")</f>
        <v/>
      </c>
      <c r="RA6" s="43" t="str">
        <f>IF(SUM(QB6:QC6,QE6:QG6,QI6)-SUM(QD6,QH6)&gt;0,SUM(QB6:QC6,QE6:QG6,QI6)-SUM(QD6,QH6),"")</f>
        <v/>
      </c>
      <c r="RB6" s="43" t="str">
        <f>IF(SUM(QJ6:QK6,QM6:QO6,QQ6)-SUM(QL6,QP6)&gt;0,SUM(QJ6:QK6,QM6:QO6,QQ6)-SUM(QL6,QP6),"")</f>
        <v/>
      </c>
      <c r="RC6" s="43" t="str">
        <f>IF(SUM(QB6:QC6,QE6:QG6,QI6:QK6,QM6:QO6,QQ6)-SUM(QD6,QH6,QL6,QP6)&gt;0,SUM(QB6:QC6,QE6:QG6,QI6:QK6,QM6:QO6,QQ6)-SUM(QD6,QH6,QL6,QP6),"")</f>
        <v/>
      </c>
      <c r="RD6" s="43" t="str">
        <f>IF(SUM(QR6:QS6,QU6:QW6,QY6)-SUM(QT6,QX6)&gt;0,SUM(QR6:QS6,QU6:QW6,QY6)-SUM(QT6,QX6),"")</f>
        <v/>
      </c>
      <c r="RE6" s="43" t="str">
        <f>IF(SUM(RC6,RD6)&gt;0,SUM(RC6,RD6),"")</f>
        <v/>
      </c>
    </row>
    <row r="8" spans="1:473">
      <c r="B8" s="88" t="s">
        <v>65</v>
      </c>
      <c r="AS8" s="62"/>
      <c r="AT8" s="70">
        <v>19.2</v>
      </c>
      <c r="AV8" s="62"/>
      <c r="BW8" s="62"/>
      <c r="BX8" s="70">
        <v>19.2</v>
      </c>
      <c r="BZ8" s="62"/>
      <c r="DA8" s="62"/>
      <c r="DB8" s="70">
        <v>19.2</v>
      </c>
      <c r="DD8" s="62"/>
      <c r="EH8" s="62"/>
      <c r="EI8" s="70">
        <v>19.2</v>
      </c>
      <c r="EK8" s="62"/>
      <c r="FL8" s="62"/>
      <c r="FM8" s="70">
        <v>19.2</v>
      </c>
      <c r="FO8" s="62"/>
      <c r="GP8" s="62"/>
      <c r="GQ8" s="70">
        <v>19.2</v>
      </c>
      <c r="GS8" s="62"/>
      <c r="HT8" s="62"/>
      <c r="HU8" s="70">
        <v>19.2</v>
      </c>
      <c r="HW8" s="62"/>
      <c r="IX8" s="62"/>
      <c r="IY8" s="70">
        <v>19.2</v>
      </c>
      <c r="JA8" s="62"/>
      <c r="KB8" s="62"/>
      <c r="KC8" s="70">
        <v>19.2</v>
      </c>
      <c r="KE8" s="62"/>
      <c r="LF8" s="62"/>
      <c r="LG8" s="70">
        <v>19.2</v>
      </c>
      <c r="LI8" s="62"/>
      <c r="MJ8" s="62"/>
      <c r="MK8" s="70">
        <v>19.2</v>
      </c>
      <c r="MM8" s="62"/>
      <c r="NN8" s="62"/>
      <c r="NO8" s="70">
        <v>19.2</v>
      </c>
      <c r="NQ8" s="62"/>
      <c r="OR8" s="62"/>
      <c r="OS8" s="70">
        <v>19.2</v>
      </c>
      <c r="OU8" s="62"/>
      <c r="PV8" s="62"/>
      <c r="PW8" s="70">
        <v>19.2</v>
      </c>
      <c r="PY8" s="62"/>
      <c r="QZ8" s="62"/>
      <c r="RA8" s="70">
        <v>19.2</v>
      </c>
      <c r="RC8" s="62"/>
    </row>
    <row r="9" spans="1:473" ht="16" hidden="1" customHeight="1">
      <c r="A9" s="62"/>
      <c r="B9" s="83" t="s">
        <v>64</v>
      </c>
      <c r="C9" s="61"/>
      <c r="AS9" s="62"/>
      <c r="AT9" s="71">
        <v>1000</v>
      </c>
      <c r="AV9" s="62"/>
      <c r="BW9" s="62"/>
      <c r="BX9" s="71">
        <v>1000</v>
      </c>
      <c r="BZ9" s="62"/>
      <c r="DA9" s="62"/>
      <c r="DB9" s="71">
        <v>1000</v>
      </c>
      <c r="DD9" s="62"/>
      <c r="EH9" s="62"/>
      <c r="EI9" s="71">
        <v>1000</v>
      </c>
      <c r="EK9" s="62"/>
      <c r="FL9" s="62"/>
      <c r="FM9" s="71">
        <v>1000</v>
      </c>
      <c r="FO9" s="62"/>
      <c r="GP9" s="62"/>
      <c r="GQ9" s="71">
        <v>1000</v>
      </c>
      <c r="GS9" s="62"/>
      <c r="HT9" s="62"/>
      <c r="HU9" s="71">
        <v>1000</v>
      </c>
      <c r="HW9" s="62"/>
      <c r="IX9" s="62"/>
      <c r="IY9" s="71">
        <v>1000</v>
      </c>
      <c r="JA9" s="62"/>
      <c r="KB9" s="62"/>
      <c r="KC9" s="71">
        <v>1000</v>
      </c>
      <c r="KE9" s="62"/>
      <c r="LF9" s="62"/>
      <c r="LG9" s="71">
        <v>1000</v>
      </c>
      <c r="LI9" s="62"/>
      <c r="MJ9" s="62"/>
      <c r="MK9" s="71">
        <v>1000</v>
      </c>
      <c r="MM9" s="62"/>
      <c r="NN9" s="62"/>
      <c r="NO9" s="71">
        <v>1000</v>
      </c>
      <c r="NQ9" s="62"/>
      <c r="OR9" s="62"/>
      <c r="OS9" s="71">
        <v>1000</v>
      </c>
      <c r="OU9" s="62"/>
      <c r="PV9" s="62"/>
      <c r="PW9" s="71">
        <v>1000</v>
      </c>
      <c r="PY9" s="62"/>
      <c r="QZ9" s="62"/>
      <c r="RA9" s="71">
        <v>1000</v>
      </c>
      <c r="RC9" s="62"/>
    </row>
    <row r="10" spans="1:473">
      <c r="A10" s="62"/>
      <c r="B10" s="84" t="s">
        <v>62</v>
      </c>
      <c r="C10" s="61"/>
      <c r="AS10" s="62"/>
      <c r="AT10" s="72">
        <v>127.8</v>
      </c>
      <c r="AV10" s="62"/>
      <c r="BW10" s="62"/>
      <c r="BX10" s="72">
        <v>127.8</v>
      </c>
      <c r="BZ10" s="62"/>
      <c r="DA10" s="62"/>
      <c r="DB10" s="72">
        <v>127</v>
      </c>
      <c r="DD10" s="62"/>
      <c r="EH10" s="62"/>
      <c r="EI10" s="72">
        <v>127.8</v>
      </c>
      <c r="EK10" s="62"/>
      <c r="FL10" s="62"/>
      <c r="FM10" s="72">
        <v>127</v>
      </c>
      <c r="FO10" s="62"/>
      <c r="GP10" s="62"/>
      <c r="GQ10" s="72">
        <v>127</v>
      </c>
      <c r="GS10" s="62"/>
      <c r="HT10" s="62"/>
      <c r="HU10" s="72">
        <v>127</v>
      </c>
      <c r="HW10" s="62"/>
      <c r="IX10" s="62"/>
      <c r="IY10" s="72">
        <v>127</v>
      </c>
      <c r="JA10" s="62"/>
      <c r="KB10" s="62"/>
      <c r="KC10" s="72">
        <v>127</v>
      </c>
      <c r="KE10" s="62"/>
      <c r="LF10" s="62"/>
      <c r="LG10" s="72">
        <v>127</v>
      </c>
      <c r="LI10" s="62"/>
      <c r="MJ10" s="62"/>
      <c r="MK10" s="72">
        <v>127</v>
      </c>
      <c r="MM10" s="62"/>
      <c r="NN10" s="62"/>
      <c r="NO10" s="72">
        <v>127</v>
      </c>
      <c r="NQ10" s="62"/>
      <c r="OR10" s="62"/>
      <c r="OS10" s="72">
        <v>127</v>
      </c>
      <c r="OU10" s="62"/>
      <c r="PV10" s="62"/>
      <c r="PW10" s="72">
        <v>127</v>
      </c>
      <c r="PY10" s="62"/>
      <c r="QZ10" s="62"/>
      <c r="RA10" s="72">
        <v>127</v>
      </c>
      <c r="RC10" s="62"/>
    </row>
    <row r="11" spans="1:473" ht="16" hidden="1" customHeight="1">
      <c r="A11" s="62"/>
      <c r="B11" s="85" t="s">
        <v>63</v>
      </c>
      <c r="C11" s="61"/>
      <c r="AS11" s="62"/>
      <c r="AT11" s="73">
        <v>1000</v>
      </c>
      <c r="AV11" s="62"/>
      <c r="BW11" s="62"/>
      <c r="BX11" s="73">
        <v>1000</v>
      </c>
      <c r="BZ11" s="62"/>
      <c r="DA11" s="62"/>
      <c r="DB11" s="73">
        <v>1000</v>
      </c>
      <c r="DD11" s="62"/>
      <c r="EH11" s="62"/>
      <c r="EI11" s="73">
        <v>1000</v>
      </c>
      <c r="EK11" s="62"/>
      <c r="FL11" s="62"/>
      <c r="FM11" s="73">
        <v>1000</v>
      </c>
      <c r="FO11" s="62"/>
      <c r="GP11" s="62"/>
      <c r="GQ11" s="73">
        <v>1000</v>
      </c>
      <c r="GS11" s="62"/>
      <c r="HT11" s="62"/>
      <c r="HU11" s="73">
        <v>1000</v>
      </c>
      <c r="HW11" s="62"/>
      <c r="IX11" s="62"/>
      <c r="IY11" s="73">
        <v>1000</v>
      </c>
      <c r="JA11" s="62"/>
      <c r="KB11" s="62"/>
      <c r="KC11" s="73">
        <v>1000</v>
      </c>
      <c r="KE11" s="62"/>
      <c r="LF11" s="62"/>
      <c r="LG11" s="73">
        <v>1000</v>
      </c>
      <c r="LI11" s="62"/>
      <c r="MJ11" s="62"/>
      <c r="MK11" s="73">
        <v>1000</v>
      </c>
      <c r="MM11" s="62"/>
      <c r="NN11" s="62"/>
      <c r="NO11" s="73">
        <v>1000</v>
      </c>
      <c r="NQ11" s="62"/>
      <c r="OR11" s="62"/>
      <c r="OS11" s="73">
        <v>1000</v>
      </c>
      <c r="OU11" s="62"/>
      <c r="PV11" s="62"/>
      <c r="PW11" s="73">
        <v>1000</v>
      </c>
      <c r="PY11" s="62"/>
      <c r="QZ11" s="62"/>
      <c r="RA11" s="73">
        <v>1000</v>
      </c>
      <c r="RC11" s="62"/>
    </row>
    <row r="12" spans="1:473" ht="16" hidden="1" customHeight="1">
      <c r="A12" s="62"/>
      <c r="B12" s="86" t="s">
        <v>27</v>
      </c>
      <c r="C12" s="61"/>
      <c r="AS12" s="62"/>
      <c r="AT12" s="74">
        <v>1000</v>
      </c>
      <c r="AV12" s="62"/>
      <c r="BW12" s="62"/>
      <c r="BX12" s="74">
        <v>1000</v>
      </c>
      <c r="BZ12" s="62"/>
      <c r="DA12" s="62"/>
      <c r="DB12" s="74">
        <v>1000</v>
      </c>
      <c r="DD12" s="62"/>
      <c r="EH12" s="62"/>
      <c r="EI12" s="74">
        <v>1000</v>
      </c>
      <c r="EK12" s="62"/>
      <c r="FL12" s="62"/>
      <c r="FM12" s="74">
        <v>1000</v>
      </c>
      <c r="FO12" s="62"/>
      <c r="GP12" s="62"/>
      <c r="GQ12" s="74">
        <v>1000</v>
      </c>
      <c r="GS12" s="62"/>
      <c r="HT12" s="62"/>
      <c r="HU12" s="74">
        <v>1000</v>
      </c>
      <c r="HW12" s="62"/>
      <c r="IX12" s="62"/>
      <c r="IY12" s="74">
        <v>1000</v>
      </c>
      <c r="JA12" s="62"/>
      <c r="KB12" s="62"/>
      <c r="KC12" s="74">
        <v>1000</v>
      </c>
      <c r="KE12" s="62"/>
      <c r="LF12" s="62"/>
      <c r="LG12" s="74">
        <v>1000</v>
      </c>
      <c r="LI12" s="62"/>
      <c r="MJ12" s="62"/>
      <c r="MK12" s="74">
        <v>1000</v>
      </c>
      <c r="MM12" s="62"/>
      <c r="NN12" s="62"/>
      <c r="NO12" s="74">
        <v>1000</v>
      </c>
      <c r="NQ12" s="62"/>
      <c r="OR12" s="62"/>
      <c r="OS12" s="74">
        <v>1000</v>
      </c>
      <c r="OU12" s="62"/>
      <c r="PV12" s="62"/>
      <c r="PW12" s="74">
        <v>1000</v>
      </c>
      <c r="PY12" s="62"/>
      <c r="QZ12" s="62"/>
      <c r="RA12" s="74">
        <v>1000</v>
      </c>
      <c r="RC12" s="62"/>
    </row>
    <row r="13" spans="1:473" ht="16" hidden="1" customHeight="1">
      <c r="A13" s="62"/>
      <c r="B13" s="87" t="s">
        <v>48</v>
      </c>
      <c r="C13" s="61"/>
      <c r="AS13" s="62"/>
      <c r="AT13" s="75">
        <v>1000</v>
      </c>
      <c r="AV13" s="62"/>
      <c r="BW13" s="62"/>
      <c r="BX13" s="75">
        <v>1000</v>
      </c>
      <c r="BZ13" s="62"/>
      <c r="DA13" s="62"/>
      <c r="DB13" s="75">
        <v>1000</v>
      </c>
      <c r="DD13" s="62"/>
      <c r="EH13" s="62"/>
      <c r="EI13" s="75">
        <v>1000</v>
      </c>
      <c r="EK13" s="62"/>
      <c r="FL13" s="62"/>
      <c r="FM13" s="75">
        <v>1000</v>
      </c>
      <c r="FO13" s="62"/>
      <c r="GP13" s="62"/>
      <c r="GQ13" s="75">
        <v>1000</v>
      </c>
      <c r="GS13" s="62"/>
      <c r="HT13" s="62"/>
      <c r="HU13" s="75">
        <v>1000</v>
      </c>
      <c r="HW13" s="62"/>
      <c r="IX13" s="62"/>
      <c r="IY13" s="75">
        <v>1000</v>
      </c>
      <c r="JA13" s="62"/>
      <c r="KB13" s="62"/>
      <c r="KC13" s="75">
        <v>1000</v>
      </c>
      <c r="KE13" s="62"/>
      <c r="LF13" s="62"/>
      <c r="LG13" s="75">
        <v>1000</v>
      </c>
      <c r="LI13" s="62"/>
      <c r="MJ13" s="62"/>
      <c r="MK13" s="75">
        <v>1000</v>
      </c>
      <c r="MM13" s="62"/>
      <c r="NN13" s="62"/>
      <c r="NO13" s="75">
        <v>1000</v>
      </c>
      <c r="NQ13" s="62"/>
      <c r="OR13" s="62"/>
      <c r="OS13" s="75">
        <v>1000</v>
      </c>
      <c r="OU13" s="62"/>
      <c r="PV13" s="62"/>
      <c r="PW13" s="75">
        <v>1000</v>
      </c>
      <c r="PY13" s="62"/>
      <c r="QZ13" s="62"/>
      <c r="RA13" s="75">
        <v>1000</v>
      </c>
      <c r="RC13" s="62"/>
    </row>
    <row r="14" spans="1:473">
      <c r="A14" s="7"/>
      <c r="B14" s="7"/>
      <c r="C14" s="61"/>
      <c r="AS14" s="7"/>
      <c r="AT14" t="s">
        <v>121</v>
      </c>
      <c r="AV14" s="7"/>
      <c r="BW14" s="7"/>
      <c r="BX14" t="s">
        <v>121</v>
      </c>
      <c r="BZ14" s="7"/>
      <c r="DA14" s="7"/>
      <c r="DD14" s="7"/>
      <c r="EH14" s="7"/>
      <c r="EI14" t="s">
        <v>121</v>
      </c>
      <c r="EK14" s="7"/>
      <c r="FL14" s="7"/>
      <c r="FO14" s="7"/>
      <c r="GP14" s="7"/>
      <c r="GS14" s="7"/>
      <c r="HT14" s="7"/>
      <c r="HW14" s="7"/>
      <c r="IX14" s="7"/>
      <c r="JA14" s="7"/>
      <c r="KB14" s="7"/>
      <c r="KE14" s="7"/>
      <c r="LF14" s="7"/>
      <c r="LI14" s="7"/>
      <c r="MJ14" s="7"/>
      <c r="MM14" s="7"/>
      <c r="NN14" s="7"/>
      <c r="NQ14" s="7"/>
      <c r="OR14" s="7"/>
      <c r="OU14" s="7"/>
      <c r="PV14" s="7"/>
      <c r="PY14" s="7"/>
      <c r="QZ14" s="7"/>
      <c r="RC14" s="7"/>
    </row>
    <row r="15" spans="1:473">
      <c r="A15" s="62"/>
      <c r="B15" s="62"/>
      <c r="C15" s="61"/>
      <c r="KB15" s="7"/>
      <c r="KE15" s="7"/>
      <c r="PV15" s="7"/>
      <c r="PY15" s="7"/>
    </row>
    <row r="16" spans="1:473">
      <c r="A16" s="62"/>
      <c r="B16" s="62"/>
      <c r="C16" s="61"/>
    </row>
    <row r="17" spans="1:111">
      <c r="A17" s="62"/>
      <c r="B17" s="62"/>
      <c r="C17" s="61"/>
    </row>
    <row r="20" spans="1:111">
      <c r="DG20" s="3"/>
    </row>
  </sheetData>
  <sheetProtection sheet="1" objects="1" scenarios="1" formatCells="0" formatColumns="0" formatRows="0"/>
  <autoFilter ref="A1:RE6" xr:uid="{00000000-0009-0000-0000-000008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1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1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1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sortState ref="A4:RE6">
      <sortCondition descending="1" ref="F1:F14"/>
    </sortState>
  </autoFilter>
  <mergeCells count="126">
    <mergeCell ref="EN2:EQ2"/>
    <mergeCell ref="DJ1:EM1"/>
    <mergeCell ref="DJ2:DM2"/>
    <mergeCell ref="DN2:DQ2"/>
    <mergeCell ref="DR2:DU2"/>
    <mergeCell ref="DV2:DY2"/>
    <mergeCell ref="DZ2:EC2"/>
    <mergeCell ref="ED2:EG2"/>
    <mergeCell ref="CS2:CV2"/>
    <mergeCell ref="CW2:CZ2"/>
    <mergeCell ref="FH2:FK2"/>
    <mergeCell ref="FR2:FU2"/>
    <mergeCell ref="FV2:FY2"/>
    <mergeCell ref="FZ2:GC2"/>
    <mergeCell ref="GD2:GG2"/>
    <mergeCell ref="GH2:GK2"/>
    <mergeCell ref="GL2:GO2"/>
    <mergeCell ref="EV2:EY2"/>
    <mergeCell ref="ER2:EU2"/>
    <mergeCell ref="EZ2:FC2"/>
    <mergeCell ref="FD2:FG2"/>
    <mergeCell ref="AO2:AR2"/>
    <mergeCell ref="AY1:CB1"/>
    <mergeCell ref="AY2:BB2"/>
    <mergeCell ref="BC2:BF2"/>
    <mergeCell ref="BG2:BJ2"/>
    <mergeCell ref="U2:X2"/>
    <mergeCell ref="BO2:BR2"/>
    <mergeCell ref="BS2:BV2"/>
    <mergeCell ref="D1:D3"/>
    <mergeCell ref="AG2:AJ2"/>
    <mergeCell ref="A1:A3"/>
    <mergeCell ref="B1:B3"/>
    <mergeCell ref="C1:C3"/>
    <mergeCell ref="E1:E3"/>
    <mergeCell ref="G1:G3"/>
    <mergeCell ref="U1:AX1"/>
    <mergeCell ref="DG1:DI1"/>
    <mergeCell ref="CC1:DF1"/>
    <mergeCell ref="I1:I3"/>
    <mergeCell ref="J1:J3"/>
    <mergeCell ref="L1:L3"/>
    <mergeCell ref="N1:N3"/>
    <mergeCell ref="P1:P3"/>
    <mergeCell ref="R1:R3"/>
    <mergeCell ref="Y2:AB2"/>
    <mergeCell ref="AC2:AF2"/>
    <mergeCell ref="BK2:BN2"/>
    <mergeCell ref="CC2:CF2"/>
    <mergeCell ref="CG2:CJ2"/>
    <mergeCell ref="S1:S3"/>
    <mergeCell ref="T1:T3"/>
    <mergeCell ref="K1:K3"/>
    <mergeCell ref="O1:O3"/>
    <mergeCell ref="Q1:Q3"/>
    <mergeCell ref="MB2:ME2"/>
    <mergeCell ref="NT1:OW1"/>
    <mergeCell ref="OX1:QA1"/>
    <mergeCell ref="QB1:RE1"/>
    <mergeCell ref="GV2:GY2"/>
    <mergeCell ref="GZ2:HC2"/>
    <mergeCell ref="HD2:HG2"/>
    <mergeCell ref="HH2:HK2"/>
    <mergeCell ref="HL2:HO2"/>
    <mergeCell ref="HP2:HS2"/>
    <mergeCell ref="HZ2:IC2"/>
    <mergeCell ref="ID2:IG2"/>
    <mergeCell ref="IH2:IK2"/>
    <mergeCell ref="IL2:IO2"/>
    <mergeCell ref="IP2:IS2"/>
    <mergeCell ref="IT2:IW2"/>
    <mergeCell ref="JD2:JG2"/>
    <mergeCell ref="HZ1:JC1"/>
    <mergeCell ref="JD1:KG1"/>
    <mergeCell ref="KH1:LK1"/>
    <mergeCell ref="LL1:MO1"/>
    <mergeCell ref="MP1:NS1"/>
    <mergeCell ref="KH2:KK2"/>
    <mergeCell ref="GV1:HY1"/>
    <mergeCell ref="LB2:LE2"/>
    <mergeCell ref="LL2:LO2"/>
    <mergeCell ref="LP2:LS2"/>
    <mergeCell ref="LT2:LW2"/>
    <mergeCell ref="LX2:MA2"/>
    <mergeCell ref="KP2:KS2"/>
    <mergeCell ref="KT2:KW2"/>
    <mergeCell ref="KX2:LA2"/>
    <mergeCell ref="JH2:JK2"/>
    <mergeCell ref="JL2:JO2"/>
    <mergeCell ref="JP2:JS2"/>
    <mergeCell ref="JT2:JW2"/>
    <mergeCell ref="JX2:KA2"/>
    <mergeCell ref="KL2:KO2"/>
    <mergeCell ref="NB2:NE2"/>
    <mergeCell ref="NF2:NI2"/>
    <mergeCell ref="NJ2:NM2"/>
    <mergeCell ref="NT2:NW2"/>
    <mergeCell ref="NX2:OA2"/>
    <mergeCell ref="MF2:MI2"/>
    <mergeCell ref="MP2:MS2"/>
    <mergeCell ref="MT2:MW2"/>
    <mergeCell ref="MX2:NA2"/>
    <mergeCell ref="FR1:GU1"/>
    <mergeCell ref="EN1:FQ1"/>
    <mergeCell ref="F1:F3"/>
    <mergeCell ref="CK2:CN2"/>
    <mergeCell ref="CO2:CR2"/>
    <mergeCell ref="M1:M3"/>
    <mergeCell ref="H1:H3"/>
    <mergeCell ref="AK2:AN2"/>
    <mergeCell ref="QV2:QY2"/>
    <mergeCell ref="QB2:QE2"/>
    <mergeCell ref="QF2:QI2"/>
    <mergeCell ref="QJ2:QM2"/>
    <mergeCell ref="QN2:QQ2"/>
    <mergeCell ref="QR2:QU2"/>
    <mergeCell ref="PB2:PE2"/>
    <mergeCell ref="PF2:PI2"/>
    <mergeCell ref="PJ2:PM2"/>
    <mergeCell ref="PN2:PQ2"/>
    <mergeCell ref="PR2:PU2"/>
    <mergeCell ref="OB2:OE2"/>
    <mergeCell ref="OF2:OI2"/>
    <mergeCell ref="OJ2:OM2"/>
    <mergeCell ref="ON2:OQ2"/>
    <mergeCell ref="OX2:PA2"/>
  </mergeCells>
  <conditionalFormatting sqref="A1:A1048576">
    <cfRule type="expression" dxfId="19" priority="469">
      <formula>AND(H1="P",F1="")</formula>
    </cfRule>
  </conditionalFormatting>
  <conditionalFormatting sqref="I1:I1048576">
    <cfRule type="containsText" dxfId="18" priority="102" operator="containsText" text="Merit">
      <formula>NOT(ISERROR(SEARCH("Merit",I1)))</formula>
    </cfRule>
    <cfRule type="containsText" dxfId="17" priority="103" operator="containsText" text="Funding">
      <formula>NOT(ISERROR(SEARCH("Funding",I1)))</formula>
    </cfRule>
    <cfRule type="containsText" dxfId="16" priority="104" operator="containsText" text="Worlds Team">
      <formula>NOT(ISERROR(SEARCH("Worlds Team",I1)))</formula>
    </cfRule>
    <cfRule type="containsText" dxfId="15" priority="105" operator="containsText" text="National Team">
      <formula>NOT(ISERROR(SEARCH("National Team",I1)))</formula>
    </cfRule>
  </conditionalFormatting>
  <conditionalFormatting sqref="K1:K1048576">
    <cfRule type="expression" dxfId="14" priority="2295">
      <formula>IF(J1=DD1,1,0)</formula>
    </cfRule>
    <cfRule type="expression" dxfId="13" priority="2296">
      <formula>IF(J1=BZ1,1,0)</formula>
    </cfRule>
    <cfRule type="expression" dxfId="12" priority="2297">
      <formula>IF(J1=AV1,1,0)</formula>
    </cfRule>
  </conditionalFormatting>
  <conditionalFormatting sqref="M1:M1048576">
    <cfRule type="expression" dxfId="11" priority="2286">
      <formula>IF(L1=DB1,1,0)</formula>
    </cfRule>
    <cfRule type="expression" dxfId="10" priority="2287">
      <formula>IF(L1=BX1,1,0)</formula>
    </cfRule>
    <cfRule type="expression" dxfId="9" priority="2288">
      <formula>IF(L1=AT1,1,0)</formula>
    </cfRule>
  </conditionalFormatting>
  <conditionalFormatting sqref="O1:O1048576 Q1:Q1048576">
    <cfRule type="expression" dxfId="8" priority="2289">
      <formula>IF(N1=DC1,1,0)</formula>
    </cfRule>
    <cfRule type="expression" dxfId="7" priority="2290">
      <formula>IF(N1=BY1,1,0)</formula>
    </cfRule>
    <cfRule type="expression" dxfId="6" priority="2291">
      <formula>IF(N1=AU1,1,0)</formula>
    </cfRule>
  </conditionalFormatting>
  <conditionalFormatting sqref="AS1:AS1048576 BW1:BW1048576 DA1:DA1048576 EH1:EH1048576 FL1:FL1048576 GP1:GP1048576 HT1:HT1048576 IX1:IX1048576 KB1:KB1048576 LF1:LF1048576 MJ1:MJ1048576 NN1:NN1048576 OR1:OR1048576 PV1:PV1048576 QZ1:QZ1048576">
    <cfRule type="cellIs" dxfId="5" priority="2233" operator="between">
      <formula>AT$9</formula>
      <formula>100</formula>
    </cfRule>
    <cfRule type="cellIs" dxfId="4" priority="2234" operator="between">
      <formula>AT$8</formula>
      <formula>AT$9</formula>
    </cfRule>
  </conditionalFormatting>
  <conditionalFormatting sqref="RC1:RC1048576 PY1:PY1048576 OU1:OU1048576 NQ1:NQ1048576 MM1:MM1048576 LI1:LI1048576 KE1:KE1048576 JA1:JA1048576 HW1:HW1048576 GS1:GS1048576 FO1:FO1048576 EK1:EK1048576 DD1:DD1048576 BZ1:BZ1048576 AV1:AV1048576">
    <cfRule type="cellIs" dxfId="3" priority="2221" operator="between">
      <formula>AT$12</formula>
      <formula>AT$13</formula>
    </cfRule>
    <cfRule type="cellIs" dxfId="2" priority="2220" operator="between">
      <formula>AT$13</formula>
      <formula>1000</formula>
    </cfRule>
    <cfRule type="cellIs" dxfId="1" priority="2222" operator="between">
      <formula>AT$11</formula>
      <formula>AT$12</formula>
    </cfRule>
    <cfRule type="cellIs" dxfId="0" priority="2223" operator="between">
      <formula>AT$10</formula>
      <formula>AT$11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2018-05-01T18:57:27Z</dcterms:modified>
</cp:coreProperties>
</file>