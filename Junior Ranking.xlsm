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022CEFD4-D1D0-8A4B-9866-4DA2E17E591B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'DMT-M'!$A$1:$PW$3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V14" i="17" l="1"/>
  <c r="NV10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V14" i="17"/>
  <c r="MV10" i="17"/>
  <c r="MU6" i="17"/>
  <c r="MT6" i="17"/>
  <c r="MS6" i="17"/>
  <c r="MR6" i="17"/>
  <c r="MQ6" i="17"/>
  <c r="MU5" i="17"/>
  <c r="MT5" i="17"/>
  <c r="MS5" i="17"/>
  <c r="MR5" i="17"/>
  <c r="MQ5" i="17"/>
  <c r="MU4" i="17"/>
  <c r="MT4" i="17"/>
  <c r="MS4" i="17"/>
  <c r="MR4" i="17"/>
  <c r="MQ4" i="17"/>
  <c r="LV14" i="17"/>
  <c r="LV10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V4" i="17" s="1"/>
  <c r="LQ4" i="17"/>
  <c r="KV14" i="17"/>
  <c r="KV10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Q4" i="17"/>
  <c r="JV14" i="17"/>
  <c r="JV10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R4" i="17"/>
  <c r="JV4" i="17" s="1"/>
  <c r="JQ4" i="17"/>
  <c r="IV14" i="17"/>
  <c r="IV10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Q4" i="17"/>
  <c r="HV14" i="17"/>
  <c r="HV10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V4" i="17" s="1"/>
  <c r="HQ4" i="17"/>
  <c r="GV14" i="17"/>
  <c r="GV10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V4" i="17" s="1"/>
  <c r="GQ4" i="17"/>
  <c r="FV14" i="17"/>
  <c r="FV10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4" i="17"/>
  <c r="EV10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Q4" i="17"/>
  <c r="DV14" i="17"/>
  <c r="DV10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2" i="16"/>
  <c r="NV8" i="16"/>
  <c r="NU4" i="16"/>
  <c r="NT4" i="16"/>
  <c r="NS4" i="16"/>
  <c r="NR4" i="16"/>
  <c r="NQ4" i="16"/>
  <c r="MV12" i="16"/>
  <c r="MV8" i="16"/>
  <c r="MU4" i="16"/>
  <c r="MT4" i="16"/>
  <c r="MS4" i="16"/>
  <c r="MR4" i="16"/>
  <c r="MQ4" i="16"/>
  <c r="LV12" i="16"/>
  <c r="LV8" i="16"/>
  <c r="LU4" i="16"/>
  <c r="LT4" i="16"/>
  <c r="LS4" i="16"/>
  <c r="LR4" i="16"/>
  <c r="LQ4" i="16"/>
  <c r="KV12" i="16"/>
  <c r="KV8" i="16"/>
  <c r="KU4" i="16"/>
  <c r="KT4" i="16"/>
  <c r="KS4" i="16"/>
  <c r="KR4" i="16"/>
  <c r="KQ4" i="16"/>
  <c r="JV12" i="16"/>
  <c r="JV8" i="16"/>
  <c r="JU4" i="16"/>
  <c r="JT4" i="16"/>
  <c r="JS4" i="16"/>
  <c r="JR4" i="16"/>
  <c r="JQ4" i="16"/>
  <c r="IV12" i="16"/>
  <c r="IV8" i="16"/>
  <c r="IU4" i="16"/>
  <c r="IT4" i="16"/>
  <c r="IS4" i="16"/>
  <c r="IR4" i="16"/>
  <c r="IQ4" i="16"/>
  <c r="HV12" i="16"/>
  <c r="HV8" i="16"/>
  <c r="HU4" i="16"/>
  <c r="HT4" i="16"/>
  <c r="HS4" i="16"/>
  <c r="HR4" i="16"/>
  <c r="HQ4" i="16"/>
  <c r="GV12" i="16"/>
  <c r="GV8" i="16"/>
  <c r="GU4" i="16"/>
  <c r="GT4" i="16"/>
  <c r="GS4" i="16"/>
  <c r="GR4" i="16"/>
  <c r="GQ4" i="16"/>
  <c r="FV12" i="16"/>
  <c r="FV8" i="16"/>
  <c r="FU4" i="16"/>
  <c r="FT4" i="16"/>
  <c r="FS4" i="16"/>
  <c r="FR4" i="16"/>
  <c r="FQ4" i="16"/>
  <c r="EV12" i="16"/>
  <c r="EV8" i="16"/>
  <c r="EU4" i="16"/>
  <c r="ET4" i="16"/>
  <c r="ES4" i="16"/>
  <c r="ER4" i="16"/>
  <c r="EQ4" i="16"/>
  <c r="DV12" i="16"/>
  <c r="DV8" i="16"/>
  <c r="DU4" i="16"/>
  <c r="DT4" i="16"/>
  <c r="DS4" i="16"/>
  <c r="DR4" i="16"/>
  <c r="DQ4" i="16"/>
  <c r="NV12" i="14"/>
  <c r="NV8" i="14"/>
  <c r="NU4" i="14"/>
  <c r="NT4" i="14"/>
  <c r="NS4" i="14"/>
  <c r="NR4" i="14"/>
  <c r="NQ4" i="14"/>
  <c r="MV12" i="14"/>
  <c r="MV8" i="14"/>
  <c r="MU4" i="14"/>
  <c r="MT4" i="14"/>
  <c r="MS4" i="14"/>
  <c r="MR4" i="14"/>
  <c r="MQ4" i="14"/>
  <c r="LV12" i="14"/>
  <c r="LV8" i="14"/>
  <c r="LU4" i="14"/>
  <c r="LT4" i="14"/>
  <c r="LS4" i="14"/>
  <c r="LR4" i="14"/>
  <c r="LQ4" i="14"/>
  <c r="KV12" i="14"/>
  <c r="KV8" i="14"/>
  <c r="KU4" i="14"/>
  <c r="KT4" i="14"/>
  <c r="KS4" i="14"/>
  <c r="KR4" i="14"/>
  <c r="KQ4" i="14"/>
  <c r="JV12" i="14"/>
  <c r="JV8" i="14"/>
  <c r="JU4" i="14"/>
  <c r="JT4" i="14"/>
  <c r="JS4" i="14"/>
  <c r="JR4" i="14"/>
  <c r="JQ4" i="14"/>
  <c r="IV12" i="14"/>
  <c r="IV8" i="14"/>
  <c r="IU4" i="14"/>
  <c r="IT4" i="14"/>
  <c r="IS4" i="14"/>
  <c r="IR4" i="14"/>
  <c r="IQ4" i="14"/>
  <c r="HV12" i="14"/>
  <c r="HV8" i="14"/>
  <c r="HU4" i="14"/>
  <c r="HT4" i="14"/>
  <c r="HS4" i="14"/>
  <c r="HR4" i="14"/>
  <c r="HQ4" i="14"/>
  <c r="GV12" i="14"/>
  <c r="GV8" i="14"/>
  <c r="GU4" i="14"/>
  <c r="GT4" i="14"/>
  <c r="GS4" i="14"/>
  <c r="GR4" i="14"/>
  <c r="GQ4" i="14"/>
  <c r="FV12" i="14"/>
  <c r="FV8" i="14"/>
  <c r="FU4" i="14"/>
  <c r="FT4" i="14"/>
  <c r="FS4" i="14"/>
  <c r="FR4" i="14"/>
  <c r="FQ4" i="14"/>
  <c r="EV12" i="14"/>
  <c r="EV8" i="14"/>
  <c r="EU4" i="14"/>
  <c r="ET4" i="14"/>
  <c r="ES4" i="14"/>
  <c r="ER4" i="14"/>
  <c r="EQ4" i="14"/>
  <c r="DV12" i="14"/>
  <c r="DV8" i="14"/>
  <c r="DU4" i="14"/>
  <c r="DT4" i="14"/>
  <c r="DS4" i="14"/>
  <c r="DR4" i="14"/>
  <c r="DV4" i="14" s="1"/>
  <c r="DQ4" i="14"/>
  <c r="MP6" i="13"/>
  <c r="MO6" i="13"/>
  <c r="MM6" i="13"/>
  <c r="ML6" i="13"/>
  <c r="MK6" i="13"/>
  <c r="MP4" i="13"/>
  <c r="MO4" i="13"/>
  <c r="MM4" i="13"/>
  <c r="ML4" i="13"/>
  <c r="MK4" i="13"/>
  <c r="MP5" i="13"/>
  <c r="MO5" i="13"/>
  <c r="MM5" i="13"/>
  <c r="ML5" i="13"/>
  <c r="MK5" i="13"/>
  <c r="LT6" i="13"/>
  <c r="LS6" i="13"/>
  <c r="LQ6" i="13"/>
  <c r="LP6" i="13"/>
  <c r="LO6" i="13"/>
  <c r="LT4" i="13"/>
  <c r="LS4" i="13"/>
  <c r="LQ4" i="13"/>
  <c r="LP4" i="13"/>
  <c r="LO4" i="13"/>
  <c r="LT5" i="13"/>
  <c r="LS5" i="13"/>
  <c r="LQ5" i="13"/>
  <c r="LP5" i="13"/>
  <c r="LO5" i="13"/>
  <c r="KX6" i="13"/>
  <c r="KW6" i="13"/>
  <c r="KU6" i="13"/>
  <c r="KT6" i="13"/>
  <c r="KS6" i="13"/>
  <c r="KX4" i="13"/>
  <c r="KW4" i="13"/>
  <c r="KU4" i="13"/>
  <c r="KT4" i="13"/>
  <c r="KV4" i="13" s="1"/>
  <c r="KS4" i="13"/>
  <c r="KX5" i="13"/>
  <c r="KW5" i="13"/>
  <c r="KU5" i="13"/>
  <c r="KT5" i="13"/>
  <c r="KS5" i="13"/>
  <c r="KB6" i="13"/>
  <c r="KA6" i="13"/>
  <c r="JY6" i="13"/>
  <c r="JX6" i="13"/>
  <c r="JW6" i="13"/>
  <c r="KB4" i="13"/>
  <c r="KA4" i="13"/>
  <c r="JY4" i="13"/>
  <c r="JX4" i="13"/>
  <c r="JZ4" i="13" s="1"/>
  <c r="JW4" i="13"/>
  <c r="KB5" i="13"/>
  <c r="KA5" i="13"/>
  <c r="JY5" i="13"/>
  <c r="JX5" i="13"/>
  <c r="JW5" i="13"/>
  <c r="JF6" i="13"/>
  <c r="JE6" i="13"/>
  <c r="JC6" i="13"/>
  <c r="JB6" i="13"/>
  <c r="JA6" i="13"/>
  <c r="JF4" i="13"/>
  <c r="JE4" i="13"/>
  <c r="JC4" i="13"/>
  <c r="JB4" i="13"/>
  <c r="JD4" i="13" s="1"/>
  <c r="JA4" i="13"/>
  <c r="JF5" i="13"/>
  <c r="JE5" i="13"/>
  <c r="JC5" i="13"/>
  <c r="JB5" i="13"/>
  <c r="JA5" i="13"/>
  <c r="IJ6" i="13"/>
  <c r="II6" i="13"/>
  <c r="IG6" i="13"/>
  <c r="IF6" i="13"/>
  <c r="IE6" i="13"/>
  <c r="IJ4" i="13"/>
  <c r="II4" i="13"/>
  <c r="IG4" i="13"/>
  <c r="IF4" i="13"/>
  <c r="IH4" i="13" s="1"/>
  <c r="IK4" i="13" s="1"/>
  <c r="IE4" i="13"/>
  <c r="IJ5" i="13"/>
  <c r="II5" i="13"/>
  <c r="IG5" i="13"/>
  <c r="IF5" i="13"/>
  <c r="IE5" i="13"/>
  <c r="HN6" i="13"/>
  <c r="HM6" i="13"/>
  <c r="HK6" i="13"/>
  <c r="HJ6" i="13"/>
  <c r="HI6" i="13"/>
  <c r="HN4" i="13"/>
  <c r="HM4" i="13"/>
  <c r="HK4" i="13"/>
  <c r="HJ4" i="13"/>
  <c r="HL4" i="13" s="1"/>
  <c r="HI4" i="13"/>
  <c r="HN5" i="13"/>
  <c r="HM5" i="13"/>
  <c r="HK5" i="13"/>
  <c r="HJ5" i="13"/>
  <c r="HI5" i="13"/>
  <c r="GR6" i="13"/>
  <c r="GQ6" i="13"/>
  <c r="GO6" i="13"/>
  <c r="GN6" i="13"/>
  <c r="GM6" i="13"/>
  <c r="GR4" i="13"/>
  <c r="GQ4" i="13"/>
  <c r="GO4" i="13"/>
  <c r="GN4" i="13"/>
  <c r="GP4" i="13" s="1"/>
  <c r="GM4" i="13"/>
  <c r="GR5" i="13"/>
  <c r="GQ5" i="13"/>
  <c r="GO5" i="13"/>
  <c r="GN5" i="13"/>
  <c r="GM5" i="13"/>
  <c r="FV6" i="13"/>
  <c r="FU6" i="13"/>
  <c r="FS6" i="13"/>
  <c r="FR6" i="13"/>
  <c r="FQ6" i="13"/>
  <c r="FV4" i="13"/>
  <c r="FU4" i="13"/>
  <c r="FS4" i="13"/>
  <c r="FR4" i="13"/>
  <c r="FQ4" i="13"/>
  <c r="FV5" i="13"/>
  <c r="FU5" i="13"/>
  <c r="FS5" i="13"/>
  <c r="FR5" i="13"/>
  <c r="FQ5" i="13"/>
  <c r="EZ6" i="13"/>
  <c r="EY6" i="13"/>
  <c r="EW6" i="13"/>
  <c r="EV6" i="13"/>
  <c r="EX6" i="13" s="1"/>
  <c r="EU6" i="13"/>
  <c r="EZ4" i="13"/>
  <c r="EY4" i="13"/>
  <c r="EW4" i="13"/>
  <c r="EV4" i="13"/>
  <c r="EU4" i="13"/>
  <c r="EZ5" i="13"/>
  <c r="EY5" i="13"/>
  <c r="EW5" i="13"/>
  <c r="EV5" i="13"/>
  <c r="EX5" i="13" s="1"/>
  <c r="FA5" i="13" s="1"/>
  <c r="EU5" i="13"/>
  <c r="ED6" i="13"/>
  <c r="EC6" i="13"/>
  <c r="EA6" i="13"/>
  <c r="DZ6" i="13"/>
  <c r="EB6" i="13" s="1"/>
  <c r="DY6" i="13"/>
  <c r="ED4" i="13"/>
  <c r="EC4" i="13"/>
  <c r="EA4" i="13"/>
  <c r="DZ4" i="13"/>
  <c r="DY4" i="13"/>
  <c r="ED5" i="13"/>
  <c r="EC5" i="13"/>
  <c r="EA5" i="13"/>
  <c r="DZ5" i="13"/>
  <c r="DY5" i="13"/>
  <c r="MP4" i="4"/>
  <c r="MO4" i="4"/>
  <c r="MM4" i="4"/>
  <c r="ML4" i="4"/>
  <c r="MN4" i="4" s="1"/>
  <c r="MQ4" i="4" s="1"/>
  <c r="MK4" i="4"/>
  <c r="LT4" i="4"/>
  <c r="LS4" i="4"/>
  <c r="LQ4" i="4"/>
  <c r="LP4" i="4"/>
  <c r="LR4" i="4" s="1"/>
  <c r="LO4" i="4"/>
  <c r="KX4" i="4"/>
  <c r="KW4" i="4"/>
  <c r="KU4" i="4"/>
  <c r="KT4" i="4"/>
  <c r="KS4" i="4"/>
  <c r="KB4" i="4"/>
  <c r="KA4" i="4"/>
  <c r="JY4" i="4"/>
  <c r="JX4" i="4"/>
  <c r="JW4" i="4"/>
  <c r="JF4" i="4"/>
  <c r="JE4" i="4"/>
  <c r="JC4" i="4"/>
  <c r="JB4" i="4"/>
  <c r="JD4" i="4" s="1"/>
  <c r="JG4" i="4" s="1"/>
  <c r="JA4" i="4"/>
  <c r="IJ4" i="4"/>
  <c r="II4" i="4"/>
  <c r="IG4" i="4"/>
  <c r="IF4" i="4"/>
  <c r="IH4" i="4" s="1"/>
  <c r="IE4" i="4"/>
  <c r="HN4" i="4"/>
  <c r="HM4" i="4"/>
  <c r="HK4" i="4"/>
  <c r="HJ4" i="4"/>
  <c r="HI4" i="4"/>
  <c r="GR4" i="4"/>
  <c r="GQ4" i="4"/>
  <c r="GO4" i="4"/>
  <c r="GN4" i="4"/>
  <c r="GM4" i="4"/>
  <c r="FV4" i="4"/>
  <c r="FU4" i="4"/>
  <c r="FS4" i="4"/>
  <c r="FR4" i="4"/>
  <c r="FQ4" i="4"/>
  <c r="EZ4" i="4"/>
  <c r="EY4" i="4"/>
  <c r="EW4" i="4"/>
  <c r="EV4" i="4"/>
  <c r="EX4" i="4" s="1"/>
  <c r="EU4" i="4"/>
  <c r="ED4" i="4"/>
  <c r="EC4" i="4"/>
  <c r="EA4" i="4"/>
  <c r="DZ4" i="4"/>
  <c r="DY4" i="4"/>
  <c r="BS14" i="17"/>
  <c r="BS10" i="17"/>
  <c r="BR6" i="17"/>
  <c r="BQ6" i="17"/>
  <c r="BP6" i="17"/>
  <c r="BO6" i="17"/>
  <c r="BS6" i="17" s="1"/>
  <c r="BN6" i="17"/>
  <c r="BR5" i="17"/>
  <c r="BQ5" i="17"/>
  <c r="BP5" i="17"/>
  <c r="BO5" i="17"/>
  <c r="BN5" i="17"/>
  <c r="BR4" i="17"/>
  <c r="BQ4" i="17"/>
  <c r="BP4" i="17"/>
  <c r="BO4" i="17"/>
  <c r="BN4" i="17"/>
  <c r="AR14" i="17"/>
  <c r="AR10" i="17"/>
  <c r="AQ6" i="17"/>
  <c r="AP6" i="17"/>
  <c r="AO6" i="17"/>
  <c r="AN6" i="17"/>
  <c r="AR6" i="17" s="1"/>
  <c r="AM6" i="17"/>
  <c r="AQ5" i="17"/>
  <c r="AP5" i="17"/>
  <c r="AO5" i="17"/>
  <c r="AN5" i="17"/>
  <c r="AM5" i="17"/>
  <c r="AQ4" i="17"/>
  <c r="AP4" i="17"/>
  <c r="AO4" i="17"/>
  <c r="AN4" i="17"/>
  <c r="AM4" i="17"/>
  <c r="BS12" i="16"/>
  <c r="BS8" i="16"/>
  <c r="BR4" i="16"/>
  <c r="BQ4" i="16"/>
  <c r="BP4" i="16"/>
  <c r="BO4" i="16"/>
  <c r="BN4" i="16"/>
  <c r="AR12" i="16"/>
  <c r="AR8" i="16"/>
  <c r="AQ4" i="16"/>
  <c r="AP4" i="16"/>
  <c r="AO4" i="16"/>
  <c r="AN4" i="16"/>
  <c r="AM4" i="16"/>
  <c r="BR4" i="15"/>
  <c r="BQ4" i="15"/>
  <c r="BP4" i="15"/>
  <c r="BO4" i="15"/>
  <c r="BN4" i="15"/>
  <c r="AQ4" i="15"/>
  <c r="AP4" i="15"/>
  <c r="AO4" i="15"/>
  <c r="AN4" i="15"/>
  <c r="AM4" i="15"/>
  <c r="BS12" i="14"/>
  <c r="BS8" i="14"/>
  <c r="BR4" i="14"/>
  <c r="BQ4" i="14"/>
  <c r="BP4" i="14"/>
  <c r="BO4" i="14"/>
  <c r="BN4" i="14"/>
  <c r="AR12" i="14"/>
  <c r="AR8" i="14"/>
  <c r="AQ4" i="14"/>
  <c r="AP4" i="14"/>
  <c r="AO4" i="14"/>
  <c r="AN4" i="14"/>
  <c r="AM4" i="14"/>
  <c r="BZ6" i="13"/>
  <c r="BY6" i="13"/>
  <c r="BW6" i="13"/>
  <c r="BV6" i="13"/>
  <c r="BU6" i="13"/>
  <c r="BT6" i="13"/>
  <c r="BS6" i="13"/>
  <c r="BZ4" i="13"/>
  <c r="BY4" i="13"/>
  <c r="BW4" i="13"/>
  <c r="BV4" i="13"/>
  <c r="BU4" i="13"/>
  <c r="BT4" i="13"/>
  <c r="BS4" i="13"/>
  <c r="BZ5" i="13"/>
  <c r="BY5" i="13"/>
  <c r="BW5" i="13"/>
  <c r="BV5" i="13"/>
  <c r="BU5" i="13"/>
  <c r="BT5" i="13"/>
  <c r="BS5" i="13"/>
  <c r="AV6" i="13"/>
  <c r="AU6" i="13"/>
  <c r="AS6" i="13"/>
  <c r="AR6" i="13"/>
  <c r="AQ6" i="13"/>
  <c r="AP6" i="13"/>
  <c r="AO6" i="13"/>
  <c r="AV4" i="13"/>
  <c r="AU4" i="13"/>
  <c r="AS4" i="13"/>
  <c r="AR4" i="13"/>
  <c r="AQ4" i="13"/>
  <c r="AP4" i="13"/>
  <c r="AO4" i="13"/>
  <c r="AV5" i="13"/>
  <c r="AU5" i="13"/>
  <c r="AS5" i="13"/>
  <c r="AR5" i="13"/>
  <c r="AQ5" i="13"/>
  <c r="AP5" i="13"/>
  <c r="AO5" i="13"/>
  <c r="BZ4" i="4"/>
  <c r="BY4" i="4"/>
  <c r="BW4" i="4"/>
  <c r="BV4" i="4"/>
  <c r="BU4" i="4"/>
  <c r="BT4" i="4"/>
  <c r="BS4" i="4"/>
  <c r="AV4" i="4"/>
  <c r="AU4" i="4"/>
  <c r="AS4" i="4"/>
  <c r="AR4" i="4"/>
  <c r="AQ4" i="4"/>
  <c r="AP4" i="4"/>
  <c r="AO4" i="4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4" i="15"/>
  <c r="CP4" i="15"/>
  <c r="CQ4" i="15"/>
  <c r="CR4" i="15"/>
  <c r="CS4" i="15"/>
  <c r="DQ4" i="15"/>
  <c r="DR4" i="15"/>
  <c r="DS4" i="15"/>
  <c r="DT4" i="15"/>
  <c r="DU4" i="15"/>
  <c r="EQ4" i="15"/>
  <c r="ER4" i="15"/>
  <c r="ES4" i="15"/>
  <c r="ET4" i="15"/>
  <c r="EU4" i="15"/>
  <c r="FQ4" i="15"/>
  <c r="FR4" i="15"/>
  <c r="FS4" i="15"/>
  <c r="FT4" i="15"/>
  <c r="FU4" i="15"/>
  <c r="GQ4" i="15"/>
  <c r="GR4" i="15"/>
  <c r="GS4" i="15"/>
  <c r="GT4" i="15"/>
  <c r="GU4" i="15"/>
  <c r="HQ4" i="15"/>
  <c r="HR4" i="15"/>
  <c r="HS4" i="15"/>
  <c r="HT4" i="15"/>
  <c r="HU4" i="15"/>
  <c r="IQ4" i="15"/>
  <c r="IR4" i="15"/>
  <c r="IS4" i="15"/>
  <c r="IT4" i="15"/>
  <c r="IU4" i="15"/>
  <c r="JQ4" i="15"/>
  <c r="JR4" i="15"/>
  <c r="JS4" i="15"/>
  <c r="JT4" i="15"/>
  <c r="JU4" i="15"/>
  <c r="KQ4" i="15"/>
  <c r="KR4" i="15"/>
  <c r="KS4" i="15"/>
  <c r="KT4" i="15"/>
  <c r="KU4" i="15"/>
  <c r="LQ4" i="15"/>
  <c r="LR4" i="15"/>
  <c r="LS4" i="15"/>
  <c r="LT4" i="15"/>
  <c r="LU4" i="15"/>
  <c r="MQ4" i="15"/>
  <c r="MR4" i="15"/>
  <c r="MS4" i="15"/>
  <c r="MT4" i="15"/>
  <c r="MU4" i="15"/>
  <c r="NQ4" i="15"/>
  <c r="NR4" i="15"/>
  <c r="NS4" i="15"/>
  <c r="NT4" i="15"/>
  <c r="NU4" i="15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KY4" i="13" l="1"/>
  <c r="HL6" i="13"/>
  <c r="HO6" i="13" s="1"/>
  <c r="NV4" i="17"/>
  <c r="IV4" i="17"/>
  <c r="KV4" i="17"/>
  <c r="FV4" i="17"/>
  <c r="JV5" i="17"/>
  <c r="MV4" i="17"/>
  <c r="DV4" i="17"/>
  <c r="EV4" i="17"/>
  <c r="MV4" i="16"/>
  <c r="NV4" i="14"/>
  <c r="GV4" i="14"/>
  <c r="HO4" i="13"/>
  <c r="HL5" i="13"/>
  <c r="HO5" i="13" s="1"/>
  <c r="BX5" i="13"/>
  <c r="EB4" i="13"/>
  <c r="FT4" i="13"/>
  <c r="FW4" i="13" s="1"/>
  <c r="JG4" i="13"/>
  <c r="EB4" i="4"/>
  <c r="EE4" i="4" s="1"/>
  <c r="BS5" i="17"/>
  <c r="AR5" i="17"/>
  <c r="DV5" i="17"/>
  <c r="EV5" i="17"/>
  <c r="FV5" i="17"/>
  <c r="GV5" i="17"/>
  <c r="HV5" i="17"/>
  <c r="IV5" i="17"/>
  <c r="KV5" i="17"/>
  <c r="LV5" i="17"/>
  <c r="MV5" i="17"/>
  <c r="NV5" i="17"/>
  <c r="DV6" i="17"/>
  <c r="EV6" i="17"/>
  <c r="FV6" i="17"/>
  <c r="GV6" i="17"/>
  <c r="HV6" i="17"/>
  <c r="IV6" i="17"/>
  <c r="JV6" i="17"/>
  <c r="KV6" i="17"/>
  <c r="LV6" i="17"/>
  <c r="MV6" i="17"/>
  <c r="NV6" i="17"/>
  <c r="AR4" i="17"/>
  <c r="BS4" i="17"/>
  <c r="AR4" i="16"/>
  <c r="DV4" i="16"/>
  <c r="EV4" i="16"/>
  <c r="FV4" i="16"/>
  <c r="GV4" i="16"/>
  <c r="HV4" i="16"/>
  <c r="IV4" i="16"/>
  <c r="JV4" i="16"/>
  <c r="KV4" i="16"/>
  <c r="LV4" i="16"/>
  <c r="NV4" i="16"/>
  <c r="AR4" i="15"/>
  <c r="IV4" i="15"/>
  <c r="BS4" i="15"/>
  <c r="BS4" i="14"/>
  <c r="HV4" i="14"/>
  <c r="IV4" i="14"/>
  <c r="JV4" i="14"/>
  <c r="KV4" i="14"/>
  <c r="EV4" i="14"/>
  <c r="LV4" i="14"/>
  <c r="AR4" i="14"/>
  <c r="FV4" i="14"/>
  <c r="MV4" i="14"/>
  <c r="MN4" i="13"/>
  <c r="MQ4" i="13" s="1"/>
  <c r="GP6" i="13"/>
  <c r="GS6" i="13" s="1"/>
  <c r="LR4" i="13"/>
  <c r="LU4" i="13" s="1"/>
  <c r="EE4" i="13"/>
  <c r="JD6" i="13"/>
  <c r="JG6" i="13" s="1"/>
  <c r="MN6" i="13"/>
  <c r="MQ6" i="13" s="1"/>
  <c r="JZ5" i="13"/>
  <c r="KC5" i="13" s="1"/>
  <c r="AT5" i="13"/>
  <c r="AW5" i="13" s="1"/>
  <c r="GS4" i="13"/>
  <c r="KC4" i="13"/>
  <c r="EX4" i="13"/>
  <c r="FA4" i="13" s="1"/>
  <c r="AT4" i="13"/>
  <c r="AW4" i="13" s="1"/>
  <c r="BX4" i="13"/>
  <c r="CA4" i="13" s="1"/>
  <c r="IH6" i="13"/>
  <c r="IK6" i="13" s="1"/>
  <c r="LR6" i="13"/>
  <c r="LU6" i="13" s="1"/>
  <c r="GP5" i="13"/>
  <c r="GS5" i="13" s="1"/>
  <c r="AT6" i="13"/>
  <c r="AW6" i="13" s="1"/>
  <c r="LR5" i="13"/>
  <c r="LU5" i="13" s="1"/>
  <c r="FT6" i="13"/>
  <c r="FW6" i="13" s="1"/>
  <c r="KV5" i="13"/>
  <c r="KY5" i="13" s="1"/>
  <c r="EE6" i="13"/>
  <c r="FA6" i="13"/>
  <c r="FT5" i="13"/>
  <c r="FW5" i="13" s="1"/>
  <c r="EB5" i="13"/>
  <c r="EE5" i="13" s="1"/>
  <c r="MN5" i="13"/>
  <c r="MQ5" i="13" s="1"/>
  <c r="BX6" i="13"/>
  <c r="CA6" i="13" s="1"/>
  <c r="JD5" i="13"/>
  <c r="JG5" i="13" s="1"/>
  <c r="KV6" i="13"/>
  <c r="KY6" i="13" s="1"/>
  <c r="CA5" i="13"/>
  <c r="IH5" i="13"/>
  <c r="IK5" i="13" s="1"/>
  <c r="JZ6" i="13"/>
  <c r="KC6" i="13" s="1"/>
  <c r="GP4" i="4"/>
  <c r="GS4" i="4" s="1"/>
  <c r="JZ4" i="4"/>
  <c r="KC4" i="4" s="1"/>
  <c r="BX4" i="4"/>
  <c r="CA4" i="4" s="1"/>
  <c r="HL4" i="4"/>
  <c r="HO4" i="4" s="1"/>
  <c r="KV4" i="4"/>
  <c r="KY4" i="4" s="1"/>
  <c r="FA4" i="4"/>
  <c r="AT4" i="4"/>
  <c r="AW4" i="4" s="1"/>
  <c r="IK4" i="4"/>
  <c r="LU4" i="4"/>
  <c r="FT4" i="4"/>
  <c r="FW4" i="4" s="1"/>
  <c r="BS4" i="16"/>
  <c r="I6" i="17"/>
  <c r="J6" i="17" s="1"/>
  <c r="EV4" i="15"/>
  <c r="MV4" i="15"/>
  <c r="JV4" i="15"/>
  <c r="M4" i="15"/>
  <c r="N4" i="15" s="1"/>
  <c r="LV4" i="15"/>
  <c r="GV4" i="15"/>
  <c r="OV6" i="17"/>
  <c r="M6" i="17"/>
  <c r="N6" i="17" s="1"/>
  <c r="CT6" i="17"/>
  <c r="PS6" i="17"/>
  <c r="K6" i="17"/>
  <c r="PT6" i="17"/>
  <c r="PU6" i="17"/>
  <c r="PR6" i="17"/>
  <c r="F6" i="17"/>
  <c r="G6" i="17"/>
  <c r="PV6" i="17"/>
  <c r="CT4" i="15"/>
  <c r="OV4" i="15"/>
  <c r="NV4" i="15"/>
  <c r="KV4" i="15"/>
  <c r="HV4" i="15"/>
  <c r="FV4" i="15"/>
  <c r="DV4" i="15"/>
  <c r="PV4" i="15"/>
  <c r="PU4" i="15"/>
  <c r="PR4" i="15"/>
  <c r="PT4" i="15"/>
  <c r="PS4" i="15"/>
  <c r="F4" i="15"/>
  <c r="I4" i="15"/>
  <c r="J4" i="15" s="1"/>
  <c r="G4" i="15"/>
  <c r="K4" i="15"/>
  <c r="L4" i="15" s="1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2" i="14"/>
  <c r="OV8" i="14"/>
  <c r="OV14" i="17"/>
  <c r="OV10" i="17"/>
  <c r="OV12" i="16"/>
  <c r="OV8" i="16"/>
  <c r="CO4" i="14"/>
  <c r="CP4" i="14"/>
  <c r="CQ4" i="14"/>
  <c r="CR4" i="14"/>
  <c r="CS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PW6" i="17" l="1"/>
  <c r="CV4" i="15"/>
  <c r="CU6" i="17"/>
  <c r="L6" i="17"/>
  <c r="CV6" i="17"/>
  <c r="H6" i="17"/>
  <c r="PW4" i="15"/>
  <c r="H4" i="15"/>
  <c r="CU4" i="15"/>
  <c r="CT5" i="17"/>
  <c r="PR5" i="17"/>
  <c r="OV5" i="17"/>
  <c r="PU5" i="17"/>
  <c r="M5" i="17"/>
  <c r="N5" i="17" s="1"/>
  <c r="PV5" i="17"/>
  <c r="PT5" i="17"/>
  <c r="PS5" i="17"/>
  <c r="K5" i="17"/>
  <c r="F5" i="17"/>
  <c r="I5" i="17"/>
  <c r="G5" i="17"/>
  <c r="OV4" i="16"/>
  <c r="CT4" i="16"/>
  <c r="CT4" i="14"/>
  <c r="OV4" i="14"/>
  <c r="PS4" i="16"/>
  <c r="M4" i="16"/>
  <c r="CV4" i="16" s="1"/>
  <c r="PT4" i="16"/>
  <c r="G4" i="16"/>
  <c r="PU4" i="16"/>
  <c r="PR4" i="16"/>
  <c r="F4" i="16"/>
  <c r="K4" i="16"/>
  <c r="I4" i="16"/>
  <c r="PV4" i="16"/>
  <c r="DB4" i="13"/>
  <c r="DE4" i="13" s="1"/>
  <c r="DB6" i="13"/>
  <c r="DE6" i="13" s="1"/>
  <c r="OK4" i="13"/>
  <c r="NJ6" i="13"/>
  <c r="NM6" i="13" s="1"/>
  <c r="O4" i="13"/>
  <c r="DI4" i="13" s="1"/>
  <c r="NJ4" i="13"/>
  <c r="NM4" i="13" s="1"/>
  <c r="OM4" i="13"/>
  <c r="OI4" i="13"/>
  <c r="OM6" i="13"/>
  <c r="OK6" i="13"/>
  <c r="OI6" i="13"/>
  <c r="O6" i="13"/>
  <c r="P6" i="13" s="1"/>
  <c r="O4" i="4"/>
  <c r="P4" i="4" s="1"/>
  <c r="OP4" i="4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O4" i="15" l="1"/>
  <c r="E4" i="15" s="1"/>
  <c r="O6" i="17"/>
  <c r="E6" i="17" s="1"/>
  <c r="L5" i="17"/>
  <c r="L4" i="16"/>
  <c r="L4" i="14"/>
  <c r="CV5" i="17"/>
  <c r="PW5" i="17"/>
  <c r="CU5" i="17"/>
  <c r="H5" i="17"/>
  <c r="J5" i="17"/>
  <c r="PW4" i="16"/>
  <c r="PW4" i="14"/>
  <c r="I4" i="4"/>
  <c r="J4" i="4" s="1"/>
  <c r="H4" i="16"/>
  <c r="N4" i="16"/>
  <c r="J4" i="16"/>
  <c r="CU4" i="16"/>
  <c r="O4" i="16" s="1"/>
  <c r="ON6" i="13"/>
  <c r="I4" i="13"/>
  <c r="DH4" i="13" s="1"/>
  <c r="F4" i="13"/>
  <c r="I6" i="13"/>
  <c r="M6" i="13" s="1"/>
  <c r="G6" i="13"/>
  <c r="H6" i="13" s="1"/>
  <c r="A6" i="13" s="1" a="1"/>
  <c r="A6" i="13" s="1"/>
  <c r="G4" i="13"/>
  <c r="H4" i="13" s="1"/>
  <c r="P4" i="13"/>
  <c r="ON4" i="13"/>
  <c r="F6" i="13"/>
  <c r="DI6" i="13"/>
  <c r="ON4" i="4"/>
  <c r="OQ4" i="4" s="1"/>
  <c r="DI4" i="4"/>
  <c r="F4" i="4"/>
  <c r="DE4" i="4"/>
  <c r="G4" i="4"/>
  <c r="H4" i="4" s="1"/>
  <c r="CV4" i="14"/>
  <c r="H4" i="14"/>
  <c r="J4" i="14"/>
  <c r="CU4" i="14"/>
  <c r="P4" i="15" l="1"/>
  <c r="Q4" i="15"/>
  <c r="Q6" i="17"/>
  <c r="P6" i="17"/>
  <c r="O5" i="17"/>
  <c r="P5" i="17" s="1"/>
  <c r="K4" i="4"/>
  <c r="DF4" i="4" s="1"/>
  <c r="DH4" i="4"/>
  <c r="M4" i="4"/>
  <c r="N4" i="4" s="1"/>
  <c r="K6" i="13"/>
  <c r="DF6" i="13" s="1"/>
  <c r="E4" i="16"/>
  <c r="P4" i="16"/>
  <c r="Q4" i="16"/>
  <c r="K4" i="13"/>
  <c r="DF4" i="13" s="1"/>
  <c r="M4" i="13"/>
  <c r="DG4" i="13" s="1"/>
  <c r="J4" i="13"/>
  <c r="DH6" i="13"/>
  <c r="J6" i="13"/>
  <c r="N6" i="13" s="1"/>
  <c r="DG6" i="13"/>
  <c r="O4" i="14"/>
  <c r="E4" i="14" s="1"/>
  <c r="Q5" i="17" l="1"/>
  <c r="E5" i="17"/>
  <c r="L4" i="4"/>
  <c r="DG4" i="4"/>
  <c r="Q4" i="4" s="1"/>
  <c r="L4" i="13"/>
  <c r="L6" i="13"/>
  <c r="Q4" i="14"/>
  <c r="P4" i="14"/>
  <c r="N4" i="13"/>
  <c r="Q4" i="13"/>
  <c r="S4" i="13" s="1"/>
  <c r="Q6" i="13"/>
  <c r="E4" i="4" l="1"/>
  <c r="E6" i="13"/>
  <c r="R4" i="13"/>
  <c r="E4" i="13"/>
  <c r="S6" i="13"/>
  <c r="R6" i="13"/>
  <c r="S4" i="4"/>
  <c r="R4" i="4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6" i="13" l="1"/>
  <c r="OP5" i="13"/>
  <c r="OM5" i="13"/>
  <c r="NJ5" i="13"/>
  <c r="NM5" i="13" s="1"/>
  <c r="O5" i="13"/>
  <c r="DI5" i="13" s="1"/>
  <c r="DB5" i="13"/>
  <c r="DE5" i="13" s="1"/>
  <c r="OK5" i="13"/>
  <c r="OI5" i="13"/>
  <c r="CT14" i="17"/>
  <c r="CT10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2" i="16"/>
  <c r="CT8" i="16"/>
  <c r="CT12" i="14"/>
  <c r="CT8" i="14"/>
  <c r="CT4" i="17" l="1"/>
  <c r="OV4" i="17"/>
  <c r="A4" i="4" a="1"/>
  <c r="A4" i="4" s="1"/>
  <c r="P5" i="13"/>
  <c r="I5" i="13"/>
  <c r="ON5" i="13"/>
  <c r="F5" i="13"/>
  <c r="G5" i="13"/>
  <c r="H5" i="13" s="1"/>
  <c r="M4" i="17"/>
  <c r="CV4" i="17" s="1"/>
  <c r="G4" i="17"/>
  <c r="PT4" i="17"/>
  <c r="PR4" i="17"/>
  <c r="PV4" i="17"/>
  <c r="PU4" i="17"/>
  <c r="PS4" i="17"/>
  <c r="I4" i="17"/>
  <c r="K4" i="17"/>
  <c r="F4" i="17"/>
  <c r="CU4" i="17" l="1"/>
  <c r="L4" i="17"/>
  <c r="OQ5" i="13"/>
  <c r="OQ6" i="13"/>
  <c r="PW4" i="17"/>
  <c r="K5" i="13"/>
  <c r="DF5" i="13" s="1"/>
  <c r="DH5" i="13"/>
  <c r="J5" i="13"/>
  <c r="M5" i="13"/>
  <c r="DG5" i="13" s="1"/>
  <c r="N4" i="17"/>
  <c r="H4" i="17"/>
  <c r="J4" i="17"/>
  <c r="L5" i="13" l="1"/>
  <c r="N5" i="13"/>
  <c r="Q5" i="13"/>
  <c r="O4" i="17"/>
  <c r="E4" i="17" s="1"/>
  <c r="A4" i="15" l="1" a="1"/>
  <c r="A4" i="15" s="1"/>
  <c r="A6" i="17" a="1"/>
  <c r="A6" i="17" s="1"/>
  <c r="A5" i="17" a="1"/>
  <c r="A5" i="17" s="1"/>
  <c r="A4" i="17" a="1"/>
  <c r="A4" i="17" s="1"/>
  <c r="A4" i="16" a="1"/>
  <c r="A4" i="16" s="1"/>
  <c r="A4" i="14" a="1"/>
  <c r="A4" i="14" s="1"/>
  <c r="E5" i="13"/>
  <c r="A4" i="13" s="1" a="1"/>
  <c r="A4" i="13" s="1"/>
  <c r="R5" i="13"/>
  <c r="S5" i="13"/>
  <c r="Q4" i="17"/>
  <c r="P4" i="17"/>
  <c r="A5" i="13" l="1" a="1"/>
  <c r="A5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<sst xmlns="http://schemas.openxmlformats.org/spreadsheetml/2006/main" count="3140" uniqueCount="94">
  <si>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</si>
  <si>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</si>
  <si>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</si>
  <si>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</si>
  <si>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</si>
  <si>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</si>
  <si>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</si>
  <si>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</si>
  <si>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</si>
  <si>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</si>
  <si>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</si>
  <si>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</si>
  <si>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</si>
  <si>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</si>
  <si>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</si>
  <si>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</si>
  <si>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</si>
  <si>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</si>
  <si>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</si>
  <si>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</si>
  <si>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</si>
  <si>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</si>
  <si>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</si>
  <si>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</si>
  <si>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</si>
  <si>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</si>
  <si>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</si>
  <si>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</si>
  <si>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</si>
  <si>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</si>
  <si>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</si>
  <si>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</si>
  <si>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</si>
  <si>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</si>
  <si>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</si>
  <si>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</si>
  <si>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</si>
  <si>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</si>
  <si>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</si>
  <si>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</si>
  <si>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</si>
  <si>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</si>
  <si>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</si>
  <si>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</si>
  <si>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</si>
  <si>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</si>
  <si>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</si>
  <si>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</si>
  <si>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</si>
  <si>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</si>
  <si>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</si>
  <si>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</si>
  <si>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</si>
  <si>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</si>
  <si>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</si>
  <si>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</si>
  <si>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</si>
  <si>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</si>
  <si>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</si>
  <si>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</si>
  <si>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</si>
  <si>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</si>
  <si>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</si>
  <si>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</si>
  <si>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</si>
  <si>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</si>
  <si>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</si>
  <si>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</si>
  <si>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</si>
  <si>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</si>
  <si>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</si>
  <si>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</si>
  <si>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</si>
  <si>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</si>
  <si>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</si>
  <si>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</si>
  <si>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</si>
  <si>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</si>
  <si>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</si>
  <si>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GOOD, Hayden</t>
  </si>
  <si>
    <t>LEPORÉ, Amylia</t>
  </si>
  <si>
    <t>SK</t>
  </si>
  <si>
    <t>REIMCHE, Wilson</t>
  </si>
  <si>
    <t>2024 Elite Canada</t>
  </si>
  <si>
    <t>2024 Pacific Rim (April 23)</t>
  </si>
  <si>
    <t>2024 Pan Am Championships (May 19)</t>
  </si>
  <si>
    <t>2024 Pan Am Club Championships (May 19)</t>
  </si>
  <si>
    <t>2024 Nationals</t>
  </si>
  <si>
    <t>HUGHES, Arya</t>
  </si>
  <si>
    <t>JEAN-LOUIS, Jayda</t>
  </si>
  <si>
    <t>2024 Coimbra Gym Fest (July 7)</t>
  </si>
  <si>
    <t>2024 3rd Domestic Trial</t>
  </si>
  <si>
    <t>2025 Age Adjustment</t>
  </si>
  <si>
    <t>Empty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</si>
</sst>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6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LEPORÉ, Amylia</v>
      </c>
      <c r="D6" s="17" t="str">
        <f>IF(B2&gt;MAX('TRA-W'!A:A),"",INDEX('TRA-W'!H:H,MATCH(B2,'TRA-W'!A:A,0)))</f>
        <v>Merit</v>
      </c>
    </row>
    <row r="7" spans="1:6" x14ac:dyDescent="0.2">
      <c r="A7" s="8"/>
      <c r="B7" s="8">
        <v>2</v>
      </c>
      <c r="C7" s="8" t="str">
        <f>IF(B3&gt;MAX('TRA-W'!A:A),"",INDEX('TRA-W'!B:B,MATCH(B3,'TRA-W'!A:A,0)))</f>
        <v>LEE-MCMEEKEN, Brooklyn</v>
      </c>
      <c r="D7" s="17" t="str">
        <f>IF(B3&gt;MAX('TRA-W'!A:A),"",INDEX('TRA-W'!H:H,MATCH(B3,'TRA-W'!A:A,0)))</f>
        <v>National Team</v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hidden="1" x14ac:dyDescent="0.2">
      <c r="A10" s="6" t="s">
        <v>35</v>
      </c>
      <c r="B10" s="6">
        <v>1</v>
      </c>
      <c r="C10" s="6" t="str">
        <f>IF(B2&gt;MAX('TUM-M'!A:A),"",INDEX('TUM-M'!B:B,MATCH(B2,'TUM-M'!A:A,0)))</f>
        <v/>
      </c>
      <c r="D10" s="16" t="str">
        <f>IF(B2&gt;MAX('TUM-M'!A:A),"",INDEX('TUM-M'!H:H,MATCH(B2,'TUM-M'!A:A,0)))</f>
        <v/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HUGHES, Arya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REIMCHE, Wilson</v>
      </c>
      <c r="D18" s="16" t="str">
        <f>IF(B2&gt;MAX('DMT-M'!A:A),"",INDEX('DMT-M'!H:H,MATCH(B2,'DMT-M'!A:A,0)))</f>
        <v>Excellence</v>
      </c>
    </row>
    <row r="19" spans="1:5" hidden="1" x14ac:dyDescent="0.2">
      <c r="A19" s="6"/>
      <c r="B19" s="6">
        <v>2</v>
      </c>
      <c r="C19" s="6" t="str">
        <f>IF(B3&gt;MAX('DMT-M'!A:A),"",INDEX('DMT-M'!B:B,MATCH(B3,'DMT-M'!A:A,0)))</f>
        <v/>
      </c>
      <c r="D19" s="16" t="str">
        <f>IF(B3&gt;MAX('DMT-M'!A:A),"",INDEX('DMT-M'!H:H,MATCH(B3,'DMT-M'!A:A,0)))</f>
        <v/>
      </c>
    </row>
    <row r="20" spans="1:5" hidden="1" x14ac:dyDescent="0.2">
      <c r="A20" s="6"/>
      <c r="B20" s="6">
        <v>3</v>
      </c>
      <c r="C20" s="6" t="str">
        <f>IF(B4&gt;MAX('DMT-M'!A:A),"",INDEX('DMT-M'!B:B,MATCH(B4,'DMT-M'!A:A,0)))</f>
        <v/>
      </c>
      <c r="D20" s="16" t="str">
        <f>IF(B4&gt;MAX('DMT-M'!A:A),"",INDEX('DMT-M'!H:H,MATCH(B4,'DMT-M'!A:A,0)))</f>
        <v/>
      </c>
    </row>
    <row r="21" spans="1:5" hidden="1" x14ac:dyDescent="0.2">
      <c r="A21" s="6"/>
      <c r="B21" s="6">
        <v>4</v>
      </c>
      <c r="C21" s="6" t="str">
        <f>IF(B5&gt;MAX('DMT-M'!A:A),"",INDEX('DMT-M'!B:B,MATCH(B5,'DMT-M'!A:A,0)))</f>
        <v/>
      </c>
      <c r="D21" s="16" t="str">
        <f>IF(B5&gt;MAX('DMT-M'!A:A),"",INDEX('DMT-M'!H:H,MATCH(B5,'DMT-M'!A:A,0)))</f>
        <v/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GOOD, Hayden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JEAN-LOUIS, Jayda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45666</v>
      </c>
      <c r="C34" s="68"/>
    </row>
    <row r="35" spans="1:3" x14ac:dyDescent="0.2">
      <c r="B35" t="s">
        <v>91</v>
      </c>
    </row>
    <row r="36" spans="1:3" x14ac:dyDescent="0.2">
      <c r="B36" t="s">
        <v>92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83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87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91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/>
      </c>
      <c r="B4" s="5" t="s">
        <v>93</v>
      </c>
      <c r="C4" s="4"/>
      <c r="D4" s="4"/>
      <c r="E4" s="10">
        <f>SUM(I4:Q4)</f>
        <v>0</v>
      </c>
      <c r="F4" s="3" t="str">
        <f>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P","")</f>
        <v/>
      </c>
      <c r="G4" s="3" t="str">
        <f>IF(OR(AND(AT4&gt;=AW$11,AO4&lt;&gt;"",AN4=""),AND(BX4&gt;=CA$11,BS4&lt;&gt;"",BR4=""),AND(DB4&gt;=DE$11,CW4&lt;&gt;"",CV4=""),AND(EB4&gt;=EE$11,DY4&lt;&gt;""),AND(EX4&gt;=FA$11,EU4&lt;&gt;""),AND(FT4&gt;=FW$11,FQ4&lt;&gt;""),AND(GP4&gt;=GS$11,GM4&lt;&gt;""),AND(HL4&gt;=HO$11,HI4&lt;&gt;""),AND(IH4&gt;=IK$11,IE4&lt;&gt;""),AND(JD4&gt;=JG$11,JA4&lt;&gt;""),AND(JZ4&gt;=KC$11,JW4&lt;&gt;""),AND(KV4&gt;=KY$11,KS4&lt;&gt;""),AND(LR4&gt;=LU$11,LO4&lt;&gt;""),AND(MN4&gt;=MQ$11,MK4&lt;&gt;""),AND(NJ4&gt;=NM$11,NG4&lt;&gt;"")),"P","")</f>
        <v/>
      </c>
      <c r="H4" s="47" t="str">
        <f>IF(OR(AND(AP4&gt;=AW$10,AQ4&gt;=AW$14,AP4&lt;&gt;"",AN4=""),AND(AU4&gt;=AW$10,AV4&gt;=AW$14,AU4&lt;&gt;"",AN4=""),AND(BT4&gt;=CA$10,BU4&gt;=CA$14,BT4&lt;&gt;"",BR4=""),AND(BY4&gt;=CA$10,BZ4&gt;=CA$14,BY4&lt;&gt;"",BR4=""),AND(CX4&gt;=DE$10,CY4&gt;=DE$14,CX4&lt;&gt;"",CV4=""),AND(DC4&gt;=DE$10,DD4&gt;=DE$14,DC4&lt;&gt;"",CV4=""),AND(DY4&gt;=EE$10,EA4&gt;=EE$14,DY4&lt;&gt;""),AND(EC4&gt;=EE$10,ED4&gt;=EE$14,EC4&lt;&gt;""),AND(EU4&gt;=FA$10,EW4&gt;=FA$14,EU4&lt;&gt;""),AND(EY4&gt;=FA$10,EZ4&gt;=FA$14,EY4&lt;&gt;""),AND(FQ4&gt;=FW$10,FS4&gt;=FW$14,FQ4&lt;&gt;""),AND(FU4&gt;=FW$10,FV4&gt;=FW$14,FU4&lt;&gt;""),AND(GM4&gt;=GS$10,GO4&gt;=GS$14,GM4&lt;&gt;""),AND(GQ4&gt;=GS$10,GR4&gt;=GS$14,GQ4&lt;&gt;""),AND(HI4&gt;=HO$10,HK4&gt;=HO$14,HI4&lt;&gt;""),AND(HM4&gt;=HO$10,HN4&gt;=HO$14,HM4&lt;&gt;""),AND(IE4&gt;=IK$10,IG4&gt;=IK$14,IE4&lt;&gt;""),AND(II4&gt;=IK$10,IJ4&gt;=IK$14,II4&lt;&gt;""),AND(JA4&gt;=JG$10,JC4&gt;=JG$14,JA4&lt;&gt;""),AND(JE4&gt;=JG$10,JF4&gt;=JG$14,JE4&lt;&gt;""),AND(JW4&gt;=KC$10,JY4&gt;=KC$14,JW4&lt;&gt;""),AND(KA4&gt;=KC$10,KB4&gt;=KC$14,KA4&lt;&gt;""),AND(KS4&gt;=KY$10,KU4&gt;=KY$14,KS4&lt;&gt;""),AND(KW4&gt;=KY$10,KX4&gt;=KY$14,KW4&lt;&gt;""),AND(LO4&gt;=LU$10,LQ4&gt;=LU$14,LO4&lt;&gt;""),AND(LS4&gt;=LU$10,LT4&gt;=LU$14,LS4&lt;&gt;""),AND(MK4&gt;=MQ$10,MM4&gt;=MQ$14,MK4&lt;&gt;""),AND(MO4&gt;=MQ$10,MP4&gt;=MQ$14,MO4&lt;&gt;""),AND(NG4&gt;=NM$10,NI4&gt;=NM$14,NG4&lt;&gt;""),AND(NK4&gt;=NM$10,NL4&gt;=NM$14,NK4&lt;&gt;"")),"Merit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Excellence",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National Team",IF(G4="P","No DD",""))))</f>
        <v/>
      </c>
      <c r="I4" s="9">
        <f>IF(MAX(AT4,BX4,DB4)&gt;0,MAX(AT4,BX4,DB4),0)</f>
        <v>0</v>
      </c>
      <c r="J4" s="9" t="str">
        <f>IF(I4=0,"",IF(I4=DB4,$CB$1,IF(I4=BX4,$AX$1,IF(I4=AT4,$T$1,""))))</f>
        <v/>
      </c>
      <c r="K4" s="9">
        <f>IF($I4=$AT4,MAX(BS4,CW4),IF($I4=$BX4,MAX(AO4,CW4),IF($I4=$DB4,MAX(AO4,BS4),MAX(AO4,BS4,CW4))))</f>
        <v>0</v>
      </c>
      <c r="L4" s="9" t="str">
        <f>IF(K4=0,"",IF(AND(K4=CW4,$J4&lt;&gt;$CB$1),$CB$1,IF(AND(K4=BS4,$J4&lt;&gt;$AX$1),$AX$1,IF(AND(K4=AO4,$J4&lt;&gt;$T$1),$T$1,""))))</f>
        <v/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0</v>
      </c>
      <c r="N4" s="9" t="str">
        <f>IF(M4=0,"",IF(AND(OR(M4=DA4,M4=CY4),$J4&lt;&gt;$CB$1),$CB$1,IF(AND(OR(M4=BW4,M4=BU4),$J4&lt;&gt;$AX$1),$AX$1,IF(AND(OR(M4=AS4,M4=AQ4),$J4&lt;&gt;$T$1),$T$1,""))))</f>
        <v/>
      </c>
      <c r="O4" s="9">
        <f>MAX(AV4,BZ4,DD4)</f>
        <v>0</v>
      </c>
      <c r="P4" s="9" t="str">
        <f>IF(O4=0,"",IF(O4=DD4,$CB$1,IF(O4=BZ4,$AX$1,IF(O4=AV4,$T$1,""))))</f>
        <v/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32"/>
      <c r="AO4" s="7" t="str">
        <f>IF(SUM(T4:W4)-X4&gt;0,SUM(T4:W4)-X4,"")</f>
        <v/>
      </c>
      <c r="AP4" s="7" t="str">
        <f>IF(AA4&gt;0,AA4,"")</f>
        <v/>
      </c>
      <c r="AQ4" s="7" t="str">
        <f>IF(SUM(Y4:AB4)-AC4&gt;0,SUM(Y4:AB4)-AC4,"")</f>
        <v/>
      </c>
      <c r="AR4" s="7" t="str">
        <f>IF(AF4&gt;0,AF4,"")</f>
        <v/>
      </c>
      <c r="AS4" s="7" t="str">
        <f>IF(SUM(AD4:AG4)-AH4&gt;0,SUM(AD4:AG4)-AH4,"")</f>
        <v/>
      </c>
      <c r="AT4" s="7" t="str">
        <f>IF(AO4="",IF(MAX(AQ4,AS4)&gt;0,MAX(AQ4,AS4),""),MAX(AQ4,AS4)+AO4)</f>
        <v/>
      </c>
      <c r="AU4" s="7" t="str">
        <f>IF(AK4&gt;0,AK4,"")</f>
        <v/>
      </c>
      <c r="AV4" s="7" t="str">
        <f>IF(SUM(AI4:AL4)-AM4&gt;0,SUM(AI4:AL4)-AM4,"")</f>
        <v/>
      </c>
      <c r="AW4" s="7" t="str">
        <f>IF(SUM(AT4,AV4)&gt;0,SUM(AT4,AV4),"")</f>
        <v/>
      </c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33"/>
      <c r="BS4" s="9" t="str">
        <f>IF(SUM(AX4:BA4)-BB4&gt;0,SUM(AX4:BA4)-BB4,"")</f>
        <v/>
      </c>
      <c r="BT4" s="9" t="str">
        <f>IF(BE4&gt;0,BE4,"")</f>
        <v/>
      </c>
      <c r="BU4" s="9" t="str">
        <f>IF(SUM(BC4:BF4)-BG4&gt;0,SUM(BC4:BF4)-BG4,"")</f>
        <v/>
      </c>
      <c r="BV4" s="9" t="str">
        <f>IF(BJ4&gt;0,BJ4,"")</f>
        <v/>
      </c>
      <c r="BW4" s="9" t="str">
        <f>IF(SUM(BH4:BK4)-BL4&gt;0,SUM(BH4:BK4)-BL4,"")</f>
        <v/>
      </c>
      <c r="BX4" s="9" t="str">
        <f>IF(BS4="",IF(MAX(BU4,BW4)&gt;0,MAX(BU4,BW4),""),MAX(BU4,BW4)+BS4)</f>
        <v/>
      </c>
      <c r="BY4" s="9" t="str">
        <f>IF(BO4&gt;0,BO4,"")</f>
        <v/>
      </c>
      <c r="BZ4" s="9" t="str">
        <f>IF(SUM(BM4:BP4)-BQ4&gt;0,SUM(BM4:BP4)-BQ4,"")</f>
        <v/>
      </c>
      <c r="CA4" s="9" t="str">
        <f>IF(SUM(BX4,BZ4)&gt;0,SUM(BX4,BZ4),"")</f>
        <v/>
      </c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32"/>
      <c r="CW4" s="7" t="str">
        <f>IF(SUM(CB4:CE4)-CF4&gt;0,SUM(CB4:CE4)-CF4,"")</f>
        <v/>
      </c>
      <c r="CX4" s="7" t="str">
        <f>IF(CI4&gt;0,CI4,"")</f>
        <v/>
      </c>
      <c r="CY4" s="7" t="str">
        <f>IF(SUM(CG4:CJ4)-CK4&gt;0,SUM(CG4:CJ4)-CK4,"")</f>
        <v/>
      </c>
      <c r="CZ4" s="7" t="str">
        <f>IF(CN4&gt;0,CN4,"")</f>
        <v/>
      </c>
      <c r="DA4" s="7" t="str">
        <f>IF(SUM(CL4:CO4)-CP4&gt;0,SUM(CL4:CO4)-CP4,"")</f>
        <v/>
      </c>
      <c r="DB4" s="7" t="str">
        <f>IF(CW4="",IF(MAX(CY4,DA4)&gt;0,MAX(CY4,DA4),""),MAX(CY4,DA4)+CW4)</f>
        <v/>
      </c>
      <c r="DC4" s="7" t="str">
        <f>IF(CS4&gt;0,CS4,"")</f>
        <v/>
      </c>
      <c r="DD4" s="7" t="str">
        <f>IF(SUM(CQ4:CT4)-CU4&gt;0,SUM(CQ4:CT4)-CU4,"")</f>
        <v/>
      </c>
      <c r="DE4" s="7" t="str">
        <f>IF(SUM(DB4,DD4)&gt;0,SUM(DB4,DD4),"")</f>
        <v/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4" si="0">IF($CV4="P",CB4,(CB4+AX4)/2)</f>
        <v>0</v>
      </c>
      <c r="NO4" s="27">
        <f t="shared" si="0"/>
        <v>0</v>
      </c>
      <c r="NP4" s="27">
        <f t="shared" si="0"/>
        <v>0</v>
      </c>
      <c r="NQ4" s="27">
        <f t="shared" si="0"/>
        <v>0</v>
      </c>
      <c r="NR4" s="27">
        <f t="shared" si="0"/>
        <v>0</v>
      </c>
      <c r="NS4" s="27">
        <f t="shared" si="0"/>
        <v>0</v>
      </c>
      <c r="NT4" s="27">
        <f t="shared" si="0"/>
        <v>0</v>
      </c>
      <c r="NU4" s="27">
        <f t="shared" si="0"/>
        <v>0</v>
      </c>
      <c r="NV4" s="27">
        <f t="shared" si="0"/>
        <v>0</v>
      </c>
      <c r="NW4" s="27">
        <f t="shared" si="0"/>
        <v>0</v>
      </c>
      <c r="NX4" s="27">
        <f t="shared" ref="NX4:OG4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0</v>
      </c>
      <c r="OD4" s="27">
        <f t="shared" si="1"/>
        <v>0</v>
      </c>
      <c r="OE4" s="27">
        <f t="shared" si="1"/>
        <v>0</v>
      </c>
      <c r="OF4" s="27">
        <f t="shared" si="1"/>
        <v>0</v>
      </c>
      <c r="OG4" s="27">
        <f t="shared" si="1"/>
        <v>0</v>
      </c>
      <c r="OH4" s="32" t="s">
        <v>44</v>
      </c>
      <c r="OI4" s="7" t="str">
        <f>IF(SUM(NN4:NQ4)-NR4&gt;0,SUM(NN4:NQ4)-NR4,"")</f>
        <v/>
      </c>
      <c r="OJ4" s="7" t="str">
        <f>IF(NU4&gt;0,NU4,"")</f>
        <v/>
      </c>
      <c r="OK4" s="7" t="str">
        <f>IF(SUM(NS4:NV4)-NW4&gt;0,SUM(NS4:NV4)-NW4,"")</f>
        <v/>
      </c>
      <c r="OL4" s="7" t="str">
        <f>IF(NZ4&gt;0,NZ4,"")</f>
        <v/>
      </c>
      <c r="OM4" s="7" t="str">
        <f>IF(SUM(NX4:OA4)-OB4&gt;0,SUM(NX4:OA4)-OB4,"")</f>
        <v/>
      </c>
      <c r="ON4" s="7" t="str">
        <f>IF(OR(OI4&lt;&gt;"",OK4&lt;&gt;"",OM4&lt;&gt;""),OI4+MAX(OK4,OM4),"")</f>
        <v/>
      </c>
      <c r="OO4" s="7" t="str">
        <f>IF(OE4&gt;0,OE4,"")</f>
        <v/>
      </c>
      <c r="OP4" s="7" t="str">
        <f t="shared" ref="OP4" si="2">IF(SUM(OC4:OF4)-OG4&gt;0,SUM(OC4:OF4)-OG4,"")</f>
        <v/>
      </c>
      <c r="OQ4" s="7" t="str">
        <f t="shared" ref="OQ4" si="3">IF(SUM(ON4,OP4)&gt;0,SUM(ON4,OP4),"")</f>
        <v/>
      </c>
    </row>
    <row r="5" spans="1:407" x14ac:dyDescent="0.2">
      <c r="B5" s="5"/>
      <c r="D5" s="1"/>
    </row>
    <row r="7" spans="1:407" x14ac:dyDescent="0.2">
      <c r="B7" s="28" t="s">
        <v>42</v>
      </c>
      <c r="C7" s="5"/>
      <c r="AP7" s="46"/>
      <c r="AQ7" s="46"/>
      <c r="AR7" s="46"/>
      <c r="AU7" s="2"/>
      <c r="AW7" s="24">
        <v>13.5</v>
      </c>
      <c r="BT7" s="46"/>
      <c r="BU7" s="46"/>
      <c r="BV7" s="46"/>
      <c r="BY7" s="2"/>
      <c r="CA7" s="24">
        <v>13.5</v>
      </c>
      <c r="CX7" s="46"/>
      <c r="CY7" s="46"/>
      <c r="CZ7" s="46"/>
      <c r="DC7" s="2"/>
      <c r="DE7" s="24">
        <v>13.5</v>
      </c>
      <c r="DY7" s="5"/>
      <c r="EC7" s="2"/>
      <c r="EE7" s="24">
        <v>13.5</v>
      </c>
      <c r="EU7" s="5"/>
      <c r="EY7" s="2"/>
      <c r="FA7" s="24">
        <v>13.5</v>
      </c>
      <c r="FQ7" s="5"/>
      <c r="FU7" s="2"/>
      <c r="FW7" s="24">
        <v>13.5</v>
      </c>
      <c r="GM7" s="5"/>
      <c r="GQ7" s="2"/>
      <c r="GS7" s="24">
        <v>13.5</v>
      </c>
      <c r="HI7" s="5"/>
      <c r="HM7" s="2"/>
      <c r="HO7" s="24">
        <v>13.5</v>
      </c>
      <c r="IE7" s="5"/>
      <c r="II7" s="2"/>
      <c r="IK7" s="24">
        <v>13.5</v>
      </c>
      <c r="JA7" s="5"/>
      <c r="JE7" s="2"/>
      <c r="JG7" s="24">
        <v>13.5</v>
      </c>
      <c r="JW7" s="5"/>
      <c r="KA7" s="2"/>
      <c r="KC7" s="24">
        <v>13.5</v>
      </c>
      <c r="KS7" s="5"/>
      <c r="KW7" s="2"/>
      <c r="KY7" s="24">
        <v>13.5</v>
      </c>
      <c r="LO7" s="5"/>
      <c r="LS7" s="2"/>
      <c r="LU7" s="24">
        <v>13.5</v>
      </c>
      <c r="MK7" s="5"/>
      <c r="MO7" s="2"/>
      <c r="MQ7" s="24">
        <v>13.5</v>
      </c>
      <c r="NG7" s="5"/>
      <c r="NK7" s="2"/>
      <c r="NM7" s="24">
        <v>13.5</v>
      </c>
    </row>
    <row r="8" spans="1:407" hidden="1" x14ac:dyDescent="0.2">
      <c r="B8" s="35" t="s">
        <v>41</v>
      </c>
      <c r="C8" s="5"/>
      <c r="AP8" s="46"/>
      <c r="AQ8" s="46"/>
      <c r="AR8" s="46"/>
      <c r="AU8" s="2"/>
      <c r="AW8" s="39">
        <v>13.5</v>
      </c>
      <c r="BT8" s="46"/>
      <c r="BU8" s="46"/>
      <c r="BV8" s="46"/>
      <c r="BY8" s="2"/>
      <c r="CA8" s="39">
        <v>13.5</v>
      </c>
      <c r="CX8" s="46"/>
      <c r="CY8" s="46"/>
      <c r="CZ8" s="46"/>
      <c r="DC8" s="2"/>
      <c r="DE8" s="39">
        <v>13.5</v>
      </c>
      <c r="DY8" s="5"/>
      <c r="EC8" s="2"/>
      <c r="EE8" s="39">
        <v>13.5</v>
      </c>
      <c r="EU8" s="5"/>
      <c r="EY8" s="2"/>
      <c r="FA8" s="39">
        <v>13.5</v>
      </c>
      <c r="FQ8" s="5"/>
      <c r="FU8" s="2"/>
      <c r="FW8" s="39">
        <v>13.5</v>
      </c>
      <c r="GM8" s="5"/>
      <c r="GQ8" s="2"/>
      <c r="GS8" s="39">
        <v>13.5</v>
      </c>
      <c r="HI8" s="5"/>
      <c r="HM8" s="2"/>
      <c r="HO8" s="39">
        <v>13.5</v>
      </c>
      <c r="IE8" s="5"/>
      <c r="II8" s="2"/>
      <c r="IK8" s="39">
        <v>13.5</v>
      </c>
      <c r="JA8" s="5"/>
      <c r="JE8" s="2"/>
      <c r="JG8" s="39">
        <v>13.5</v>
      </c>
      <c r="JW8" s="5"/>
      <c r="KA8" s="2"/>
      <c r="KC8" s="39">
        <v>13.5</v>
      </c>
      <c r="KS8" s="5"/>
      <c r="KW8" s="2"/>
      <c r="KY8" s="39">
        <v>13.5</v>
      </c>
      <c r="LO8" s="5"/>
      <c r="LS8" s="2"/>
      <c r="LU8" s="39">
        <v>13.5</v>
      </c>
      <c r="MK8" s="5"/>
      <c r="MO8" s="2"/>
      <c r="MQ8" s="39">
        <v>13.5</v>
      </c>
      <c r="NG8" s="5"/>
      <c r="NK8" s="2"/>
      <c r="NM8" s="39">
        <v>13.5</v>
      </c>
    </row>
    <row r="9" spans="1:407" x14ac:dyDescent="0.2">
      <c r="A9" s="5"/>
      <c r="B9" s="36" t="s">
        <v>54</v>
      </c>
      <c r="C9" s="5"/>
      <c r="AP9" s="46"/>
      <c r="AQ9" s="46"/>
      <c r="AR9" s="46"/>
      <c r="AT9" s="2"/>
      <c r="AU9" s="2"/>
      <c r="AV9" s="2"/>
      <c r="AW9" s="38">
        <v>13.5</v>
      </c>
      <c r="BT9" s="46"/>
      <c r="BU9" s="46"/>
      <c r="BV9" s="46"/>
      <c r="BY9" s="2"/>
      <c r="CA9" s="38">
        <v>13.5</v>
      </c>
      <c r="CX9" s="46"/>
      <c r="CY9" s="46"/>
      <c r="CZ9" s="46"/>
      <c r="DB9" s="2"/>
      <c r="DC9" s="2"/>
      <c r="DD9" s="2"/>
      <c r="DE9" s="38">
        <v>13.5</v>
      </c>
      <c r="DY9" s="5"/>
      <c r="EC9" s="2"/>
      <c r="EE9" s="38">
        <v>13.5</v>
      </c>
      <c r="EU9" s="5"/>
      <c r="EY9" s="2"/>
      <c r="FA9" s="38">
        <v>13.5</v>
      </c>
      <c r="FQ9" s="5"/>
      <c r="FU9" s="2"/>
      <c r="FW9" s="38">
        <v>13.5</v>
      </c>
      <c r="GM9" s="5"/>
      <c r="GQ9" s="2"/>
      <c r="GS9" s="38">
        <v>13.5</v>
      </c>
      <c r="HI9" s="5"/>
      <c r="HM9" s="2"/>
      <c r="HO9" s="38">
        <v>13.5</v>
      </c>
      <c r="IE9" s="5"/>
      <c r="II9" s="2"/>
      <c r="IK9" s="38">
        <v>13.5</v>
      </c>
      <c r="JA9" s="5"/>
      <c r="JE9" s="2"/>
      <c r="JG9" s="38">
        <v>13.5</v>
      </c>
      <c r="JW9" s="5"/>
      <c r="KA9" s="2"/>
      <c r="KC9" s="38">
        <v>13.5</v>
      </c>
      <c r="KS9" s="5"/>
      <c r="KW9" s="2"/>
      <c r="KY9" s="38">
        <v>13.5</v>
      </c>
      <c r="LO9" s="5"/>
      <c r="LS9" s="2"/>
      <c r="LU9" s="38">
        <v>13.5</v>
      </c>
      <c r="MK9" s="5"/>
      <c r="MO9" s="2"/>
      <c r="MQ9" s="38">
        <v>13.5</v>
      </c>
      <c r="NG9" s="5"/>
      <c r="NK9" s="2"/>
      <c r="NM9" s="38">
        <v>13.5</v>
      </c>
    </row>
    <row r="10" spans="1:407" x14ac:dyDescent="0.2">
      <c r="A10" s="5"/>
      <c r="B10" s="44" t="s">
        <v>59</v>
      </c>
      <c r="C10" s="5"/>
      <c r="AP10" s="46"/>
      <c r="AQ10" s="46"/>
      <c r="AR10" s="46"/>
      <c r="AT10" s="2"/>
      <c r="AU10" s="2"/>
      <c r="AV10" s="2"/>
      <c r="AW10" s="45">
        <v>13.5</v>
      </c>
      <c r="BT10" s="46"/>
      <c r="BU10" s="46"/>
      <c r="BV10" s="46"/>
      <c r="BY10" s="2"/>
      <c r="CA10" s="45">
        <v>13.5</v>
      </c>
      <c r="CX10" s="46"/>
      <c r="CY10" s="46"/>
      <c r="CZ10" s="46"/>
      <c r="DB10" s="2"/>
      <c r="DC10" s="2"/>
      <c r="DD10" s="2"/>
      <c r="DE10" s="45">
        <v>13.5</v>
      </c>
      <c r="DY10" s="5"/>
      <c r="EC10" s="2"/>
      <c r="EE10" s="45">
        <v>13.5</v>
      </c>
      <c r="EU10" s="5"/>
      <c r="EY10" s="2"/>
      <c r="FA10" s="45">
        <v>13.5</v>
      </c>
      <c r="FQ10" s="5"/>
      <c r="FU10" s="2"/>
      <c r="FW10" s="45">
        <v>13.5</v>
      </c>
      <c r="GM10" s="5"/>
      <c r="GQ10" s="2"/>
      <c r="GS10" s="45">
        <v>13.5</v>
      </c>
      <c r="HI10" s="5"/>
      <c r="HM10" s="2"/>
      <c r="HO10" s="45">
        <v>13.5</v>
      </c>
      <c r="IE10" s="5"/>
      <c r="II10" s="2"/>
      <c r="IK10" s="45">
        <v>13.5</v>
      </c>
      <c r="JA10" s="5"/>
      <c r="JE10" s="2"/>
      <c r="JG10" s="45">
        <v>13.5</v>
      </c>
      <c r="JW10" s="5"/>
      <c r="KA10" s="2"/>
      <c r="KC10" s="45">
        <v>13.5</v>
      </c>
      <c r="KS10" s="5"/>
      <c r="KW10" s="2"/>
      <c r="KY10" s="45">
        <v>13.5</v>
      </c>
      <c r="LO10" s="5"/>
      <c r="LS10" s="2"/>
      <c r="LU10" s="45">
        <v>13.5</v>
      </c>
      <c r="MK10" s="5"/>
      <c r="MO10" s="2"/>
      <c r="MQ10" s="45">
        <v>13.5</v>
      </c>
      <c r="NG10" s="5"/>
      <c r="NK10" s="2"/>
      <c r="NM10" s="45">
        <v>13.5</v>
      </c>
    </row>
    <row r="11" spans="1:407" x14ac:dyDescent="0.2">
      <c r="A11" s="5"/>
      <c r="B11" s="42" t="s">
        <v>39</v>
      </c>
      <c r="C11" s="5"/>
      <c r="M11" s="2"/>
      <c r="AP11" s="46"/>
      <c r="AQ11" s="46"/>
      <c r="AR11" s="46"/>
      <c r="AT11" s="2"/>
      <c r="AU11" s="2"/>
      <c r="AV11" s="2"/>
      <c r="AW11" s="43">
        <v>96</v>
      </c>
      <c r="BT11" s="46"/>
      <c r="BU11" s="46"/>
      <c r="BV11" s="46"/>
      <c r="BY11" s="2"/>
      <c r="CA11" s="43">
        <v>96</v>
      </c>
      <c r="CX11" s="46"/>
      <c r="CY11" s="46"/>
      <c r="CZ11" s="46"/>
      <c r="DB11" s="2"/>
      <c r="DC11" s="2"/>
      <c r="DD11" s="2"/>
      <c r="DE11" s="43">
        <v>96</v>
      </c>
      <c r="DY11" s="5"/>
      <c r="EC11" s="2"/>
      <c r="EE11" s="43">
        <v>96</v>
      </c>
      <c r="EU11" s="5"/>
      <c r="EY11" s="2"/>
      <c r="FA11" s="43">
        <v>96</v>
      </c>
      <c r="FQ11" s="5"/>
      <c r="FU11" s="2"/>
      <c r="FW11" s="43">
        <v>96</v>
      </c>
      <c r="GM11" s="5"/>
      <c r="GQ11" s="2"/>
      <c r="GS11" s="43">
        <v>96</v>
      </c>
      <c r="HI11" s="5"/>
      <c r="HM11" s="2"/>
      <c r="HO11" s="43">
        <v>96</v>
      </c>
      <c r="IE11" s="5"/>
      <c r="II11" s="2"/>
      <c r="IK11" s="43">
        <v>96</v>
      </c>
      <c r="JA11" s="5"/>
      <c r="JE11" s="2"/>
      <c r="JG11" s="43">
        <v>96</v>
      </c>
      <c r="JW11" s="5"/>
      <c r="KA11" s="2"/>
      <c r="KC11" s="43">
        <v>96</v>
      </c>
      <c r="KS11" s="5"/>
      <c r="KW11" s="2"/>
      <c r="KY11" s="43">
        <v>96</v>
      </c>
      <c r="LO11" s="5"/>
      <c r="LS11" s="2"/>
      <c r="LU11" s="43">
        <v>96</v>
      </c>
      <c r="MK11" s="5"/>
      <c r="MO11" s="2"/>
      <c r="MQ11" s="43">
        <v>96</v>
      </c>
      <c r="NG11" s="5"/>
      <c r="NK11" s="2"/>
      <c r="NM11" s="43">
        <v>96</v>
      </c>
    </row>
    <row r="12" spans="1:407" hidden="1" x14ac:dyDescent="0.2">
      <c r="A12" s="5"/>
      <c r="B12" s="29" t="s">
        <v>40</v>
      </c>
      <c r="C12" s="5"/>
      <c r="M12" s="2"/>
      <c r="AP12" s="46"/>
      <c r="AQ12" s="46"/>
      <c r="AR12" s="46"/>
      <c r="AT12" s="2"/>
      <c r="AU12" s="2"/>
      <c r="AV12" s="2"/>
      <c r="AW12" s="25">
        <v>99.2</v>
      </c>
      <c r="BT12" s="46"/>
      <c r="BU12" s="46"/>
      <c r="BV12" s="46"/>
      <c r="BY12" s="2"/>
      <c r="CA12" s="25">
        <v>99.2</v>
      </c>
      <c r="CX12" s="46"/>
      <c r="CY12" s="46"/>
      <c r="CZ12" s="46"/>
      <c r="DB12" s="2"/>
      <c r="DC12" s="2"/>
      <c r="DD12" s="2"/>
      <c r="DE12" s="25">
        <v>99.2</v>
      </c>
      <c r="DY12" s="5"/>
      <c r="EC12" s="2"/>
      <c r="EE12" s="25">
        <v>99.2</v>
      </c>
      <c r="EU12" s="5"/>
      <c r="EY12" s="2"/>
      <c r="FA12" s="25">
        <v>99.2</v>
      </c>
      <c r="FQ12" s="5"/>
      <c r="FU12" s="2"/>
      <c r="FW12" s="25">
        <v>99.2</v>
      </c>
      <c r="GM12" s="5"/>
      <c r="GQ12" s="2"/>
      <c r="GS12" s="25">
        <v>99.2</v>
      </c>
      <c r="HI12" s="5"/>
      <c r="HM12" s="2"/>
      <c r="HO12" s="25">
        <v>99.2</v>
      </c>
      <c r="IE12" s="5"/>
      <c r="II12" s="2"/>
      <c r="IK12" s="25">
        <v>99.2</v>
      </c>
      <c r="JA12" s="5"/>
      <c r="JE12" s="2"/>
      <c r="JG12" s="25">
        <v>99.2</v>
      </c>
      <c r="JW12" s="5"/>
      <c r="KA12" s="2"/>
      <c r="KC12" s="25">
        <v>99.2</v>
      </c>
      <c r="KS12" s="5"/>
      <c r="KW12" s="2"/>
      <c r="KY12" s="25">
        <v>99.2</v>
      </c>
      <c r="LO12" s="5"/>
      <c r="LS12" s="2"/>
      <c r="LU12" s="25">
        <v>99.2</v>
      </c>
      <c r="MK12" s="5"/>
      <c r="MO12" s="2"/>
      <c r="MQ12" s="25">
        <v>99.2</v>
      </c>
      <c r="NG12" s="5"/>
      <c r="NK12" s="2"/>
      <c r="NM12" s="25">
        <v>99.2</v>
      </c>
    </row>
    <row r="13" spans="1:407" x14ac:dyDescent="0.2">
      <c r="A13" s="5"/>
      <c r="B13" s="40" t="s">
        <v>53</v>
      </c>
      <c r="C13" s="5"/>
      <c r="AP13" s="46"/>
      <c r="AQ13" s="46"/>
      <c r="AR13" s="46"/>
      <c r="AT13" s="2"/>
      <c r="AU13" s="2"/>
      <c r="AV13" s="2"/>
      <c r="AW13" s="41">
        <v>99.2</v>
      </c>
      <c r="BT13" s="46"/>
      <c r="BU13" s="46"/>
      <c r="BV13" s="46"/>
      <c r="BY13" s="2"/>
      <c r="BZ13" s="48"/>
      <c r="CA13" s="41">
        <v>99.2</v>
      </c>
      <c r="CX13" s="46"/>
      <c r="CY13" s="46"/>
      <c r="CZ13" s="46"/>
      <c r="DB13" s="2"/>
      <c r="DC13" s="2"/>
      <c r="DD13" s="2"/>
      <c r="DE13" s="41">
        <v>99.2</v>
      </c>
      <c r="DY13" s="5"/>
      <c r="EC13" s="2"/>
      <c r="ED13" s="48"/>
      <c r="EE13" s="41">
        <v>99.2</v>
      </c>
      <c r="EU13" s="5"/>
      <c r="EY13" s="2"/>
      <c r="FA13" s="41">
        <v>99.2</v>
      </c>
      <c r="FQ13" s="5"/>
      <c r="FU13" s="2"/>
      <c r="FW13" s="41">
        <v>99.2</v>
      </c>
      <c r="GM13" s="5"/>
      <c r="GQ13" s="2"/>
      <c r="GR13" s="48"/>
      <c r="GS13" s="41">
        <v>99.2</v>
      </c>
      <c r="HI13" s="5"/>
      <c r="HM13" s="2"/>
      <c r="HN13" s="48"/>
      <c r="HO13" s="41">
        <v>99.2</v>
      </c>
      <c r="IE13" s="5"/>
      <c r="II13" s="2"/>
      <c r="IJ13" s="48"/>
      <c r="IK13" s="41">
        <v>99.2</v>
      </c>
      <c r="JA13" s="5"/>
      <c r="JE13" s="2"/>
      <c r="JG13" s="41">
        <v>99.2</v>
      </c>
      <c r="JW13" s="5"/>
      <c r="KA13" s="2"/>
      <c r="KC13" s="41">
        <v>99.2</v>
      </c>
      <c r="KS13" s="5"/>
      <c r="KW13" s="2"/>
      <c r="KY13" s="41">
        <v>99.2</v>
      </c>
      <c r="LO13" s="5"/>
      <c r="LS13" s="2"/>
      <c r="LU13" s="41">
        <v>99.2</v>
      </c>
      <c r="MK13" s="5"/>
      <c r="MO13" s="2"/>
      <c r="MQ13" s="41">
        <v>99.2</v>
      </c>
      <c r="NG13" s="5"/>
      <c r="NK13" s="2"/>
      <c r="NM13" s="41">
        <v>99.2</v>
      </c>
    </row>
    <row r="14" spans="1:407" x14ac:dyDescent="0.2">
      <c r="A14" s="5"/>
      <c r="B14" s="30" t="s">
        <v>26</v>
      </c>
      <c r="C14" s="5"/>
      <c r="M14" s="2"/>
      <c r="AP14" s="46"/>
      <c r="AQ14" s="46"/>
      <c r="AR14" s="46"/>
      <c r="AT14" s="2"/>
      <c r="AU14" s="2"/>
      <c r="AV14" s="2"/>
      <c r="AW14" s="26">
        <v>56</v>
      </c>
      <c r="BT14" s="46"/>
      <c r="BU14" s="46"/>
      <c r="BV14" s="46"/>
      <c r="BY14" s="2"/>
      <c r="CA14" s="26">
        <v>56</v>
      </c>
      <c r="CX14" s="46"/>
      <c r="CY14" s="46"/>
      <c r="CZ14" s="46"/>
      <c r="DB14" s="2"/>
      <c r="DC14" s="2"/>
      <c r="DD14" s="2"/>
      <c r="DE14" s="26">
        <v>56</v>
      </c>
      <c r="DY14" s="5"/>
      <c r="EC14" s="2"/>
      <c r="EE14" s="26">
        <v>56</v>
      </c>
      <c r="EU14" s="5"/>
      <c r="EY14" s="2"/>
      <c r="FA14" s="26">
        <v>56</v>
      </c>
      <c r="FQ14" s="5"/>
      <c r="FU14" s="2"/>
      <c r="FW14" s="26">
        <v>56</v>
      </c>
      <c r="GM14" s="5"/>
      <c r="GQ14" s="2"/>
      <c r="GS14" s="26">
        <v>56</v>
      </c>
      <c r="HI14" s="5"/>
      <c r="HM14" s="2"/>
      <c r="HO14" s="26">
        <v>56</v>
      </c>
      <c r="IE14" s="5"/>
      <c r="II14" s="2"/>
      <c r="IJ14" s="48"/>
      <c r="IK14" s="26">
        <v>56</v>
      </c>
      <c r="JA14" s="5"/>
      <c r="JE14" s="2"/>
      <c r="JG14" s="26">
        <v>56</v>
      </c>
      <c r="JW14" s="5"/>
      <c r="KA14" s="2"/>
      <c r="KC14" s="26">
        <v>56</v>
      </c>
      <c r="KS14" s="5"/>
      <c r="KW14" s="2"/>
      <c r="KY14" s="26">
        <v>56</v>
      </c>
      <c r="LO14" s="5"/>
      <c r="LS14" s="2"/>
      <c r="LU14" s="26">
        <v>56</v>
      </c>
      <c r="MK14" s="5"/>
      <c r="MO14" s="2"/>
      <c r="MQ14" s="26">
        <v>56</v>
      </c>
      <c r="NG14" s="5"/>
      <c r="NK14" s="2"/>
      <c r="NM14" s="26">
        <v>56</v>
      </c>
    </row>
    <row r="15" spans="1:407" x14ac:dyDescent="0.2">
      <c r="B15" s="34" t="s">
        <v>45</v>
      </c>
      <c r="C15" s="2"/>
      <c r="AS15" s="2"/>
      <c r="AT15" s="2"/>
      <c r="AV15" s="2"/>
      <c r="DA15" s="2"/>
      <c r="DB15" s="2"/>
      <c r="DD15" s="2"/>
      <c r="EV15" s="2"/>
    </row>
    <row r="16" spans="1:407" x14ac:dyDescent="0.2">
      <c r="A16" s="5"/>
      <c r="B16" s="5"/>
      <c r="C16" s="22"/>
      <c r="AO16" s="2"/>
      <c r="AP16" s="2"/>
      <c r="AQ16" s="2"/>
      <c r="AR16" s="2"/>
      <c r="AS16" s="2"/>
      <c r="AT16" s="2"/>
      <c r="AV16" s="2"/>
      <c r="CW16" s="2"/>
      <c r="CX16" s="2"/>
      <c r="CY16" s="2"/>
      <c r="CZ16" s="2"/>
      <c r="DA16" s="2"/>
      <c r="DB16" s="2"/>
      <c r="DD16" s="2"/>
    </row>
    <row r="17" spans="1:108" ht="17" x14ac:dyDescent="0.2">
      <c r="A17" s="5"/>
      <c r="B17" s="5"/>
      <c r="C17" s="22"/>
      <c r="Q17" s="11"/>
      <c r="R17" s="11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Q19" s="11"/>
      <c r="R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S22" s="11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4">
      <sortCondition descending="1" ref="F1:F5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4">
    <cfRule type="expression" dxfId="187" priority="2" stopIfTrue="1">
      <formula>IF($AN4&lt;&gt;"",1,0)</formula>
    </cfRule>
  </conditionalFormatting>
  <conditionalFormatting sqref="AX4:CA4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4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9174" operator="between">
      <formula>AW$14</formula>
      <formula>1000</formula>
    </cfRule>
    <cfRule type="cellIs" dxfId="178" priority="59175" operator="between">
      <formula>AW$13</formula>
      <formula>AW$14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9264" operator="between">
      <formula>AW$13</formula>
      <formula>1000</formula>
    </cfRule>
    <cfRule type="cellIs" dxfId="176" priority="59265" operator="between">
      <formula>AW$12</formula>
      <formula>AW$13</formula>
    </cfRule>
    <cfRule type="cellIs" dxfId="175" priority="59266" operator="between">
      <formula>AW$11</formula>
      <formula>AW$12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9399" operator="between">
      <formula>AW$14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9444" operator="between">
      <formula>EE$10</formula>
      <formula>1000</formula>
    </cfRule>
    <cfRule type="cellIs" dxfId="172" priority="59445" operator="between">
      <formula>EE$9</formula>
      <formula>EE$10</formula>
    </cfRule>
    <cfRule type="cellIs" dxfId="171" priority="59446" operator="between">
      <formula>EE$8</formula>
      <formula>EE$9</formula>
    </cfRule>
    <cfRule type="cellIs" dxfId="170" priority="59447" operator="between">
      <formula>EE$7</formula>
      <formula>EE$8</formula>
    </cfRule>
  </conditionalFormatting>
  <conditionalFormatting sqref="AP1:AP1048576 BT1:BT1048576 CX1:CX1048576">
    <cfRule type="cellIs" dxfId="169" priority="59588" operator="between">
      <formula>AW$10</formula>
      <formula>1000</formula>
    </cfRule>
    <cfRule type="cellIs" dxfId="168" priority="59589" operator="between">
      <formula>AW$9</formula>
      <formula>AW$10</formula>
    </cfRule>
    <cfRule type="cellIs" dxfId="167" priority="59590" operator="between">
      <formula>AW$8</formula>
      <formula>AW$9</formula>
    </cfRule>
    <cfRule type="cellIs" dxfId="166" priority="59591" operator="between">
      <formula>AW$7</formula>
      <formula>AW$8</formula>
    </cfRule>
  </conditionalFormatting>
  <conditionalFormatting sqref="AQ1:AQ1048576 BU1:BU1048576 CY1:CY1048576">
    <cfRule type="cellIs" dxfId="165" priority="59624" operator="between">
      <formula>AW$14</formula>
      <formula>1000</formula>
    </cfRule>
  </conditionalFormatting>
  <conditionalFormatting sqref="AR1:AR1048576 BV1:BV1048576 CZ1:CZ1048576">
    <cfRule type="cellIs" dxfId="164" priority="59633" operator="between">
      <formula>AW$10</formula>
      <formula>1000</formula>
    </cfRule>
    <cfRule type="cellIs" dxfId="163" priority="59634" operator="between">
      <formula>AW$9</formula>
      <formula>AW$10</formula>
    </cfRule>
    <cfRule type="cellIs" dxfId="162" priority="59635" operator="between">
      <formula>AW$8</formula>
      <formula>AW$9</formula>
    </cfRule>
    <cfRule type="cellIs" dxfId="161" priority="59636" operator="between">
      <formula>AW$7</formula>
      <formula>AW$8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9669" operator="between">
      <formula>AW$10</formula>
      <formula>1000</formula>
    </cfRule>
    <cfRule type="cellIs" dxfId="159" priority="59670" operator="between">
      <formula>AW$9</formula>
      <formula>AW$10</formula>
    </cfRule>
    <cfRule type="cellIs" dxfId="158" priority="59671" operator="between">
      <formula>AW$8</formula>
      <formula>AW$9</formula>
    </cfRule>
    <cfRule type="cellIs" dxfId="157" priority="59672" operator="between">
      <formula>AW$7</formula>
      <formula>AW$8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83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87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91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84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85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86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 t="s">
        <v>90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80</v>
      </c>
      <c r="C4" s="4" t="s">
        <v>3</v>
      </c>
      <c r="D4" s="4">
        <v>2009</v>
      </c>
      <c r="E4" s="10">
        <f>SUM(I4:Q4)</f>
        <v>234.86</v>
      </c>
      <c r="F4" s="3" t="str">
        <f>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P","")</f>
        <v>P</v>
      </c>
      <c r="G4" s="3" t="str">
        <f>IF(OR(AND(AT4&gt;=AW$13,AO4&lt;&gt;"",AN4=""),AND(BX4&gt;=CA$13,BS4&lt;&gt;"",BR4=""),AND(DB4&gt;=DE$13,CW4&lt;&gt;"",CV4=""),AND(EB4&gt;=EE$13,DY4&lt;&gt;""),AND(EX4&gt;=FA$13,EU4&lt;&gt;""),AND(FT4&gt;=FW$13,FQ4&lt;&gt;""),AND(GP4&gt;=GS$13,GM4&lt;&gt;""),AND(HL4&gt;=HO$13,HI4&lt;&gt;""),AND(IH4&gt;=IK$13,IE4&lt;&gt;""),AND(JD4&gt;=JG$13,JA4&lt;&gt;""),AND(JZ4&gt;=KC$13,JW4&lt;&gt;""),AND(KV4&gt;=KY$13,KS4&lt;&gt;""),AND(LR4&gt;=LU$13,LO4&lt;&gt;""),AND(MN4&gt;=MQ$13,MK4&lt;&gt;""),AND(NJ4&gt;=NM$13,NG4&lt;&gt;"")),"P","")</f>
        <v>P</v>
      </c>
      <c r="H4" s="47" t="str">
        <f>IF(OR(AND(AP4&gt;=AW$12,AQ4&gt;=AW$16,AP4&lt;&gt;"",AN4=""),AND(AU4&gt;=AW$12,AV4&gt;=AW$16,AU4&lt;&gt;"",AN4=""),AND(BT4&gt;=CA$12,BU4&gt;=CA$16,BT4&lt;&gt;"",BR4=""),AND(BY4&gt;=CA$12,BZ4&gt;=CA$16,BY4&lt;&gt;"",BR4=""),AND(CX4&gt;=DE$12,CY4&gt;=DE$16,CX4&lt;&gt;"",CV4=""),AND(DC4&gt;=DE$12,DD4&gt;=DE$16,DC4&lt;&gt;"",CV4=""),AND(DY4&gt;=EE$12,EA4&gt;=EE$16,DY4&lt;&gt;""),AND(EC4&gt;=EE$12,ED4&gt;=EE$16,EC4&lt;&gt;""),AND(EU4&gt;=FA$12,EW4&gt;=FA$16,EU4&lt;&gt;""),AND(EY4&gt;=FA$12,EZ4&gt;=FA$16,EY4&lt;&gt;""),AND(FQ4&gt;=FW$12,FS4&gt;=FW$16,FQ4&lt;&gt;""),AND(FU4&gt;=FW$12,FV4&gt;=FW$16,FU4&lt;&gt;""),AND(GM4&gt;=GS$12,GO4&gt;=GS$16,GM4&lt;&gt;""),AND(GQ4&gt;=GS$12,GR4&gt;=GS$16,GQ4&lt;&gt;""),AND(HI4&gt;=HO$12,HK4&gt;=HO$16,HI4&lt;&gt;""),AND(HM4&gt;=HO$12,HN4&gt;=HO$16,HM4&lt;&gt;""),AND(IE4&gt;=IK$12,IG4&gt;=IK$16,IE4&lt;&gt;""),AND(II4&gt;=IK$12,IJ4&gt;=IK$16,II4&lt;&gt;""),AND(JA4&gt;=JG$12,JC4&gt;=JG$16,JA4&lt;&gt;""),AND(JE4&gt;=JG$12,JF4&gt;=JG$16,JE4&lt;&gt;""),AND(JW4&gt;=KC$12,JY4&gt;=KC$16,JW4&lt;&gt;""),AND(KA4&gt;=KC$12,KB4&gt;=KC$16,KA4&lt;&gt;""),AND(KS4&gt;=KY$12,KU4&gt;=KY$16,KS4&lt;&gt;""),AND(KW4&gt;=KY$12,KX4&gt;=KY$16,KW4&lt;&gt;""),AND(LO4&gt;=LU$12,LQ4&gt;=LU$16,LO4&lt;&gt;""),AND(LS4&gt;=LU$12,LT4&gt;=LU$16,LS4&lt;&gt;""),AND(MK4&gt;=MQ$12,MM4&gt;=MQ$16,MK4&lt;&gt;""),AND(MO4&gt;=MQ$12,MP4&gt;=MQ$16,MO4&lt;&gt;""),AND(NG4&gt;=NM$12,NI4&gt;=NM$16,NG4&lt;&gt;""),AND(NK4&gt;=NM$12,NL4&gt;=NM$16,NK4&lt;&gt;"")),"Merit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Excellence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National Team",IF(G4="P","No DD",""))))</f>
        <v>Merit</v>
      </c>
      <c r="I4" s="9">
        <f>IF(MAX(AT4,BX4,DB4)&gt;0,MAX(AT4,BX4,DB4),0)</f>
        <v>94.62</v>
      </c>
      <c r="J4" s="9" t="str">
        <f>IF(I4=0,"",IF(I4=DB4,$CB$1,IF(I4=BX4,$AX$1,IF(I4=AT4,$T$1,""))))</f>
        <v>2024 3rd Domestic Trial</v>
      </c>
      <c r="K4" s="9">
        <f>IF($I4=$AT4,MAX(BS4,CW4),IF($I4=$BX4,MAX(AO4,CW4),IF($I4=$DB4,MAX(AO4,BS4),MAX(AO4,BS4,CW4))))</f>
        <v>40.82</v>
      </c>
      <c r="L4" s="9" t="str">
        <f>IF(K4=0,"",IF(AND(K4=CW4,$J4&lt;&gt;$CB$1),$CB$1,IF(AND(K4=BS4,$J4&lt;&gt;$AX$1),$AX$1,IF(AND(K4=AO4,$J4&lt;&gt;$T$1),$T$1,""))))</f>
        <v>2024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48.67</v>
      </c>
      <c r="N4" s="9" t="str">
        <f>IF(M4=0,"",IF(AND(OR(M4=DA4,M4=CY4),$J4&lt;&gt;$CB$1),$CB$1,IF(AND(OR(M4=BW4,M4=BU4),$J4&lt;&gt;$AX$1),$AX$1,IF(AND(OR(M4=AS4,M4=AQ4),$J4&lt;&gt;$T$1),$T$1,""))))</f>
        <v>2024 Elite Canada</v>
      </c>
      <c r="O4" s="9">
        <f>MAX(AV4,BZ4,DD4)</f>
        <v>49.27</v>
      </c>
      <c r="P4" s="9" t="str">
        <f>IF(O4=0,"",IF(O4=DD4,$CB$1,IF(O4=BZ4,$AX$1,IF(O4=AV4,$T$1,""))))</f>
        <v>2024 3rd Domestic Trial</v>
      </c>
      <c r="Q4" s="9">
        <f>IF(MAX(DF4,DG4,DH4,DI4)&gt;0,MAX(DF4,DG4,DH4,DI4),"")</f>
        <v>1.4799999999999898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2024 Pacific Rim (April 23)</v>
      </c>
      <c r="T4" s="27">
        <v>16.100000000000001</v>
      </c>
      <c r="U4" s="27">
        <v>9.5</v>
      </c>
      <c r="V4" s="27">
        <v>0</v>
      </c>
      <c r="W4" s="27">
        <v>14.72</v>
      </c>
      <c r="X4" s="27">
        <v>0</v>
      </c>
      <c r="Y4" s="27">
        <v>14.4</v>
      </c>
      <c r="Z4" s="27">
        <v>8.9</v>
      </c>
      <c r="AA4" s="27">
        <v>11.2</v>
      </c>
      <c r="AB4" s="27">
        <v>14.17</v>
      </c>
      <c r="AC4" s="27">
        <v>0</v>
      </c>
      <c r="AD4" s="27"/>
      <c r="AE4" s="27"/>
      <c r="AF4" s="27"/>
      <c r="AG4" s="27"/>
      <c r="AH4" s="27"/>
      <c r="AI4" s="27">
        <v>14.4</v>
      </c>
      <c r="AJ4" s="27">
        <v>9.1999999999999993</v>
      </c>
      <c r="AK4" s="27">
        <v>10.5</v>
      </c>
      <c r="AL4" s="27">
        <v>14.37</v>
      </c>
      <c r="AM4" s="27">
        <v>0</v>
      </c>
      <c r="AN4" s="32"/>
      <c r="AO4" s="7">
        <f>IF(SUM(T4:W4)-X4&gt;0,SUM(T4:W4)-X4,"")</f>
        <v>40.32</v>
      </c>
      <c r="AP4" s="7">
        <f>IF(AA4&gt;0,AA4,"")</f>
        <v>11.2</v>
      </c>
      <c r="AQ4" s="7">
        <f>IF(SUM(Y4:AB4)-AC4&gt;0,SUM(Y4:AB4)-AC4,"")</f>
        <v>48.67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88.990000000000009</v>
      </c>
      <c r="AU4" s="7">
        <f>IF(AK4&gt;0,AK4,"")</f>
        <v>10.5</v>
      </c>
      <c r="AV4" s="7">
        <f>IF(SUM(AI4:AL4)-AM4&gt;0,SUM(AI4:AL4)-AM4,"")</f>
        <v>48.47</v>
      </c>
      <c r="AW4" s="7">
        <f>IF(SUM(AT4,AV4)&gt;0,SUM(AT4,AV4),"")</f>
        <v>137.46</v>
      </c>
      <c r="AX4" s="31">
        <v>16.8</v>
      </c>
      <c r="AY4" s="31">
        <v>9.1</v>
      </c>
      <c r="AZ4" s="31">
        <v>0</v>
      </c>
      <c r="BA4" s="31">
        <v>14.92</v>
      </c>
      <c r="BB4" s="31">
        <v>0</v>
      </c>
      <c r="BC4" s="31">
        <v>4.5</v>
      </c>
      <c r="BD4" s="31">
        <v>2.8</v>
      </c>
      <c r="BE4" s="31">
        <v>4.2</v>
      </c>
      <c r="BF4" s="31">
        <v>4.49</v>
      </c>
      <c r="BG4" s="31">
        <v>0</v>
      </c>
      <c r="BH4" s="31"/>
      <c r="BI4" s="31"/>
      <c r="BJ4" s="31"/>
      <c r="BK4" s="31"/>
      <c r="BL4" s="31"/>
      <c r="BM4" s="31">
        <v>14.8</v>
      </c>
      <c r="BN4" s="31">
        <v>9.1</v>
      </c>
      <c r="BO4" s="31">
        <v>10.4</v>
      </c>
      <c r="BP4" s="31">
        <v>13.82</v>
      </c>
      <c r="BQ4" s="31">
        <v>0</v>
      </c>
      <c r="BR4" s="33"/>
      <c r="BS4" s="9">
        <f>IF(SUM(AX4:BA4)-BB4&gt;0,SUM(AX4:BA4)-BB4,"")</f>
        <v>40.82</v>
      </c>
      <c r="BT4" s="9">
        <f>IF(BE4&gt;0,BE4,"")</f>
        <v>4.2</v>
      </c>
      <c r="BU4" s="9">
        <f>IF(SUM(BC4:BF4)-BG4&gt;0,SUM(BC4:BF4)-BG4,"")</f>
        <v>15.99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56.81</v>
      </c>
      <c r="BY4" s="9">
        <f>IF(BO4&gt;0,BO4,"")</f>
        <v>10.4</v>
      </c>
      <c r="BZ4" s="9">
        <f>IF(SUM(BM4:BP4)-BQ4&gt;0,SUM(BM4:BP4)-BQ4,"")</f>
        <v>48.12</v>
      </c>
      <c r="CA4" s="9">
        <f>IF(SUM(BX4,BZ4)&gt;0,SUM(BX4,BZ4),"")</f>
        <v>104.93</v>
      </c>
      <c r="CB4" s="27">
        <v>18.100000000000001</v>
      </c>
      <c r="CC4" s="27">
        <v>9.6999999999999993</v>
      </c>
      <c r="CD4" s="27">
        <v>0</v>
      </c>
      <c r="CE4" s="27">
        <v>15.17</v>
      </c>
      <c r="CF4" s="27">
        <v>0</v>
      </c>
      <c r="CG4" s="27">
        <v>15.6</v>
      </c>
      <c r="CH4" s="27">
        <v>9.8000000000000007</v>
      </c>
      <c r="CI4" s="27">
        <v>11.5</v>
      </c>
      <c r="CJ4" s="27">
        <v>14.75</v>
      </c>
      <c r="CK4" s="27">
        <v>0</v>
      </c>
      <c r="CL4" s="27"/>
      <c r="CM4" s="27"/>
      <c r="CN4" s="27"/>
      <c r="CO4" s="27"/>
      <c r="CP4" s="27"/>
      <c r="CQ4" s="27">
        <v>14.9</v>
      </c>
      <c r="CR4" s="27">
        <v>9</v>
      </c>
      <c r="CS4" s="27">
        <v>10.8</v>
      </c>
      <c r="CT4" s="27">
        <v>14.57</v>
      </c>
      <c r="CU4" s="27">
        <v>0</v>
      </c>
      <c r="CV4" s="32"/>
      <c r="CW4" s="7">
        <f>IF(SUM(CB4:CE4)-CF4&gt;0,SUM(CB4:CE4)-CF4,"")</f>
        <v>42.97</v>
      </c>
      <c r="CX4" s="7">
        <f>IF(CI4&gt;0,CI4,"")</f>
        <v>11.5</v>
      </c>
      <c r="CY4" s="7">
        <f>IF(SUM(CG4:CJ4)-CK4&gt;0,SUM(CG4:CJ4)-CK4,"")</f>
        <v>51.65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94.62</v>
      </c>
      <c r="DC4" s="7">
        <f>IF(CS4&gt;0,CS4,"")</f>
        <v>10.8</v>
      </c>
      <c r="DD4" s="7">
        <f>IF(SUM(CQ4:CT4)-CU4&gt;0,SUM(CQ4:CT4)-CU4,"")</f>
        <v>49.27</v>
      </c>
      <c r="DE4" s="7">
        <f>IF(SUM(DB4,DD4)&gt;0,SUM(DB4,DD4),"")</f>
        <v>143.89000000000001</v>
      </c>
      <c r="DF4" s="13">
        <f>IF(MAX(DZ4,EV4,FR4,GN4,HJ4,IF4,JB4,JX4,KT4,LP4,ML4,NH4)-IF(K4="",0,K4)&gt;0.001,MAX(DZ4,EV4,FR4,GN4,HJ4,IF4,JB4,JX4,KT4,LP4,ML4,NH4)-IF(K4="",0,K4),"")</f>
        <v>0.24000000000000199</v>
      </c>
      <c r="DG4" s="13">
        <f>IF(MAX(EA4,EW4,FS4,GO4,HK4,IG4,JC4,JY4,KU4,LQ4,MM4,NI4)-IF(M4="",0,M4)&gt;0.001,MAX(EA4,EW4,FS4,GO4,HK4,IG4,JC4,JY4,KU4,LQ4,MM4,NI4)-IF(M4="",0,M4),"")</f>
        <v>1.4799999999999898</v>
      </c>
      <c r="DH4" s="13" t="str">
        <f>IF(MAX(EB4,EX4,FT4,GP4,HL4,IH4,JD4,JZ4,KV4,LR4,MN4,NJ4)-IF(I4="",0,I4)&gt;0.001,MAX(EB4,EX4,FT4,GP4,HL4,IH4,JD4,JZ4,KV4,LR4,MN4,NJ4)-IF(I4="",0,I4),"")</f>
        <v/>
      </c>
      <c r="DI4" s="13">
        <f>IF(MAX(ED4,EZ4,FV4,GR4,HN4,IJ4,JF4,KB4,KX4,LT4,MP4,NL4)-IF(O4="",0,O4)&gt;0.001,MAX(ED4,EZ4,FV4,GR4,HN4,IJ4,JF4,KB4,KX4,LT4,MP4,NL4)-IF(O4="",0,O4),"")</f>
        <v>2.9999999999994031E-2</v>
      </c>
      <c r="DJ4" s="18">
        <v>16.3</v>
      </c>
      <c r="DK4" s="18">
        <v>9.3000000000000007</v>
      </c>
      <c r="DL4" s="18">
        <v>0</v>
      </c>
      <c r="DM4" s="18">
        <v>14.87</v>
      </c>
      <c r="DN4" s="18">
        <v>0</v>
      </c>
      <c r="DO4" s="18">
        <v>14.9</v>
      </c>
      <c r="DP4" s="18">
        <v>9.5</v>
      </c>
      <c r="DQ4" s="18">
        <v>11.2</v>
      </c>
      <c r="DR4" s="18">
        <v>14.55</v>
      </c>
      <c r="DS4" s="18">
        <v>0</v>
      </c>
      <c r="DT4" s="18">
        <v>14.9</v>
      </c>
      <c r="DU4" s="18">
        <v>8.9</v>
      </c>
      <c r="DV4" s="18">
        <v>11.2</v>
      </c>
      <c r="DW4" s="18">
        <v>14.3</v>
      </c>
      <c r="DX4" s="18">
        <v>0</v>
      </c>
      <c r="DY4" s="7">
        <f>IF(DQ4&gt;0,DQ4,"")</f>
        <v>11.2</v>
      </c>
      <c r="DZ4" s="7">
        <f>IF(SUM(DJ4:DM4)-DN4&gt;0,SUM(DJ4:DM4)-DN4,"")</f>
        <v>40.47</v>
      </c>
      <c r="EA4" s="7">
        <f>IF(SUM(DO4:DR4)-DS4&gt;0,SUM(DO4:DR4)-DS4,"")</f>
        <v>50.149999999999991</v>
      </c>
      <c r="EB4" s="7">
        <f>IF(SUM(DZ4:EA4)&gt;0,SUM(DZ4:EA4),"")</f>
        <v>90.61999999999999</v>
      </c>
      <c r="EC4" s="7">
        <f>IF(DV4&gt;0,DV4,"")</f>
        <v>11.2</v>
      </c>
      <c r="ED4" s="7">
        <f>IF(SUM(DT4:DW4)-DX4&gt;0,SUM(DT4:DW4)-DX4,"")</f>
        <v>49.3</v>
      </c>
      <c r="EE4" s="7">
        <f>IF(SUM(EB4,ED4)&gt;0,SUM(EB4,ED4),"")</f>
        <v>139.91999999999999</v>
      </c>
      <c r="EF4" s="19">
        <v>15.4</v>
      </c>
      <c r="EG4" s="19">
        <v>9.5</v>
      </c>
      <c r="EH4" s="19">
        <v>0</v>
      </c>
      <c r="EI4" s="19">
        <v>15.38</v>
      </c>
      <c r="EJ4" s="19">
        <v>0</v>
      </c>
      <c r="EK4" s="19">
        <v>13.8</v>
      </c>
      <c r="EL4" s="19">
        <v>9.6</v>
      </c>
      <c r="EM4" s="19">
        <v>10.7</v>
      </c>
      <c r="EN4" s="19">
        <v>14.51</v>
      </c>
      <c r="EO4" s="19">
        <v>0</v>
      </c>
      <c r="EP4" s="19">
        <v>4.5999999999999996</v>
      </c>
      <c r="EQ4" s="19">
        <v>2.7</v>
      </c>
      <c r="ER4" s="19">
        <v>3.6</v>
      </c>
      <c r="ES4" s="19">
        <v>4.51</v>
      </c>
      <c r="ET4" s="19">
        <v>0</v>
      </c>
      <c r="EU4" s="9">
        <f>IF(EM4&gt;0,EM4,"")</f>
        <v>10.7</v>
      </c>
      <c r="EV4" s="9">
        <f>IF(SUM(EF4:EI4)-EJ4&gt;0,SUM(EF4:EI4)-EJ4,"")</f>
        <v>40.28</v>
      </c>
      <c r="EW4" s="9">
        <f>IF(SUM(EK4:EN4)-EO4&gt;0,SUM(EK4:EN4)-EO4,"")</f>
        <v>48.609999999999992</v>
      </c>
      <c r="EX4" s="9">
        <f>IF(SUM(EV4:EW4)&gt;0,SUM(EV4:EW4),"")</f>
        <v>88.889999999999986</v>
      </c>
      <c r="EY4" s="9">
        <f>IF(ER4&gt;0,ER4,"")</f>
        <v>3.6</v>
      </c>
      <c r="EZ4" s="9">
        <f>IF(SUM(EP4:ES4)-ET4&gt;0,SUM(EP4:ES4)-ET4,"")</f>
        <v>15.41</v>
      </c>
      <c r="FA4" s="9">
        <f>IF(SUM(EX4,EZ4)&gt;0,SUM(EX4,EZ4),"")</f>
        <v>104.29999999999998</v>
      </c>
      <c r="FB4" s="18">
        <v>16.399999999999999</v>
      </c>
      <c r="FC4" s="18">
        <v>9.5</v>
      </c>
      <c r="FD4" s="18">
        <v>0</v>
      </c>
      <c r="FE4" s="18">
        <v>15.16</v>
      </c>
      <c r="FF4" s="18">
        <v>0</v>
      </c>
      <c r="FG4" s="18">
        <v>1.4</v>
      </c>
      <c r="FH4" s="18">
        <v>0.8</v>
      </c>
      <c r="FI4" s="18">
        <v>1.5</v>
      </c>
      <c r="FJ4" s="18">
        <v>1.56</v>
      </c>
      <c r="FK4" s="18">
        <v>0</v>
      </c>
      <c r="FL4" s="18"/>
      <c r="FM4" s="18"/>
      <c r="FN4" s="18"/>
      <c r="FO4" s="18"/>
      <c r="FP4" s="18"/>
      <c r="FQ4" s="7">
        <f>IF(FI4&gt;0,FI4,"")</f>
        <v>1.5</v>
      </c>
      <c r="FR4" s="7">
        <f>IF(SUM(FB4:FE4)-FF4&gt;0,SUM(FB4:FE4)-FF4,"")</f>
        <v>41.06</v>
      </c>
      <c r="FS4" s="7">
        <f>IF(SUM(FG4:FJ4)-FK4&gt;0,SUM(FG4:FJ4)-FK4,"")</f>
        <v>5.26</v>
      </c>
      <c r="FT4" s="7">
        <f>IF(SUM(FR4:FS4)&gt;0,SUM(FR4:FS4),"")</f>
        <v>46.32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46.32</v>
      </c>
      <c r="FX4" s="19">
        <v>15.1</v>
      </c>
      <c r="FY4" s="19">
        <v>9.4</v>
      </c>
      <c r="FZ4" s="19">
        <v>0</v>
      </c>
      <c r="GA4" s="19">
        <v>14.9</v>
      </c>
      <c r="GB4" s="19">
        <v>0</v>
      </c>
      <c r="GC4" s="19">
        <v>7.7</v>
      </c>
      <c r="GD4" s="19">
        <v>4.7</v>
      </c>
      <c r="GE4" s="19">
        <v>5.2</v>
      </c>
      <c r="GF4" s="19">
        <v>7.51</v>
      </c>
      <c r="GG4" s="19">
        <v>0.2</v>
      </c>
      <c r="GH4" s="19"/>
      <c r="GI4" s="19"/>
      <c r="GJ4" s="19"/>
      <c r="GK4" s="19"/>
      <c r="GL4" s="19"/>
      <c r="GM4" s="9">
        <f>IF(GE4&gt;0,GE4,"")</f>
        <v>5.2</v>
      </c>
      <c r="GN4" s="9">
        <f>IF(SUM(FX4:GA4)-GB4&gt;0,SUM(FX4:GA4)-GB4,"")</f>
        <v>39.4</v>
      </c>
      <c r="GO4" s="9">
        <f>IF(SUM(GC4:GF4)-GG4&gt;0,SUM(GC4:GF4)-GG4,"")</f>
        <v>24.91</v>
      </c>
      <c r="GP4" s="9">
        <f>IF(SUM(GN4:GO4)&gt;0,SUM(GN4:GO4),"")</f>
        <v>64.31</v>
      </c>
      <c r="GQ4" s="9" t="str">
        <f>IF(GJ4&gt;0,GJ4,"")</f>
        <v/>
      </c>
      <c r="GR4" s="9" t="str">
        <f>IF(SUM(GH4:GK4)-GL4&gt;0,SUM(GH4:GK4)-GL4,"")</f>
        <v/>
      </c>
      <c r="GS4" s="9">
        <f>IF(SUM(GP4,GR4)&gt;0,SUM(GP4,GR4),"")</f>
        <v>64.31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17.450000000000003</v>
      </c>
      <c r="NO4" s="27">
        <f>IF($CV4="P",CC4,(CC4+AY4)/2)</f>
        <v>9.3999999999999986</v>
      </c>
      <c r="NP4" s="27">
        <f>IF($CV4="P",CD4,(CD4+AZ4)/2)</f>
        <v>0</v>
      </c>
      <c r="NQ4" s="27">
        <f>IF($CV4="P",CE4,(CE4+BA4)/2)</f>
        <v>15.045</v>
      </c>
      <c r="NR4" s="27">
        <f>IF($CV4="P",CF4,(CF4+BB4)/2)</f>
        <v>0</v>
      </c>
      <c r="NS4" s="27">
        <f>IF($CV4="P",CG4,(CG4+BC4)/2)</f>
        <v>10.050000000000001</v>
      </c>
      <c r="NT4" s="27">
        <f>IF($CV4="P",CH4,(CH4+BD4)/2)</f>
        <v>6.3000000000000007</v>
      </c>
      <c r="NU4" s="27">
        <f>IF($CV4="P",CI4,(CI4+BE4)/2)</f>
        <v>7.85</v>
      </c>
      <c r="NV4" s="27">
        <f>IF($CV4="P",CJ4,(CJ4+BF4)/2)</f>
        <v>9.620000000000001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14.850000000000001</v>
      </c>
      <c r="OD4" s="27">
        <f>IF($CV4="P",CR4,(CR4+BN4)/2)</f>
        <v>9.0500000000000007</v>
      </c>
      <c r="OE4" s="27">
        <f>IF($CV4="P",CS4,(CS4+BO4)/2)</f>
        <v>10.600000000000001</v>
      </c>
      <c r="OF4" s="27">
        <f>IF($CV4="P",CT4,(CT4+BP4)/2)</f>
        <v>14.195</v>
      </c>
      <c r="OG4" s="27">
        <f>IF($CV4="P",CU4,(CU4+BQ4)/2)</f>
        <v>0</v>
      </c>
      <c r="OH4" s="32" t="s">
        <v>44</v>
      </c>
      <c r="OI4" s="7">
        <f>IF(SUM(NN4:NQ4)-NR4&gt;0,SUM(NN4:NQ4)-NR4,"")</f>
        <v>41.895000000000003</v>
      </c>
      <c r="OJ4" s="7">
        <f>IF(NU4&gt;0,NU4,"")</f>
        <v>7.85</v>
      </c>
      <c r="OK4" s="7">
        <f>IF(SUM(NS4:NV4)-NW4&gt;0,SUM(NS4:NV4)-NW4,"")</f>
        <v>33.820000000000007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75.715000000000003</v>
      </c>
      <c r="OO4" s="7">
        <f>IF(OE4&gt;0,OE4,"")</f>
        <v>10.600000000000001</v>
      </c>
      <c r="OP4" s="7">
        <f t="shared" ref="OP4" si="0">IF(SUM(OC4:OF4)-OG4&gt;0,SUM(OC4:OF4)-OG4,"")</f>
        <v>48.695</v>
      </c>
      <c r="OQ4" s="7">
        <f t="shared" ref="OQ4" si="1">IF(SUM(ON4,OP4)&gt;0,SUM(ON4,OP4),"")</f>
        <v>124.41</v>
      </c>
    </row>
    <row r="5" spans="1:407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78</v>
      </c>
      <c r="C5" s="4" t="s">
        <v>67</v>
      </c>
      <c r="D5" s="4">
        <v>2009</v>
      </c>
      <c r="E5" s="10">
        <f>SUM(I5:Q5)</f>
        <v>226.76000000000002</v>
      </c>
      <c r="F5" s="3" t="str">
        <f>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P","")</f>
        <v>P</v>
      </c>
      <c r="G5" s="3" t="str">
        <f>IF(OR(AND(AT5&gt;=AW$13,AO5&lt;&gt;"",AN5=""),AND(BX5&gt;=CA$13,BS5&lt;&gt;"",BR5=""),AND(DB5&gt;=DE$13,CW5&lt;&gt;"",CV5=""),AND(EB5&gt;=EE$13,DY5&lt;&gt;""),AND(EX5&gt;=FA$13,EU5&lt;&gt;""),AND(FT5&gt;=FW$13,FQ5&lt;&gt;""),AND(GP5&gt;=GS$13,GM5&lt;&gt;""),AND(HL5&gt;=HO$13,HI5&lt;&gt;""),AND(IH5&gt;=IK$13,IE5&lt;&gt;""),AND(JD5&gt;=JG$13,JA5&lt;&gt;""),AND(JZ5&gt;=KC$13,JW5&lt;&gt;""),AND(KV5&gt;=KY$13,KS5&lt;&gt;""),AND(LR5&gt;=LU$13,LO5&lt;&gt;""),AND(MN5&gt;=MQ$13,MK5&lt;&gt;""),AND(NJ5&gt;=NM$13,NG5&lt;&gt;"")),"P","")</f>
        <v>P</v>
      </c>
      <c r="H5" s="47" t="str">
        <f>IF(OR(AND(AP5&gt;=AW$12,AQ5&gt;=AW$16,AP5&lt;&gt;"",AN5=""),AND(AU5&gt;=AW$12,AV5&gt;=AW$16,AU5&lt;&gt;"",AN5=""),AND(BT5&gt;=CA$12,BU5&gt;=CA$16,BT5&lt;&gt;"",BR5=""),AND(BY5&gt;=CA$12,BZ5&gt;=CA$16,BY5&lt;&gt;"",BR5=""),AND(CX5&gt;=DE$12,CY5&gt;=DE$16,CX5&lt;&gt;"",CV5=""),AND(DC5&gt;=DE$12,DD5&gt;=DE$16,DC5&lt;&gt;"",CV5=""),AND(DY5&gt;=EE$12,EA5&gt;=EE$16,DY5&lt;&gt;""),AND(EC5&gt;=EE$12,ED5&gt;=EE$16,EC5&lt;&gt;""),AND(EU5&gt;=FA$12,EW5&gt;=FA$16,EU5&lt;&gt;""),AND(EY5&gt;=FA$12,EZ5&gt;=FA$16,EY5&lt;&gt;""),AND(FQ5&gt;=FW$12,FS5&gt;=FW$16,FQ5&lt;&gt;""),AND(FU5&gt;=FW$12,FV5&gt;=FW$16,FU5&lt;&gt;""),AND(GM5&gt;=GS$12,GO5&gt;=GS$16,GM5&lt;&gt;""),AND(GQ5&gt;=GS$12,GR5&gt;=GS$16,GQ5&lt;&gt;""),AND(HI5&gt;=HO$12,HK5&gt;=HO$16,HI5&lt;&gt;""),AND(HM5&gt;=HO$12,HN5&gt;=HO$16,HM5&lt;&gt;""),AND(IE5&gt;=IK$12,IG5&gt;=IK$16,IE5&lt;&gt;""),AND(II5&gt;=IK$12,IJ5&gt;=IK$16,II5&lt;&gt;""),AND(JA5&gt;=JG$12,JC5&gt;=JG$16,JA5&lt;&gt;""),AND(JE5&gt;=JG$12,JF5&gt;=JG$16,JE5&lt;&gt;""),AND(JW5&gt;=KC$12,JY5&gt;=KC$16,JW5&lt;&gt;""),AND(KA5&gt;=KC$12,KB5&gt;=KC$16,KA5&lt;&gt;""),AND(KS5&gt;=KY$12,KU5&gt;=KY$16,KS5&lt;&gt;""),AND(KW5&gt;=KY$12,KX5&gt;=KY$16,KW5&lt;&gt;""),AND(LO5&gt;=LU$12,LQ5&gt;=LU$16,LO5&lt;&gt;""),AND(LS5&gt;=LU$12,LT5&gt;=LU$16,LS5&lt;&gt;""),AND(MK5&gt;=MQ$12,MM5&gt;=MQ$16,MK5&lt;&gt;""),AND(MO5&gt;=MQ$12,MP5&gt;=MQ$16,MO5&lt;&gt;""),AND(NG5&gt;=NM$12,NI5&gt;=NM$16,NG5&lt;&gt;""),AND(NK5&gt;=NM$12,NL5&gt;=NM$16,NK5&lt;&gt;"")),"Merit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Excellence",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National Team",IF(G5="P","No DD",""))))</f>
        <v>National Team</v>
      </c>
      <c r="I5" s="9">
        <f>IF(MAX(AT5,BX5,DB5)&gt;0,MAX(AT5,BX5,DB5),0)</f>
        <v>90.53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29.79</v>
      </c>
      <c r="L5" s="9" t="str">
        <f>IF(K5=0,"",IF(AND(K5=CW5,$J5&lt;&gt;$CB$1),$CB$1,IF(AND(K5=BS5,$J5&lt;&gt;$AX$1),$AX$1,IF(AND(K5=AO5,$J5&lt;&gt;$T$1),$T$1,""))))</f>
        <v>2024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44.93</v>
      </c>
      <c r="N5" s="9" t="str">
        <f>IF(M5=0,"",IF(AND(OR(M5=DA5,M5=CY5),$J5&lt;&gt;$CB$1),$CB$1,IF(AND(OR(M5=BW5,M5=BU5),$J5&lt;&gt;$AX$1),$AX$1,IF(AND(OR(M5=AS5,M5=AQ5),$J5&lt;&gt;$T$1),$T$1,""))))</f>
        <v>2024 Nationals</v>
      </c>
      <c r="O5" s="9">
        <f>MAX(AV5,BZ5,DD5)</f>
        <v>50.68</v>
      </c>
      <c r="P5" s="9" t="str">
        <f>IF(O5=0,"",IF(O5=DD5,$CB$1,IF(O5=BZ5,$AX$1,IF(O5=AV5,$T$1,""))))</f>
        <v>2024 Elite Canada</v>
      </c>
      <c r="Q5" s="9">
        <f>IF(MAX(DF5,DG5,DH5,DI5)&gt;0,MAX(DF5,DG5,DH5,DI5),"")</f>
        <v>10.830000000000005</v>
      </c>
      <c r="R5" s="14" t="str">
        <f>IF(Q5="","",IF(Q5=DF5,"(Vol 1)",IF(Q5=DG5,"(Vol 2)",IF(Q5=DH5,"(Prelim)",IF(Q5=DI5,"(Final)")))))</f>
        <v>(Vol 1)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2024 Pacific Rim (April 23)</v>
      </c>
      <c r="T5" s="27">
        <v>16.8</v>
      </c>
      <c r="U5" s="27">
        <v>9.6999999999999993</v>
      </c>
      <c r="V5" s="27">
        <v>0</v>
      </c>
      <c r="W5" s="27">
        <v>14.38</v>
      </c>
      <c r="X5" s="27">
        <v>0</v>
      </c>
      <c r="Y5" s="27">
        <v>14.2</v>
      </c>
      <c r="Z5" s="27">
        <v>9.3000000000000007</v>
      </c>
      <c r="AA5" s="27">
        <v>12.3</v>
      </c>
      <c r="AB5" s="27">
        <v>13.85</v>
      </c>
      <c r="AC5" s="27">
        <v>0</v>
      </c>
      <c r="AD5" s="27"/>
      <c r="AE5" s="27"/>
      <c r="AF5" s="27"/>
      <c r="AG5" s="27"/>
      <c r="AH5" s="27"/>
      <c r="AI5" s="27">
        <v>14.7</v>
      </c>
      <c r="AJ5" s="27">
        <v>9.8000000000000007</v>
      </c>
      <c r="AK5" s="27">
        <v>12.3</v>
      </c>
      <c r="AL5" s="27">
        <v>13.88</v>
      </c>
      <c r="AM5" s="27">
        <v>0</v>
      </c>
      <c r="AN5" s="32"/>
      <c r="AO5" s="7">
        <f>IF(SUM(T5:W5)-X5&gt;0,SUM(T5:W5)-X5,"")</f>
        <v>40.880000000000003</v>
      </c>
      <c r="AP5" s="7">
        <f>IF(AA5&gt;0,AA5,"")</f>
        <v>12.3</v>
      </c>
      <c r="AQ5" s="7">
        <f>IF(SUM(Y5:AB5)-AC5&gt;0,SUM(Y5:AB5)-AC5,"")</f>
        <v>49.65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90.53</v>
      </c>
      <c r="AU5" s="7">
        <f>IF(AK5&gt;0,AK5,"")</f>
        <v>12.3</v>
      </c>
      <c r="AV5" s="7">
        <f>IF(SUM(AI5:AL5)-AM5&gt;0,SUM(AI5:AL5)-AM5,"")</f>
        <v>50.68</v>
      </c>
      <c r="AW5" s="7">
        <f>IF(SUM(AT5,AV5)&gt;0,SUM(AT5,AV5),"")</f>
        <v>141.21</v>
      </c>
      <c r="AX5" s="31">
        <v>13.1</v>
      </c>
      <c r="AY5" s="31">
        <v>7.2</v>
      </c>
      <c r="AZ5" s="31">
        <v>0</v>
      </c>
      <c r="BA5" s="31">
        <v>11.49</v>
      </c>
      <c r="BB5" s="31">
        <v>2</v>
      </c>
      <c r="BC5" s="31">
        <v>14</v>
      </c>
      <c r="BD5" s="31">
        <v>8.9</v>
      </c>
      <c r="BE5" s="31">
        <v>9</v>
      </c>
      <c r="BF5" s="31">
        <v>13.53</v>
      </c>
      <c r="BG5" s="31">
        <v>0.5</v>
      </c>
      <c r="BH5" s="31"/>
      <c r="BI5" s="31"/>
      <c r="BJ5" s="31"/>
      <c r="BK5" s="31"/>
      <c r="BL5" s="31"/>
      <c r="BM5" s="31">
        <v>15.5</v>
      </c>
      <c r="BN5" s="31">
        <v>9.1</v>
      </c>
      <c r="BO5" s="31">
        <v>11.4</v>
      </c>
      <c r="BP5" s="31">
        <v>13.67</v>
      </c>
      <c r="BQ5" s="31">
        <v>0</v>
      </c>
      <c r="BR5" s="33"/>
      <c r="BS5" s="9">
        <f>IF(SUM(AX5:BA5)-BB5&gt;0,SUM(AX5:BA5)-BB5,"")</f>
        <v>29.79</v>
      </c>
      <c r="BT5" s="9">
        <f>IF(BE5&gt;0,BE5,"")</f>
        <v>9</v>
      </c>
      <c r="BU5" s="9">
        <f>IF(SUM(BC5:BF5)-BG5&gt;0,SUM(BC5:BF5)-BG5,"")</f>
        <v>44.93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74.72</v>
      </c>
      <c r="BY5" s="9">
        <f>IF(BO5&gt;0,BO5,"")</f>
        <v>11.4</v>
      </c>
      <c r="BZ5" s="9">
        <f>IF(SUM(BM5:BP5)-BQ5&gt;0,SUM(BM5:BP5)-BQ5,"")</f>
        <v>49.67</v>
      </c>
      <c r="CA5" s="9">
        <f>IF(SUM(BX5,BZ5)&gt;0,SUM(BX5,BZ5),"")</f>
        <v>124.39</v>
      </c>
      <c r="CB5" s="27">
        <v>7.9</v>
      </c>
      <c r="CC5" s="27">
        <v>4.8</v>
      </c>
      <c r="CD5" s="27">
        <v>0</v>
      </c>
      <c r="CE5" s="27">
        <v>7.56</v>
      </c>
      <c r="CF5" s="27">
        <v>0</v>
      </c>
      <c r="CG5" s="27">
        <v>10.8</v>
      </c>
      <c r="CH5" s="27">
        <v>6.9</v>
      </c>
      <c r="CI5" s="27">
        <v>7.8</v>
      </c>
      <c r="CJ5" s="27">
        <v>11.73</v>
      </c>
      <c r="CK5" s="27">
        <v>0</v>
      </c>
      <c r="CL5" s="27"/>
      <c r="CM5" s="27"/>
      <c r="CN5" s="27"/>
      <c r="CO5" s="27"/>
      <c r="CP5" s="27"/>
      <c r="CQ5" s="27">
        <v>7</v>
      </c>
      <c r="CR5" s="27">
        <v>4.3</v>
      </c>
      <c r="CS5" s="27">
        <v>6.5</v>
      </c>
      <c r="CT5" s="27">
        <v>7.43</v>
      </c>
      <c r="CU5" s="27">
        <v>0</v>
      </c>
      <c r="CV5" s="32"/>
      <c r="CW5" s="7">
        <f>IF(SUM(CB5:CE5)-CF5&gt;0,SUM(CB5:CE5)-CF5,"")</f>
        <v>20.259999999999998</v>
      </c>
      <c r="CX5" s="7">
        <f>IF(CI5&gt;0,CI5,"")</f>
        <v>7.8</v>
      </c>
      <c r="CY5" s="7">
        <f>IF(SUM(CG5:CJ5)-CK5&gt;0,SUM(CG5:CJ5)-CK5,"")</f>
        <v>37.230000000000004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57.49</v>
      </c>
      <c r="DC5" s="7">
        <f>IF(CS5&gt;0,CS5,"")</f>
        <v>6.5</v>
      </c>
      <c r="DD5" s="7">
        <f>IF(SUM(CQ5:CT5)-CU5&gt;0,SUM(CQ5:CT5)-CU5,"")</f>
        <v>25.23</v>
      </c>
      <c r="DE5" s="7">
        <f>IF(SUM(DB5,DD5)&gt;0,SUM(DB5,DD5),"")</f>
        <v>82.72</v>
      </c>
      <c r="DF5" s="13">
        <f>IF(MAX(DZ5,EV5,FR5,GN5,HJ5,IF5,JB5,JX5,KT5,LP5,ML5,NH5)-IF(K5="",0,K5)&gt;0.001,MAX(DZ5,EV5,FR5,GN5,HJ5,IF5,JB5,JX5,KT5,LP5,ML5,NH5)-IF(K5="",0,K5),"")</f>
        <v>10.830000000000005</v>
      </c>
      <c r="DG5" s="13">
        <f>IF(MAX(EA5,EW5,FS5,GO5,HK5,IG5,JC5,JY5,KU5,LQ5,MM5,NI5)-IF(M5="",0,M5)&gt;0.001,MAX(EA5,EW5,FS5,GO5,HK5,IG5,JC5,JY5,KU5,LQ5,MM5,NI5)-IF(M5="",0,M5),"")</f>
        <v>4.9100000000000037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>
        <v>16.600000000000001</v>
      </c>
      <c r="DK5" s="18">
        <v>9.6999999999999993</v>
      </c>
      <c r="DL5" s="18">
        <v>0</v>
      </c>
      <c r="DM5" s="18">
        <v>14.32</v>
      </c>
      <c r="DN5" s="18">
        <v>0</v>
      </c>
      <c r="DO5" s="18">
        <v>14.3</v>
      </c>
      <c r="DP5" s="18">
        <v>9.3000000000000007</v>
      </c>
      <c r="DQ5" s="18">
        <v>12.3</v>
      </c>
      <c r="DR5" s="18">
        <v>13.94</v>
      </c>
      <c r="DS5" s="18">
        <v>0</v>
      </c>
      <c r="DT5" s="18">
        <v>10.1</v>
      </c>
      <c r="DU5" s="18">
        <v>6.4</v>
      </c>
      <c r="DV5" s="18">
        <v>8.4</v>
      </c>
      <c r="DW5" s="18">
        <v>9.75</v>
      </c>
      <c r="DX5" s="18">
        <v>0</v>
      </c>
      <c r="DY5" s="7">
        <f>IF(DQ5&gt;0,DQ5,"")</f>
        <v>12.3</v>
      </c>
      <c r="DZ5" s="7">
        <f>IF(SUM(DJ5:DM5)-DN5&gt;0,SUM(DJ5:DM5)-DN5,"")</f>
        <v>40.620000000000005</v>
      </c>
      <c r="EA5" s="7">
        <f>IF(SUM(DO5:DR5)-DS5&gt;0,SUM(DO5:DR5)-DS5,"")</f>
        <v>49.84</v>
      </c>
      <c r="EB5" s="7">
        <f>IF(SUM(DZ5:EA5)&gt;0,SUM(DZ5:EA5),"")</f>
        <v>90.460000000000008</v>
      </c>
      <c r="EC5" s="7">
        <f>IF(DV5&gt;0,DV5,"")</f>
        <v>8.4</v>
      </c>
      <c r="ED5" s="7">
        <f>IF(SUM(DT5:DW5)-DX5&gt;0,SUM(DT5:DW5)-DX5,"")</f>
        <v>34.65</v>
      </c>
      <c r="EE5" s="7">
        <f>IF(SUM(EB5,ED5)&gt;0,SUM(EB5,ED5),"")</f>
        <v>125.11000000000001</v>
      </c>
      <c r="EF5" s="19">
        <v>16.3</v>
      </c>
      <c r="EG5" s="19">
        <v>9.5</v>
      </c>
      <c r="EH5" s="19">
        <v>0</v>
      </c>
      <c r="EI5" s="19">
        <v>14.43</v>
      </c>
      <c r="EJ5" s="19">
        <v>0</v>
      </c>
      <c r="EK5" s="19">
        <v>14.1</v>
      </c>
      <c r="EL5" s="19">
        <v>9.4</v>
      </c>
      <c r="EM5" s="19">
        <v>10.7</v>
      </c>
      <c r="EN5" s="19">
        <v>14.18</v>
      </c>
      <c r="EO5" s="19">
        <v>0</v>
      </c>
      <c r="EP5" s="19">
        <v>14.7</v>
      </c>
      <c r="EQ5" s="19">
        <v>9.3000000000000007</v>
      </c>
      <c r="ER5" s="19">
        <v>11.6</v>
      </c>
      <c r="ES5" s="19">
        <v>14.18</v>
      </c>
      <c r="ET5" s="19">
        <v>0</v>
      </c>
      <c r="EU5" s="9">
        <f>IF(EM5&gt;0,EM5,"")</f>
        <v>10.7</v>
      </c>
      <c r="EV5" s="9">
        <f>IF(SUM(EF5:EI5)-EJ5&gt;0,SUM(EF5:EI5)-EJ5,"")</f>
        <v>40.230000000000004</v>
      </c>
      <c r="EW5" s="9">
        <f>IF(SUM(EK5:EN5)-EO5&gt;0,SUM(EK5:EN5)-EO5,"")</f>
        <v>48.38</v>
      </c>
      <c r="EX5" s="9">
        <f>IF(SUM(EV5:EW5)&gt;0,SUM(EV5:EW5),"")</f>
        <v>88.610000000000014</v>
      </c>
      <c r="EY5" s="9">
        <f>IF(ER5&gt;0,ER5,"")</f>
        <v>11.6</v>
      </c>
      <c r="EZ5" s="9">
        <f>IF(SUM(EP5:ES5)-ET5&gt;0,SUM(EP5:ES5)-ET5,"")</f>
        <v>49.78</v>
      </c>
      <c r="FA5" s="9">
        <f>IF(SUM(EX5,EZ5)&gt;0,SUM(EX5,EZ5),"")</f>
        <v>138.39000000000001</v>
      </c>
      <c r="FB5" s="18">
        <v>16.100000000000001</v>
      </c>
      <c r="FC5" s="18">
        <v>9.8000000000000007</v>
      </c>
      <c r="FD5" s="18">
        <v>0</v>
      </c>
      <c r="FE5" s="18">
        <v>14.11</v>
      </c>
      <c r="FF5" s="18">
        <v>0</v>
      </c>
      <c r="FG5" s="18">
        <v>1.4</v>
      </c>
      <c r="FH5" s="18">
        <v>0.7</v>
      </c>
      <c r="FI5" s="18">
        <v>1.5</v>
      </c>
      <c r="FJ5" s="18">
        <v>1.46</v>
      </c>
      <c r="FK5" s="18">
        <v>0</v>
      </c>
      <c r="FL5" s="18"/>
      <c r="FM5" s="18"/>
      <c r="FN5" s="18"/>
      <c r="FO5" s="18"/>
      <c r="FP5" s="18"/>
      <c r="FQ5" s="7">
        <f>IF(FI5&gt;0,FI5,"")</f>
        <v>1.5</v>
      </c>
      <c r="FR5" s="7">
        <f>IF(SUM(FB5:FE5)-FF5&gt;0,SUM(FB5:FE5)-FF5,"")</f>
        <v>40.010000000000005</v>
      </c>
      <c r="FS5" s="7">
        <f>IF(SUM(FG5:FJ5)-FK5&gt;0,SUM(FG5:FJ5)-FK5,"")</f>
        <v>5.0599999999999996</v>
      </c>
      <c r="FT5" s="7">
        <f>IF(SUM(FR5:FS5)&gt;0,SUM(FR5:FS5),"")</f>
        <v>45.070000000000007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45.070000000000007</v>
      </c>
      <c r="FX5" s="19">
        <v>15.4</v>
      </c>
      <c r="FY5" s="19">
        <v>8.8000000000000007</v>
      </c>
      <c r="FZ5" s="19">
        <v>0</v>
      </c>
      <c r="GA5" s="19">
        <v>14.17</v>
      </c>
      <c r="GB5" s="19">
        <v>0</v>
      </c>
      <c r="GC5" s="19">
        <v>12.6</v>
      </c>
      <c r="GD5" s="19">
        <v>9</v>
      </c>
      <c r="GE5" s="19">
        <v>9.1999999999999993</v>
      </c>
      <c r="GF5" s="19">
        <v>13.66</v>
      </c>
      <c r="GG5" s="19">
        <v>0</v>
      </c>
      <c r="GH5" s="19"/>
      <c r="GI5" s="19"/>
      <c r="GJ5" s="19"/>
      <c r="GK5" s="19"/>
      <c r="GL5" s="19"/>
      <c r="GM5" s="9">
        <f>IF(GE5&gt;0,GE5,"")</f>
        <v>9.1999999999999993</v>
      </c>
      <c r="GN5" s="9">
        <f>IF(SUM(FX5:GA5)-GB5&gt;0,SUM(FX5:GA5)-GB5,"")</f>
        <v>38.370000000000005</v>
      </c>
      <c r="GO5" s="9">
        <f>IF(SUM(GC5:GF5)-GG5&gt;0,SUM(GC5:GF5)-GG5,"")</f>
        <v>44.46</v>
      </c>
      <c r="GP5" s="9">
        <f>IF(SUM(GN5:GO5)&gt;0,SUM(GN5:GO5),"")</f>
        <v>82.830000000000013</v>
      </c>
      <c r="GQ5" s="9" t="str">
        <f>IF(GJ5&gt;0,GJ5,"")</f>
        <v/>
      </c>
      <c r="GR5" s="9" t="str">
        <f>IF(SUM(GH5:GK5)-GL5&gt;0,SUM(GH5:GK5)-GL5,"")</f>
        <v/>
      </c>
      <c r="GS5" s="9">
        <f>IF(SUM(GP5,GR5)&gt;0,SUM(GP5,GR5),"")</f>
        <v>82.830000000000013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10.5</v>
      </c>
      <c r="NO5" s="27">
        <f>IF($CV5="P",CC5,(CC5+AY5)/2)</f>
        <v>6</v>
      </c>
      <c r="NP5" s="27">
        <f>IF($CV5="P",CD5,(CD5+AZ5)/2)</f>
        <v>0</v>
      </c>
      <c r="NQ5" s="27">
        <f>IF($CV5="P",CE5,(CE5+BA5)/2)</f>
        <v>9.5250000000000004</v>
      </c>
      <c r="NR5" s="27">
        <f>IF($CV5="P",CF5,(CF5+BB5)/2)</f>
        <v>1</v>
      </c>
      <c r="NS5" s="27">
        <f>IF($CV5="P",CG5,(CG5+BC5)/2)</f>
        <v>12.4</v>
      </c>
      <c r="NT5" s="27">
        <f>IF($CV5="P",CH5,(CH5+BD5)/2)</f>
        <v>7.9</v>
      </c>
      <c r="NU5" s="27">
        <f>IF($CV5="P",CI5,(CI5+BE5)/2)</f>
        <v>8.4</v>
      </c>
      <c r="NV5" s="27">
        <f>IF($CV5="P",CJ5,(CJ5+BF5)/2)</f>
        <v>12.629999999999999</v>
      </c>
      <c r="NW5" s="27">
        <f>IF($CV5="P",CK5,(CK5+BG5)/2)</f>
        <v>0.25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11.25</v>
      </c>
      <c r="OD5" s="27">
        <f>IF($CV5="P",CR5,(CR5+BN5)/2)</f>
        <v>6.6999999999999993</v>
      </c>
      <c r="OE5" s="27">
        <f>IF($CV5="P",CS5,(CS5+BO5)/2)</f>
        <v>8.9499999999999993</v>
      </c>
      <c r="OF5" s="27">
        <f>IF($CV5="P",CT5,(CT5+BP5)/2)</f>
        <v>10.55</v>
      </c>
      <c r="OG5" s="27">
        <f>IF($CV5="P",CU5,(CU5+BQ5)/2)</f>
        <v>0</v>
      </c>
      <c r="OH5" s="32" t="s">
        <v>44</v>
      </c>
      <c r="OI5" s="7">
        <f>IF(SUM(NN5:NQ5)-NR5&gt;0,SUM(NN5:NQ5)-NR5,"")</f>
        <v>25.024999999999999</v>
      </c>
      <c r="OJ5" s="7">
        <f>IF(NU5&gt;0,NU5,"")</f>
        <v>8.4</v>
      </c>
      <c r="OK5" s="7">
        <f>IF(SUM(NS5:NV5)-NW5&gt;0,SUM(NS5:NV5)-NW5,"")</f>
        <v>41.08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66.10499999999999</v>
      </c>
      <c r="OO5" s="7">
        <f>IF(OE5&gt;0,OE5,"")</f>
        <v>8.9499999999999993</v>
      </c>
      <c r="OP5" s="7">
        <f t="shared" ref="OP5" si="2">IF(SUM(OC5:OF5)-OG5&gt;0,SUM(OC5:OF5)-OG5,"")</f>
        <v>37.450000000000003</v>
      </c>
      <c r="OQ5" s="7">
        <f t="shared" ref="OQ5" si="3">IF(SUM(ON5,OP5)&gt;0,SUM(ON5,OP5),"")</f>
        <v>103.55499999999999</v>
      </c>
    </row>
    <row r="6" spans="1:407" x14ac:dyDescent="0.2">
      <c r="A6" s="4" t="str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/>
      </c>
      <c r="B6" s="5" t="s">
        <v>79</v>
      </c>
      <c r="C6" s="4" t="s">
        <v>67</v>
      </c>
      <c r="D6" s="4">
        <v>2009</v>
      </c>
      <c r="E6" s="10">
        <f>SUM(I6:Q6)</f>
        <v>225.76999999999998</v>
      </c>
      <c r="F6" s="3" t="str">
        <f>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P","")</f>
        <v/>
      </c>
      <c r="G6" s="3" t="str">
        <f>IF(OR(AND(AT6&gt;=AW$13,AO6&lt;&gt;"",AN6=""),AND(BX6&gt;=CA$13,BS6&lt;&gt;"",BR6=""),AND(DB6&gt;=DE$13,CW6&lt;&gt;"",CV6=""),AND(EB6&gt;=EE$13,DY6&lt;&gt;""),AND(EX6&gt;=FA$13,EU6&lt;&gt;""),AND(FT6&gt;=FW$13,FQ6&lt;&gt;""),AND(GP6&gt;=GS$13,GM6&lt;&gt;""),AND(HL6&gt;=HO$13,HI6&lt;&gt;""),AND(IH6&gt;=IK$13,IE6&lt;&gt;""),AND(JD6&gt;=JG$13,JA6&lt;&gt;""),AND(JZ6&gt;=KC$13,JW6&lt;&gt;""),AND(KV6&gt;=KY$13,KS6&lt;&gt;""),AND(LR6&gt;=LU$13,LO6&lt;&gt;""),AND(MN6&gt;=MQ$13,MK6&lt;&gt;""),AND(NJ6&gt;=NM$13,NG6&lt;&gt;"")),"P","")</f>
        <v/>
      </c>
      <c r="H6" s="47" t="str">
        <f>IF(OR(AND(AP6&gt;=AW$12,AQ6&gt;=AW$16,AP6&lt;&gt;"",AN6=""),AND(AU6&gt;=AW$12,AV6&gt;=AW$16,AU6&lt;&gt;"",AN6=""),AND(BT6&gt;=CA$12,BU6&gt;=CA$16,BT6&lt;&gt;"",BR6=""),AND(BY6&gt;=CA$12,BZ6&gt;=CA$16,BY6&lt;&gt;"",BR6=""),AND(CX6&gt;=DE$12,CY6&gt;=DE$16,CX6&lt;&gt;"",CV6=""),AND(DC6&gt;=DE$12,DD6&gt;=DE$16,DC6&lt;&gt;"",CV6=""),AND(DY6&gt;=EE$12,EA6&gt;=EE$16,DY6&lt;&gt;""),AND(EC6&gt;=EE$12,ED6&gt;=EE$16,EC6&lt;&gt;""),AND(EU6&gt;=FA$12,EW6&gt;=FA$16,EU6&lt;&gt;""),AND(EY6&gt;=FA$12,EZ6&gt;=FA$16,EY6&lt;&gt;""),AND(FQ6&gt;=FW$12,FS6&gt;=FW$16,FQ6&lt;&gt;""),AND(FU6&gt;=FW$12,FV6&gt;=FW$16,FU6&lt;&gt;""),AND(GM6&gt;=GS$12,GO6&gt;=GS$16,GM6&lt;&gt;""),AND(GQ6&gt;=GS$12,GR6&gt;=GS$16,GQ6&lt;&gt;""),AND(HI6&gt;=HO$12,HK6&gt;=HO$16,HI6&lt;&gt;""),AND(HM6&gt;=HO$12,HN6&gt;=HO$16,HM6&lt;&gt;""),AND(IE6&gt;=IK$12,IG6&gt;=IK$16,IE6&lt;&gt;""),AND(II6&gt;=IK$12,IJ6&gt;=IK$16,II6&lt;&gt;""),AND(JA6&gt;=JG$12,JC6&gt;=JG$16,JA6&lt;&gt;""),AND(JE6&gt;=JG$12,JF6&gt;=JG$16,JE6&lt;&gt;""),AND(JW6&gt;=KC$12,JY6&gt;=KC$16,JW6&lt;&gt;""),AND(KA6&gt;=KC$12,KB6&gt;=KC$16,KA6&lt;&gt;""),AND(KS6&gt;=KY$12,KU6&gt;=KY$16,KS6&lt;&gt;""),AND(KW6&gt;=KY$12,KX6&gt;=KY$16,KW6&lt;&gt;""),AND(LO6&gt;=LU$12,LQ6&gt;=LU$16,LO6&lt;&gt;""),AND(LS6&gt;=LU$12,LT6&gt;=LU$16,LS6&lt;&gt;""),AND(MK6&gt;=MQ$12,MM6&gt;=MQ$16,MK6&lt;&gt;""),AND(MO6&gt;=MQ$12,MP6&gt;=MQ$16,MO6&lt;&gt;""),AND(NG6&gt;=NM$12,NI6&gt;=NM$16,NG6&lt;&gt;""),AND(NK6&gt;=NM$12,NL6&gt;=NM$16,NK6&lt;&gt;"")),"Merit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Excellence",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National Team",IF(G6="P","No DD",""))))</f>
        <v/>
      </c>
      <c r="I6" s="9">
        <f>IF(MAX(AT6,BX6,DB6)&gt;0,MAX(AT6,BX6,DB6),0)</f>
        <v>89.2</v>
      </c>
      <c r="J6" s="9" t="str">
        <f>IF(I6=0,"",IF(I6=DB6,$CB$1,IF(I6=BX6,$AX$1,IF(I6=AT6,$T$1,""))))</f>
        <v>2024 3rd Domestic Trial</v>
      </c>
      <c r="K6" s="9">
        <f>IF($I6=$AT6,MAX(BS6,CW6),IF($I6=$BX6,MAX(AO6,CW6),IF($I6=$DB6,MAX(AO6,BS6),MAX(AO6,BS6,CW6))))</f>
        <v>39.94</v>
      </c>
      <c r="L6" s="9" t="str">
        <f>IF(K6=0,"",IF(AND(K6=CW6,$J6&lt;&gt;$CB$1),$CB$1,IF(AND(K6=BS6,$J6&lt;&gt;$AX$1),$AX$1,IF(AND(K6=AO6,$J6&lt;&gt;$T$1),$T$1,""))))</f>
        <v>2024 Nationals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48.22</v>
      </c>
      <c r="N6" s="9" t="str">
        <f>IF(M6=0,"",IF(AND(OR(M6=DA6,M6=CY6),$J6&lt;&gt;$CB$1),$CB$1,IF(AND(OR(M6=BW6,M6=BU6),$J6&lt;&gt;$AX$1),$AX$1,IF(AND(OR(M6=AS6,M6=AQ6),$J6&lt;&gt;$T$1),$T$1,""))))</f>
        <v>2024 Elite Canada</v>
      </c>
      <c r="O6" s="9">
        <f>MAX(AV6,BZ6,DD6)</f>
        <v>48.41</v>
      </c>
      <c r="P6" s="9" t="str">
        <f>IF(O6=0,"",IF(O6=DD6,$CB$1,IF(O6=BZ6,$AX$1,IF(O6=AV6,$T$1,""))))</f>
        <v>2024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15.5</v>
      </c>
      <c r="U6" s="27">
        <v>9.6</v>
      </c>
      <c r="V6" s="27">
        <v>0</v>
      </c>
      <c r="W6" s="27">
        <v>14.42</v>
      </c>
      <c r="X6" s="27">
        <v>0</v>
      </c>
      <c r="Y6" s="27">
        <v>14.9</v>
      </c>
      <c r="Z6" s="27">
        <v>9.3000000000000007</v>
      </c>
      <c r="AA6" s="27">
        <v>10.3</v>
      </c>
      <c r="AB6" s="27">
        <v>13.72</v>
      </c>
      <c r="AC6" s="27">
        <v>0</v>
      </c>
      <c r="AD6" s="27"/>
      <c r="AE6" s="27"/>
      <c r="AF6" s="27"/>
      <c r="AG6" s="27"/>
      <c r="AH6" s="27"/>
      <c r="AI6" s="27">
        <v>14.8</v>
      </c>
      <c r="AJ6" s="27">
        <v>9.4</v>
      </c>
      <c r="AK6" s="27">
        <v>10.3</v>
      </c>
      <c r="AL6" s="27">
        <v>13.91</v>
      </c>
      <c r="AM6" s="27">
        <v>0</v>
      </c>
      <c r="AN6" s="32"/>
      <c r="AO6" s="7">
        <f>IF(SUM(T6:W6)-X6&gt;0,SUM(T6:W6)-X6,"")</f>
        <v>39.520000000000003</v>
      </c>
      <c r="AP6" s="7">
        <f>IF(AA6&gt;0,AA6,"")</f>
        <v>10.3</v>
      </c>
      <c r="AQ6" s="7">
        <f>IF(SUM(Y6:AB6)-AC6&gt;0,SUM(Y6:AB6)-AC6,"")</f>
        <v>48.22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87.740000000000009</v>
      </c>
      <c r="AU6" s="7">
        <f>IF(AK6&gt;0,AK6,"")</f>
        <v>10.3</v>
      </c>
      <c r="AV6" s="7">
        <f>IF(SUM(AI6:AL6)-AM6&gt;0,SUM(AI6:AL6)-AM6,"")</f>
        <v>48.41</v>
      </c>
      <c r="AW6" s="7">
        <f>IF(SUM(AT6,AV6)&gt;0,SUM(AT6,AV6),"")</f>
        <v>136.15</v>
      </c>
      <c r="AX6" s="31">
        <v>15.8</v>
      </c>
      <c r="AY6" s="31">
        <v>9.6</v>
      </c>
      <c r="AZ6" s="31">
        <v>0</v>
      </c>
      <c r="BA6" s="31">
        <v>14.54</v>
      </c>
      <c r="BB6" s="31">
        <v>0</v>
      </c>
      <c r="BC6" s="31">
        <v>8.3000000000000007</v>
      </c>
      <c r="BD6" s="31">
        <v>5.3</v>
      </c>
      <c r="BE6" s="31">
        <v>7.5</v>
      </c>
      <c r="BF6" s="31">
        <v>8.4600000000000009</v>
      </c>
      <c r="BG6" s="31">
        <v>0</v>
      </c>
      <c r="BH6" s="31"/>
      <c r="BI6" s="31"/>
      <c r="BJ6" s="31"/>
      <c r="BK6" s="31"/>
      <c r="BL6" s="31"/>
      <c r="BM6" s="31">
        <v>12.1</v>
      </c>
      <c r="BN6" s="31">
        <v>9.1</v>
      </c>
      <c r="BO6" s="31">
        <v>10.7</v>
      </c>
      <c r="BP6" s="31">
        <v>13.6</v>
      </c>
      <c r="BQ6" s="31">
        <v>0</v>
      </c>
      <c r="BR6" s="33"/>
      <c r="BS6" s="9">
        <f>IF(SUM(AX6:BA6)-BB6&gt;0,SUM(AX6:BA6)-BB6,"")</f>
        <v>39.94</v>
      </c>
      <c r="BT6" s="9">
        <f>IF(BE6&gt;0,BE6,"")</f>
        <v>7.5</v>
      </c>
      <c r="BU6" s="9">
        <f>IF(SUM(BC6:BF6)-BG6&gt;0,SUM(BC6:BF6)-BG6,"")</f>
        <v>29.560000000000002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69.5</v>
      </c>
      <c r="BY6" s="9">
        <f>IF(BO6&gt;0,BO6,"")</f>
        <v>10.7</v>
      </c>
      <c r="BZ6" s="9">
        <f>IF(SUM(BM6:BP6)-BQ6&gt;0,SUM(BM6:BP6)-BQ6,"")</f>
        <v>45.5</v>
      </c>
      <c r="CA6" s="9">
        <f>IF(SUM(BX6,BZ6)&gt;0,SUM(BX6,BZ6),"")</f>
        <v>115</v>
      </c>
      <c r="CB6" s="27">
        <v>16.899999999999999</v>
      </c>
      <c r="CC6" s="27">
        <v>9.5</v>
      </c>
      <c r="CD6" s="27">
        <v>0</v>
      </c>
      <c r="CE6" s="27">
        <v>15.18</v>
      </c>
      <c r="CF6" s="27">
        <v>0</v>
      </c>
      <c r="CG6" s="27">
        <v>13.5</v>
      </c>
      <c r="CH6" s="27">
        <v>8.6</v>
      </c>
      <c r="CI6" s="27">
        <v>11.3</v>
      </c>
      <c r="CJ6" s="27">
        <v>14.22</v>
      </c>
      <c r="CK6" s="27">
        <v>0</v>
      </c>
      <c r="CL6" s="27"/>
      <c r="CM6" s="27"/>
      <c r="CN6" s="27"/>
      <c r="CO6" s="27"/>
      <c r="CP6" s="27"/>
      <c r="CQ6" s="27">
        <v>14.2</v>
      </c>
      <c r="CR6" s="27">
        <v>8.6</v>
      </c>
      <c r="CS6" s="27">
        <v>10.6</v>
      </c>
      <c r="CT6" s="27">
        <v>14.12</v>
      </c>
      <c r="CU6" s="27">
        <v>0</v>
      </c>
      <c r="CV6" s="32"/>
      <c r="CW6" s="7">
        <f>IF(SUM(CB6:CE6)-CF6&gt;0,SUM(CB6:CE6)-CF6,"")</f>
        <v>41.58</v>
      </c>
      <c r="CX6" s="7">
        <f>IF(CI6&gt;0,CI6,"")</f>
        <v>11.3</v>
      </c>
      <c r="CY6" s="7">
        <f>IF(SUM(CG6:CJ6)-CK6&gt;0,SUM(CG6:CJ6)-CK6,"")</f>
        <v>47.620000000000005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89.2</v>
      </c>
      <c r="DC6" s="7">
        <f>IF(CS6&gt;0,CS6,"")</f>
        <v>10.6</v>
      </c>
      <c r="DD6" s="7">
        <f>IF(SUM(CQ6:CT6)-CU6&gt;0,SUM(CQ6:CT6)-CU6,"")</f>
        <v>47.519999999999996</v>
      </c>
      <c r="DE6" s="7">
        <f>IF(SUM(DB6,DD6)&gt;0,SUM(DB6,DD6),"")</f>
        <v>136.72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>
        <v>14.7</v>
      </c>
      <c r="FY6" s="19">
        <v>9.8000000000000007</v>
      </c>
      <c r="FZ6" s="19">
        <v>0</v>
      </c>
      <c r="GA6" s="19">
        <v>14.93</v>
      </c>
      <c r="GB6" s="19">
        <v>0</v>
      </c>
      <c r="GC6" s="19">
        <v>13.6</v>
      </c>
      <c r="GD6" s="19">
        <v>9.5</v>
      </c>
      <c r="GE6" s="19">
        <v>10.7</v>
      </c>
      <c r="GF6" s="19">
        <v>14.13</v>
      </c>
      <c r="GG6" s="19">
        <v>0</v>
      </c>
      <c r="GH6" s="19">
        <v>13.8</v>
      </c>
      <c r="GI6" s="19">
        <v>8.6999999999999993</v>
      </c>
      <c r="GJ6" s="19">
        <v>10</v>
      </c>
      <c r="GK6" s="19">
        <v>13.89</v>
      </c>
      <c r="GL6" s="19">
        <v>0</v>
      </c>
      <c r="GM6" s="9">
        <f>IF(GE6&gt;0,GE6,"")</f>
        <v>10.7</v>
      </c>
      <c r="GN6" s="9">
        <f>IF(SUM(FX6:GA6)-GB6&gt;0,SUM(FX6:GA6)-GB6,"")</f>
        <v>39.43</v>
      </c>
      <c r="GO6" s="9">
        <f>IF(SUM(GC6:GF6)-GG6&gt;0,SUM(GC6:GF6)-GG6,"")</f>
        <v>47.93</v>
      </c>
      <c r="GP6" s="9">
        <f>IF(SUM(GN6:GO6)&gt;0,SUM(GN6:GO6),"")</f>
        <v>87.36</v>
      </c>
      <c r="GQ6" s="9">
        <f>IF(GJ6&gt;0,GJ6,"")</f>
        <v>10</v>
      </c>
      <c r="GR6" s="9">
        <f>IF(SUM(GH6:GK6)-GL6&gt;0,SUM(GH6:GK6)-GL6,"")</f>
        <v>46.39</v>
      </c>
      <c r="GS6" s="9">
        <f>IF(SUM(GP6,GR6)&gt;0,SUM(GP6,GR6),"")</f>
        <v>133.75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16.350000000000001</v>
      </c>
      <c r="NO6" s="27">
        <f>IF($CV6="P",CC6,(CC6+AY6)/2)</f>
        <v>9.5500000000000007</v>
      </c>
      <c r="NP6" s="27">
        <f>IF($CV6="P",CD6,(CD6+AZ6)/2)</f>
        <v>0</v>
      </c>
      <c r="NQ6" s="27">
        <f>IF($CV6="P",CE6,(CE6+BA6)/2)</f>
        <v>14.86</v>
      </c>
      <c r="NR6" s="27">
        <f>IF($CV6="P",CF6,(CF6+BB6)/2)</f>
        <v>0</v>
      </c>
      <c r="NS6" s="27">
        <f>IF($CV6="P",CG6,(CG6+BC6)/2)</f>
        <v>10.9</v>
      </c>
      <c r="NT6" s="27">
        <f>IF($CV6="P",CH6,(CH6+BD6)/2)</f>
        <v>6.9499999999999993</v>
      </c>
      <c r="NU6" s="27">
        <f>IF($CV6="P",CI6,(CI6+BE6)/2)</f>
        <v>9.4</v>
      </c>
      <c r="NV6" s="27">
        <f>IF($CV6="P",CJ6,(CJ6+BF6)/2)</f>
        <v>11.34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13.149999999999999</v>
      </c>
      <c r="OD6" s="27">
        <f>IF($CV6="P",CR6,(CR6+BN6)/2)</f>
        <v>8.85</v>
      </c>
      <c r="OE6" s="27">
        <f>IF($CV6="P",CS6,(CS6+BO6)/2)</f>
        <v>10.649999999999999</v>
      </c>
      <c r="OF6" s="27">
        <f>IF($CV6="P",CT6,(CT6+BP6)/2)</f>
        <v>13.86</v>
      </c>
      <c r="OG6" s="27">
        <f>IF($CV6="P",CU6,(CU6+BQ6)/2)</f>
        <v>0</v>
      </c>
      <c r="OH6" s="32" t="s">
        <v>44</v>
      </c>
      <c r="OI6" s="7">
        <f>IF(SUM(NN6:NQ6)-NR6&gt;0,SUM(NN6:NQ6)-NR6,"")</f>
        <v>40.760000000000005</v>
      </c>
      <c r="OJ6" s="7">
        <f>IF(NU6&gt;0,NU6,"")</f>
        <v>9.4</v>
      </c>
      <c r="OK6" s="7">
        <f>IF(SUM(NS6:NV6)-NW6&gt;0,SUM(NS6:NV6)-NW6,"")</f>
        <v>38.590000000000003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79.350000000000009</v>
      </c>
      <c r="OO6" s="7">
        <f>IF(OE6&gt;0,OE6,"")</f>
        <v>10.649999999999999</v>
      </c>
      <c r="OP6" s="7">
        <f t="shared" ref="OP6" si="4">IF(SUM(OC6:OF6)-OG6&gt;0,SUM(OC6:OF6)-OG6,"")</f>
        <v>46.51</v>
      </c>
      <c r="OQ6" s="7">
        <f t="shared" ref="OQ6" si="5">IF(SUM(ON6,OP6)&gt;0,SUM(ON6,OP6),"")</f>
        <v>125.86000000000001</v>
      </c>
    </row>
    <row r="7" spans="1:407" x14ac:dyDescent="0.2">
      <c r="B7" s="5"/>
      <c r="D7" s="1"/>
    </row>
    <row r="9" spans="1:407" x14ac:dyDescent="0.2">
      <c r="B9" s="28" t="s">
        <v>42</v>
      </c>
      <c r="C9" s="5"/>
      <c r="AP9" s="46"/>
      <c r="AQ9" s="46"/>
      <c r="AR9" s="46"/>
      <c r="AU9" s="2"/>
      <c r="AW9" s="24">
        <v>11.2</v>
      </c>
      <c r="BT9" s="46"/>
      <c r="BU9" s="46"/>
      <c r="BV9" s="46"/>
      <c r="BY9" s="2"/>
      <c r="CA9" s="24">
        <v>11.2</v>
      </c>
      <c r="CX9" s="46"/>
      <c r="CY9" s="46"/>
      <c r="CZ9" s="46"/>
      <c r="DC9" s="2"/>
      <c r="DE9" s="24">
        <v>11.2</v>
      </c>
      <c r="DY9" s="5"/>
      <c r="EC9" s="2"/>
      <c r="EE9" s="24">
        <v>11.2</v>
      </c>
      <c r="EU9" s="5"/>
      <c r="EY9" s="2"/>
      <c r="FA9" s="24">
        <v>11.2</v>
      </c>
      <c r="FQ9" s="5"/>
      <c r="FU9" s="2"/>
      <c r="FW9" s="24">
        <v>11.2</v>
      </c>
      <c r="GM9" s="5"/>
      <c r="GQ9" s="2"/>
      <c r="GS9" s="24">
        <v>11.2</v>
      </c>
      <c r="HI9" s="5"/>
      <c r="HM9" s="2"/>
      <c r="HO9" s="24">
        <v>11.2</v>
      </c>
      <c r="IE9" s="5"/>
      <c r="II9" s="2"/>
      <c r="IK9" s="24">
        <v>11.2</v>
      </c>
      <c r="JA9" s="5"/>
      <c r="JE9" s="2"/>
      <c r="JG9" s="24">
        <v>11.2</v>
      </c>
      <c r="JW9" s="5"/>
      <c r="KA9" s="2"/>
      <c r="KC9" s="24">
        <v>11.2</v>
      </c>
      <c r="KS9" s="5"/>
      <c r="KW9" s="2"/>
      <c r="KY9" s="24">
        <v>11.2</v>
      </c>
      <c r="LO9" s="5"/>
      <c r="LS9" s="2"/>
      <c r="LU9" s="24">
        <v>11.2</v>
      </c>
      <c r="MK9" s="5"/>
      <c r="MO9" s="2"/>
      <c r="MQ9" s="24">
        <v>11.2</v>
      </c>
      <c r="NG9" s="5"/>
      <c r="NK9" s="2"/>
      <c r="NM9" s="24">
        <v>11.2</v>
      </c>
    </row>
    <row r="10" spans="1:407" hidden="1" x14ac:dyDescent="0.2">
      <c r="B10" s="35" t="s">
        <v>41</v>
      </c>
      <c r="C10" s="5"/>
      <c r="AP10" s="46"/>
      <c r="AQ10" s="46"/>
      <c r="AR10" s="46"/>
      <c r="AU10" s="2"/>
      <c r="AW10" s="37">
        <v>11.2</v>
      </c>
      <c r="BT10" s="46"/>
      <c r="BU10" s="46"/>
      <c r="BV10" s="46"/>
      <c r="BY10" s="2"/>
      <c r="CA10" s="37">
        <v>11.2</v>
      </c>
      <c r="CX10" s="46"/>
      <c r="CY10" s="46"/>
      <c r="CZ10" s="46"/>
      <c r="DC10" s="2"/>
      <c r="DE10" s="37">
        <v>11.2</v>
      </c>
      <c r="DY10" s="5"/>
      <c r="EC10" s="2"/>
      <c r="EE10" s="37">
        <v>11.2</v>
      </c>
      <c r="EU10" s="5"/>
      <c r="EY10" s="2"/>
      <c r="FA10" s="37">
        <v>11.2</v>
      </c>
      <c r="FQ10" s="5"/>
      <c r="FU10" s="2"/>
      <c r="FW10" s="37">
        <v>11.2</v>
      </c>
      <c r="GM10" s="5"/>
      <c r="GQ10" s="2"/>
      <c r="GS10" s="37">
        <v>11.2</v>
      </c>
      <c r="HI10" s="5"/>
      <c r="HM10" s="2"/>
      <c r="HO10" s="37">
        <v>11.2</v>
      </c>
      <c r="IE10" s="5"/>
      <c r="II10" s="2"/>
      <c r="IK10" s="37">
        <v>11.2</v>
      </c>
      <c r="JA10" s="5"/>
      <c r="JE10" s="2"/>
      <c r="JG10" s="37">
        <v>11.2</v>
      </c>
      <c r="JW10" s="5"/>
      <c r="KA10" s="2"/>
      <c r="KC10" s="37">
        <v>11.2</v>
      </c>
      <c r="KS10" s="5"/>
      <c r="KW10" s="2"/>
      <c r="KY10" s="37">
        <v>11.2</v>
      </c>
      <c r="LO10" s="5"/>
      <c r="LS10" s="2"/>
      <c r="LU10" s="37">
        <v>11.2</v>
      </c>
      <c r="MK10" s="5"/>
      <c r="MO10" s="2"/>
      <c r="MQ10" s="37">
        <v>11.2</v>
      </c>
      <c r="NG10" s="5"/>
      <c r="NK10" s="2"/>
      <c r="NM10" s="37">
        <v>11.2</v>
      </c>
    </row>
    <row r="11" spans="1:407" x14ac:dyDescent="0.2">
      <c r="A11" s="5"/>
      <c r="B11" s="36" t="s">
        <v>54</v>
      </c>
      <c r="C11" s="5"/>
      <c r="AP11" s="46"/>
      <c r="AQ11" s="46"/>
      <c r="AR11" s="46"/>
      <c r="AT11" s="2"/>
      <c r="AU11" s="2"/>
      <c r="AV11" s="2"/>
      <c r="AW11" s="38">
        <v>11.2</v>
      </c>
      <c r="BT11" s="46"/>
      <c r="BU11" s="46"/>
      <c r="BV11" s="46"/>
      <c r="BY11" s="2"/>
      <c r="CA11" s="38">
        <v>11.2</v>
      </c>
      <c r="CX11" s="46"/>
      <c r="CY11" s="46"/>
      <c r="CZ11" s="46"/>
      <c r="DB11" s="2"/>
      <c r="DC11" s="2"/>
      <c r="DD11" s="2"/>
      <c r="DE11" s="38">
        <v>11.2</v>
      </c>
      <c r="DY11" s="5"/>
      <c r="EC11" s="2"/>
      <c r="EE11" s="38">
        <v>11.2</v>
      </c>
      <c r="EU11" s="5"/>
      <c r="EY11" s="2"/>
      <c r="FA11" s="38">
        <v>11.2</v>
      </c>
      <c r="FQ11" s="5"/>
      <c r="FU11" s="2"/>
      <c r="FW11" s="38">
        <v>11.2</v>
      </c>
      <c r="GM11" s="5"/>
      <c r="GQ11" s="2"/>
      <c r="GS11" s="38">
        <v>11.2</v>
      </c>
      <c r="HI11" s="5"/>
      <c r="HM11" s="2"/>
      <c r="HO11" s="38">
        <v>11.2</v>
      </c>
      <c r="IE11" s="5"/>
      <c r="II11" s="2"/>
      <c r="IK11" s="38">
        <v>11.2</v>
      </c>
      <c r="JA11" s="5"/>
      <c r="JE11" s="2"/>
      <c r="JG11" s="38">
        <v>11.2</v>
      </c>
      <c r="JW11" s="5"/>
      <c r="KA11" s="2"/>
      <c r="KC11" s="38">
        <v>11.2</v>
      </c>
      <c r="KS11" s="5"/>
      <c r="KW11" s="2"/>
      <c r="KY11" s="38">
        <v>11.2</v>
      </c>
      <c r="LO11" s="5"/>
      <c r="LS11" s="2"/>
      <c r="LU11" s="38">
        <v>11.2</v>
      </c>
      <c r="MK11" s="5"/>
      <c r="MO11" s="2"/>
      <c r="MQ11" s="38">
        <v>11.2</v>
      </c>
      <c r="NG11" s="5"/>
      <c r="NK11" s="2"/>
      <c r="NM11" s="38">
        <v>11.2</v>
      </c>
    </row>
    <row r="12" spans="1:407" x14ac:dyDescent="0.2">
      <c r="A12" s="5"/>
      <c r="B12" s="44" t="s">
        <v>59</v>
      </c>
      <c r="C12" s="5"/>
      <c r="AP12" s="46"/>
      <c r="AQ12" s="46"/>
      <c r="AR12" s="46"/>
      <c r="AT12" s="2"/>
      <c r="AU12" s="2"/>
      <c r="AV12" s="2"/>
      <c r="AW12" s="45">
        <v>11.2</v>
      </c>
      <c r="BT12" s="46"/>
      <c r="BU12" s="46"/>
      <c r="BV12" s="46"/>
      <c r="BY12" s="2"/>
      <c r="CA12" s="45">
        <v>11.2</v>
      </c>
      <c r="CX12" s="46"/>
      <c r="CY12" s="46"/>
      <c r="CZ12" s="46"/>
      <c r="DB12" s="2"/>
      <c r="DC12" s="2"/>
      <c r="DD12" s="2"/>
      <c r="DE12" s="45">
        <v>11.2</v>
      </c>
      <c r="DY12" s="5"/>
      <c r="EC12" s="2"/>
      <c r="EE12" s="45">
        <v>11.2</v>
      </c>
      <c r="EU12" s="5"/>
      <c r="EY12" s="2"/>
      <c r="FA12" s="45">
        <v>11.2</v>
      </c>
      <c r="FQ12" s="5"/>
      <c r="FU12" s="2"/>
      <c r="FW12" s="45">
        <v>11.2</v>
      </c>
      <c r="GM12" s="5"/>
      <c r="GQ12" s="2"/>
      <c r="GS12" s="45">
        <v>11.2</v>
      </c>
      <c r="HI12" s="5"/>
      <c r="HM12" s="2"/>
      <c r="HO12" s="45">
        <v>11.2</v>
      </c>
      <c r="IE12" s="5"/>
      <c r="II12" s="2"/>
      <c r="IK12" s="45">
        <v>11.2</v>
      </c>
      <c r="JA12" s="5"/>
      <c r="JE12" s="2"/>
      <c r="JG12" s="45">
        <v>11.2</v>
      </c>
      <c r="JW12" s="5"/>
      <c r="KA12" s="2"/>
      <c r="KC12" s="45">
        <v>11.2</v>
      </c>
      <c r="KS12" s="5"/>
      <c r="KW12" s="2"/>
      <c r="KY12" s="45">
        <v>11.2</v>
      </c>
      <c r="LO12" s="5"/>
      <c r="LS12" s="2"/>
      <c r="LU12" s="45">
        <v>11.2</v>
      </c>
      <c r="MK12" s="5"/>
      <c r="MO12" s="2"/>
      <c r="MQ12" s="45">
        <v>11.2</v>
      </c>
      <c r="NG12" s="5"/>
      <c r="NK12" s="2"/>
      <c r="NM12" s="45">
        <v>11.2</v>
      </c>
    </row>
    <row r="13" spans="1:407" x14ac:dyDescent="0.2">
      <c r="A13" s="5"/>
      <c r="B13" s="42" t="s">
        <v>39</v>
      </c>
      <c r="C13" s="5"/>
      <c r="M13" s="2"/>
      <c r="AP13" s="46"/>
      <c r="AQ13" s="46"/>
      <c r="AR13" s="46"/>
      <c r="AT13" s="2"/>
      <c r="AU13" s="2"/>
      <c r="AV13" s="2"/>
      <c r="AW13" s="43">
        <v>90.2</v>
      </c>
      <c r="BT13" s="46"/>
      <c r="BU13" s="46"/>
      <c r="BV13" s="46"/>
      <c r="BY13" s="2"/>
      <c r="CA13" s="43">
        <v>90.2</v>
      </c>
      <c r="CX13" s="46"/>
      <c r="CY13" s="46"/>
      <c r="CZ13" s="46"/>
      <c r="DB13" s="2"/>
      <c r="DC13" s="2"/>
      <c r="DD13" s="2"/>
      <c r="DE13" s="43">
        <v>90.2</v>
      </c>
      <c r="DY13" s="5"/>
      <c r="EC13" s="2"/>
      <c r="EE13" s="43">
        <v>90.2</v>
      </c>
      <c r="EU13" s="5"/>
      <c r="EY13" s="2"/>
      <c r="FA13" s="43">
        <v>90.2</v>
      </c>
      <c r="FQ13" s="5"/>
      <c r="FU13" s="2"/>
      <c r="FW13" s="43">
        <v>90.2</v>
      </c>
      <c r="GM13" s="5"/>
      <c r="GQ13" s="2"/>
      <c r="GS13" s="43">
        <v>90.2</v>
      </c>
      <c r="HI13" s="5"/>
      <c r="HM13" s="2"/>
      <c r="HO13" s="43">
        <v>90.2</v>
      </c>
      <c r="IE13" s="5"/>
      <c r="II13" s="2"/>
      <c r="IK13" s="43">
        <v>90.2</v>
      </c>
      <c r="JA13" s="5"/>
      <c r="JE13" s="2"/>
      <c r="JG13" s="43">
        <v>90.2</v>
      </c>
      <c r="JW13" s="5"/>
      <c r="KA13" s="2"/>
      <c r="KC13" s="43">
        <v>90.2</v>
      </c>
      <c r="KS13" s="5"/>
      <c r="KW13" s="2"/>
      <c r="KY13" s="43">
        <v>90.2</v>
      </c>
      <c r="LO13" s="5"/>
      <c r="LS13" s="2"/>
      <c r="LU13" s="43">
        <v>90.2</v>
      </c>
      <c r="MK13" s="5"/>
      <c r="MO13" s="2"/>
      <c r="MQ13" s="43">
        <v>90.2</v>
      </c>
      <c r="NG13" s="5"/>
      <c r="NK13" s="2"/>
      <c r="NM13" s="43">
        <v>90.2</v>
      </c>
    </row>
    <row r="14" spans="1:407" hidden="1" x14ac:dyDescent="0.2">
      <c r="A14" s="5"/>
      <c r="B14" s="29" t="s">
        <v>40</v>
      </c>
      <c r="C14" s="5"/>
      <c r="M14" s="2"/>
      <c r="AP14" s="46"/>
      <c r="AQ14" s="46"/>
      <c r="AR14" s="46"/>
      <c r="AT14" s="2"/>
      <c r="AU14" s="2"/>
      <c r="AV14" s="2"/>
      <c r="AW14" s="25">
        <v>93.1</v>
      </c>
      <c r="BT14" s="46"/>
      <c r="BU14" s="46"/>
      <c r="BV14" s="46"/>
      <c r="BY14" s="2"/>
      <c r="CA14" s="25">
        <v>93.1</v>
      </c>
      <c r="CX14" s="46"/>
      <c r="CY14" s="46"/>
      <c r="CZ14" s="46"/>
      <c r="DB14" s="2"/>
      <c r="DC14" s="2"/>
      <c r="DD14" s="2"/>
      <c r="DE14" s="25">
        <v>93.1</v>
      </c>
      <c r="DY14" s="5"/>
      <c r="EC14" s="2"/>
      <c r="EE14" s="25">
        <v>93.1</v>
      </c>
      <c r="EU14" s="5"/>
      <c r="EY14" s="2"/>
      <c r="FA14" s="25">
        <v>93.1</v>
      </c>
      <c r="FQ14" s="5"/>
      <c r="FU14" s="2"/>
      <c r="FW14" s="25">
        <v>93.1</v>
      </c>
      <c r="GM14" s="5"/>
      <c r="GQ14" s="2"/>
      <c r="GS14" s="25">
        <v>93.1</v>
      </c>
      <c r="HI14" s="5"/>
      <c r="HM14" s="2"/>
      <c r="HO14" s="25">
        <v>93.1</v>
      </c>
      <c r="IE14" s="5"/>
      <c r="II14" s="2"/>
      <c r="IK14" s="25">
        <v>93.1</v>
      </c>
      <c r="JA14" s="5"/>
      <c r="JE14" s="2"/>
      <c r="JG14" s="25">
        <v>93.1</v>
      </c>
      <c r="JW14" s="5"/>
      <c r="KA14" s="2"/>
      <c r="KC14" s="25">
        <v>93.1</v>
      </c>
      <c r="KS14" s="5"/>
      <c r="KW14" s="2"/>
      <c r="KY14" s="25">
        <v>93.1</v>
      </c>
      <c r="LO14" s="5"/>
      <c r="LS14" s="2"/>
      <c r="LU14" s="25">
        <v>93.1</v>
      </c>
      <c r="MK14" s="5"/>
      <c r="MO14" s="2"/>
      <c r="MQ14" s="25">
        <v>93.1</v>
      </c>
      <c r="NG14" s="5"/>
      <c r="NK14" s="2"/>
      <c r="NM14" s="25">
        <v>93.1</v>
      </c>
    </row>
    <row r="15" spans="1:407" x14ac:dyDescent="0.2">
      <c r="A15" s="5"/>
      <c r="B15" s="40" t="s">
        <v>53</v>
      </c>
      <c r="C15" s="5"/>
      <c r="AP15" s="46"/>
      <c r="AQ15" s="46"/>
      <c r="AR15" s="46"/>
      <c r="AT15" s="2"/>
      <c r="AU15" s="2"/>
      <c r="AV15" s="49"/>
      <c r="AW15" s="41">
        <v>93.1</v>
      </c>
      <c r="BT15" s="46"/>
      <c r="BU15" s="46"/>
      <c r="BV15" s="46"/>
      <c r="BY15" s="2"/>
      <c r="BZ15" s="48"/>
      <c r="CA15" s="41">
        <v>93.1</v>
      </c>
      <c r="CX15" s="46"/>
      <c r="CY15" s="46"/>
      <c r="CZ15" s="46"/>
      <c r="DB15" s="2"/>
      <c r="DC15" s="2"/>
      <c r="DD15" s="2"/>
      <c r="DE15" s="41">
        <v>93.1</v>
      </c>
      <c r="DY15" s="5"/>
      <c r="EC15" s="2"/>
      <c r="EE15" s="41">
        <v>93.1</v>
      </c>
      <c r="EU15" s="5"/>
      <c r="EY15" s="2"/>
      <c r="FA15" s="41">
        <v>93.1</v>
      </c>
      <c r="FQ15" s="5"/>
      <c r="FU15" s="2"/>
      <c r="FW15" s="41">
        <v>93.1</v>
      </c>
      <c r="GM15" s="5"/>
      <c r="GQ15" s="2"/>
      <c r="GR15" s="48"/>
      <c r="GS15" s="41">
        <v>93.1</v>
      </c>
      <c r="HI15" s="5"/>
      <c r="HM15" s="2"/>
      <c r="HN15" s="48"/>
      <c r="HO15" s="41">
        <v>93.1</v>
      </c>
      <c r="IE15" s="5"/>
      <c r="II15" s="2"/>
      <c r="IK15" s="41">
        <v>93.1</v>
      </c>
      <c r="JA15" s="5"/>
      <c r="JE15" s="2"/>
      <c r="JG15" s="41">
        <v>93.1</v>
      </c>
      <c r="JW15" s="5"/>
      <c r="KA15" s="2"/>
      <c r="KB15" s="50"/>
      <c r="KC15" s="41">
        <v>93.1</v>
      </c>
      <c r="KS15" s="5"/>
      <c r="KW15" s="2"/>
      <c r="KY15" s="41">
        <v>93.1</v>
      </c>
      <c r="LO15" s="5"/>
      <c r="LS15" s="2"/>
      <c r="LU15" s="41">
        <v>93.1</v>
      </c>
      <c r="MK15" s="5"/>
      <c r="MO15" s="2"/>
      <c r="MP15" s="50"/>
      <c r="MQ15" s="41">
        <v>93.1</v>
      </c>
      <c r="NG15" s="5"/>
      <c r="NK15" s="2"/>
      <c r="NM15" s="41">
        <v>93.1</v>
      </c>
    </row>
    <row r="16" spans="1:407" x14ac:dyDescent="0.2">
      <c r="A16" s="5"/>
      <c r="B16" s="30" t="s">
        <v>26</v>
      </c>
      <c r="C16" s="5"/>
      <c r="M16" s="2"/>
      <c r="AP16" s="46"/>
      <c r="AQ16" s="46"/>
      <c r="AR16" s="46"/>
      <c r="AT16" s="2"/>
      <c r="AU16" s="2"/>
      <c r="AV16" s="2"/>
      <c r="AW16" s="26">
        <v>51</v>
      </c>
      <c r="BT16" s="46"/>
      <c r="BU16" s="46"/>
      <c r="BV16" s="46"/>
      <c r="BY16" s="2"/>
      <c r="CA16" s="26">
        <v>51</v>
      </c>
      <c r="CX16" s="46"/>
      <c r="CY16" s="46"/>
      <c r="CZ16" s="46"/>
      <c r="DB16" s="2"/>
      <c r="DC16" s="2"/>
      <c r="DD16" s="2"/>
      <c r="DE16" s="26">
        <v>51</v>
      </c>
      <c r="DY16" s="5"/>
      <c r="EC16" s="2"/>
      <c r="EE16" s="26">
        <v>51</v>
      </c>
      <c r="EU16" s="5"/>
      <c r="EY16" s="2"/>
      <c r="FA16" s="26">
        <v>51</v>
      </c>
      <c r="FQ16" s="5"/>
      <c r="FU16" s="2"/>
      <c r="FW16" s="26">
        <v>51</v>
      </c>
      <c r="GM16" s="5"/>
      <c r="GQ16" s="2"/>
      <c r="GR16" s="48"/>
      <c r="GS16" s="26">
        <v>51</v>
      </c>
      <c r="HI16" s="5"/>
      <c r="HM16" s="2"/>
      <c r="HO16" s="26">
        <v>51</v>
      </c>
      <c r="IE16" s="5"/>
      <c r="II16" s="2"/>
      <c r="IK16" s="26">
        <v>51</v>
      </c>
      <c r="JA16" s="5"/>
      <c r="JE16" s="2"/>
      <c r="JG16" s="26">
        <v>51</v>
      </c>
      <c r="JW16" s="5"/>
      <c r="KA16" s="2"/>
      <c r="KC16" s="26">
        <v>51</v>
      </c>
      <c r="KS16" s="5"/>
      <c r="KW16" s="2"/>
      <c r="KY16" s="26">
        <v>51</v>
      </c>
      <c r="LO16" s="5"/>
      <c r="LS16" s="2"/>
      <c r="LU16" s="26">
        <v>51</v>
      </c>
      <c r="MK16" s="5"/>
      <c r="MO16" s="2"/>
      <c r="MQ16" s="26">
        <v>51</v>
      </c>
      <c r="NG16" s="5"/>
      <c r="NK16" s="2"/>
      <c r="NM16" s="26">
        <v>51</v>
      </c>
    </row>
    <row r="17" spans="1:152" x14ac:dyDescent="0.2">
      <c r="B17" s="34" t="s">
        <v>45</v>
      </c>
      <c r="C17" s="2"/>
      <c r="AS17" s="2"/>
      <c r="AT17" s="2"/>
      <c r="AV17" s="2"/>
      <c r="DA17" s="2"/>
      <c r="DB17" s="2"/>
      <c r="DD17" s="2"/>
      <c r="EV17" s="2"/>
    </row>
    <row r="18" spans="1:152" x14ac:dyDescent="0.2">
      <c r="A18" s="5"/>
      <c r="B18" s="5"/>
      <c r="C18" s="22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52" ht="17" x14ac:dyDescent="0.2">
      <c r="A19" s="5"/>
      <c r="B19" s="5"/>
      <c r="C19" s="22"/>
      <c r="Q19" s="11"/>
      <c r="R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52" ht="17" x14ac:dyDescent="0.2">
      <c r="A20" s="5"/>
      <c r="B20" s="5"/>
      <c r="C20" s="22"/>
      <c r="Q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52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52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52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152" ht="17" x14ac:dyDescent="0.2">
      <c r="Q24" s="11"/>
      <c r="R24" s="11"/>
      <c r="S24" s="11"/>
    </row>
    <row r="25" spans="1:152" ht="17" x14ac:dyDescent="0.2">
      <c r="Q25" s="11"/>
      <c r="R25" s="11"/>
      <c r="S25" s="11"/>
    </row>
    <row r="26" spans="1:152" ht="17" x14ac:dyDescent="0.2">
      <c r="Q26" s="11"/>
      <c r="R26" s="11"/>
      <c r="S26" s="11"/>
    </row>
    <row r="27" spans="1:152" ht="17" x14ac:dyDescent="0.2">
      <c r="Q27" s="11"/>
      <c r="R27" s="11"/>
      <c r="S27" s="11"/>
    </row>
    <row r="28" spans="1:152" ht="17" x14ac:dyDescent="0.2">
      <c r="Q28" s="11"/>
      <c r="R28" s="11"/>
      <c r="S28" s="11"/>
    </row>
    <row r="29" spans="1:152" ht="17" x14ac:dyDescent="0.2">
      <c r="Q29" s="11"/>
      <c r="R29" s="11"/>
      <c r="S29" s="11"/>
    </row>
    <row r="30" spans="1:152" ht="17" x14ac:dyDescent="0.2">
      <c r="Q30" s="11"/>
      <c r="R30" s="11"/>
      <c r="S30" s="11"/>
    </row>
    <row r="31" spans="1:152" ht="17" x14ac:dyDescent="0.2">
      <c r="Q31" s="11"/>
      <c r="R31" s="11"/>
      <c r="S31" s="11"/>
    </row>
    <row r="32" spans="1:152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6">
      <sortCondition descending="1" ref="F1:F7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6">
    <cfRule type="expression" dxfId="151" priority="7" stopIfTrue="1">
      <formula>IF($AN4&lt;&gt;"",1,0)</formula>
    </cfRule>
  </conditionalFormatting>
  <conditionalFormatting sqref="AX4:CA6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6">
    <cfRule type="expression" dxfId="146" priority="16" stopIfTrue="1">
      <formula>IF($CV4&lt;&gt;"",1,0)</formula>
    </cfRule>
  </conditionalFormatting>
  <conditionalFormatting sqref="GR17:GR1048576 HN16:HN1048576 KB16:KB1048576 MP16:MP1048576 AV1:AV1048576 BZ1:BZ1048576 DD1:DD1048576 ED1:ED1048576 EZ1:EZ1048576 FV1:FV1048576 GR1:GR14 HN1:HN14 IJ1:IJ1048576 JF1:JF1048576 KB1:KB14 KX1:KX1048576 LT1:LT1048576 MP1:MP14 NL1:NL1048576">
    <cfRule type="cellIs" dxfId="145" priority="37585" operator="between">
      <formula>AW$16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60893" operator="between">
      <formula>AW$16</formula>
      <formula>1000</formula>
    </cfRule>
    <cfRule type="cellIs" dxfId="136" priority="60894" operator="between">
      <formula>AW$15</formula>
      <formula>AW$16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60983" operator="between">
      <formula>AW$15</formula>
      <formula>1000</formula>
    </cfRule>
    <cfRule type="cellIs" dxfId="134" priority="60984" operator="between">
      <formula>AW$14</formula>
      <formula>AW$15</formula>
    </cfRule>
    <cfRule type="cellIs" dxfId="133" priority="60985" operator="between">
      <formula>AW$13</formula>
      <formula>AW$14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61118" operator="between">
      <formula>EE$12</formula>
      <formula>1000</formula>
    </cfRule>
    <cfRule type="cellIs" dxfId="131" priority="61119" operator="between">
      <formula>EE$11</formula>
      <formula>EE$12</formula>
    </cfRule>
    <cfRule type="cellIs" dxfId="130" priority="61120" operator="between">
      <formula>EE$10</formula>
      <formula>EE$11</formula>
    </cfRule>
    <cfRule type="cellIs" dxfId="129" priority="61121" operator="between">
      <formula>EE$9</formula>
      <formula>EE$10</formula>
    </cfRule>
  </conditionalFormatting>
  <conditionalFormatting sqref="AP1:AP1048576 BT1:BT1048576 CX1:CX1048576">
    <cfRule type="cellIs" dxfId="128" priority="61262" operator="between">
      <formula>AW$12</formula>
      <formula>1000</formula>
    </cfRule>
    <cfRule type="cellIs" dxfId="127" priority="61263" operator="between">
      <formula>AW$11</formula>
      <formula>AW$12</formula>
    </cfRule>
    <cfRule type="cellIs" dxfId="126" priority="61264" operator="between">
      <formula>AW$10</formula>
      <formula>AW$11</formula>
    </cfRule>
    <cfRule type="cellIs" dxfId="125" priority="61265" operator="between">
      <formula>AW$9</formula>
      <formula>AW$10</formula>
    </cfRule>
  </conditionalFormatting>
  <conditionalFormatting sqref="AQ1:AQ1048576 BU1:BU1048576 CY1:CY1048576">
    <cfRule type="cellIs" dxfId="124" priority="61298" operator="between">
      <formula>AW$16</formula>
      <formula>1000</formula>
    </cfRule>
  </conditionalFormatting>
  <conditionalFormatting sqref="AR1:AR1048576 BV1:BV1048576 CZ1:CZ1048576">
    <cfRule type="cellIs" dxfId="123" priority="61307" operator="between">
      <formula>AW$12</formula>
      <formula>1000</formula>
    </cfRule>
    <cfRule type="cellIs" dxfId="122" priority="61308" operator="between">
      <formula>AW$11</formula>
      <formula>AW$12</formula>
    </cfRule>
    <cfRule type="cellIs" dxfId="121" priority="61309" operator="between">
      <formula>AW$10</formula>
      <formula>AW$11</formula>
    </cfRule>
    <cfRule type="cellIs" dxfId="120" priority="61310" operator="between">
      <formula>AW$9</formula>
      <formula>AW$10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61343" operator="between">
      <formula>AW$12</formula>
      <formula>1000</formula>
    </cfRule>
    <cfRule type="cellIs" dxfId="118" priority="61344" operator="between">
      <formula>AW$11</formula>
      <formula>AW$12</formula>
    </cfRule>
    <cfRule type="cellIs" dxfId="117" priority="61345" operator="between">
      <formula>AW$10</formula>
      <formula>AW$11</formula>
    </cfRule>
    <cfRule type="cellIs" dxfId="116" priority="61346" operator="between">
      <formula>AW$9</formula>
      <formula>AW$10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68</v>
      </c>
      <c r="J1" s="75" t="s">
        <v>24</v>
      </c>
      <c r="K1" s="81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91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8" t="s">
        <v>74</v>
      </c>
      <c r="AI2" s="78"/>
      <c r="AJ2" s="78"/>
      <c r="AK2" s="78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0" t="s">
        <v>70</v>
      </c>
      <c r="AT2" s="70"/>
      <c r="AU2" s="70"/>
      <c r="AV2" s="70"/>
      <c r="AW2" s="70" t="s">
        <v>71</v>
      </c>
      <c r="AX2" s="70"/>
      <c r="AY2" s="70"/>
      <c r="AZ2" s="70"/>
      <c r="BA2" s="70" t="s">
        <v>72</v>
      </c>
      <c r="BB2" s="70"/>
      <c r="BC2" s="70"/>
      <c r="BD2" s="70"/>
      <c r="BE2" s="70" t="s">
        <v>73</v>
      </c>
      <c r="BF2" s="70"/>
      <c r="BG2" s="70"/>
      <c r="BH2" s="70"/>
      <c r="BI2" s="79" t="s">
        <v>74</v>
      </c>
      <c r="BJ2" s="79"/>
      <c r="BK2" s="79"/>
      <c r="BL2" s="79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8" t="s">
        <v>74</v>
      </c>
      <c r="CK2" s="78"/>
      <c r="CL2" s="78"/>
      <c r="CM2" s="78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0" t="s">
        <v>74</v>
      </c>
      <c r="DN2" s="80"/>
      <c r="DO2" s="80"/>
      <c r="DP2" s="80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0" t="s">
        <v>70</v>
      </c>
      <c r="DX2" s="70"/>
      <c r="DY2" s="70"/>
      <c r="DZ2" s="70"/>
      <c r="EA2" s="70" t="s">
        <v>71</v>
      </c>
      <c r="EB2" s="70"/>
      <c r="EC2" s="70"/>
      <c r="ED2" s="70"/>
      <c r="EE2" s="70" t="s">
        <v>72</v>
      </c>
      <c r="EF2" s="70"/>
      <c r="EG2" s="70"/>
      <c r="EH2" s="70"/>
      <c r="EI2" s="70" t="s">
        <v>73</v>
      </c>
      <c r="EJ2" s="70"/>
      <c r="EK2" s="70"/>
      <c r="EL2" s="70"/>
      <c r="EM2" s="79" t="s">
        <v>74</v>
      </c>
      <c r="EN2" s="79"/>
      <c r="EO2" s="79"/>
      <c r="EP2" s="79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0" t="s">
        <v>74</v>
      </c>
      <c r="FN2" s="80"/>
      <c r="FO2" s="80"/>
      <c r="FP2" s="80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0" t="s">
        <v>70</v>
      </c>
      <c r="FX2" s="70"/>
      <c r="FY2" s="70"/>
      <c r="FZ2" s="70"/>
      <c r="GA2" s="70" t="s">
        <v>71</v>
      </c>
      <c r="GB2" s="70"/>
      <c r="GC2" s="70"/>
      <c r="GD2" s="70"/>
      <c r="GE2" s="70" t="s">
        <v>72</v>
      </c>
      <c r="GF2" s="70"/>
      <c r="GG2" s="70"/>
      <c r="GH2" s="70"/>
      <c r="GI2" s="70" t="s">
        <v>73</v>
      </c>
      <c r="GJ2" s="70"/>
      <c r="GK2" s="70"/>
      <c r="GL2" s="70"/>
      <c r="GM2" s="79" t="s">
        <v>74</v>
      </c>
      <c r="GN2" s="79"/>
      <c r="GO2" s="79"/>
      <c r="GP2" s="79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0" t="s">
        <v>74</v>
      </c>
      <c r="HN2" s="80"/>
      <c r="HO2" s="80"/>
      <c r="HP2" s="80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0" t="s">
        <v>70</v>
      </c>
      <c r="HX2" s="70"/>
      <c r="HY2" s="70"/>
      <c r="HZ2" s="70"/>
      <c r="IA2" s="70" t="s">
        <v>71</v>
      </c>
      <c r="IB2" s="70"/>
      <c r="IC2" s="70"/>
      <c r="ID2" s="70"/>
      <c r="IE2" s="70" t="s">
        <v>72</v>
      </c>
      <c r="IF2" s="70"/>
      <c r="IG2" s="70"/>
      <c r="IH2" s="70"/>
      <c r="II2" s="70" t="s">
        <v>73</v>
      </c>
      <c r="IJ2" s="70"/>
      <c r="IK2" s="70"/>
      <c r="IL2" s="70"/>
      <c r="IM2" s="79" t="s">
        <v>74</v>
      </c>
      <c r="IN2" s="79"/>
      <c r="IO2" s="79"/>
      <c r="IP2" s="79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0" t="s">
        <v>74</v>
      </c>
      <c r="JN2" s="80"/>
      <c r="JO2" s="80"/>
      <c r="JP2" s="80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0" t="s">
        <v>70</v>
      </c>
      <c r="JX2" s="70"/>
      <c r="JY2" s="70"/>
      <c r="JZ2" s="70"/>
      <c r="KA2" s="70" t="s">
        <v>71</v>
      </c>
      <c r="KB2" s="70"/>
      <c r="KC2" s="70"/>
      <c r="KD2" s="70"/>
      <c r="KE2" s="70" t="s">
        <v>72</v>
      </c>
      <c r="KF2" s="70"/>
      <c r="KG2" s="70"/>
      <c r="KH2" s="70"/>
      <c r="KI2" s="70" t="s">
        <v>73</v>
      </c>
      <c r="KJ2" s="70"/>
      <c r="KK2" s="70"/>
      <c r="KL2" s="70"/>
      <c r="KM2" s="79" t="s">
        <v>74</v>
      </c>
      <c r="KN2" s="79"/>
      <c r="KO2" s="79"/>
      <c r="KP2" s="79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0" t="s">
        <v>74</v>
      </c>
      <c r="LN2" s="80"/>
      <c r="LO2" s="80"/>
      <c r="LP2" s="80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0" t="s">
        <v>70</v>
      </c>
      <c r="LX2" s="70"/>
      <c r="LY2" s="70"/>
      <c r="LZ2" s="70"/>
      <c r="MA2" s="70" t="s">
        <v>71</v>
      </c>
      <c r="MB2" s="70"/>
      <c r="MC2" s="70"/>
      <c r="MD2" s="70"/>
      <c r="ME2" s="70" t="s">
        <v>72</v>
      </c>
      <c r="MF2" s="70"/>
      <c r="MG2" s="70"/>
      <c r="MH2" s="70"/>
      <c r="MI2" s="70" t="s">
        <v>73</v>
      </c>
      <c r="MJ2" s="70"/>
      <c r="MK2" s="70"/>
      <c r="ML2" s="70"/>
      <c r="MM2" s="79" t="s">
        <v>74</v>
      </c>
      <c r="MN2" s="79"/>
      <c r="MO2" s="79"/>
      <c r="MP2" s="79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0" t="s">
        <v>74</v>
      </c>
      <c r="NN2" s="80"/>
      <c r="NO2" s="80"/>
      <c r="NP2" s="80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0" t="s">
        <v>70</v>
      </c>
      <c r="NX2" s="70"/>
      <c r="NY2" s="70"/>
      <c r="NZ2" s="70"/>
      <c r="OA2" s="70" t="s">
        <v>71</v>
      </c>
      <c r="OB2" s="70"/>
      <c r="OC2" s="70"/>
      <c r="OD2" s="70"/>
      <c r="OE2" s="70" t="s">
        <v>72</v>
      </c>
      <c r="OF2" s="70"/>
      <c r="OG2" s="70"/>
      <c r="OH2" s="70"/>
      <c r="OI2" s="70" t="s">
        <v>73</v>
      </c>
      <c r="OJ2" s="70"/>
      <c r="OK2" s="70"/>
      <c r="OL2" s="70"/>
      <c r="OM2" s="79" t="s">
        <v>74</v>
      </c>
      <c r="ON2" s="79"/>
      <c r="OO2" s="79"/>
      <c r="OP2" s="79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8" t="s">
        <v>74</v>
      </c>
      <c r="PN2" s="78"/>
      <c r="PO2" s="78"/>
      <c r="PP2" s="78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t="str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/>
      </c>
      <c r="B4" s="5" t="s">
        <v>93</v>
      </c>
      <c r="C4" s="4"/>
      <c r="D4" s="4"/>
      <c r="E4" s="10">
        <f>SUM(I4:O4)+SUM(I4:M4)*0.0000001+SUM(I4)*0.0000000000001</f>
        <v>0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/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/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/>
      </c>
      <c r="I4" s="9">
        <f>IF(COUNT(AN4,BO4,CP4)&gt;0,LARGE((AN4,BO4,CP4),1),0)</f>
        <v>0</v>
      </c>
      <c r="J4" s="9" t="str">
        <f>IF(I4=0,"",IF(I4=CP4,$BT$1,IF(I4=BO4,$AS$1,IF(I4=AN4,$R$1,""))))</f>
        <v/>
      </c>
      <c r="K4" s="9">
        <f>IF(COUNT(AN4,BO4,CP4)&gt;1,LARGE((AN4,BO4,CP4),2),0)</f>
        <v>0</v>
      </c>
      <c r="L4" s="9" t="str">
        <f>IF(K4=0,"",IF(AND(K4=I4,K4=AN4,K4=BO4),$R$1,IF(AND(K4=I4,K4=AN4,K4=CP4),$R$1,IF(AND(K4=I4,K4=CP4,K4=BO4),$AS$1,IF(K4=CP4,$BT$1,IF(K4=BO4,$AS$1,IF(K4=AN4,$R$1,"")))))))</f>
        <v/>
      </c>
      <c r="M4" s="9">
        <f>IF(MAX(AQ4,BR4,CS4)&gt;0,MAX(AQ4,BR4,CS4),0)</f>
        <v>0</v>
      </c>
      <c r="N4" s="9" t="str">
        <f>IF(M4=0,"",IF(M4=CS4,$BT$1,IF(M4=BR4,$AS$1,IF(M4=AQ4,$R$1,""))))</f>
        <v/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IF(SUM(CP4,CQ4,CS4)&gt;0,SUM(CP4,CQ4,CS4),"")</f>
        <v/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4" si="0">IF($CN4="P",BT4,(BT4+AS4)/2)</f>
        <v>0</v>
      </c>
      <c r="OX4" s="27">
        <f t="shared" si="0"/>
        <v>0</v>
      </c>
      <c r="OY4" s="27">
        <f t="shared" si="0"/>
        <v>0</v>
      </c>
      <c r="OZ4" s="27">
        <f t="shared" si="0"/>
        <v>0</v>
      </c>
      <c r="PA4" s="27">
        <f t="shared" si="0"/>
        <v>0</v>
      </c>
      <c r="PB4" s="27">
        <f t="shared" si="0"/>
        <v>0</v>
      </c>
      <c r="PC4" s="27">
        <f t="shared" si="0"/>
        <v>0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4" si="1">IF($CN4="P",CD4,(CD4+BC4)/2)</f>
        <v>0</v>
      </c>
      <c r="PH4" s="27">
        <f t="shared" si="1"/>
        <v>0</v>
      </c>
      <c r="PI4" s="27">
        <f t="shared" si="1"/>
        <v>0</v>
      </c>
      <c r="PJ4" s="27">
        <f t="shared" si="1"/>
        <v>0</v>
      </c>
      <c r="PK4" s="27">
        <f t="shared" si="1"/>
        <v>0</v>
      </c>
      <c r="PL4" s="27">
        <f t="shared" si="1"/>
        <v>0</v>
      </c>
      <c r="PM4" s="27">
        <f t="shared" si="1"/>
        <v>0</v>
      </c>
      <c r="PN4" s="27">
        <f t="shared" si="1"/>
        <v>0</v>
      </c>
      <c r="PO4" s="27">
        <f t="shared" si="1"/>
        <v>0</v>
      </c>
      <c r="PP4" s="27">
        <f t="shared" si="1"/>
        <v>0</v>
      </c>
      <c r="PQ4" s="32" t="s">
        <v>44</v>
      </c>
      <c r="PR4" s="55" t="str">
        <f>IF(SUM(OX4,PB4)&gt;0,SUM(OX4,PB4),"")</f>
        <v/>
      </c>
      <c r="PS4" s="55" t="str">
        <f>IF(SUM(OW4:OX4,OZ4:PB4,PD4)-OY4-PC4&gt;0,SUM(OW4:OX4,OZ4:PB4,PD4)-OY4-PC4,"")</f>
        <v/>
      </c>
      <c r="PT4" s="55" t="str">
        <f>IF(SUM(PE4:PF4,PH4)-PG4&gt;0,SUM(PE4:PF4,PH4)-PG4,"")</f>
        <v/>
      </c>
      <c r="PU4" s="55" t="str">
        <f>IF(SUM(PJ4,PN4)&gt;0,SUM(PJ4,PN4),"")</f>
        <v/>
      </c>
      <c r="PV4" s="55" t="str">
        <f>IF(SUM(PI4:PJ4,PL4:PN4,PP4)-SUM(PK4,PO4)&gt;0,SUM(PI4:PJ4,PL4:PN4,PP4)-SUM(PK4,PO4),"")</f>
        <v/>
      </c>
      <c r="PW4" s="55" t="str">
        <f>IF(SUM(PS4,PT4,PV4)&gt;0,SUM(PS4,PT4,PV4),"")</f>
        <v/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8.6999999999999993</v>
      </c>
      <c r="BN7" s="4"/>
      <c r="BS7" s="57">
        <v>8.6999999999999993</v>
      </c>
      <c r="CO7" s="4"/>
      <c r="CT7" s="57">
        <v>8.6999999999999993</v>
      </c>
      <c r="DQ7" s="4"/>
      <c r="DV7" s="57">
        <v>8.6999999999999993</v>
      </c>
      <c r="EQ7" s="4"/>
      <c r="EV7" s="57">
        <v>8.6999999999999993</v>
      </c>
      <c r="FQ7" s="4"/>
      <c r="FV7" s="57">
        <v>8.6999999999999993</v>
      </c>
      <c r="GQ7" s="4"/>
      <c r="GV7" s="57">
        <v>8.6999999999999993</v>
      </c>
      <c r="HQ7" s="4"/>
      <c r="HV7" s="57">
        <v>8.6999999999999993</v>
      </c>
      <c r="IQ7" s="4"/>
      <c r="IV7" s="57">
        <v>8.6999999999999993</v>
      </c>
      <c r="JQ7" s="4"/>
      <c r="JV7" s="57">
        <v>8.6999999999999993</v>
      </c>
      <c r="KQ7" s="4"/>
      <c r="KV7" s="57">
        <v>8.6999999999999993</v>
      </c>
      <c r="LQ7" s="4"/>
      <c r="LV7" s="57">
        <v>8.6999999999999993</v>
      </c>
      <c r="MQ7" s="4"/>
      <c r="MV7" s="57">
        <v>8.6999999999999993</v>
      </c>
      <c r="NQ7" s="4"/>
      <c r="NV7" s="57">
        <v>8.6999999999999993</v>
      </c>
      <c r="OQ7" s="4"/>
      <c r="OV7" s="57">
        <v>8.6999999999999993</v>
      </c>
    </row>
    <row r="8" spans="1:439" ht="17" hidden="1" x14ac:dyDescent="0.2">
      <c r="B8" s="35" t="s">
        <v>41</v>
      </c>
      <c r="O8" s="11"/>
      <c r="P8" s="11"/>
      <c r="Q8" s="11"/>
      <c r="AM8" s="4"/>
      <c r="AR8" s="58">
        <f>AR9</f>
        <v>9.5</v>
      </c>
      <c r="BN8" s="4"/>
      <c r="BS8" s="58">
        <f>BS9</f>
        <v>9.5</v>
      </c>
      <c r="CO8" s="4"/>
      <c r="CT8" s="58">
        <f>CT9</f>
        <v>9.5</v>
      </c>
      <c r="DQ8" s="4"/>
      <c r="DV8" s="58">
        <f>DV9</f>
        <v>9.5</v>
      </c>
      <c r="EQ8" s="4"/>
      <c r="EV8" s="58">
        <f>EV9</f>
        <v>9.5</v>
      </c>
      <c r="FQ8" s="4"/>
      <c r="FV8" s="58">
        <f>FV9</f>
        <v>9.5</v>
      </c>
      <c r="GQ8" s="4"/>
      <c r="GV8" s="58">
        <f>GV9</f>
        <v>9.5</v>
      </c>
      <c r="HQ8" s="4"/>
      <c r="HV8" s="58">
        <f>HV9</f>
        <v>9.5</v>
      </c>
      <c r="IQ8" s="4"/>
      <c r="IV8" s="58">
        <f>IV9</f>
        <v>9.5</v>
      </c>
      <c r="JQ8" s="4"/>
      <c r="JV8" s="58">
        <f>JV9</f>
        <v>9.5</v>
      </c>
      <c r="KQ8" s="4"/>
      <c r="KV8" s="58">
        <f>KV9</f>
        <v>9.5</v>
      </c>
      <c r="LQ8" s="4"/>
      <c r="LV8" s="58">
        <f>LV9</f>
        <v>9.5</v>
      </c>
      <c r="MQ8" s="4"/>
      <c r="MV8" s="58">
        <f>MV9</f>
        <v>9.5</v>
      </c>
      <c r="NQ8" s="4"/>
      <c r="NV8" s="58">
        <f>NV9</f>
        <v>9.5</v>
      </c>
      <c r="OQ8" s="4"/>
      <c r="OV8" s="58">
        <f>OV9</f>
        <v>9.5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9.5</v>
      </c>
      <c r="BN9" s="4"/>
      <c r="BS9" s="59">
        <v>9.5</v>
      </c>
      <c r="CO9" s="4"/>
      <c r="CT9" s="59">
        <v>9.5</v>
      </c>
      <c r="DQ9" s="4"/>
      <c r="DV9" s="59">
        <v>9.5</v>
      </c>
      <c r="EQ9" s="4"/>
      <c r="EV9" s="59">
        <v>9.5</v>
      </c>
      <c r="FQ9" s="4"/>
      <c r="FV9" s="59">
        <v>9.5</v>
      </c>
      <c r="GQ9" s="4"/>
      <c r="GV9" s="59">
        <v>9.5</v>
      </c>
      <c r="HQ9" s="4"/>
      <c r="HV9" s="59">
        <v>9.5</v>
      </c>
      <c r="IQ9" s="4"/>
      <c r="IV9" s="59">
        <v>9.5</v>
      </c>
      <c r="JQ9" s="4"/>
      <c r="JV9" s="59">
        <v>9.5</v>
      </c>
      <c r="KQ9" s="4"/>
      <c r="KV9" s="59">
        <v>9.5</v>
      </c>
      <c r="LQ9" s="4"/>
      <c r="LV9" s="59">
        <v>9.5</v>
      </c>
      <c r="MQ9" s="4"/>
      <c r="MV9" s="59">
        <v>9.5</v>
      </c>
      <c r="NQ9" s="4"/>
      <c r="NV9" s="59">
        <v>9.5</v>
      </c>
      <c r="OQ9" s="4"/>
      <c r="OV9" s="59">
        <v>9.5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43.1</v>
      </c>
      <c r="BN11" s="4"/>
      <c r="BS11" s="61">
        <v>43.1</v>
      </c>
      <c r="CO11" s="4"/>
      <c r="CT11" s="61">
        <v>43.1</v>
      </c>
      <c r="DQ11" s="4"/>
      <c r="DV11" s="61">
        <v>43.1</v>
      </c>
      <c r="EQ11" s="4"/>
      <c r="EV11" s="61">
        <v>43.1</v>
      </c>
      <c r="FQ11" s="4"/>
      <c r="FV11" s="61">
        <v>43.1</v>
      </c>
      <c r="GQ11" s="4"/>
      <c r="GV11" s="61">
        <v>43.1</v>
      </c>
      <c r="HQ11" s="4"/>
      <c r="HV11" s="61">
        <v>43.1</v>
      </c>
      <c r="IQ11" s="4"/>
      <c r="IV11" s="61">
        <v>43.1</v>
      </c>
      <c r="JQ11" s="4"/>
      <c r="JV11" s="61">
        <v>43.1</v>
      </c>
      <c r="KQ11" s="4"/>
      <c r="KV11" s="61">
        <v>43.1</v>
      </c>
      <c r="LQ11" s="4"/>
      <c r="LV11" s="61">
        <v>43.1</v>
      </c>
      <c r="MQ11" s="4"/>
      <c r="MV11" s="61">
        <v>43.1</v>
      </c>
      <c r="NQ11" s="4"/>
      <c r="NV11" s="61">
        <v>43.1</v>
      </c>
      <c r="OQ11" s="4"/>
      <c r="OV11" s="61">
        <v>43.1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f>AR13</f>
        <v>45.1</v>
      </c>
      <c r="BN12" s="4"/>
      <c r="BS12" s="62">
        <f>BS13</f>
        <v>45.1</v>
      </c>
      <c r="CO12" s="4"/>
      <c r="CT12" s="62">
        <f>CT13</f>
        <v>45.1</v>
      </c>
      <c r="DQ12" s="4"/>
      <c r="DV12" s="62">
        <f>DV13</f>
        <v>45.1</v>
      </c>
      <c r="EQ12" s="4"/>
      <c r="EV12" s="62">
        <f>EV13</f>
        <v>45.1</v>
      </c>
      <c r="FQ12" s="4"/>
      <c r="FV12" s="62">
        <f>FV13</f>
        <v>45.1</v>
      </c>
      <c r="GQ12" s="4"/>
      <c r="GV12" s="62">
        <f>GV13</f>
        <v>45.1</v>
      </c>
      <c r="HQ12" s="4"/>
      <c r="HV12" s="62">
        <f>HV13</f>
        <v>45.1</v>
      </c>
      <c r="IQ12" s="4"/>
      <c r="IV12" s="62">
        <f>IV13</f>
        <v>45.1</v>
      </c>
      <c r="JQ12" s="4"/>
      <c r="JV12" s="62">
        <f>JV13</f>
        <v>45.1</v>
      </c>
      <c r="KQ12" s="4"/>
      <c r="KV12" s="62">
        <f>KV13</f>
        <v>45.1</v>
      </c>
      <c r="LQ12" s="4"/>
      <c r="LV12" s="62">
        <f>LV13</f>
        <v>45.1</v>
      </c>
      <c r="MQ12" s="4"/>
      <c r="MV12" s="62">
        <f>MV13</f>
        <v>45.1</v>
      </c>
      <c r="NQ12" s="4"/>
      <c r="NV12" s="62">
        <f>NV13</f>
        <v>45.1</v>
      </c>
      <c r="OQ12" s="4"/>
      <c r="OV12" s="62">
        <f>OV13</f>
        <v>45.1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45.1</v>
      </c>
      <c r="BN13" s="4"/>
      <c r="BS13" s="63">
        <v>45.1</v>
      </c>
      <c r="CO13" s="4"/>
      <c r="CT13" s="63">
        <v>45.1</v>
      </c>
      <c r="DQ13" s="4"/>
      <c r="DV13" s="63">
        <v>45.1</v>
      </c>
      <c r="EQ13" s="4"/>
      <c r="EV13" s="63">
        <v>45.1</v>
      </c>
      <c r="FQ13" s="4"/>
      <c r="FV13" s="63">
        <v>45.1</v>
      </c>
      <c r="GQ13" s="4"/>
      <c r="GV13" s="63">
        <v>45.1</v>
      </c>
      <c r="HQ13" s="4"/>
      <c r="HV13" s="63">
        <v>45.1</v>
      </c>
      <c r="IQ13" s="4"/>
      <c r="IV13" s="63">
        <v>45.1</v>
      </c>
      <c r="JQ13" s="4"/>
      <c r="JV13" s="63">
        <v>45.1</v>
      </c>
      <c r="KQ13" s="4"/>
      <c r="KV13" s="63">
        <v>45.1</v>
      </c>
      <c r="LQ13" s="4"/>
      <c r="LV13" s="63">
        <v>45.1</v>
      </c>
      <c r="MQ13" s="4"/>
      <c r="MV13" s="63">
        <v>45.1</v>
      </c>
      <c r="NQ13" s="4"/>
      <c r="NV13" s="63">
        <v>45.1</v>
      </c>
      <c r="OQ13" s="4"/>
      <c r="OV13" s="63">
        <v>45.1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115" priority="2" stopIfTrue="1">
      <formula>IF($AL4&lt;&gt;"",1,0)</formula>
    </cfRule>
  </conditionalFormatting>
  <conditionalFormatting sqref="AS4:BS4">
    <cfRule type="expression" dxfId="114" priority="3" stopIfTrue="1">
      <formula>IF($BM4&lt;&gt;"",1,0)</formula>
    </cfRule>
  </conditionalFormatting>
  <conditionalFormatting sqref="J1:J1048576 N1:N1048576 L1:L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4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61993" operator="between">
      <formula>AR$10</formula>
      <formula>1000</formula>
    </cfRule>
    <cfRule type="cellIs" dxfId="101" priority="61994" operator="between">
      <formula>AR$9</formula>
      <formula>AR$10</formula>
    </cfRule>
    <cfRule type="cellIs" dxfId="100" priority="61995" operator="between">
      <formula>AR$8</formula>
      <formula>AR$9</formula>
    </cfRule>
    <cfRule type="cellIs" dxfId="99" priority="61996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62173" operator="between">
      <formula>AR$14</formula>
      <formula>1000</formula>
    </cfRule>
    <cfRule type="cellIs" dxfId="97" priority="62174" operator="between">
      <formula>AR$13</formula>
      <formula>AR$14</formula>
    </cfRule>
    <cfRule type="cellIs" dxfId="96" priority="62175" operator="between">
      <formula>AR$12</formula>
      <formula>AR$13</formula>
    </cfRule>
    <cfRule type="cellIs" dxfId="95" priority="62176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62353" operator="between">
      <formula>AR$7</formula>
      <formula>AR$8</formula>
    </cfRule>
    <cfRule type="cellIs" dxfId="93" priority="62354" operator="between">
      <formula>AR$8</formula>
      <formula>AR$9</formula>
    </cfRule>
    <cfRule type="cellIs" dxfId="92" priority="62355" operator="between">
      <formula>AR$9</formula>
      <formula>AR$10</formula>
    </cfRule>
    <cfRule type="cellIs" dxfId="91" priority="62356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62533" operator="between">
      <formula>AR$11</formula>
      <formula>AR$12</formula>
    </cfRule>
    <cfRule type="cellIs" dxfId="89" priority="62534" operator="between">
      <formula>AR$12</formula>
      <formula>AR$13</formula>
    </cfRule>
    <cfRule type="cellIs" dxfId="88" priority="62535" operator="between">
      <formula>AR$13</formula>
      <formula>AR$14</formula>
    </cfRule>
    <cfRule type="cellIs" dxfId="87" priority="62536" operator="between">
      <formula>AR$14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68</v>
      </c>
      <c r="J1" s="75" t="s">
        <v>24</v>
      </c>
      <c r="K1" s="81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91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90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8" t="s">
        <v>74</v>
      </c>
      <c r="AI2" s="78"/>
      <c r="AJ2" s="78"/>
      <c r="AK2" s="78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0" t="s">
        <v>70</v>
      </c>
      <c r="AT2" s="70"/>
      <c r="AU2" s="70"/>
      <c r="AV2" s="70"/>
      <c r="AW2" s="70" t="s">
        <v>71</v>
      </c>
      <c r="AX2" s="70"/>
      <c r="AY2" s="70"/>
      <c r="AZ2" s="70"/>
      <c r="BA2" s="70" t="s">
        <v>72</v>
      </c>
      <c r="BB2" s="70"/>
      <c r="BC2" s="70"/>
      <c r="BD2" s="70"/>
      <c r="BE2" s="70" t="s">
        <v>73</v>
      </c>
      <c r="BF2" s="70"/>
      <c r="BG2" s="70"/>
      <c r="BH2" s="70"/>
      <c r="BI2" s="79" t="s">
        <v>74</v>
      </c>
      <c r="BJ2" s="79"/>
      <c r="BK2" s="79"/>
      <c r="BL2" s="79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8" t="s">
        <v>74</v>
      </c>
      <c r="CK2" s="78"/>
      <c r="CL2" s="78"/>
      <c r="CM2" s="78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0" t="s">
        <v>74</v>
      </c>
      <c r="DN2" s="80"/>
      <c r="DO2" s="80"/>
      <c r="DP2" s="80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0" t="s">
        <v>70</v>
      </c>
      <c r="DX2" s="70"/>
      <c r="DY2" s="70"/>
      <c r="DZ2" s="70"/>
      <c r="EA2" s="70" t="s">
        <v>71</v>
      </c>
      <c r="EB2" s="70"/>
      <c r="EC2" s="70"/>
      <c r="ED2" s="70"/>
      <c r="EE2" s="70" t="s">
        <v>72</v>
      </c>
      <c r="EF2" s="70"/>
      <c r="EG2" s="70"/>
      <c r="EH2" s="70"/>
      <c r="EI2" s="70" t="s">
        <v>73</v>
      </c>
      <c r="EJ2" s="70"/>
      <c r="EK2" s="70"/>
      <c r="EL2" s="70"/>
      <c r="EM2" s="79" t="s">
        <v>74</v>
      </c>
      <c r="EN2" s="79"/>
      <c r="EO2" s="79"/>
      <c r="EP2" s="79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0" t="s">
        <v>74</v>
      </c>
      <c r="FN2" s="80"/>
      <c r="FO2" s="80"/>
      <c r="FP2" s="80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0" t="s">
        <v>70</v>
      </c>
      <c r="FX2" s="70"/>
      <c r="FY2" s="70"/>
      <c r="FZ2" s="70"/>
      <c r="GA2" s="70" t="s">
        <v>71</v>
      </c>
      <c r="GB2" s="70"/>
      <c r="GC2" s="70"/>
      <c r="GD2" s="70"/>
      <c r="GE2" s="70" t="s">
        <v>72</v>
      </c>
      <c r="GF2" s="70"/>
      <c r="GG2" s="70"/>
      <c r="GH2" s="70"/>
      <c r="GI2" s="70" t="s">
        <v>73</v>
      </c>
      <c r="GJ2" s="70"/>
      <c r="GK2" s="70"/>
      <c r="GL2" s="70"/>
      <c r="GM2" s="79" t="s">
        <v>74</v>
      </c>
      <c r="GN2" s="79"/>
      <c r="GO2" s="79"/>
      <c r="GP2" s="79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0" t="s">
        <v>74</v>
      </c>
      <c r="HN2" s="80"/>
      <c r="HO2" s="80"/>
      <c r="HP2" s="80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0" t="s">
        <v>70</v>
      </c>
      <c r="HX2" s="70"/>
      <c r="HY2" s="70"/>
      <c r="HZ2" s="70"/>
      <c r="IA2" s="70" t="s">
        <v>71</v>
      </c>
      <c r="IB2" s="70"/>
      <c r="IC2" s="70"/>
      <c r="ID2" s="70"/>
      <c r="IE2" s="70" t="s">
        <v>72</v>
      </c>
      <c r="IF2" s="70"/>
      <c r="IG2" s="70"/>
      <c r="IH2" s="70"/>
      <c r="II2" s="70" t="s">
        <v>73</v>
      </c>
      <c r="IJ2" s="70"/>
      <c r="IK2" s="70"/>
      <c r="IL2" s="70"/>
      <c r="IM2" s="79" t="s">
        <v>74</v>
      </c>
      <c r="IN2" s="79"/>
      <c r="IO2" s="79"/>
      <c r="IP2" s="79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0" t="s">
        <v>74</v>
      </c>
      <c r="JN2" s="80"/>
      <c r="JO2" s="80"/>
      <c r="JP2" s="80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0" t="s">
        <v>70</v>
      </c>
      <c r="JX2" s="70"/>
      <c r="JY2" s="70"/>
      <c r="JZ2" s="70"/>
      <c r="KA2" s="70" t="s">
        <v>71</v>
      </c>
      <c r="KB2" s="70"/>
      <c r="KC2" s="70"/>
      <c r="KD2" s="70"/>
      <c r="KE2" s="70" t="s">
        <v>72</v>
      </c>
      <c r="KF2" s="70"/>
      <c r="KG2" s="70"/>
      <c r="KH2" s="70"/>
      <c r="KI2" s="70" t="s">
        <v>73</v>
      </c>
      <c r="KJ2" s="70"/>
      <c r="KK2" s="70"/>
      <c r="KL2" s="70"/>
      <c r="KM2" s="79" t="s">
        <v>74</v>
      </c>
      <c r="KN2" s="79"/>
      <c r="KO2" s="79"/>
      <c r="KP2" s="79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0" t="s">
        <v>74</v>
      </c>
      <c r="LN2" s="80"/>
      <c r="LO2" s="80"/>
      <c r="LP2" s="80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0" t="s">
        <v>70</v>
      </c>
      <c r="LX2" s="70"/>
      <c r="LY2" s="70"/>
      <c r="LZ2" s="70"/>
      <c r="MA2" s="70" t="s">
        <v>71</v>
      </c>
      <c r="MB2" s="70"/>
      <c r="MC2" s="70"/>
      <c r="MD2" s="70"/>
      <c r="ME2" s="70" t="s">
        <v>72</v>
      </c>
      <c r="MF2" s="70"/>
      <c r="MG2" s="70"/>
      <c r="MH2" s="70"/>
      <c r="MI2" s="70" t="s">
        <v>73</v>
      </c>
      <c r="MJ2" s="70"/>
      <c r="MK2" s="70"/>
      <c r="ML2" s="70"/>
      <c r="MM2" s="79" t="s">
        <v>74</v>
      </c>
      <c r="MN2" s="79"/>
      <c r="MO2" s="79"/>
      <c r="MP2" s="79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0" t="s">
        <v>74</v>
      </c>
      <c r="NN2" s="80"/>
      <c r="NO2" s="80"/>
      <c r="NP2" s="80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0" t="s">
        <v>70</v>
      </c>
      <c r="NX2" s="70"/>
      <c r="NY2" s="70"/>
      <c r="NZ2" s="70"/>
      <c r="OA2" s="70" t="s">
        <v>71</v>
      </c>
      <c r="OB2" s="70"/>
      <c r="OC2" s="70"/>
      <c r="OD2" s="70"/>
      <c r="OE2" s="70" t="s">
        <v>72</v>
      </c>
      <c r="OF2" s="70"/>
      <c r="OG2" s="70"/>
      <c r="OH2" s="70"/>
      <c r="OI2" s="70" t="s">
        <v>73</v>
      </c>
      <c r="OJ2" s="70"/>
      <c r="OK2" s="70"/>
      <c r="OL2" s="70"/>
      <c r="OM2" s="79" t="s">
        <v>74</v>
      </c>
      <c r="ON2" s="79"/>
      <c r="OO2" s="79"/>
      <c r="OP2" s="79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8" t="s">
        <v>74</v>
      </c>
      <c r="PN2" s="78"/>
      <c r="PO2" s="78"/>
      <c r="PP2" s="78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>1</v>
      </c>
      <c r="B4" s="5" t="s">
        <v>88</v>
      </c>
      <c r="C4" s="4" t="s">
        <v>65</v>
      </c>
      <c r="D4" s="4">
        <v>2010</v>
      </c>
      <c r="E4" s="10">
        <f>SUM(I4:O4)+SUM(I4:M4)*0.0000001+SUM(I4)*0.0000000000001</f>
        <v>126.50001265000427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9">
        <f>IF(COUNT(AN4,BO4,CP4)&gt;0,LARGE((AN4,BO4,CP4),1),0)</f>
        <v>42.699999999999996</v>
      </c>
      <c r="J4" s="9" t="str">
        <f>IF(I4=0,"",IF(I4=CP4,$BT$1,IF(I4=BO4,$AS$1,IF(I4=AN4,$R$1,""))))</f>
        <v>2024 Nationals</v>
      </c>
      <c r="K4" s="9">
        <f>IF(COUNT(AN4,BO4,CP4)&gt;1,LARGE((AN4,BO4,CP4),2),0)</f>
        <v>40.799999999999997</v>
      </c>
      <c r="L4" s="9" t="str">
        <f>IF(K4=0,"",IF(AND(K4=I4,K4=AN4,K4=BO4),$R$1,IF(AND(K4=I4,K4=AN4,K4=CP4),$R$1,IF(AND(K4=I4,K4=CP4,K4=BO4),$AS$1,IF(K4=CP4,$BT$1,IF(K4=BO4,$AS$1,IF(K4=AN4,$R$1,"")))))))</f>
        <v>2024 3rd Domestic Trial</v>
      </c>
      <c r="M4" s="9">
        <f>IF(MAX(AQ4,BR4,CS4)&gt;0,MAX(AQ4,BR4,CS4),0)</f>
        <v>42.999999999999993</v>
      </c>
      <c r="N4" s="9" t="str">
        <f>IF(M4=0,"",IF(M4=CS4,$BT$1,IF(M4=BR4,$AS$1,IF(M4=AQ4,$R$1,""))))</f>
        <v>2024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17.2</v>
      </c>
      <c r="AT4" s="19">
        <v>3.9</v>
      </c>
      <c r="AU4" s="19">
        <v>0</v>
      </c>
      <c r="AV4" s="19">
        <v>0.3</v>
      </c>
      <c r="AW4" s="19">
        <v>16.899999999999999</v>
      </c>
      <c r="AX4" s="19">
        <v>4.0999999999999996</v>
      </c>
      <c r="AY4" s="19">
        <v>0</v>
      </c>
      <c r="AZ4" s="19">
        <v>0.3</v>
      </c>
      <c r="BA4" s="19">
        <v>17.2</v>
      </c>
      <c r="BB4" s="19">
        <v>3.9</v>
      </c>
      <c r="BC4" s="19">
        <v>0</v>
      </c>
      <c r="BD4" s="19">
        <v>0.3</v>
      </c>
      <c r="BE4" s="19">
        <v>17.2</v>
      </c>
      <c r="BF4" s="19">
        <v>3.9</v>
      </c>
      <c r="BG4" s="19">
        <v>0</v>
      </c>
      <c r="BH4" s="19">
        <v>0.3</v>
      </c>
      <c r="BI4" s="19">
        <v>17.2</v>
      </c>
      <c r="BJ4" s="19">
        <v>4.0999999999999996</v>
      </c>
      <c r="BK4" s="19">
        <v>0</v>
      </c>
      <c r="BL4" s="19">
        <v>0.3</v>
      </c>
      <c r="BM4" s="33"/>
      <c r="BN4" s="14">
        <f>IF(SUM(AT4,AX4)&gt;0,SUM(AT4,AX4),"")</f>
        <v>8</v>
      </c>
      <c r="BO4" s="14">
        <f>IF(SUM(AS4:AT4,AV4:AX4,AZ4)-AU4-AY4&gt;0,SUM(AS4:AT4,AV4:AX4,AZ4)-AU4-AY4,"")</f>
        <v>42.699999999999996</v>
      </c>
      <c r="BP4" s="14">
        <f>IF(SUM(BA4:BB4,BD4)-BC4&gt;0,SUM(BA4:BB4,BD4)-BC4,"")</f>
        <v>21.4</v>
      </c>
      <c r="BQ4" s="14">
        <f>IF(SUM(BF4,BJ4)&gt;0,SUM(BF4,BJ4),"")</f>
        <v>8</v>
      </c>
      <c r="BR4" s="14">
        <f>IF(SUM(BE4:BF4,BH4:BJ4,BL4)-SUM(BG4,BK4)&gt;0,SUM(BE4:BF4,BH4:BJ4,BL4)-SUM(BG4,BK4),"")</f>
        <v>42.999999999999993</v>
      </c>
      <c r="BS4" s="14">
        <f>IF(SUM(BO4,BP4,BR4)&gt;0,SUM(BO4,BP4,BR4),"")</f>
        <v>107.1</v>
      </c>
      <c r="BT4" s="20">
        <v>16.7</v>
      </c>
      <c r="BU4" s="20">
        <v>3.9</v>
      </c>
      <c r="BV4" s="20">
        <v>0</v>
      </c>
      <c r="BW4" s="20">
        <v>0.3</v>
      </c>
      <c r="BX4" s="20">
        <v>15.5</v>
      </c>
      <c r="BY4" s="20">
        <v>4.0999999999999996</v>
      </c>
      <c r="BZ4" s="20">
        <v>0</v>
      </c>
      <c r="CA4" s="20">
        <v>0.3</v>
      </c>
      <c r="CB4" s="20">
        <v>17.899999999999999</v>
      </c>
      <c r="CC4" s="20">
        <v>3.6</v>
      </c>
      <c r="CD4" s="20">
        <v>0</v>
      </c>
      <c r="CE4" s="20">
        <v>0</v>
      </c>
      <c r="CF4" s="20">
        <v>17.3</v>
      </c>
      <c r="CG4" s="20">
        <v>4.0999999999999996</v>
      </c>
      <c r="CH4" s="20">
        <v>0.4</v>
      </c>
      <c r="CI4" s="20">
        <v>0.3</v>
      </c>
      <c r="CJ4" s="20">
        <v>16.5</v>
      </c>
      <c r="CK4" s="20">
        <v>1.9</v>
      </c>
      <c r="CL4" s="20">
        <v>0</v>
      </c>
      <c r="CM4" s="20">
        <v>0.3</v>
      </c>
      <c r="CN4" s="32"/>
      <c r="CO4" s="55">
        <f>IF(SUM(BU4,BY4)&gt;0,SUM(BU4,BY4),"")</f>
        <v>8</v>
      </c>
      <c r="CP4" s="55">
        <f>IF(SUM(BT4:BU4,BW4:BY4,CA4)-BV4-BZ4&gt;0,SUM(BT4:BU4,BW4:BY4,CA4)-BV4-BZ4,"")</f>
        <v>40.799999999999997</v>
      </c>
      <c r="CQ4" s="55">
        <f>IF(SUM(CB4:CC4,CE4)-CD4&gt;0,SUM(CB4:CC4,CE4)-CD4,"")</f>
        <v>21.5</v>
      </c>
      <c r="CR4" s="55">
        <f>IF(SUM(CG4,CK4)&gt;0,SUM(CG4,CK4),"")</f>
        <v>6</v>
      </c>
      <c r="CS4" s="55">
        <f>IF(SUM(CF4:CG4,CI4:CK4,CM4)-SUM(CH4,CL4)&gt;0,SUM(CF4:CG4,CI4:CK4,CM4)-SUM(CH4,CL4),"")</f>
        <v>40</v>
      </c>
      <c r="CT4" s="55">
        <f>IF(SUM(CP4,CQ4,CS4)&gt;0,SUM(CP4,CQ4,CS4),"")</f>
        <v>102.3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4" si="0">IF($CN4="P",BT4,(BT4+AS4)/2)</f>
        <v>16.95</v>
      </c>
      <c r="OX4" s="27">
        <f t="shared" si="0"/>
        <v>3.9</v>
      </c>
      <c r="OY4" s="27">
        <f t="shared" si="0"/>
        <v>0</v>
      </c>
      <c r="OZ4" s="27">
        <f t="shared" si="0"/>
        <v>0.3</v>
      </c>
      <c r="PA4" s="27">
        <f t="shared" si="0"/>
        <v>16.2</v>
      </c>
      <c r="PB4" s="27">
        <f t="shared" si="0"/>
        <v>4.0999999999999996</v>
      </c>
      <c r="PC4" s="27">
        <f t="shared" si="0"/>
        <v>0</v>
      </c>
      <c r="PD4" s="27">
        <f t="shared" si="0"/>
        <v>0.3</v>
      </c>
      <c r="PE4" s="27">
        <f t="shared" si="0"/>
        <v>17.549999999999997</v>
      </c>
      <c r="PF4" s="27">
        <f t="shared" si="0"/>
        <v>3.75</v>
      </c>
      <c r="PG4" s="27">
        <f t="shared" ref="PG4:PP4" si="1">IF($CN4="P",CD4,(CD4+BC4)/2)</f>
        <v>0</v>
      </c>
      <c r="PH4" s="27">
        <f t="shared" si="1"/>
        <v>0.15</v>
      </c>
      <c r="PI4" s="27">
        <f t="shared" si="1"/>
        <v>17.25</v>
      </c>
      <c r="PJ4" s="27">
        <f t="shared" si="1"/>
        <v>4</v>
      </c>
      <c r="PK4" s="27">
        <f t="shared" si="1"/>
        <v>0.2</v>
      </c>
      <c r="PL4" s="27">
        <f t="shared" si="1"/>
        <v>0.3</v>
      </c>
      <c r="PM4" s="27">
        <f t="shared" si="1"/>
        <v>16.850000000000001</v>
      </c>
      <c r="PN4" s="27">
        <f t="shared" si="1"/>
        <v>3</v>
      </c>
      <c r="PO4" s="27">
        <f t="shared" si="1"/>
        <v>0</v>
      </c>
      <c r="PP4" s="27">
        <f t="shared" si="1"/>
        <v>0.3</v>
      </c>
      <c r="PQ4" s="32" t="s">
        <v>44</v>
      </c>
      <c r="PR4" s="55">
        <f>IF(SUM(OX4,PB4)&gt;0,SUM(OX4,PB4),"")</f>
        <v>8</v>
      </c>
      <c r="PS4" s="55">
        <f>IF(SUM(OW4:OX4,OZ4:PB4,PD4)-OY4-PC4&gt;0,SUM(OW4:OX4,OZ4:PB4,PD4)-OY4-PC4,"")</f>
        <v>41.749999999999993</v>
      </c>
      <c r="PT4" s="55">
        <f>IF(SUM(PE4:PF4,PH4)-PG4&gt;0,SUM(PE4:PF4,PH4)-PG4,"")</f>
        <v>21.449999999999996</v>
      </c>
      <c r="PU4" s="55">
        <f>IF(SUM(PJ4,PN4)&gt;0,SUM(PJ4,PN4),"")</f>
        <v>7</v>
      </c>
      <c r="PV4" s="55">
        <f>IF(SUM(PI4:PJ4,PL4:PN4,PP4)-SUM(PK4,PO4)&gt;0,SUM(PI4:PJ4,PL4:PN4,PP4)-SUM(PK4,PO4),"")</f>
        <v>41.5</v>
      </c>
      <c r="PW4" s="55">
        <f>IF(SUM(PS4,PT4,PV4)&gt;0,SUM(PS4,PT4,PV4),"")</f>
        <v>104.69999999999999</v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7.3</v>
      </c>
      <c r="BN7" s="4"/>
      <c r="BS7" s="57">
        <v>7.3</v>
      </c>
      <c r="CO7" s="4"/>
      <c r="CT7" s="57">
        <v>7.3</v>
      </c>
      <c r="DQ7" s="4"/>
      <c r="DV7" s="57">
        <v>7.3</v>
      </c>
      <c r="EQ7" s="4"/>
      <c r="EV7" s="57">
        <v>7.3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x14ac:dyDescent="0.2">
      <c r="B8" s="35" t="s">
        <v>41</v>
      </c>
      <c r="O8" s="11"/>
      <c r="P8" s="11"/>
      <c r="Q8" s="11"/>
      <c r="AM8" s="4"/>
      <c r="AR8" s="58">
        <v>8</v>
      </c>
      <c r="BN8" s="4"/>
      <c r="BS8" s="58">
        <v>8</v>
      </c>
      <c r="CO8" s="4"/>
      <c r="CT8" s="58">
        <v>8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8</v>
      </c>
      <c r="BN9" s="4"/>
      <c r="BS9" s="59">
        <v>8</v>
      </c>
      <c r="CO9" s="4"/>
      <c r="CT9" s="59">
        <v>8</v>
      </c>
      <c r="DQ9" s="4"/>
      <c r="DV9" s="59">
        <v>8</v>
      </c>
      <c r="EQ9" s="4"/>
      <c r="EV9" s="59">
        <v>8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41.7</v>
      </c>
      <c r="BN11" s="4"/>
      <c r="BS11" s="61">
        <v>41.7</v>
      </c>
      <c r="CO11" s="4"/>
      <c r="CT11" s="61">
        <v>41.7</v>
      </c>
      <c r="DQ11" s="4"/>
      <c r="DV11" s="61">
        <v>41.7</v>
      </c>
      <c r="EQ11" s="4"/>
      <c r="EV11" s="61">
        <v>41.7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42.5</v>
      </c>
      <c r="BN13" s="4"/>
      <c r="BS13" s="63">
        <v>42.5</v>
      </c>
      <c r="CO13" s="4"/>
      <c r="CT13" s="63">
        <v>42.5</v>
      </c>
      <c r="DQ13" s="4"/>
      <c r="DV13" s="63">
        <v>42.5</v>
      </c>
      <c r="EQ13" s="4"/>
      <c r="EV13" s="63">
        <v>42.5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86" priority="6" stopIfTrue="1">
      <formula>IF($AL4&lt;&gt;"",1,0)</formula>
    </cfRule>
  </conditionalFormatting>
  <conditionalFormatting sqref="AS4:BS4">
    <cfRule type="expression" dxfId="85" priority="11" stopIfTrue="1">
      <formula>IF($BM4&lt;&gt;"",1,0)</formula>
    </cfRule>
  </conditionalFormatting>
  <conditionalFormatting sqref="J1:J1048576 N1:N1048576 L1:L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4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63183" operator="between">
      <formula>AR$10</formula>
      <formula>1000</formula>
    </cfRule>
    <cfRule type="cellIs" dxfId="72" priority="63184" operator="between">
      <formula>AR$9</formula>
      <formula>AR$10</formula>
    </cfRule>
    <cfRule type="cellIs" dxfId="71" priority="63185" operator="between">
      <formula>AR$8</formula>
      <formula>AR$9</formula>
    </cfRule>
    <cfRule type="cellIs" dxfId="70" priority="63186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63363" operator="between">
      <formula>AR$14</formula>
      <formula>1000</formula>
    </cfRule>
    <cfRule type="cellIs" dxfId="68" priority="63364" operator="between">
      <formula>AR$13</formula>
      <formula>AR$14</formula>
    </cfRule>
    <cfRule type="cellIs" dxfId="67" priority="63365" operator="between">
      <formula>AR$12</formula>
      <formula>AR$13</formula>
    </cfRule>
    <cfRule type="cellIs" dxfId="66" priority="63366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63543" operator="between">
      <formula>AR$7</formula>
      <formula>AR$8</formula>
    </cfRule>
    <cfRule type="cellIs" dxfId="64" priority="63544" operator="between">
      <formula>AR$8</formula>
      <formula>AR$9</formula>
    </cfRule>
    <cfRule type="cellIs" dxfId="63" priority="63545" operator="between">
      <formula>AR$9</formula>
      <formula>AR$10</formula>
    </cfRule>
    <cfRule type="cellIs" dxfId="62" priority="63546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63723" operator="between">
      <formula>AR$11</formula>
      <formula>AR$12</formula>
    </cfRule>
    <cfRule type="cellIs" dxfId="60" priority="63724" operator="between">
      <formula>AR$12</formula>
      <formula>AR$13</formula>
    </cfRule>
    <cfRule type="cellIs" dxfId="59" priority="63725" operator="between">
      <formula>AR$13</formula>
      <formula>AR$14</formula>
    </cfRule>
    <cfRule type="cellIs" dxfId="58" priority="63726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68</v>
      </c>
      <c r="J1" s="75" t="s">
        <v>24</v>
      </c>
      <c r="K1" s="81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91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86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90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8" t="s">
        <v>74</v>
      </c>
      <c r="AI2" s="78"/>
      <c r="AJ2" s="78"/>
      <c r="AK2" s="78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0" t="s">
        <v>70</v>
      </c>
      <c r="AT2" s="70"/>
      <c r="AU2" s="70"/>
      <c r="AV2" s="70"/>
      <c r="AW2" s="70" t="s">
        <v>71</v>
      </c>
      <c r="AX2" s="70"/>
      <c r="AY2" s="70"/>
      <c r="AZ2" s="70"/>
      <c r="BA2" s="70" t="s">
        <v>72</v>
      </c>
      <c r="BB2" s="70"/>
      <c r="BC2" s="70"/>
      <c r="BD2" s="70"/>
      <c r="BE2" s="70" t="s">
        <v>73</v>
      </c>
      <c r="BF2" s="70"/>
      <c r="BG2" s="70"/>
      <c r="BH2" s="70"/>
      <c r="BI2" s="79" t="s">
        <v>74</v>
      </c>
      <c r="BJ2" s="79"/>
      <c r="BK2" s="79"/>
      <c r="BL2" s="79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8" t="s">
        <v>74</v>
      </c>
      <c r="CK2" s="78"/>
      <c r="CL2" s="78"/>
      <c r="CM2" s="78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0" t="s">
        <v>74</v>
      </c>
      <c r="DN2" s="80"/>
      <c r="DO2" s="80"/>
      <c r="DP2" s="80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0" t="s">
        <v>70</v>
      </c>
      <c r="DX2" s="70"/>
      <c r="DY2" s="70"/>
      <c r="DZ2" s="70"/>
      <c r="EA2" s="70" t="s">
        <v>71</v>
      </c>
      <c r="EB2" s="70"/>
      <c r="EC2" s="70"/>
      <c r="ED2" s="70"/>
      <c r="EE2" s="70" t="s">
        <v>72</v>
      </c>
      <c r="EF2" s="70"/>
      <c r="EG2" s="70"/>
      <c r="EH2" s="70"/>
      <c r="EI2" s="70" t="s">
        <v>73</v>
      </c>
      <c r="EJ2" s="70"/>
      <c r="EK2" s="70"/>
      <c r="EL2" s="70"/>
      <c r="EM2" s="79" t="s">
        <v>74</v>
      </c>
      <c r="EN2" s="79"/>
      <c r="EO2" s="79"/>
      <c r="EP2" s="79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0" t="s">
        <v>74</v>
      </c>
      <c r="FN2" s="80"/>
      <c r="FO2" s="80"/>
      <c r="FP2" s="80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0" t="s">
        <v>70</v>
      </c>
      <c r="FX2" s="70"/>
      <c r="FY2" s="70"/>
      <c r="FZ2" s="70"/>
      <c r="GA2" s="70" t="s">
        <v>71</v>
      </c>
      <c r="GB2" s="70"/>
      <c r="GC2" s="70"/>
      <c r="GD2" s="70"/>
      <c r="GE2" s="70" t="s">
        <v>72</v>
      </c>
      <c r="GF2" s="70"/>
      <c r="GG2" s="70"/>
      <c r="GH2" s="70"/>
      <c r="GI2" s="70" t="s">
        <v>73</v>
      </c>
      <c r="GJ2" s="70"/>
      <c r="GK2" s="70"/>
      <c r="GL2" s="70"/>
      <c r="GM2" s="79" t="s">
        <v>74</v>
      </c>
      <c r="GN2" s="79"/>
      <c r="GO2" s="79"/>
      <c r="GP2" s="79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0" t="s">
        <v>74</v>
      </c>
      <c r="HN2" s="80"/>
      <c r="HO2" s="80"/>
      <c r="HP2" s="80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0" t="s">
        <v>70</v>
      </c>
      <c r="HX2" s="70"/>
      <c r="HY2" s="70"/>
      <c r="HZ2" s="70"/>
      <c r="IA2" s="70" t="s">
        <v>71</v>
      </c>
      <c r="IB2" s="70"/>
      <c r="IC2" s="70"/>
      <c r="ID2" s="70"/>
      <c r="IE2" s="70" t="s">
        <v>72</v>
      </c>
      <c r="IF2" s="70"/>
      <c r="IG2" s="70"/>
      <c r="IH2" s="70"/>
      <c r="II2" s="70" t="s">
        <v>73</v>
      </c>
      <c r="IJ2" s="70"/>
      <c r="IK2" s="70"/>
      <c r="IL2" s="70"/>
      <c r="IM2" s="79" t="s">
        <v>74</v>
      </c>
      <c r="IN2" s="79"/>
      <c r="IO2" s="79"/>
      <c r="IP2" s="79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0" t="s">
        <v>74</v>
      </c>
      <c r="JN2" s="80"/>
      <c r="JO2" s="80"/>
      <c r="JP2" s="80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0" t="s">
        <v>70</v>
      </c>
      <c r="JX2" s="70"/>
      <c r="JY2" s="70"/>
      <c r="JZ2" s="70"/>
      <c r="KA2" s="70" t="s">
        <v>71</v>
      </c>
      <c r="KB2" s="70"/>
      <c r="KC2" s="70"/>
      <c r="KD2" s="70"/>
      <c r="KE2" s="70" t="s">
        <v>72</v>
      </c>
      <c r="KF2" s="70"/>
      <c r="KG2" s="70"/>
      <c r="KH2" s="70"/>
      <c r="KI2" s="70" t="s">
        <v>73</v>
      </c>
      <c r="KJ2" s="70"/>
      <c r="KK2" s="70"/>
      <c r="KL2" s="70"/>
      <c r="KM2" s="79" t="s">
        <v>74</v>
      </c>
      <c r="KN2" s="79"/>
      <c r="KO2" s="79"/>
      <c r="KP2" s="79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0" t="s">
        <v>74</v>
      </c>
      <c r="LN2" s="80"/>
      <c r="LO2" s="80"/>
      <c r="LP2" s="80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0" t="s">
        <v>70</v>
      </c>
      <c r="LX2" s="70"/>
      <c r="LY2" s="70"/>
      <c r="LZ2" s="70"/>
      <c r="MA2" s="70" t="s">
        <v>71</v>
      </c>
      <c r="MB2" s="70"/>
      <c r="MC2" s="70"/>
      <c r="MD2" s="70"/>
      <c r="ME2" s="70" t="s">
        <v>72</v>
      </c>
      <c r="MF2" s="70"/>
      <c r="MG2" s="70"/>
      <c r="MH2" s="70"/>
      <c r="MI2" s="70" t="s">
        <v>73</v>
      </c>
      <c r="MJ2" s="70"/>
      <c r="MK2" s="70"/>
      <c r="ML2" s="70"/>
      <c r="MM2" s="79" t="s">
        <v>74</v>
      </c>
      <c r="MN2" s="79"/>
      <c r="MO2" s="79"/>
      <c r="MP2" s="79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0" t="s">
        <v>74</v>
      </c>
      <c r="NN2" s="80"/>
      <c r="NO2" s="80"/>
      <c r="NP2" s="80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0" t="s">
        <v>70</v>
      </c>
      <c r="NX2" s="70"/>
      <c r="NY2" s="70"/>
      <c r="NZ2" s="70"/>
      <c r="OA2" s="70" t="s">
        <v>71</v>
      </c>
      <c r="OB2" s="70"/>
      <c r="OC2" s="70"/>
      <c r="OD2" s="70"/>
      <c r="OE2" s="70" t="s">
        <v>72</v>
      </c>
      <c r="OF2" s="70"/>
      <c r="OG2" s="70"/>
      <c r="OH2" s="70"/>
      <c r="OI2" s="70" t="s">
        <v>73</v>
      </c>
      <c r="OJ2" s="70"/>
      <c r="OK2" s="70"/>
      <c r="OL2" s="70"/>
      <c r="OM2" s="79" t="s">
        <v>74</v>
      </c>
      <c r="ON2" s="79"/>
      <c r="OO2" s="79"/>
      <c r="OP2" s="79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8" t="s">
        <v>74</v>
      </c>
      <c r="PN2" s="78"/>
      <c r="PO2" s="78"/>
      <c r="PP2" s="78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>1</v>
      </c>
      <c r="B4" s="5" t="s">
        <v>82</v>
      </c>
      <c r="C4" s="4" t="s">
        <v>81</v>
      </c>
      <c r="D4" s="4">
        <v>2009</v>
      </c>
      <c r="E4" s="10">
        <f t="shared" ref="E4" si="0">SUM(I4:O4)+SUM(I4:M4)*0.0000001+SUM(I4)*0.0000000000001</f>
        <v>150.00001500000508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9">
        <f>IF(COUNT(AN4,BO4,CP4)&gt;0,LARGE((AN4,BO4,CP4),1),0)</f>
        <v>50.9</v>
      </c>
      <c r="J4" s="9" t="str">
        <f t="shared" ref="J4" si="1">IF(I4=0,"",IF(I4=CP4,$BT$1,IF(I4=BO4,$AS$1,IF(I4=AN4,$R$1,""))))</f>
        <v>2024 Nationals</v>
      </c>
      <c r="K4" s="9">
        <f>IF(COUNT(AN4,BO4,CP4)&gt;1,LARGE((AN4,BO4,CP4),2),0)</f>
        <v>49.400000000000006</v>
      </c>
      <c r="L4" s="9" t="str">
        <f t="shared" ref="L4" si="2">IF(K4=0,"",IF(AND(K4=I4,K4=AN4,K4=BO4),$R$1,IF(AND(K4=I4,K4=AN4,K4=CP4),$R$1,IF(AND(K4=I4,K4=CP4,K4=BO4),$AS$1,IF(K4=CP4,$BT$1,IF(K4=BO4,$AS$1,IF(K4=AN4,$R$1,"")))))))</f>
        <v>2024 Elite Canada</v>
      </c>
      <c r="M4" s="9">
        <f t="shared" ref="M4" si="3">IF(MAX(AQ4,BR4,CS4)&gt;0,MAX(AQ4,BR4,CS4),0)</f>
        <v>49.7</v>
      </c>
      <c r="N4" s="9" t="str">
        <f t="shared" ref="N4" si="4">IF(M4=0,"",IF(M4=CS4,$BT$1,IF(M4=BR4,$AS$1,IF(M4=AQ4,$R$1,""))))</f>
        <v>2024 Elite Canada</v>
      </c>
      <c r="O4" s="9" t="str">
        <f t="shared" ref="O4" si="5">IF(MAX(CU4:CV4)&gt;0,MAX(CU4:CV4),"")</f>
        <v/>
      </c>
      <c r="P4" s="14" t="str">
        <f t="shared" ref="P4" si="6">IF(O4="","",IF(O4=CU4,"("&amp;CU$2&amp;")",IF(O4=CV4,"("&amp;CV$2&amp;")")))</f>
        <v/>
      </c>
      <c r="Q4" s="9" t="str">
        <f t="shared" ref="Q4" si="7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18.5</v>
      </c>
      <c r="S4" s="20">
        <v>6</v>
      </c>
      <c r="T4" s="20">
        <v>0.8</v>
      </c>
      <c r="U4" s="20">
        <v>0</v>
      </c>
      <c r="V4" s="20">
        <v>18.5</v>
      </c>
      <c r="W4" s="20">
        <v>7.2</v>
      </c>
      <c r="X4" s="20">
        <v>0</v>
      </c>
      <c r="Y4" s="20">
        <v>0</v>
      </c>
      <c r="Z4" s="20">
        <v>18.3</v>
      </c>
      <c r="AA4" s="20">
        <v>6</v>
      </c>
      <c r="AB4" s="20">
        <v>0</v>
      </c>
      <c r="AC4" s="20">
        <v>0</v>
      </c>
      <c r="AD4" s="20">
        <v>18</v>
      </c>
      <c r="AE4" s="20">
        <v>6</v>
      </c>
      <c r="AF4" s="20">
        <v>0</v>
      </c>
      <c r="AG4" s="20">
        <v>0</v>
      </c>
      <c r="AH4" s="20">
        <v>18.5</v>
      </c>
      <c r="AI4" s="20">
        <v>7.2</v>
      </c>
      <c r="AJ4" s="20">
        <v>0</v>
      </c>
      <c r="AK4" s="20">
        <v>0</v>
      </c>
      <c r="AL4" s="32"/>
      <c r="AM4" s="55">
        <f t="shared" ref="AM4" si="8">IF(SUM(S4,W4)&gt;0,SUM(S4,W4),"")</f>
        <v>13.2</v>
      </c>
      <c r="AN4" s="55">
        <f t="shared" ref="AN4" si="9">IF(SUM(R4:S4,U4:W4,Y4)-T4-X4&gt;0,SUM(R4:S4,U4:W4,Y4)-T4-X4,"")</f>
        <v>49.400000000000006</v>
      </c>
      <c r="AO4" s="55">
        <f t="shared" ref="AO4" si="10">IF(SUM(Z4:AA4,AC4)-AB4&gt;0,SUM(Z4:AA4,AC4)-AB4,"")</f>
        <v>24.3</v>
      </c>
      <c r="AP4" s="55">
        <f t="shared" ref="AP4" si="11">IF(SUM(AE4,AI4)&gt;0,SUM(AE4,AI4),"")</f>
        <v>13.2</v>
      </c>
      <c r="AQ4" s="55">
        <f t="shared" ref="AQ4" si="12">IF(SUM(AD4:AE4,AG4:AI4,AK4)-SUM(AF4,AJ4)&gt;0,SUM(AD4:AE4,AG4:AI4,AK4)-SUM(AF4,AJ4),"")</f>
        <v>49.7</v>
      </c>
      <c r="AR4" s="55">
        <f t="shared" ref="AR4" si="13">IF(SUM(AN4,AO4,AQ4)&gt;0,SUM(AN4,AO4,AQ4),"")</f>
        <v>123.4</v>
      </c>
      <c r="AS4" s="19">
        <v>18.399999999999999</v>
      </c>
      <c r="AT4" s="19">
        <v>6.8</v>
      </c>
      <c r="AU4" s="19">
        <v>0</v>
      </c>
      <c r="AV4" s="19">
        <v>0</v>
      </c>
      <c r="AW4" s="19">
        <v>18.7</v>
      </c>
      <c r="AX4" s="19">
        <v>7.2</v>
      </c>
      <c r="AY4" s="19">
        <v>0.2</v>
      </c>
      <c r="AZ4" s="19">
        <v>0</v>
      </c>
      <c r="BA4" s="19">
        <v>18.5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7.6</v>
      </c>
      <c r="BG4" s="19">
        <v>0.8</v>
      </c>
      <c r="BH4" s="19">
        <v>0</v>
      </c>
      <c r="BI4" s="19">
        <v>18.5</v>
      </c>
      <c r="BJ4" s="19">
        <v>6.4</v>
      </c>
      <c r="BK4" s="19">
        <v>0.6</v>
      </c>
      <c r="BL4" s="19">
        <v>0</v>
      </c>
      <c r="BM4" s="33"/>
      <c r="BN4" s="14">
        <f t="shared" ref="BN4" si="14">IF(SUM(AT4,AX4)&gt;0,SUM(AT4,AX4),"")</f>
        <v>14</v>
      </c>
      <c r="BO4" s="14">
        <f t="shared" ref="BO4" si="15">IF(SUM(AS4:AT4,AV4:AX4,AZ4)-AU4-AY4&gt;0,SUM(AS4:AT4,AV4:AX4,AZ4)-AU4-AY4,"")</f>
        <v>50.9</v>
      </c>
      <c r="BP4" s="14">
        <f t="shared" ref="BP4" si="16">IF(SUM(BA4:BB4,BD4)-BC4&gt;0,SUM(BA4:BB4,BD4)-BC4,"")</f>
        <v>24.5</v>
      </c>
      <c r="BQ4" s="14">
        <f t="shared" ref="BQ4" si="17">IF(SUM(BF4,BJ4)&gt;0,SUM(BF4,BJ4),"")</f>
        <v>14</v>
      </c>
      <c r="BR4" s="14">
        <f t="shared" ref="BR4" si="18">IF(SUM(BE4:BF4,BH4:BJ4,BL4)-SUM(BG4,BK4)&gt;0,SUM(BE4:BF4,BH4:BJ4,BL4)-SUM(BG4,BK4),"")</f>
        <v>49.5</v>
      </c>
      <c r="BS4" s="14">
        <f t="shared" ref="BS4" si="19">IF(SUM(BO4,BP4,BR4)&gt;0,SUM(BO4,BP4,BR4),"")</f>
        <v>124.9</v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 t="shared" ref="CO4" si="20">IF(SUM(BU4,BY4)&gt;0,SUM(BU4,BY4),"")</f>
        <v/>
      </c>
      <c r="CP4" s="55" t="str">
        <f t="shared" ref="CP4" si="21">IF(SUM(BT4:BU4,BW4:BY4,CA4)-BV4-BZ4&gt;0,SUM(BT4:BU4,BW4:BY4,CA4)-BV4-BZ4,"")</f>
        <v/>
      </c>
      <c r="CQ4" s="55" t="str">
        <f t="shared" ref="CQ4" si="22">IF(SUM(CB4:CC4,CE4)-CD4&gt;0,SUM(CB4:CC4,CE4)-CD4,"")</f>
        <v/>
      </c>
      <c r="CR4" s="55" t="str">
        <f t="shared" ref="CR4" si="23">IF(SUM(CG4,CK4)&gt;0,SUM(CG4,CK4),"")</f>
        <v/>
      </c>
      <c r="CS4" s="55" t="str">
        <f t="shared" ref="CS4" si="24">IF(SUM(CF4:CG4,CI4:CK4,CM4)-SUM(CH4,CL4)&gt;0,SUM(CF4:CG4,CI4:CK4,CM4)-SUM(CH4,CL4),"")</f>
        <v/>
      </c>
      <c r="CT4" s="55" t="str">
        <f t="shared" ref="CT4" si="25">IF(SUM(CP4,CQ4,CS4)&gt;0,SUM(CP4,CQ4,CS4),"")</f>
        <v/>
      </c>
      <c r="CU4" s="56" t="str">
        <f t="shared" ref="CU4" si="26">IF(MAX(DR4,ER4,FR4,GR4,HR4,IR4,JR4,KR4,LR4,MR4,NR4,OR4)-IF(K4="",0,K4)&gt;0.001,MAX(DR4,ER4,FR4,GR4,HR4,IR4,JR4,KR4,LR4,MR4,NR4,OR4)-IF(K4="",0,K4),"")</f>
        <v/>
      </c>
      <c r="CV4" s="56" t="str">
        <f t="shared" ref="CV4" si="27"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 t="shared" ref="DQ4" si="28">IF(SUM(CX4,DB4)&gt;0,SUM(CX4,DB4),"")</f>
        <v/>
      </c>
      <c r="DR4" s="55" t="str">
        <f t="shared" ref="DR4" si="29">IF(SUM(CW4:CX4,CZ4:DB4,DD4)-CY4-DC4&gt;0,SUM(CW4:CX4,CZ4:DB4,DD4)-CY4-DC4,"")</f>
        <v/>
      </c>
      <c r="DS4" s="55" t="str">
        <f t="shared" ref="DS4" si="30">IF(SUM(DE4:DF4,DH4)-DG4&gt;0,SUM(DE4:DF4,DH4)-DG4,"")</f>
        <v/>
      </c>
      <c r="DT4" s="55" t="str">
        <f t="shared" ref="DT4" si="31">IF(SUM(DJ4,DN4)&gt;0,SUM(DJ4,DN4),"")</f>
        <v/>
      </c>
      <c r="DU4" s="55" t="str">
        <f t="shared" ref="DU4" si="32">IF(SUM(DI4:DJ4,DL4:DN4,DP4)-SUM(DK4,DO4)&gt;0,SUM(DI4:DJ4,DL4:DN4,DP4)-SUM(DK4,DO4),"")</f>
        <v/>
      </c>
      <c r="DV4" s="55" t="str">
        <f t="shared" ref="DV4" si="33"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 t="shared" ref="EQ4" si="34">IF(SUM(DX4,EB4)&gt;0,SUM(DX4,EB4),"")</f>
        <v/>
      </c>
      <c r="ER4" s="14" t="str">
        <f t="shared" ref="ER4" si="35">IF(SUM(DW4:DX4,DZ4:EB4,ED4)-DY4-EC4&gt;0,SUM(DW4:DX4,DZ4:EB4,ED4)-DY4-EC4,"")</f>
        <v/>
      </c>
      <c r="ES4" s="14" t="str">
        <f t="shared" ref="ES4" si="36">IF(SUM(EE4:EF4,EH4)-EG4&gt;0,SUM(EE4:EF4,EH4)-EG4,"")</f>
        <v/>
      </c>
      <c r="ET4" s="14" t="str">
        <f t="shared" ref="ET4" si="37">IF(SUM(EJ4,EN4)&gt;0,SUM(EJ4,EN4),"")</f>
        <v/>
      </c>
      <c r="EU4" s="14" t="str">
        <f t="shared" ref="EU4" si="38">IF(SUM(EI4:EJ4,EL4:EN4,EP4)-SUM(EK4,EO4)&gt;0,SUM(EI4:EJ4,EL4:EN4,EP4)-SUM(EK4,EO4),"")</f>
        <v/>
      </c>
      <c r="EV4" s="14" t="str">
        <f t="shared" ref="EV4" si="39">IF(SUM(ER4,ES4,EU4)&gt;0,SUM(ER4,ES4,EU4),"")</f>
        <v/>
      </c>
      <c r="EW4" s="18">
        <v>18.8</v>
      </c>
      <c r="EX4" s="18">
        <v>6</v>
      </c>
      <c r="EY4" s="18">
        <v>0.8</v>
      </c>
      <c r="EZ4" s="18">
        <v>0</v>
      </c>
      <c r="FA4" s="18">
        <v>18.3</v>
      </c>
      <c r="FB4" s="18">
        <v>7.2</v>
      </c>
      <c r="FC4" s="18">
        <v>0.8</v>
      </c>
      <c r="FD4" s="18">
        <v>0</v>
      </c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>
        <f t="shared" ref="FQ4" si="40">IF(SUM(EX4,FB4)&gt;0,SUM(EX4,FB4),"")</f>
        <v>13.2</v>
      </c>
      <c r="FR4" s="55">
        <f t="shared" ref="FR4" si="41">IF(SUM(EW4:EX4,EZ4:FB4,FD4)-EY4-FC4&gt;0,SUM(EW4:EX4,EZ4:FB4,FD4)-EY4-FC4,"")</f>
        <v>48.70000000000001</v>
      </c>
      <c r="FS4" s="55" t="str">
        <f t="shared" ref="FS4" si="42">IF(SUM(FE4:FF4,FH4)-FG4&gt;0,SUM(FE4:FF4,FH4)-FG4,"")</f>
        <v/>
      </c>
      <c r="FT4" s="55" t="str">
        <f t="shared" ref="FT4" si="43">IF(SUM(FJ4,FN4)&gt;0,SUM(FJ4,FN4),"")</f>
        <v/>
      </c>
      <c r="FU4" s="55" t="str">
        <f t="shared" ref="FU4" si="44">IF(SUM(FI4:FJ4,FL4:FN4,FP4)-SUM(FK4,FO4)&gt;0,SUM(FI4:FJ4,FL4:FN4,FP4)-SUM(FK4,FO4),"")</f>
        <v/>
      </c>
      <c r="FV4" s="55">
        <f t="shared" ref="FV4" si="45">IF(SUM(FR4,FS4,FU4)&gt;0,SUM(FR4,FS4,FU4),"")</f>
        <v>48.70000000000001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 t="shared" ref="GQ4" si="46">IF(SUM(FX4,GB4)&gt;0,SUM(FX4,GB4),"")</f>
        <v/>
      </c>
      <c r="GR4" s="14" t="str">
        <f t="shared" ref="GR4" si="47">IF(SUM(FW4:FX4,FZ4:GB4,GD4)-FY4-GC4&gt;0,SUM(FW4:FX4,FZ4:GB4,GD4)-FY4-GC4,"")</f>
        <v/>
      </c>
      <c r="GS4" s="14" t="str">
        <f t="shared" ref="GS4" si="48">IF(SUM(GE4:GF4,GH4)-GG4&gt;0,SUM(GE4:GF4,GH4)-GG4,"")</f>
        <v/>
      </c>
      <c r="GT4" s="14" t="str">
        <f t="shared" ref="GT4" si="49">IF(SUM(GJ4,GN4)&gt;0,SUM(GJ4,GN4),"")</f>
        <v/>
      </c>
      <c r="GU4" s="14" t="str">
        <f t="shared" ref="GU4" si="50">IF(SUM(GI4:GJ4,GL4:GN4,GP4)-SUM(GK4,GO4)&gt;0,SUM(GI4:GJ4,GL4:GN4,GP4)-SUM(GK4,GO4),"")</f>
        <v/>
      </c>
      <c r="GV4" s="14" t="str">
        <f t="shared" ref="GV4" si="51"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 t="shared" ref="HQ4" si="52">IF(SUM(GX4,HB4)&gt;0,SUM(GX4,HB4),"")</f>
        <v/>
      </c>
      <c r="HR4" s="55" t="str">
        <f t="shared" ref="HR4" si="53">IF(SUM(GW4:GX4,GZ4:HB4,HD4)-GY4-HC4&gt;0,SUM(GW4:GX4,GZ4:HB4,HD4)-GY4-HC4,"")</f>
        <v/>
      </c>
      <c r="HS4" s="55" t="str">
        <f t="shared" ref="HS4" si="54">IF(SUM(HE4:HF4,HH4)-HG4&gt;0,SUM(HE4:HF4,HH4)-HG4,"")</f>
        <v/>
      </c>
      <c r="HT4" s="55" t="str">
        <f t="shared" ref="HT4" si="55">IF(SUM(HJ4,HN4)&gt;0,SUM(HJ4,HN4),"")</f>
        <v/>
      </c>
      <c r="HU4" s="55" t="str">
        <f t="shared" ref="HU4" si="56">IF(SUM(HI4:HJ4,HL4:HN4,HP4)-SUM(HK4,HO4)&gt;0,SUM(HI4:HJ4,HL4:HN4,HP4)-SUM(HK4,HO4),"")</f>
        <v/>
      </c>
      <c r="HV4" s="55" t="str">
        <f t="shared" ref="HV4" si="57"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 t="shared" ref="IQ4" si="58">IF(SUM(HX4,IB4)&gt;0,SUM(HX4,IB4),"")</f>
        <v/>
      </c>
      <c r="IR4" s="14" t="str">
        <f t="shared" ref="IR4" si="59">IF(SUM(HW4:HX4,HZ4:IB4,ID4)-HY4-IC4&gt;0,SUM(HW4:HX4,HZ4:IB4,ID4)-HY4-IC4,"")</f>
        <v/>
      </c>
      <c r="IS4" s="14" t="str">
        <f t="shared" ref="IS4" si="60">IF(SUM(IE4:IF4,IH4)-IG4&gt;0,SUM(IE4:IF4,IH4)-IG4,"")</f>
        <v/>
      </c>
      <c r="IT4" s="14" t="str">
        <f t="shared" ref="IT4" si="61">IF(SUM(IJ4,IN4)&gt;0,SUM(IJ4,IN4),"")</f>
        <v/>
      </c>
      <c r="IU4" s="14" t="str">
        <f t="shared" ref="IU4" si="62">IF(SUM(II4:IJ4,IL4:IN4,IP4)-SUM(IK4,IO4)&gt;0,SUM(II4:IJ4,IL4:IN4,IP4)-SUM(IK4,IO4),"")</f>
        <v/>
      </c>
      <c r="IV4" s="14" t="str">
        <f t="shared" ref="IV4" si="63"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 t="shared" ref="JQ4" si="64">IF(SUM(IX4,JB4)&gt;0,SUM(IX4,JB4),"")</f>
        <v/>
      </c>
      <c r="JR4" s="55" t="str">
        <f t="shared" ref="JR4" si="65">IF(SUM(IW4:IX4,IZ4:JB4,JD4)-IY4-JC4&gt;0,SUM(IW4:IX4,IZ4:JB4,JD4)-IY4-JC4,"")</f>
        <v/>
      </c>
      <c r="JS4" s="55" t="str">
        <f t="shared" ref="JS4" si="66">IF(SUM(JE4:JF4,JH4)-JG4&gt;0,SUM(JE4:JF4,JH4)-JG4,"")</f>
        <v/>
      </c>
      <c r="JT4" s="55" t="str">
        <f t="shared" ref="JT4" si="67">IF(SUM(JJ4,JN4)&gt;0,SUM(JJ4,JN4),"")</f>
        <v/>
      </c>
      <c r="JU4" s="55" t="str">
        <f t="shared" ref="JU4" si="68">IF(SUM(JI4:JJ4,JL4:JN4,JP4)-SUM(JK4,JO4)&gt;0,SUM(JI4:JJ4,JL4:JN4,JP4)-SUM(JK4,JO4),"")</f>
        <v/>
      </c>
      <c r="JV4" s="55" t="str">
        <f t="shared" ref="JV4" si="69"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 t="shared" ref="KQ4" si="70">IF(SUM(JX4,KB4)&gt;0,SUM(JX4,KB4),"")</f>
        <v/>
      </c>
      <c r="KR4" s="14" t="str">
        <f t="shared" ref="KR4" si="71">IF(SUM(JW4:JX4,JZ4:KB4,KD4)-JY4-KC4&gt;0,SUM(JW4:JX4,JZ4:KB4,KD4)-JY4-KC4,"")</f>
        <v/>
      </c>
      <c r="KS4" s="14" t="str">
        <f t="shared" ref="KS4" si="72">IF(SUM(KE4:KF4,KH4)-KG4&gt;0,SUM(KE4:KF4,KH4)-KG4,"")</f>
        <v/>
      </c>
      <c r="KT4" s="14" t="str">
        <f t="shared" ref="KT4" si="73">IF(SUM(KJ4,KN4)&gt;0,SUM(KJ4,KN4),"")</f>
        <v/>
      </c>
      <c r="KU4" s="14" t="str">
        <f t="shared" ref="KU4" si="74">IF(SUM(KI4:KJ4,KL4:KN4,KP4)-SUM(KK4,KO4)&gt;0,SUM(KI4:KJ4,KL4:KN4,KP4)-SUM(KK4,KO4),"")</f>
        <v/>
      </c>
      <c r="KV4" s="14" t="str">
        <f t="shared" ref="KV4" si="75"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 t="shared" ref="LQ4" si="76">IF(SUM(KX4,LB4)&gt;0,SUM(KX4,LB4),"")</f>
        <v/>
      </c>
      <c r="LR4" s="55" t="str">
        <f t="shared" ref="LR4" si="77">IF(SUM(KW4:KX4,KZ4:LB4,LD4)-KY4-LC4&gt;0,SUM(KW4:KX4,KZ4:LB4,LD4)-KY4-LC4,"")</f>
        <v/>
      </c>
      <c r="LS4" s="55" t="str">
        <f t="shared" ref="LS4" si="78">IF(SUM(LE4:LF4,LH4)-LG4&gt;0,SUM(LE4:LF4,LH4)-LG4,"")</f>
        <v/>
      </c>
      <c r="LT4" s="55" t="str">
        <f t="shared" ref="LT4" si="79">IF(SUM(LJ4,LN4)&gt;0,SUM(LJ4,LN4),"")</f>
        <v/>
      </c>
      <c r="LU4" s="55" t="str">
        <f t="shared" ref="LU4" si="80">IF(SUM(LI4:LJ4,LL4:LN4,LP4)-SUM(LK4,LO4)&gt;0,SUM(LI4:LJ4,LL4:LN4,LP4)-SUM(LK4,LO4),"")</f>
        <v/>
      </c>
      <c r="LV4" s="55" t="str">
        <f t="shared" ref="LV4" si="81"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 t="shared" ref="MQ4" si="82">IF(SUM(LX4,MB4)&gt;0,SUM(LX4,MB4),"")</f>
        <v/>
      </c>
      <c r="MR4" s="14" t="str">
        <f t="shared" ref="MR4" si="83">IF(SUM(LW4:LX4,LZ4:MB4,MD4)-LY4-MC4&gt;0,SUM(LW4:LX4,LZ4:MB4,MD4)-LY4-MC4,"")</f>
        <v/>
      </c>
      <c r="MS4" s="14" t="str">
        <f t="shared" ref="MS4" si="84">IF(SUM(ME4:MF4,MH4)-MG4&gt;0,SUM(ME4:MF4,MH4)-MG4,"")</f>
        <v/>
      </c>
      <c r="MT4" s="14" t="str">
        <f t="shared" ref="MT4" si="85">IF(SUM(MJ4,MN4)&gt;0,SUM(MJ4,MN4),"")</f>
        <v/>
      </c>
      <c r="MU4" s="14" t="str">
        <f t="shared" ref="MU4" si="86">IF(SUM(MI4:MJ4,ML4:MN4,MP4)-SUM(MK4,MO4)&gt;0,SUM(MI4:MJ4,ML4:MN4,MP4)-SUM(MK4,MO4),"")</f>
        <v/>
      </c>
      <c r="MV4" s="14" t="str">
        <f t="shared" ref="MV4" si="87"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 t="shared" ref="NQ4" si="88">IF(SUM(MX4,NB4)&gt;0,SUM(MX4,NB4),"")</f>
        <v/>
      </c>
      <c r="NR4" s="55" t="str">
        <f t="shared" ref="NR4" si="89">IF(SUM(MW4:MX4,MZ4:NB4,ND4)-MY4-NC4&gt;0,SUM(MW4:MX4,MZ4:NB4,ND4)-MY4-NC4,"")</f>
        <v/>
      </c>
      <c r="NS4" s="55" t="str">
        <f t="shared" ref="NS4" si="90">IF(SUM(NE4:NF4,NH4)-NG4&gt;0,SUM(NE4:NF4,NH4)-NG4,"")</f>
        <v/>
      </c>
      <c r="NT4" s="55" t="str">
        <f t="shared" ref="NT4" si="91">IF(SUM(NJ4,NN4)&gt;0,SUM(NJ4,NN4),"")</f>
        <v/>
      </c>
      <c r="NU4" s="55" t="str">
        <f t="shared" ref="NU4" si="92">IF(SUM(NI4:NJ4,NL4:NN4,NP4)-SUM(NK4,NO4)&gt;0,SUM(NI4:NJ4,NL4:NN4,NP4)-SUM(NK4,NO4),"")</f>
        <v/>
      </c>
      <c r="NV4" s="55" t="str">
        <f t="shared" ref="NV4" si="93"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 t="shared" ref="OQ4" si="94">IF(SUM(NX4,OB4)&gt;0,SUM(NX4,OB4),"")</f>
        <v/>
      </c>
      <c r="OR4" s="14" t="str">
        <f t="shared" ref="OR4" si="95">IF(SUM(NW4:NX4,NZ4:OB4,OD4)-NY4-OC4&gt;0,SUM(NW4:NX4,NZ4:OB4,OD4)-NY4-OC4,"")</f>
        <v/>
      </c>
      <c r="OS4" s="14" t="str">
        <f t="shared" ref="OS4" si="96">IF(SUM(OE4:OF4,OH4)-OG4&gt;0,SUM(OE4:OF4,OH4)-OG4,"")</f>
        <v/>
      </c>
      <c r="OT4" s="14" t="str">
        <f t="shared" ref="OT4" si="97">IF(SUM(OJ4,ON4)&gt;0,SUM(OJ4,ON4),"")</f>
        <v/>
      </c>
      <c r="OU4" s="14" t="str">
        <f t="shared" ref="OU4" si="98">IF(SUM(OI4:OJ4,OL4:ON4,OP4)-SUM(OK4,OO4)&gt;0,SUM(OI4:OJ4,OL4:ON4,OP4)-SUM(OK4,OO4),"")</f>
        <v/>
      </c>
      <c r="OV4" s="14" t="str">
        <f t="shared" ref="OV4" si="99">IF(SUM(OR4,OS4,OU4)&gt;0,SUM(OR4,OS4,OU4),"")</f>
        <v/>
      </c>
      <c r="OW4" s="27">
        <f t="shared" ref="OW4:PF4" si="100">IF($CN4="P",BT4,(BT4+AS4)/2)</f>
        <v>9.1999999999999993</v>
      </c>
      <c r="OX4" s="27">
        <f t="shared" si="100"/>
        <v>3.4</v>
      </c>
      <c r="OY4" s="27">
        <f t="shared" si="100"/>
        <v>0</v>
      </c>
      <c r="OZ4" s="27">
        <f t="shared" si="100"/>
        <v>0</v>
      </c>
      <c r="PA4" s="27">
        <f t="shared" si="100"/>
        <v>9.35</v>
      </c>
      <c r="PB4" s="27">
        <f t="shared" si="100"/>
        <v>3.6</v>
      </c>
      <c r="PC4" s="27">
        <f t="shared" si="100"/>
        <v>0.1</v>
      </c>
      <c r="PD4" s="27">
        <f t="shared" si="100"/>
        <v>0</v>
      </c>
      <c r="PE4" s="27">
        <f t="shared" si="100"/>
        <v>9.25</v>
      </c>
      <c r="PF4" s="27">
        <f t="shared" si="100"/>
        <v>3</v>
      </c>
      <c r="PG4" s="27">
        <f t="shared" ref="PG4:PP4" si="101">IF($CN4="P",CD4,(CD4+BC4)/2)</f>
        <v>0</v>
      </c>
      <c r="PH4" s="27">
        <f t="shared" si="101"/>
        <v>0</v>
      </c>
      <c r="PI4" s="27">
        <f t="shared" si="101"/>
        <v>9.1999999999999993</v>
      </c>
      <c r="PJ4" s="27">
        <f t="shared" si="101"/>
        <v>3.8</v>
      </c>
      <c r="PK4" s="27">
        <f t="shared" si="101"/>
        <v>0.4</v>
      </c>
      <c r="PL4" s="27">
        <f t="shared" si="101"/>
        <v>0</v>
      </c>
      <c r="PM4" s="27">
        <f t="shared" si="101"/>
        <v>9.25</v>
      </c>
      <c r="PN4" s="27">
        <f t="shared" si="101"/>
        <v>3.2</v>
      </c>
      <c r="PO4" s="27">
        <f t="shared" si="101"/>
        <v>0.3</v>
      </c>
      <c r="PP4" s="27">
        <f t="shared" si="101"/>
        <v>0</v>
      </c>
      <c r="PQ4" s="32" t="s">
        <v>44</v>
      </c>
      <c r="PR4" s="55">
        <f t="shared" ref="PR4" si="102">IF(SUM(OX4,PB4)&gt;0,SUM(OX4,PB4),"")</f>
        <v>7</v>
      </c>
      <c r="PS4" s="55">
        <f t="shared" ref="PS4" si="103">IF(SUM(OW4:OX4,OZ4:PB4,PD4)-OY4-PC4&gt;0,SUM(OW4:OX4,OZ4:PB4,PD4)-OY4-PC4,"")</f>
        <v>25.45</v>
      </c>
      <c r="PT4" s="55">
        <f t="shared" ref="PT4" si="104">IF(SUM(PE4:PF4,PH4)-PG4&gt;0,SUM(PE4:PF4,PH4)-PG4,"")</f>
        <v>12.25</v>
      </c>
      <c r="PU4" s="55">
        <f t="shared" ref="PU4" si="105">IF(SUM(PJ4,PN4)&gt;0,SUM(PJ4,PN4),"")</f>
        <v>7</v>
      </c>
      <c r="PV4" s="55">
        <f t="shared" ref="PV4" si="106">IF(SUM(PI4:PJ4,PL4:PN4,PP4)-SUM(PK4,PO4)&gt;0,SUM(PI4:PJ4,PL4:PN4,PP4)-SUM(PK4,PO4),"")</f>
        <v>24.75</v>
      </c>
      <c r="PW4" s="55">
        <f t="shared" ref="PW4" si="107">IF(SUM(PS4,PT4,PV4)&gt;0,SUM(PS4,PT4,PV4),"")</f>
        <v>62.45</v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10.4</v>
      </c>
      <c r="BN7" s="4"/>
      <c r="BS7" s="57">
        <v>10.4</v>
      </c>
      <c r="CO7" s="4"/>
      <c r="CT7" s="57">
        <v>10.4</v>
      </c>
      <c r="DQ7" s="4"/>
      <c r="DV7" s="57">
        <v>10.4</v>
      </c>
      <c r="EQ7" s="4"/>
      <c r="EV7" s="57">
        <v>10.4</v>
      </c>
      <c r="FQ7" s="4"/>
      <c r="FV7" s="57">
        <v>10.4</v>
      </c>
      <c r="GQ7" s="4"/>
      <c r="GV7" s="57">
        <v>10.4</v>
      </c>
      <c r="HQ7" s="4"/>
      <c r="HV7" s="57">
        <v>10.4</v>
      </c>
      <c r="IQ7" s="4"/>
      <c r="IV7" s="57">
        <v>10.4</v>
      </c>
      <c r="JQ7" s="4"/>
      <c r="JV7" s="57">
        <v>10.4</v>
      </c>
      <c r="KQ7" s="4"/>
      <c r="KV7" s="57">
        <v>10.4</v>
      </c>
      <c r="LQ7" s="4"/>
      <c r="LV7" s="57">
        <v>10.4</v>
      </c>
      <c r="MQ7" s="4"/>
      <c r="MV7" s="57">
        <v>10.4</v>
      </c>
      <c r="NQ7" s="4"/>
      <c r="NV7" s="57">
        <v>10.4</v>
      </c>
      <c r="OQ7" s="4"/>
      <c r="OV7" s="57">
        <v>10.4</v>
      </c>
    </row>
    <row r="8" spans="1:439" ht="17" hidden="1" x14ac:dyDescent="0.2">
      <c r="B8" s="35" t="s">
        <v>41</v>
      </c>
      <c r="O8" s="11"/>
      <c r="P8" s="11"/>
      <c r="Q8" s="11"/>
      <c r="AM8" s="4"/>
      <c r="AR8" s="58">
        <f>AR9</f>
        <v>11.2</v>
      </c>
      <c r="BN8" s="4"/>
      <c r="BS8" s="58">
        <f>BS9</f>
        <v>11.2</v>
      </c>
      <c r="CO8" s="4"/>
      <c r="CT8" s="58">
        <f>CT9</f>
        <v>11.2</v>
      </c>
      <c r="DQ8" s="4"/>
      <c r="DV8" s="58">
        <f>DV9</f>
        <v>11.2</v>
      </c>
      <c r="EQ8" s="4"/>
      <c r="EV8" s="58">
        <f>EV9</f>
        <v>11.2</v>
      </c>
      <c r="FQ8" s="4"/>
      <c r="FV8" s="58">
        <f>FV9</f>
        <v>11.2</v>
      </c>
      <c r="GQ8" s="4"/>
      <c r="GV8" s="58">
        <f>GV9</f>
        <v>11.2</v>
      </c>
      <c r="HQ8" s="4"/>
      <c r="HV8" s="58">
        <f>HV9</f>
        <v>11.2</v>
      </c>
      <c r="IQ8" s="4"/>
      <c r="IV8" s="58">
        <f>IV9</f>
        <v>11.2</v>
      </c>
      <c r="JQ8" s="4"/>
      <c r="JV8" s="58">
        <f>JV9</f>
        <v>11.2</v>
      </c>
      <c r="KQ8" s="4"/>
      <c r="KV8" s="58">
        <f>KV9</f>
        <v>11.2</v>
      </c>
      <c r="LQ8" s="4"/>
      <c r="LV8" s="58">
        <f>LV9</f>
        <v>11.2</v>
      </c>
      <c r="MQ8" s="4"/>
      <c r="MV8" s="58">
        <f>MV9</f>
        <v>11.2</v>
      </c>
      <c r="NQ8" s="4"/>
      <c r="NV8" s="58">
        <f>NV9</f>
        <v>11.2</v>
      </c>
      <c r="OQ8" s="4"/>
      <c r="OV8" s="58">
        <f>OV9</f>
        <v>11.2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11.2</v>
      </c>
      <c r="BN9" s="4"/>
      <c r="BS9" s="59">
        <v>11.2</v>
      </c>
      <c r="CO9" s="4"/>
      <c r="CT9" s="59">
        <v>11.2</v>
      </c>
      <c r="DQ9" s="4"/>
      <c r="DV9" s="59">
        <v>11.2</v>
      </c>
      <c r="EQ9" s="4"/>
      <c r="EV9" s="59">
        <v>11.2</v>
      </c>
      <c r="FQ9" s="4"/>
      <c r="FV9" s="59">
        <v>11.2</v>
      </c>
      <c r="GQ9" s="4"/>
      <c r="GV9" s="59">
        <v>11.2</v>
      </c>
      <c r="HQ9" s="4"/>
      <c r="HV9" s="59">
        <v>11.2</v>
      </c>
      <c r="IQ9" s="4"/>
      <c r="IV9" s="59">
        <v>11.2</v>
      </c>
      <c r="JQ9" s="4"/>
      <c r="JV9" s="59">
        <v>11.2</v>
      </c>
      <c r="KQ9" s="4"/>
      <c r="KV9" s="59">
        <v>11.2</v>
      </c>
      <c r="LQ9" s="4"/>
      <c r="LV9" s="59">
        <v>11.2</v>
      </c>
      <c r="MQ9" s="4"/>
      <c r="MV9" s="59">
        <v>11.2</v>
      </c>
      <c r="NQ9" s="4"/>
      <c r="NV9" s="59">
        <v>11.2</v>
      </c>
      <c r="OQ9" s="4"/>
      <c r="OV9" s="59">
        <v>11.2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5">
        <v>1000</v>
      </c>
      <c r="BN10" s="4"/>
      <c r="BS10" s="65">
        <v>1000</v>
      </c>
      <c r="CO10" s="4"/>
      <c r="CT10" s="65">
        <v>1000</v>
      </c>
      <c r="DQ10" s="4"/>
      <c r="DV10" s="65">
        <v>1000</v>
      </c>
      <c r="EQ10" s="4"/>
      <c r="EV10" s="65">
        <v>1000</v>
      </c>
      <c r="FQ10" s="4"/>
      <c r="FV10" s="65">
        <v>1000</v>
      </c>
      <c r="GQ10" s="4"/>
      <c r="GV10" s="65">
        <v>1000</v>
      </c>
      <c r="HQ10" s="4"/>
      <c r="HV10" s="65">
        <v>1000</v>
      </c>
      <c r="IQ10" s="4"/>
      <c r="IV10" s="65">
        <v>1000</v>
      </c>
      <c r="JQ10" s="4"/>
      <c r="JV10" s="65">
        <v>1000</v>
      </c>
      <c r="KQ10" s="4"/>
      <c r="KV10" s="65">
        <v>1000</v>
      </c>
      <c r="LQ10" s="4"/>
      <c r="LV10" s="65">
        <v>1000</v>
      </c>
      <c r="MQ10" s="4"/>
      <c r="MV10" s="65">
        <v>1000</v>
      </c>
      <c r="NQ10" s="4"/>
      <c r="NV10" s="65">
        <v>1000</v>
      </c>
      <c r="OQ10" s="4"/>
      <c r="OV10" s="65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6">
        <v>47.2</v>
      </c>
      <c r="BN11" s="4"/>
      <c r="BS11" s="66">
        <v>47.2</v>
      </c>
      <c r="CO11" s="4"/>
      <c r="CT11" s="66">
        <v>47.2</v>
      </c>
      <c r="DQ11" s="4"/>
      <c r="DV11" s="66">
        <v>47.2</v>
      </c>
      <c r="EQ11" s="4"/>
      <c r="EV11" s="66">
        <v>47.2</v>
      </c>
      <c r="FQ11" s="4"/>
      <c r="FV11" s="66">
        <v>47.2</v>
      </c>
      <c r="GQ11" s="4"/>
      <c r="GV11" s="66">
        <v>47.2</v>
      </c>
      <c r="HQ11" s="4"/>
      <c r="HV11" s="66">
        <v>47.2</v>
      </c>
      <c r="IQ11" s="4"/>
      <c r="IV11" s="66">
        <v>47.2</v>
      </c>
      <c r="JQ11" s="4"/>
      <c r="JV11" s="66">
        <v>47.2</v>
      </c>
      <c r="KQ11" s="4"/>
      <c r="KV11" s="66">
        <v>47.2</v>
      </c>
      <c r="LQ11" s="4"/>
      <c r="LV11" s="66">
        <v>47.2</v>
      </c>
      <c r="MQ11" s="4"/>
      <c r="MV11" s="66">
        <v>47.2</v>
      </c>
      <c r="NQ11" s="4"/>
      <c r="NV11" s="66">
        <v>47.2</v>
      </c>
      <c r="OQ11" s="4"/>
      <c r="OV11" s="66">
        <v>47.2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f>AR13</f>
        <v>47.6</v>
      </c>
      <c r="BN12" s="4"/>
      <c r="BS12" s="62">
        <f>BS13</f>
        <v>47.6</v>
      </c>
      <c r="CO12" s="4"/>
      <c r="CT12" s="62">
        <f>CT13</f>
        <v>47.6</v>
      </c>
      <c r="DQ12" s="4"/>
      <c r="DV12" s="62">
        <f>DV13</f>
        <v>47.6</v>
      </c>
      <c r="EQ12" s="4"/>
      <c r="EV12" s="62">
        <f>EV13</f>
        <v>47.6</v>
      </c>
      <c r="FQ12" s="4"/>
      <c r="FV12" s="62">
        <f>FV13</f>
        <v>47.6</v>
      </c>
      <c r="GQ12" s="4"/>
      <c r="GV12" s="62">
        <f>GV13</f>
        <v>47.6</v>
      </c>
      <c r="HQ12" s="4"/>
      <c r="HV12" s="62">
        <f>HV13</f>
        <v>47.6</v>
      </c>
      <c r="IQ12" s="4"/>
      <c r="IV12" s="62">
        <f>IV13</f>
        <v>47.6</v>
      </c>
      <c r="JQ12" s="4"/>
      <c r="JV12" s="62">
        <f>JV13</f>
        <v>47.6</v>
      </c>
      <c r="KQ12" s="4"/>
      <c r="KV12" s="62">
        <f>KV13</f>
        <v>47.6</v>
      </c>
      <c r="LQ12" s="4"/>
      <c r="LV12" s="62">
        <f>LV13</f>
        <v>47.6</v>
      </c>
      <c r="MQ12" s="4"/>
      <c r="MV12" s="62">
        <f>MV13</f>
        <v>47.6</v>
      </c>
      <c r="NQ12" s="4"/>
      <c r="NV12" s="62">
        <f>NV13</f>
        <v>47.6</v>
      </c>
      <c r="OQ12" s="4"/>
      <c r="OV12" s="62">
        <f>OV13</f>
        <v>47.6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47.6</v>
      </c>
      <c r="BN13" s="4"/>
      <c r="BS13" s="63">
        <v>47.6</v>
      </c>
      <c r="CO13" s="4"/>
      <c r="CT13" s="63">
        <v>47.6</v>
      </c>
      <c r="DQ13" s="4"/>
      <c r="DV13" s="63">
        <v>47.6</v>
      </c>
      <c r="EQ13" s="4"/>
      <c r="EV13" s="63">
        <v>47.6</v>
      </c>
      <c r="FQ13" s="4"/>
      <c r="FV13" s="63">
        <v>47.6</v>
      </c>
      <c r="GQ13" s="4"/>
      <c r="GV13" s="63">
        <v>47.6</v>
      </c>
      <c r="HQ13" s="4"/>
      <c r="HV13" s="63">
        <v>47.6</v>
      </c>
      <c r="IQ13" s="4"/>
      <c r="IV13" s="63">
        <v>47.6</v>
      </c>
      <c r="JQ13" s="4"/>
      <c r="JV13" s="63">
        <v>47.6</v>
      </c>
      <c r="KQ13" s="4"/>
      <c r="KV13" s="63">
        <v>47.6</v>
      </c>
      <c r="LQ13" s="4"/>
      <c r="LV13" s="63">
        <v>47.6</v>
      </c>
      <c r="MQ13" s="4"/>
      <c r="MV13" s="63">
        <v>47.6</v>
      </c>
      <c r="NQ13" s="4"/>
      <c r="NV13" s="63">
        <v>47.6</v>
      </c>
      <c r="OQ13" s="4"/>
      <c r="OV13" s="63">
        <v>47.6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57" priority="2" stopIfTrue="1">
      <formula>IF($AL4&lt;&gt;"",1,0)</formula>
    </cfRule>
  </conditionalFormatting>
  <conditionalFormatting sqref="AS4:BS4">
    <cfRule type="expression" dxfId="56" priority="3" stopIfTrue="1">
      <formula>IF($BM4&lt;&gt;"",1,0)</formula>
    </cfRule>
  </conditionalFormatting>
  <conditionalFormatting sqref="J1:J1048576 N1:N1048576 L1:L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4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66162" operator="between">
      <formula>AR$10</formula>
      <formula>1000</formula>
    </cfRule>
    <cfRule type="cellIs" dxfId="43" priority="66163" operator="between">
      <formula>AR$9</formula>
      <formula>AR$10</formula>
    </cfRule>
    <cfRule type="cellIs" dxfId="42" priority="66164" operator="between">
      <formula>AR$8</formula>
      <formula>AR$9</formula>
    </cfRule>
    <cfRule type="cellIs" dxfId="41" priority="66165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66342" operator="between">
      <formula>AR$14</formula>
      <formula>1000</formula>
    </cfRule>
    <cfRule type="cellIs" dxfId="39" priority="66343" operator="between">
      <formula>AR$13</formula>
      <formula>AR$14</formula>
    </cfRule>
    <cfRule type="cellIs" dxfId="38" priority="66344" operator="between">
      <formula>AR$12</formula>
      <formula>AR$13</formula>
    </cfRule>
    <cfRule type="cellIs" dxfId="37" priority="66345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66522" operator="between">
      <formula>AR$10</formula>
      <formula>1000</formula>
    </cfRule>
    <cfRule type="cellIs" dxfId="35" priority="66523" operator="between">
      <formula>AR$9</formula>
      <formula>AR$10</formula>
    </cfRule>
    <cfRule type="cellIs" dxfId="34" priority="66524" operator="between">
      <formula>AR$8</formula>
      <formula>AR$9</formula>
    </cfRule>
    <cfRule type="cellIs" dxfId="33" priority="66525" operator="between">
      <formula>AR$7</formula>
      <formula>AR$8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66702" operator="between">
      <formula>AR$11</formula>
      <formula>AR$12</formula>
    </cfRule>
    <cfRule type="cellIs" dxfId="31" priority="66703" operator="between">
      <formula>AR$12</formula>
      <formula>AR$13</formula>
    </cfRule>
    <cfRule type="cellIs" dxfId="30" priority="66704" operator="between">
      <formula>AR$13</formula>
      <formula>AR$14</formula>
    </cfRule>
    <cfRule type="cellIs" dxfId="29" priority="66705" operator="between">
      <formula>AR$14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68</v>
      </c>
      <c r="J1" s="75" t="s">
        <v>24</v>
      </c>
      <c r="K1" s="81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91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86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90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8" t="s">
        <v>74</v>
      </c>
      <c r="AI2" s="78"/>
      <c r="AJ2" s="78"/>
      <c r="AK2" s="78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0" t="s">
        <v>70</v>
      </c>
      <c r="AT2" s="70"/>
      <c r="AU2" s="70"/>
      <c r="AV2" s="70"/>
      <c r="AW2" s="70" t="s">
        <v>71</v>
      </c>
      <c r="AX2" s="70"/>
      <c r="AY2" s="70"/>
      <c r="AZ2" s="70"/>
      <c r="BA2" s="70" t="s">
        <v>72</v>
      </c>
      <c r="BB2" s="70"/>
      <c r="BC2" s="70"/>
      <c r="BD2" s="70"/>
      <c r="BE2" s="70" t="s">
        <v>73</v>
      </c>
      <c r="BF2" s="70"/>
      <c r="BG2" s="70"/>
      <c r="BH2" s="70"/>
      <c r="BI2" s="79" t="s">
        <v>74</v>
      </c>
      <c r="BJ2" s="79"/>
      <c r="BK2" s="79"/>
      <c r="BL2" s="79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8" t="s">
        <v>74</v>
      </c>
      <c r="CK2" s="78"/>
      <c r="CL2" s="78"/>
      <c r="CM2" s="78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0" t="s">
        <v>74</v>
      </c>
      <c r="DN2" s="80"/>
      <c r="DO2" s="80"/>
      <c r="DP2" s="80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0" t="s">
        <v>70</v>
      </c>
      <c r="DX2" s="70"/>
      <c r="DY2" s="70"/>
      <c r="DZ2" s="70"/>
      <c r="EA2" s="70" t="s">
        <v>71</v>
      </c>
      <c r="EB2" s="70"/>
      <c r="EC2" s="70"/>
      <c r="ED2" s="70"/>
      <c r="EE2" s="70" t="s">
        <v>72</v>
      </c>
      <c r="EF2" s="70"/>
      <c r="EG2" s="70"/>
      <c r="EH2" s="70"/>
      <c r="EI2" s="70" t="s">
        <v>73</v>
      </c>
      <c r="EJ2" s="70"/>
      <c r="EK2" s="70"/>
      <c r="EL2" s="70"/>
      <c r="EM2" s="79" t="s">
        <v>74</v>
      </c>
      <c r="EN2" s="79"/>
      <c r="EO2" s="79"/>
      <c r="EP2" s="79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0" t="s">
        <v>74</v>
      </c>
      <c r="FN2" s="80"/>
      <c r="FO2" s="80"/>
      <c r="FP2" s="80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0" t="s">
        <v>70</v>
      </c>
      <c r="FX2" s="70"/>
      <c r="FY2" s="70"/>
      <c r="FZ2" s="70"/>
      <c r="GA2" s="70" t="s">
        <v>71</v>
      </c>
      <c r="GB2" s="70"/>
      <c r="GC2" s="70"/>
      <c r="GD2" s="70"/>
      <c r="GE2" s="70" t="s">
        <v>72</v>
      </c>
      <c r="GF2" s="70"/>
      <c r="GG2" s="70"/>
      <c r="GH2" s="70"/>
      <c r="GI2" s="70" t="s">
        <v>73</v>
      </c>
      <c r="GJ2" s="70"/>
      <c r="GK2" s="70"/>
      <c r="GL2" s="70"/>
      <c r="GM2" s="79" t="s">
        <v>74</v>
      </c>
      <c r="GN2" s="79"/>
      <c r="GO2" s="79"/>
      <c r="GP2" s="79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0" t="s">
        <v>74</v>
      </c>
      <c r="HN2" s="80"/>
      <c r="HO2" s="80"/>
      <c r="HP2" s="80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0" t="s">
        <v>70</v>
      </c>
      <c r="HX2" s="70"/>
      <c r="HY2" s="70"/>
      <c r="HZ2" s="70"/>
      <c r="IA2" s="70" t="s">
        <v>71</v>
      </c>
      <c r="IB2" s="70"/>
      <c r="IC2" s="70"/>
      <c r="ID2" s="70"/>
      <c r="IE2" s="70" t="s">
        <v>72</v>
      </c>
      <c r="IF2" s="70"/>
      <c r="IG2" s="70"/>
      <c r="IH2" s="70"/>
      <c r="II2" s="70" t="s">
        <v>73</v>
      </c>
      <c r="IJ2" s="70"/>
      <c r="IK2" s="70"/>
      <c r="IL2" s="70"/>
      <c r="IM2" s="79" t="s">
        <v>74</v>
      </c>
      <c r="IN2" s="79"/>
      <c r="IO2" s="79"/>
      <c r="IP2" s="79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0" t="s">
        <v>74</v>
      </c>
      <c r="JN2" s="80"/>
      <c r="JO2" s="80"/>
      <c r="JP2" s="80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0" t="s">
        <v>70</v>
      </c>
      <c r="JX2" s="70"/>
      <c r="JY2" s="70"/>
      <c r="JZ2" s="70"/>
      <c r="KA2" s="70" t="s">
        <v>71</v>
      </c>
      <c r="KB2" s="70"/>
      <c r="KC2" s="70"/>
      <c r="KD2" s="70"/>
      <c r="KE2" s="70" t="s">
        <v>72</v>
      </c>
      <c r="KF2" s="70"/>
      <c r="KG2" s="70"/>
      <c r="KH2" s="70"/>
      <c r="KI2" s="70" t="s">
        <v>73</v>
      </c>
      <c r="KJ2" s="70"/>
      <c r="KK2" s="70"/>
      <c r="KL2" s="70"/>
      <c r="KM2" s="79" t="s">
        <v>74</v>
      </c>
      <c r="KN2" s="79"/>
      <c r="KO2" s="79"/>
      <c r="KP2" s="79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0" t="s">
        <v>74</v>
      </c>
      <c r="LN2" s="80"/>
      <c r="LO2" s="80"/>
      <c r="LP2" s="80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0" t="s">
        <v>70</v>
      </c>
      <c r="LX2" s="70"/>
      <c r="LY2" s="70"/>
      <c r="LZ2" s="70"/>
      <c r="MA2" s="70" t="s">
        <v>71</v>
      </c>
      <c r="MB2" s="70"/>
      <c r="MC2" s="70"/>
      <c r="MD2" s="70"/>
      <c r="ME2" s="70" t="s">
        <v>72</v>
      </c>
      <c r="MF2" s="70"/>
      <c r="MG2" s="70"/>
      <c r="MH2" s="70"/>
      <c r="MI2" s="70" t="s">
        <v>73</v>
      </c>
      <c r="MJ2" s="70"/>
      <c r="MK2" s="70"/>
      <c r="ML2" s="70"/>
      <c r="MM2" s="79" t="s">
        <v>74</v>
      </c>
      <c r="MN2" s="79"/>
      <c r="MO2" s="79"/>
      <c r="MP2" s="79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0" t="s">
        <v>74</v>
      </c>
      <c r="NN2" s="80"/>
      <c r="NO2" s="80"/>
      <c r="NP2" s="80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0" t="s">
        <v>70</v>
      </c>
      <c r="NX2" s="70"/>
      <c r="NY2" s="70"/>
      <c r="NZ2" s="70"/>
      <c r="OA2" s="70" t="s">
        <v>71</v>
      </c>
      <c r="OB2" s="70"/>
      <c r="OC2" s="70"/>
      <c r="OD2" s="70"/>
      <c r="OE2" s="70" t="s">
        <v>72</v>
      </c>
      <c r="OF2" s="70"/>
      <c r="OG2" s="70"/>
      <c r="OH2" s="70"/>
      <c r="OI2" s="70" t="s">
        <v>73</v>
      </c>
      <c r="OJ2" s="70"/>
      <c r="OK2" s="70"/>
      <c r="OL2" s="70"/>
      <c r="OM2" s="79" t="s">
        <v>74</v>
      </c>
      <c r="ON2" s="79"/>
      <c r="OO2" s="79"/>
      <c r="OP2" s="79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8" t="s">
        <v>74</v>
      </c>
      <c r="PN2" s="78"/>
      <c r="PO2" s="78"/>
      <c r="PP2" s="78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66</v>
      </c>
      <c r="C4" s="4" t="s">
        <v>67</v>
      </c>
      <c r="D4" s="4">
        <v>2009</v>
      </c>
      <c r="E4" s="10">
        <f>SUM(I4:O4)+SUM(I4:M4)*0.0000001+SUM(I4)*0.0000000000001</f>
        <v>153.10001528000512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50.800000000000004</v>
      </c>
      <c r="J4" s="9" t="str">
        <f>IF(I4=0,"",IF(I4=CP4,$BT$1,IF(I4=BO4,$AS$1,IF(I4=AN4,$R$1,""))))</f>
        <v>2024 Elite Canada</v>
      </c>
      <c r="K4" s="9">
        <f>IF(COUNT(AN4,BO4,CP4)&gt;1,LARGE((AN4,BO4,CP4),2),0)</f>
        <v>50.699999999999996</v>
      </c>
      <c r="L4" s="9" t="str">
        <f>IF(K4=0,"",IF(AND(K4=I4,K4=AN4,K4=BO4),$R$1,IF(AND(K4=I4,K4=AN4,K4=CP4),$R$1,IF(AND(K4=I4,K4=CP4,K4=BO4),$AS$1,IF(K4=CP4,$BT$1,IF(K4=BO4,$AS$1,IF(K4=AN4,$R$1,"")))))))</f>
        <v>2024 Nationals</v>
      </c>
      <c r="M4" s="9">
        <f>IF(MAX(AQ4,BR4,CS4)&gt;0,MAX(AQ4,BR4,CS4),0)</f>
        <v>51.3</v>
      </c>
      <c r="N4" s="9" t="str">
        <f>IF(M4=0,"",IF(M4=CS4,$BT$1,IF(M4=BR4,$AS$1,IF(M4=AQ4,$R$1,""))))</f>
        <v>2024 Elite Canada</v>
      </c>
      <c r="O4" s="9">
        <f>IF(MAX(CU4:CV4)&gt;0,MAX(CU4:CV4),"")</f>
        <v>0.30000000000000426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>
        <v>18.8</v>
      </c>
      <c r="S4" s="20">
        <v>6.8</v>
      </c>
      <c r="T4" s="20">
        <v>0</v>
      </c>
      <c r="U4" s="20">
        <v>0</v>
      </c>
      <c r="V4" s="20">
        <v>18.8</v>
      </c>
      <c r="W4" s="20">
        <v>6.4</v>
      </c>
      <c r="X4" s="20">
        <v>0</v>
      </c>
      <c r="Y4" s="20">
        <v>0</v>
      </c>
      <c r="Z4" s="20">
        <v>18.600000000000001</v>
      </c>
      <c r="AA4" s="20">
        <v>6</v>
      </c>
      <c r="AB4" s="20">
        <v>0</v>
      </c>
      <c r="AC4" s="20">
        <v>0</v>
      </c>
      <c r="AD4" s="20">
        <v>18.399999999999999</v>
      </c>
      <c r="AE4" s="20">
        <v>7.6</v>
      </c>
      <c r="AF4" s="20">
        <v>0</v>
      </c>
      <c r="AG4" s="20">
        <v>0</v>
      </c>
      <c r="AH4" s="20">
        <v>18.899999999999999</v>
      </c>
      <c r="AI4" s="20">
        <v>6.4</v>
      </c>
      <c r="AJ4" s="20">
        <v>0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50.800000000000004</v>
      </c>
      <c r="AO4" s="55">
        <f>IF(SUM(Z4:AA4,AC4)-AB4&gt;0,SUM(Z4:AA4,AC4)-AB4,"")</f>
        <v>24.6</v>
      </c>
      <c r="AP4" s="55">
        <f>IF(SUM(AE4,AI4)&gt;0,SUM(AE4,AI4),"")</f>
        <v>14</v>
      </c>
      <c r="AQ4" s="55">
        <f>IF(SUM(AD4:AE4,AG4:AI4,AK4)-SUM(AF4,AJ4)&gt;0,SUM(AD4:AE4,AG4:AI4,AK4)-SUM(AF4,AJ4),"")</f>
        <v>51.3</v>
      </c>
      <c r="AR4" s="55">
        <f>IF(SUM(AN4,AO4,AQ4)&gt;0,SUM(AN4,AO4,AQ4),"")</f>
        <v>126.7</v>
      </c>
      <c r="AS4" s="19">
        <v>19.2</v>
      </c>
      <c r="AT4" s="19">
        <v>6.8</v>
      </c>
      <c r="AU4" s="19">
        <v>0.2</v>
      </c>
      <c r="AV4" s="19">
        <v>0</v>
      </c>
      <c r="AW4" s="19">
        <v>18.5</v>
      </c>
      <c r="AX4" s="19">
        <v>6.4</v>
      </c>
      <c r="AY4" s="19">
        <v>0</v>
      </c>
      <c r="AZ4" s="19">
        <v>0</v>
      </c>
      <c r="BA4" s="19">
        <v>18.600000000000001</v>
      </c>
      <c r="BB4" s="19">
        <v>5.2</v>
      </c>
      <c r="BC4" s="19">
        <v>0.6</v>
      </c>
      <c r="BD4" s="19">
        <v>0</v>
      </c>
      <c r="BE4" s="19">
        <v>18.5</v>
      </c>
      <c r="BF4" s="19">
        <v>7.6</v>
      </c>
      <c r="BG4" s="19">
        <v>0.2</v>
      </c>
      <c r="BH4" s="19">
        <v>0</v>
      </c>
      <c r="BI4" s="19">
        <v>18.899999999999999</v>
      </c>
      <c r="BJ4" s="19">
        <v>6.4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50.699999999999996</v>
      </c>
      <c r="BP4" s="14">
        <f>IF(SUM(BA4:BB4,BD4)-BC4&gt;0,SUM(BA4:BB4,BD4)-BC4,"")</f>
        <v>23.2</v>
      </c>
      <c r="BQ4" s="14">
        <f>IF(SUM(BF4,BJ4)&gt;0,SUM(BF4,BJ4),"")</f>
        <v>14</v>
      </c>
      <c r="BR4" s="14">
        <f>IF(SUM(BE4:BF4,BH4:BJ4,BL4)-SUM(BG4,BK4)&gt;0,SUM(BE4:BF4,BH4:BJ4,BL4)-SUM(BG4,BK4),"")</f>
        <v>51.199999999999996</v>
      </c>
      <c r="BS4" s="14">
        <f>IF(SUM(BO4,BP4,BR4)&gt;0,SUM(BO4,BP4,BR4),"")</f>
        <v>125.1</v>
      </c>
      <c r="BT4" s="20">
        <v>18.8</v>
      </c>
      <c r="BU4" s="20">
        <v>6.8</v>
      </c>
      <c r="BV4" s="20">
        <v>0</v>
      </c>
      <c r="BW4" s="20">
        <v>0</v>
      </c>
      <c r="BX4" s="20">
        <v>18.8</v>
      </c>
      <c r="BY4" s="20">
        <v>6.4</v>
      </c>
      <c r="BZ4" s="20">
        <v>0.6</v>
      </c>
      <c r="CA4" s="20">
        <v>0</v>
      </c>
      <c r="CB4" s="20">
        <v>19</v>
      </c>
      <c r="CC4" s="20">
        <v>6</v>
      </c>
      <c r="CD4" s="20">
        <v>0</v>
      </c>
      <c r="CE4" s="20">
        <v>0</v>
      </c>
      <c r="CF4" s="20">
        <v>18.600000000000001</v>
      </c>
      <c r="CG4" s="20">
        <v>6.8</v>
      </c>
      <c r="CH4" s="20">
        <v>0.6</v>
      </c>
      <c r="CI4" s="20">
        <v>0</v>
      </c>
      <c r="CJ4" s="20">
        <v>17.600000000000001</v>
      </c>
      <c r="CK4" s="20">
        <v>2.4</v>
      </c>
      <c r="CL4" s="20">
        <v>0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50.2</v>
      </c>
      <c r="CQ4" s="55">
        <f>IF(SUM(CB4:CC4,CE4)-CD4&gt;0,SUM(CB4:CC4,CE4)-CD4,"")</f>
        <v>25</v>
      </c>
      <c r="CR4" s="55">
        <f>IF(SUM(CG4,CK4)&gt;0,SUM(CG4,CK4),"")</f>
        <v>9.1999999999999993</v>
      </c>
      <c r="CS4" s="55">
        <f>IF(SUM(CF4:CG4,CI4:CK4,CM4)-SUM(CH4,CL4)&gt;0,SUM(CF4:CG4,CI4:CK4,CM4)-SUM(CH4,CL4),"")</f>
        <v>44.8</v>
      </c>
      <c r="CT4" s="55">
        <f>IF(SUM(CP4,CQ4,CS4)&gt;0,SUM(CP4,CQ4,CS4),"")</f>
        <v>120</v>
      </c>
      <c r="CU4" s="56">
        <f>IF(MAX(DR4,ER4,FR4,GR4,HR4,IR4,JR4,KR4,LR4,MR4,NR4,OR4)-IF(K4="",0,K4)&gt;0.001,MAX(DR4,ER4,FR4,GR4,HR4,IR4,JR4,KR4,LR4,MR4,NR4,OR4)-IF(K4="",0,K4),"")</f>
        <v>0.30000000000000426</v>
      </c>
      <c r="CV4" s="56" t="str">
        <f>IF(MAX(DU4,EU4,FU4,GU4,HU4,IU4,JU4,KU4,LU4,MU4,NU4,OU4)-IF(M4="",0,M4)&gt;0.001,MAX(DU4,EU4,FU4,GU4,HU4,IU4,JU4,KU4,LU4,MU4,NU4,OU4)-IF(M4="",0,M4),"")</f>
        <v/>
      </c>
      <c r="CW4" s="18">
        <v>18.100000000000001</v>
      </c>
      <c r="CX4" s="18">
        <v>6.4</v>
      </c>
      <c r="CY4" s="18">
        <v>0</v>
      </c>
      <c r="CZ4" s="18">
        <v>0</v>
      </c>
      <c r="DA4" s="18">
        <v>18.600000000000001</v>
      </c>
      <c r="DB4" s="18">
        <v>6.8</v>
      </c>
      <c r="DC4" s="18">
        <v>0</v>
      </c>
      <c r="DD4" s="18">
        <v>0</v>
      </c>
      <c r="DE4" s="18"/>
      <c r="DF4" s="18"/>
      <c r="DG4" s="18"/>
      <c r="DH4" s="18"/>
      <c r="DI4" s="18">
        <v>18.3</v>
      </c>
      <c r="DJ4" s="18">
        <v>6.4</v>
      </c>
      <c r="DK4" s="18">
        <v>0.2</v>
      </c>
      <c r="DL4" s="18">
        <v>0</v>
      </c>
      <c r="DM4" s="18">
        <v>18</v>
      </c>
      <c r="DN4" s="18">
        <v>4.4000000000000004</v>
      </c>
      <c r="DO4" s="18">
        <v>0.6</v>
      </c>
      <c r="DP4" s="18">
        <v>0</v>
      </c>
      <c r="DQ4" s="55">
        <f>IF(SUM(CX4,DB4)&gt;0,SUM(CX4,DB4),"")</f>
        <v>13.2</v>
      </c>
      <c r="DR4" s="55">
        <f>IF(SUM(CW4:CX4,CZ4:DB4,DD4)-CY4-DC4&gt;0,SUM(CW4:CX4,CZ4:DB4,DD4)-CY4-DC4,"")</f>
        <v>49.9</v>
      </c>
      <c r="DS4" s="55" t="str">
        <f>IF(SUM(DE4:DF4,DH4)-DG4&gt;0,SUM(DE4:DF4,DH4)-DG4,"")</f>
        <v/>
      </c>
      <c r="DT4" s="55">
        <f>IF(SUM(DJ4,DN4)&gt;0,SUM(DJ4,DN4),"")</f>
        <v>10.8</v>
      </c>
      <c r="DU4" s="55">
        <f>IF(SUM(DI4:DJ4,DL4:DN4,DP4)-SUM(DK4,DO4)&gt;0,SUM(DI4:DJ4,DL4:DN4,DP4)-SUM(DK4,DO4),"")</f>
        <v>46.300000000000004</v>
      </c>
      <c r="DV4" s="55">
        <f>IF(SUM(DR4,DS4,DU4)&gt;0,SUM(DR4,DS4,DU4),"")</f>
        <v>96.2</v>
      </c>
      <c r="DW4" s="19">
        <v>18.5</v>
      </c>
      <c r="DX4" s="19">
        <v>6.4</v>
      </c>
      <c r="DY4" s="19">
        <v>0</v>
      </c>
      <c r="DZ4" s="19">
        <v>0</v>
      </c>
      <c r="EA4" s="19">
        <v>18.600000000000001</v>
      </c>
      <c r="EB4" s="19">
        <v>6.8</v>
      </c>
      <c r="EC4" s="19">
        <v>0</v>
      </c>
      <c r="ED4" s="19">
        <v>0</v>
      </c>
      <c r="EE4" s="19"/>
      <c r="EF4" s="19"/>
      <c r="EG4" s="19"/>
      <c r="EH4" s="19"/>
      <c r="EI4" s="19">
        <v>18.399999999999999</v>
      </c>
      <c r="EJ4" s="19">
        <v>6.4</v>
      </c>
      <c r="EK4" s="19">
        <v>0</v>
      </c>
      <c r="EL4" s="19">
        <v>0</v>
      </c>
      <c r="EM4" s="19">
        <v>18.600000000000001</v>
      </c>
      <c r="EN4" s="19">
        <v>6.8</v>
      </c>
      <c r="EO4" s="19">
        <v>0</v>
      </c>
      <c r="EP4" s="19">
        <v>0</v>
      </c>
      <c r="EQ4" s="14">
        <f>IF(SUM(DX4,EB4)&gt;0,SUM(DX4,EB4),"")</f>
        <v>13.2</v>
      </c>
      <c r="ER4" s="14">
        <f>IF(SUM(DW4:DX4,DZ4:EB4,ED4)-DY4-EC4&gt;0,SUM(DW4:DX4,DZ4:EB4,ED4)-DY4-EC4,"")</f>
        <v>50.3</v>
      </c>
      <c r="ES4" s="14" t="str">
        <f>IF(SUM(EE4:EF4,EH4)-EG4&gt;0,SUM(EE4:EF4,EH4)-EG4,"")</f>
        <v/>
      </c>
      <c r="ET4" s="14">
        <f>IF(SUM(EJ4,EN4)&gt;0,SUM(EJ4,EN4),"")</f>
        <v>13.2</v>
      </c>
      <c r="EU4" s="14">
        <f>IF(SUM(EI4:EJ4,EL4:EN4,EP4)-SUM(EK4,EO4)&gt;0,SUM(EI4:EJ4,EL4:EN4,EP4)-SUM(EK4,EO4),"")</f>
        <v>50.199999999999996</v>
      </c>
      <c r="EV4" s="14">
        <f>IF(SUM(ER4,ES4,EU4)&gt;0,SUM(ER4,ES4,EU4),"")</f>
        <v>100.5</v>
      </c>
      <c r="EW4" s="18">
        <v>18.8</v>
      </c>
      <c r="EX4" s="18">
        <v>6.8</v>
      </c>
      <c r="EY4" s="18">
        <v>0</v>
      </c>
      <c r="EZ4" s="18">
        <v>0</v>
      </c>
      <c r="FA4" s="18">
        <v>19</v>
      </c>
      <c r="FB4" s="18">
        <v>6.4</v>
      </c>
      <c r="FC4" s="18">
        <v>0</v>
      </c>
      <c r="FD4" s="18">
        <v>0</v>
      </c>
      <c r="FE4" s="18"/>
      <c r="FF4" s="18"/>
      <c r="FG4" s="18"/>
      <c r="FH4" s="18"/>
      <c r="FI4" s="18">
        <v>18.8</v>
      </c>
      <c r="FJ4" s="18">
        <v>6.4</v>
      </c>
      <c r="FK4" s="18">
        <v>0</v>
      </c>
      <c r="FL4" s="18">
        <v>0</v>
      </c>
      <c r="FM4" s="18">
        <v>18.2</v>
      </c>
      <c r="FN4" s="18">
        <v>6.8</v>
      </c>
      <c r="FO4" s="18">
        <v>0.2</v>
      </c>
      <c r="FP4" s="18">
        <v>0</v>
      </c>
      <c r="FQ4" s="55">
        <f>IF(SUM(EX4,FB4)&gt;0,SUM(EX4,FB4),"")</f>
        <v>13.2</v>
      </c>
      <c r="FR4" s="55">
        <f>IF(SUM(EW4:EX4,EZ4:FB4,FD4)-EY4-FC4&gt;0,SUM(EW4:EX4,EZ4:FB4,FD4)-EY4-FC4,"")</f>
        <v>51</v>
      </c>
      <c r="FS4" s="55" t="str">
        <f>IF(SUM(FE4:FF4,FH4)-FG4&gt;0,SUM(FE4:FF4,FH4)-FG4,"")</f>
        <v/>
      </c>
      <c r="FT4" s="55">
        <f>IF(SUM(FJ4,FN4)&gt;0,SUM(FJ4,FN4),"")</f>
        <v>13.2</v>
      </c>
      <c r="FU4" s="55">
        <f>IF(SUM(FI4:FJ4,FL4:FN4,FP4)-SUM(FK4,FO4)&gt;0,SUM(FI4:FJ4,FL4:FN4,FP4)-SUM(FK4,FO4),"")</f>
        <v>50</v>
      </c>
      <c r="FV4" s="55">
        <f>IF(SUM(FR4,FS4,FU4)&gt;0,SUM(FR4,FS4,FU4),"")</f>
        <v>101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19</v>
      </c>
      <c r="OX4" s="27">
        <f>IF($CN4="P",BU4,(BU4+AT4)/2)</f>
        <v>6.8</v>
      </c>
      <c r="OY4" s="27">
        <f>IF($CN4="P",BV4,(BV4+AU4)/2)</f>
        <v>0.1</v>
      </c>
      <c r="OZ4" s="27">
        <f>IF($CN4="P",BW4,(BW4+AV4)/2)</f>
        <v>0</v>
      </c>
      <c r="PA4" s="27">
        <f>IF($CN4="P",BX4,(BX4+AW4)/2)</f>
        <v>18.649999999999999</v>
      </c>
      <c r="PB4" s="27">
        <f>IF($CN4="P",BY4,(BY4+AX4)/2)</f>
        <v>6.4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18.8</v>
      </c>
      <c r="PF4" s="27">
        <f>IF($CN4="P",CC4,(CC4+BB4)/2)</f>
        <v>5.6</v>
      </c>
      <c r="PG4" s="27">
        <f>IF($CN4="P",CD4,(CD4+BC4)/2)</f>
        <v>0.3</v>
      </c>
      <c r="PH4" s="27">
        <f>IF($CN4="P",CE4,(CE4+BD4)/2)</f>
        <v>0</v>
      </c>
      <c r="PI4" s="27">
        <f>IF($CN4="P",CF4,(CF4+BE4)/2)</f>
        <v>18.55</v>
      </c>
      <c r="PJ4" s="27">
        <f>IF($CN4="P",CG4,(CG4+BF4)/2)</f>
        <v>7.1999999999999993</v>
      </c>
      <c r="PK4" s="27">
        <f>IF($CN4="P",CH4,(CH4+BG4)/2)</f>
        <v>0.4</v>
      </c>
      <c r="PL4" s="27">
        <f>IF($CN4="P",CI4,(CI4+BH4)/2)</f>
        <v>0</v>
      </c>
      <c r="PM4" s="27">
        <f>IF($CN4="P",CJ4,(CJ4+BI4)/2)</f>
        <v>18.25</v>
      </c>
      <c r="PN4" s="27">
        <f>IF($CN4="P",CK4,(CK4+BJ4)/2)</f>
        <v>4.4000000000000004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13.2</v>
      </c>
      <c r="PS4" s="55">
        <f>IF(SUM(OW4:OX4,OZ4:PB4,PD4)-OY4-PC4&gt;0,SUM(OW4:OX4,OZ4:PB4,PD4)-OY4-PC4,"")</f>
        <v>50.45</v>
      </c>
      <c r="PT4" s="55">
        <f>IF(SUM(PE4:PF4,PH4)-PG4&gt;0,SUM(PE4:PF4,PH4)-PG4,"")</f>
        <v>24.099999999999998</v>
      </c>
      <c r="PU4" s="55">
        <f>IF(SUM(PJ4,PN4)&gt;0,SUM(PJ4,PN4),"")</f>
        <v>11.6</v>
      </c>
      <c r="PV4" s="55">
        <f>IF(SUM(PI4:PJ4,PL4:PN4,PP4)-SUM(PK4,PO4)&gt;0,SUM(PI4:PJ4,PL4:PN4,PP4)-SUM(PK4,PO4),"")</f>
        <v>48</v>
      </c>
      <c r="PW4" s="55">
        <f>IF(SUM(PS4,PT4,PV4)&gt;0,SUM(PS4,PT4,PV4),"")</f>
        <v>122.55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79</v>
      </c>
      <c r="C5" s="4" t="s">
        <v>67</v>
      </c>
      <c r="D5" s="4">
        <v>2009</v>
      </c>
      <c r="E5" s="10">
        <f>SUM(I5:O5)+SUM(I5:M5)*0.0000001+SUM(I5)*0.0000000000001</f>
        <v>143.70001427000474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47.599999999999994</v>
      </c>
      <c r="J5" s="9" t="str">
        <f>IF(I5=0,"",IF(I5=CP5,$BT$1,IF(I5=BO5,$AS$1,IF(I5=AN5,$R$1,""))))</f>
        <v>2024 Nationals</v>
      </c>
      <c r="K5" s="9">
        <f>IF(COUNT(AN5,BO5,CP5)&gt;1,LARGE((AN5,BO5,CP5),2),0)</f>
        <v>47.4</v>
      </c>
      <c r="L5" s="9" t="str">
        <f>IF(K5=0,"",IF(AND(K5=I5,K5=AN5,K5=BO5),$R$1,IF(AND(K5=I5,K5=AN5,K5=CP5),$R$1,IF(AND(K5=I5,K5=CP5,K5=BO5),$AS$1,IF(K5=CP5,$BT$1,IF(K5=BO5,$AS$1,IF(K5=AN5,$R$1,"")))))))</f>
        <v>2024 3rd Domestic Trial</v>
      </c>
      <c r="M5" s="9">
        <f>IF(MAX(AQ5,BR5,CS5)&gt;0,MAX(AQ5,BR5,CS5),0)</f>
        <v>47.699999999999996</v>
      </c>
      <c r="N5" s="9" t="str">
        <f>IF(M5=0,"",IF(M5=CS5,$BT$1,IF(M5=BR5,$AS$1,IF(M5=AQ5,$R$1,""))))</f>
        <v>2024 Nationals</v>
      </c>
      <c r="O5" s="9">
        <f>IF(MAX(CU5:CV5)&gt;0,MAX(CU5:CV5),"")</f>
        <v>0.99999999999999289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2024 Coimbra Gym Fest (July 7)</v>
      </c>
      <c r="R5" s="20">
        <v>18.100000000000001</v>
      </c>
      <c r="S5" s="20">
        <v>5.2</v>
      </c>
      <c r="T5" s="20">
        <v>0.6</v>
      </c>
      <c r="U5" s="20">
        <v>0</v>
      </c>
      <c r="V5" s="20">
        <v>17.8</v>
      </c>
      <c r="W5" s="20">
        <v>5.2</v>
      </c>
      <c r="X5" s="20">
        <v>0.6</v>
      </c>
      <c r="Y5" s="20">
        <v>0</v>
      </c>
      <c r="Z5" s="20">
        <v>18.2</v>
      </c>
      <c r="AA5" s="20">
        <v>4.4000000000000004</v>
      </c>
      <c r="AB5" s="20">
        <v>0</v>
      </c>
      <c r="AC5" s="20">
        <v>0</v>
      </c>
      <c r="AD5" s="20">
        <v>18.3</v>
      </c>
      <c r="AE5" s="20">
        <v>5.2</v>
      </c>
      <c r="AF5" s="20">
        <v>0.6</v>
      </c>
      <c r="AG5" s="20">
        <v>0</v>
      </c>
      <c r="AH5" s="20">
        <v>18.5</v>
      </c>
      <c r="AI5" s="20">
        <v>6</v>
      </c>
      <c r="AJ5" s="20">
        <v>0.2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45.1</v>
      </c>
      <c r="AO5" s="55">
        <f>IF(SUM(Z5:AA5,AC5)-AB5&gt;0,SUM(Z5:AA5,AC5)-AB5,"")</f>
        <v>22.6</v>
      </c>
      <c r="AP5" s="55">
        <f>IF(SUM(AE5,AI5)&gt;0,SUM(AE5,AI5),"")</f>
        <v>11.2</v>
      </c>
      <c r="AQ5" s="55">
        <f>IF(SUM(AD5:AE5,AG5:AI5,AK5)-SUM(AF5,AJ5)&gt;0,SUM(AD5:AE5,AG5:AI5,AK5)-SUM(AF5,AJ5),"")</f>
        <v>47.2</v>
      </c>
      <c r="AR5" s="55">
        <f>IF(SUM(AN5,AO5,AQ5)&gt;0,SUM(AN5,AO5,AQ5),"")</f>
        <v>114.9</v>
      </c>
      <c r="AS5" s="19">
        <v>18.2</v>
      </c>
      <c r="AT5" s="19">
        <v>5.6</v>
      </c>
      <c r="AU5" s="19">
        <v>0.6</v>
      </c>
      <c r="AV5" s="19">
        <v>0</v>
      </c>
      <c r="AW5" s="19">
        <v>18.399999999999999</v>
      </c>
      <c r="AX5" s="19">
        <v>6</v>
      </c>
      <c r="AY5" s="19">
        <v>0</v>
      </c>
      <c r="AZ5" s="19">
        <v>0</v>
      </c>
      <c r="BA5" s="19">
        <v>18.3</v>
      </c>
      <c r="BB5" s="19">
        <v>4.8</v>
      </c>
      <c r="BC5" s="19">
        <v>0.6</v>
      </c>
      <c r="BD5" s="19">
        <v>0</v>
      </c>
      <c r="BE5" s="19">
        <v>18.3</v>
      </c>
      <c r="BF5" s="19">
        <v>5.6</v>
      </c>
      <c r="BG5" s="19">
        <v>0.6</v>
      </c>
      <c r="BH5" s="19">
        <v>0</v>
      </c>
      <c r="BI5" s="19">
        <v>18.399999999999999</v>
      </c>
      <c r="BJ5" s="19">
        <v>6</v>
      </c>
      <c r="BK5" s="19">
        <v>0</v>
      </c>
      <c r="BL5" s="19">
        <v>0</v>
      </c>
      <c r="BM5" s="33"/>
      <c r="BN5" s="14">
        <f>IF(SUM(AT5,AX5)&gt;0,SUM(AT5,AX5),"")</f>
        <v>11.6</v>
      </c>
      <c r="BO5" s="14">
        <f>IF(SUM(AS5:AT5,AV5:AX5,AZ5)-AU5-AY5&gt;0,SUM(AS5:AT5,AV5:AX5,AZ5)-AU5-AY5,"")</f>
        <v>47.599999999999994</v>
      </c>
      <c r="BP5" s="14">
        <f>IF(SUM(BA5:BB5,BD5)-BC5&gt;0,SUM(BA5:BB5,BD5)-BC5,"")</f>
        <v>22.5</v>
      </c>
      <c r="BQ5" s="14">
        <f>IF(SUM(BF5,BJ5)&gt;0,SUM(BF5,BJ5),"")</f>
        <v>11.6</v>
      </c>
      <c r="BR5" s="14">
        <f>IF(SUM(BE5:BF5,BH5:BJ5,BL5)-SUM(BG5,BK5)&gt;0,SUM(BE5:BF5,BH5:BJ5,BL5)-SUM(BG5,BK5),"")</f>
        <v>47.699999999999996</v>
      </c>
      <c r="BS5" s="14">
        <f>IF(SUM(BO5,BP5,BR5)&gt;0,SUM(BO5,BP5,BR5),"")</f>
        <v>117.79999999999998</v>
      </c>
      <c r="BT5" s="20">
        <v>17.899999999999999</v>
      </c>
      <c r="BU5" s="20">
        <v>5.2</v>
      </c>
      <c r="BV5" s="20">
        <v>0.6</v>
      </c>
      <c r="BW5" s="20">
        <v>0</v>
      </c>
      <c r="BX5" s="20">
        <v>18.899999999999999</v>
      </c>
      <c r="BY5" s="20">
        <v>6</v>
      </c>
      <c r="BZ5" s="20">
        <v>0</v>
      </c>
      <c r="CA5" s="20">
        <v>0</v>
      </c>
      <c r="CB5" s="20">
        <v>18</v>
      </c>
      <c r="CC5" s="20">
        <v>2.4</v>
      </c>
      <c r="CD5" s="20">
        <v>1</v>
      </c>
      <c r="CE5" s="20">
        <v>0</v>
      </c>
      <c r="CF5" s="20">
        <v>0</v>
      </c>
      <c r="CG5" s="20">
        <v>0</v>
      </c>
      <c r="CH5" s="20">
        <v>0</v>
      </c>
      <c r="CI5" s="20">
        <v>0</v>
      </c>
      <c r="CJ5" s="20">
        <v>17.3</v>
      </c>
      <c r="CK5" s="20">
        <v>2.4</v>
      </c>
      <c r="CL5" s="20">
        <v>0</v>
      </c>
      <c r="CM5" s="20">
        <v>0</v>
      </c>
      <c r="CN5" s="32"/>
      <c r="CO5" s="55">
        <f>IF(SUM(BU5,BY5)&gt;0,SUM(BU5,BY5),"")</f>
        <v>11.2</v>
      </c>
      <c r="CP5" s="55">
        <f>IF(SUM(BT5:BU5,BW5:BY5,CA5)-BV5-BZ5&gt;0,SUM(BT5:BU5,BW5:BY5,CA5)-BV5-BZ5,"")</f>
        <v>47.4</v>
      </c>
      <c r="CQ5" s="55">
        <f>IF(SUM(CB5:CC5,CE5)-CD5&gt;0,SUM(CB5:CC5,CE5)-CD5,"")</f>
        <v>19.399999999999999</v>
      </c>
      <c r="CR5" s="55">
        <f>IF(SUM(CG5,CK5)&gt;0,SUM(CG5,CK5),"")</f>
        <v>2.4</v>
      </c>
      <c r="CS5" s="55">
        <f>IF(SUM(CF5:CG5,CI5:CK5,CM5)-SUM(CH5,CL5)&gt;0,SUM(CF5:CG5,CI5:CK5,CM5)-SUM(CH5,CL5),"")</f>
        <v>19.7</v>
      </c>
      <c r="CT5" s="55">
        <f>IF(SUM(CP5,CQ5,CS5)&gt;0,SUM(CP5,CQ5,CS5),"")</f>
        <v>86.5</v>
      </c>
      <c r="CU5" s="56">
        <f>IF(MAX(DR5,ER5,FR5,GR5,HR5,IR5,JR5,KR5,LR5,MR5,NR5,OR5)-IF(K5="",0,K5)&gt;0.001,MAX(DR5,ER5,FR5,GR5,HR5,IR5,JR5,KR5,LR5,MR5,NR5,OR5)-IF(K5="",0,K5),"")</f>
        <v>0.99999999999999289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>
        <v>18.3</v>
      </c>
      <c r="EX5" s="18">
        <v>5.6</v>
      </c>
      <c r="EY5" s="18">
        <v>0</v>
      </c>
      <c r="EZ5" s="18">
        <v>0</v>
      </c>
      <c r="FA5" s="18">
        <v>18.7</v>
      </c>
      <c r="FB5" s="18">
        <v>6</v>
      </c>
      <c r="FC5" s="18">
        <v>0.2</v>
      </c>
      <c r="FD5" s="18">
        <v>0</v>
      </c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>
        <f>IF(SUM(EX5,FB5)&gt;0,SUM(EX5,FB5),"")</f>
        <v>11.6</v>
      </c>
      <c r="FR5" s="55">
        <f>IF(SUM(EW5:EX5,EZ5:FB5,FD5)-EY5-FC5&gt;0,SUM(EW5:EX5,EZ5:FB5,FD5)-EY5-FC5,"")</f>
        <v>48.399999999999991</v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>
        <f>IF(SUM(FR5,FS5,FU5)&gt;0,SUM(FR5,FS5,FU5),"")</f>
        <v>48.399999999999991</v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18.049999999999997</v>
      </c>
      <c r="OX5" s="27">
        <f>IF($CN5="P",BU5,(BU5+AT5)/2)</f>
        <v>5.4</v>
      </c>
      <c r="OY5" s="27">
        <f>IF($CN5="P",BV5,(BV5+AU5)/2)</f>
        <v>0.6</v>
      </c>
      <c r="OZ5" s="27">
        <f>IF($CN5="P",BW5,(BW5+AV5)/2)</f>
        <v>0</v>
      </c>
      <c r="PA5" s="27">
        <f>IF($CN5="P",BX5,(BX5+AW5)/2)</f>
        <v>18.649999999999999</v>
      </c>
      <c r="PB5" s="27">
        <f>IF($CN5="P",BY5,(BY5+AX5)/2)</f>
        <v>6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18.149999999999999</v>
      </c>
      <c r="PF5" s="27">
        <f>IF($CN5="P",CC5,(CC5+BB5)/2)</f>
        <v>3.5999999999999996</v>
      </c>
      <c r="PG5" s="27">
        <f>IF($CN5="P",CD5,(CD5+BC5)/2)</f>
        <v>0.8</v>
      </c>
      <c r="PH5" s="27">
        <f>IF($CN5="P",CE5,(CE5+BD5)/2)</f>
        <v>0</v>
      </c>
      <c r="PI5" s="27">
        <f>IF($CN5="P",CF5,(CF5+BE5)/2)</f>
        <v>9.15</v>
      </c>
      <c r="PJ5" s="27">
        <f>IF($CN5="P",CG5,(CG5+BF5)/2)</f>
        <v>2.8</v>
      </c>
      <c r="PK5" s="27">
        <f>IF($CN5="P",CH5,(CH5+BG5)/2)</f>
        <v>0.3</v>
      </c>
      <c r="PL5" s="27">
        <f>IF($CN5="P",CI5,(CI5+BH5)/2)</f>
        <v>0</v>
      </c>
      <c r="PM5" s="27">
        <f>IF($CN5="P",CJ5,(CJ5+BI5)/2)</f>
        <v>17.850000000000001</v>
      </c>
      <c r="PN5" s="27">
        <f>IF($CN5="P",CK5,(CK5+BJ5)/2)</f>
        <v>4.2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11.4</v>
      </c>
      <c r="PS5" s="55">
        <f>IF(SUM(OW5:OX5,OZ5:PB5,PD5)-OY5-PC5&gt;0,SUM(OW5:OX5,OZ5:PB5,PD5)-OY5-PC5,"")</f>
        <v>47.499999999999993</v>
      </c>
      <c r="PT5" s="55">
        <f>IF(SUM(PE5:PF5,PH5)-PG5&gt;0,SUM(PE5:PF5,PH5)-PG5,"")</f>
        <v>20.95</v>
      </c>
      <c r="PU5" s="55">
        <f>IF(SUM(PJ5,PN5)&gt;0,SUM(PJ5,PN5),"")</f>
        <v>7</v>
      </c>
      <c r="PV5" s="55">
        <f>IF(SUM(PI5:PJ5,PL5:PN5,PP5)-SUM(PK5,PO5)&gt;0,SUM(PI5:PJ5,PL5:PN5,PP5)-SUM(PK5,PO5),"")</f>
        <v>33.700000000000003</v>
      </c>
      <c r="PW5" s="55">
        <f>IF(SUM(PS5,PT5,PV5)&gt;0,SUM(PS5,PT5,PV5),"")</f>
        <v>102.14999999999999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89</v>
      </c>
      <c r="C6" s="4" t="s">
        <v>67</v>
      </c>
      <c r="D6" s="4">
        <v>2009</v>
      </c>
      <c r="E6" s="10">
        <f>SUM(I6:O6)+SUM(I6:M6)*0.0000001+SUM(I6)*0.0000000000001</f>
        <v>139.6000139600047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47.300000000000004</v>
      </c>
      <c r="J6" s="9" t="str">
        <f>IF(I6=0,"",IF(I6=CP6,$BT$1,IF(I6=BO6,$AS$1,IF(I6=AN6,$R$1,""))))</f>
        <v>2024 Nationals</v>
      </c>
      <c r="K6" s="9">
        <f>IF(COUNT(AN6,BO6,CP6)&gt;1,LARGE((AN6,BO6,CP6),2),0)</f>
        <v>43.699999999999996</v>
      </c>
      <c r="L6" s="9" t="str">
        <f>IF(K6=0,"",IF(AND(K6=I6,K6=AN6,K6=BO6),$R$1,IF(AND(K6=I6,K6=AN6,K6=CP6),$R$1,IF(AND(K6=I6,K6=CP6,K6=BO6),$AS$1,IF(K6=CP6,$BT$1,IF(K6=BO6,$AS$1,IF(K6=AN6,$R$1,"")))))))</f>
        <v>2024 3rd Domestic Trial</v>
      </c>
      <c r="M6" s="9">
        <f>IF(MAX(AQ6,BR6,CS6)&gt;0,MAX(AQ6,BR6,CS6),0)</f>
        <v>48.6</v>
      </c>
      <c r="N6" s="9" t="str">
        <f>IF(M6=0,"",IF(M6=CS6,$BT$1,IF(M6=BR6,$AS$1,IF(M6=AQ6,$R$1,""))))</f>
        <v>2024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18.5</v>
      </c>
      <c r="AT6" s="19">
        <v>6</v>
      </c>
      <c r="AU6" s="19">
        <v>0.6</v>
      </c>
      <c r="AV6" s="19">
        <v>0</v>
      </c>
      <c r="AW6" s="19">
        <v>18.600000000000001</v>
      </c>
      <c r="AX6" s="19">
        <v>5.6</v>
      </c>
      <c r="AY6" s="19">
        <v>0.8</v>
      </c>
      <c r="AZ6" s="19">
        <v>0</v>
      </c>
      <c r="BA6" s="19">
        <v>18.399999999999999</v>
      </c>
      <c r="BB6" s="19">
        <v>4.8</v>
      </c>
      <c r="BC6" s="19">
        <v>0.2</v>
      </c>
      <c r="BD6" s="19">
        <v>0</v>
      </c>
      <c r="BE6" s="19">
        <v>18.7</v>
      </c>
      <c r="BF6" s="19">
        <v>6</v>
      </c>
      <c r="BG6" s="19">
        <v>0</v>
      </c>
      <c r="BH6" s="19">
        <v>0</v>
      </c>
      <c r="BI6" s="19">
        <v>18.5</v>
      </c>
      <c r="BJ6" s="19">
        <v>5.6</v>
      </c>
      <c r="BK6" s="19">
        <v>0.2</v>
      </c>
      <c r="BL6" s="19">
        <v>0</v>
      </c>
      <c r="BM6" s="33"/>
      <c r="BN6" s="14">
        <f>IF(SUM(AT6,AX6)&gt;0,SUM(AT6,AX6),"")</f>
        <v>11.6</v>
      </c>
      <c r="BO6" s="14">
        <f>IF(SUM(AS6:AT6,AV6:AX6,AZ6)-AU6-AY6&gt;0,SUM(AS6:AT6,AV6:AX6,AZ6)-AU6-AY6,"")</f>
        <v>47.300000000000004</v>
      </c>
      <c r="BP6" s="14">
        <f>IF(SUM(BA6:BB6,BD6)-BC6&gt;0,SUM(BA6:BB6,BD6)-BC6,"")</f>
        <v>23</v>
      </c>
      <c r="BQ6" s="14">
        <f>IF(SUM(BF6,BJ6)&gt;0,SUM(BF6,BJ6),"")</f>
        <v>11.6</v>
      </c>
      <c r="BR6" s="14">
        <f>IF(SUM(BE6:BF6,BH6:BJ6,BL6)-SUM(BG6,BK6)&gt;0,SUM(BE6:BF6,BH6:BJ6,BL6)-SUM(BG6,BK6),"")</f>
        <v>48.6</v>
      </c>
      <c r="BS6" s="14">
        <f>IF(SUM(BO6,BP6,BR6)&gt;0,SUM(BO6,BP6,BR6),"")</f>
        <v>118.9</v>
      </c>
      <c r="BT6" s="20">
        <v>17.899999999999999</v>
      </c>
      <c r="BU6" s="20">
        <v>4.4000000000000004</v>
      </c>
      <c r="BV6" s="20">
        <v>0.2</v>
      </c>
      <c r="BW6" s="20">
        <v>0</v>
      </c>
      <c r="BX6" s="20">
        <v>16.399999999999999</v>
      </c>
      <c r="BY6" s="20">
        <v>5.2</v>
      </c>
      <c r="BZ6" s="20">
        <v>0</v>
      </c>
      <c r="CA6" s="20">
        <v>0</v>
      </c>
      <c r="CB6" s="20">
        <v>18.600000000000001</v>
      </c>
      <c r="CC6" s="20">
        <v>3.5</v>
      </c>
      <c r="CD6" s="20">
        <v>0.6</v>
      </c>
      <c r="CE6" s="20">
        <v>0</v>
      </c>
      <c r="CF6" s="20">
        <v>17.899999999999999</v>
      </c>
      <c r="CG6" s="20">
        <v>4.4000000000000004</v>
      </c>
      <c r="CH6" s="20">
        <v>0.8</v>
      </c>
      <c r="CI6" s="20">
        <v>0</v>
      </c>
      <c r="CJ6" s="20">
        <v>17.8</v>
      </c>
      <c r="CK6" s="20">
        <v>5.2</v>
      </c>
      <c r="CL6" s="20">
        <v>0.2</v>
      </c>
      <c r="CM6" s="20">
        <v>0</v>
      </c>
      <c r="CN6" s="32"/>
      <c r="CO6" s="55">
        <f>IF(SUM(BU6,BY6)&gt;0,SUM(BU6,BY6),"")</f>
        <v>9.6000000000000014</v>
      </c>
      <c r="CP6" s="55">
        <f>IF(SUM(BT6:BU6,BW6:BY6,CA6)-BV6-BZ6&gt;0,SUM(BT6:BU6,BW6:BY6,CA6)-BV6-BZ6,"")</f>
        <v>43.699999999999996</v>
      </c>
      <c r="CQ6" s="55">
        <f>IF(SUM(CB6:CC6,CE6)-CD6&gt;0,SUM(CB6:CC6,CE6)-CD6,"")</f>
        <v>21.5</v>
      </c>
      <c r="CR6" s="55">
        <f>IF(SUM(CG6,CK6)&gt;0,SUM(CG6,CK6),"")</f>
        <v>9.6000000000000014</v>
      </c>
      <c r="CS6" s="55">
        <f>IF(SUM(CF6:CG6,CI6:CK6,CM6)-SUM(CH6,CL6)&gt;0,SUM(CF6:CG6,CI6:CK6,CM6)-SUM(CH6,CL6),"")</f>
        <v>44.3</v>
      </c>
      <c r="CT6" s="55">
        <f>IF(SUM(CP6,CQ6,CS6)&gt;0,SUM(CP6,CQ6,CS6),"")</f>
        <v>109.49999999999999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18.2</v>
      </c>
      <c r="OX6" s="27">
        <f>IF($CN6="P",BU6,(BU6+AT6)/2)</f>
        <v>5.2</v>
      </c>
      <c r="OY6" s="27">
        <f>IF($CN6="P",BV6,(BV6+AU6)/2)</f>
        <v>0.4</v>
      </c>
      <c r="OZ6" s="27">
        <f>IF($CN6="P",BW6,(BW6+AV6)/2)</f>
        <v>0</v>
      </c>
      <c r="PA6" s="27">
        <f>IF($CN6="P",BX6,(BX6+AW6)/2)</f>
        <v>17.5</v>
      </c>
      <c r="PB6" s="27">
        <f>IF($CN6="P",BY6,(BY6+AX6)/2)</f>
        <v>5.4</v>
      </c>
      <c r="PC6" s="27">
        <f>IF($CN6="P",BZ6,(BZ6+AY6)/2)</f>
        <v>0.4</v>
      </c>
      <c r="PD6" s="27">
        <f>IF($CN6="P",CA6,(CA6+AZ6)/2)</f>
        <v>0</v>
      </c>
      <c r="PE6" s="27">
        <f>IF($CN6="P",CB6,(CB6+BA6)/2)</f>
        <v>18.5</v>
      </c>
      <c r="PF6" s="27">
        <f>IF($CN6="P",CC6,(CC6+BB6)/2)</f>
        <v>4.1500000000000004</v>
      </c>
      <c r="PG6" s="27">
        <f>IF($CN6="P",CD6,(CD6+BC6)/2)</f>
        <v>0.4</v>
      </c>
      <c r="PH6" s="27">
        <f>IF($CN6="P",CE6,(CE6+BD6)/2)</f>
        <v>0</v>
      </c>
      <c r="PI6" s="27">
        <f>IF($CN6="P",CF6,(CF6+BE6)/2)</f>
        <v>18.299999999999997</v>
      </c>
      <c r="PJ6" s="27">
        <f>IF($CN6="P",CG6,(CG6+BF6)/2)</f>
        <v>5.2</v>
      </c>
      <c r="PK6" s="27">
        <f>IF($CN6="P",CH6,(CH6+BG6)/2)</f>
        <v>0.4</v>
      </c>
      <c r="PL6" s="27">
        <f>IF($CN6="P",CI6,(CI6+BH6)/2)</f>
        <v>0</v>
      </c>
      <c r="PM6" s="27">
        <f>IF($CN6="P",CJ6,(CJ6+BI6)/2)</f>
        <v>18.149999999999999</v>
      </c>
      <c r="PN6" s="27">
        <f>IF($CN6="P",CK6,(CK6+BJ6)/2)</f>
        <v>5.4</v>
      </c>
      <c r="PO6" s="27">
        <f>IF($CN6="P",CL6,(CL6+BK6)/2)</f>
        <v>0.2</v>
      </c>
      <c r="PP6" s="27">
        <f>IF($CN6="P",CM6,(CM6+BL6)/2)</f>
        <v>0</v>
      </c>
      <c r="PQ6" s="32" t="s">
        <v>44</v>
      </c>
      <c r="PR6" s="55">
        <f>IF(SUM(OX6,PB6)&gt;0,SUM(OX6,PB6),"")</f>
        <v>10.600000000000001</v>
      </c>
      <c r="PS6" s="55">
        <f>IF(SUM(OW6:OX6,OZ6:PB6,PD6)-OY6-PC6&gt;0,SUM(OW6:OX6,OZ6:PB6,PD6)-OY6-PC6,"")</f>
        <v>45.5</v>
      </c>
      <c r="PT6" s="55">
        <f>IF(SUM(PE6:PF6,PH6)-PG6&gt;0,SUM(PE6:PF6,PH6)-PG6,"")</f>
        <v>22.25</v>
      </c>
      <c r="PU6" s="55">
        <f>IF(SUM(PJ6,PN6)&gt;0,SUM(PJ6,PN6),"")</f>
        <v>10.600000000000001</v>
      </c>
      <c r="PV6" s="55">
        <f>IF(SUM(PI6:PJ6,PL6:PN6,PP6)-SUM(PK6,PO6)&gt;0,SUM(PI6:PJ6,PL6:PN6,PP6)-SUM(PK6,PO6),"")</f>
        <v>46.449999999999989</v>
      </c>
      <c r="PW6" s="55">
        <f>IF(SUM(PS6,PT6,PV6)&gt;0,SUM(PS6,PT6,PV6),"")</f>
        <v>114.19999999999999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7.9</v>
      </c>
      <c r="BN9" s="4"/>
      <c r="BS9" s="57">
        <v>7.9</v>
      </c>
      <c r="CO9" s="4"/>
      <c r="CT9" s="57">
        <v>7.9</v>
      </c>
      <c r="DQ9" s="4"/>
      <c r="DV9" s="57">
        <v>7.9</v>
      </c>
      <c r="EQ9" s="4"/>
      <c r="EV9" s="57">
        <v>7.9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9.6</v>
      </c>
      <c r="BN10" s="4"/>
      <c r="BS10" s="58">
        <f>BS11</f>
        <v>9.6</v>
      </c>
      <c r="CO10" s="4"/>
      <c r="CT10" s="58">
        <f>CT11</f>
        <v>9.6</v>
      </c>
      <c r="DQ10" s="4"/>
      <c r="DV10" s="58">
        <f>DV11</f>
        <v>9.6</v>
      </c>
      <c r="EQ10" s="4"/>
      <c r="EV10" s="58">
        <f>EV11</f>
        <v>9.6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9.6</v>
      </c>
      <c r="BN11" s="4"/>
      <c r="BS11" s="59">
        <v>9.6</v>
      </c>
      <c r="CO11" s="4"/>
      <c r="CT11" s="59">
        <v>9.6</v>
      </c>
      <c r="DQ11" s="4"/>
      <c r="DV11" s="59">
        <v>9.6</v>
      </c>
      <c r="EQ11" s="4"/>
      <c r="EV11" s="59">
        <v>9.6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45.5</v>
      </c>
      <c r="BN13" s="4"/>
      <c r="BS13" s="66">
        <v>45.5</v>
      </c>
      <c r="CO13" s="4"/>
      <c r="CT13" s="66">
        <v>45.5</v>
      </c>
      <c r="DQ13" s="4"/>
      <c r="DV13" s="66">
        <v>45.5</v>
      </c>
      <c r="EQ13" s="4"/>
      <c r="EV13" s="66">
        <v>45.5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47.1</v>
      </c>
      <c r="BN14" s="4"/>
      <c r="BS14" s="62">
        <f>BS15</f>
        <v>47.1</v>
      </c>
      <c r="CO14" s="4"/>
      <c r="CT14" s="62">
        <f>CT15</f>
        <v>47.1</v>
      </c>
      <c r="DQ14" s="4"/>
      <c r="DV14" s="62">
        <f>DV15</f>
        <v>47.1</v>
      </c>
      <c r="EQ14" s="4"/>
      <c r="EV14" s="62">
        <f>EV15</f>
        <v>47.1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47.1</v>
      </c>
      <c r="BN15" s="4"/>
      <c r="BS15" s="63">
        <v>47.1</v>
      </c>
      <c r="CO15" s="4"/>
      <c r="CT15" s="63">
        <v>47.1</v>
      </c>
      <c r="DQ15" s="4"/>
      <c r="DV15" s="63">
        <v>47.1</v>
      </c>
      <c r="EQ15" s="4"/>
      <c r="EV15" s="63">
        <v>47.1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28" priority="2" stopIfTrue="1">
      <formula>IF($AL4&lt;&gt;"",1,0)</formula>
    </cfRule>
  </conditionalFormatting>
  <conditionalFormatting sqref="AS4:BS6">
    <cfRule type="expression" dxfId="27" priority="3" stopIfTrue="1">
      <formula>IF($BM4&lt;&gt;"",1,0)</formula>
    </cfRule>
  </conditionalFormatting>
  <conditionalFormatting sqref="J1:J1048576 N1:N1048576 L1:L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6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67950" operator="between">
      <formula>AR$12</formula>
      <formula>1000</formula>
    </cfRule>
    <cfRule type="cellIs" dxfId="14" priority="67951" operator="between">
      <formula>AR$11</formula>
      <formula>AR$12</formula>
    </cfRule>
    <cfRule type="cellIs" dxfId="13" priority="67952" operator="between">
      <formula>AR$10</formula>
      <formula>AR$11</formula>
    </cfRule>
    <cfRule type="cellIs" dxfId="12" priority="67953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68130" operator="between">
      <formula>AR$16</formula>
      <formula>1000</formula>
    </cfRule>
    <cfRule type="cellIs" dxfId="10" priority="68131" operator="between">
      <formula>AR$15</formula>
      <formula>AR$16</formula>
    </cfRule>
    <cfRule type="cellIs" dxfId="9" priority="68132" operator="between">
      <formula>AR$14</formula>
      <formula>AR$15</formula>
    </cfRule>
    <cfRule type="cellIs" dxfId="8" priority="68133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68310" operator="between">
      <formula>AR$9</formula>
      <formula>AR$10</formula>
    </cfRule>
    <cfRule type="cellIs" dxfId="6" priority="68311" operator="between">
      <formula>AR$10</formula>
      <formula>AR$11</formula>
    </cfRule>
    <cfRule type="cellIs" dxfId="5" priority="68312" operator="between">
      <formula>AR$11</formula>
      <formula>AR$12</formula>
    </cfRule>
    <cfRule type="cellIs" dxfId="4" priority="68313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68490" operator="between">
      <formula>AR$13</formula>
      <formula>AR$14</formula>
    </cfRule>
    <cfRule type="cellIs" dxfId="2" priority="68491" operator="between">
      <formula>AR$14</formula>
      <formula>AR$15</formula>
    </cfRule>
    <cfRule type="cellIs" dxfId="1" priority="68492" operator="between">
      <formula>AR$15</formula>
      <formula>AR$16</formula>
    </cfRule>
    <cfRule type="cellIs" dxfId="0" priority="68493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2025-01-09T19:22:30Z</dcterms:modified>
</cp:coreProperties>
</file>