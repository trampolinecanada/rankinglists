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15513DD-0B21-BC48-B2ED-769D7161712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9" i="17" l="1"/>
  <c r="AN9" i="17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DQ9" i="17"/>
  <c r="DR9" i="17"/>
  <c r="DS9" i="17"/>
  <c r="DT9" i="17"/>
  <c r="DU9" i="17"/>
  <c r="EQ9" i="17"/>
  <c r="ER9" i="17"/>
  <c r="ES9" i="17"/>
  <c r="ET9" i="17"/>
  <c r="EU9" i="17"/>
  <c r="FQ9" i="17"/>
  <c r="FR9" i="17"/>
  <c r="FS9" i="17"/>
  <c r="FT9" i="17"/>
  <c r="FU9" i="17"/>
  <c r="GQ9" i="17"/>
  <c r="GR9" i="17"/>
  <c r="GS9" i="17"/>
  <c r="GT9" i="17"/>
  <c r="GU9" i="17"/>
  <c r="HQ9" i="17"/>
  <c r="HR9" i="17"/>
  <c r="HS9" i="17"/>
  <c r="HT9" i="17"/>
  <c r="HU9" i="17"/>
  <c r="IQ9" i="17"/>
  <c r="IR9" i="17"/>
  <c r="IS9" i="17"/>
  <c r="IT9" i="17"/>
  <c r="IU9" i="17"/>
  <c r="IV9" i="17" s="1"/>
  <c r="JQ9" i="17"/>
  <c r="JR9" i="17"/>
  <c r="JV9" i="17" s="1"/>
  <c r="JS9" i="17"/>
  <c r="JT9" i="17"/>
  <c r="JU9" i="17"/>
  <c r="KQ9" i="17"/>
  <c r="KR9" i="17"/>
  <c r="KS9" i="17"/>
  <c r="KT9" i="17"/>
  <c r="KU9" i="17"/>
  <c r="LQ9" i="17"/>
  <c r="LR9" i="17"/>
  <c r="LS9" i="17"/>
  <c r="LT9" i="17"/>
  <c r="LU9" i="17"/>
  <c r="MQ9" i="17"/>
  <c r="MR9" i="17"/>
  <c r="MS9" i="17"/>
  <c r="MT9" i="17"/>
  <c r="MU9" i="17"/>
  <c r="NQ9" i="17"/>
  <c r="NR9" i="17"/>
  <c r="NS9" i="17"/>
  <c r="NT9" i="17"/>
  <c r="NU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8" i="17"/>
  <c r="AN8" i="17"/>
  <c r="AO8" i="17"/>
  <c r="AP8" i="17"/>
  <c r="AQ8" i="17"/>
  <c r="BN8" i="17"/>
  <c r="BO8" i="17"/>
  <c r="I8" i="17" s="1"/>
  <c r="BP8" i="17"/>
  <c r="BQ8" i="17"/>
  <c r="BR8" i="17"/>
  <c r="CO8" i="17"/>
  <c r="CP8" i="17"/>
  <c r="CQ8" i="17"/>
  <c r="CR8" i="17"/>
  <c r="CS8" i="17"/>
  <c r="DQ8" i="17"/>
  <c r="DR8" i="17"/>
  <c r="DS8" i="17"/>
  <c r="DT8" i="17"/>
  <c r="DU8" i="17"/>
  <c r="EQ8" i="17"/>
  <c r="ER8" i="17"/>
  <c r="ES8" i="17"/>
  <c r="ET8" i="17"/>
  <c r="EU8" i="17"/>
  <c r="FQ8" i="17"/>
  <c r="FR8" i="17"/>
  <c r="FS8" i="17"/>
  <c r="FT8" i="17"/>
  <c r="FU8" i="17"/>
  <c r="GQ8" i="17"/>
  <c r="GR8" i="17"/>
  <c r="GV8" i="17" s="1"/>
  <c r="GS8" i="17"/>
  <c r="GT8" i="17"/>
  <c r="GU8" i="17"/>
  <c r="HQ8" i="17"/>
  <c r="HR8" i="17"/>
  <c r="HS8" i="17"/>
  <c r="HT8" i="17"/>
  <c r="HU8" i="17"/>
  <c r="IQ8" i="17"/>
  <c r="IR8" i="17"/>
  <c r="IS8" i="17"/>
  <c r="IT8" i="17"/>
  <c r="IU8" i="17"/>
  <c r="IV8" i="17"/>
  <c r="JQ8" i="17"/>
  <c r="JR8" i="17"/>
  <c r="JV8" i="17" s="1"/>
  <c r="JS8" i="17"/>
  <c r="JT8" i="17"/>
  <c r="JU8" i="17"/>
  <c r="KQ8" i="17"/>
  <c r="KR8" i="17"/>
  <c r="KS8" i="17"/>
  <c r="KT8" i="17"/>
  <c r="KU8" i="17"/>
  <c r="LQ8" i="17"/>
  <c r="LR8" i="17"/>
  <c r="LS8" i="17"/>
  <c r="LT8" i="17"/>
  <c r="LU8" i="17"/>
  <c r="MQ8" i="17"/>
  <c r="MR8" i="17"/>
  <c r="MS8" i="17"/>
  <c r="MT8" i="17"/>
  <c r="MU8" i="17"/>
  <c r="NQ8" i="17"/>
  <c r="NR8" i="17"/>
  <c r="NS8" i="17"/>
  <c r="NT8" i="17"/>
  <c r="NU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V5" i="15" s="1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IV5" i="15" s="1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FV8" i="17" l="1"/>
  <c r="MV8" i="17"/>
  <c r="MV9" i="17"/>
  <c r="BS9" i="17"/>
  <c r="EV9" i="17"/>
  <c r="NV9" i="17"/>
  <c r="FV9" i="17"/>
  <c r="MV5" i="15"/>
  <c r="JV5" i="15"/>
  <c r="M5" i="15"/>
  <c r="LV5" i="15"/>
  <c r="GV5" i="15"/>
  <c r="M9" i="17"/>
  <c r="CT9" i="17"/>
  <c r="OV9" i="17"/>
  <c r="LV9" i="17"/>
  <c r="KV9" i="17"/>
  <c r="HV9" i="17"/>
  <c r="GV9" i="17"/>
  <c r="DV9" i="17"/>
  <c r="PU9" i="17"/>
  <c r="PR9" i="17"/>
  <c r="PT9" i="17"/>
  <c r="K9" i="17"/>
  <c r="L9" i="17" s="1"/>
  <c r="PV9" i="17"/>
  <c r="PS9" i="17"/>
  <c r="AR9" i="17"/>
  <c r="F9" i="17"/>
  <c r="CV9" i="17"/>
  <c r="N9" i="17"/>
  <c r="I9" i="17"/>
  <c r="G9" i="17"/>
  <c r="NV8" i="17"/>
  <c r="EV8" i="17"/>
  <c r="AR8" i="17"/>
  <c r="OV8" i="17"/>
  <c r="KV8" i="17"/>
  <c r="HV8" i="17"/>
  <c r="LV8" i="17"/>
  <c r="DV8" i="17"/>
  <c r="M8" i="17"/>
  <c r="N8" i="17" s="1"/>
  <c r="CT8" i="17"/>
  <c r="PS8" i="17"/>
  <c r="K8" i="17"/>
  <c r="CU8" i="17" s="1"/>
  <c r="PT8" i="17"/>
  <c r="PU8" i="17"/>
  <c r="PR8" i="17"/>
  <c r="F8" i="17"/>
  <c r="J8" i="17"/>
  <c r="G8" i="17"/>
  <c r="BS8" i="17"/>
  <c r="PV8" i="17"/>
  <c r="PW8" i="17" s="1"/>
  <c r="CT5" i="15"/>
  <c r="OV5" i="15"/>
  <c r="NV5" i="15"/>
  <c r="KV5" i="15"/>
  <c r="HV5" i="15"/>
  <c r="FV5" i="15"/>
  <c r="DV5" i="15"/>
  <c r="PV5" i="15"/>
  <c r="PU5" i="15"/>
  <c r="PR5" i="15"/>
  <c r="PT5" i="15"/>
  <c r="PS5" i="15"/>
  <c r="N5" i="15"/>
  <c r="CV5" i="15"/>
  <c r="F5" i="15"/>
  <c r="I5" i="15"/>
  <c r="J5" i="15" s="1"/>
  <c r="G5" i="15"/>
  <c r="BS5" i="15"/>
  <c r="K5" i="15"/>
  <c r="AR5" i="15"/>
  <c r="BS17" i="17"/>
  <c r="BS13" i="17"/>
  <c r="BR7" i="17"/>
  <c r="BQ7" i="17"/>
  <c r="BP7" i="17"/>
  <c r="BO7" i="17"/>
  <c r="BN7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7" i="17"/>
  <c r="AR13" i="17"/>
  <c r="AQ7" i="17"/>
  <c r="AP7" i="17"/>
  <c r="AO7" i="17"/>
  <c r="AN7" i="17"/>
  <c r="AR7" i="17" s="1"/>
  <c r="AM7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6" i="16"/>
  <c r="BQ6" i="16"/>
  <c r="BP6" i="16"/>
  <c r="BO6" i="16"/>
  <c r="BN6" i="16"/>
  <c r="BR7" i="16"/>
  <c r="BQ7" i="16"/>
  <c r="BP7" i="16"/>
  <c r="BO7" i="16"/>
  <c r="BN7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7" i="16"/>
  <c r="AP7" i="16"/>
  <c r="AO7" i="16"/>
  <c r="AN7" i="16"/>
  <c r="AM7" i="16"/>
  <c r="AQ5" i="16"/>
  <c r="AR5" i="16" s="1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R4" i="16" s="1"/>
  <c r="AM4" i="16"/>
  <c r="BR4" i="15"/>
  <c r="BQ4" i="15"/>
  <c r="BP4" i="15"/>
  <c r="BO4" i="15"/>
  <c r="BN4" i="15"/>
  <c r="AQ4" i="15"/>
  <c r="AP4" i="15"/>
  <c r="AO4" i="15"/>
  <c r="AN4" i="15"/>
  <c r="AR4" i="15" s="1"/>
  <c r="AM4" i="15"/>
  <c r="BS14" i="14"/>
  <c r="BS10" i="14"/>
  <c r="BR6" i="14"/>
  <c r="BQ6" i="14"/>
  <c r="BP6" i="14"/>
  <c r="BO6" i="14"/>
  <c r="BN6" i="14"/>
  <c r="BR5" i="14"/>
  <c r="BQ5" i="14"/>
  <c r="BP5" i="14"/>
  <c r="BO5" i="14"/>
  <c r="BS5" i="14" s="1"/>
  <c r="BN5" i="14"/>
  <c r="BR4" i="14"/>
  <c r="BS4" i="14" s="1"/>
  <c r="BQ4" i="14"/>
  <c r="BP4" i="14"/>
  <c r="BO4" i="14"/>
  <c r="BN4" i="14"/>
  <c r="AR14" i="14"/>
  <c r="AR10" i="14"/>
  <c r="AQ6" i="14"/>
  <c r="AP6" i="14"/>
  <c r="AO6" i="14"/>
  <c r="AN6" i="14"/>
  <c r="AM6" i="14"/>
  <c r="AQ5" i="14"/>
  <c r="AP5" i="14"/>
  <c r="AO5" i="14"/>
  <c r="AN5" i="14"/>
  <c r="AR5" i="14" s="1"/>
  <c r="AM5" i="14"/>
  <c r="AQ4" i="14"/>
  <c r="AR4" i="14" s="1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CA5" i="13" s="1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T4" i="4" s="1"/>
  <c r="AW4" i="4" s="1"/>
  <c r="AP4" i="4"/>
  <c r="AO4" i="4"/>
  <c r="NV17" i="17"/>
  <c r="NV13" i="17"/>
  <c r="NU7" i="17"/>
  <c r="NT7" i="17"/>
  <c r="NS7" i="17"/>
  <c r="NR7" i="17"/>
  <c r="NQ7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7" i="17"/>
  <c r="MV13" i="17"/>
  <c r="MU7" i="17"/>
  <c r="MT7" i="17"/>
  <c r="MS7" i="17"/>
  <c r="MR7" i="17"/>
  <c r="MQ7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7" i="17"/>
  <c r="LV13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7" i="17"/>
  <c r="KV13" i="17"/>
  <c r="KU7" i="17"/>
  <c r="KT7" i="17"/>
  <c r="KS7" i="17"/>
  <c r="KR7" i="17"/>
  <c r="KQ7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7" i="17"/>
  <c r="JV13" i="17"/>
  <c r="JU7" i="17"/>
  <c r="JT7" i="17"/>
  <c r="JS7" i="17"/>
  <c r="JR7" i="17"/>
  <c r="JQ7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7" i="17"/>
  <c r="IV13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7" i="17"/>
  <c r="HV13" i="17"/>
  <c r="HU7" i="17"/>
  <c r="HT7" i="17"/>
  <c r="HS7" i="17"/>
  <c r="HR7" i="17"/>
  <c r="HQ7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7" i="17"/>
  <c r="GV13" i="17"/>
  <c r="GU7" i="17"/>
  <c r="GT7" i="17"/>
  <c r="GS7" i="17"/>
  <c r="GR7" i="17"/>
  <c r="GQ7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V17" i="17"/>
  <c r="FV13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7" i="17"/>
  <c r="EV13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7" i="17"/>
  <c r="DV13" i="17"/>
  <c r="DU7" i="17"/>
  <c r="DT7" i="17"/>
  <c r="DS7" i="17"/>
  <c r="DR7" i="17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6" i="16"/>
  <c r="NT6" i="16"/>
  <c r="NS6" i="16"/>
  <c r="NR6" i="16"/>
  <c r="NQ6" i="16"/>
  <c r="NU7" i="16"/>
  <c r="NT7" i="16"/>
  <c r="NS7" i="16"/>
  <c r="NR7" i="16"/>
  <c r="NQ7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6" i="16"/>
  <c r="MV12" i="16"/>
  <c r="MU6" i="16"/>
  <c r="MT6" i="16"/>
  <c r="MS6" i="16"/>
  <c r="MR6" i="16"/>
  <c r="MV6" i="16" s="1"/>
  <c r="MQ6" i="16"/>
  <c r="MU7" i="16"/>
  <c r="MT7" i="16"/>
  <c r="MS7" i="16"/>
  <c r="MR7" i="16"/>
  <c r="MQ7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7" i="16"/>
  <c r="LT7" i="16"/>
  <c r="LS7" i="16"/>
  <c r="LR7" i="16"/>
  <c r="LV7" i="16" s="1"/>
  <c r="LQ7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7" i="16"/>
  <c r="KT7" i="16"/>
  <c r="KS7" i="16"/>
  <c r="KR7" i="16"/>
  <c r="KQ7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7" i="16"/>
  <c r="JT7" i="16"/>
  <c r="JS7" i="16"/>
  <c r="JR7" i="16"/>
  <c r="JQ7" i="16"/>
  <c r="JU5" i="16"/>
  <c r="JT5" i="16"/>
  <c r="JS5" i="16"/>
  <c r="JR5" i="16"/>
  <c r="JQ5" i="16"/>
  <c r="JU8" i="16"/>
  <c r="JT8" i="16"/>
  <c r="JS8" i="16"/>
  <c r="JR8" i="16"/>
  <c r="JQ8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7" i="16"/>
  <c r="IT7" i="16"/>
  <c r="IS7" i="16"/>
  <c r="IR7" i="16"/>
  <c r="IQ7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7" i="16"/>
  <c r="HT7" i="16"/>
  <c r="HS7" i="16"/>
  <c r="HR7" i="16"/>
  <c r="HQ7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7" i="16"/>
  <c r="GT7" i="16"/>
  <c r="GS7" i="16"/>
  <c r="GR7" i="16"/>
  <c r="GQ7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7" i="16"/>
  <c r="FT7" i="16"/>
  <c r="FS7" i="16"/>
  <c r="FR7" i="16"/>
  <c r="FQ7" i="16"/>
  <c r="FU5" i="16"/>
  <c r="FT5" i="16"/>
  <c r="FS5" i="16"/>
  <c r="FR5" i="16"/>
  <c r="FQ5" i="16"/>
  <c r="FU8" i="16"/>
  <c r="FT8" i="16"/>
  <c r="FS8" i="16"/>
  <c r="FR8" i="16"/>
  <c r="FQ8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7" i="16"/>
  <c r="ET7" i="16"/>
  <c r="ES7" i="16"/>
  <c r="ER7" i="16"/>
  <c r="EQ7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7" i="16"/>
  <c r="DT7" i="16"/>
  <c r="DS7" i="16"/>
  <c r="DR7" i="16"/>
  <c r="DQ7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N7" i="13" s="1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R5" i="13" s="1"/>
  <c r="LU5" i="13" s="1"/>
  <c r="LO5" i="13"/>
  <c r="LT4" i="13"/>
  <c r="LS4" i="13"/>
  <c r="LQ4" i="13"/>
  <c r="LP4" i="13"/>
  <c r="LO4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H7" i="13" s="1"/>
  <c r="IF7" i="13"/>
  <c r="IE7" i="13"/>
  <c r="IJ6" i="13"/>
  <c r="II6" i="13"/>
  <c r="IG6" i="13"/>
  <c r="IF6" i="13"/>
  <c r="IE6" i="13"/>
  <c r="IJ5" i="13"/>
  <c r="II5" i="13"/>
  <c r="IG5" i="13"/>
  <c r="IF5" i="13"/>
  <c r="IH5" i="13" s="1"/>
  <c r="IE5" i="13"/>
  <c r="IJ4" i="13"/>
  <c r="II4" i="13"/>
  <c r="IG4" i="13"/>
  <c r="IF4" i="13"/>
  <c r="IE4" i="13"/>
  <c r="HN8" i="13"/>
  <c r="HM8" i="13"/>
  <c r="HK8" i="13"/>
  <c r="HJ8" i="13"/>
  <c r="HI8" i="13"/>
  <c r="HN9" i="13"/>
  <c r="HM9" i="13"/>
  <c r="HK9" i="13"/>
  <c r="HJ9" i="13"/>
  <c r="HL9" i="13" s="1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L4" i="13" s="1"/>
  <c r="HJ4" i="13"/>
  <c r="HI4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T7" i="13" s="1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8" i="13"/>
  <c r="EC8" i="13"/>
  <c r="EA8" i="13"/>
  <c r="DZ8" i="13"/>
  <c r="DY8" i="13"/>
  <c r="ED9" i="13"/>
  <c r="EC9" i="13"/>
  <c r="EA9" i="13"/>
  <c r="DZ9" i="13"/>
  <c r="EB9" i="13" s="1"/>
  <c r="EE9" i="13" s="1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EB5" i="13" s="1"/>
  <c r="EE5" i="13" s="1"/>
  <c r="DY5" i="13"/>
  <c r="ED4" i="13"/>
  <c r="EC4" i="13"/>
  <c r="EA4" i="13"/>
  <c r="DZ4" i="13"/>
  <c r="DY4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U4" i="4"/>
  <c r="ED5" i="4"/>
  <c r="EC5" i="4"/>
  <c r="EA5" i="4"/>
  <c r="DZ5" i="4"/>
  <c r="DY5" i="4"/>
  <c r="ED4" i="4"/>
  <c r="EC4" i="4"/>
  <c r="EA4" i="4"/>
  <c r="DZ4" i="4"/>
  <c r="EB4" i="4" s="1"/>
  <c r="DY4" i="4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NU4" i="15"/>
  <c r="NT4" i="15"/>
  <c r="NS4" i="15"/>
  <c r="NR4" i="15"/>
  <c r="NQ4" i="15"/>
  <c r="MU4" i="15"/>
  <c r="MT4" i="15"/>
  <c r="MS4" i="15"/>
  <c r="MR4" i="15"/>
  <c r="MV4" i="15" s="1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V4" i="15" s="1"/>
  <c r="GQ4" i="15"/>
  <c r="FU4" i="15"/>
  <c r="FT4" i="15"/>
  <c r="FS4" i="15"/>
  <c r="FR4" i="15"/>
  <c r="FQ4" i="15"/>
  <c r="EU4" i="15"/>
  <c r="ET4" i="15"/>
  <c r="ES4" i="15"/>
  <c r="ER4" i="15"/>
  <c r="EV4" i="15" s="1"/>
  <c r="EQ4" i="15"/>
  <c r="DU4" i="15"/>
  <c r="DT4" i="15"/>
  <c r="DS4" i="15"/>
  <c r="DR4" i="15"/>
  <c r="DQ4" i="15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7" i="17"/>
  <c r="OV13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MV6" i="17" l="1"/>
  <c r="JV4" i="17"/>
  <c r="BS4" i="17"/>
  <c r="IV7" i="17"/>
  <c r="MV7" i="17"/>
  <c r="EV7" i="17"/>
  <c r="EV5" i="17"/>
  <c r="IV5" i="17"/>
  <c r="AR6" i="17"/>
  <c r="L8" i="17"/>
  <c r="DV7" i="17"/>
  <c r="HV7" i="17"/>
  <c r="CV8" i="17"/>
  <c r="O8" i="17" s="1"/>
  <c r="E8" i="17" s="1"/>
  <c r="AR6" i="16"/>
  <c r="DV8" i="16"/>
  <c r="EV5" i="16"/>
  <c r="IV7" i="16"/>
  <c r="JV6" i="16"/>
  <c r="AR7" i="16"/>
  <c r="BS6" i="16"/>
  <c r="AR8" i="16"/>
  <c r="GV5" i="16"/>
  <c r="JV5" i="16"/>
  <c r="BS5" i="16"/>
  <c r="BS8" i="16"/>
  <c r="MV8" i="16"/>
  <c r="BS7" i="16"/>
  <c r="EV7" i="16"/>
  <c r="FV6" i="16"/>
  <c r="JV4" i="16"/>
  <c r="KV8" i="16"/>
  <c r="NV6" i="16"/>
  <c r="BS4" i="16"/>
  <c r="JV4" i="15"/>
  <c r="KV4" i="15"/>
  <c r="AR6" i="14"/>
  <c r="BS6" i="14"/>
  <c r="HL8" i="13"/>
  <c r="JD5" i="13"/>
  <c r="JG5" i="13" s="1"/>
  <c r="KV8" i="13"/>
  <c r="KY8" i="13" s="1"/>
  <c r="MN5" i="13"/>
  <c r="MQ5" i="13" s="1"/>
  <c r="JZ4" i="13"/>
  <c r="KC4" i="13" s="1"/>
  <c r="AT8" i="13"/>
  <c r="AW8" i="13" s="1"/>
  <c r="BX6" i="13"/>
  <c r="CA6" i="13" s="1"/>
  <c r="AT9" i="13"/>
  <c r="AW9" i="13" s="1"/>
  <c r="AT5" i="13"/>
  <c r="AW5" i="13" s="1"/>
  <c r="AT4" i="13"/>
  <c r="AW4" i="13" s="1"/>
  <c r="EB6" i="13"/>
  <c r="EE6" i="13" s="1"/>
  <c r="EX9" i="13"/>
  <c r="AT7" i="13"/>
  <c r="AW7" i="13" s="1"/>
  <c r="BX9" i="13"/>
  <c r="CA9" i="13" s="1"/>
  <c r="BX4" i="13"/>
  <c r="CA4" i="13" s="1"/>
  <c r="AT6" i="13"/>
  <c r="AW6" i="13" s="1"/>
  <c r="HO9" i="13"/>
  <c r="KY9" i="13"/>
  <c r="HL5" i="13"/>
  <c r="HO5" i="13" s="1"/>
  <c r="BX7" i="13"/>
  <c r="CA7" i="13" s="1"/>
  <c r="FT6" i="13"/>
  <c r="FW6" i="13" s="1"/>
  <c r="GP9" i="13"/>
  <c r="GS9" i="13" s="1"/>
  <c r="IH4" i="13"/>
  <c r="IK4" i="13" s="1"/>
  <c r="EX6" i="13"/>
  <c r="JD9" i="13"/>
  <c r="JG9" i="13" s="1"/>
  <c r="HO4" i="13"/>
  <c r="BX8" i="13"/>
  <c r="CA8" i="13" s="1"/>
  <c r="EX4" i="4"/>
  <c r="FA4" i="4" s="1"/>
  <c r="BX5" i="4"/>
  <c r="CA5" i="4" s="1"/>
  <c r="MN4" i="4"/>
  <c r="MQ4" i="4" s="1"/>
  <c r="BX4" i="4"/>
  <c r="CA4" i="4" s="1"/>
  <c r="HL5" i="4"/>
  <c r="KV5" i="4"/>
  <c r="AT5" i="4"/>
  <c r="AW5" i="4" s="1"/>
  <c r="PW9" i="17"/>
  <c r="CU9" i="17"/>
  <c r="O9" i="17" s="1"/>
  <c r="P9" i="17" s="1"/>
  <c r="H9" i="17"/>
  <c r="A9" i="17" s="1" a="1"/>
  <c r="A9" i="17" s="1"/>
  <c r="J9" i="17"/>
  <c r="NV6" i="17"/>
  <c r="BS6" i="17"/>
  <c r="H8" i="17"/>
  <c r="LV7" i="17"/>
  <c r="AR4" i="17"/>
  <c r="GV7" i="17"/>
  <c r="NV7" i="17"/>
  <c r="AR5" i="17"/>
  <c r="BS7" i="17"/>
  <c r="NV5" i="17"/>
  <c r="BS5" i="17"/>
  <c r="PW5" i="15"/>
  <c r="H5" i="15"/>
  <c r="L5" i="15"/>
  <c r="CU5" i="15"/>
  <c r="O5" i="15" s="1"/>
  <c r="DV4" i="15"/>
  <c r="LV4" i="15"/>
  <c r="BS4" i="15"/>
  <c r="IV4" i="15"/>
  <c r="FV4" i="15"/>
  <c r="NV4" i="15"/>
  <c r="HV4" i="15"/>
  <c r="KV7" i="17"/>
  <c r="NV4" i="17"/>
  <c r="MV5" i="17"/>
  <c r="EV4" i="17"/>
  <c r="EV6" i="17"/>
  <c r="IV6" i="17"/>
  <c r="FV7" i="17"/>
  <c r="JV7" i="17"/>
  <c r="KV4" i="17"/>
  <c r="FV5" i="17"/>
  <c r="GV6" i="17"/>
  <c r="JV5" i="17"/>
  <c r="KV6" i="17"/>
  <c r="PU7" i="17"/>
  <c r="FV6" i="17"/>
  <c r="JV6" i="17"/>
  <c r="IV4" i="17"/>
  <c r="MV4" i="17"/>
  <c r="DV5" i="17"/>
  <c r="HV5" i="17"/>
  <c r="LV5" i="17"/>
  <c r="DV4" i="17"/>
  <c r="HV4" i="17"/>
  <c r="LV4" i="17"/>
  <c r="DV6" i="17"/>
  <c r="GV5" i="17"/>
  <c r="HV6" i="17"/>
  <c r="KV5" i="17"/>
  <c r="LV6" i="17"/>
  <c r="NV7" i="16"/>
  <c r="DV4" i="16"/>
  <c r="GV7" i="16"/>
  <c r="HV6" i="16"/>
  <c r="LV4" i="16"/>
  <c r="HV8" i="16"/>
  <c r="MV7" i="16"/>
  <c r="DV5" i="16"/>
  <c r="FV7" i="16"/>
  <c r="GV6" i="16"/>
  <c r="IV8" i="16"/>
  <c r="KV4" i="16"/>
  <c r="LV6" i="16"/>
  <c r="NV8" i="16"/>
  <c r="DV7" i="16"/>
  <c r="EV6" i="16"/>
  <c r="GV8" i="16"/>
  <c r="IV4" i="16"/>
  <c r="LV8" i="16"/>
  <c r="NV4" i="16"/>
  <c r="JV8" i="16"/>
  <c r="EV8" i="16"/>
  <c r="GV4" i="16"/>
  <c r="HV5" i="16"/>
  <c r="JV7" i="16"/>
  <c r="KV6" i="16"/>
  <c r="MV5" i="16"/>
  <c r="KV5" i="16"/>
  <c r="FV8" i="16"/>
  <c r="FV5" i="16"/>
  <c r="HV7" i="16"/>
  <c r="IV6" i="16"/>
  <c r="LV5" i="16"/>
  <c r="DV6" i="16"/>
  <c r="HV4" i="16"/>
  <c r="IV5" i="16"/>
  <c r="KV7" i="16"/>
  <c r="MV4" i="16"/>
  <c r="NV5" i="16"/>
  <c r="EB8" i="13"/>
  <c r="EE8" i="13" s="1"/>
  <c r="JZ5" i="13"/>
  <c r="KC5" i="13" s="1"/>
  <c r="KV7" i="13"/>
  <c r="KY7" i="13" s="1"/>
  <c r="FA9" i="13"/>
  <c r="MN9" i="13"/>
  <c r="MQ9" i="13" s="1"/>
  <c r="FW7" i="13"/>
  <c r="HO8" i="13"/>
  <c r="EX5" i="13"/>
  <c r="FA5" i="13" s="1"/>
  <c r="GP6" i="13"/>
  <c r="GS6" i="13" s="1"/>
  <c r="IH9" i="13"/>
  <c r="IK9" i="13" s="1"/>
  <c r="LR9" i="13"/>
  <c r="LU9" i="13" s="1"/>
  <c r="JD7" i="13"/>
  <c r="JG7" i="13" s="1"/>
  <c r="EB4" i="13"/>
  <c r="EE4" i="13" s="1"/>
  <c r="EX8" i="13"/>
  <c r="FA8" i="13" s="1"/>
  <c r="KV5" i="13"/>
  <c r="KY5" i="13" s="1"/>
  <c r="LR7" i="13"/>
  <c r="MN4" i="13"/>
  <c r="MQ4" i="13" s="1"/>
  <c r="IK7" i="13"/>
  <c r="FT8" i="13"/>
  <c r="FW8" i="13" s="1"/>
  <c r="GP8" i="13"/>
  <c r="GS8" i="13" s="1"/>
  <c r="HL6" i="13"/>
  <c r="HO6" i="13" s="1"/>
  <c r="JZ9" i="13"/>
  <c r="KC9" i="13" s="1"/>
  <c r="IK5" i="13"/>
  <c r="LR4" i="13"/>
  <c r="LU4" i="13" s="1"/>
  <c r="FT9" i="13"/>
  <c r="FW9" i="13" s="1"/>
  <c r="JD4" i="13"/>
  <c r="JG4" i="13" s="1"/>
  <c r="JZ7" i="13"/>
  <c r="KC7" i="13" s="1"/>
  <c r="KV4" i="13"/>
  <c r="KY4" i="13" s="1"/>
  <c r="EB7" i="13"/>
  <c r="EE7" i="13" s="1"/>
  <c r="FA6" i="13"/>
  <c r="GP7" i="13"/>
  <c r="GS7" i="13" s="1"/>
  <c r="HL7" i="13"/>
  <c r="HO7" i="13" s="1"/>
  <c r="JZ8" i="13"/>
  <c r="KC8" i="13" s="1"/>
  <c r="KV6" i="13"/>
  <c r="KY6" i="13" s="1"/>
  <c r="LR6" i="13"/>
  <c r="LU6" i="13" s="1"/>
  <c r="LU7" i="13"/>
  <c r="IH6" i="13"/>
  <c r="IK6" i="13" s="1"/>
  <c r="IH8" i="13"/>
  <c r="IK8" i="13" s="1"/>
  <c r="JD6" i="13"/>
  <c r="JG6" i="13" s="1"/>
  <c r="JD8" i="13"/>
  <c r="JG8" i="13" s="1"/>
  <c r="JZ6" i="13"/>
  <c r="KC6" i="13" s="1"/>
  <c r="LR8" i="13"/>
  <c r="LU8" i="13" s="1"/>
  <c r="MN6" i="13"/>
  <c r="MQ6" i="13" s="1"/>
  <c r="MN8" i="13"/>
  <c r="MQ8" i="13" s="1"/>
  <c r="EX4" i="13"/>
  <c r="FA4" i="13" s="1"/>
  <c r="EX7" i="13"/>
  <c r="FA7" i="13" s="1"/>
  <c r="MQ7" i="13"/>
  <c r="JZ5" i="4"/>
  <c r="KC5" i="4" s="1"/>
  <c r="HO5" i="4"/>
  <c r="KY5" i="4"/>
  <c r="EX5" i="4"/>
  <c r="FA5" i="4" s="1"/>
  <c r="IH5" i="4"/>
  <c r="IK5" i="4" s="1"/>
  <c r="LR5" i="4"/>
  <c r="LU5" i="4" s="1"/>
  <c r="IH4" i="4"/>
  <c r="IK4" i="4" s="1"/>
  <c r="LR4" i="4"/>
  <c r="LU4" i="4" s="1"/>
  <c r="MN5" i="4"/>
  <c r="MQ5" i="4" s="1"/>
  <c r="EB5" i="4"/>
  <c r="EE5" i="4" s="1"/>
  <c r="FT4" i="4"/>
  <c r="FW4" i="4" s="1"/>
  <c r="JD4" i="4"/>
  <c r="JG4" i="4" s="1"/>
  <c r="GP4" i="4"/>
  <c r="GS4" i="4" s="1"/>
  <c r="JZ4" i="4"/>
  <c r="KC4" i="4" s="1"/>
  <c r="EE4" i="4"/>
  <c r="HL4" i="4"/>
  <c r="HO4" i="4" s="1"/>
  <c r="KV4" i="4"/>
  <c r="KY4" i="4" s="1"/>
  <c r="JD5" i="4"/>
  <c r="JG5" i="4" s="1"/>
  <c r="GV4" i="17"/>
  <c r="FV4" i="16"/>
  <c r="EV4" i="16"/>
  <c r="FV4" i="17"/>
  <c r="GP5" i="13"/>
  <c r="GS5" i="13" s="1"/>
  <c r="GP4" i="13"/>
  <c r="GS4" i="13" s="1"/>
  <c r="GP5" i="4"/>
  <c r="GS5" i="4" s="1"/>
  <c r="FT4" i="13"/>
  <c r="FW4" i="13" s="1"/>
  <c r="FT5" i="13"/>
  <c r="FW5" i="13" s="1"/>
  <c r="FT5" i="4"/>
  <c r="FW5" i="4" s="1"/>
  <c r="IV6" i="14"/>
  <c r="PU6" i="16"/>
  <c r="PR6" i="16"/>
  <c r="CT6" i="14"/>
  <c r="PR7" i="17"/>
  <c r="PR8" i="16"/>
  <c r="MV6" i="14"/>
  <c r="PV7" i="17"/>
  <c r="OV6" i="16"/>
  <c r="OV8" i="16"/>
  <c r="DV6" i="14"/>
  <c r="HV6" i="14"/>
  <c r="EV6" i="14"/>
  <c r="NV6" i="14"/>
  <c r="LV6" i="14"/>
  <c r="OV7" i="17"/>
  <c r="M7" i="17"/>
  <c r="CV7" i="17" s="1"/>
  <c r="PT7" i="17"/>
  <c r="CT7" i="17"/>
  <c r="PS7" i="17"/>
  <c r="K7" i="17"/>
  <c r="L7" i="17" s="1"/>
  <c r="F7" i="17"/>
  <c r="I7" i="17"/>
  <c r="G7" i="17"/>
  <c r="CT6" i="17"/>
  <c r="PR6" i="17"/>
  <c r="OV6" i="17"/>
  <c r="PU6" i="17"/>
  <c r="M6" i="17"/>
  <c r="N6" i="17" s="1"/>
  <c r="PV6" i="17"/>
  <c r="PT6" i="17"/>
  <c r="PS6" i="17"/>
  <c r="K6" i="17"/>
  <c r="L6" i="17" s="1"/>
  <c r="F6" i="17"/>
  <c r="I6" i="17"/>
  <c r="G6" i="17"/>
  <c r="PR7" i="16"/>
  <c r="PV8" i="16"/>
  <c r="PS8" i="16"/>
  <c r="PV6" i="16"/>
  <c r="O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M6" i="16"/>
  <c r="N6" i="16" s="1"/>
  <c r="CT6" i="16"/>
  <c r="PT6" i="16"/>
  <c r="PS6" i="16"/>
  <c r="K6" i="16"/>
  <c r="L6" i="16" s="1"/>
  <c r="F6" i="16"/>
  <c r="I6" i="16"/>
  <c r="G6" i="16"/>
  <c r="CT8" i="16"/>
  <c r="M8" i="16"/>
  <c r="CV8" i="16" s="1"/>
  <c r="PT8" i="16"/>
  <c r="K8" i="16"/>
  <c r="L8" i="16" s="1"/>
  <c r="PU8" i="16"/>
  <c r="F8" i="16"/>
  <c r="I8" i="16"/>
  <c r="G8" i="16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G6" i="14"/>
  <c r="I6" i="14"/>
  <c r="HV4" i="14"/>
  <c r="JV4" i="14"/>
  <c r="OV5" i="16"/>
  <c r="OV4" i="16"/>
  <c r="CT5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9" i="13"/>
  <c r="P9" i="13" s="1"/>
  <c r="NJ9" i="13"/>
  <c r="NM9" i="13" s="1"/>
  <c r="DB9" i="13"/>
  <c r="DE9" i="13" s="1"/>
  <c r="OP9" i="13"/>
  <c r="OM9" i="13"/>
  <c r="OK9" i="13"/>
  <c r="OI9" i="13"/>
  <c r="DB7" i="13"/>
  <c r="DE7" i="13" s="1"/>
  <c r="O7" i="13"/>
  <c r="P7" i="13" s="1"/>
  <c r="PS5" i="16"/>
  <c r="M5" i="16"/>
  <c r="CV5" i="16" s="1"/>
  <c r="PT5" i="16"/>
  <c r="G5" i="16"/>
  <c r="PU5" i="16"/>
  <c r="PR5" i="16"/>
  <c r="F5" i="16"/>
  <c r="K5" i="16"/>
  <c r="I5" i="16"/>
  <c r="PV5" i="16"/>
  <c r="OP8" i="13"/>
  <c r="DB8" i="13"/>
  <c r="DE8" i="13" s="1"/>
  <c r="NJ7" i="13"/>
  <c r="NM7" i="13" s="1"/>
  <c r="OM7" i="13"/>
  <c r="OK7" i="13"/>
  <c r="OI7" i="13"/>
  <c r="DB5" i="13"/>
  <c r="DE5" i="13" s="1"/>
  <c r="NJ8" i="13"/>
  <c r="NM8" i="13" s="1"/>
  <c r="OP7" i="13"/>
  <c r="OM8" i="13"/>
  <c r="OK8" i="13"/>
  <c r="OI8" i="13"/>
  <c r="O8" i="13"/>
  <c r="P8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E9" i="17" l="1"/>
  <c r="Q9" i="17"/>
  <c r="Q8" i="17"/>
  <c r="P8" i="17"/>
  <c r="E5" i="15"/>
  <c r="Q5" i="15"/>
  <c r="P5" i="15"/>
  <c r="PW6" i="16"/>
  <c r="PW7" i="16"/>
  <c r="PW7" i="17"/>
  <c r="PW8" i="16"/>
  <c r="N7" i="17"/>
  <c r="CU7" i="17"/>
  <c r="O7" i="17" s="1"/>
  <c r="Q7" i="17" s="1"/>
  <c r="H7" i="17"/>
  <c r="J7" i="17"/>
  <c r="CV6" i="17"/>
  <c r="PW6" i="17"/>
  <c r="CU6" i="17"/>
  <c r="H6" i="17"/>
  <c r="J6" i="17"/>
  <c r="CU6" i="16"/>
  <c r="CV7" i="16"/>
  <c r="CU7" i="16"/>
  <c r="H7" i="16"/>
  <c r="J7" i="16"/>
  <c r="H6" i="16"/>
  <c r="CV6" i="16"/>
  <c r="J6" i="16"/>
  <c r="N8" i="16"/>
  <c r="CU8" i="16"/>
  <c r="O8" i="16" s="1"/>
  <c r="Q8" i="16" s="1"/>
  <c r="H8" i="16"/>
  <c r="J8" i="16"/>
  <c r="PW6" i="14"/>
  <c r="N6" i="14"/>
  <c r="CU6" i="14"/>
  <c r="O6" i="14" s="1"/>
  <c r="Q6" i="14" s="1"/>
  <c r="H6" i="14"/>
  <c r="J6" i="14"/>
  <c r="PW4" i="16"/>
  <c r="PW5" i="16"/>
  <c r="PW4" i="14"/>
  <c r="DI9" i="13"/>
  <c r="I4" i="4"/>
  <c r="J4" i="4" s="1"/>
  <c r="G9" i="13"/>
  <c r="H9" i="13" s="1"/>
  <c r="I9" i="13"/>
  <c r="DH9" i="13" s="1"/>
  <c r="F9" i="13"/>
  <c r="ON9" i="13"/>
  <c r="I7" i="13"/>
  <c r="J7" i="13" s="1"/>
  <c r="I8" i="13"/>
  <c r="K8" i="13" s="1"/>
  <c r="DI7" i="13"/>
  <c r="G7" i="13"/>
  <c r="H7" i="13" s="1"/>
  <c r="A7" i="13" s="1" a="1"/>
  <c r="A7" i="13" s="1"/>
  <c r="F7" i="13"/>
  <c r="G8" i="13"/>
  <c r="H8" i="13" s="1"/>
  <c r="A8" i="13" s="1" a="1"/>
  <c r="A8" i="13" s="1"/>
  <c r="ON8" i="13"/>
  <c r="DI5" i="4"/>
  <c r="H5" i="16"/>
  <c r="N5" i="16"/>
  <c r="J5" i="16"/>
  <c r="L5" i="16"/>
  <c r="CU5" i="16"/>
  <c r="O5" i="16" s="1"/>
  <c r="ON7" i="13"/>
  <c r="DI8" i="13"/>
  <c r="ON6" i="13"/>
  <c r="I5" i="13"/>
  <c r="DH5" i="13" s="1"/>
  <c r="F5" i="13"/>
  <c r="I6" i="13"/>
  <c r="M6" i="13" s="1"/>
  <c r="F8" i="13"/>
  <c r="G6" i="13"/>
  <c r="H6" i="13" s="1"/>
  <c r="A6" i="13" s="1" a="1"/>
  <c r="A6" i="13" s="1"/>
  <c r="G5" i="13"/>
  <c r="H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6" i="16" l="1"/>
  <c r="E6" i="16" s="1"/>
  <c r="P7" i="17"/>
  <c r="O6" i="17"/>
  <c r="P6" i="17" s="1"/>
  <c r="E7" i="17"/>
  <c r="O7" i="16"/>
  <c r="Q7" i="16" s="1"/>
  <c r="P8" i="16"/>
  <c r="E8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6" i="13"/>
  <c r="DF6" i="13" s="1"/>
  <c r="M5" i="4"/>
  <c r="E5" i="16"/>
  <c r="P5" i="16"/>
  <c r="Q5" i="16"/>
  <c r="K5" i="13"/>
  <c r="DF5" i="13" s="1"/>
  <c r="M5" i="13"/>
  <c r="DG5" i="13" s="1"/>
  <c r="J5" i="13"/>
  <c r="DH6" i="13"/>
  <c r="J6" i="13"/>
  <c r="N6" i="13" s="1"/>
  <c r="DF8" i="13"/>
  <c r="DG6" i="13"/>
  <c r="O4" i="14"/>
  <c r="E4" i="14" s="1"/>
  <c r="DF5" i="4"/>
  <c r="O4" i="16"/>
  <c r="E4" i="16" s="1"/>
  <c r="P6" i="16" l="1"/>
  <c r="Q6" i="16"/>
  <c r="Q6" i="17"/>
  <c r="E6" i="17"/>
  <c r="E7" i="16"/>
  <c r="P7" i="16"/>
  <c r="L4" i="4"/>
  <c r="N7" i="13"/>
  <c r="N8" i="13"/>
  <c r="DF7" i="13"/>
  <c r="Q7" i="13" s="1"/>
  <c r="S7" i="13" s="1"/>
  <c r="DG4" i="4"/>
  <c r="Q4" i="4" s="1"/>
  <c r="N9" i="13"/>
  <c r="DG8" i="13"/>
  <c r="Q8" i="13" s="1"/>
  <c r="L9" i="13"/>
  <c r="Q9" i="13"/>
  <c r="S9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8" i="16" a="1"/>
  <c r="A8" i="16" s="1"/>
  <c r="A6" i="16" a="1"/>
  <c r="A6" i="16" s="1"/>
  <c r="E8" i="13"/>
  <c r="E9" i="13"/>
  <c r="R9" i="13"/>
  <c r="E6" i="13"/>
  <c r="E7" i="13"/>
  <c r="R7" i="13"/>
  <c r="R8" i="13"/>
  <c r="S8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7" i="17"/>
  <c r="CT13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4" i="17" l="1"/>
  <c r="JV5" i="14"/>
  <c r="CT5" i="17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4" i="13"/>
  <c r="DF4" i="13" s="1"/>
  <c r="DH4" i="13"/>
  <c r="J4" i="13"/>
  <c r="M4" i="13"/>
  <c r="DG4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A5" i="15" l="1" a="1"/>
  <c r="A5" i="15" s="1"/>
  <c r="L4" i="13"/>
  <c r="N4" i="13"/>
  <c r="Q4" i="13"/>
  <c r="O4" i="17"/>
  <c r="E4" i="17" s="1"/>
  <c r="A8" i="17" s="1" a="1"/>
  <c r="A8" i="17" s="1"/>
  <c r="O5" i="14"/>
  <c r="E5" i="14" s="1"/>
  <c r="A5" i="14" s="1" a="1"/>
  <c r="A5" i="14" s="1"/>
  <c r="Q5" i="17"/>
  <c r="P5" i="17"/>
  <c r="E5" i="17"/>
  <c r="E4" i="15"/>
  <c r="A4" i="15" s="1" a="1"/>
  <c r="A4" i="15" s="1"/>
  <c r="P4" i="15"/>
  <c r="Q4" i="15"/>
  <c r="A6" i="17" l="1" a="1"/>
  <c r="A6" i="17" s="1"/>
  <c r="A7" i="17" a="1"/>
  <c r="A7" i="17" s="1"/>
  <c r="A6" i="14" a="1"/>
  <c r="A6" i="14" s="1"/>
  <c r="A5" i="17" a="1"/>
  <c r="A5" i="17" s="1"/>
  <c r="A4" i="17" a="1"/>
  <c r="A4" i="17" s="1"/>
  <c r="A5" i="16" a="1"/>
  <c r="A5" i="16" s="1"/>
  <c r="A4" i="16" a="1"/>
  <c r="A4" i="16" s="1"/>
  <c r="A4" i="14" a="1"/>
  <c r="A4" i="14" s="1"/>
  <c r="E4" i="13"/>
  <c r="A5" i="13" s="1" a="1"/>
  <c r="A5" i="13" s="1"/>
  <c r="R4" i="13"/>
  <c r="S4" i="13"/>
  <c r="Q4" i="17"/>
  <c r="P4" i="17"/>
  <c r="Q5" i="14"/>
  <c r="P5" i="14"/>
  <c r="A9" i="13" l="1" a="1"/>
  <c r="A9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<sst xmlns="http://schemas.openxmlformats.org/spreadsheetml/2006/main" count="3188" uniqueCount="106">
  <si>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</si>
  <si>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</si>
  <si>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</si>
  <si>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</si>
  <si>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</si>
  <si>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</si>
  <si>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</si>
  <si>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</si>
  <si>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</si>
  <si>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</si>
  <si>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</si>
  <si>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</si>
  <si>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</si>
  <si>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</si>
  <si>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</si>
  <si>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</si>
  <si>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</si>
  <si>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</si>
  <si>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</si>
  <si>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</si>
  <si>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</si>
  <si>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</si>
  <si>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</si>
  <si>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</si>
  <si>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</si>
  <si>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</si>
  <si>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</si>
  <si>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</si>
  <si>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</si>
  <si>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</si>
  <si>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</si>
  <si>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</si>
  <si>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</si>
  <si>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</si>
  <si>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</si>
  <si>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</si>
  <si>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</si>
  <si>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</si>
  <si>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</si>
  <si>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</si>
  <si>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</si>
  <si>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</si>
  <si>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</si>
  <si>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</si>
  <si>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</si>
  <si>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</si>
  <si>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</si>
  <si>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</si>
  <si>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</si>
  <si>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</si>
  <si>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</si>
  <si>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</si>
  <si>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</si>
  <si>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</si>
  <si>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</si>
  <si>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</si>
  <si>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</si>
  <si>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</si>
  <si>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</si>
  <si>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</si>
  <si>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</si>
  <si>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</si>
  <si>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</si>
  <si>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</si>
  <si>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</si>
  <si>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</si>
  <si>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</si>
  <si>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</si>
  <si>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</si>
  <si>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</si>
  <si>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</si>
  <si>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</si>
  <si>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</si>
  <si>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</si>
  <si>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</si>
  <si>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</si>
  <si>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</si>
  <si>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</si>
  <si>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</si>
  <si>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</si>
  <si>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</si>
  <si>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</si>
  <si>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</si>
  <si>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</si>
  <si>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</si>
  <si>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</si>
  <si>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</si>
  <si>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</si>
  <si>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</si>
  <si>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</si>
  <si>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</si>
  <si>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</si>
  <si>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</si>
  <si>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</si>
  <si>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</si>
  <si>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</si>
  <si>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</si>
  <si>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</si>
  <si>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</si>
  <si>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</si>
  <si>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</si>
  <si>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</si>
  <si>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</si>
  <si>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</si>
  <si>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</si>
  <si>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BESSADI, Kella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</si>
</sst>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LEPORÉ, Amylia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x14ac:dyDescent="0.2">
      <c r="A15" s="8"/>
      <c r="B15" s="8">
        <v>2</v>
      </c>
      <c r="C15" s="8" t="str">
        <f>IF(B3&gt;MAX('TUM-W'!A:A),"",INDEX('TUM-W'!B:B,MATCH(B3,'TUM-W'!A:A,0)))</f>
        <v>HUGHES, Arya</v>
      </c>
      <c r="D15" s="17" t="str">
        <f>IF(B3&gt;MAX('TUM-W'!A:A),"",INDEX('TUM-W'!H:H,MATCH(B3,'TUM-W'!A:A,0)))</f>
        <v>Excellence</v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BING-L'HEUREUX, Noah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45457</v>
      </c>
      <c r="C34" s="68"/>
    </row>
    <row r="35" spans="1:3" x14ac:dyDescent="0.2">
      <c r="B35" t="s">
        <v>102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102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92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100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84</v>
      </c>
      <c r="C4" s="4" t="s">
        <v>3</v>
      </c>
      <c r="D4" s="4">
        <v>2008</v>
      </c>
      <c r="E4" s="10">
        <f>SUM(I4:Q4)</f>
        <v>243.86999999999998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43.12</v>
      </c>
      <c r="L4" s="9" t="str">
        <f>IF(K4=0,"",IF(AND(K4=CW4,$J4&lt;&gt;$CB$1),$CB$1,IF(AND(K4=BS4,$J4&lt;&gt;$AX$1),$AX$1,IF(AND(K4=AO4,$J4&lt;&gt;$T$1),$T$1,""))))</f>
        <v>2024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52.480000000000004</v>
      </c>
      <c r="N4" s="9" t="str">
        <f>IF(M4=0,"",IF(AND(OR(M4=DA4,M4=CY4),$J4&lt;&gt;$CB$1),$CB$1,IF(AND(OR(M4=BW4,M4=BU4),$J4&lt;&gt;$AX$1),$AX$1,IF(AND(OR(M4=AS4,M4=AQ4),$J4&lt;&gt;$T$1),$T$1,""))))</f>
        <v>2024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>
        <f>IF(MAX(DF4,DG4,DH4,DI4)&gt;0,MAX(DF4,DG4,DH4,DI4),"")</f>
        <v>0.15000000000000568</v>
      </c>
      <c r="R4" s="14" t="str">
        <f>IF(Q4="","",IF(Q4=DF4,"(Vol 1)",IF(Q4=DG4,"(Vol 2)",IF(Q4=DH4,"(Prelim)",IF(Q4=DI4,"(Final)")))))</f>
        <v>(Vol 1)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18.399999999999999</v>
      </c>
      <c r="U4" s="27">
        <v>9.6</v>
      </c>
      <c r="V4" s="27">
        <v>0</v>
      </c>
      <c r="W4" s="27">
        <v>16.12</v>
      </c>
      <c r="X4" s="27">
        <v>0</v>
      </c>
      <c r="Y4" s="27">
        <v>14.9</v>
      </c>
      <c r="Z4" s="27">
        <v>9.5</v>
      </c>
      <c r="AA4" s="27">
        <v>12.3</v>
      </c>
      <c r="AB4" s="27">
        <v>15.22</v>
      </c>
      <c r="AC4" s="27">
        <v>0</v>
      </c>
      <c r="AD4" s="27"/>
      <c r="AE4" s="27"/>
      <c r="AF4" s="27"/>
      <c r="AG4" s="27"/>
      <c r="AH4" s="27"/>
      <c r="AI4" s="27">
        <v>15.6</v>
      </c>
      <c r="AJ4" s="27">
        <v>9.4</v>
      </c>
      <c r="AK4" s="27">
        <v>11.9</v>
      </c>
      <c r="AL4" s="27">
        <v>15.18</v>
      </c>
      <c r="AM4" s="27">
        <v>0</v>
      </c>
      <c r="AN4" s="32"/>
      <c r="AO4" s="7">
        <f>IF(SUM(T4:W4)-X4&gt;0,SUM(T4:W4)-X4,"")</f>
        <v>44.120000000000005</v>
      </c>
      <c r="AP4" s="7">
        <f>IF(AA4&gt;0,AA4,"")</f>
        <v>12.3</v>
      </c>
      <c r="AQ4" s="7">
        <f>IF(SUM(Y4:AB4)-AC4&gt;0,SUM(Y4:AB4)-AC4,"")</f>
        <v>51.92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96.04</v>
      </c>
      <c r="AU4" s="7">
        <f>IF(AK4&gt;0,AK4,"")</f>
        <v>11.9</v>
      </c>
      <c r="AV4" s="7">
        <f>IF(SUM(AI4:AL4)-AM4&gt;0,SUM(AI4:AL4)-AM4,"")</f>
        <v>52.08</v>
      </c>
      <c r="AW4" s="7">
        <f>IF(SUM(AT4,AV4)&gt;0,SUM(AT4,AV4),"")</f>
        <v>148.12</v>
      </c>
      <c r="AX4" s="23">
        <v>1.9</v>
      </c>
      <c r="AY4" s="23">
        <v>1</v>
      </c>
      <c r="AZ4" s="23">
        <v>0</v>
      </c>
      <c r="BA4" s="23">
        <v>1.78</v>
      </c>
      <c r="BB4" s="23">
        <v>0</v>
      </c>
      <c r="BC4" s="23">
        <v>13.6</v>
      </c>
      <c r="BD4" s="23">
        <v>9.4</v>
      </c>
      <c r="BE4" s="23">
        <v>13.3</v>
      </c>
      <c r="BF4" s="23">
        <v>14.55</v>
      </c>
      <c r="BG4" s="23">
        <v>0</v>
      </c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33"/>
      <c r="BS4" s="9">
        <f>IF(SUM(AX4:BA4)-BB4&gt;0,SUM(AX4:BA4)-BB4,"")</f>
        <v>4.68</v>
      </c>
      <c r="BT4" s="9">
        <f>IF(BE4&gt;0,BE4,"")</f>
        <v>13.3</v>
      </c>
      <c r="BU4" s="9">
        <f>IF(SUM(BC4:BF4)-BG4&gt;0,SUM(BC4:BF4)-BG4,"")</f>
        <v>50.849999999999994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55.529999999999994</v>
      </c>
      <c r="BY4" s="9" t="str">
        <f>IF(BO4&gt;0,BO4,"")</f>
        <v/>
      </c>
      <c r="BZ4" s="9" t="str">
        <f>IF(SUM(BM4:BP4)-BQ4&gt;0,SUM(BM4:BP4)-BQ4,"")</f>
        <v/>
      </c>
      <c r="CA4" s="9">
        <f>IF(SUM(BX4,BZ4)&gt;0,SUM(BX4,BZ4),"")</f>
        <v>55.529999999999994</v>
      </c>
      <c r="CB4" s="27">
        <v>17.899999999999999</v>
      </c>
      <c r="CC4" s="27">
        <v>9.4</v>
      </c>
      <c r="CD4" s="27">
        <v>0</v>
      </c>
      <c r="CE4" s="27">
        <v>15.82</v>
      </c>
      <c r="CF4" s="27">
        <v>0</v>
      </c>
      <c r="CG4" s="27">
        <v>15</v>
      </c>
      <c r="CH4" s="27">
        <v>9.1</v>
      </c>
      <c r="CI4" s="27">
        <v>13.5</v>
      </c>
      <c r="CJ4" s="27">
        <v>14.88</v>
      </c>
      <c r="CK4" s="27">
        <v>0</v>
      </c>
      <c r="CL4" s="27"/>
      <c r="CM4" s="27"/>
      <c r="CN4" s="27"/>
      <c r="CO4" s="27"/>
      <c r="CP4" s="27"/>
      <c r="CQ4" s="27">
        <v>14.9</v>
      </c>
      <c r="CR4" s="27">
        <v>9</v>
      </c>
      <c r="CS4" s="27">
        <v>12.6</v>
      </c>
      <c r="CT4" s="27">
        <v>14.84</v>
      </c>
      <c r="CU4" s="27">
        <v>0</v>
      </c>
      <c r="CV4" s="32"/>
      <c r="CW4" s="7">
        <f>IF(SUM(CB4:CE4)-CF4&gt;0,SUM(CB4:CE4)-CF4,"")</f>
        <v>43.12</v>
      </c>
      <c r="CX4" s="7">
        <f>IF(CI4&gt;0,CI4,"")</f>
        <v>13.5</v>
      </c>
      <c r="CY4" s="7">
        <f>IF(SUM(CG4:CJ4)-CK4&gt;0,SUM(CG4:CJ4)-CK4,"")</f>
        <v>52.480000000000004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95.6</v>
      </c>
      <c r="DC4" s="7">
        <f>IF(CS4&gt;0,CS4,"")</f>
        <v>12.6</v>
      </c>
      <c r="DD4" s="7">
        <f>IF(SUM(CQ4:CT4)-CU4&gt;0,SUM(CQ4:CT4)-CU4,"")</f>
        <v>51.34</v>
      </c>
      <c r="DE4" s="7">
        <f>IF(SUM(DB4,DD4)&gt;0,SUM(DB4,DD4),"")</f>
        <v>146.94</v>
      </c>
      <c r="DF4" s="13">
        <f>IF(MAX(DZ4,EV4,FR4,GN4,HJ4,IF4,JB4,JX4,KT4,LP4,ML4,NH4)-IF(K4="",0,K4)&gt;0.001,MAX(DZ4,EV4,FR4,GN4,HJ4,IF4,JB4,JX4,KT4,LP4,ML4,NH4)-IF(K4="",0,K4),"")</f>
        <v>0.15000000000000568</v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17.600000000000001</v>
      </c>
      <c r="DK4" s="18">
        <v>9.8000000000000007</v>
      </c>
      <c r="DL4" s="18">
        <v>0</v>
      </c>
      <c r="DM4" s="18">
        <v>15.87</v>
      </c>
      <c r="DN4" s="18">
        <v>0</v>
      </c>
      <c r="DO4" s="18">
        <v>13.9</v>
      </c>
      <c r="DP4" s="18">
        <v>9.5</v>
      </c>
      <c r="DQ4" s="18">
        <v>13.1</v>
      </c>
      <c r="DR4" s="18">
        <v>14.66</v>
      </c>
      <c r="DS4" s="18">
        <v>0</v>
      </c>
      <c r="DT4" s="18"/>
      <c r="DU4" s="18"/>
      <c r="DV4" s="18"/>
      <c r="DW4" s="18"/>
      <c r="DX4" s="18"/>
      <c r="DY4" s="7">
        <f>IF(DQ4&gt;0,DQ4,"")</f>
        <v>13.1</v>
      </c>
      <c r="DZ4" s="7">
        <f>IF(SUM(DJ4:DM4)-DN4&gt;0,SUM(DJ4:DM4)-DN4,"")</f>
        <v>43.27</v>
      </c>
      <c r="EA4" s="7">
        <f>IF(SUM(DO4:DR4)-DS4&gt;0,SUM(DO4:DR4)-DS4,"")</f>
        <v>51.16</v>
      </c>
      <c r="EB4" s="7">
        <f>IF(SUM(DZ4:EA4)&gt;0,SUM(DZ4:EA4),"")</f>
        <v>94.43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94.43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5" si="0">IF($CV4="P",CB4,(CB4+AX4)/2)</f>
        <v>9.8999999999999986</v>
      </c>
      <c r="NO4" s="27">
        <f t="shared" si="0"/>
        <v>5.2</v>
      </c>
      <c r="NP4" s="27">
        <f t="shared" si="0"/>
        <v>0</v>
      </c>
      <c r="NQ4" s="27">
        <f t="shared" si="0"/>
        <v>8.8000000000000007</v>
      </c>
      <c r="NR4" s="27">
        <f t="shared" si="0"/>
        <v>0</v>
      </c>
      <c r="NS4" s="27">
        <f t="shared" si="0"/>
        <v>14.3</v>
      </c>
      <c r="NT4" s="27">
        <f t="shared" si="0"/>
        <v>9.25</v>
      </c>
      <c r="NU4" s="27">
        <f t="shared" si="0"/>
        <v>13.4</v>
      </c>
      <c r="NV4" s="27">
        <f t="shared" si="0"/>
        <v>14.715</v>
      </c>
      <c r="NW4" s="27">
        <f t="shared" si="0"/>
        <v>0</v>
      </c>
      <c r="NX4" s="27">
        <f t="shared" ref="NX4:OG5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7.45</v>
      </c>
      <c r="OD4" s="27">
        <f t="shared" si="1"/>
        <v>4.5</v>
      </c>
      <c r="OE4" s="27">
        <f t="shared" si="1"/>
        <v>6.3</v>
      </c>
      <c r="OF4" s="27">
        <f t="shared" si="1"/>
        <v>7.42</v>
      </c>
      <c r="OG4" s="27">
        <f t="shared" si="1"/>
        <v>0</v>
      </c>
      <c r="OH4" s="32" t="s">
        <v>44</v>
      </c>
      <c r="OI4" s="7">
        <f>IF(SUM(NN4:NQ4)-NR4&gt;0,SUM(NN4:NQ4)-NR4,"")</f>
        <v>23.9</v>
      </c>
      <c r="OJ4" s="7">
        <f>IF(NU4&gt;0,NU4,"")</f>
        <v>13.4</v>
      </c>
      <c r="OK4" s="7">
        <f>IF(SUM(NS4:NV4)-NW4&gt;0,SUM(NS4:NV4)-NW4,"")</f>
        <v>51.665000000000006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75.564999999999998</v>
      </c>
      <c r="OO4" s="7">
        <f>IF(OE4&gt;0,OE4,"")</f>
        <v>6.3</v>
      </c>
      <c r="OP4" s="7">
        <f t="shared" ref="OP4" si="2">IF(SUM(OC4:OF4)-OG4&gt;0,SUM(OC4:OF4)-OG4,"")</f>
        <v>25.67</v>
      </c>
      <c r="OQ4" s="7">
        <f t="shared" ref="OQ4" si="3">IF(SUM(ON4,OP4)&gt;0,SUM(ON4,OP4),"")</f>
        <v>101.235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233.45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41.67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45.25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51.91</v>
      </c>
      <c r="P5" s="9" t="str">
        <f>IF(O5=0,"",IF(O5=DD5,$CB$1,IF(O5=BZ5,$AX$1,IF(O5=AV5,$T$1,""))))</f>
        <v>2024 Nationals</v>
      </c>
      <c r="Q5" s="9">
        <f>IF(MAX(DF5,DG5,DH5,DI5)&gt;0,MAX(DF5,DG5,DH5,DI5),"")</f>
        <v>5.2800000000000011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Pan Am Club Championships (May 19)</v>
      </c>
      <c r="T5" s="27">
        <v>16.8</v>
      </c>
      <c r="U5" s="27">
        <v>9.5</v>
      </c>
      <c r="V5" s="27">
        <v>0</v>
      </c>
      <c r="W5" s="27">
        <v>14.98</v>
      </c>
      <c r="X5" s="27">
        <v>0</v>
      </c>
      <c r="Y5" s="27">
        <v>2.7</v>
      </c>
      <c r="Z5" s="27">
        <v>1.7</v>
      </c>
      <c r="AA5" s="27">
        <v>3.2</v>
      </c>
      <c r="AB5" s="27">
        <v>3.26</v>
      </c>
      <c r="AC5" s="27">
        <v>0</v>
      </c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>
        <f>IF(SUM(T5:W5)-X5&gt;0,SUM(T5:W5)-X5,"")</f>
        <v>41.28</v>
      </c>
      <c r="AP5" s="7">
        <f>IF(AA5&gt;0,AA5,"")</f>
        <v>3.2</v>
      </c>
      <c r="AQ5" s="7">
        <f>IF(SUM(Y5:AB5)-AC5&gt;0,SUM(Y5:AB5)-AC5,"")</f>
        <v>10.86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52.14</v>
      </c>
      <c r="AU5" s="7" t="str">
        <f>IF(AK5&gt;0,AK5,"")</f>
        <v/>
      </c>
      <c r="AV5" s="7" t="str">
        <f>IF(SUM(AI5:AL5)-AM5&gt;0,SUM(AI5:AL5)-AM5,"")</f>
        <v/>
      </c>
      <c r="AW5" s="7">
        <f>IF(SUM(AT5,AV5)&gt;0,SUM(AT5,AV5),"")</f>
        <v>52.14</v>
      </c>
      <c r="AX5" s="23">
        <v>15.8</v>
      </c>
      <c r="AY5" s="23">
        <v>8.9</v>
      </c>
      <c r="AZ5" s="23">
        <v>0</v>
      </c>
      <c r="BA5" s="23">
        <v>14.68</v>
      </c>
      <c r="BB5" s="23">
        <v>0</v>
      </c>
      <c r="BC5" s="23">
        <v>13.1</v>
      </c>
      <c r="BD5" s="23">
        <v>9</v>
      </c>
      <c r="BE5" s="23">
        <v>13.6</v>
      </c>
      <c r="BF5" s="23">
        <v>14.26</v>
      </c>
      <c r="BG5" s="23">
        <v>0</v>
      </c>
      <c r="BH5" s="23"/>
      <c r="BI5" s="23"/>
      <c r="BJ5" s="23"/>
      <c r="BK5" s="23"/>
      <c r="BL5" s="23"/>
      <c r="BM5" s="23">
        <v>13.3</v>
      </c>
      <c r="BN5" s="23">
        <v>9.3000000000000007</v>
      </c>
      <c r="BO5" s="23">
        <v>13.6</v>
      </c>
      <c r="BP5" s="23">
        <v>14.4</v>
      </c>
      <c r="BQ5" s="23">
        <v>0</v>
      </c>
      <c r="BR5" s="33"/>
      <c r="BS5" s="9">
        <f>IF(SUM(AX5:BA5)-BB5&gt;0,SUM(AX5:BA5)-BB5,"")</f>
        <v>39.380000000000003</v>
      </c>
      <c r="BT5" s="9">
        <f>IF(BE5&gt;0,BE5,"")</f>
        <v>13.6</v>
      </c>
      <c r="BU5" s="9">
        <f>IF(SUM(BC5:BF5)-BG5&gt;0,SUM(BC5:BF5)-BG5,"")</f>
        <v>49.96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89.34</v>
      </c>
      <c r="BY5" s="9">
        <f>IF(BO5&gt;0,BO5,"")</f>
        <v>13.6</v>
      </c>
      <c r="BZ5" s="9">
        <f>IF(SUM(BM5:BP5)-BQ5&gt;0,SUM(BM5:BP5)-BQ5,"")</f>
        <v>50.6</v>
      </c>
      <c r="CA5" s="9">
        <f>IF(SUM(BX5,BZ5)&gt;0,SUM(BX5,BZ5),"")</f>
        <v>139.94</v>
      </c>
      <c r="CB5" s="27">
        <v>16.8</v>
      </c>
      <c r="CC5" s="27">
        <v>9.5</v>
      </c>
      <c r="CD5" s="27">
        <v>0</v>
      </c>
      <c r="CE5" s="27">
        <v>15.37</v>
      </c>
      <c r="CF5" s="27">
        <v>0</v>
      </c>
      <c r="CG5" s="27">
        <v>11.9</v>
      </c>
      <c r="CH5" s="27">
        <v>9.4</v>
      </c>
      <c r="CI5" s="27">
        <v>10.7</v>
      </c>
      <c r="CJ5" s="27">
        <v>13.75</v>
      </c>
      <c r="CK5" s="27">
        <v>0.5</v>
      </c>
      <c r="CL5" s="27"/>
      <c r="CM5" s="27"/>
      <c r="CN5" s="27"/>
      <c r="CO5" s="27"/>
      <c r="CP5" s="27"/>
      <c r="CQ5" s="27">
        <v>13.7</v>
      </c>
      <c r="CR5" s="27">
        <v>9.3000000000000007</v>
      </c>
      <c r="CS5" s="27">
        <v>14</v>
      </c>
      <c r="CT5" s="27">
        <v>14.91</v>
      </c>
      <c r="CU5" s="27">
        <v>0</v>
      </c>
      <c r="CV5" s="32"/>
      <c r="CW5" s="7">
        <f>IF(SUM(CB5:CE5)-CF5&gt;0,SUM(CB5:CE5)-CF5,"")</f>
        <v>41.67</v>
      </c>
      <c r="CX5" s="7">
        <f>IF(CI5&gt;0,CI5,"")</f>
        <v>10.7</v>
      </c>
      <c r="CY5" s="7">
        <f>IF(SUM(CG5:CJ5)-CK5&gt;0,SUM(CG5:CJ5)-CK5,"")</f>
        <v>45.25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86.92</v>
      </c>
      <c r="DC5" s="7">
        <f>IF(CS5&gt;0,CS5,"")</f>
        <v>14</v>
      </c>
      <c r="DD5" s="7">
        <f>IF(SUM(CQ5:CT5)-CU5&gt;0,SUM(CQ5:CT5)-CU5,"")</f>
        <v>51.91</v>
      </c>
      <c r="DE5" s="7">
        <f>IF(SUM(DB5,DD5)&gt;0,SUM(DB5,DD5),"")</f>
        <v>138.82999999999998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5.2800000000000011</v>
      </c>
      <c r="DH5" s="13">
        <f>IF(MAX(EB5,EX5,FT5,GP5,HL5,IH5,JD5,JZ5,KV5,LR5,MN5,NJ5)-IF(I5="",0,I5)&gt;0.001,MAX(EB5,EX5,FT5,GP5,HL5,IH5,JD5,JZ5,KV5,LR5,MN5,NJ5)-IF(I5="",0,I5),"")</f>
        <v>1.5600000000000023</v>
      </c>
      <c r="DI5" s="13" t="str">
        <f>IF(MAX(ED5,EZ5,FV5,GR5,HN5,IJ5,JF5,KB5,KX5,LT5,MP5,NL5)-IF(O5="",0,O5)&gt;0.001,MAX(ED5,EZ5,FV5,GR5,HN5,IJ5,JF5,KB5,KX5,LT5,MP5,NL5)-IF(O5="",0,O5),"")</f>
        <v/>
      </c>
      <c r="DJ5" s="18">
        <v>15.8</v>
      </c>
      <c r="DK5" s="18">
        <v>9.1999999999999993</v>
      </c>
      <c r="DL5" s="18">
        <v>0</v>
      </c>
      <c r="DM5" s="18">
        <v>14.81</v>
      </c>
      <c r="DN5" s="18">
        <v>0</v>
      </c>
      <c r="DO5" s="18">
        <v>13.2</v>
      </c>
      <c r="DP5" s="18">
        <v>9</v>
      </c>
      <c r="DQ5" s="18">
        <v>13.3</v>
      </c>
      <c r="DR5" s="18">
        <v>14.66</v>
      </c>
      <c r="DS5" s="18">
        <v>0</v>
      </c>
      <c r="DT5" s="18"/>
      <c r="DU5" s="18"/>
      <c r="DV5" s="18"/>
      <c r="DW5" s="18"/>
      <c r="DX5" s="18"/>
      <c r="DY5" s="7">
        <f>IF(DQ5&gt;0,DQ5,"")</f>
        <v>13.3</v>
      </c>
      <c r="DZ5" s="7">
        <f>IF(SUM(DJ5:DM5)-DN5&gt;0,SUM(DJ5:DM5)-DN5,"")</f>
        <v>39.81</v>
      </c>
      <c r="EA5" s="7">
        <f>IF(SUM(DO5:DR5)-DS5&gt;0,SUM(DO5:DR5)-DS5,"")</f>
        <v>50.16</v>
      </c>
      <c r="EB5" s="7">
        <f>IF(SUM(DZ5:EA5)&gt;0,SUM(DZ5:EA5),"")</f>
        <v>89.97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89.97</v>
      </c>
      <c r="EF5" s="19">
        <v>16.2</v>
      </c>
      <c r="EG5" s="19">
        <v>9.4</v>
      </c>
      <c r="EH5" s="19">
        <v>0</v>
      </c>
      <c r="EI5" s="19">
        <v>15.42</v>
      </c>
      <c r="EJ5" s="19">
        <v>0</v>
      </c>
      <c r="EK5" s="19">
        <v>2.7</v>
      </c>
      <c r="EL5" s="19">
        <v>1.8</v>
      </c>
      <c r="EM5" s="19">
        <v>3</v>
      </c>
      <c r="EN5" s="19">
        <v>3.23</v>
      </c>
      <c r="EO5" s="19">
        <v>0</v>
      </c>
      <c r="EP5" s="19">
        <v>14</v>
      </c>
      <c r="EQ5" s="19">
        <v>9.1999999999999993</v>
      </c>
      <c r="ER5" s="19">
        <v>11.4</v>
      </c>
      <c r="ES5" s="19">
        <v>14.65</v>
      </c>
      <c r="ET5" s="19">
        <v>0</v>
      </c>
      <c r="EU5" s="9">
        <f>IF(EM5&gt;0,EM5,"")</f>
        <v>3</v>
      </c>
      <c r="EV5" s="9">
        <f>IF(SUM(EF5:EI5)-EJ5&gt;0,SUM(EF5:EI5)-EJ5,"")</f>
        <v>41.02</v>
      </c>
      <c r="EW5" s="9">
        <f>IF(SUM(EK5:EN5)-EO5&gt;0,SUM(EK5:EN5)-EO5,"")</f>
        <v>10.73</v>
      </c>
      <c r="EX5" s="9">
        <f>IF(SUM(EV5:EW5)&gt;0,SUM(EV5:EW5),"")</f>
        <v>51.75</v>
      </c>
      <c r="EY5" s="9">
        <f>IF(ER5&gt;0,ER5,"")</f>
        <v>11.4</v>
      </c>
      <c r="EZ5" s="9">
        <f>IF(SUM(EP5:ES5)-ET5&gt;0,SUM(EP5:ES5)-ET5,"")</f>
        <v>49.25</v>
      </c>
      <c r="FA5" s="9">
        <f>IF(SUM(EX5,EZ5)&gt;0,SUM(EX5,EZ5),"")</f>
        <v>101</v>
      </c>
      <c r="FB5" s="18">
        <v>16.100000000000001</v>
      </c>
      <c r="FC5" s="18">
        <v>9.6999999999999993</v>
      </c>
      <c r="FD5" s="18">
        <v>0</v>
      </c>
      <c r="FE5" s="18">
        <v>15.42</v>
      </c>
      <c r="FF5" s="18">
        <v>0</v>
      </c>
      <c r="FG5" s="18">
        <v>12.3</v>
      </c>
      <c r="FH5" s="18">
        <v>9.1</v>
      </c>
      <c r="FI5" s="18">
        <v>12.2</v>
      </c>
      <c r="FJ5" s="18">
        <v>14.43</v>
      </c>
      <c r="FK5" s="18">
        <v>0</v>
      </c>
      <c r="FL5" s="18">
        <v>13.7</v>
      </c>
      <c r="FM5" s="18">
        <v>9.1</v>
      </c>
      <c r="FN5" s="18">
        <v>13.8</v>
      </c>
      <c r="FO5" s="18">
        <v>15.04</v>
      </c>
      <c r="FP5" s="18">
        <v>0</v>
      </c>
      <c r="FQ5" s="7">
        <f>IF(FI5&gt;0,FI5,"")</f>
        <v>12.2</v>
      </c>
      <c r="FR5" s="7">
        <f>IF(SUM(FB5:FE5)-FF5&gt;0,SUM(FB5:FE5)-FF5,"")</f>
        <v>41.22</v>
      </c>
      <c r="FS5" s="7">
        <f>IF(SUM(FG5:FJ5)-FK5&gt;0,SUM(FG5:FJ5)-FK5,"")</f>
        <v>48.029999999999994</v>
      </c>
      <c r="FT5" s="7">
        <f>IF(SUM(FR5:FS5)&gt;0,SUM(FR5:FS5),"")</f>
        <v>89.25</v>
      </c>
      <c r="FU5" s="7">
        <f>IF(FN5&gt;0,FN5,"")</f>
        <v>13.8</v>
      </c>
      <c r="FV5" s="7">
        <f>IF(SUM(FL5:FO5)-FP5&gt;0,SUM(FL5:FO5)-FP5,"")</f>
        <v>51.639999999999993</v>
      </c>
      <c r="FW5" s="7">
        <f>IF(SUM(FT5,FV5)&gt;0,SUM(FT5,FV5),"")</f>
        <v>140.88999999999999</v>
      </c>
      <c r="FX5" s="19">
        <v>15.2</v>
      </c>
      <c r="FY5" s="19">
        <v>9.6</v>
      </c>
      <c r="FZ5" s="19">
        <v>0</v>
      </c>
      <c r="GA5" s="19">
        <v>15.57</v>
      </c>
      <c r="GB5" s="19">
        <v>0</v>
      </c>
      <c r="GC5" s="19">
        <v>13.1</v>
      </c>
      <c r="GD5" s="19">
        <v>9.1999999999999993</v>
      </c>
      <c r="GE5" s="19">
        <v>13.6</v>
      </c>
      <c r="GF5" s="19">
        <v>14.63</v>
      </c>
      <c r="GG5" s="19">
        <v>0</v>
      </c>
      <c r="GH5" s="19">
        <v>10.199999999999999</v>
      </c>
      <c r="GI5" s="19">
        <v>8.1</v>
      </c>
      <c r="GJ5" s="19">
        <v>12.7</v>
      </c>
      <c r="GK5" s="19">
        <v>14.84</v>
      </c>
      <c r="GL5" s="19">
        <v>0</v>
      </c>
      <c r="GM5" s="9">
        <f>IF(GE5&gt;0,GE5,"")</f>
        <v>13.6</v>
      </c>
      <c r="GN5" s="9">
        <f>IF(SUM(FX5:GA5)-GB5&gt;0,SUM(FX5:GA5)-GB5,"")</f>
        <v>40.369999999999997</v>
      </c>
      <c r="GO5" s="9">
        <f>IF(SUM(GC5:GF5)-GG5&gt;0,SUM(GC5:GF5)-GG5,"")</f>
        <v>50.53</v>
      </c>
      <c r="GP5" s="9">
        <f>IF(SUM(GN5:GO5)&gt;0,SUM(GN5:GO5),"")</f>
        <v>90.9</v>
      </c>
      <c r="GQ5" s="9">
        <f>IF(GJ5&gt;0,GJ5,"")</f>
        <v>12.7</v>
      </c>
      <c r="GR5" s="9">
        <f>IF(SUM(GH5:GK5)-GL5&gt;0,SUM(GH5:GK5)-GL5,"")</f>
        <v>45.839999999999996</v>
      </c>
      <c r="GS5" s="9">
        <f>IF(SUM(GP5,GR5)&gt;0,SUM(GP5,GR5),"")</f>
        <v>136.74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16.3</v>
      </c>
      <c r="NO5" s="27">
        <f t="shared" si="0"/>
        <v>9.1999999999999993</v>
      </c>
      <c r="NP5" s="27">
        <f t="shared" si="0"/>
        <v>0</v>
      </c>
      <c r="NQ5" s="27">
        <f t="shared" si="0"/>
        <v>15.024999999999999</v>
      </c>
      <c r="NR5" s="27">
        <f t="shared" si="0"/>
        <v>0</v>
      </c>
      <c r="NS5" s="27">
        <f t="shared" si="0"/>
        <v>12.5</v>
      </c>
      <c r="NT5" s="27">
        <f t="shared" si="0"/>
        <v>9.1999999999999993</v>
      </c>
      <c r="NU5" s="27">
        <f t="shared" si="0"/>
        <v>12.149999999999999</v>
      </c>
      <c r="NV5" s="27">
        <f t="shared" si="0"/>
        <v>14.004999999999999</v>
      </c>
      <c r="NW5" s="27">
        <f t="shared" si="0"/>
        <v>0.25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13.5</v>
      </c>
      <c r="OD5" s="27">
        <f t="shared" si="1"/>
        <v>9.3000000000000007</v>
      </c>
      <c r="OE5" s="27">
        <f t="shared" si="1"/>
        <v>13.8</v>
      </c>
      <c r="OF5" s="27">
        <f t="shared" si="1"/>
        <v>14.655000000000001</v>
      </c>
      <c r="OG5" s="27">
        <f t="shared" si="1"/>
        <v>0</v>
      </c>
      <c r="OH5" s="32" t="s">
        <v>44</v>
      </c>
      <c r="OI5" s="7">
        <f>IF(SUM(NN5:NQ5)-NR5&gt;0,SUM(NN5:NQ5)-NR5,"")</f>
        <v>40.524999999999999</v>
      </c>
      <c r="OJ5" s="7">
        <f>IF(NU5&gt;0,NU5,"")</f>
        <v>12.149999999999999</v>
      </c>
      <c r="OK5" s="7">
        <f>IF(SUM(NS5:NV5)-NW5&gt;0,SUM(NS5:NV5)-NW5,"")</f>
        <v>47.60499999999999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88.13</v>
      </c>
      <c r="OO5" s="7">
        <f>IF(OE5&gt;0,OE5,"")</f>
        <v>13.8</v>
      </c>
      <c r="OP5" s="7">
        <f t="shared" ref="OP5" si="4">IF(SUM(OC5:OF5)-OG5&gt;0,SUM(OC5:OF5)-OG5,"")</f>
        <v>51.255000000000003</v>
      </c>
      <c r="OQ5" s="7">
        <f t="shared" ref="OQ5" si="5">IF(SUM(ON5,OP5)&gt;0,SUM(ON5,OP5),"")</f>
        <v>139.38499999999999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5:OO6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102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92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100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 t="shared" ref="E4:E9" si="0">SUM(I4:Q4)</f>
        <v>231.33</v>
      </c>
      <c r="F4" s="3" t="str">
        <f t="shared" ref="F4:F9" si="1"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 t="shared" ref="G4:G9" si="2"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 t="shared" ref="H4:H9" si="3"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 t="shared" ref="I4:I9" si="4">IF(MAX(AT4,BX4,DB4)&gt;0,MAX(AT4,BX4,DB4),0)</f>
        <v>90.53</v>
      </c>
      <c r="J4" s="9" t="str">
        <f t="shared" ref="J4:J9" si="5">IF(I4=0,"",IF(I4=DB4,$CB$1,IF(I4=BX4,$AX$1,IF(I4=AT4,$T$1,""))))</f>
        <v>2024 Elite Canada</v>
      </c>
      <c r="K4" s="9">
        <f t="shared" ref="K4:K9" si="6">IF($I4=$AT4,MAX(BS4,CW4),IF($I4=$BX4,MAX(AO4,CW4),IF($I4=$DB4,MAX(AO4,BS4),MAX(AO4,BS4,CW4))))</f>
        <v>40.28</v>
      </c>
      <c r="L4" s="9" t="str">
        <f t="shared" ref="L4:L9" si="7">IF(K4=0,"",IF(AND(K4=CW4,$J4&lt;&gt;$CB$1),$CB$1,IF(AND(K4=BS4,$J4&lt;&gt;$AX$1),$AX$1,IF(AND(K4=AO4,$J4&lt;&gt;$T$1),$T$1,""))))</f>
        <v>2023 3rd Domestic Trial</v>
      </c>
      <c r="M4" s="9">
        <f t="shared" ref="M4:M9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44.93</v>
      </c>
      <c r="N4" s="9" t="str">
        <f t="shared" ref="N4:N9" si="9">IF(M4=0,"",IF(AND(OR(M4=DA4,M4=CY4),$J4&lt;&gt;$CB$1),$CB$1,IF(AND(OR(M4=BW4,M4=BU4),$J4&lt;&gt;$AX$1),$AX$1,IF(AND(OR(M4=AS4,M4=AQ4),$J4&lt;&gt;$T$1),$T$1,""))))</f>
        <v>2024 Nationals</v>
      </c>
      <c r="O4" s="9">
        <f t="shared" ref="O4:O9" si="10">MAX(AV4,BZ4,DD4)</f>
        <v>50.68</v>
      </c>
      <c r="P4" s="9" t="str">
        <f t="shared" ref="P4:P9" si="11">IF(O4=0,"",IF(O4=DD4,$CB$1,IF(O4=BZ4,$AX$1,IF(O4=AV4,$T$1,""))))</f>
        <v>2024 Elite Canada</v>
      </c>
      <c r="Q4" s="9">
        <f t="shared" ref="Q4:Q9" si="12">IF(MAX(DF4,DG4,DH4,DI4)&gt;0,MAX(DF4,DG4,DH4,DI4),"")</f>
        <v>4.9100000000000037</v>
      </c>
      <c r="R4" s="14" t="str">
        <f t="shared" ref="R4:R9" si="13">IF(Q4="","",IF(Q4=DF4,"(Vol 1)",IF(Q4=DG4,"(Vol 2)",IF(Q4=DH4,"(Prelim)",IF(Q4=DI4,"(Final)")))))</f>
        <v>(Vol 2)</v>
      </c>
      <c r="S4" s="9" t="str">
        <f t="shared" ref="S4:S9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16.5</v>
      </c>
      <c r="U4" s="27">
        <v>9.5</v>
      </c>
      <c r="V4" s="27">
        <v>0</v>
      </c>
      <c r="W4" s="27">
        <v>14.28</v>
      </c>
      <c r="X4" s="27">
        <v>0</v>
      </c>
      <c r="Y4" s="27">
        <v>10.7</v>
      </c>
      <c r="Z4" s="27">
        <v>6.9</v>
      </c>
      <c r="AA4" s="27">
        <v>9.3999999999999986</v>
      </c>
      <c r="AB4" s="27">
        <v>11.12</v>
      </c>
      <c r="AC4" s="27">
        <v>0</v>
      </c>
      <c r="AD4" s="27"/>
      <c r="AE4" s="27"/>
      <c r="AF4" s="27"/>
      <c r="AG4" s="27"/>
      <c r="AH4" s="27"/>
      <c r="AI4" s="27">
        <v>14.1</v>
      </c>
      <c r="AJ4" s="27">
        <v>8.6999999999999993</v>
      </c>
      <c r="AK4" s="27">
        <v>12.299999999999999</v>
      </c>
      <c r="AL4" s="27">
        <v>14.13</v>
      </c>
      <c r="AM4" s="27">
        <v>0</v>
      </c>
      <c r="AN4" s="32"/>
      <c r="AO4" s="7">
        <f t="shared" ref="AO4:AO9" si="15">IF(SUM(T4:W4)-X4&gt;0,SUM(T4:W4)-X4,"")</f>
        <v>40.28</v>
      </c>
      <c r="AP4" s="7">
        <f t="shared" ref="AP4:AP9" si="16">IF(AA4&gt;0,AA4,"")</f>
        <v>9.3999999999999986</v>
      </c>
      <c r="AQ4" s="7">
        <f t="shared" ref="AQ4:AQ9" si="17">IF(SUM(Y4:AB4)-AC4&gt;0,SUM(Y4:AB4)-AC4,"")</f>
        <v>38.119999999999997</v>
      </c>
      <c r="AR4" s="7" t="str">
        <f t="shared" ref="AR4:AR9" si="18">IF(AF4&gt;0,AF4,"")</f>
        <v/>
      </c>
      <c r="AS4" s="7" t="str">
        <f t="shared" ref="AS4:AS9" si="19">IF(SUM(AD4:AG4)-AH4&gt;0,SUM(AD4:AG4)-AH4,"")</f>
        <v/>
      </c>
      <c r="AT4" s="7">
        <f t="shared" ref="AT4:AT9" si="20">IF(AO4="",IF(MAX(AQ4,AS4)&gt;0,MAX(AQ4,AS4),""),MAX(AQ4,AS4)+AO4)</f>
        <v>78.400000000000006</v>
      </c>
      <c r="AU4" s="7">
        <f t="shared" ref="AU4:AU9" si="21">IF(AK4&gt;0,AK4,"")</f>
        <v>12.299999999999999</v>
      </c>
      <c r="AV4" s="7">
        <f t="shared" ref="AV4:AV9" si="22">IF(SUM(AI4:AL4)-AM4&gt;0,SUM(AI4:AL4)-AM4,"")</f>
        <v>49.23</v>
      </c>
      <c r="AW4" s="7">
        <f t="shared" ref="AW4:AW9" si="23">IF(SUM(AT4,AV4)&gt;0,SUM(AT4,AV4),"")</f>
        <v>127.63</v>
      </c>
      <c r="AX4" s="31">
        <v>16.8</v>
      </c>
      <c r="AY4" s="31">
        <v>9.6999999999999993</v>
      </c>
      <c r="AZ4" s="31">
        <v>0</v>
      </c>
      <c r="BA4" s="31">
        <v>14.38</v>
      </c>
      <c r="BB4" s="31">
        <v>0</v>
      </c>
      <c r="BC4" s="31">
        <v>14.2</v>
      </c>
      <c r="BD4" s="31">
        <v>9.3000000000000007</v>
      </c>
      <c r="BE4" s="31">
        <v>12.3</v>
      </c>
      <c r="BF4" s="31">
        <v>13.85</v>
      </c>
      <c r="BG4" s="31">
        <v>0</v>
      </c>
      <c r="BH4" s="31"/>
      <c r="BI4" s="31"/>
      <c r="BJ4" s="31"/>
      <c r="BK4" s="31"/>
      <c r="BL4" s="31"/>
      <c r="BM4" s="31">
        <v>14.7</v>
      </c>
      <c r="BN4" s="31">
        <v>9.8000000000000007</v>
      </c>
      <c r="BO4" s="31">
        <v>12.3</v>
      </c>
      <c r="BP4" s="31">
        <v>13.88</v>
      </c>
      <c r="BQ4" s="31">
        <v>0</v>
      </c>
      <c r="BR4" s="33"/>
      <c r="BS4" s="9">
        <f t="shared" ref="BS4:BS9" si="24">IF(SUM(AX4:BA4)-BB4&gt;0,SUM(AX4:BA4)-BB4,"")</f>
        <v>40.880000000000003</v>
      </c>
      <c r="BT4" s="9">
        <f t="shared" ref="BT4:BT9" si="25">IF(BE4&gt;0,BE4,"")</f>
        <v>12.3</v>
      </c>
      <c r="BU4" s="9">
        <f t="shared" ref="BU4:BU9" si="26">IF(SUM(BC4:BF4)-BG4&gt;0,SUM(BC4:BF4)-BG4,"")</f>
        <v>49.65</v>
      </c>
      <c r="BV4" s="9" t="str">
        <f t="shared" ref="BV4:BV9" si="27">IF(BJ4&gt;0,BJ4,"")</f>
        <v/>
      </c>
      <c r="BW4" s="9" t="str">
        <f t="shared" ref="BW4:BW9" si="28">IF(SUM(BH4:BK4)-BL4&gt;0,SUM(BH4:BK4)-BL4,"")</f>
        <v/>
      </c>
      <c r="BX4" s="9">
        <f t="shared" ref="BX4:BX9" si="29">IF(BS4="",IF(MAX(BU4,BW4)&gt;0,MAX(BU4,BW4),""),MAX(BU4,BW4)+BS4)</f>
        <v>90.53</v>
      </c>
      <c r="BY4" s="9">
        <f t="shared" ref="BY4:BY9" si="30">IF(BO4&gt;0,BO4,"")</f>
        <v>12.3</v>
      </c>
      <c r="BZ4" s="9">
        <f t="shared" ref="BZ4:BZ9" si="31">IF(SUM(BM4:BP4)-BQ4&gt;0,SUM(BM4:BP4)-BQ4,"")</f>
        <v>50.68</v>
      </c>
      <c r="CA4" s="9">
        <f t="shared" ref="CA4:CA9" si="32">IF(SUM(BX4,BZ4)&gt;0,SUM(BX4,BZ4),"")</f>
        <v>141.21</v>
      </c>
      <c r="CB4" s="27">
        <v>13.1</v>
      </c>
      <c r="CC4" s="27">
        <v>7.2</v>
      </c>
      <c r="CD4" s="27">
        <v>0</v>
      </c>
      <c r="CE4" s="27">
        <v>11.49</v>
      </c>
      <c r="CF4" s="27">
        <v>2</v>
      </c>
      <c r="CG4" s="27">
        <v>14</v>
      </c>
      <c r="CH4" s="27">
        <v>8.9</v>
      </c>
      <c r="CI4" s="27">
        <v>9</v>
      </c>
      <c r="CJ4" s="27">
        <v>13.53</v>
      </c>
      <c r="CK4" s="27">
        <v>0.5</v>
      </c>
      <c r="CL4" s="27"/>
      <c r="CM4" s="27"/>
      <c r="CN4" s="27"/>
      <c r="CO4" s="27"/>
      <c r="CP4" s="27"/>
      <c r="CQ4" s="27">
        <v>15.5</v>
      </c>
      <c r="CR4" s="27">
        <v>9.1</v>
      </c>
      <c r="CS4" s="27">
        <v>11.4</v>
      </c>
      <c r="CT4" s="27">
        <v>13.67</v>
      </c>
      <c r="CU4" s="27">
        <v>0</v>
      </c>
      <c r="CV4" s="32"/>
      <c r="CW4" s="7">
        <f t="shared" ref="CW4:CW9" si="33">IF(SUM(CB4:CE4)-CF4&gt;0,SUM(CB4:CE4)-CF4,"")</f>
        <v>29.79</v>
      </c>
      <c r="CX4" s="7">
        <f t="shared" ref="CX4:CX9" si="34">IF(CI4&gt;0,CI4,"")</f>
        <v>9</v>
      </c>
      <c r="CY4" s="7">
        <f t="shared" ref="CY4:CY9" si="35">IF(SUM(CG4:CJ4)-CK4&gt;0,SUM(CG4:CJ4)-CK4,"")</f>
        <v>44.93</v>
      </c>
      <c r="CZ4" s="7" t="str">
        <f t="shared" ref="CZ4:CZ9" si="36">IF(CN4&gt;0,CN4,"")</f>
        <v/>
      </c>
      <c r="DA4" s="7" t="str">
        <f t="shared" ref="DA4:DA9" si="37">IF(SUM(CL4:CO4)-CP4&gt;0,SUM(CL4:CO4)-CP4,"")</f>
        <v/>
      </c>
      <c r="DB4" s="7">
        <f t="shared" ref="DB4:DB9" si="38">IF(CW4="",IF(MAX(CY4,DA4)&gt;0,MAX(CY4,DA4),""),MAX(CY4,DA4)+CW4)</f>
        <v>74.72</v>
      </c>
      <c r="DC4" s="7">
        <f t="shared" ref="DC4:DC9" si="39">IF(CS4&gt;0,CS4,"")</f>
        <v>11.4</v>
      </c>
      <c r="DD4" s="7">
        <f t="shared" ref="DD4:DD9" si="40">IF(SUM(CQ4:CT4)-CU4&gt;0,SUM(CQ4:CT4)-CU4,"")</f>
        <v>49.67</v>
      </c>
      <c r="DE4" s="7">
        <f t="shared" ref="DE4:DE9" si="41">IF(SUM(DB4,DD4)&gt;0,SUM(DB4,DD4),"")</f>
        <v>124.39</v>
      </c>
      <c r="DF4" s="13">
        <f t="shared" ref="DF4:DF9" si="42">IF(MAX(DZ4,EV4,FR4,GN4,HJ4,IF4,JB4,JX4,KT4,LP4,ML4,NH4)-IF(K4="",0,K4)&gt;0.001,MAX(DZ4,EV4,FR4,GN4,HJ4,IF4,JB4,JX4,KT4,LP4,ML4,NH4)-IF(K4="",0,K4),"")</f>
        <v>0.34000000000000341</v>
      </c>
      <c r="DG4" s="13">
        <f t="shared" ref="DG4:DG9" si="43">IF(MAX(EA4,EW4,FS4,GO4,HK4,IG4,JC4,JY4,KU4,LQ4,MM4,NI4)-IF(M4="",0,M4)&gt;0.001,MAX(EA4,EW4,FS4,GO4,HK4,IG4,JC4,JY4,KU4,LQ4,MM4,NI4)-IF(M4="",0,M4),"")</f>
        <v>4.9100000000000037</v>
      </c>
      <c r="DH4" s="13" t="str">
        <f t="shared" ref="DH4:DH9" si="44">IF(MAX(EB4,EX4,FT4,GP4,HL4,IH4,JD4,JZ4,KV4,LR4,MN4,NJ4)-IF(I4="",0,I4)&gt;0.001,MAX(EB4,EX4,FT4,GP4,HL4,IH4,JD4,JZ4,KV4,LR4,MN4,NJ4)-IF(I4="",0,I4),"")</f>
        <v/>
      </c>
      <c r="DI4" s="13" t="str">
        <f t="shared" ref="DI4:DI9" si="45">IF(MAX(ED4,EZ4,FV4,GR4,HN4,IJ4,JF4,KB4,KX4,LT4,MP4,NL4)-IF(O4="",0,O4)&gt;0.001,MAX(ED4,EZ4,FV4,GR4,HN4,IJ4,JF4,KB4,KX4,LT4,MP4,NL4)-IF(O4="",0,O4),"")</f>
        <v/>
      </c>
      <c r="DJ4" s="18">
        <v>15.5</v>
      </c>
      <c r="DK4" s="18">
        <v>9.1999999999999993</v>
      </c>
      <c r="DL4" s="18">
        <v>0</v>
      </c>
      <c r="DM4" s="18">
        <v>14.38</v>
      </c>
      <c r="DN4" s="18">
        <v>0</v>
      </c>
      <c r="DO4" s="18">
        <v>12.6</v>
      </c>
      <c r="DP4" s="18">
        <v>8.8000000000000007</v>
      </c>
      <c r="DQ4" s="18">
        <v>11.4</v>
      </c>
      <c r="DR4" s="18">
        <v>13.72</v>
      </c>
      <c r="DS4" s="18">
        <v>0</v>
      </c>
      <c r="DT4" s="18"/>
      <c r="DU4" s="18"/>
      <c r="DV4" s="18"/>
      <c r="DW4" s="18"/>
      <c r="DX4" s="18"/>
      <c r="DY4" s="7">
        <f t="shared" ref="DY4:DY9" si="46">IF(DQ4&gt;0,DQ4,"")</f>
        <v>11.4</v>
      </c>
      <c r="DZ4" s="7">
        <f t="shared" ref="DZ4:DZ9" si="47">IF(SUM(DJ4:DM4)-DN4&gt;0,SUM(DJ4:DM4)-DN4,"")</f>
        <v>39.08</v>
      </c>
      <c r="EA4" s="7">
        <f t="shared" ref="EA4:EA9" si="48">IF(SUM(DO4:DR4)-DS4&gt;0,SUM(DO4:DR4)-DS4,"")</f>
        <v>46.519999999999996</v>
      </c>
      <c r="EB4" s="7">
        <f t="shared" ref="EB4:EB9" si="49">IF(SUM(DZ4:EA4)&gt;0,SUM(DZ4:EA4),"")</f>
        <v>85.6</v>
      </c>
      <c r="EC4" s="7" t="str">
        <f t="shared" ref="EC4:EC9" si="50">IF(DV4&gt;0,DV4,"")</f>
        <v/>
      </c>
      <c r="ED4" s="7" t="str">
        <f t="shared" ref="ED4:ED9" si="51">IF(SUM(DT4:DW4)-DX4&gt;0,SUM(DT4:DW4)-DX4,"")</f>
        <v/>
      </c>
      <c r="EE4" s="7">
        <f t="shared" ref="EE4:EE9" si="52">IF(SUM(EB4,ED4)&gt;0,SUM(EB4,ED4),"")</f>
        <v>85.6</v>
      </c>
      <c r="EF4" s="19">
        <v>16.600000000000001</v>
      </c>
      <c r="EG4" s="19">
        <v>9.6999999999999993</v>
      </c>
      <c r="EH4" s="19">
        <v>0</v>
      </c>
      <c r="EI4" s="19">
        <v>14.32</v>
      </c>
      <c r="EJ4" s="19">
        <v>0</v>
      </c>
      <c r="EK4" s="19">
        <v>14.3</v>
      </c>
      <c r="EL4" s="19">
        <v>9.3000000000000007</v>
      </c>
      <c r="EM4" s="19">
        <v>12.3</v>
      </c>
      <c r="EN4" s="19">
        <v>13.94</v>
      </c>
      <c r="EO4" s="19">
        <v>0</v>
      </c>
      <c r="EP4" s="19">
        <v>10.1</v>
      </c>
      <c r="EQ4" s="19">
        <v>6.4</v>
      </c>
      <c r="ER4" s="19">
        <v>8.4</v>
      </c>
      <c r="ES4" s="19">
        <v>9.75</v>
      </c>
      <c r="ET4" s="19">
        <v>0</v>
      </c>
      <c r="EU4" s="9">
        <f t="shared" ref="EU4:EU9" si="53">IF(EM4&gt;0,EM4,"")</f>
        <v>12.3</v>
      </c>
      <c r="EV4" s="9">
        <f t="shared" ref="EV4:EV9" si="54">IF(SUM(EF4:EI4)-EJ4&gt;0,SUM(EF4:EI4)-EJ4,"")</f>
        <v>40.620000000000005</v>
      </c>
      <c r="EW4" s="9">
        <f t="shared" ref="EW4:EW9" si="55">IF(SUM(EK4:EN4)-EO4&gt;0,SUM(EK4:EN4)-EO4,"")</f>
        <v>49.84</v>
      </c>
      <c r="EX4" s="9">
        <f t="shared" ref="EX4:EX9" si="56">IF(SUM(EV4:EW4)&gt;0,SUM(EV4:EW4),"")</f>
        <v>90.460000000000008</v>
      </c>
      <c r="EY4" s="9">
        <f t="shared" ref="EY4:EY9" si="57">IF(ER4&gt;0,ER4,"")</f>
        <v>8.4</v>
      </c>
      <c r="EZ4" s="9">
        <f t="shared" ref="EZ4:EZ9" si="58">IF(SUM(EP4:ES4)-ET4&gt;0,SUM(EP4:ES4)-ET4,"")</f>
        <v>34.65</v>
      </c>
      <c r="FA4" s="9">
        <f t="shared" ref="FA4:FA9" si="59">IF(SUM(EX4,EZ4)&gt;0,SUM(EX4,EZ4),"")</f>
        <v>125.11000000000001</v>
      </c>
      <c r="FB4" s="18">
        <v>16.3</v>
      </c>
      <c r="FC4" s="18">
        <v>9.5</v>
      </c>
      <c r="FD4" s="18">
        <v>0</v>
      </c>
      <c r="FE4" s="18">
        <v>14.43</v>
      </c>
      <c r="FF4" s="18">
        <v>0</v>
      </c>
      <c r="FG4" s="18">
        <v>14.1</v>
      </c>
      <c r="FH4" s="18">
        <v>9.4</v>
      </c>
      <c r="FI4" s="18">
        <v>10.7</v>
      </c>
      <c r="FJ4" s="18">
        <v>14.18</v>
      </c>
      <c r="FK4" s="18">
        <v>0</v>
      </c>
      <c r="FL4" s="18">
        <v>14.7</v>
      </c>
      <c r="FM4" s="18">
        <v>9.3000000000000007</v>
      </c>
      <c r="FN4" s="18">
        <v>11.6</v>
      </c>
      <c r="FO4" s="18">
        <v>14.18</v>
      </c>
      <c r="FP4" s="18">
        <v>0</v>
      </c>
      <c r="FQ4" s="7">
        <f t="shared" ref="FQ4:FQ9" si="60">IF(FI4&gt;0,FI4,"")</f>
        <v>10.7</v>
      </c>
      <c r="FR4" s="7">
        <f t="shared" ref="FR4:FR9" si="61">IF(SUM(FB4:FE4)-FF4&gt;0,SUM(FB4:FE4)-FF4,"")</f>
        <v>40.230000000000004</v>
      </c>
      <c r="FS4" s="7">
        <f t="shared" ref="FS4:FS9" si="62">IF(SUM(FG4:FJ4)-FK4&gt;0,SUM(FG4:FJ4)-FK4,"")</f>
        <v>48.38</v>
      </c>
      <c r="FT4" s="7">
        <f t="shared" ref="FT4:FT9" si="63">IF(SUM(FR4:FS4)&gt;0,SUM(FR4:FS4),"")</f>
        <v>88.610000000000014</v>
      </c>
      <c r="FU4" s="7">
        <f t="shared" ref="FU4:FU9" si="64">IF(FN4&gt;0,FN4,"")</f>
        <v>11.6</v>
      </c>
      <c r="FV4" s="7">
        <f t="shared" ref="FV4:FV9" si="65">IF(SUM(FL4:FO4)-FP4&gt;0,SUM(FL4:FO4)-FP4,"")</f>
        <v>49.78</v>
      </c>
      <c r="FW4" s="7">
        <f t="shared" ref="FW4:FW9" si="66">IF(SUM(FT4,FV4)&gt;0,SUM(FT4,FV4),"")</f>
        <v>138.39000000000001</v>
      </c>
      <c r="FX4" s="19">
        <v>16.100000000000001</v>
      </c>
      <c r="FY4" s="19">
        <v>9.8000000000000007</v>
      </c>
      <c r="FZ4" s="19">
        <v>0</v>
      </c>
      <c r="GA4" s="19">
        <v>14.11</v>
      </c>
      <c r="GB4" s="19">
        <v>0</v>
      </c>
      <c r="GC4" s="19">
        <v>1.4</v>
      </c>
      <c r="GD4" s="19">
        <v>0.7</v>
      </c>
      <c r="GE4" s="19">
        <v>1.5</v>
      </c>
      <c r="GF4" s="19">
        <v>1.46</v>
      </c>
      <c r="GG4" s="19">
        <v>0</v>
      </c>
      <c r="GH4" s="19"/>
      <c r="GI4" s="19"/>
      <c r="GJ4" s="19"/>
      <c r="GK4" s="19"/>
      <c r="GL4" s="19"/>
      <c r="GM4" s="9">
        <f t="shared" ref="GM4:GM9" si="67">IF(GE4&gt;0,GE4,"")</f>
        <v>1.5</v>
      </c>
      <c r="GN4" s="9">
        <f t="shared" ref="GN4:GN9" si="68">IF(SUM(FX4:GA4)-GB4&gt;0,SUM(FX4:GA4)-GB4,"")</f>
        <v>40.010000000000005</v>
      </c>
      <c r="GO4" s="9">
        <f t="shared" ref="GO4:GO9" si="69">IF(SUM(GC4:GF4)-GG4&gt;0,SUM(GC4:GF4)-GG4,"")</f>
        <v>5.0599999999999996</v>
      </c>
      <c r="GP4" s="9">
        <f t="shared" ref="GP4:GP9" si="70">IF(SUM(GN4:GO4)&gt;0,SUM(GN4:GO4),"")</f>
        <v>45.070000000000007</v>
      </c>
      <c r="GQ4" s="9" t="str">
        <f t="shared" ref="GQ4:GQ9" si="71">IF(GJ4&gt;0,GJ4,"")</f>
        <v/>
      </c>
      <c r="GR4" s="9" t="str">
        <f t="shared" ref="GR4:GR9" si="72">IF(SUM(GH4:GK4)-GL4&gt;0,SUM(GH4:GK4)-GL4,"")</f>
        <v/>
      </c>
      <c r="GS4" s="9">
        <f t="shared" ref="GS4:GS9" si="73">IF(SUM(GP4,GR4)&gt;0,SUM(GP4,GR4),"")</f>
        <v>45.070000000000007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9" si="74">IF(HA4&gt;0,HA4,"")</f>
        <v/>
      </c>
      <c r="HJ4" s="7" t="str">
        <f t="shared" ref="HJ4:HJ9" si="75">IF(SUM(GT4:GW4)-GX4&gt;0,SUM(GT4:GW4)-GX4,"")</f>
        <v/>
      </c>
      <c r="HK4" s="7" t="str">
        <f t="shared" ref="HK4:HK9" si="76">IF(SUM(GY4:HB4)-HC4&gt;0,SUM(GY4:HB4)-HC4,"")</f>
        <v/>
      </c>
      <c r="HL4" s="7" t="str">
        <f t="shared" ref="HL4:HL9" si="77">IF(SUM(HJ4:HK4)&gt;0,SUM(HJ4:HK4),"")</f>
        <v/>
      </c>
      <c r="HM4" s="7" t="str">
        <f t="shared" ref="HM4:HM9" si="78">IF(HF4&gt;0,HF4,"")</f>
        <v/>
      </c>
      <c r="HN4" s="7" t="str">
        <f t="shared" ref="HN4:HN9" si="79">IF(SUM(HD4:HG4)-HH4&gt;0,SUM(HD4:HG4)-HH4,"")</f>
        <v/>
      </c>
      <c r="HO4" s="7" t="str">
        <f t="shared" ref="HO4:HO9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9" si="81">IF(HW4&gt;0,HW4,"")</f>
        <v/>
      </c>
      <c r="IF4" s="9" t="str">
        <f t="shared" ref="IF4:IF9" si="82">IF(SUM(HP4:HS4)-HT4&gt;0,SUM(HP4:HS4)-HT4,"")</f>
        <v/>
      </c>
      <c r="IG4" s="9" t="str">
        <f t="shared" ref="IG4:IG9" si="83">IF(SUM(HU4:HX4)-HY4&gt;0,SUM(HU4:HX4)-HY4,"")</f>
        <v/>
      </c>
      <c r="IH4" s="9" t="str">
        <f t="shared" ref="IH4:IH9" si="84">IF(SUM(IF4:IG4)&gt;0,SUM(IF4:IG4),"")</f>
        <v/>
      </c>
      <c r="II4" s="9" t="str">
        <f t="shared" ref="II4:II9" si="85">IF(IB4&gt;0,IB4,"")</f>
        <v/>
      </c>
      <c r="IJ4" s="9" t="str">
        <f t="shared" ref="IJ4:IJ9" si="86">IF(SUM(HZ4:IC4)-ID4&gt;0,SUM(HZ4:IC4)-ID4,"")</f>
        <v/>
      </c>
      <c r="IK4" s="9" t="str">
        <f t="shared" ref="IK4:IK9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9" si="88">IF(IS4&gt;0,IS4,"")</f>
        <v/>
      </c>
      <c r="JB4" s="7" t="str">
        <f t="shared" ref="JB4:JB9" si="89">IF(SUM(IL4:IO4)-IP4&gt;0,SUM(IL4:IO4)-IP4,"")</f>
        <v/>
      </c>
      <c r="JC4" s="7" t="str">
        <f t="shared" ref="JC4:JC9" si="90">IF(SUM(IQ4:IT4)-IU4&gt;0,SUM(IQ4:IT4)-IU4,"")</f>
        <v/>
      </c>
      <c r="JD4" s="7" t="str">
        <f t="shared" ref="JD4:JD9" si="91">IF(SUM(JB4:JC4)&gt;0,SUM(JB4:JC4),"")</f>
        <v/>
      </c>
      <c r="JE4" s="7" t="str">
        <f t="shared" ref="JE4:JE9" si="92">IF(IX4&gt;0,IX4,"")</f>
        <v/>
      </c>
      <c r="JF4" s="7" t="str">
        <f t="shared" ref="JF4:JF9" si="93">IF(SUM(IV4:IY4)-IZ4&gt;0,SUM(IV4:IY4)-IZ4,"")</f>
        <v/>
      </c>
      <c r="JG4" s="7" t="str">
        <f t="shared" ref="JG4:JG9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9" si="95">IF(JO4&gt;0,JO4,"")</f>
        <v/>
      </c>
      <c r="JX4" s="9" t="str">
        <f t="shared" ref="JX4:JX9" si="96">IF(SUM(JH4:JK4)-JL4&gt;0,SUM(JH4:JK4)-JL4,"")</f>
        <v/>
      </c>
      <c r="JY4" s="9" t="str">
        <f t="shared" ref="JY4:JY9" si="97">IF(SUM(JM4:JP4)-JQ4&gt;0,SUM(JM4:JP4)-JQ4,"")</f>
        <v/>
      </c>
      <c r="JZ4" s="9" t="str">
        <f t="shared" ref="JZ4:JZ9" si="98">IF(SUM(JX4:JY4)&gt;0,SUM(JX4:JY4),"")</f>
        <v/>
      </c>
      <c r="KA4" s="9" t="str">
        <f t="shared" ref="KA4:KA9" si="99">IF(JT4&gt;0,JT4,"")</f>
        <v/>
      </c>
      <c r="KB4" s="9" t="str">
        <f t="shared" ref="KB4:KB9" si="100">IF(SUM(JR4:JU4)-JV4&gt;0,SUM(JR4:JU4)-JV4,"")</f>
        <v/>
      </c>
      <c r="KC4" s="9" t="str">
        <f t="shared" ref="KC4:KC9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9" si="102">IF(KK4&gt;0,KK4,"")</f>
        <v/>
      </c>
      <c r="KT4" s="7" t="str">
        <f t="shared" ref="KT4:KT9" si="103">IF(SUM(KD4:KG4)-KH4&gt;0,SUM(KD4:KG4)-KH4,"")</f>
        <v/>
      </c>
      <c r="KU4" s="7" t="str">
        <f t="shared" ref="KU4:KU9" si="104">IF(SUM(KI4:KL4)-KM4&gt;0,SUM(KI4:KL4)-KM4,"")</f>
        <v/>
      </c>
      <c r="KV4" s="7" t="str">
        <f t="shared" ref="KV4:KV9" si="105">IF(SUM(KT4:KU4)&gt;0,SUM(KT4:KU4),"")</f>
        <v/>
      </c>
      <c r="KW4" s="7" t="str">
        <f t="shared" ref="KW4:KW9" si="106">IF(KP4&gt;0,KP4,"")</f>
        <v/>
      </c>
      <c r="KX4" s="7" t="str">
        <f t="shared" ref="KX4:KX9" si="107">IF(SUM(KN4:KQ4)-KR4&gt;0,SUM(KN4:KQ4)-KR4,"")</f>
        <v/>
      </c>
      <c r="KY4" s="7" t="str">
        <f t="shared" ref="KY4:KY9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9" si="109">IF(LG4&gt;0,LG4,"")</f>
        <v/>
      </c>
      <c r="LP4" s="9" t="str">
        <f t="shared" ref="LP4:LP9" si="110">IF(SUM(KZ4:LC4)-LD4&gt;0,SUM(KZ4:LC4)-LD4,"")</f>
        <v/>
      </c>
      <c r="LQ4" s="9" t="str">
        <f t="shared" ref="LQ4:LQ9" si="111">IF(SUM(LE4:LH4)-LI4&gt;0,SUM(LE4:LH4)-LI4,"")</f>
        <v/>
      </c>
      <c r="LR4" s="9" t="str">
        <f t="shared" ref="LR4:LR9" si="112">IF(SUM(LP4:LQ4)&gt;0,SUM(LP4:LQ4),"")</f>
        <v/>
      </c>
      <c r="LS4" s="9" t="str">
        <f t="shared" ref="LS4:LS9" si="113">IF(LL4&gt;0,LL4,"")</f>
        <v/>
      </c>
      <c r="LT4" s="9" t="str">
        <f t="shared" ref="LT4:LT9" si="114">IF(SUM(LJ4:LM4)-LN4&gt;0,SUM(LJ4:LM4)-LN4,"")</f>
        <v/>
      </c>
      <c r="LU4" s="9" t="str">
        <f t="shared" ref="LU4:LU9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9" si="116">IF(MC4&gt;0,MC4,"")</f>
        <v/>
      </c>
      <c r="ML4" s="7" t="str">
        <f t="shared" ref="ML4:ML9" si="117">IF(SUM(LV4:LY4)-LZ4&gt;0,SUM(LV4:LY4)-LZ4,"")</f>
        <v/>
      </c>
      <c r="MM4" s="7" t="str">
        <f t="shared" ref="MM4:MM9" si="118">IF(SUM(MA4:MD4)-ME4&gt;0,SUM(MA4:MD4)-ME4,"")</f>
        <v/>
      </c>
      <c r="MN4" s="7" t="str">
        <f t="shared" ref="MN4:MN9" si="119">IF(SUM(ML4:MM4)&gt;0,SUM(ML4:MM4),"")</f>
        <v/>
      </c>
      <c r="MO4" s="7" t="str">
        <f t="shared" ref="MO4:MO9" si="120">IF(MH4&gt;0,MH4,"")</f>
        <v/>
      </c>
      <c r="MP4" s="7" t="str">
        <f t="shared" ref="MP4:MP9" si="121">IF(SUM(MF4:MI4)-MJ4&gt;0,SUM(MF4:MI4)-MJ4,"")</f>
        <v/>
      </c>
      <c r="MQ4" s="7" t="str">
        <f t="shared" ref="MQ4:MQ9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9" si="123">IF(MY4&gt;0,MY4,"")</f>
        <v/>
      </c>
      <c r="NH4" s="9" t="str">
        <f t="shared" ref="NH4:NH9" si="124">IF(SUM(MR4:MU4)-MV4&gt;0,SUM(MR4:MU4)-MV4,"")</f>
        <v/>
      </c>
      <c r="NI4" s="9" t="str">
        <f t="shared" ref="NI4:NI9" si="125">IF(SUM(MW4:MZ4)-NA4&gt;0,SUM(MW4:MZ4)-NA4,"")</f>
        <v/>
      </c>
      <c r="NJ4" s="9" t="str">
        <f t="shared" ref="NJ4:NJ9" si="126">IF(SUM(NH4:NI4)&gt;0,SUM(NH4:NI4),"")</f>
        <v/>
      </c>
      <c r="NK4" s="9" t="str">
        <f t="shared" ref="NK4:NK9" si="127">IF(ND4&gt;0,ND4,"")</f>
        <v/>
      </c>
      <c r="NL4" s="9" t="str">
        <f t="shared" ref="NL4:NL9" si="128">IF(SUM(NB4:NE4)-NF4&gt;0,SUM(NB4:NE4)-NF4,"")</f>
        <v/>
      </c>
      <c r="NM4" s="9" t="str">
        <f t="shared" ref="NM4:NM9" si="129">IF(SUM(NJ4,NL4)&gt;0,SUM(NJ4,NL4),"")</f>
        <v/>
      </c>
      <c r="NN4" s="27">
        <f t="shared" ref="NN4:NW9" si="130">IF($CV4="P",CB4,(CB4+AX4)/2)</f>
        <v>14.95</v>
      </c>
      <c r="NO4" s="27">
        <f t="shared" si="130"/>
        <v>8.4499999999999993</v>
      </c>
      <c r="NP4" s="27">
        <f t="shared" si="130"/>
        <v>0</v>
      </c>
      <c r="NQ4" s="27">
        <f t="shared" si="130"/>
        <v>12.935</v>
      </c>
      <c r="NR4" s="27">
        <f t="shared" si="130"/>
        <v>1</v>
      </c>
      <c r="NS4" s="27">
        <f t="shared" si="130"/>
        <v>14.1</v>
      </c>
      <c r="NT4" s="27">
        <f t="shared" si="130"/>
        <v>9.1000000000000014</v>
      </c>
      <c r="NU4" s="27">
        <f t="shared" si="130"/>
        <v>10.65</v>
      </c>
      <c r="NV4" s="27">
        <f t="shared" si="130"/>
        <v>13.69</v>
      </c>
      <c r="NW4" s="27">
        <f t="shared" si="130"/>
        <v>0.25</v>
      </c>
      <c r="NX4" s="27">
        <f t="shared" ref="NX4:OG9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15.1</v>
      </c>
      <c r="OD4" s="27">
        <f t="shared" si="131"/>
        <v>9.4499999999999993</v>
      </c>
      <c r="OE4" s="27">
        <f t="shared" si="131"/>
        <v>11.850000000000001</v>
      </c>
      <c r="OF4" s="27">
        <f t="shared" si="131"/>
        <v>13.775</v>
      </c>
      <c r="OG4" s="27">
        <f t="shared" si="131"/>
        <v>0</v>
      </c>
      <c r="OH4" s="32" t="s">
        <v>44</v>
      </c>
      <c r="OI4" s="7">
        <f t="shared" ref="OI4:OI9" si="132">IF(SUM(NN4:NQ4)-NR4&gt;0,SUM(NN4:NQ4)-NR4,"")</f>
        <v>35.335000000000001</v>
      </c>
      <c r="OJ4" s="7">
        <f t="shared" ref="OJ4:OJ9" si="133">IF(NU4&gt;0,NU4,"")</f>
        <v>10.65</v>
      </c>
      <c r="OK4" s="7">
        <f t="shared" ref="OK4:OK9" si="134">IF(SUM(NS4:NV4)-NW4&gt;0,SUM(NS4:NV4)-NW4,"")</f>
        <v>47.29</v>
      </c>
      <c r="OL4" s="7" t="str">
        <f t="shared" ref="OL4:OL9" si="135">IF(NZ4&gt;0,NZ4,"")</f>
        <v/>
      </c>
      <c r="OM4" s="7" t="str">
        <f t="shared" ref="OM4:OM9" si="136">IF(SUM(NX4:OA4)-OB4&gt;0,SUM(NX4:OA4)-OB4,"")</f>
        <v/>
      </c>
      <c r="ON4" s="7">
        <f t="shared" ref="ON4:ON9" si="137">IF(OR(OI4&lt;&gt;"",OK4&lt;&gt;"",OM4&lt;&gt;""),OI4+MAX(OK4,OM4),"")</f>
        <v>82.625</v>
      </c>
      <c r="OO4" s="7">
        <f t="shared" ref="OO4:OO9" si="138">IF(OE4&gt;0,OE4,"")</f>
        <v>11.850000000000001</v>
      </c>
      <c r="OP4" s="7">
        <f t="shared" ref="OP4" si="139">IF(SUM(OC4:OF4)-OG4&gt;0,SUM(OC4:OF4)-OG4,"")</f>
        <v>50.174999999999997</v>
      </c>
      <c r="OQ4" s="7">
        <f t="shared" ref="OQ4" si="140">IF(SUM(ON4,OP4)&gt;0,SUM(ON4,OP4),"")</f>
        <v>132.80000000000001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87</v>
      </c>
      <c r="C5" s="4" t="s">
        <v>3</v>
      </c>
      <c r="D5" s="4">
        <v>2009</v>
      </c>
      <c r="E5" s="10">
        <f t="shared" si="0"/>
        <v>229.29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 t="shared" si="4"/>
        <v>88.990000000000009</v>
      </c>
      <c r="J5" s="9" t="str">
        <f t="shared" si="5"/>
        <v>2024 Elite Canada</v>
      </c>
      <c r="K5" s="9">
        <f t="shared" si="6"/>
        <v>41.68</v>
      </c>
      <c r="L5" s="9" t="str">
        <f t="shared" si="7"/>
        <v>2023 3rd Domestic Trial</v>
      </c>
      <c r="M5" s="9">
        <f t="shared" si="8"/>
        <v>40.83</v>
      </c>
      <c r="N5" s="9" t="str">
        <f t="shared" si="9"/>
        <v>2023 3rd Domestic Trial</v>
      </c>
      <c r="O5" s="9">
        <f t="shared" si="10"/>
        <v>48.47</v>
      </c>
      <c r="P5" s="9" t="str">
        <f t="shared" si="11"/>
        <v>2024 Elite Canada</v>
      </c>
      <c r="Q5" s="9">
        <f t="shared" si="12"/>
        <v>9.3199999999999932</v>
      </c>
      <c r="R5" s="14" t="str">
        <f t="shared" si="13"/>
        <v>(Vol 2)</v>
      </c>
      <c r="S5" s="9" t="str">
        <f t="shared" si="14"/>
        <v>2024 Pacific Rim (April 23)</v>
      </c>
      <c r="T5" s="27">
        <v>17.399999999999999</v>
      </c>
      <c r="U5" s="27">
        <v>9.4</v>
      </c>
      <c r="V5" s="27">
        <v>0</v>
      </c>
      <c r="W5" s="27">
        <v>14.88</v>
      </c>
      <c r="X5" s="27">
        <v>0</v>
      </c>
      <c r="Y5" s="27">
        <v>12.2</v>
      </c>
      <c r="Z5" s="27">
        <v>8.3000000000000007</v>
      </c>
      <c r="AA5" s="27">
        <v>7.1999999999999993</v>
      </c>
      <c r="AB5" s="27">
        <v>13.13</v>
      </c>
      <c r="AC5" s="27">
        <v>0</v>
      </c>
      <c r="AD5" s="27"/>
      <c r="AE5" s="27"/>
      <c r="AF5" s="27"/>
      <c r="AG5" s="27"/>
      <c r="AH5" s="27"/>
      <c r="AI5" s="27">
        <v>14.3</v>
      </c>
      <c r="AJ5" s="27">
        <v>9.1</v>
      </c>
      <c r="AK5" s="27">
        <v>10.299999999999999</v>
      </c>
      <c r="AL5" s="27">
        <v>14.3</v>
      </c>
      <c r="AM5" s="27">
        <v>0</v>
      </c>
      <c r="AN5" s="32"/>
      <c r="AO5" s="7">
        <f t="shared" si="15"/>
        <v>41.68</v>
      </c>
      <c r="AP5" s="7">
        <f t="shared" si="16"/>
        <v>7.1999999999999993</v>
      </c>
      <c r="AQ5" s="7">
        <f t="shared" si="17"/>
        <v>40.83</v>
      </c>
      <c r="AR5" s="7" t="str">
        <f t="shared" si="18"/>
        <v/>
      </c>
      <c r="AS5" s="7" t="str">
        <f t="shared" si="19"/>
        <v/>
      </c>
      <c r="AT5" s="7">
        <f t="shared" si="20"/>
        <v>82.509999999999991</v>
      </c>
      <c r="AU5" s="7">
        <f t="shared" si="21"/>
        <v>10.299999999999999</v>
      </c>
      <c r="AV5" s="7">
        <f t="shared" si="22"/>
        <v>48</v>
      </c>
      <c r="AW5" s="7">
        <f t="shared" si="23"/>
        <v>130.51</v>
      </c>
      <c r="AX5" s="31">
        <v>16.100000000000001</v>
      </c>
      <c r="AY5" s="31">
        <v>9.5</v>
      </c>
      <c r="AZ5" s="31">
        <v>0</v>
      </c>
      <c r="BA5" s="31">
        <v>14.72</v>
      </c>
      <c r="BB5" s="31">
        <v>0</v>
      </c>
      <c r="BC5" s="31">
        <v>14.4</v>
      </c>
      <c r="BD5" s="31">
        <v>8.9</v>
      </c>
      <c r="BE5" s="31">
        <v>11.2</v>
      </c>
      <c r="BF5" s="31">
        <v>14.17</v>
      </c>
      <c r="BG5" s="31">
        <v>0</v>
      </c>
      <c r="BH5" s="31"/>
      <c r="BI5" s="31"/>
      <c r="BJ5" s="31"/>
      <c r="BK5" s="31"/>
      <c r="BL5" s="31"/>
      <c r="BM5" s="31">
        <v>14.4</v>
      </c>
      <c r="BN5" s="31">
        <v>9.1999999999999993</v>
      </c>
      <c r="BO5" s="31">
        <v>10.5</v>
      </c>
      <c r="BP5" s="31">
        <v>14.37</v>
      </c>
      <c r="BQ5" s="31">
        <v>0</v>
      </c>
      <c r="BR5" s="33"/>
      <c r="BS5" s="9">
        <f t="shared" si="24"/>
        <v>40.32</v>
      </c>
      <c r="BT5" s="9">
        <f t="shared" si="25"/>
        <v>11.2</v>
      </c>
      <c r="BU5" s="9">
        <f t="shared" si="26"/>
        <v>48.67</v>
      </c>
      <c r="BV5" s="9" t="str">
        <f t="shared" si="27"/>
        <v/>
      </c>
      <c r="BW5" s="9" t="str">
        <f t="shared" si="28"/>
        <v/>
      </c>
      <c r="BX5" s="9">
        <f t="shared" si="29"/>
        <v>88.990000000000009</v>
      </c>
      <c r="BY5" s="9">
        <f t="shared" si="30"/>
        <v>10.5</v>
      </c>
      <c r="BZ5" s="9">
        <f t="shared" si="31"/>
        <v>48.47</v>
      </c>
      <c r="CA5" s="9">
        <f t="shared" si="32"/>
        <v>137.46</v>
      </c>
      <c r="CB5" s="27">
        <v>16.8</v>
      </c>
      <c r="CC5" s="27">
        <v>9.1</v>
      </c>
      <c r="CD5" s="27">
        <v>0</v>
      </c>
      <c r="CE5" s="27">
        <v>14.92</v>
      </c>
      <c r="CF5" s="27">
        <v>0</v>
      </c>
      <c r="CG5" s="27">
        <v>4.5</v>
      </c>
      <c r="CH5" s="27">
        <v>2.8</v>
      </c>
      <c r="CI5" s="27">
        <v>4.2</v>
      </c>
      <c r="CJ5" s="27">
        <v>4.49</v>
      </c>
      <c r="CK5" s="27">
        <v>0</v>
      </c>
      <c r="CL5" s="27"/>
      <c r="CM5" s="27"/>
      <c r="CN5" s="27"/>
      <c r="CO5" s="27"/>
      <c r="CP5" s="27"/>
      <c r="CQ5" s="27">
        <v>14.8</v>
      </c>
      <c r="CR5" s="27">
        <v>9.1</v>
      </c>
      <c r="CS5" s="27">
        <v>10.4</v>
      </c>
      <c r="CT5" s="27">
        <v>13.82</v>
      </c>
      <c r="CU5" s="27">
        <v>0</v>
      </c>
      <c r="CV5" s="32"/>
      <c r="CW5" s="7">
        <f t="shared" si="33"/>
        <v>40.82</v>
      </c>
      <c r="CX5" s="7">
        <f t="shared" si="34"/>
        <v>4.2</v>
      </c>
      <c r="CY5" s="7">
        <f t="shared" si="35"/>
        <v>15.99</v>
      </c>
      <c r="CZ5" s="7" t="str">
        <f t="shared" si="36"/>
        <v/>
      </c>
      <c r="DA5" s="7" t="str">
        <f t="shared" si="37"/>
        <v/>
      </c>
      <c r="DB5" s="7">
        <f t="shared" si="38"/>
        <v>56.81</v>
      </c>
      <c r="DC5" s="7">
        <f t="shared" si="39"/>
        <v>10.4</v>
      </c>
      <c r="DD5" s="7">
        <f t="shared" si="40"/>
        <v>48.12</v>
      </c>
      <c r="DE5" s="7">
        <f t="shared" si="41"/>
        <v>104.93</v>
      </c>
      <c r="DF5" s="13" t="str">
        <f t="shared" si="42"/>
        <v/>
      </c>
      <c r="DG5" s="13">
        <f t="shared" si="43"/>
        <v>9.3199999999999932</v>
      </c>
      <c r="DH5" s="13">
        <f t="shared" si="44"/>
        <v>1.6299999999999812</v>
      </c>
      <c r="DI5" s="13">
        <f t="shared" si="45"/>
        <v>0.82999999999999829</v>
      </c>
      <c r="DJ5" s="18">
        <v>14.8</v>
      </c>
      <c r="DK5" s="18">
        <v>9.5</v>
      </c>
      <c r="DL5" s="18">
        <v>0</v>
      </c>
      <c r="DM5" s="18">
        <v>14.73</v>
      </c>
      <c r="DN5" s="18">
        <v>0</v>
      </c>
      <c r="DO5" s="18">
        <v>14</v>
      </c>
      <c r="DP5" s="18">
        <v>9.3000000000000007</v>
      </c>
      <c r="DQ5" s="18">
        <v>10.5</v>
      </c>
      <c r="DR5" s="18">
        <v>14.13</v>
      </c>
      <c r="DS5" s="18">
        <v>0</v>
      </c>
      <c r="DT5" s="18"/>
      <c r="DU5" s="18"/>
      <c r="DV5" s="18"/>
      <c r="DW5" s="18"/>
      <c r="DX5" s="18"/>
      <c r="DY5" s="7">
        <f t="shared" si="46"/>
        <v>10.5</v>
      </c>
      <c r="DZ5" s="7">
        <f t="shared" si="47"/>
        <v>39.03</v>
      </c>
      <c r="EA5" s="7">
        <f t="shared" si="48"/>
        <v>47.93</v>
      </c>
      <c r="EB5" s="7">
        <f t="shared" si="49"/>
        <v>86.960000000000008</v>
      </c>
      <c r="EC5" s="7" t="str">
        <f t="shared" si="50"/>
        <v/>
      </c>
      <c r="ED5" s="7" t="str">
        <f t="shared" si="51"/>
        <v/>
      </c>
      <c r="EE5" s="7">
        <f t="shared" si="52"/>
        <v>86.960000000000008</v>
      </c>
      <c r="EF5" s="19">
        <v>16.3</v>
      </c>
      <c r="EG5" s="19">
        <v>9.3000000000000007</v>
      </c>
      <c r="EH5" s="19">
        <v>0</v>
      </c>
      <c r="EI5" s="19">
        <v>14.87</v>
      </c>
      <c r="EJ5" s="19">
        <v>0</v>
      </c>
      <c r="EK5" s="19">
        <v>14.9</v>
      </c>
      <c r="EL5" s="19">
        <v>9.5</v>
      </c>
      <c r="EM5" s="19">
        <v>11.2</v>
      </c>
      <c r="EN5" s="19">
        <v>14.55</v>
      </c>
      <c r="EO5" s="19">
        <v>0</v>
      </c>
      <c r="EP5" s="19">
        <v>14.9</v>
      </c>
      <c r="EQ5" s="19">
        <v>8.9</v>
      </c>
      <c r="ER5" s="19">
        <v>11.2</v>
      </c>
      <c r="ES5" s="19">
        <v>14.3</v>
      </c>
      <c r="ET5" s="19">
        <v>0</v>
      </c>
      <c r="EU5" s="9">
        <f t="shared" si="53"/>
        <v>11.2</v>
      </c>
      <c r="EV5" s="9">
        <f t="shared" si="54"/>
        <v>40.47</v>
      </c>
      <c r="EW5" s="9">
        <f t="shared" si="55"/>
        <v>50.149999999999991</v>
      </c>
      <c r="EX5" s="9">
        <f t="shared" si="56"/>
        <v>90.61999999999999</v>
      </c>
      <c r="EY5" s="9">
        <f t="shared" si="57"/>
        <v>11.2</v>
      </c>
      <c r="EZ5" s="9">
        <f t="shared" si="58"/>
        <v>49.3</v>
      </c>
      <c r="FA5" s="9">
        <f t="shared" si="59"/>
        <v>139.91999999999999</v>
      </c>
      <c r="FB5" s="18">
        <v>15.4</v>
      </c>
      <c r="FC5" s="18">
        <v>9.5</v>
      </c>
      <c r="FD5" s="18">
        <v>0</v>
      </c>
      <c r="FE5" s="18">
        <v>15.38</v>
      </c>
      <c r="FF5" s="18">
        <v>0</v>
      </c>
      <c r="FG5" s="18">
        <v>13.8</v>
      </c>
      <c r="FH5" s="18">
        <v>9.6</v>
      </c>
      <c r="FI5" s="18">
        <v>10.7</v>
      </c>
      <c r="FJ5" s="18">
        <v>14.51</v>
      </c>
      <c r="FK5" s="18">
        <v>0</v>
      </c>
      <c r="FL5" s="18">
        <v>4.5999999999999996</v>
      </c>
      <c r="FM5" s="18">
        <v>2.7</v>
      </c>
      <c r="FN5" s="18">
        <v>3.6</v>
      </c>
      <c r="FO5" s="18">
        <v>4.51</v>
      </c>
      <c r="FP5" s="18">
        <v>0</v>
      </c>
      <c r="FQ5" s="7">
        <f t="shared" si="60"/>
        <v>10.7</v>
      </c>
      <c r="FR5" s="7">
        <f t="shared" si="61"/>
        <v>40.28</v>
      </c>
      <c r="FS5" s="7">
        <f t="shared" si="62"/>
        <v>48.609999999999992</v>
      </c>
      <c r="FT5" s="7">
        <f t="shared" si="63"/>
        <v>88.889999999999986</v>
      </c>
      <c r="FU5" s="7">
        <f t="shared" si="64"/>
        <v>3.6</v>
      </c>
      <c r="FV5" s="7">
        <f t="shared" si="65"/>
        <v>15.41</v>
      </c>
      <c r="FW5" s="7">
        <f t="shared" si="66"/>
        <v>104.29999999999998</v>
      </c>
      <c r="FX5" s="19">
        <v>16.399999999999999</v>
      </c>
      <c r="FY5" s="19">
        <v>9.5</v>
      </c>
      <c r="FZ5" s="19">
        <v>0</v>
      </c>
      <c r="GA5" s="19">
        <v>15.16</v>
      </c>
      <c r="GB5" s="19">
        <v>0</v>
      </c>
      <c r="GC5" s="19">
        <v>1.4</v>
      </c>
      <c r="GD5" s="19">
        <v>0.8</v>
      </c>
      <c r="GE5" s="19">
        <v>1.5</v>
      </c>
      <c r="GF5" s="19">
        <v>1.56</v>
      </c>
      <c r="GG5" s="19">
        <v>0</v>
      </c>
      <c r="GH5" s="19"/>
      <c r="GI5" s="19"/>
      <c r="GJ5" s="19"/>
      <c r="GK5" s="19"/>
      <c r="GL5" s="19"/>
      <c r="GM5" s="9">
        <f t="shared" si="67"/>
        <v>1.5</v>
      </c>
      <c r="GN5" s="9">
        <f t="shared" si="68"/>
        <v>41.06</v>
      </c>
      <c r="GO5" s="9">
        <f t="shared" si="69"/>
        <v>5.26</v>
      </c>
      <c r="GP5" s="9">
        <f t="shared" si="70"/>
        <v>46.32</v>
      </c>
      <c r="GQ5" s="9" t="str">
        <f t="shared" si="71"/>
        <v/>
      </c>
      <c r="GR5" s="9" t="str">
        <f t="shared" si="72"/>
        <v/>
      </c>
      <c r="GS5" s="9">
        <f t="shared" si="73"/>
        <v>46.32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16.450000000000003</v>
      </c>
      <c r="NO5" s="27">
        <f t="shared" si="130"/>
        <v>9.3000000000000007</v>
      </c>
      <c r="NP5" s="27">
        <f t="shared" si="130"/>
        <v>0</v>
      </c>
      <c r="NQ5" s="27">
        <f t="shared" si="130"/>
        <v>14.82</v>
      </c>
      <c r="NR5" s="27">
        <f t="shared" si="130"/>
        <v>0</v>
      </c>
      <c r="NS5" s="27">
        <f t="shared" si="130"/>
        <v>9.4499999999999993</v>
      </c>
      <c r="NT5" s="27">
        <f t="shared" si="130"/>
        <v>5.85</v>
      </c>
      <c r="NU5" s="27">
        <f t="shared" si="130"/>
        <v>7.6999999999999993</v>
      </c>
      <c r="NV5" s="27">
        <f t="shared" si="130"/>
        <v>9.33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14.600000000000001</v>
      </c>
      <c r="OD5" s="27">
        <f t="shared" si="131"/>
        <v>9.1499999999999986</v>
      </c>
      <c r="OE5" s="27">
        <f t="shared" si="131"/>
        <v>10.45</v>
      </c>
      <c r="OF5" s="27">
        <f t="shared" si="131"/>
        <v>14.094999999999999</v>
      </c>
      <c r="OG5" s="27">
        <f t="shared" si="131"/>
        <v>0</v>
      </c>
      <c r="OH5" s="32" t="s">
        <v>44</v>
      </c>
      <c r="OI5" s="7">
        <f t="shared" si="132"/>
        <v>40.570000000000007</v>
      </c>
      <c r="OJ5" s="7">
        <f t="shared" si="133"/>
        <v>7.6999999999999993</v>
      </c>
      <c r="OK5" s="7">
        <f t="shared" si="134"/>
        <v>32.33</v>
      </c>
      <c r="OL5" s="7" t="str">
        <f t="shared" si="135"/>
        <v/>
      </c>
      <c r="OM5" s="7" t="str">
        <f t="shared" si="136"/>
        <v/>
      </c>
      <c r="ON5" s="7">
        <f t="shared" si="137"/>
        <v>72.900000000000006</v>
      </c>
      <c r="OO5" s="7">
        <f t="shared" si="138"/>
        <v>10.45</v>
      </c>
      <c r="OP5" s="7">
        <f t="shared" ref="OP5" si="141">IF(SUM(OC5:OF5)-OG5&gt;0,SUM(OC5:OF5)-OG5,"")</f>
        <v>48.295000000000002</v>
      </c>
      <c r="OQ5" s="7">
        <f t="shared" ref="OQ5" si="142">IF(SUM(ON5,OP5)&gt;0,SUM(ON5,OP5),"")</f>
        <v>121.19500000000001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85</v>
      </c>
      <c r="C6" s="4" t="s">
        <v>68</v>
      </c>
      <c r="D6" s="4">
        <v>2009</v>
      </c>
      <c r="E6" s="10">
        <f t="shared" si="0"/>
        <v>223.54999999999998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87.740000000000009</v>
      </c>
      <c r="J6" s="9" t="str">
        <f t="shared" si="5"/>
        <v>2024 Elite Canada</v>
      </c>
      <c r="K6" s="9">
        <f t="shared" si="6"/>
        <v>40.1</v>
      </c>
      <c r="L6" s="9" t="str">
        <f t="shared" si="7"/>
        <v>2023 3rd Domestic Trial</v>
      </c>
      <c r="M6" s="9">
        <f t="shared" si="8"/>
        <v>47.3</v>
      </c>
      <c r="N6" s="9" t="str">
        <f t="shared" si="9"/>
        <v>2023 3rd Domestic Trial</v>
      </c>
      <c r="O6" s="9">
        <f t="shared" si="10"/>
        <v>48.41</v>
      </c>
      <c r="P6" s="9" t="str">
        <f t="shared" si="11"/>
        <v>2024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>
        <v>16.5</v>
      </c>
      <c r="U6" s="27">
        <v>9.5</v>
      </c>
      <c r="V6" s="27">
        <v>0</v>
      </c>
      <c r="W6" s="27">
        <v>14.1</v>
      </c>
      <c r="X6" s="27">
        <v>0</v>
      </c>
      <c r="Y6" s="27">
        <v>13.5</v>
      </c>
      <c r="Z6" s="27">
        <v>9.1</v>
      </c>
      <c r="AA6" s="27">
        <v>10.999999999999998</v>
      </c>
      <c r="AB6" s="27">
        <v>13.7</v>
      </c>
      <c r="AC6" s="27">
        <v>0</v>
      </c>
      <c r="AD6" s="27"/>
      <c r="AE6" s="27"/>
      <c r="AF6" s="27"/>
      <c r="AG6" s="27"/>
      <c r="AH6" s="27"/>
      <c r="AI6" s="27">
        <v>12.8</v>
      </c>
      <c r="AJ6" s="27">
        <v>9.3000000000000007</v>
      </c>
      <c r="AK6" s="27">
        <v>10.999999999999998</v>
      </c>
      <c r="AL6" s="27">
        <v>13.25</v>
      </c>
      <c r="AM6" s="27">
        <v>0</v>
      </c>
      <c r="AN6" s="32"/>
      <c r="AO6" s="7">
        <f t="shared" si="15"/>
        <v>40.1</v>
      </c>
      <c r="AP6" s="7">
        <f t="shared" si="16"/>
        <v>10.999999999999998</v>
      </c>
      <c r="AQ6" s="7">
        <f t="shared" si="17"/>
        <v>47.3</v>
      </c>
      <c r="AR6" s="7" t="str">
        <f t="shared" si="18"/>
        <v/>
      </c>
      <c r="AS6" s="7" t="str">
        <f t="shared" si="19"/>
        <v/>
      </c>
      <c r="AT6" s="7">
        <f t="shared" si="20"/>
        <v>87.4</v>
      </c>
      <c r="AU6" s="7">
        <f t="shared" si="21"/>
        <v>10.999999999999998</v>
      </c>
      <c r="AV6" s="7">
        <f t="shared" si="22"/>
        <v>46.35</v>
      </c>
      <c r="AW6" s="7">
        <f t="shared" si="23"/>
        <v>133.75</v>
      </c>
      <c r="AX6" s="31">
        <v>15.5</v>
      </c>
      <c r="AY6" s="31">
        <v>9.6</v>
      </c>
      <c r="AZ6" s="31">
        <v>0</v>
      </c>
      <c r="BA6" s="31">
        <v>14.42</v>
      </c>
      <c r="BB6" s="31">
        <v>0</v>
      </c>
      <c r="BC6" s="31">
        <v>14.9</v>
      </c>
      <c r="BD6" s="31">
        <v>9.3000000000000007</v>
      </c>
      <c r="BE6" s="31">
        <v>10.3</v>
      </c>
      <c r="BF6" s="31">
        <v>13.72</v>
      </c>
      <c r="BG6" s="31">
        <v>0</v>
      </c>
      <c r="BH6" s="31"/>
      <c r="BI6" s="31"/>
      <c r="BJ6" s="31"/>
      <c r="BK6" s="31"/>
      <c r="BL6" s="31"/>
      <c r="BM6" s="31">
        <v>14.8</v>
      </c>
      <c r="BN6" s="31">
        <v>9.4</v>
      </c>
      <c r="BO6" s="31">
        <v>10.3</v>
      </c>
      <c r="BP6" s="31">
        <v>13.91</v>
      </c>
      <c r="BQ6" s="31">
        <v>0</v>
      </c>
      <c r="BR6" s="33"/>
      <c r="BS6" s="9">
        <f t="shared" si="24"/>
        <v>39.520000000000003</v>
      </c>
      <c r="BT6" s="9">
        <f t="shared" si="25"/>
        <v>10.3</v>
      </c>
      <c r="BU6" s="9">
        <f t="shared" si="26"/>
        <v>48.22</v>
      </c>
      <c r="BV6" s="9" t="str">
        <f t="shared" si="27"/>
        <v/>
      </c>
      <c r="BW6" s="9" t="str">
        <f t="shared" si="28"/>
        <v/>
      </c>
      <c r="BX6" s="9">
        <f t="shared" si="29"/>
        <v>87.740000000000009</v>
      </c>
      <c r="BY6" s="9">
        <f t="shared" si="30"/>
        <v>10.3</v>
      </c>
      <c r="BZ6" s="9">
        <f t="shared" si="31"/>
        <v>48.41</v>
      </c>
      <c r="CA6" s="9">
        <f t="shared" si="32"/>
        <v>136.15</v>
      </c>
      <c r="CB6" s="27">
        <v>15.8</v>
      </c>
      <c r="CC6" s="27">
        <v>9.6</v>
      </c>
      <c r="CD6" s="27">
        <v>0</v>
      </c>
      <c r="CE6" s="27">
        <v>14.54</v>
      </c>
      <c r="CF6" s="27">
        <v>0</v>
      </c>
      <c r="CG6" s="27">
        <v>8.3000000000000007</v>
      </c>
      <c r="CH6" s="27">
        <v>5.3</v>
      </c>
      <c r="CI6" s="27">
        <v>7.5</v>
      </c>
      <c r="CJ6" s="27">
        <v>8.4600000000000009</v>
      </c>
      <c r="CK6" s="27">
        <v>0</v>
      </c>
      <c r="CL6" s="27"/>
      <c r="CM6" s="27"/>
      <c r="CN6" s="27"/>
      <c r="CO6" s="27"/>
      <c r="CP6" s="27"/>
      <c r="CQ6" s="27">
        <v>12.1</v>
      </c>
      <c r="CR6" s="27">
        <v>9.1</v>
      </c>
      <c r="CS6" s="27">
        <v>10.7</v>
      </c>
      <c r="CT6" s="27">
        <v>13.6</v>
      </c>
      <c r="CU6" s="27">
        <v>0</v>
      </c>
      <c r="CV6" s="32"/>
      <c r="CW6" s="7">
        <f t="shared" si="33"/>
        <v>39.94</v>
      </c>
      <c r="CX6" s="7">
        <f t="shared" si="34"/>
        <v>7.5</v>
      </c>
      <c r="CY6" s="7">
        <f t="shared" si="35"/>
        <v>29.560000000000002</v>
      </c>
      <c r="CZ6" s="7" t="str">
        <f t="shared" si="36"/>
        <v/>
      </c>
      <c r="DA6" s="7" t="str">
        <f t="shared" si="37"/>
        <v/>
      </c>
      <c r="DB6" s="7">
        <f t="shared" si="38"/>
        <v>69.5</v>
      </c>
      <c r="DC6" s="7">
        <f t="shared" si="39"/>
        <v>10.7</v>
      </c>
      <c r="DD6" s="7">
        <f t="shared" si="40"/>
        <v>45.5</v>
      </c>
      <c r="DE6" s="7">
        <f t="shared" si="41"/>
        <v>115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>
        <v>14.7</v>
      </c>
      <c r="DK6" s="18">
        <v>9.5</v>
      </c>
      <c r="DL6" s="18">
        <v>0</v>
      </c>
      <c r="DM6" s="18">
        <v>14.59</v>
      </c>
      <c r="DN6" s="18">
        <v>0</v>
      </c>
      <c r="DO6" s="18">
        <v>12.8</v>
      </c>
      <c r="DP6" s="18">
        <v>9.3000000000000007</v>
      </c>
      <c r="DQ6" s="18">
        <v>9.6999999999999993</v>
      </c>
      <c r="DR6" s="18">
        <v>13.72</v>
      </c>
      <c r="DS6" s="18">
        <v>0</v>
      </c>
      <c r="DT6" s="18"/>
      <c r="DU6" s="18"/>
      <c r="DV6" s="18"/>
      <c r="DW6" s="18"/>
      <c r="DX6" s="18"/>
      <c r="DY6" s="7">
        <f t="shared" si="46"/>
        <v>9.6999999999999993</v>
      </c>
      <c r="DZ6" s="7">
        <f t="shared" si="47"/>
        <v>38.79</v>
      </c>
      <c r="EA6" s="7">
        <f t="shared" si="48"/>
        <v>45.52</v>
      </c>
      <c r="EB6" s="7">
        <f t="shared" si="49"/>
        <v>84.31</v>
      </c>
      <c r="EC6" s="7" t="str">
        <f t="shared" si="50"/>
        <v/>
      </c>
      <c r="ED6" s="7" t="str">
        <f t="shared" si="51"/>
        <v/>
      </c>
      <c r="EE6" s="7">
        <f t="shared" si="52"/>
        <v>84.31</v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15.65</v>
      </c>
      <c r="NO6" s="27">
        <f t="shared" si="130"/>
        <v>9.6</v>
      </c>
      <c r="NP6" s="27">
        <f t="shared" si="130"/>
        <v>0</v>
      </c>
      <c r="NQ6" s="27">
        <f t="shared" si="130"/>
        <v>14.48</v>
      </c>
      <c r="NR6" s="27">
        <f t="shared" si="130"/>
        <v>0</v>
      </c>
      <c r="NS6" s="27">
        <f t="shared" si="130"/>
        <v>11.600000000000001</v>
      </c>
      <c r="NT6" s="27">
        <f t="shared" si="130"/>
        <v>7.3000000000000007</v>
      </c>
      <c r="NU6" s="27">
        <f t="shared" si="130"/>
        <v>8.9</v>
      </c>
      <c r="NV6" s="27">
        <f t="shared" si="130"/>
        <v>11.09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13.45</v>
      </c>
      <c r="OD6" s="27">
        <f t="shared" si="131"/>
        <v>9.25</v>
      </c>
      <c r="OE6" s="27">
        <f t="shared" si="131"/>
        <v>10.5</v>
      </c>
      <c r="OF6" s="27">
        <f t="shared" si="131"/>
        <v>13.754999999999999</v>
      </c>
      <c r="OG6" s="27">
        <f t="shared" si="131"/>
        <v>0</v>
      </c>
      <c r="OH6" s="32" t="s">
        <v>44</v>
      </c>
      <c r="OI6" s="7">
        <f t="shared" si="132"/>
        <v>39.730000000000004</v>
      </c>
      <c r="OJ6" s="7">
        <f t="shared" si="133"/>
        <v>8.9</v>
      </c>
      <c r="OK6" s="7">
        <f t="shared" si="134"/>
        <v>38.89</v>
      </c>
      <c r="OL6" s="7" t="str">
        <f t="shared" si="135"/>
        <v/>
      </c>
      <c r="OM6" s="7" t="str">
        <f t="shared" si="136"/>
        <v/>
      </c>
      <c r="ON6" s="7">
        <f t="shared" si="137"/>
        <v>78.62</v>
      </c>
      <c r="OO6" s="7">
        <f t="shared" si="138"/>
        <v>10.5</v>
      </c>
      <c r="OP6" s="7">
        <f t="shared" ref="OP6" si="143">IF(SUM(OC6:OF6)-OG6&gt;0,SUM(OC6:OF6)-OG6,"")</f>
        <v>46.954999999999998</v>
      </c>
      <c r="OQ6" s="7">
        <f t="shared" ref="OQ6" si="144">IF(SUM(ON6,OP6)&gt;0,SUM(ON6,OP6),"")</f>
        <v>125.575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 t="shared" si="0"/>
        <v>221.71000000000004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87.200000000000017</v>
      </c>
      <c r="J7" s="9" t="str">
        <f t="shared" si="5"/>
        <v>2024 Elite Canada</v>
      </c>
      <c r="K7" s="9">
        <f t="shared" si="6"/>
        <v>40.68</v>
      </c>
      <c r="L7" s="9" t="str">
        <f t="shared" si="7"/>
        <v>2023 3rd Domestic Trial</v>
      </c>
      <c r="M7" s="9">
        <f t="shared" si="8"/>
        <v>42.64</v>
      </c>
      <c r="N7" s="9" t="str">
        <f t="shared" si="9"/>
        <v>2024 Nationals</v>
      </c>
      <c r="O7" s="9">
        <f t="shared" si="10"/>
        <v>47.92</v>
      </c>
      <c r="P7" s="9" t="str">
        <f t="shared" si="11"/>
        <v>2024 Elite Canada</v>
      </c>
      <c r="Q7" s="9">
        <f t="shared" si="12"/>
        <v>3.269999999999996</v>
      </c>
      <c r="R7" s="14" t="str">
        <f t="shared" si="13"/>
        <v>(Vol 2)</v>
      </c>
      <c r="S7" s="9" t="str">
        <f t="shared" si="14"/>
        <v>2023 WAGC (Nov 16)</v>
      </c>
      <c r="T7" s="27">
        <v>17</v>
      </c>
      <c r="U7" s="27">
        <v>9.3000000000000007</v>
      </c>
      <c r="V7" s="27">
        <v>0</v>
      </c>
      <c r="W7" s="27">
        <v>14.38</v>
      </c>
      <c r="X7" s="27">
        <v>0</v>
      </c>
      <c r="Y7" s="27">
        <v>2.7</v>
      </c>
      <c r="Z7" s="27">
        <v>1.7</v>
      </c>
      <c r="AA7" s="27">
        <v>2.5</v>
      </c>
      <c r="AB7" s="27">
        <v>2.88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 t="shared" si="15"/>
        <v>40.68</v>
      </c>
      <c r="AP7" s="7">
        <f t="shared" si="16"/>
        <v>2.5</v>
      </c>
      <c r="AQ7" s="7">
        <f t="shared" si="17"/>
        <v>9.7800000000000011</v>
      </c>
      <c r="AR7" s="7" t="str">
        <f t="shared" si="18"/>
        <v/>
      </c>
      <c r="AS7" s="7" t="str">
        <f t="shared" si="19"/>
        <v/>
      </c>
      <c r="AT7" s="7">
        <f t="shared" si="20"/>
        <v>50.46</v>
      </c>
      <c r="AU7" s="7" t="str">
        <f t="shared" si="21"/>
        <v/>
      </c>
      <c r="AV7" s="7" t="str">
        <f t="shared" si="22"/>
        <v/>
      </c>
      <c r="AW7" s="7">
        <f t="shared" si="23"/>
        <v>50.46</v>
      </c>
      <c r="AX7" s="31">
        <v>16.3</v>
      </c>
      <c r="AY7" s="31">
        <v>9.3000000000000007</v>
      </c>
      <c r="AZ7" s="31">
        <v>0</v>
      </c>
      <c r="BA7" s="31">
        <v>14</v>
      </c>
      <c r="BB7" s="31">
        <v>0</v>
      </c>
      <c r="BC7" s="31">
        <v>14.3</v>
      </c>
      <c r="BD7" s="31">
        <v>9.4</v>
      </c>
      <c r="BE7" s="31">
        <v>10.199999999999999</v>
      </c>
      <c r="BF7" s="31">
        <v>13.7</v>
      </c>
      <c r="BG7" s="31">
        <v>0</v>
      </c>
      <c r="BH7" s="31"/>
      <c r="BI7" s="31"/>
      <c r="BJ7" s="31"/>
      <c r="BK7" s="31"/>
      <c r="BL7" s="31"/>
      <c r="BM7" s="31">
        <v>14.7</v>
      </c>
      <c r="BN7" s="31">
        <v>9.3000000000000007</v>
      </c>
      <c r="BO7" s="31">
        <v>10.199999999999999</v>
      </c>
      <c r="BP7" s="31">
        <v>13.72</v>
      </c>
      <c r="BQ7" s="31">
        <v>0</v>
      </c>
      <c r="BR7" s="33"/>
      <c r="BS7" s="9">
        <f t="shared" si="24"/>
        <v>39.6</v>
      </c>
      <c r="BT7" s="9">
        <f t="shared" si="25"/>
        <v>10.199999999999999</v>
      </c>
      <c r="BU7" s="9">
        <f t="shared" si="26"/>
        <v>47.600000000000009</v>
      </c>
      <c r="BV7" s="9" t="str">
        <f t="shared" si="27"/>
        <v/>
      </c>
      <c r="BW7" s="9" t="str">
        <f t="shared" si="28"/>
        <v/>
      </c>
      <c r="BX7" s="9">
        <f t="shared" si="29"/>
        <v>87.200000000000017</v>
      </c>
      <c r="BY7" s="9">
        <f t="shared" si="30"/>
        <v>10.199999999999999</v>
      </c>
      <c r="BZ7" s="9">
        <f t="shared" si="31"/>
        <v>47.92</v>
      </c>
      <c r="CA7" s="9">
        <f t="shared" si="32"/>
        <v>135.12</v>
      </c>
      <c r="CB7" s="27">
        <v>17.100000000000001</v>
      </c>
      <c r="CC7" s="27">
        <v>9.1</v>
      </c>
      <c r="CD7" s="27">
        <v>0</v>
      </c>
      <c r="CE7" s="27">
        <v>13.95</v>
      </c>
      <c r="CF7" s="27">
        <v>0</v>
      </c>
      <c r="CG7" s="27">
        <v>12.9</v>
      </c>
      <c r="CH7" s="27">
        <v>8.1999999999999993</v>
      </c>
      <c r="CI7" s="27">
        <v>9.1999999999999993</v>
      </c>
      <c r="CJ7" s="27">
        <v>12.34</v>
      </c>
      <c r="CK7" s="27">
        <v>0</v>
      </c>
      <c r="CL7" s="27"/>
      <c r="CM7" s="27"/>
      <c r="CN7" s="27"/>
      <c r="CO7" s="27"/>
      <c r="CP7" s="27"/>
      <c r="CQ7" s="27">
        <v>15.9</v>
      </c>
      <c r="CR7" s="27">
        <v>8.8000000000000007</v>
      </c>
      <c r="CS7" s="27">
        <v>9.1</v>
      </c>
      <c r="CT7" s="27">
        <v>13.52</v>
      </c>
      <c r="CU7" s="27">
        <v>0</v>
      </c>
      <c r="CV7" s="32"/>
      <c r="CW7" s="7">
        <f t="shared" si="33"/>
        <v>40.150000000000006</v>
      </c>
      <c r="CX7" s="7">
        <f t="shared" si="34"/>
        <v>9.1999999999999993</v>
      </c>
      <c r="CY7" s="7">
        <f t="shared" si="35"/>
        <v>42.64</v>
      </c>
      <c r="CZ7" s="7" t="str">
        <f t="shared" si="36"/>
        <v/>
      </c>
      <c r="DA7" s="7" t="str">
        <f t="shared" si="37"/>
        <v/>
      </c>
      <c r="DB7" s="7">
        <f t="shared" si="38"/>
        <v>82.79</v>
      </c>
      <c r="DC7" s="7">
        <f t="shared" si="39"/>
        <v>9.1</v>
      </c>
      <c r="DD7" s="7">
        <f t="shared" si="40"/>
        <v>47.320000000000007</v>
      </c>
      <c r="DE7" s="7">
        <f t="shared" si="41"/>
        <v>130.11000000000001</v>
      </c>
      <c r="DF7" s="13" t="str">
        <f t="shared" si="42"/>
        <v/>
      </c>
      <c r="DG7" s="13">
        <f t="shared" si="43"/>
        <v>3.269999999999996</v>
      </c>
      <c r="DH7" s="13" t="str">
        <f t="shared" si="44"/>
        <v/>
      </c>
      <c r="DI7" s="13" t="str">
        <f t="shared" si="45"/>
        <v/>
      </c>
      <c r="DJ7" s="18">
        <v>16</v>
      </c>
      <c r="DK7" s="18">
        <v>9.4</v>
      </c>
      <c r="DL7" s="18">
        <v>0</v>
      </c>
      <c r="DM7" s="18">
        <v>14.44</v>
      </c>
      <c r="DN7" s="18">
        <v>0</v>
      </c>
      <c r="DO7" s="18">
        <v>12.3</v>
      </c>
      <c r="DP7" s="18">
        <v>9.3000000000000007</v>
      </c>
      <c r="DQ7" s="18">
        <v>10.199999999999999</v>
      </c>
      <c r="DR7" s="18">
        <v>14.11</v>
      </c>
      <c r="DS7" s="18">
        <v>0</v>
      </c>
      <c r="DT7" s="18"/>
      <c r="DU7" s="18"/>
      <c r="DV7" s="18"/>
      <c r="DW7" s="18"/>
      <c r="DX7" s="18"/>
      <c r="DY7" s="7">
        <f t="shared" si="46"/>
        <v>10.199999999999999</v>
      </c>
      <c r="DZ7" s="7">
        <f t="shared" si="47"/>
        <v>39.839999999999996</v>
      </c>
      <c r="EA7" s="7">
        <f t="shared" si="48"/>
        <v>45.91</v>
      </c>
      <c r="EB7" s="7">
        <f t="shared" si="49"/>
        <v>85.75</v>
      </c>
      <c r="EC7" s="7" t="str">
        <f t="shared" si="50"/>
        <v/>
      </c>
      <c r="ED7" s="7" t="str">
        <f t="shared" si="51"/>
        <v/>
      </c>
      <c r="EE7" s="7">
        <f t="shared" si="52"/>
        <v>85.75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16.700000000000003</v>
      </c>
      <c r="NO7" s="27">
        <f t="shared" si="130"/>
        <v>9.1999999999999993</v>
      </c>
      <c r="NP7" s="27">
        <f t="shared" si="130"/>
        <v>0</v>
      </c>
      <c r="NQ7" s="27">
        <f t="shared" si="130"/>
        <v>13.975</v>
      </c>
      <c r="NR7" s="27">
        <f t="shared" si="130"/>
        <v>0</v>
      </c>
      <c r="NS7" s="27">
        <f t="shared" si="130"/>
        <v>13.600000000000001</v>
      </c>
      <c r="NT7" s="27">
        <f t="shared" si="130"/>
        <v>8.8000000000000007</v>
      </c>
      <c r="NU7" s="27">
        <f t="shared" si="130"/>
        <v>9.6999999999999993</v>
      </c>
      <c r="NV7" s="27">
        <f t="shared" si="130"/>
        <v>13.02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15.3</v>
      </c>
      <c r="OD7" s="27">
        <f t="shared" si="131"/>
        <v>9.0500000000000007</v>
      </c>
      <c r="OE7" s="27">
        <f t="shared" si="131"/>
        <v>9.6499999999999986</v>
      </c>
      <c r="OF7" s="27">
        <f t="shared" si="131"/>
        <v>13.620000000000001</v>
      </c>
      <c r="OG7" s="27">
        <f t="shared" si="131"/>
        <v>0</v>
      </c>
      <c r="OH7" s="32" t="s">
        <v>44</v>
      </c>
      <c r="OI7" s="7">
        <f t="shared" si="132"/>
        <v>39.875</v>
      </c>
      <c r="OJ7" s="7">
        <f t="shared" si="133"/>
        <v>9.6999999999999993</v>
      </c>
      <c r="OK7" s="7">
        <f t="shared" si="134"/>
        <v>45.120000000000005</v>
      </c>
      <c r="OL7" s="7" t="str">
        <f t="shared" si="135"/>
        <v/>
      </c>
      <c r="OM7" s="7" t="str">
        <f t="shared" si="136"/>
        <v/>
      </c>
      <c r="ON7" s="7">
        <f t="shared" si="137"/>
        <v>84.995000000000005</v>
      </c>
      <c r="OO7" s="7">
        <f t="shared" si="138"/>
        <v>9.6499999999999986</v>
      </c>
      <c r="OP7" s="7">
        <f t="shared" ref="OP7" si="145">IF(SUM(OC7:OF7)-OG7&gt;0,SUM(OC7:OF7)-OG7,"")</f>
        <v>47.620000000000005</v>
      </c>
      <c r="OQ7" s="7">
        <f t="shared" ref="OQ7" si="146">IF(SUM(ON7,OP7)&gt;0,SUM(ON7,OP7),"")</f>
        <v>132.61500000000001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86</v>
      </c>
      <c r="C8" s="4" t="s">
        <v>66</v>
      </c>
      <c r="D8" s="4">
        <v>2008</v>
      </c>
      <c r="E8" s="10">
        <f t="shared" si="0"/>
        <v>192.42000000000002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65.7</v>
      </c>
      <c r="J8" s="9" t="str">
        <f t="shared" si="5"/>
        <v>2024 Nationals</v>
      </c>
      <c r="K8" s="9">
        <f t="shared" si="6"/>
        <v>39.549999999999997</v>
      </c>
      <c r="L8" s="9" t="str">
        <f t="shared" si="7"/>
        <v>2024 Elite Canada</v>
      </c>
      <c r="M8" s="9">
        <f t="shared" si="8"/>
        <v>22.689999999999998</v>
      </c>
      <c r="N8" s="9" t="str">
        <f t="shared" si="9"/>
        <v>2024 Elite Canada</v>
      </c>
      <c r="O8" s="9">
        <f t="shared" si="10"/>
        <v>46.11</v>
      </c>
      <c r="P8" s="9" t="str">
        <f t="shared" si="11"/>
        <v>2024 Elite Canada</v>
      </c>
      <c r="Q8" s="9">
        <f t="shared" si="12"/>
        <v>18.370000000000005</v>
      </c>
      <c r="R8" s="14" t="str">
        <f t="shared" si="13"/>
        <v>(Vol 2)</v>
      </c>
      <c r="S8" s="9" t="str">
        <f t="shared" si="14"/>
        <v>2023 WAGC (Nov 16)</v>
      </c>
      <c r="T8" s="27">
        <v>15.5</v>
      </c>
      <c r="U8" s="27">
        <v>9.3000000000000007</v>
      </c>
      <c r="V8" s="27">
        <v>0</v>
      </c>
      <c r="W8" s="27">
        <v>13.67</v>
      </c>
      <c r="X8" s="27">
        <v>0</v>
      </c>
      <c r="Y8" s="27">
        <v>5.4</v>
      </c>
      <c r="Z8" s="27">
        <v>3.5</v>
      </c>
      <c r="AA8" s="27">
        <v>4.3</v>
      </c>
      <c r="AB8" s="27">
        <v>5.51</v>
      </c>
      <c r="AC8" s="27">
        <v>0</v>
      </c>
      <c r="AD8" s="27"/>
      <c r="AE8" s="27"/>
      <c r="AF8" s="27"/>
      <c r="AG8" s="27"/>
      <c r="AH8" s="27"/>
      <c r="AI8" s="27">
        <v>14.1</v>
      </c>
      <c r="AJ8" s="27">
        <v>8.6999999999999993</v>
      </c>
      <c r="AK8" s="27">
        <v>9.8000000000000007</v>
      </c>
      <c r="AL8" s="27">
        <v>13.28</v>
      </c>
      <c r="AM8" s="27">
        <v>0</v>
      </c>
      <c r="AN8" s="32"/>
      <c r="AO8" s="7">
        <f t="shared" si="15"/>
        <v>38.47</v>
      </c>
      <c r="AP8" s="7">
        <f t="shared" si="16"/>
        <v>4.3</v>
      </c>
      <c r="AQ8" s="7">
        <f t="shared" si="17"/>
        <v>18.71</v>
      </c>
      <c r="AR8" s="7" t="str">
        <f t="shared" si="18"/>
        <v/>
      </c>
      <c r="AS8" s="7" t="str">
        <f t="shared" si="19"/>
        <v/>
      </c>
      <c r="AT8" s="7">
        <f t="shared" si="20"/>
        <v>57.18</v>
      </c>
      <c r="AU8" s="7">
        <f t="shared" si="21"/>
        <v>9.8000000000000007</v>
      </c>
      <c r="AV8" s="7">
        <f t="shared" si="22"/>
        <v>45.879999999999995</v>
      </c>
      <c r="AW8" s="7">
        <f t="shared" si="23"/>
        <v>103.06</v>
      </c>
      <c r="AX8" s="31">
        <v>16.399999999999999</v>
      </c>
      <c r="AY8" s="31">
        <v>10</v>
      </c>
      <c r="AZ8" s="31">
        <v>0</v>
      </c>
      <c r="BA8" s="31">
        <v>13.15</v>
      </c>
      <c r="BB8" s="31">
        <v>0</v>
      </c>
      <c r="BC8" s="31">
        <v>6.6</v>
      </c>
      <c r="BD8" s="31">
        <v>4.4000000000000004</v>
      </c>
      <c r="BE8" s="31">
        <v>5.2</v>
      </c>
      <c r="BF8" s="31">
        <v>6.49</v>
      </c>
      <c r="BG8" s="31">
        <v>0</v>
      </c>
      <c r="BH8" s="31"/>
      <c r="BI8" s="31"/>
      <c r="BJ8" s="31"/>
      <c r="BK8" s="31"/>
      <c r="BL8" s="31"/>
      <c r="BM8" s="31">
        <v>12.9</v>
      </c>
      <c r="BN8" s="31">
        <v>9.6999999999999993</v>
      </c>
      <c r="BO8" s="31">
        <v>10.5</v>
      </c>
      <c r="BP8" s="31">
        <v>13.01</v>
      </c>
      <c r="BQ8" s="31">
        <v>0</v>
      </c>
      <c r="BR8" s="33"/>
      <c r="BS8" s="9">
        <f t="shared" si="24"/>
        <v>39.549999999999997</v>
      </c>
      <c r="BT8" s="9">
        <f t="shared" si="25"/>
        <v>5.2</v>
      </c>
      <c r="BU8" s="9">
        <f t="shared" si="26"/>
        <v>22.689999999999998</v>
      </c>
      <c r="BV8" s="9" t="str">
        <f t="shared" si="27"/>
        <v/>
      </c>
      <c r="BW8" s="9" t="str">
        <f t="shared" si="28"/>
        <v/>
      </c>
      <c r="BX8" s="9">
        <f t="shared" si="29"/>
        <v>62.239999999999995</v>
      </c>
      <c r="BY8" s="9">
        <f t="shared" si="30"/>
        <v>10.5</v>
      </c>
      <c r="BZ8" s="9">
        <f t="shared" si="31"/>
        <v>46.11</v>
      </c>
      <c r="CA8" s="9">
        <f t="shared" si="32"/>
        <v>108.35</v>
      </c>
      <c r="CB8" s="27">
        <v>16.399999999999999</v>
      </c>
      <c r="CC8" s="27">
        <v>9.5</v>
      </c>
      <c r="CD8" s="27">
        <v>0</v>
      </c>
      <c r="CE8" s="27">
        <v>13.61</v>
      </c>
      <c r="CF8" s="27">
        <v>2</v>
      </c>
      <c r="CG8" s="27">
        <v>8.4</v>
      </c>
      <c r="CH8" s="27">
        <v>5.4</v>
      </c>
      <c r="CI8" s="27">
        <v>6.4</v>
      </c>
      <c r="CJ8" s="27">
        <v>7.99</v>
      </c>
      <c r="CK8" s="27">
        <v>0</v>
      </c>
      <c r="CL8" s="27"/>
      <c r="CM8" s="27"/>
      <c r="CN8" s="27"/>
      <c r="CO8" s="27"/>
      <c r="CP8" s="27"/>
      <c r="CQ8" s="27">
        <v>13.9</v>
      </c>
      <c r="CR8" s="27">
        <v>9.1999999999999993</v>
      </c>
      <c r="CS8" s="27">
        <v>8.6</v>
      </c>
      <c r="CT8" s="27">
        <v>12.74</v>
      </c>
      <c r="CU8" s="27">
        <v>0.9</v>
      </c>
      <c r="CV8" s="32"/>
      <c r="CW8" s="7">
        <f t="shared" si="33"/>
        <v>37.51</v>
      </c>
      <c r="CX8" s="7">
        <f t="shared" si="34"/>
        <v>6.4</v>
      </c>
      <c r="CY8" s="7">
        <f t="shared" si="35"/>
        <v>28.190000000000005</v>
      </c>
      <c r="CZ8" s="7" t="str">
        <f t="shared" si="36"/>
        <v/>
      </c>
      <c r="DA8" s="7" t="str">
        <f t="shared" si="37"/>
        <v/>
      </c>
      <c r="DB8" s="7">
        <f t="shared" si="38"/>
        <v>65.7</v>
      </c>
      <c r="DC8" s="7">
        <f t="shared" si="39"/>
        <v>8.6</v>
      </c>
      <c r="DD8" s="7">
        <f t="shared" si="40"/>
        <v>43.540000000000006</v>
      </c>
      <c r="DE8" s="7">
        <f t="shared" si="41"/>
        <v>109.24000000000001</v>
      </c>
      <c r="DF8" s="13" t="str">
        <f t="shared" si="42"/>
        <v/>
      </c>
      <c r="DG8" s="13">
        <f t="shared" si="43"/>
        <v>18.370000000000005</v>
      </c>
      <c r="DH8" s="13">
        <f t="shared" si="44"/>
        <v>13.570000000000007</v>
      </c>
      <c r="DI8" s="13" t="str">
        <f t="shared" si="45"/>
        <v/>
      </c>
      <c r="DJ8" s="18">
        <v>15</v>
      </c>
      <c r="DK8" s="18">
        <v>9.6</v>
      </c>
      <c r="DL8" s="18">
        <v>0</v>
      </c>
      <c r="DM8" s="18">
        <v>13.61</v>
      </c>
      <c r="DN8" s="18">
        <v>0</v>
      </c>
      <c r="DO8" s="18">
        <v>12.3</v>
      </c>
      <c r="DP8" s="18">
        <v>8.4</v>
      </c>
      <c r="DQ8" s="18">
        <v>8.4</v>
      </c>
      <c r="DR8" s="18">
        <v>11.96</v>
      </c>
      <c r="DS8" s="18">
        <v>0</v>
      </c>
      <c r="DT8" s="18"/>
      <c r="DU8" s="18"/>
      <c r="DV8" s="18"/>
      <c r="DW8" s="18"/>
      <c r="DX8" s="18"/>
      <c r="DY8" s="7">
        <f t="shared" si="46"/>
        <v>8.4</v>
      </c>
      <c r="DZ8" s="7">
        <f t="shared" si="47"/>
        <v>38.21</v>
      </c>
      <c r="EA8" s="7">
        <f t="shared" si="48"/>
        <v>41.06</v>
      </c>
      <c r="EB8" s="7">
        <f t="shared" si="49"/>
        <v>79.27000000000001</v>
      </c>
      <c r="EC8" s="7" t="str">
        <f t="shared" si="50"/>
        <v/>
      </c>
      <c r="ED8" s="7" t="str">
        <f t="shared" si="51"/>
        <v/>
      </c>
      <c r="EE8" s="7">
        <f t="shared" si="52"/>
        <v>79.27000000000001</v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16.399999999999999</v>
      </c>
      <c r="NO8" s="27">
        <f t="shared" si="130"/>
        <v>9.75</v>
      </c>
      <c r="NP8" s="27">
        <f t="shared" si="130"/>
        <v>0</v>
      </c>
      <c r="NQ8" s="27">
        <f t="shared" si="130"/>
        <v>13.379999999999999</v>
      </c>
      <c r="NR8" s="27">
        <f t="shared" si="130"/>
        <v>1</v>
      </c>
      <c r="NS8" s="27">
        <f t="shared" si="130"/>
        <v>7.5</v>
      </c>
      <c r="NT8" s="27">
        <f t="shared" si="130"/>
        <v>4.9000000000000004</v>
      </c>
      <c r="NU8" s="27">
        <f t="shared" si="130"/>
        <v>5.8000000000000007</v>
      </c>
      <c r="NV8" s="27">
        <f t="shared" si="130"/>
        <v>7.24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13.4</v>
      </c>
      <c r="OD8" s="27">
        <f t="shared" si="131"/>
        <v>9.4499999999999993</v>
      </c>
      <c r="OE8" s="27">
        <f t="shared" si="131"/>
        <v>9.5500000000000007</v>
      </c>
      <c r="OF8" s="27">
        <f t="shared" si="131"/>
        <v>12.875</v>
      </c>
      <c r="OG8" s="27">
        <f t="shared" si="131"/>
        <v>0.45</v>
      </c>
      <c r="OH8" s="32" t="s">
        <v>44</v>
      </c>
      <c r="OI8" s="7">
        <f t="shared" si="132"/>
        <v>38.53</v>
      </c>
      <c r="OJ8" s="7">
        <f t="shared" si="133"/>
        <v>5.8000000000000007</v>
      </c>
      <c r="OK8" s="7">
        <f t="shared" si="134"/>
        <v>25.440000000000005</v>
      </c>
      <c r="OL8" s="7" t="str">
        <f t="shared" si="135"/>
        <v/>
      </c>
      <c r="OM8" s="7" t="str">
        <f t="shared" si="136"/>
        <v/>
      </c>
      <c r="ON8" s="7">
        <f t="shared" si="137"/>
        <v>63.970000000000006</v>
      </c>
      <c r="OO8" s="7">
        <f t="shared" si="138"/>
        <v>9.5500000000000007</v>
      </c>
      <c r="OP8" s="7">
        <f t="shared" ref="OP8" si="147">IF(SUM(OC8:OF8)-OG8&gt;0,SUM(OC8:OF8)-OG8,"")</f>
        <v>44.825000000000003</v>
      </c>
      <c r="OQ8" s="7">
        <f t="shared" ref="OQ8" si="148">IF(SUM(ON8,OP8)&gt;0,SUM(ON8,OP8),"")</f>
        <v>108.79500000000002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90</v>
      </c>
      <c r="C9" s="4" t="s">
        <v>66</v>
      </c>
      <c r="D9" s="4">
        <v>2008</v>
      </c>
      <c r="E9" s="10">
        <f t="shared" si="0"/>
        <v>94.48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49.43</v>
      </c>
      <c r="J9" s="9" t="str">
        <f t="shared" si="5"/>
        <v>2023 3rd Domestic Trial</v>
      </c>
      <c r="K9" s="9">
        <f t="shared" si="6"/>
        <v>39.71</v>
      </c>
      <c r="L9" s="9" t="str">
        <f t="shared" si="7"/>
        <v>2024 Elite Canada</v>
      </c>
      <c r="M9" s="9">
        <f t="shared" si="8"/>
        <v>5.34</v>
      </c>
      <c r="N9" s="9" t="str">
        <f t="shared" si="9"/>
        <v>2024 Elite Canada</v>
      </c>
      <c r="O9" s="9">
        <f t="shared" si="10"/>
        <v>0</v>
      </c>
      <c r="P9" s="9" t="str">
        <f t="shared" si="11"/>
        <v/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>
        <v>3.2</v>
      </c>
      <c r="U9" s="27">
        <v>1.8</v>
      </c>
      <c r="V9" s="27">
        <v>0</v>
      </c>
      <c r="W9" s="27">
        <v>2.9</v>
      </c>
      <c r="X9" s="27">
        <v>0</v>
      </c>
      <c r="Y9" s="27">
        <v>12.1</v>
      </c>
      <c r="Z9" s="27">
        <v>7.9</v>
      </c>
      <c r="AA9" s="27">
        <v>8.8999999999999986</v>
      </c>
      <c r="AB9" s="27">
        <v>12.63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 t="shared" si="15"/>
        <v>7.9</v>
      </c>
      <c r="AP9" s="7">
        <f t="shared" si="16"/>
        <v>8.8999999999999986</v>
      </c>
      <c r="AQ9" s="7">
        <f t="shared" si="17"/>
        <v>41.53</v>
      </c>
      <c r="AR9" s="7" t="str">
        <f t="shared" si="18"/>
        <v/>
      </c>
      <c r="AS9" s="7" t="str">
        <f t="shared" si="19"/>
        <v/>
      </c>
      <c r="AT9" s="7">
        <f t="shared" si="20"/>
        <v>49.43</v>
      </c>
      <c r="AU9" s="7" t="str">
        <f t="shared" si="21"/>
        <v/>
      </c>
      <c r="AV9" s="7" t="str">
        <f t="shared" si="22"/>
        <v/>
      </c>
      <c r="AW9" s="7">
        <f t="shared" si="23"/>
        <v>49.43</v>
      </c>
      <c r="AX9" s="31">
        <v>15.6</v>
      </c>
      <c r="AY9" s="31">
        <v>9.6</v>
      </c>
      <c r="AZ9" s="31">
        <v>0</v>
      </c>
      <c r="BA9" s="31">
        <v>14.51</v>
      </c>
      <c r="BB9" s="31">
        <v>0</v>
      </c>
      <c r="BC9" s="31">
        <v>1.4</v>
      </c>
      <c r="BD9" s="31">
        <v>0.9</v>
      </c>
      <c r="BE9" s="31">
        <v>1.5</v>
      </c>
      <c r="BF9" s="31">
        <v>1.54</v>
      </c>
      <c r="BG9" s="31">
        <v>0</v>
      </c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>
        <f t="shared" si="24"/>
        <v>39.71</v>
      </c>
      <c r="BT9" s="9">
        <f t="shared" si="25"/>
        <v>1.5</v>
      </c>
      <c r="BU9" s="9">
        <f t="shared" si="26"/>
        <v>5.34</v>
      </c>
      <c r="BV9" s="9" t="str">
        <f t="shared" si="27"/>
        <v/>
      </c>
      <c r="BW9" s="9" t="str">
        <f t="shared" si="28"/>
        <v/>
      </c>
      <c r="BX9" s="9">
        <f t="shared" si="29"/>
        <v>45.05</v>
      </c>
      <c r="BY9" s="9" t="str">
        <f t="shared" si="30"/>
        <v/>
      </c>
      <c r="BZ9" s="9" t="str">
        <f t="shared" si="31"/>
        <v/>
      </c>
      <c r="CA9" s="9">
        <f t="shared" si="32"/>
        <v>45.05</v>
      </c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 t="str">
        <f t="shared" si="33"/>
        <v/>
      </c>
      <c r="CX9" s="7" t="str">
        <f t="shared" si="34"/>
        <v/>
      </c>
      <c r="CY9" s="7" t="str">
        <f t="shared" si="35"/>
        <v/>
      </c>
      <c r="CZ9" s="7" t="str">
        <f t="shared" si="36"/>
        <v/>
      </c>
      <c r="DA9" s="7" t="str">
        <f t="shared" si="37"/>
        <v/>
      </c>
      <c r="DB9" s="7" t="str">
        <f t="shared" si="38"/>
        <v/>
      </c>
      <c r="DC9" s="7" t="str">
        <f t="shared" si="39"/>
        <v/>
      </c>
      <c r="DD9" s="7" t="str">
        <f t="shared" si="40"/>
        <v/>
      </c>
      <c r="DE9" s="7" t="str">
        <f t="shared" si="41"/>
        <v/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7.8</v>
      </c>
      <c r="NO9" s="27">
        <f t="shared" si="130"/>
        <v>4.8</v>
      </c>
      <c r="NP9" s="27">
        <f t="shared" si="130"/>
        <v>0</v>
      </c>
      <c r="NQ9" s="27">
        <f t="shared" si="130"/>
        <v>7.2549999999999999</v>
      </c>
      <c r="NR9" s="27">
        <f t="shared" si="130"/>
        <v>0</v>
      </c>
      <c r="NS9" s="27">
        <f t="shared" si="130"/>
        <v>0.7</v>
      </c>
      <c r="NT9" s="27">
        <f t="shared" si="130"/>
        <v>0.45</v>
      </c>
      <c r="NU9" s="27">
        <f t="shared" si="130"/>
        <v>0.75</v>
      </c>
      <c r="NV9" s="27">
        <f t="shared" si="130"/>
        <v>0.77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0</v>
      </c>
      <c r="OD9" s="27">
        <f t="shared" si="131"/>
        <v>0</v>
      </c>
      <c r="OE9" s="27">
        <f t="shared" si="131"/>
        <v>0</v>
      </c>
      <c r="OF9" s="27">
        <f t="shared" si="131"/>
        <v>0</v>
      </c>
      <c r="OG9" s="27">
        <f t="shared" si="131"/>
        <v>0</v>
      </c>
      <c r="OH9" s="32" t="s">
        <v>44</v>
      </c>
      <c r="OI9" s="7">
        <f t="shared" si="132"/>
        <v>19.855</v>
      </c>
      <c r="OJ9" s="7">
        <f t="shared" si="133"/>
        <v>0.75</v>
      </c>
      <c r="OK9" s="7">
        <f t="shared" si="134"/>
        <v>2.67</v>
      </c>
      <c r="OL9" s="7" t="str">
        <f t="shared" si="135"/>
        <v/>
      </c>
      <c r="OM9" s="7" t="str">
        <f t="shared" si="136"/>
        <v/>
      </c>
      <c r="ON9" s="7">
        <f t="shared" si="137"/>
        <v>22.524999999999999</v>
      </c>
      <c r="OO9" s="7" t="str">
        <f t="shared" si="138"/>
        <v/>
      </c>
      <c r="OP9" s="7" t="str">
        <f t="shared" ref="OP9" si="149">IF(SUM(OC9:OF9)-OG9&gt;0,SUM(OC9:OF9)-OG9,"")</f>
        <v/>
      </c>
      <c r="OQ9" s="7">
        <f t="shared" ref="OQ9" si="150">IF(SUM(ON9,OP9)&gt;0,SUM(ON9,OP9),"")</f>
        <v>22.524999999999999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141.10001411000474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47.300000000000004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17.399999999999999</v>
      </c>
      <c r="S4" s="20">
        <v>5.3</v>
      </c>
      <c r="T4" s="20">
        <v>0</v>
      </c>
      <c r="U4" s="20">
        <v>0.6</v>
      </c>
      <c r="V4" s="20">
        <v>17.3</v>
      </c>
      <c r="W4" s="20">
        <v>5.5</v>
      </c>
      <c r="X4" s="20">
        <v>0</v>
      </c>
      <c r="Y4" s="20">
        <v>0.6</v>
      </c>
      <c r="Z4" s="20">
        <v>17</v>
      </c>
      <c r="AA4" s="20">
        <v>5.5</v>
      </c>
      <c r="AB4" s="20">
        <v>0</v>
      </c>
      <c r="AC4" s="20">
        <v>0.6</v>
      </c>
      <c r="AD4" s="20">
        <v>17</v>
      </c>
      <c r="AE4" s="20">
        <v>5.3</v>
      </c>
      <c r="AF4" s="20">
        <v>0</v>
      </c>
      <c r="AG4" s="20">
        <v>0.6</v>
      </c>
      <c r="AH4" s="20">
        <v>15.8</v>
      </c>
      <c r="AI4" s="20">
        <v>3.3</v>
      </c>
      <c r="AJ4" s="20">
        <v>0</v>
      </c>
      <c r="AK4" s="20">
        <v>0.6</v>
      </c>
      <c r="AL4" s="32"/>
      <c r="AM4" s="55">
        <f>IF(SUM(S4,W4)&gt;0,SUM(S4,W4),"")</f>
        <v>10.8</v>
      </c>
      <c r="AN4" s="55">
        <f>IF(SUM(R4:S4,U4:W4,Y4)-T4-X4&gt;0,SUM(R4:S4,U4:W4,Y4)-T4-X4,"")</f>
        <v>46.7</v>
      </c>
      <c r="AO4" s="55">
        <f>IF(SUM(Z4:AA4,AC4)-AB4&gt;0,SUM(Z4:AA4,AC4)-AB4,"")</f>
        <v>23.1</v>
      </c>
      <c r="AP4" s="55">
        <f>IF(SUM(AE4,AI4)&gt;0,SUM(AE4,AI4),"")</f>
        <v>8.6</v>
      </c>
      <c r="AQ4" s="55">
        <f>IF(SUM(AD4:AE4,AG4:AI4,AK4)-SUM(AF4,AJ4)&gt;0,SUM(AD4:AE4,AG4:AI4,AK4)-SUM(AF4,AJ4),"")</f>
        <v>42.6</v>
      </c>
      <c r="AR4" s="55">
        <f>IF(SUM(AN4,AO4,AQ4)&gt;0,SUM(AN4,AO4,AQ4),"")</f>
        <v>112.4</v>
      </c>
      <c r="AS4" s="19">
        <v>16</v>
      </c>
      <c r="AT4" s="19">
        <v>6.8</v>
      </c>
      <c r="AU4" s="19">
        <v>0.2</v>
      </c>
      <c r="AV4" s="19">
        <v>0.6</v>
      </c>
      <c r="AW4" s="19">
        <v>16.5</v>
      </c>
      <c r="AX4" s="19">
        <v>6.8</v>
      </c>
      <c r="AY4" s="19">
        <v>0</v>
      </c>
      <c r="AZ4" s="19">
        <v>0.6</v>
      </c>
      <c r="BA4" s="19">
        <v>16.2</v>
      </c>
      <c r="BB4" s="19">
        <v>7.5</v>
      </c>
      <c r="BC4" s="19">
        <v>0</v>
      </c>
      <c r="BD4" s="19">
        <v>0.6</v>
      </c>
      <c r="BE4" s="19">
        <v>15</v>
      </c>
      <c r="BF4" s="19">
        <v>4.3</v>
      </c>
      <c r="BG4" s="19">
        <v>0.4</v>
      </c>
      <c r="BH4" s="19">
        <v>0.3</v>
      </c>
      <c r="BI4" s="19">
        <v>15.1</v>
      </c>
      <c r="BJ4" s="19">
        <v>7.3</v>
      </c>
      <c r="BK4" s="19">
        <v>0</v>
      </c>
      <c r="BL4" s="19">
        <v>0.6</v>
      </c>
      <c r="BM4" s="33"/>
      <c r="BN4" s="14">
        <f>IF(SUM(AT4,AX4)&gt;0,SUM(AT4,AX4),"")</f>
        <v>13.6</v>
      </c>
      <c r="BO4" s="14">
        <f>IF(SUM(AS4:AT4,AV4:AX4,AZ4)-AU4-AY4&gt;0,SUM(AS4:AT4,AV4:AX4,AZ4)-AU4-AY4,"")</f>
        <v>47.1</v>
      </c>
      <c r="BP4" s="14">
        <f>IF(SUM(BA4:BB4,BD4)-BC4&gt;0,SUM(BA4:BB4,BD4)-BC4,"")</f>
        <v>24.3</v>
      </c>
      <c r="BQ4" s="14">
        <f>IF(SUM(BF4,BJ4)&gt;0,SUM(BF4,BJ4),"")</f>
        <v>11.6</v>
      </c>
      <c r="BR4" s="14">
        <f>IF(SUM(BE4:BF4,BH4:BJ4,BL4)-SUM(BG4,BK4)&gt;0,SUM(BE4:BF4,BH4:BJ4,BL4)-SUM(BG4,BK4),"")</f>
        <v>42.2</v>
      </c>
      <c r="BS4" s="14">
        <f>IF(SUM(BO4,BP4,BR4)&gt;0,SUM(BO4,BP4,BR4),"")</f>
        <v>113.60000000000001</v>
      </c>
      <c r="BT4" s="20">
        <v>14.7</v>
      </c>
      <c r="BU4" s="20">
        <v>5.5</v>
      </c>
      <c r="BV4" s="20">
        <v>0</v>
      </c>
      <c r="BW4" s="20">
        <v>0.6</v>
      </c>
      <c r="BX4" s="20">
        <v>15.5</v>
      </c>
      <c r="BY4" s="20">
        <v>6.1</v>
      </c>
      <c r="BZ4" s="20">
        <v>0</v>
      </c>
      <c r="CA4" s="20">
        <v>0.6</v>
      </c>
      <c r="CB4" s="20">
        <v>16</v>
      </c>
      <c r="CC4" s="20">
        <v>7.5</v>
      </c>
      <c r="CD4" s="20">
        <v>0</v>
      </c>
      <c r="CE4" s="20">
        <v>0.6</v>
      </c>
      <c r="CF4" s="20">
        <v>15.7</v>
      </c>
      <c r="CG4" s="20">
        <v>6.8</v>
      </c>
      <c r="CH4" s="20">
        <v>0</v>
      </c>
      <c r="CI4" s="20">
        <v>0.6</v>
      </c>
      <c r="CJ4" s="20">
        <v>16.100000000000001</v>
      </c>
      <c r="CK4" s="20">
        <v>7.5</v>
      </c>
      <c r="CL4" s="20">
        <v>0</v>
      </c>
      <c r="CM4" s="20">
        <v>0.6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43</v>
      </c>
      <c r="CQ4" s="55">
        <f>IF(SUM(CB4:CC4,CE4)-CD4&gt;0,SUM(CB4:CC4,CE4)-CD4,"")</f>
        <v>24.1</v>
      </c>
      <c r="CR4" s="55">
        <f>IF(SUM(CG4,CK4)&gt;0,SUM(CG4,CK4),"")</f>
        <v>14.3</v>
      </c>
      <c r="CS4" s="55">
        <f>IF(SUM(CF4:CG4,CI4:CK4,CM4)-SUM(CH4,CL4)&gt;0,SUM(CF4:CG4,CI4:CK4,CM4)-SUM(CH4,CL4),"")</f>
        <v>47.300000000000004</v>
      </c>
      <c r="CT4" s="55">
        <f>IF(SUM(CP4,CQ4,CS4)&gt;0,SUM(CP4,CQ4,CS4),"")</f>
        <v>114.4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15.35</v>
      </c>
      <c r="OX4" s="27">
        <f t="shared" si="0"/>
        <v>6.15</v>
      </c>
      <c r="OY4" s="27">
        <f t="shared" si="0"/>
        <v>0.1</v>
      </c>
      <c r="OZ4" s="27">
        <f t="shared" si="0"/>
        <v>0.6</v>
      </c>
      <c r="PA4" s="27">
        <f t="shared" si="0"/>
        <v>16</v>
      </c>
      <c r="PB4" s="27">
        <f t="shared" si="0"/>
        <v>6.4499999999999993</v>
      </c>
      <c r="PC4" s="27">
        <f t="shared" si="0"/>
        <v>0</v>
      </c>
      <c r="PD4" s="27">
        <f t="shared" si="0"/>
        <v>0.6</v>
      </c>
      <c r="PE4" s="27">
        <f t="shared" si="0"/>
        <v>16.100000000000001</v>
      </c>
      <c r="PF4" s="27">
        <f t="shared" si="0"/>
        <v>7.5</v>
      </c>
      <c r="PG4" s="27">
        <f t="shared" ref="PG4:PP6" si="1">IF($CN4="P",CD4,(CD4+BC4)/2)</f>
        <v>0</v>
      </c>
      <c r="PH4" s="27">
        <f t="shared" si="1"/>
        <v>0.6</v>
      </c>
      <c r="PI4" s="27">
        <f t="shared" si="1"/>
        <v>15.35</v>
      </c>
      <c r="PJ4" s="27">
        <f t="shared" si="1"/>
        <v>5.55</v>
      </c>
      <c r="PK4" s="27">
        <f t="shared" si="1"/>
        <v>0.2</v>
      </c>
      <c r="PL4" s="27">
        <f t="shared" si="1"/>
        <v>0.44999999999999996</v>
      </c>
      <c r="PM4" s="27">
        <f t="shared" si="1"/>
        <v>15.600000000000001</v>
      </c>
      <c r="PN4" s="27">
        <f t="shared" si="1"/>
        <v>7.4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12.6</v>
      </c>
      <c r="PS4" s="55">
        <f>IF(SUM(OW4:OX4,OZ4:PB4,PD4)-OY4-PC4&gt;0,SUM(OW4:OX4,OZ4:PB4,PD4)-OY4-PC4,"")</f>
        <v>45.05</v>
      </c>
      <c r="PT4" s="55">
        <f>IF(SUM(PE4:PF4,PH4)-PG4&gt;0,SUM(PE4:PF4,PH4)-PG4,"")</f>
        <v>24.200000000000003</v>
      </c>
      <c r="PU4" s="55">
        <f>IF(SUM(PJ4,PN4)&gt;0,SUM(PJ4,PN4),"")</f>
        <v>12.95</v>
      </c>
      <c r="PV4" s="55">
        <f>IF(SUM(PI4:PJ4,PL4:PN4,PP4)-SUM(PK4,PO4)&gt;0,SUM(PI4:PJ4,PL4:PN4,PP4)-SUM(PK4,PO4),"")</f>
        <v>44.75</v>
      </c>
      <c r="PW4" s="55">
        <f>IF(SUM(PS4,PT4,PV4)&gt;0,SUM(PS4,PT4,PV4),"")</f>
        <v>114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134.80001348000459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45.6</v>
      </c>
      <c r="L5" s="9" t="str">
        <f>IF(K5=0,"",IF(K5=CP5,$BT$1,IF(K5=BO5,$AS$1,IF(K5=AN5,$R$1,""))))</f>
        <v>2024 Nationals</v>
      </c>
      <c r="M5" s="9">
        <f>IF(MAX(AQ5,BR5,CS5)&gt;0,MAX(AQ5,BR5,CS5),0)</f>
        <v>43.500000000000007</v>
      </c>
      <c r="N5" s="9" t="str">
        <f>IF(M5=0,"",IF(M5=CS5,$BT$1,IF(M5=BR5,$AS$1,IF(M5=AQ5,$R$1,""))))</f>
        <v>2024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16.3</v>
      </c>
      <c r="AT5" s="19">
        <v>5.9</v>
      </c>
      <c r="AU5" s="19">
        <v>0.2</v>
      </c>
      <c r="AV5" s="19">
        <v>0.6</v>
      </c>
      <c r="AW5" s="19">
        <v>16.7</v>
      </c>
      <c r="AX5" s="19">
        <v>5.8</v>
      </c>
      <c r="AY5" s="19">
        <v>0</v>
      </c>
      <c r="AZ5" s="19">
        <v>0.6</v>
      </c>
      <c r="BA5" s="19">
        <v>16.5</v>
      </c>
      <c r="BB5" s="19">
        <v>5.8</v>
      </c>
      <c r="BC5" s="19">
        <v>0</v>
      </c>
      <c r="BD5" s="19">
        <v>0.6</v>
      </c>
      <c r="BE5" s="19">
        <v>13.8</v>
      </c>
      <c r="BF5" s="19">
        <v>4.5999999999999996</v>
      </c>
      <c r="BG5" s="19">
        <v>0</v>
      </c>
      <c r="BH5" s="19">
        <v>0.3</v>
      </c>
      <c r="BI5" s="19">
        <v>16.8</v>
      </c>
      <c r="BJ5" s="19">
        <v>5.8</v>
      </c>
      <c r="BK5" s="19">
        <v>0</v>
      </c>
      <c r="BL5" s="19">
        <v>0.6</v>
      </c>
      <c r="BM5" s="33"/>
      <c r="BN5" s="14">
        <f>IF(SUM(AT5,AX5)&gt;0,SUM(AT5,AX5),"")</f>
        <v>11.7</v>
      </c>
      <c r="BO5" s="14">
        <f>IF(SUM(AS5:AT5,AV5:AX5,AZ5)-AU5-AY5&gt;0,SUM(AS5:AT5,AV5:AX5,AZ5)-AU5-AY5,"")</f>
        <v>45.699999999999996</v>
      </c>
      <c r="BP5" s="14">
        <f>IF(SUM(BA5:BB5,BD5)-BC5&gt;0,SUM(BA5:BB5,BD5)-BC5,"")</f>
        <v>22.900000000000002</v>
      </c>
      <c r="BQ5" s="14">
        <f>IF(SUM(BF5,BJ5)&gt;0,SUM(BF5,BJ5),"")</f>
        <v>10.399999999999999</v>
      </c>
      <c r="BR5" s="14">
        <f>IF(SUM(BE5:BF5,BH5:BJ5,BL5)-SUM(BG5,BK5)&gt;0,SUM(BE5:BF5,BH5:BJ5,BL5)-SUM(BG5,BK5),"")</f>
        <v>41.9</v>
      </c>
      <c r="BS5" s="14">
        <f>IF(SUM(BO5,BP5,BR5)&gt;0,SUM(BO5,BP5,BR5),"")</f>
        <v>110.5</v>
      </c>
      <c r="BT5" s="20">
        <v>16.600000000000001</v>
      </c>
      <c r="BU5" s="20">
        <v>5.7</v>
      </c>
      <c r="BV5" s="20">
        <v>0</v>
      </c>
      <c r="BW5" s="20">
        <v>0.3</v>
      </c>
      <c r="BX5" s="20">
        <v>16.600000000000001</v>
      </c>
      <c r="BY5" s="20">
        <v>5.8</v>
      </c>
      <c r="BZ5" s="20">
        <v>0</v>
      </c>
      <c r="CA5" s="20">
        <v>0.6</v>
      </c>
      <c r="CB5" s="20">
        <v>16.600000000000001</v>
      </c>
      <c r="CC5" s="20">
        <v>6</v>
      </c>
      <c r="CD5" s="20">
        <v>0</v>
      </c>
      <c r="CE5" s="20">
        <v>0.6</v>
      </c>
      <c r="CF5" s="20">
        <v>16.600000000000001</v>
      </c>
      <c r="CG5" s="20">
        <v>5.8</v>
      </c>
      <c r="CH5" s="20">
        <v>0</v>
      </c>
      <c r="CI5" s="20">
        <v>0.6</v>
      </c>
      <c r="CJ5" s="20">
        <v>17.600000000000001</v>
      </c>
      <c r="CK5" s="20">
        <v>3.5</v>
      </c>
      <c r="CL5" s="20">
        <v>0.6</v>
      </c>
      <c r="CM5" s="20">
        <v>0</v>
      </c>
      <c r="CN5" s="32"/>
      <c r="CO5" s="55">
        <f>IF(SUM(BU5,BY5)&gt;0,SUM(BU5,BY5),"")</f>
        <v>11.5</v>
      </c>
      <c r="CP5" s="55">
        <f>IF(SUM(BT5:BU5,BW5:BY5,CA5)-BV5-BZ5&gt;0,SUM(BT5:BU5,BW5:BY5,CA5)-BV5-BZ5,"")</f>
        <v>45.6</v>
      </c>
      <c r="CQ5" s="55">
        <f>IF(SUM(CB5:CC5,CE5)-CD5&gt;0,SUM(CB5:CC5,CE5)-CD5,"")</f>
        <v>23.200000000000003</v>
      </c>
      <c r="CR5" s="55">
        <f>IF(SUM(CG5,CK5)&gt;0,SUM(CG5,CK5),"")</f>
        <v>9.3000000000000007</v>
      </c>
      <c r="CS5" s="55">
        <f>IF(SUM(CF5:CG5,CI5:CK5,CM5)-SUM(CH5,CL5)&gt;0,SUM(CF5:CG5,CI5:CK5,CM5)-SUM(CH5,CL5),"")</f>
        <v>43.500000000000007</v>
      </c>
      <c r="CT5" s="55">
        <f>IF(SUM(CP5,CQ5,CS5)&gt;0,SUM(CP5,CQ5,CS5),"")</f>
        <v>112.30000000000001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16.450000000000003</v>
      </c>
      <c r="OX5" s="27">
        <f t="shared" si="0"/>
        <v>5.8000000000000007</v>
      </c>
      <c r="OY5" s="27">
        <f t="shared" si="0"/>
        <v>0.1</v>
      </c>
      <c r="OZ5" s="27">
        <f t="shared" si="0"/>
        <v>0.44999999999999996</v>
      </c>
      <c r="PA5" s="27">
        <f t="shared" si="0"/>
        <v>16.649999999999999</v>
      </c>
      <c r="PB5" s="27">
        <f t="shared" si="0"/>
        <v>5.8</v>
      </c>
      <c r="PC5" s="27">
        <f t="shared" si="0"/>
        <v>0</v>
      </c>
      <c r="PD5" s="27">
        <f t="shared" si="0"/>
        <v>0.6</v>
      </c>
      <c r="PE5" s="27">
        <f t="shared" si="0"/>
        <v>16.55</v>
      </c>
      <c r="PF5" s="27">
        <f t="shared" si="0"/>
        <v>5.9</v>
      </c>
      <c r="PG5" s="27">
        <f t="shared" si="1"/>
        <v>0</v>
      </c>
      <c r="PH5" s="27">
        <f t="shared" si="1"/>
        <v>0.6</v>
      </c>
      <c r="PI5" s="27">
        <f t="shared" si="1"/>
        <v>15.200000000000001</v>
      </c>
      <c r="PJ5" s="27">
        <f t="shared" si="1"/>
        <v>5.1999999999999993</v>
      </c>
      <c r="PK5" s="27">
        <f t="shared" si="1"/>
        <v>0</v>
      </c>
      <c r="PL5" s="27">
        <f t="shared" si="1"/>
        <v>0.44999999999999996</v>
      </c>
      <c r="PM5" s="27">
        <f t="shared" si="1"/>
        <v>17.200000000000003</v>
      </c>
      <c r="PN5" s="27">
        <f t="shared" si="1"/>
        <v>4.6500000000000004</v>
      </c>
      <c r="PO5" s="27">
        <f t="shared" si="1"/>
        <v>0.3</v>
      </c>
      <c r="PP5" s="27">
        <f t="shared" si="1"/>
        <v>0.3</v>
      </c>
      <c r="PQ5" s="32" t="s">
        <v>44</v>
      </c>
      <c r="PR5" s="55">
        <f>IF(SUM(OX5,PB5)&gt;0,SUM(OX5,PB5),"")</f>
        <v>11.600000000000001</v>
      </c>
      <c r="PS5" s="55">
        <f>IF(SUM(OW5:OX5,OZ5:PB5,PD5)-OY5-PC5&gt;0,SUM(OW5:OX5,OZ5:PB5,PD5)-OY5-PC5,"")</f>
        <v>45.65</v>
      </c>
      <c r="PT5" s="55">
        <f>IF(SUM(PE5:PF5,PH5)-PG5&gt;0,SUM(PE5:PF5,PH5)-PG5,"")</f>
        <v>23.050000000000004</v>
      </c>
      <c r="PU5" s="55">
        <f>IF(SUM(PJ5,PN5)&gt;0,SUM(PJ5,PN5),"")</f>
        <v>9.85</v>
      </c>
      <c r="PV5" s="55">
        <f>IF(SUM(PI5:PJ5,PL5:PN5,PP5)-SUM(PK5,PO5)&gt;0,SUM(PI5:PJ5,PL5:PN5,PP5)-SUM(PK5,PO5),"")</f>
        <v>42.699999999999996</v>
      </c>
      <c r="PW5" s="55">
        <f>IF(SUM(PS5,PT5,PV5)&gt;0,SUM(PS5,PT5,PV5),"")</f>
        <v>111.4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131.90001319000436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41.300000000000004</v>
      </c>
      <c r="L6" s="9" t="str">
        <f>IF(K6=0,"",IF(K6=CP6,$BT$1,IF(K6=BO6,$AS$1,IF(K6=AN6,$R$1,""))))</f>
        <v>2024 Nationals</v>
      </c>
      <c r="M6" s="9">
        <f>IF(MAX(AQ6,BR6,CS6)&gt;0,MAX(AQ6,BR6,CS6),0)</f>
        <v>47</v>
      </c>
      <c r="N6" s="9" t="str">
        <f>IF(M6=0,"",IF(M6=CS6,$BT$1,IF(M6=BR6,$AS$1,IF(M6=AQ6,$R$1,""))))</f>
        <v>2024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16.399999999999999</v>
      </c>
      <c r="AT6" s="19">
        <v>6.1</v>
      </c>
      <c r="AU6" s="19">
        <v>0</v>
      </c>
      <c r="AV6" s="19">
        <v>0.6</v>
      </c>
      <c r="AW6" s="19">
        <v>14.6</v>
      </c>
      <c r="AX6" s="19">
        <v>5.7</v>
      </c>
      <c r="AY6" s="19">
        <v>0.4</v>
      </c>
      <c r="AZ6" s="19">
        <v>0.6</v>
      </c>
      <c r="BA6" s="19">
        <v>15.9</v>
      </c>
      <c r="BB6" s="19">
        <v>7.5</v>
      </c>
      <c r="BC6" s="19">
        <v>0</v>
      </c>
      <c r="BD6" s="19">
        <v>0.6</v>
      </c>
      <c r="BE6" s="19">
        <v>16.3</v>
      </c>
      <c r="BF6" s="19">
        <v>7.5</v>
      </c>
      <c r="BG6" s="19">
        <v>0</v>
      </c>
      <c r="BH6" s="19">
        <v>0.6</v>
      </c>
      <c r="BI6" s="19">
        <v>15.5</v>
      </c>
      <c r="BJ6" s="19">
        <v>5.8</v>
      </c>
      <c r="BK6" s="19">
        <v>0</v>
      </c>
      <c r="BL6" s="19">
        <v>0.6</v>
      </c>
      <c r="BM6" s="33"/>
      <c r="BN6" s="14">
        <f>IF(SUM(AT6,AX6)&gt;0,SUM(AT6,AX6),"")</f>
        <v>11.8</v>
      </c>
      <c r="BO6" s="14">
        <f>IF(SUM(AS6:AT6,AV6:AX6,AZ6)-AU6-AY6&gt;0,SUM(AS6:AT6,AV6:AX6,AZ6)-AU6-AY6,"")</f>
        <v>43.600000000000009</v>
      </c>
      <c r="BP6" s="14">
        <f>IF(SUM(BA6:BB6,BD6)-BC6&gt;0,SUM(BA6:BB6,BD6)-BC6,"")</f>
        <v>24</v>
      </c>
      <c r="BQ6" s="14">
        <f>IF(SUM(BF6,BJ6)&gt;0,SUM(BF6,BJ6),"")</f>
        <v>13.3</v>
      </c>
      <c r="BR6" s="14">
        <f>IF(SUM(BE6:BF6,BH6:BJ6,BL6)-SUM(BG6,BK6)&gt;0,SUM(BE6:BF6,BH6:BJ6,BL6)-SUM(BG6,BK6),"")</f>
        <v>46.300000000000004</v>
      </c>
      <c r="BS6" s="14">
        <f>IF(SUM(BO6,BP6,BR6)&gt;0,SUM(BO6,BP6,BR6),"")</f>
        <v>113.9</v>
      </c>
      <c r="BT6" s="20">
        <v>15</v>
      </c>
      <c r="BU6" s="20">
        <v>6.5</v>
      </c>
      <c r="BV6" s="20">
        <v>1</v>
      </c>
      <c r="BW6" s="20">
        <v>0</v>
      </c>
      <c r="BX6" s="20">
        <v>14</v>
      </c>
      <c r="BY6" s="20">
        <v>6.2</v>
      </c>
      <c r="BZ6" s="20">
        <v>0</v>
      </c>
      <c r="CA6" s="20">
        <v>0.6</v>
      </c>
      <c r="CB6" s="20">
        <v>15.2</v>
      </c>
      <c r="CC6" s="20">
        <v>7.5</v>
      </c>
      <c r="CD6" s="20">
        <v>0</v>
      </c>
      <c r="CE6" s="20">
        <v>0.6</v>
      </c>
      <c r="CF6" s="20">
        <v>15.6</v>
      </c>
      <c r="CG6" s="20">
        <v>7.9</v>
      </c>
      <c r="CH6" s="20">
        <v>0</v>
      </c>
      <c r="CI6" s="20">
        <v>0.6</v>
      </c>
      <c r="CJ6" s="20">
        <v>15.5</v>
      </c>
      <c r="CK6" s="20">
        <v>6.8</v>
      </c>
      <c r="CL6" s="20">
        <v>0</v>
      </c>
      <c r="CM6" s="20">
        <v>0.6</v>
      </c>
      <c r="CN6" s="32"/>
      <c r="CO6" s="55">
        <f>IF(SUM(BU6,BY6)&gt;0,SUM(BU6,BY6),"")</f>
        <v>12.7</v>
      </c>
      <c r="CP6" s="55">
        <f>IF(SUM(BT6:BU6,BW6:BY6,CA6)-BV6-BZ6&gt;0,SUM(BT6:BU6,BW6:BY6,CA6)-BV6-BZ6,"")</f>
        <v>41.300000000000004</v>
      </c>
      <c r="CQ6" s="55">
        <f>IF(SUM(CB6:CC6,CE6)-CD6&gt;0,SUM(CB6:CC6,CE6)-CD6,"")</f>
        <v>23.3</v>
      </c>
      <c r="CR6" s="55">
        <f>IF(SUM(CG6,CK6)&gt;0,SUM(CG6,CK6),"")</f>
        <v>14.7</v>
      </c>
      <c r="CS6" s="55">
        <f>IF(SUM(CF6:CG6,CI6:CK6,CM6)-SUM(CH6,CL6)&gt;0,SUM(CF6:CG6,CI6:CK6,CM6)-SUM(CH6,CL6),"")</f>
        <v>47</v>
      </c>
      <c r="CT6" s="55">
        <f>IF(SUM(CP6,CQ6,CS6)&gt;0,SUM(CP6,CQ6,CS6),"")</f>
        <v>111.60000000000001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15.7</v>
      </c>
      <c r="OX6" s="27">
        <f t="shared" si="0"/>
        <v>6.3</v>
      </c>
      <c r="OY6" s="27">
        <f t="shared" si="0"/>
        <v>0.5</v>
      </c>
      <c r="OZ6" s="27">
        <f t="shared" si="0"/>
        <v>0.3</v>
      </c>
      <c r="PA6" s="27">
        <f t="shared" si="0"/>
        <v>14.3</v>
      </c>
      <c r="PB6" s="27">
        <f t="shared" si="0"/>
        <v>5.95</v>
      </c>
      <c r="PC6" s="27">
        <f t="shared" si="0"/>
        <v>0.2</v>
      </c>
      <c r="PD6" s="27">
        <f t="shared" si="0"/>
        <v>0.6</v>
      </c>
      <c r="PE6" s="27">
        <f t="shared" si="0"/>
        <v>15.55</v>
      </c>
      <c r="PF6" s="27">
        <f t="shared" si="0"/>
        <v>7.5</v>
      </c>
      <c r="PG6" s="27">
        <f t="shared" si="1"/>
        <v>0</v>
      </c>
      <c r="PH6" s="27">
        <f t="shared" si="1"/>
        <v>0.6</v>
      </c>
      <c r="PI6" s="27">
        <f t="shared" si="1"/>
        <v>15.95</v>
      </c>
      <c r="PJ6" s="27">
        <f t="shared" si="1"/>
        <v>7.7</v>
      </c>
      <c r="PK6" s="27">
        <f t="shared" si="1"/>
        <v>0</v>
      </c>
      <c r="PL6" s="27">
        <f t="shared" si="1"/>
        <v>0.6</v>
      </c>
      <c r="PM6" s="27">
        <f t="shared" si="1"/>
        <v>15.5</v>
      </c>
      <c r="PN6" s="27">
        <f t="shared" si="1"/>
        <v>6.3</v>
      </c>
      <c r="PO6" s="27">
        <f t="shared" si="1"/>
        <v>0</v>
      </c>
      <c r="PP6" s="27">
        <f t="shared" si="1"/>
        <v>0.6</v>
      </c>
      <c r="PQ6" s="32" t="s">
        <v>44</v>
      </c>
      <c r="PR6" s="55">
        <f>IF(SUM(OX6,PB6)&gt;0,SUM(OX6,PB6),"")</f>
        <v>12.25</v>
      </c>
      <c r="PS6" s="55">
        <f>IF(SUM(OW6:OX6,OZ6:PB6,PD6)-OY6-PC6&gt;0,SUM(OW6:OX6,OZ6:PB6,PD6)-OY6-PC6,"")</f>
        <v>42.45</v>
      </c>
      <c r="PT6" s="55">
        <f>IF(SUM(PE6:PF6,PH6)-PG6&gt;0,SUM(PE6:PF6,PH6)-PG6,"")</f>
        <v>23.650000000000002</v>
      </c>
      <c r="PU6" s="55">
        <f>IF(SUM(PJ6,PN6)&gt;0,SUM(PJ6,PN6),"")</f>
        <v>14</v>
      </c>
      <c r="PV6" s="55">
        <f>IF(SUM(PI6:PJ6,PL6:PN6,PP6)-SUM(PK6,PO6)&gt;0,SUM(PI6:PJ6,PL6:PN6,PP6)-SUM(PK6,PO6),"")</f>
        <v>46.65</v>
      </c>
      <c r="PW6" s="55">
        <f>IF(SUM(PS6,PT6,PV6)&gt;0,SUM(PS6,PT6,PV6),"")</f>
        <v>112.75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96</v>
      </c>
      <c r="C4" s="4" t="s">
        <v>66</v>
      </c>
      <c r="D4" s="4">
        <v>2008</v>
      </c>
      <c r="E4" s="10">
        <f>SUM(I4:O4)+SUM(I4:M4)*0.0000001+SUM(I4)*0.0000000000001</f>
        <v>120.40001204000392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39.1</v>
      </c>
      <c r="J4" s="9" t="str">
        <f>IF(I4=0,"",IF(I4=CP4,$BT$1,IF(I4=BO4,$AS$1,IF(I4=AN4,$R$1,""))))</f>
        <v>2024 Elite Canada</v>
      </c>
      <c r="K4" s="9">
        <f>IF(COUNT(AN4,BO4,CP4)&gt;1,LARGE((AN4,BO4,CP4),2),0)</f>
        <v>37.4</v>
      </c>
      <c r="L4" s="9" t="str">
        <f>IF(K4=0,"",IF(K4=CP4,$BT$1,IF(K4=BO4,$AS$1,IF(K4=AN4,$R$1,""))))</f>
        <v>2024 Nationals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15.9</v>
      </c>
      <c r="AT4" s="19">
        <v>6.1</v>
      </c>
      <c r="AU4" s="19">
        <v>0</v>
      </c>
      <c r="AV4" s="19">
        <v>0.3</v>
      </c>
      <c r="AW4" s="19">
        <v>15.3</v>
      </c>
      <c r="AX4" s="19">
        <v>2.5</v>
      </c>
      <c r="AY4" s="19">
        <v>1.3</v>
      </c>
      <c r="AZ4" s="19">
        <v>0.3</v>
      </c>
      <c r="BA4" s="19">
        <v>15.7</v>
      </c>
      <c r="BB4" s="19">
        <v>3.4</v>
      </c>
      <c r="BC4" s="19">
        <v>0.4</v>
      </c>
      <c r="BD4" s="19">
        <v>0.3</v>
      </c>
      <c r="BE4" s="19">
        <v>16.100000000000001</v>
      </c>
      <c r="BF4" s="19">
        <v>6.1</v>
      </c>
      <c r="BG4" s="19">
        <v>0</v>
      </c>
      <c r="BH4" s="19">
        <v>0.3</v>
      </c>
      <c r="BI4" s="19">
        <v>17.8</v>
      </c>
      <c r="BJ4" s="19">
        <v>3.6</v>
      </c>
      <c r="BK4" s="19">
        <v>0</v>
      </c>
      <c r="BL4" s="19">
        <v>0</v>
      </c>
      <c r="BM4" s="33"/>
      <c r="BN4" s="14">
        <f>IF(SUM(AT4,AX4)&gt;0,SUM(AT4,AX4),"")</f>
        <v>8.6</v>
      </c>
      <c r="BO4" s="14">
        <f>IF(SUM(AS4:AT4,AV4:AX4,AZ4)-AU4-AY4&gt;0,SUM(AS4:AT4,AV4:AX4,AZ4)-AU4-AY4,"")</f>
        <v>39.1</v>
      </c>
      <c r="BP4" s="14">
        <f>IF(SUM(BA4:BB4,BD4)-BC4&gt;0,SUM(BA4:BB4,BD4)-BC4,"")</f>
        <v>19</v>
      </c>
      <c r="BQ4" s="14">
        <f>IF(SUM(BF4,BJ4)&gt;0,SUM(BF4,BJ4),"")</f>
        <v>9.6999999999999993</v>
      </c>
      <c r="BR4" s="14">
        <f>IF(SUM(BE4:BF4,BH4:BJ4,BL4)-SUM(BG4,BK4)&gt;0,SUM(BE4:BF4,BH4:BJ4,BL4)-SUM(BG4,BK4),"")</f>
        <v>43.900000000000006</v>
      </c>
      <c r="BS4" s="14">
        <f>IF(SUM(BO4,BP4,BR4)&gt;0,SUM(BO4,BP4,BR4),"")</f>
        <v>102</v>
      </c>
      <c r="BT4" s="20">
        <v>15.9</v>
      </c>
      <c r="BU4" s="20">
        <v>3.8</v>
      </c>
      <c r="BV4" s="20">
        <v>0.4</v>
      </c>
      <c r="BW4" s="20">
        <v>0.3</v>
      </c>
      <c r="BX4" s="20">
        <v>16.5</v>
      </c>
      <c r="BY4" s="20">
        <v>1.3</v>
      </c>
      <c r="BZ4" s="20">
        <v>0</v>
      </c>
      <c r="CA4" s="20">
        <v>0</v>
      </c>
      <c r="CB4" s="20">
        <v>13.8</v>
      </c>
      <c r="CC4" s="20">
        <v>6.1</v>
      </c>
      <c r="CD4" s="20">
        <v>0</v>
      </c>
      <c r="CE4" s="20">
        <v>0.3</v>
      </c>
      <c r="CF4" s="20">
        <v>15.8</v>
      </c>
      <c r="CG4" s="20">
        <v>6.1</v>
      </c>
      <c r="CH4" s="20">
        <v>0</v>
      </c>
      <c r="CI4" s="20">
        <v>0.3</v>
      </c>
      <c r="CJ4" s="20">
        <v>17.399999999999999</v>
      </c>
      <c r="CK4" s="20">
        <v>2.1</v>
      </c>
      <c r="CL4" s="20">
        <v>1</v>
      </c>
      <c r="CM4" s="20">
        <v>0</v>
      </c>
      <c r="CN4" s="32"/>
      <c r="CO4" s="55">
        <f>IF(SUM(BU4,BY4)&gt;0,SUM(BU4,BY4),"")</f>
        <v>5.0999999999999996</v>
      </c>
      <c r="CP4" s="55">
        <f>IF(SUM(BT4:BU4,BW4:BY4,CA4)-BV4-BZ4&gt;0,SUM(BT4:BU4,BW4:BY4,CA4)-BV4-BZ4,"")</f>
        <v>37.4</v>
      </c>
      <c r="CQ4" s="55">
        <f>IF(SUM(CB4:CC4,CE4)-CD4&gt;0,SUM(CB4:CC4,CE4)-CD4,"")</f>
        <v>20.2</v>
      </c>
      <c r="CR4" s="55">
        <f>IF(SUM(CG4,CK4)&gt;0,SUM(CG4,CK4),"")</f>
        <v>8.1999999999999993</v>
      </c>
      <c r="CS4" s="55">
        <f>IF(SUM(CF4:CG4,CI4:CK4,CM4)-SUM(CH4,CL4)&gt;0,SUM(CF4:CG4,CI4:CK4,CM4)-SUM(CH4,CL4),"")</f>
        <v>40.699999999999996</v>
      </c>
      <c r="CT4" s="55">
        <f>IF(SUM(CP4,CQ4,CS4)&gt;0,SUM(CP4,CQ4,CS4),"")</f>
        <v>98.299999999999983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15.9</v>
      </c>
      <c r="OX4" s="27">
        <f t="shared" si="0"/>
        <v>4.9499999999999993</v>
      </c>
      <c r="OY4" s="27">
        <f t="shared" si="0"/>
        <v>0.2</v>
      </c>
      <c r="OZ4" s="27">
        <f t="shared" si="0"/>
        <v>0.3</v>
      </c>
      <c r="PA4" s="27">
        <f t="shared" si="0"/>
        <v>15.9</v>
      </c>
      <c r="PB4" s="27">
        <f t="shared" si="0"/>
        <v>1.9</v>
      </c>
      <c r="PC4" s="27">
        <f t="shared" si="0"/>
        <v>0.65</v>
      </c>
      <c r="PD4" s="27">
        <f t="shared" si="0"/>
        <v>0.15</v>
      </c>
      <c r="PE4" s="27">
        <f t="shared" si="0"/>
        <v>14.75</v>
      </c>
      <c r="PF4" s="27">
        <f t="shared" si="0"/>
        <v>4.75</v>
      </c>
      <c r="PG4" s="27">
        <f t="shared" ref="PG4:PP5" si="1">IF($CN4="P",CD4,(CD4+BC4)/2)</f>
        <v>0.2</v>
      </c>
      <c r="PH4" s="27">
        <f t="shared" si="1"/>
        <v>0.3</v>
      </c>
      <c r="PI4" s="27">
        <f t="shared" si="1"/>
        <v>15.950000000000001</v>
      </c>
      <c r="PJ4" s="27">
        <f t="shared" si="1"/>
        <v>6.1</v>
      </c>
      <c r="PK4" s="27">
        <f t="shared" si="1"/>
        <v>0</v>
      </c>
      <c r="PL4" s="27">
        <f t="shared" si="1"/>
        <v>0.3</v>
      </c>
      <c r="PM4" s="27">
        <f t="shared" si="1"/>
        <v>17.600000000000001</v>
      </c>
      <c r="PN4" s="27">
        <f t="shared" si="1"/>
        <v>2.85</v>
      </c>
      <c r="PO4" s="27">
        <f t="shared" si="1"/>
        <v>0.5</v>
      </c>
      <c r="PP4" s="27">
        <f t="shared" si="1"/>
        <v>0</v>
      </c>
      <c r="PQ4" s="32" t="s">
        <v>44</v>
      </c>
      <c r="PR4" s="55">
        <f>IF(SUM(OX4,PB4)&gt;0,SUM(OX4,PB4),"")</f>
        <v>6.85</v>
      </c>
      <c r="PS4" s="55">
        <f>IF(SUM(OW4:OX4,OZ4:PB4,PD4)-OY4-PC4&gt;0,SUM(OW4:OX4,OZ4:PB4,PD4)-OY4-PC4,"")</f>
        <v>38.25</v>
      </c>
      <c r="PT4" s="55">
        <f>IF(SUM(PE4:PF4,PH4)-PG4&gt;0,SUM(PE4:PF4,PH4)-PG4,"")</f>
        <v>19.600000000000001</v>
      </c>
      <c r="PU4" s="55">
        <f>IF(SUM(PJ4,PN4)&gt;0,SUM(PJ4,PN4),"")</f>
        <v>8.9499999999999993</v>
      </c>
      <c r="PV4" s="55">
        <f>IF(SUM(PI4:PJ4,PL4:PN4,PP4)-SUM(PK4,PO4)&gt;0,SUM(PI4:PJ4,PL4:PN4,PP4)-SUM(PK4,PO4),"")</f>
        <v>42.300000000000004</v>
      </c>
      <c r="PW4" s="55">
        <f>IF(SUM(PS4,PT4,PV4)&gt;0,SUM(PS4,PT4,PV4),"")</f>
        <v>100.15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103</v>
      </c>
      <c r="C5" s="4" t="s">
        <v>65</v>
      </c>
      <c r="D5" s="4">
        <v>2010</v>
      </c>
      <c r="E5" s="10">
        <f>SUM(I5:O5)+SUM(I5:M5)*0.0000001+SUM(I5)*0.0000000000001</f>
        <v>85.700008570004258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42.699999999999996</v>
      </c>
      <c r="J5" s="9" t="str">
        <f>IF(I5=0,"",IF(I5=CP5,$BT$1,IF(I5=BO5,$AS$1,IF(I5=AN5,$R$1,""))))</f>
        <v>2024 Nationals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42.999999999999993</v>
      </c>
      <c r="N5" s="9" t="str">
        <f>IF(M5=0,"",IF(M5=CS5,$BT$1,IF(M5=BR5,$AS$1,IF(M5=AQ5,$R$1,""))))</f>
        <v>2024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3.9</v>
      </c>
      <c r="BV5" s="20">
        <v>0</v>
      </c>
      <c r="BW5" s="20">
        <v>0.3</v>
      </c>
      <c r="BX5" s="20">
        <v>16.899999999999999</v>
      </c>
      <c r="BY5" s="20">
        <v>4.0999999999999996</v>
      </c>
      <c r="BZ5" s="20">
        <v>0</v>
      </c>
      <c r="CA5" s="20">
        <v>0.3</v>
      </c>
      <c r="CB5" s="20">
        <v>17.2</v>
      </c>
      <c r="CC5" s="20">
        <v>3.9</v>
      </c>
      <c r="CD5" s="20">
        <v>0</v>
      </c>
      <c r="CE5" s="20">
        <v>0.3</v>
      </c>
      <c r="CF5" s="20">
        <v>17.2</v>
      </c>
      <c r="CG5" s="20">
        <v>3.9</v>
      </c>
      <c r="CH5" s="20">
        <v>0</v>
      </c>
      <c r="CI5" s="20">
        <v>0.3</v>
      </c>
      <c r="CJ5" s="20">
        <v>17.2</v>
      </c>
      <c r="CK5" s="20">
        <v>4.0999999999999996</v>
      </c>
      <c r="CL5" s="20">
        <v>0</v>
      </c>
      <c r="CM5" s="20">
        <v>0.3</v>
      </c>
      <c r="CN5" s="32"/>
      <c r="CO5" s="55">
        <f>IF(SUM(BU5,BY5)&gt;0,SUM(BU5,BY5),"")</f>
        <v>8</v>
      </c>
      <c r="CP5" s="55">
        <f>IF(SUM(BT5:BU5,BW5:BY5,CA5)-BV5-BZ5&gt;0,SUM(BT5:BU5,BW5:BY5,CA5)-BV5-BZ5,"")</f>
        <v>42.699999999999996</v>
      </c>
      <c r="CQ5" s="55">
        <f>IF(SUM(CB5:CC5,CE5)-CD5&gt;0,SUM(CB5:CC5,CE5)-CD5,"")</f>
        <v>21.4</v>
      </c>
      <c r="CR5" s="55">
        <f>IF(SUM(CG5,CK5)&gt;0,SUM(CG5,CK5),"")</f>
        <v>8</v>
      </c>
      <c r="CS5" s="55">
        <f>IF(SUM(CF5:CG5,CI5:CK5,CM5)-SUM(CH5,CL5)&gt;0,SUM(CF5:CG5,CI5:CK5,CM5)-SUM(CH5,CL5),"")</f>
        <v>42.999999999999993</v>
      </c>
      <c r="CT5" s="55">
        <f>IF(SUM(CP5,CQ5,CS5)&gt;0,SUM(CP5,CQ5,CS5),"")</f>
        <v>107.1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8.6</v>
      </c>
      <c r="OX5" s="27">
        <f t="shared" si="0"/>
        <v>1.95</v>
      </c>
      <c r="OY5" s="27">
        <f t="shared" si="0"/>
        <v>0</v>
      </c>
      <c r="OZ5" s="27">
        <f t="shared" si="0"/>
        <v>0.15</v>
      </c>
      <c r="PA5" s="27">
        <f t="shared" si="0"/>
        <v>8.4499999999999993</v>
      </c>
      <c r="PB5" s="27">
        <f t="shared" si="0"/>
        <v>2.0499999999999998</v>
      </c>
      <c r="PC5" s="27">
        <f t="shared" si="0"/>
        <v>0</v>
      </c>
      <c r="PD5" s="27">
        <f t="shared" si="0"/>
        <v>0.15</v>
      </c>
      <c r="PE5" s="27">
        <f t="shared" si="0"/>
        <v>8.6</v>
      </c>
      <c r="PF5" s="27">
        <f t="shared" si="0"/>
        <v>1.95</v>
      </c>
      <c r="PG5" s="27">
        <f t="shared" si="1"/>
        <v>0</v>
      </c>
      <c r="PH5" s="27">
        <f t="shared" si="1"/>
        <v>0.15</v>
      </c>
      <c r="PI5" s="27">
        <f t="shared" si="1"/>
        <v>8.6</v>
      </c>
      <c r="PJ5" s="27">
        <f t="shared" si="1"/>
        <v>1.95</v>
      </c>
      <c r="PK5" s="27">
        <f t="shared" si="1"/>
        <v>0</v>
      </c>
      <c r="PL5" s="27">
        <f t="shared" si="1"/>
        <v>0.15</v>
      </c>
      <c r="PM5" s="27">
        <f t="shared" si="1"/>
        <v>8.6</v>
      </c>
      <c r="PN5" s="27">
        <f t="shared" si="1"/>
        <v>2.0499999999999998</v>
      </c>
      <c r="PO5" s="27">
        <f t="shared" si="1"/>
        <v>0</v>
      </c>
      <c r="PP5" s="27">
        <f t="shared" si="1"/>
        <v>0.15</v>
      </c>
      <c r="PQ5" s="32" t="s">
        <v>44</v>
      </c>
      <c r="PR5" s="55">
        <f>IF(SUM(OX5,PB5)&gt;0,SUM(OX5,PB5),"")</f>
        <v>4</v>
      </c>
      <c r="PS5" s="55">
        <f>IF(SUM(OW5:OX5,OZ5:PB5,PD5)-OY5-PC5&gt;0,SUM(OW5:OX5,OZ5:PB5,PD5)-OY5-PC5,"")</f>
        <v>21.349999999999998</v>
      </c>
      <c r="PT5" s="55">
        <f>IF(SUM(PE5:PF5,PH5)-PG5&gt;0,SUM(PE5:PF5,PH5)-PG5,"")</f>
        <v>10.7</v>
      </c>
      <c r="PU5" s="55">
        <f>IF(SUM(PJ5,PN5)&gt;0,SUM(PJ5,PN5),"")</f>
        <v>4</v>
      </c>
      <c r="PV5" s="55">
        <f>IF(SUM(PI5:PJ5,PL5:PN5,PP5)-SUM(PK5,PO5)&gt;0,SUM(PI5:PJ5,PL5:PN5,PP5)-SUM(PK5,PO5),"")</f>
        <v>21.499999999999996</v>
      </c>
      <c r="PW5" s="55">
        <f>IF(SUM(PS5,PT5,PV5)&gt;0,SUM(PS5,PT5,PV5),"")</f>
        <v>53.55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7.3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8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8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41.7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42.5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86" priority="6" stopIfTrue="1">
      <formula>IF($AL4&lt;&gt;"",1,0)</formula>
    </cfRule>
  </conditionalFormatting>
  <conditionalFormatting sqref="AS4:BS5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5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AR$11</formula>
      <formula>1000</formula>
    </cfRule>
    <cfRule type="cellIs" dxfId="72" priority="54397" operator="between">
      <formula>AR$10</formula>
      <formula>AR$11</formula>
    </cfRule>
    <cfRule type="cellIs" dxfId="71" priority="54398" operator="between">
      <formula>AR$9</formula>
      <formula>AR$10</formula>
    </cfRule>
    <cfRule type="cellIs" dxfId="70" priority="5439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AR$15</formula>
      <formula>1000</formula>
    </cfRule>
    <cfRule type="cellIs" dxfId="68" priority="54577" operator="between">
      <formula>AR$14</formula>
      <formula>AR$15</formula>
    </cfRule>
    <cfRule type="cellIs" dxfId="67" priority="54578" operator="between">
      <formula>AR$13</formula>
      <formula>AR$14</formula>
    </cfRule>
    <cfRule type="cellIs" dxfId="66" priority="5457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AR$8</formula>
      <formula>AR$9</formula>
    </cfRule>
    <cfRule type="cellIs" dxfId="64" priority="54757" operator="between">
      <formula>AR$9</formula>
      <formula>AR$10</formula>
    </cfRule>
    <cfRule type="cellIs" dxfId="63" priority="54758" operator="between">
      <formula>AR$10</formula>
      <formula>AR$11</formula>
    </cfRule>
    <cfRule type="cellIs" dxfId="62" priority="5475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AR$12</formula>
      <formula>AR$13</formula>
    </cfRule>
    <cfRule type="cellIs" dxfId="60" priority="54937" operator="between">
      <formula>AR$13</formula>
      <formula>AR$14</formula>
    </cfRule>
    <cfRule type="cellIs" dxfId="59" priority="54938" operator="between">
      <formula>AR$14</formula>
      <formula>AR$15</formula>
    </cfRule>
    <cfRule type="cellIs" dxfId="58" priority="5493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100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101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159.90001588000538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53.9</v>
      </c>
      <c r="J4" s="9" t="str">
        <f>IF(I4=0,"",IF(I4=CP4,$BT$1,IF(I4=BO4,$AS$1,IF(I4=AN4,$R$1,""))))</f>
        <v>2024 Nationals</v>
      </c>
      <c r="K4" s="9">
        <f>IF(COUNT(AN4,BO4,CP4)&gt;1,LARGE((AN4,BO4,CP4),2),0)</f>
        <v>51.7</v>
      </c>
      <c r="L4" s="9" t="str">
        <f>IF(K4=0,"",IF(K4=CP4,$BT$1,IF(K4=BO4,$AS$1,IF(K4=AN4,$R$1,""))))</f>
        <v>2024 Elite Canada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1.1000000000000014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4</v>
      </c>
      <c r="T4" s="20">
        <v>0</v>
      </c>
      <c r="U4" s="20">
        <v>0</v>
      </c>
      <c r="V4" s="20">
        <v>18.2</v>
      </c>
      <c r="W4" s="20">
        <v>7.6000000000000005</v>
      </c>
      <c r="X4" s="20">
        <v>0.6</v>
      </c>
      <c r="Y4" s="20">
        <v>0</v>
      </c>
      <c r="Z4" s="20">
        <v>17.3</v>
      </c>
      <c r="AA4" s="20">
        <v>2.8</v>
      </c>
      <c r="AB4" s="20">
        <v>0</v>
      </c>
      <c r="AC4" s="20">
        <v>0</v>
      </c>
      <c r="AD4" s="20">
        <v>18.2</v>
      </c>
      <c r="AE4" s="20">
        <v>7.6</v>
      </c>
      <c r="AF4" s="20">
        <v>0</v>
      </c>
      <c r="AG4" s="20">
        <v>0</v>
      </c>
      <c r="AH4" s="20">
        <v>18.399999999999999</v>
      </c>
      <c r="AI4" s="20">
        <v>7.6000000000000005</v>
      </c>
      <c r="AJ4" s="20">
        <v>0</v>
      </c>
      <c r="AK4" s="20">
        <v>0</v>
      </c>
      <c r="AL4" s="32"/>
      <c r="AM4" s="55">
        <f>IF(SUM(S4,W4)&gt;0,SUM(S4,W4),"")</f>
        <v>11.600000000000001</v>
      </c>
      <c r="AN4" s="55">
        <f>IF(SUM(R4:S4,U4:W4,Y4)-T4-X4&gt;0,SUM(R4:S4,U4:W4,Y4)-T4-X4,"")</f>
        <v>46.599999999999994</v>
      </c>
      <c r="AO4" s="55">
        <f>IF(SUM(Z4:AA4,AC4)-AB4&gt;0,SUM(Z4:AA4,AC4)-AB4,"")</f>
        <v>20.100000000000001</v>
      </c>
      <c r="AP4" s="55">
        <f>IF(SUM(AE4,AI4)&gt;0,SUM(AE4,AI4),"")</f>
        <v>15.2</v>
      </c>
      <c r="AQ4" s="55">
        <f>IF(SUM(AD4:AE4,AG4:AI4,AK4)-SUM(AF4,AJ4)&gt;0,SUM(AD4:AE4,AG4:AI4,AK4)-SUM(AF4,AJ4),"")</f>
        <v>51.8</v>
      </c>
      <c r="AR4" s="55">
        <f>IF(SUM(AN4,AO4,AQ4)&gt;0,SUM(AN4,AO4,AQ4),"")</f>
        <v>118.49999999999999</v>
      </c>
      <c r="AS4" s="19">
        <v>18.600000000000001</v>
      </c>
      <c r="AT4" s="19">
        <v>8.4</v>
      </c>
      <c r="AU4" s="19">
        <v>0.6</v>
      </c>
      <c r="AV4" s="19">
        <v>0</v>
      </c>
      <c r="AW4" s="19">
        <v>18</v>
      </c>
      <c r="AX4" s="19">
        <v>8.1</v>
      </c>
      <c r="AY4" s="19">
        <v>0.8</v>
      </c>
      <c r="AZ4" s="19">
        <v>0</v>
      </c>
      <c r="BA4" s="19">
        <v>18.3</v>
      </c>
      <c r="BB4" s="19">
        <v>7.6</v>
      </c>
      <c r="BC4" s="19">
        <v>0.2</v>
      </c>
      <c r="BD4" s="19">
        <v>0</v>
      </c>
      <c r="BE4" s="19">
        <v>18.600000000000001</v>
      </c>
      <c r="BF4" s="19">
        <v>8.4</v>
      </c>
      <c r="BG4" s="19">
        <v>0.2</v>
      </c>
      <c r="BH4" s="19">
        <v>0</v>
      </c>
      <c r="BI4" s="19">
        <v>18.3</v>
      </c>
      <c r="BJ4" s="19">
        <v>8.1</v>
      </c>
      <c r="BK4" s="19">
        <v>0</v>
      </c>
      <c r="BL4" s="19">
        <v>0</v>
      </c>
      <c r="BM4" s="33"/>
      <c r="BN4" s="14">
        <f>IF(SUM(AT4,AX4)&gt;0,SUM(AT4,AX4),"")</f>
        <v>16.5</v>
      </c>
      <c r="BO4" s="14">
        <f>IF(SUM(AS4:AT4,AV4:AX4,AZ4)-AU4-AY4&gt;0,SUM(AS4:AT4,AV4:AX4,AZ4)-AU4-AY4,"")</f>
        <v>51.7</v>
      </c>
      <c r="BP4" s="14">
        <f>IF(SUM(BA4:BB4,BD4)-BC4&gt;0,SUM(BA4:BB4,BD4)-BC4,"")</f>
        <v>25.7</v>
      </c>
      <c r="BQ4" s="14">
        <f>IF(SUM(BF4,BJ4)&gt;0,SUM(BF4,BJ4),"")</f>
        <v>16.5</v>
      </c>
      <c r="BR4" s="14">
        <f>IF(SUM(BE4:BF4,BH4:BJ4,BL4)-SUM(BG4,BK4)&gt;0,SUM(BE4:BF4,BH4:BJ4,BL4)-SUM(BG4,BK4),"")</f>
        <v>53.199999999999996</v>
      </c>
      <c r="BS4" s="14">
        <f>IF(SUM(BO4,BP4,BR4)&gt;0,SUM(BO4,BP4,BR4),"")</f>
        <v>130.6</v>
      </c>
      <c r="BT4" s="20">
        <v>18.8</v>
      </c>
      <c r="BU4" s="20">
        <v>8</v>
      </c>
      <c r="BV4" s="20">
        <v>0</v>
      </c>
      <c r="BW4" s="20">
        <v>0</v>
      </c>
      <c r="BX4" s="20">
        <v>18.899999999999999</v>
      </c>
      <c r="BY4" s="20">
        <v>8.4</v>
      </c>
      <c r="BZ4" s="20">
        <v>0.2</v>
      </c>
      <c r="CA4" s="20">
        <v>0</v>
      </c>
      <c r="CB4" s="20">
        <v>18</v>
      </c>
      <c r="CC4" s="20">
        <v>8.1</v>
      </c>
      <c r="CD4" s="20">
        <v>0.8</v>
      </c>
      <c r="CE4" s="20">
        <v>0</v>
      </c>
      <c r="CF4" s="20">
        <v>18.2</v>
      </c>
      <c r="CG4" s="20">
        <v>7.3</v>
      </c>
      <c r="CH4" s="20">
        <v>0.2</v>
      </c>
      <c r="CI4" s="20">
        <v>0</v>
      </c>
      <c r="CJ4" s="20">
        <v>18.8</v>
      </c>
      <c r="CK4" s="20">
        <v>8.4</v>
      </c>
      <c r="CL4" s="20">
        <v>0</v>
      </c>
      <c r="CM4" s="20">
        <v>0</v>
      </c>
      <c r="CN4" s="32"/>
      <c r="CO4" s="55">
        <f>IF(SUM(BU4,BY4)&gt;0,SUM(BU4,BY4),"")</f>
        <v>16.399999999999999</v>
      </c>
      <c r="CP4" s="55">
        <f>IF(SUM(BT4:BU4,BW4:BY4,CA4)-BV4-BZ4&gt;0,SUM(BT4:BU4,BW4:BY4,CA4)-BV4-BZ4,"")</f>
        <v>53.9</v>
      </c>
      <c r="CQ4" s="55">
        <f>IF(SUM(CB4:CC4,CE4)-CD4&gt;0,SUM(CB4:CC4,CE4)-CD4,"")</f>
        <v>25.3</v>
      </c>
      <c r="CR4" s="55">
        <f>IF(SUM(CG4,CK4)&gt;0,SUM(CG4,CK4),"")</f>
        <v>15.7</v>
      </c>
      <c r="CS4" s="55">
        <f>IF(SUM(CF4:CG4,CI4:CK4,CM4)-SUM(CH4,CL4)&gt;0,SUM(CF4:CG4,CI4:CK4,CM4)-SUM(CH4,CL4),"")</f>
        <v>52.499999999999993</v>
      </c>
      <c r="CT4" s="55">
        <f>IF(SUM(CP4,CQ4,CS4)&gt;0,SUM(CP4,CQ4,CS4),"")</f>
        <v>131.69999999999999</v>
      </c>
      <c r="CU4" s="56">
        <f>IF(MAX(DR4,ER4,FR4,GR4,HR4,IR4,JR4,KR4,LR4,MR4,NR4,OR4)-IF(K4="",0,K4)&gt;0.001,MAX(DR4,ER4,FR4,GR4,HR4,IR4,JR4,KR4,LR4,MR4,NR4,OR4)-IF(K4="",0,K4),"")</f>
        <v>1.1000000000000014</v>
      </c>
      <c r="CV4" s="56" t="str">
        <f>IF(MAX(DU4,EU4,FU4,GU4,HU4,IU4,JU4,KU4,LU4,MU4,NU4,OU4)-IF(M4="",0,M4)&gt;0.001,MAX(DU4,EU4,FU4,GU4,HU4,IU4,JU4,KU4,LU4,MU4,NU4,OU4)-IF(M4="",0,M4),"")</f>
        <v/>
      </c>
      <c r="CW4" s="18">
        <v>19</v>
      </c>
      <c r="CX4" s="18">
        <v>7.6</v>
      </c>
      <c r="CY4" s="18">
        <v>0.6</v>
      </c>
      <c r="CZ4" s="18">
        <v>0</v>
      </c>
      <c r="DA4" s="18">
        <v>18.8</v>
      </c>
      <c r="DB4" s="18">
        <v>8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8.4</v>
      </c>
      <c r="DK4" s="18">
        <v>0</v>
      </c>
      <c r="DL4" s="18">
        <v>0</v>
      </c>
      <c r="DM4" s="18">
        <v>0</v>
      </c>
      <c r="DN4" s="18">
        <v>0</v>
      </c>
      <c r="DO4" s="18">
        <v>0</v>
      </c>
      <c r="DP4" s="18">
        <v>0</v>
      </c>
      <c r="DQ4" s="55">
        <f>IF(SUM(CX4,DB4)&gt;0,SUM(CX4,DB4),"")</f>
        <v>15.6</v>
      </c>
      <c r="DR4" s="55">
        <f>IF(SUM(CW4:CX4,CZ4:DB4,DD4)-CY4-DC4&gt;0,SUM(CW4:CX4,CZ4:DB4,DD4)-CY4-DC4,"")</f>
        <v>52.800000000000004</v>
      </c>
      <c r="DS4" s="55" t="str">
        <f>IF(SUM(DE4:DF4,DH4)-DG4&gt;0,SUM(DE4:DF4,DH4)-DG4,"")</f>
        <v/>
      </c>
      <c r="DT4" s="55">
        <f>IF(SUM(DJ4,DN4)&gt;0,SUM(DJ4,DN4),"")</f>
        <v>8.4</v>
      </c>
      <c r="DU4" s="55">
        <f>IF(SUM(DI4:DJ4,DL4:DN4,DP4)-SUM(DK4,DO4)&gt;0,SUM(DI4:DJ4,DL4:DN4,DP4)-SUM(DK4,DO4),"")</f>
        <v>27.200000000000003</v>
      </c>
      <c r="DV4" s="55">
        <f>IF(SUM(DR4,DS4,DU4)&gt;0,SUM(DR4,DS4,DU4),"")</f>
        <v>80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18.7</v>
      </c>
      <c r="EJ4" s="19">
        <v>7.2</v>
      </c>
      <c r="EK4" s="19">
        <v>0</v>
      </c>
      <c r="EL4" s="19">
        <v>0</v>
      </c>
      <c r="EM4" s="19">
        <v>18.899999999999999</v>
      </c>
      <c r="EN4" s="19">
        <v>7.6</v>
      </c>
      <c r="EO4" s="19">
        <v>0.8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14.8</v>
      </c>
      <c r="EU4" s="14">
        <f>IF(SUM(EI4:EJ4,EL4:EN4,EP4)-SUM(EK4,EO4)&gt;0,SUM(EI4:EJ4,EL4:EN4,EP4)-SUM(EK4,EO4),"")</f>
        <v>51.6</v>
      </c>
      <c r="EV4" s="14">
        <f>IF(SUM(ER4,ES4,EU4)&gt;0,SUM(ER4,ES4,EU4),"")</f>
        <v>51.6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18.5</v>
      </c>
      <c r="FJ4" s="18">
        <v>8.4</v>
      </c>
      <c r="FK4" s="18">
        <v>1</v>
      </c>
      <c r="FL4" s="18">
        <v>0</v>
      </c>
      <c r="FM4" s="18">
        <v>17.399999999999999</v>
      </c>
      <c r="FN4" s="18">
        <v>2.8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11.2</v>
      </c>
      <c r="FU4" s="55">
        <f>IF(SUM(FI4:FJ4,FL4:FN4,FP4)-SUM(FK4,FO4)&gt;0,SUM(FI4:FJ4,FL4:FN4,FP4)-SUM(FK4,FO4),"")</f>
        <v>46.099999999999994</v>
      </c>
      <c r="FV4" s="55">
        <f>IF(SUM(FR4,FS4,FU4)&gt;0,SUM(FR4,FS4,FU4),"")</f>
        <v>46.099999999999994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8" si="0">IF($CN4="P",BT4,(BT4+AS4)/2)</f>
        <v>18.700000000000003</v>
      </c>
      <c r="OX4" s="27">
        <f t="shared" si="0"/>
        <v>8.1999999999999993</v>
      </c>
      <c r="OY4" s="27">
        <f t="shared" si="0"/>
        <v>0.3</v>
      </c>
      <c r="OZ4" s="27">
        <f t="shared" si="0"/>
        <v>0</v>
      </c>
      <c r="PA4" s="27">
        <f t="shared" si="0"/>
        <v>18.45</v>
      </c>
      <c r="PB4" s="27">
        <f t="shared" si="0"/>
        <v>8.25</v>
      </c>
      <c r="PC4" s="27">
        <f t="shared" si="0"/>
        <v>0.5</v>
      </c>
      <c r="PD4" s="27">
        <f t="shared" si="0"/>
        <v>0</v>
      </c>
      <c r="PE4" s="27">
        <f t="shared" si="0"/>
        <v>18.149999999999999</v>
      </c>
      <c r="PF4" s="27">
        <f t="shared" si="0"/>
        <v>7.85</v>
      </c>
      <c r="PG4" s="27">
        <f t="shared" ref="PG4:PP8" si="1">IF($CN4="P",CD4,(CD4+BC4)/2)</f>
        <v>0.5</v>
      </c>
      <c r="PH4" s="27">
        <f t="shared" si="1"/>
        <v>0</v>
      </c>
      <c r="PI4" s="27">
        <f t="shared" si="1"/>
        <v>18.399999999999999</v>
      </c>
      <c r="PJ4" s="27">
        <f t="shared" si="1"/>
        <v>7.85</v>
      </c>
      <c r="PK4" s="27">
        <f t="shared" si="1"/>
        <v>0.2</v>
      </c>
      <c r="PL4" s="27">
        <f t="shared" si="1"/>
        <v>0</v>
      </c>
      <c r="PM4" s="27">
        <f t="shared" si="1"/>
        <v>18.55</v>
      </c>
      <c r="PN4" s="27">
        <f t="shared" si="1"/>
        <v>8.25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16.45</v>
      </c>
      <c r="PS4" s="55">
        <f>IF(SUM(OW4:OX4,OZ4:PB4,PD4)-OY4-PC4&gt;0,SUM(OW4:OX4,OZ4:PB4,PD4)-OY4-PC4,"")</f>
        <v>52.800000000000004</v>
      </c>
      <c r="PT4" s="55">
        <f>IF(SUM(PE4:PF4,PH4)-PG4&gt;0,SUM(PE4:PF4,PH4)-PG4,"")</f>
        <v>25.5</v>
      </c>
      <c r="PU4" s="55">
        <f>IF(SUM(PJ4,PN4)&gt;0,SUM(PJ4,PN4),"")</f>
        <v>16.100000000000001</v>
      </c>
      <c r="PV4" s="55">
        <f>IF(SUM(PI4:PJ4,PL4:PN4,PP4)-SUM(PK4,PO4)&gt;0,SUM(PI4:PJ4,PL4:PN4,PP4)-SUM(PK4,PO4),"")</f>
        <v>52.849999999999994</v>
      </c>
      <c r="PW4" s="55">
        <f>IF(SUM(PS4,PT4,PV4)&gt;0,SUM(PS4,PT4,PV4),"")</f>
        <v>131.15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89</v>
      </c>
      <c r="C5" s="4" t="s">
        <v>88</v>
      </c>
      <c r="D5" s="4">
        <v>2009</v>
      </c>
      <c r="E5" s="10">
        <f>SUM(I5:O5)+SUM(I5:M5)*0.0000001+SUM(I5)*0.0000000000001</f>
        <v>150.00001500000508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50.9</v>
      </c>
      <c r="J5" s="9" t="str">
        <f>IF(I5=0,"",IF(I5=CP5,$BT$1,IF(I5=BO5,$AS$1,IF(I5=AN5,$R$1,""))))</f>
        <v>2024 Nationals</v>
      </c>
      <c r="K5" s="9">
        <f>IF(COUNT(AN5,BO5,CP5)&gt;1,LARGE((AN5,BO5,CP5),2),0)</f>
        <v>49.400000000000006</v>
      </c>
      <c r="L5" s="9" t="str">
        <f>IF(K5=0,"",IF(K5=CP5,$BT$1,IF(K5=BO5,$AS$1,IF(K5=AN5,$R$1,""))))</f>
        <v>2024 Elite Canada</v>
      </c>
      <c r="M5" s="9">
        <f>IF(MAX(AQ5,BR5,CS5)&gt;0,MAX(AQ5,BR5,CS5),0)</f>
        <v>49.7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5.6</v>
      </c>
      <c r="T5" s="20">
        <v>0</v>
      </c>
      <c r="U5" s="20">
        <v>0</v>
      </c>
      <c r="V5" s="20">
        <v>19</v>
      </c>
      <c r="W5" s="20">
        <v>6</v>
      </c>
      <c r="X5" s="20">
        <v>0</v>
      </c>
      <c r="Y5" s="20">
        <v>0</v>
      </c>
      <c r="Z5" s="20">
        <v>18.399999999999999</v>
      </c>
      <c r="AA5" s="20">
        <v>5.6</v>
      </c>
      <c r="AB5" s="20">
        <v>0.8</v>
      </c>
      <c r="AC5" s="20">
        <v>0</v>
      </c>
      <c r="AD5" s="20">
        <v>19</v>
      </c>
      <c r="AE5" s="20">
        <v>6.4</v>
      </c>
      <c r="AF5" s="20">
        <v>0.6</v>
      </c>
      <c r="AG5" s="20">
        <v>0</v>
      </c>
      <c r="AH5" s="20">
        <v>17.600000000000001</v>
      </c>
      <c r="AI5" s="20">
        <v>5.2</v>
      </c>
      <c r="AJ5" s="20">
        <v>1</v>
      </c>
      <c r="AK5" s="20">
        <v>0</v>
      </c>
      <c r="AL5" s="32"/>
      <c r="AM5" s="55">
        <f>IF(SUM(S5,W5)&gt;0,SUM(S5,W5),"")</f>
        <v>11.6</v>
      </c>
      <c r="AN5" s="55">
        <f>IF(SUM(R5:S5,U5:W5,Y5)-T5-X5&gt;0,SUM(R5:S5,U5:W5,Y5)-T5-X5,"")</f>
        <v>49.4</v>
      </c>
      <c r="AO5" s="55">
        <f>IF(SUM(Z5:AA5,AC5)-AB5&gt;0,SUM(Z5:AA5,AC5)-AB5,"")</f>
        <v>23.2</v>
      </c>
      <c r="AP5" s="55">
        <f>IF(SUM(AE5,AI5)&gt;0,SUM(AE5,AI5),"")</f>
        <v>11.600000000000001</v>
      </c>
      <c r="AQ5" s="55">
        <f>IF(SUM(AD5:AE5,AG5:AI5,AK5)-SUM(AF5,AJ5)&gt;0,SUM(AD5:AE5,AG5:AI5,AK5)-SUM(AF5,AJ5),"")</f>
        <v>46.6</v>
      </c>
      <c r="AR5" s="55">
        <f>IF(SUM(AN5,AO5,AQ5)&gt;0,SUM(AN5,AO5,AQ5),"")</f>
        <v>119.19999999999999</v>
      </c>
      <c r="AS5" s="19">
        <v>18.5</v>
      </c>
      <c r="AT5" s="19">
        <v>6</v>
      </c>
      <c r="AU5" s="19">
        <v>0.8</v>
      </c>
      <c r="AV5" s="19">
        <v>0</v>
      </c>
      <c r="AW5" s="19">
        <v>18.5</v>
      </c>
      <c r="AX5" s="19">
        <v>7.2</v>
      </c>
      <c r="AY5" s="19">
        <v>0</v>
      </c>
      <c r="AZ5" s="19">
        <v>0</v>
      </c>
      <c r="BA5" s="19">
        <v>18.3</v>
      </c>
      <c r="BB5" s="19">
        <v>6</v>
      </c>
      <c r="BC5" s="19">
        <v>0</v>
      </c>
      <c r="BD5" s="19">
        <v>0</v>
      </c>
      <c r="BE5" s="19">
        <v>18</v>
      </c>
      <c r="BF5" s="19">
        <v>6</v>
      </c>
      <c r="BG5" s="19">
        <v>0</v>
      </c>
      <c r="BH5" s="19">
        <v>0</v>
      </c>
      <c r="BI5" s="19">
        <v>18.5</v>
      </c>
      <c r="BJ5" s="19">
        <v>7.2</v>
      </c>
      <c r="BK5" s="19">
        <v>0</v>
      </c>
      <c r="BL5" s="19">
        <v>0</v>
      </c>
      <c r="BM5" s="33"/>
      <c r="BN5" s="14">
        <f>IF(SUM(AT5,AX5)&gt;0,SUM(AT5,AX5),"")</f>
        <v>13.2</v>
      </c>
      <c r="BO5" s="14">
        <f>IF(SUM(AS5:AT5,AV5:AX5,AZ5)-AU5-AY5&gt;0,SUM(AS5:AT5,AV5:AX5,AZ5)-AU5-AY5,"")</f>
        <v>49.400000000000006</v>
      </c>
      <c r="BP5" s="14">
        <f>IF(SUM(BA5:BB5,BD5)-BC5&gt;0,SUM(BA5:BB5,BD5)-BC5,"")</f>
        <v>24.3</v>
      </c>
      <c r="BQ5" s="14">
        <f>IF(SUM(BF5,BJ5)&gt;0,SUM(BF5,BJ5),"")</f>
        <v>13.2</v>
      </c>
      <c r="BR5" s="14">
        <f>IF(SUM(BE5:BF5,BH5:BJ5,BL5)-SUM(BG5,BK5)&gt;0,SUM(BE5:BF5,BH5:BJ5,BL5)-SUM(BG5,BK5),"")</f>
        <v>49.7</v>
      </c>
      <c r="BS5" s="14">
        <f>IF(SUM(BO5,BP5,BR5)&gt;0,SUM(BO5,BP5,BR5),"")</f>
        <v>123.4</v>
      </c>
      <c r="BT5" s="20">
        <v>18.399999999999999</v>
      </c>
      <c r="BU5" s="20">
        <v>6.8</v>
      </c>
      <c r="BV5" s="20">
        <v>0</v>
      </c>
      <c r="BW5" s="20">
        <v>0</v>
      </c>
      <c r="BX5" s="20">
        <v>18.7</v>
      </c>
      <c r="BY5" s="20">
        <v>7.2</v>
      </c>
      <c r="BZ5" s="20">
        <v>0.2</v>
      </c>
      <c r="CA5" s="20">
        <v>0</v>
      </c>
      <c r="CB5" s="20">
        <v>18.5</v>
      </c>
      <c r="CC5" s="20">
        <v>6</v>
      </c>
      <c r="CD5" s="20">
        <v>0</v>
      </c>
      <c r="CE5" s="20">
        <v>0</v>
      </c>
      <c r="CF5" s="20">
        <v>18.399999999999999</v>
      </c>
      <c r="CG5" s="20">
        <v>7.6</v>
      </c>
      <c r="CH5" s="20">
        <v>0.8</v>
      </c>
      <c r="CI5" s="20">
        <v>0</v>
      </c>
      <c r="CJ5" s="20">
        <v>18.5</v>
      </c>
      <c r="CK5" s="20">
        <v>6.4</v>
      </c>
      <c r="CL5" s="20">
        <v>0.6</v>
      </c>
      <c r="CM5" s="20">
        <v>0</v>
      </c>
      <c r="CN5" s="32"/>
      <c r="CO5" s="55">
        <f>IF(SUM(BU5,BY5)&gt;0,SUM(BU5,BY5),"")</f>
        <v>14</v>
      </c>
      <c r="CP5" s="55">
        <f>IF(SUM(BT5:BU5,BW5:BY5,CA5)-BV5-BZ5&gt;0,SUM(BT5:BU5,BW5:BY5,CA5)-BV5-BZ5,"")</f>
        <v>50.9</v>
      </c>
      <c r="CQ5" s="55">
        <f>IF(SUM(CB5:CC5,CE5)-CD5&gt;0,SUM(CB5:CC5,CE5)-CD5,"")</f>
        <v>24.5</v>
      </c>
      <c r="CR5" s="55">
        <f>IF(SUM(CG5,CK5)&gt;0,SUM(CG5,CK5),"")</f>
        <v>14</v>
      </c>
      <c r="CS5" s="55">
        <f>IF(SUM(CF5:CG5,CI5:CK5,CM5)-SUM(CH5,CL5)&gt;0,SUM(CF5:CG5,CI5:CK5,CM5)-SUM(CH5,CL5),"")</f>
        <v>49.5</v>
      </c>
      <c r="CT5" s="55">
        <f>IF(SUM(CP5,CQ5,CS5)&gt;0,SUM(CP5,CQ5,CS5),"")</f>
        <v>124.9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18.600000000000001</v>
      </c>
      <c r="CX5" s="18">
        <v>6</v>
      </c>
      <c r="CY5" s="18">
        <v>0.6</v>
      </c>
      <c r="CZ5" s="18">
        <v>0</v>
      </c>
      <c r="DA5" s="18">
        <v>18.2</v>
      </c>
      <c r="DB5" s="18">
        <v>6.4</v>
      </c>
      <c r="DC5" s="18">
        <v>0.8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12.4</v>
      </c>
      <c r="DR5" s="55">
        <f>IF(SUM(CW5:CX5,CZ5:DB5,DD5)-CY5-DC5&gt;0,SUM(CW5:CX5,CZ5:DB5,DD5)-CY5-DC5,"")</f>
        <v>47.8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47.8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18.45</v>
      </c>
      <c r="OX5" s="27">
        <f t="shared" si="0"/>
        <v>6.4</v>
      </c>
      <c r="OY5" s="27">
        <f t="shared" si="0"/>
        <v>0.4</v>
      </c>
      <c r="OZ5" s="27">
        <f t="shared" si="0"/>
        <v>0</v>
      </c>
      <c r="PA5" s="27">
        <f t="shared" si="0"/>
        <v>18.600000000000001</v>
      </c>
      <c r="PB5" s="27">
        <f t="shared" si="0"/>
        <v>7.2</v>
      </c>
      <c r="PC5" s="27">
        <f t="shared" si="0"/>
        <v>0.1</v>
      </c>
      <c r="PD5" s="27">
        <f t="shared" si="0"/>
        <v>0</v>
      </c>
      <c r="PE5" s="27">
        <f t="shared" si="0"/>
        <v>18.399999999999999</v>
      </c>
      <c r="PF5" s="27">
        <f t="shared" si="0"/>
        <v>6</v>
      </c>
      <c r="PG5" s="27">
        <f t="shared" si="1"/>
        <v>0</v>
      </c>
      <c r="PH5" s="27">
        <f t="shared" si="1"/>
        <v>0</v>
      </c>
      <c r="PI5" s="27">
        <f t="shared" si="1"/>
        <v>18.2</v>
      </c>
      <c r="PJ5" s="27">
        <f t="shared" si="1"/>
        <v>6.8</v>
      </c>
      <c r="PK5" s="27">
        <f t="shared" si="1"/>
        <v>0.4</v>
      </c>
      <c r="PL5" s="27">
        <f t="shared" si="1"/>
        <v>0</v>
      </c>
      <c r="PM5" s="27">
        <f t="shared" si="1"/>
        <v>18.5</v>
      </c>
      <c r="PN5" s="27">
        <f t="shared" si="1"/>
        <v>6.8000000000000007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13.600000000000001</v>
      </c>
      <c r="PS5" s="55">
        <f>IF(SUM(OW5:OX5,OZ5:PB5,PD5)-OY5-PC5&gt;0,SUM(OW5:OX5,OZ5:PB5,PD5)-OY5-PC5,"")</f>
        <v>50.150000000000006</v>
      </c>
      <c r="PT5" s="55">
        <f>IF(SUM(PE5:PF5,PH5)-PG5&gt;0,SUM(PE5:PF5,PH5)-PG5,"")</f>
        <v>24.4</v>
      </c>
      <c r="PU5" s="55">
        <f>IF(SUM(PJ5,PN5)&gt;0,SUM(PJ5,PN5),"")</f>
        <v>13.600000000000001</v>
      </c>
      <c r="PV5" s="55">
        <f>IF(SUM(PI5:PJ5,PL5:PN5,PP5)-SUM(PK5,PO5)&gt;0,SUM(PI5:PJ5,PL5:PN5,PP5)-SUM(PK5,PO5),"")</f>
        <v>49.599999999999994</v>
      </c>
      <c r="PW5" s="55">
        <f>IF(SUM(PS5,PT5,PV5)&gt;0,SUM(PS5,PT5,PV5),"")</f>
        <v>124.15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97</v>
      </c>
      <c r="C6" s="4" t="s">
        <v>66</v>
      </c>
      <c r="D6" s="4">
        <v>2008</v>
      </c>
      <c r="E6" s="10">
        <f>SUM(I6:O6)+SUM(I6:M6)*0.0000001+SUM(I6)*0.0000000000001</f>
        <v>144.40001444000495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49.399999999999991</v>
      </c>
      <c r="J6" s="9" t="str">
        <f>IF(I6=0,"",IF(I6=CP6,$BT$1,IF(I6=BO6,$AS$1,IF(I6=AN6,$R$1,""))))</f>
        <v>2024 Nationals</v>
      </c>
      <c r="K6" s="9">
        <f>IF(COUNT(AN6,BO6,CP6)&gt;1,LARGE((AN6,BO6,CP6),2),0)</f>
        <v>47.1</v>
      </c>
      <c r="L6" s="9" t="str">
        <f>IF(K6=0,"",IF(K6=CP6,$BT$1,IF(K6=BO6,$AS$1,IF(K6=AN6,$R$1,""))))</f>
        <v>2024 Elite Canada</v>
      </c>
      <c r="M6" s="9">
        <f>IF(MAX(AQ6,BR6,CS6)&gt;0,MAX(AQ6,BR6,CS6),0)</f>
        <v>47.9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17.600000000000001</v>
      </c>
      <c r="AT6" s="19">
        <v>6.8</v>
      </c>
      <c r="AU6" s="19">
        <v>0.8</v>
      </c>
      <c r="AV6" s="19">
        <v>0</v>
      </c>
      <c r="AW6" s="19">
        <v>18.100000000000001</v>
      </c>
      <c r="AX6" s="19">
        <v>6</v>
      </c>
      <c r="AY6" s="19">
        <v>0.6</v>
      </c>
      <c r="AZ6" s="19">
        <v>0</v>
      </c>
      <c r="BA6" s="19">
        <v>18.399999999999999</v>
      </c>
      <c r="BB6" s="19">
        <v>7.3</v>
      </c>
      <c r="BC6" s="19">
        <v>0</v>
      </c>
      <c r="BD6" s="19">
        <v>0</v>
      </c>
      <c r="BE6" s="19">
        <v>18.5</v>
      </c>
      <c r="BF6" s="19">
        <v>5.2</v>
      </c>
      <c r="BG6" s="19">
        <v>0.8</v>
      </c>
      <c r="BH6" s="19">
        <v>0</v>
      </c>
      <c r="BI6" s="19">
        <v>17.899999999999999</v>
      </c>
      <c r="BJ6" s="19">
        <v>7.7</v>
      </c>
      <c r="BK6" s="19">
        <v>0.6</v>
      </c>
      <c r="BL6" s="19">
        <v>0</v>
      </c>
      <c r="BM6" s="33"/>
      <c r="BN6" s="14">
        <f>IF(SUM(AT6,AX6)&gt;0,SUM(AT6,AX6),"")</f>
        <v>12.8</v>
      </c>
      <c r="BO6" s="14">
        <f>IF(SUM(AS6:AT6,AV6:AX6,AZ6)-AU6-AY6&gt;0,SUM(AS6:AT6,AV6:AX6,AZ6)-AU6-AY6,"")</f>
        <v>47.1</v>
      </c>
      <c r="BP6" s="14">
        <f>IF(SUM(BA6:BB6,BD6)-BC6&gt;0,SUM(BA6:BB6,BD6)-BC6,"")</f>
        <v>25.7</v>
      </c>
      <c r="BQ6" s="14">
        <f>IF(SUM(BF6,BJ6)&gt;0,SUM(BF6,BJ6),"")</f>
        <v>12.9</v>
      </c>
      <c r="BR6" s="14">
        <f>IF(SUM(BE6:BF6,BH6:BJ6,BL6)-SUM(BG6,BK6)&gt;0,SUM(BE6:BF6,BH6:BJ6,BL6)-SUM(BG6,BK6),"")</f>
        <v>47.9</v>
      </c>
      <c r="BS6" s="14">
        <f>IF(SUM(BO6,BP6,BR6)&gt;0,SUM(BO6,BP6,BR6),"")</f>
        <v>120.69999999999999</v>
      </c>
      <c r="BT6" s="20">
        <v>17.7</v>
      </c>
      <c r="BU6" s="20">
        <v>6.8</v>
      </c>
      <c r="BV6" s="20">
        <v>0</v>
      </c>
      <c r="BW6" s="20">
        <v>0</v>
      </c>
      <c r="BX6" s="20">
        <v>18.3</v>
      </c>
      <c r="BY6" s="20">
        <v>6.8</v>
      </c>
      <c r="BZ6" s="20">
        <v>0.2</v>
      </c>
      <c r="CA6" s="20">
        <v>0</v>
      </c>
      <c r="CB6" s="20">
        <v>18.5</v>
      </c>
      <c r="CC6" s="20">
        <v>4.8</v>
      </c>
      <c r="CD6" s="20">
        <v>0.6</v>
      </c>
      <c r="CE6" s="20">
        <v>0</v>
      </c>
      <c r="CF6" s="20">
        <v>17.8</v>
      </c>
      <c r="CG6" s="20">
        <v>7.6</v>
      </c>
      <c r="CH6" s="20">
        <v>0.2</v>
      </c>
      <c r="CI6" s="20">
        <v>0</v>
      </c>
      <c r="CJ6" s="20">
        <v>17.3</v>
      </c>
      <c r="CK6" s="20">
        <v>3.2</v>
      </c>
      <c r="CL6" s="20">
        <v>0</v>
      </c>
      <c r="CM6" s="20">
        <v>0</v>
      </c>
      <c r="CN6" s="32"/>
      <c r="CO6" s="55">
        <f>IF(SUM(BU6,BY6)&gt;0,SUM(BU6,BY6),"")</f>
        <v>13.6</v>
      </c>
      <c r="CP6" s="55">
        <f>IF(SUM(BT6:BU6,BW6:BY6,CA6)-BV6-BZ6&gt;0,SUM(BT6:BU6,BW6:BY6,CA6)-BV6-BZ6,"")</f>
        <v>49.399999999999991</v>
      </c>
      <c r="CQ6" s="55">
        <f>IF(SUM(CB6:CC6,CE6)-CD6&gt;0,SUM(CB6:CC6,CE6)-CD6,"")</f>
        <v>22.7</v>
      </c>
      <c r="CR6" s="55">
        <f>IF(SUM(CG6,CK6)&gt;0,SUM(CG6,CK6),"")</f>
        <v>10.8</v>
      </c>
      <c r="CS6" s="55">
        <f>IF(SUM(CF6:CG6,CI6:CK6,CM6)-SUM(CH6,CL6)&gt;0,SUM(CF6:CG6,CI6:CK6,CM6)-SUM(CH6,CL6),"")</f>
        <v>45.7</v>
      </c>
      <c r="CT6" s="55">
        <f>IF(SUM(CP6,CQ6,CS6)&gt;0,SUM(CP6,CQ6,CS6),"")</f>
        <v>117.8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17.649999999999999</v>
      </c>
      <c r="OX6" s="27">
        <f t="shared" si="0"/>
        <v>6.8</v>
      </c>
      <c r="OY6" s="27">
        <f t="shared" si="0"/>
        <v>0.4</v>
      </c>
      <c r="OZ6" s="27">
        <f t="shared" si="0"/>
        <v>0</v>
      </c>
      <c r="PA6" s="27">
        <f t="shared" si="0"/>
        <v>18.200000000000003</v>
      </c>
      <c r="PB6" s="27">
        <f t="shared" si="0"/>
        <v>6.4</v>
      </c>
      <c r="PC6" s="27">
        <f t="shared" si="0"/>
        <v>0.4</v>
      </c>
      <c r="PD6" s="27">
        <f t="shared" si="0"/>
        <v>0</v>
      </c>
      <c r="PE6" s="27">
        <f t="shared" si="0"/>
        <v>18.45</v>
      </c>
      <c r="PF6" s="27">
        <f t="shared" si="0"/>
        <v>6.05</v>
      </c>
      <c r="PG6" s="27">
        <f t="shared" si="1"/>
        <v>0.3</v>
      </c>
      <c r="PH6" s="27">
        <f t="shared" si="1"/>
        <v>0</v>
      </c>
      <c r="PI6" s="27">
        <f t="shared" si="1"/>
        <v>18.149999999999999</v>
      </c>
      <c r="PJ6" s="27">
        <f t="shared" si="1"/>
        <v>6.4</v>
      </c>
      <c r="PK6" s="27">
        <f t="shared" si="1"/>
        <v>0.5</v>
      </c>
      <c r="PL6" s="27">
        <f t="shared" si="1"/>
        <v>0</v>
      </c>
      <c r="PM6" s="27">
        <f t="shared" si="1"/>
        <v>17.600000000000001</v>
      </c>
      <c r="PN6" s="27">
        <f t="shared" si="1"/>
        <v>5.45</v>
      </c>
      <c r="PO6" s="27">
        <f t="shared" si="1"/>
        <v>0.3</v>
      </c>
      <c r="PP6" s="27">
        <f t="shared" si="1"/>
        <v>0</v>
      </c>
      <c r="PQ6" s="32" t="s">
        <v>44</v>
      </c>
      <c r="PR6" s="55">
        <f>IF(SUM(OX6,PB6)&gt;0,SUM(OX6,PB6),"")</f>
        <v>13.2</v>
      </c>
      <c r="PS6" s="55">
        <f>IF(SUM(OW6:OX6,OZ6:PB6,PD6)-OY6-PC6&gt;0,SUM(OW6:OX6,OZ6:PB6,PD6)-OY6-PC6,"")</f>
        <v>48.250000000000007</v>
      </c>
      <c r="PT6" s="55">
        <f>IF(SUM(PE6:PF6,PH6)-PG6&gt;0,SUM(PE6:PF6,PH6)-PG6,"")</f>
        <v>24.2</v>
      </c>
      <c r="PU6" s="55">
        <f>IF(SUM(PJ6,PN6)&gt;0,SUM(PJ6,PN6),"")</f>
        <v>11.850000000000001</v>
      </c>
      <c r="PV6" s="55">
        <f>IF(SUM(PI6:PJ6,PL6:PN6,PP6)-SUM(PK6,PO6)&gt;0,SUM(PI6:PJ6,PL6:PN6,PP6)-SUM(PK6,PO6),"")</f>
        <v>46.800000000000004</v>
      </c>
      <c r="PW6" s="55">
        <f>IF(SUM(PS6,PT6,PV6)&gt;0,SUM(PS6,PT6,PV6),"")</f>
        <v>119.25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98</v>
      </c>
      <c r="C7" s="4" t="s">
        <v>68</v>
      </c>
      <c r="D7" s="4">
        <v>2008</v>
      </c>
      <c r="E7" s="10">
        <f>SUM(I7:O7)+SUM(I7:M7)*0.0000001+SUM(I7)*0.0000000000001</f>
        <v>139.80001398000485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45.2</v>
      </c>
      <c r="L7" s="9" t="str">
        <f>IF(K7=0,"",IF(K7=CP7,$BT$1,IF(K7=BO7,$AS$1,IF(K7=AN7,$R$1,""))))</f>
        <v>2024 Nationals</v>
      </c>
      <c r="M7" s="9">
        <f>IF(MAX(AQ7,BR7,CS7)&gt;0,MAX(AQ7,BR7,CS7),0)</f>
        <v>46.400000000000006</v>
      </c>
      <c r="N7" s="9" t="str">
        <f>IF(M7=0,"",IF(M7=CS7,$BT$1,IF(M7=BR7,$AS$1,IF(M7=AQ7,$R$1,""))))</f>
        <v>2024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17.899999999999999</v>
      </c>
      <c r="AT7" s="19">
        <v>6.8</v>
      </c>
      <c r="AU7" s="19">
        <v>0.8</v>
      </c>
      <c r="AV7" s="19">
        <v>0</v>
      </c>
      <c r="AW7" s="19">
        <v>18.5</v>
      </c>
      <c r="AX7" s="19">
        <v>6.4</v>
      </c>
      <c r="AY7" s="19">
        <v>0.6</v>
      </c>
      <c r="AZ7" s="19">
        <v>0</v>
      </c>
      <c r="BA7" s="19">
        <v>16.2</v>
      </c>
      <c r="BB7" s="19">
        <v>5.2</v>
      </c>
      <c r="BC7" s="19">
        <v>0.8</v>
      </c>
      <c r="BD7" s="19">
        <v>0</v>
      </c>
      <c r="BE7" s="19">
        <v>0</v>
      </c>
      <c r="BF7" s="19">
        <v>0</v>
      </c>
      <c r="BG7" s="19">
        <v>0</v>
      </c>
      <c r="BH7" s="19">
        <v>0</v>
      </c>
      <c r="BI7" s="19">
        <v>18</v>
      </c>
      <c r="BJ7" s="19">
        <v>7.2</v>
      </c>
      <c r="BK7" s="19">
        <v>0.8</v>
      </c>
      <c r="BL7" s="19">
        <v>0</v>
      </c>
      <c r="BM7" s="33"/>
      <c r="BN7" s="14">
        <f>IF(SUM(AT7,AX7)&gt;0,SUM(AT7,AX7),"")</f>
        <v>13.2</v>
      </c>
      <c r="BO7" s="14">
        <f>IF(SUM(AS7:AT7,AV7:AX7,AZ7)-AU7-AY7&gt;0,SUM(AS7:AT7,AV7:AX7,AZ7)-AU7-AY7,"")</f>
        <v>48.2</v>
      </c>
      <c r="BP7" s="14">
        <f>IF(SUM(BA7:BB7,BD7)-BC7&gt;0,SUM(BA7:BB7,BD7)-BC7,"")</f>
        <v>20.599999999999998</v>
      </c>
      <c r="BQ7" s="14">
        <f>IF(SUM(BF7,BJ7)&gt;0,SUM(BF7,BJ7),"")</f>
        <v>7.2</v>
      </c>
      <c r="BR7" s="14">
        <f>IF(SUM(BE7:BF7,BH7:BJ7,BL7)-SUM(BG7,BK7)&gt;0,SUM(BE7:BF7,BH7:BJ7,BL7)-SUM(BG7,BK7),"")</f>
        <v>24.4</v>
      </c>
      <c r="BS7" s="14">
        <f>IF(SUM(BO7,BP7,BR7)&gt;0,SUM(BO7,BP7,BR7),"")</f>
        <v>93.199999999999989</v>
      </c>
      <c r="BT7" s="20">
        <v>18.2</v>
      </c>
      <c r="BU7" s="20">
        <v>6.8</v>
      </c>
      <c r="BV7" s="20">
        <v>1</v>
      </c>
      <c r="BW7" s="20">
        <v>0</v>
      </c>
      <c r="BX7" s="20">
        <v>18.5</v>
      </c>
      <c r="BY7" s="20">
        <v>3.6</v>
      </c>
      <c r="BZ7" s="20">
        <v>0.9</v>
      </c>
      <c r="CA7" s="20">
        <v>0</v>
      </c>
      <c r="CB7" s="20">
        <v>18.399999999999999</v>
      </c>
      <c r="CC7" s="20">
        <v>6</v>
      </c>
      <c r="CD7" s="20">
        <v>0.8</v>
      </c>
      <c r="CE7" s="20">
        <v>0</v>
      </c>
      <c r="CF7" s="20">
        <v>18.8</v>
      </c>
      <c r="CG7" s="20">
        <v>7.2</v>
      </c>
      <c r="CH7" s="20">
        <v>1</v>
      </c>
      <c r="CI7" s="20">
        <v>0</v>
      </c>
      <c r="CJ7" s="20">
        <v>16.2</v>
      </c>
      <c r="CK7" s="20">
        <v>6</v>
      </c>
      <c r="CL7" s="20">
        <v>0.8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45.2</v>
      </c>
      <c r="CQ7" s="55">
        <f>IF(SUM(CB7:CC7,CE7)-CD7&gt;0,SUM(CB7:CC7,CE7)-CD7,"")</f>
        <v>23.599999999999998</v>
      </c>
      <c r="CR7" s="55">
        <f>IF(SUM(CG7,CK7)&gt;0,SUM(CG7,CK7),"")</f>
        <v>13.2</v>
      </c>
      <c r="CS7" s="55">
        <f>IF(SUM(CF7:CG7,CI7:CK7,CM7)-SUM(CH7,CL7)&gt;0,SUM(CF7:CG7,CI7:CK7,CM7)-SUM(CH7,CL7),"")</f>
        <v>46.400000000000006</v>
      </c>
      <c r="CT7" s="55">
        <f>IF(SUM(CP7,CQ7,CS7)&gt;0,SUM(CP7,CQ7,CS7),"")</f>
        <v>115.2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18.049999999999997</v>
      </c>
      <c r="OX7" s="27">
        <f t="shared" si="0"/>
        <v>6.8</v>
      </c>
      <c r="OY7" s="27">
        <f t="shared" si="0"/>
        <v>0.9</v>
      </c>
      <c r="OZ7" s="27">
        <f t="shared" si="0"/>
        <v>0</v>
      </c>
      <c r="PA7" s="27">
        <f t="shared" si="0"/>
        <v>18.5</v>
      </c>
      <c r="PB7" s="27">
        <f t="shared" si="0"/>
        <v>5</v>
      </c>
      <c r="PC7" s="27">
        <f t="shared" si="0"/>
        <v>0.75</v>
      </c>
      <c r="PD7" s="27">
        <f t="shared" si="0"/>
        <v>0</v>
      </c>
      <c r="PE7" s="27">
        <f t="shared" si="0"/>
        <v>17.299999999999997</v>
      </c>
      <c r="PF7" s="27">
        <f t="shared" si="0"/>
        <v>5.6</v>
      </c>
      <c r="PG7" s="27">
        <f t="shared" si="1"/>
        <v>0.8</v>
      </c>
      <c r="PH7" s="27">
        <f t="shared" si="1"/>
        <v>0</v>
      </c>
      <c r="PI7" s="27">
        <f t="shared" si="1"/>
        <v>9.4</v>
      </c>
      <c r="PJ7" s="27">
        <f t="shared" si="1"/>
        <v>3.6</v>
      </c>
      <c r="PK7" s="27">
        <f t="shared" si="1"/>
        <v>0.5</v>
      </c>
      <c r="PL7" s="27">
        <f t="shared" si="1"/>
        <v>0</v>
      </c>
      <c r="PM7" s="27">
        <f t="shared" si="1"/>
        <v>17.100000000000001</v>
      </c>
      <c r="PN7" s="27">
        <f t="shared" si="1"/>
        <v>6.6</v>
      </c>
      <c r="PO7" s="27">
        <f t="shared" si="1"/>
        <v>0.8</v>
      </c>
      <c r="PP7" s="27">
        <f t="shared" si="1"/>
        <v>0</v>
      </c>
      <c r="PQ7" s="32" t="s">
        <v>44</v>
      </c>
      <c r="PR7" s="55">
        <f>IF(SUM(OX7,PB7)&gt;0,SUM(OX7,PB7),"")</f>
        <v>11.8</v>
      </c>
      <c r="PS7" s="55">
        <f>IF(SUM(OW7:OX7,OZ7:PB7,PD7)-OY7-PC7&gt;0,SUM(OW7:OX7,OZ7:PB7,PD7)-OY7-PC7,"")</f>
        <v>46.699999999999996</v>
      </c>
      <c r="PT7" s="55">
        <f>IF(SUM(PE7:PF7,PH7)-PG7&gt;0,SUM(PE7:PF7,PH7)-PG7,"")</f>
        <v>22.099999999999998</v>
      </c>
      <c r="PU7" s="55">
        <f>IF(SUM(PJ7,PN7)&gt;0,SUM(PJ7,PN7),"")</f>
        <v>10.199999999999999</v>
      </c>
      <c r="PV7" s="55">
        <f>IF(SUM(PI7:PJ7,PL7:PN7,PP7)-SUM(PK7,PO7)&gt;0,SUM(PI7:PJ7,PL7:PN7,PP7)-SUM(PK7,PO7),"")</f>
        <v>35.400000000000006</v>
      </c>
      <c r="PW7" s="55">
        <f>IF(SUM(PS7,PT7,PV7)&gt;0,SUM(PS7,PT7,PV7),"")</f>
        <v>104.2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83</v>
      </c>
      <c r="C8" s="4" t="s">
        <v>66</v>
      </c>
      <c r="D8" s="4">
        <v>2008</v>
      </c>
      <c r="E8" s="10">
        <f>SUM(I8:O8)+SUM(I8:M8)*0.0000001+SUM(I8)*0.0000000000001</f>
        <v>130.40001304000521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52</v>
      </c>
      <c r="J8" s="9" t="str">
        <f>IF(I8=0,"",IF(I8=CP8,$BT$1,IF(I8=BO8,$AS$1,IF(I8=AN8,$R$1,""))))</f>
        <v>2024 Elite Canada</v>
      </c>
      <c r="K8" s="9">
        <f>IF(COUNT(AN8,BO8,CP8)&gt;1,LARGE((AN8,BO8,CP8),2),0)</f>
        <v>26.4</v>
      </c>
      <c r="L8" s="9" t="str">
        <f>IF(K8=0,"",IF(K8=CP8,$BT$1,IF(K8=BO8,$AS$1,IF(K8=AN8,$R$1,""))))</f>
        <v>2024 Nationals</v>
      </c>
      <c r="M8" s="9">
        <f>IF(MAX(AQ8,BR8,CS8)&gt;0,MAX(AQ8,BR8,CS8),0)</f>
        <v>52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19</v>
      </c>
      <c r="AT8" s="19">
        <v>7.6</v>
      </c>
      <c r="AU8" s="19">
        <v>0</v>
      </c>
      <c r="AV8" s="19">
        <v>0</v>
      </c>
      <c r="AW8" s="19">
        <v>18.399999999999999</v>
      </c>
      <c r="AX8" s="19">
        <v>7.6</v>
      </c>
      <c r="AY8" s="19">
        <v>0.6</v>
      </c>
      <c r="AZ8" s="19">
        <v>0</v>
      </c>
      <c r="BA8" s="19">
        <v>18.7</v>
      </c>
      <c r="BB8" s="19">
        <v>6.4</v>
      </c>
      <c r="BC8" s="19">
        <v>0.6</v>
      </c>
      <c r="BD8" s="19">
        <v>0</v>
      </c>
      <c r="BE8" s="19">
        <v>18.7</v>
      </c>
      <c r="BF8" s="19">
        <v>8.4</v>
      </c>
      <c r="BG8" s="19">
        <v>0</v>
      </c>
      <c r="BH8" s="19">
        <v>0</v>
      </c>
      <c r="BI8" s="19">
        <v>18.3</v>
      </c>
      <c r="BJ8" s="19">
        <v>6.8</v>
      </c>
      <c r="BK8" s="19">
        <v>0.2</v>
      </c>
      <c r="BL8" s="19">
        <v>0</v>
      </c>
      <c r="BM8" s="33"/>
      <c r="BN8" s="14">
        <f>IF(SUM(AT8,AX8)&gt;0,SUM(AT8,AX8),"")</f>
        <v>15.2</v>
      </c>
      <c r="BO8" s="14">
        <f>IF(SUM(AS8:AT8,AV8:AX8,AZ8)-AU8-AY8&gt;0,SUM(AS8:AT8,AV8:AX8,AZ8)-AU8-AY8,"")</f>
        <v>52</v>
      </c>
      <c r="BP8" s="14">
        <f>IF(SUM(BA8:BB8,BD8)-BC8&gt;0,SUM(BA8:BB8,BD8)-BC8,"")</f>
        <v>24.5</v>
      </c>
      <c r="BQ8" s="14">
        <f>IF(SUM(BF8,BJ8)&gt;0,SUM(BF8,BJ8),"")</f>
        <v>15.2</v>
      </c>
      <c r="BR8" s="14">
        <f>IF(SUM(BE8:BF8,BH8:BJ8,BL8)-SUM(BG8,BK8)&gt;0,SUM(BE8:BF8,BH8:BJ8,BL8)-SUM(BG8,BK8),"")</f>
        <v>52</v>
      </c>
      <c r="BS8" s="14">
        <f>IF(SUM(BO8,BP8,BR8)&gt;0,SUM(BO8,BP8,BR8),"")</f>
        <v>128.5</v>
      </c>
      <c r="BT8" s="20">
        <v>0</v>
      </c>
      <c r="BU8" s="20">
        <v>0</v>
      </c>
      <c r="BV8" s="20">
        <v>0</v>
      </c>
      <c r="BW8" s="20">
        <v>0</v>
      </c>
      <c r="BX8" s="20">
        <v>18.8</v>
      </c>
      <c r="BY8" s="20">
        <v>7.6</v>
      </c>
      <c r="BZ8" s="20">
        <v>0</v>
      </c>
      <c r="CA8" s="20">
        <v>0</v>
      </c>
      <c r="CB8" s="20">
        <v>19.399999999999999</v>
      </c>
      <c r="CC8" s="20">
        <v>7.6</v>
      </c>
      <c r="CD8" s="20">
        <v>0</v>
      </c>
      <c r="CE8" s="20">
        <v>0</v>
      </c>
      <c r="CF8" s="20"/>
      <c r="CG8" s="20"/>
      <c r="CH8" s="20"/>
      <c r="CI8" s="20"/>
      <c r="CJ8" s="20"/>
      <c r="CK8" s="20"/>
      <c r="CL8" s="20"/>
      <c r="CM8" s="20"/>
      <c r="CN8" s="32"/>
      <c r="CO8" s="55">
        <f>IF(SUM(BU8,BY8)&gt;0,SUM(BU8,BY8),"")</f>
        <v>7.6</v>
      </c>
      <c r="CP8" s="55">
        <f>IF(SUM(BT8:BU8,BW8:BY8,CA8)-BV8-BZ8&gt;0,SUM(BT8:BU8,BW8:BY8,CA8)-BV8-BZ8,"")</f>
        <v>26.4</v>
      </c>
      <c r="CQ8" s="55">
        <f>IF(SUM(CB8:CC8,CE8)-CD8&gt;0,SUM(CB8:CC8,CE8)-CD8,"")</f>
        <v>27</v>
      </c>
      <c r="CR8" s="55" t="str">
        <f>IF(SUM(CG8,CK8)&gt;0,SUM(CG8,CK8),"")</f>
        <v/>
      </c>
      <c r="CS8" s="55" t="str">
        <f>IF(SUM(CF8:CG8,CI8:CK8,CM8)-SUM(CH8,CL8)&gt;0,SUM(CF8:CG8,CI8:CK8,CM8)-SUM(CH8,CL8),"")</f>
        <v/>
      </c>
      <c r="CT8" s="55">
        <f>IF(SUM(CP8,CQ8,CS8)&gt;0,SUM(CP8,CQ8,CS8),"")</f>
        <v>53.4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 t="shared" si="0"/>
        <v>9.5</v>
      </c>
      <c r="OX8" s="27">
        <f t="shared" si="0"/>
        <v>3.8</v>
      </c>
      <c r="OY8" s="27">
        <f t="shared" si="0"/>
        <v>0</v>
      </c>
      <c r="OZ8" s="27">
        <f t="shared" si="0"/>
        <v>0</v>
      </c>
      <c r="PA8" s="27">
        <f t="shared" si="0"/>
        <v>18.600000000000001</v>
      </c>
      <c r="PB8" s="27">
        <f t="shared" si="0"/>
        <v>7.6</v>
      </c>
      <c r="PC8" s="27">
        <f t="shared" si="0"/>
        <v>0.3</v>
      </c>
      <c r="PD8" s="27">
        <f t="shared" si="0"/>
        <v>0</v>
      </c>
      <c r="PE8" s="27">
        <f t="shared" si="0"/>
        <v>19.049999999999997</v>
      </c>
      <c r="PF8" s="27">
        <f t="shared" si="0"/>
        <v>7</v>
      </c>
      <c r="PG8" s="27">
        <f t="shared" si="1"/>
        <v>0.3</v>
      </c>
      <c r="PH8" s="27">
        <f t="shared" si="1"/>
        <v>0</v>
      </c>
      <c r="PI8" s="27">
        <f t="shared" si="1"/>
        <v>9.35</v>
      </c>
      <c r="PJ8" s="27">
        <f t="shared" si="1"/>
        <v>4.2</v>
      </c>
      <c r="PK8" s="27">
        <f t="shared" si="1"/>
        <v>0</v>
      </c>
      <c r="PL8" s="27">
        <f t="shared" si="1"/>
        <v>0</v>
      </c>
      <c r="PM8" s="27">
        <f t="shared" si="1"/>
        <v>9.15</v>
      </c>
      <c r="PN8" s="27">
        <f t="shared" si="1"/>
        <v>3.4</v>
      </c>
      <c r="PO8" s="27">
        <f t="shared" si="1"/>
        <v>0.1</v>
      </c>
      <c r="PP8" s="27">
        <f t="shared" si="1"/>
        <v>0</v>
      </c>
      <c r="PQ8" s="32" t="s">
        <v>44</v>
      </c>
      <c r="PR8" s="55">
        <f>IF(SUM(OX8,PB8)&gt;0,SUM(OX8,PB8),"")</f>
        <v>11.399999999999999</v>
      </c>
      <c r="PS8" s="55">
        <f>IF(SUM(OW8:OX8,OZ8:PB8,PD8)-OY8-PC8&gt;0,SUM(OW8:OX8,OZ8:PB8,PD8)-OY8-PC8,"")</f>
        <v>39.200000000000003</v>
      </c>
      <c r="PT8" s="55">
        <f>IF(SUM(PE8:PF8,PH8)-PG8&gt;0,SUM(PE8:PF8,PH8)-PG8,"")</f>
        <v>25.749999999999996</v>
      </c>
      <c r="PU8" s="55">
        <f>IF(SUM(PJ8,PN8)&gt;0,SUM(PJ8,PN8),"")</f>
        <v>7.6</v>
      </c>
      <c r="PV8" s="55">
        <f>IF(SUM(PI8:PJ8,PL8:PN8,PP8)-SUM(PK8,PO8)&gt;0,SUM(PI8:PJ8,PL8:PN8,PP8)-SUM(PK8,PO8),"")</f>
        <v>26</v>
      </c>
      <c r="PW8" s="55">
        <f>IF(SUM(PS8,PT8,PV8)&gt;0,SUM(PS8,PT8,PV8),"")</f>
        <v>90.95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100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100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67</v>
      </c>
      <c r="C4" s="4" t="s">
        <v>68</v>
      </c>
      <c r="D4" s="4">
        <v>2009</v>
      </c>
      <c r="E4" s="10">
        <f t="shared" ref="E4:E9" si="0">SUM(I4:O4)+SUM(I4:M4)*0.0000001+SUM(I4)*0.0000000000001</f>
        <v>152.80001528000511</v>
      </c>
      <c r="F4" s="3" t="str">
        <f t="shared" ref="F4:F9" si="1"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 t="shared" ref="G4:G9" si="2"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 t="shared" ref="H4:H9" si="3"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Excellence</v>
      </c>
      <c r="I4" s="9">
        <f>IF(COUNT(AN4,BO4,CP4)&gt;0,LARGE((AN4,BO4,CP4),1),0)</f>
        <v>50.800000000000004</v>
      </c>
      <c r="J4" s="9" t="str">
        <f t="shared" ref="J4:J9" si="4">IF(I4=0,"",IF(I4=CP4,$BT$1,IF(I4=BO4,$AS$1,IF(I4=AN4,$R$1,""))))</f>
        <v>2024 Elite Canada</v>
      </c>
      <c r="K4" s="9">
        <f>IF(COUNT(AN4,BO4,CP4)&gt;1,LARGE((AN4,BO4,CP4),2),0)</f>
        <v>50.699999999999996</v>
      </c>
      <c r="L4" s="9" t="str">
        <f t="shared" ref="L4:L9" si="5">IF(K4=0,"",IF(K4=CP4,$BT$1,IF(K4=BO4,$AS$1,IF(K4=AN4,$R$1,""))))</f>
        <v>2024 Nationals</v>
      </c>
      <c r="M4" s="9">
        <f t="shared" ref="M4:M9" si="6">IF(MAX(AQ4,BR4,CS4)&gt;0,MAX(AQ4,BR4,CS4),0)</f>
        <v>51.3</v>
      </c>
      <c r="N4" s="9" t="str">
        <f t="shared" ref="N4:N9" si="7">IF(M4=0,"",IF(M4=CS4,$BT$1,IF(M4=BR4,$AS$1,IF(M4=AQ4,$R$1,""))))</f>
        <v>2024 Elite Canada</v>
      </c>
      <c r="O4" s="9" t="str">
        <f t="shared" ref="O4:O9" si="8">IF(MAX(CU4:CV4)&gt;0,MAX(CU4:CV4),"")</f>
        <v/>
      </c>
      <c r="P4" s="14" t="str">
        <f t="shared" ref="P4:P9" si="9">IF(O4="","",IF(O4=CU4,"("&amp;CU$2&amp;")",IF(O4=CV4,"("&amp;CV$2&amp;")")))</f>
        <v/>
      </c>
      <c r="Q4" s="9" t="str">
        <f t="shared" ref="Q4:Q9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 t="shared" ref="AM4:AM9" si="11">IF(SUM(S4,W4)&gt;0,SUM(S4,W4),"")</f>
        <v/>
      </c>
      <c r="AN4" s="55" t="str">
        <f t="shared" ref="AN4:AN9" si="12">IF(SUM(R4:S4,U4:W4,Y4)-T4-X4&gt;0,SUM(R4:S4,U4:W4,Y4)-T4-X4,"")</f>
        <v/>
      </c>
      <c r="AO4" s="55" t="str">
        <f t="shared" ref="AO4:AO9" si="13">IF(SUM(Z4:AA4,AC4)-AB4&gt;0,SUM(Z4:AA4,AC4)-AB4,"")</f>
        <v/>
      </c>
      <c r="AP4" s="55" t="str">
        <f t="shared" ref="AP4:AP9" si="14">IF(SUM(AE4,AI4)&gt;0,SUM(AE4,AI4),"")</f>
        <v/>
      </c>
      <c r="AQ4" s="55" t="str">
        <f t="shared" ref="AQ4:AQ9" si="15">IF(SUM(AD4:AE4,AG4:AI4,AK4)-SUM(AF4,AJ4)&gt;0,SUM(AD4:AE4,AG4:AI4,AK4)-SUM(AF4,AJ4),"")</f>
        <v/>
      </c>
      <c r="AR4" s="55" t="str">
        <f t="shared" ref="AR4:AR9" si="16">IF(SUM(AN4,AO4,AQ4)&gt;0,SUM(AN4,AO4,AQ4),"")</f>
        <v/>
      </c>
      <c r="AS4" s="19">
        <v>18.8</v>
      </c>
      <c r="AT4" s="19">
        <v>6.8</v>
      </c>
      <c r="AU4" s="19">
        <v>0</v>
      </c>
      <c r="AV4" s="19">
        <v>0</v>
      </c>
      <c r="AW4" s="19">
        <v>18.8</v>
      </c>
      <c r="AX4" s="19">
        <v>6.4</v>
      </c>
      <c r="AY4" s="19">
        <v>0</v>
      </c>
      <c r="AZ4" s="19">
        <v>0</v>
      </c>
      <c r="BA4" s="19">
        <v>18.600000000000001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7.6</v>
      </c>
      <c r="BG4" s="19">
        <v>0</v>
      </c>
      <c r="BH4" s="19">
        <v>0</v>
      </c>
      <c r="BI4" s="19">
        <v>18.899999999999999</v>
      </c>
      <c r="BJ4" s="19">
        <v>6.4</v>
      </c>
      <c r="BK4" s="19">
        <v>0</v>
      </c>
      <c r="BL4" s="19">
        <v>0</v>
      </c>
      <c r="BM4" s="33"/>
      <c r="BN4" s="14">
        <f t="shared" ref="BN4:BN9" si="17">IF(SUM(AT4,AX4)&gt;0,SUM(AT4,AX4),"")</f>
        <v>13.2</v>
      </c>
      <c r="BO4" s="14">
        <f t="shared" ref="BO4:BO9" si="18">IF(SUM(AS4:AT4,AV4:AX4,AZ4)-AU4-AY4&gt;0,SUM(AS4:AT4,AV4:AX4,AZ4)-AU4-AY4,"")</f>
        <v>50.800000000000004</v>
      </c>
      <c r="BP4" s="14">
        <f t="shared" ref="BP4:BP9" si="19">IF(SUM(BA4:BB4,BD4)-BC4&gt;0,SUM(BA4:BB4,BD4)-BC4,"")</f>
        <v>24.6</v>
      </c>
      <c r="BQ4" s="14">
        <f t="shared" ref="BQ4:BQ9" si="20">IF(SUM(BF4,BJ4)&gt;0,SUM(BF4,BJ4),"")</f>
        <v>14</v>
      </c>
      <c r="BR4" s="14">
        <f t="shared" ref="BR4:BR9" si="21">IF(SUM(BE4:BF4,BH4:BJ4,BL4)-SUM(BG4,BK4)&gt;0,SUM(BE4:BF4,BH4:BJ4,BL4)-SUM(BG4,BK4),"")</f>
        <v>51.3</v>
      </c>
      <c r="BS4" s="14">
        <f t="shared" ref="BS4:BS9" si="22">IF(SUM(BO4,BP4,BR4)&gt;0,SUM(BO4,BP4,BR4),"")</f>
        <v>126.7</v>
      </c>
      <c r="BT4" s="20">
        <v>19.2</v>
      </c>
      <c r="BU4" s="20">
        <v>6.8</v>
      </c>
      <c r="BV4" s="20">
        <v>0.2</v>
      </c>
      <c r="BW4" s="20">
        <v>0</v>
      </c>
      <c r="BX4" s="20">
        <v>18.5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5.2</v>
      </c>
      <c r="CD4" s="20">
        <v>0.6</v>
      </c>
      <c r="CE4" s="20">
        <v>0</v>
      </c>
      <c r="CF4" s="20">
        <v>18.5</v>
      </c>
      <c r="CG4" s="20">
        <v>7.6</v>
      </c>
      <c r="CH4" s="20">
        <v>0.2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 t="shared" ref="CO4:CO9" si="23">IF(SUM(BU4,BY4)&gt;0,SUM(BU4,BY4),"")</f>
        <v>13.2</v>
      </c>
      <c r="CP4" s="55">
        <f t="shared" ref="CP4:CP9" si="24">IF(SUM(BT4:BU4,BW4:BY4,CA4)-BV4-BZ4&gt;0,SUM(BT4:BU4,BW4:BY4,CA4)-BV4-BZ4,"")</f>
        <v>50.699999999999996</v>
      </c>
      <c r="CQ4" s="55">
        <f t="shared" ref="CQ4:CQ9" si="25">IF(SUM(CB4:CC4,CE4)-CD4&gt;0,SUM(CB4:CC4,CE4)-CD4,"")</f>
        <v>23.2</v>
      </c>
      <c r="CR4" s="55">
        <f t="shared" ref="CR4:CR9" si="26">IF(SUM(CG4,CK4)&gt;0,SUM(CG4,CK4),"")</f>
        <v>14</v>
      </c>
      <c r="CS4" s="55">
        <f t="shared" ref="CS4:CS9" si="27">IF(SUM(CF4:CG4,CI4:CK4,CM4)-SUM(CH4,CL4)&gt;0,SUM(CF4:CG4,CI4:CK4,CM4)-SUM(CH4,CL4),"")</f>
        <v>51.199999999999996</v>
      </c>
      <c r="CT4" s="55">
        <f t="shared" ref="CT4:CT9" si="28">IF(SUM(CP4,CQ4,CS4)&gt;0,SUM(CP4,CQ4,CS4),"")</f>
        <v>125.1</v>
      </c>
      <c r="CU4" s="56" t="str">
        <f t="shared" ref="CU4:CU9" si="29">IF(MAX(DR4,ER4,FR4,GR4,HR4,IR4,JR4,KR4,LR4,MR4,NR4,OR4)-IF(K4="",0,K4)&gt;0.001,MAX(DR4,ER4,FR4,GR4,HR4,IR4,JR4,KR4,LR4,MR4,NR4,OR4)-IF(K4="",0,K4),"")</f>
        <v/>
      </c>
      <c r="CV4" s="56" t="str">
        <f t="shared" ref="CV4:CV9" si="30"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0.2</v>
      </c>
      <c r="CZ4" s="18">
        <v>0</v>
      </c>
      <c r="DA4" s="18">
        <v>18.600000000000001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18.600000000000001</v>
      </c>
      <c r="DJ4" s="18">
        <v>6.4</v>
      </c>
      <c r="DK4" s="18">
        <v>0</v>
      </c>
      <c r="DL4" s="18">
        <v>0</v>
      </c>
      <c r="DM4" s="18">
        <v>18.8</v>
      </c>
      <c r="DN4" s="18">
        <v>6.8</v>
      </c>
      <c r="DO4" s="18">
        <v>0</v>
      </c>
      <c r="DP4" s="18">
        <v>0</v>
      </c>
      <c r="DQ4" s="55">
        <f t="shared" ref="DQ4:DQ9" si="31">IF(SUM(CX4,DB4)&gt;0,SUM(CX4,DB4),"")</f>
        <v>13.2</v>
      </c>
      <c r="DR4" s="55">
        <f t="shared" ref="DR4:DR9" si="32">IF(SUM(CW4:CX4,CZ4:DB4,DD4)-CY4-DC4&gt;0,SUM(CW4:CX4,CZ4:DB4,DD4)-CY4-DC4,"")</f>
        <v>50.4</v>
      </c>
      <c r="DS4" s="55" t="str">
        <f t="shared" ref="DS4:DS9" si="33">IF(SUM(DE4:DF4,DH4)-DG4&gt;0,SUM(DE4:DF4,DH4)-DG4,"")</f>
        <v/>
      </c>
      <c r="DT4" s="55">
        <f t="shared" ref="DT4:DT9" si="34">IF(SUM(DJ4,DN4)&gt;0,SUM(DJ4,DN4),"")</f>
        <v>13.2</v>
      </c>
      <c r="DU4" s="55">
        <f t="shared" ref="DU4:DU9" si="35">IF(SUM(DI4:DJ4,DL4:DN4,DP4)-SUM(DK4,DO4)&gt;0,SUM(DI4:DJ4,DL4:DN4,DP4)-SUM(DK4,DO4),"")</f>
        <v>50.599999999999994</v>
      </c>
      <c r="DV4" s="55">
        <f t="shared" ref="DV4:DV9" si="36"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>
        <v>17.2</v>
      </c>
      <c r="EF4" s="19">
        <v>2.8</v>
      </c>
      <c r="EG4" s="19">
        <v>0</v>
      </c>
      <c r="EH4" s="19">
        <v>0</v>
      </c>
      <c r="EI4" s="19"/>
      <c r="EJ4" s="19"/>
      <c r="EK4" s="19"/>
      <c r="EL4" s="19"/>
      <c r="EM4" s="19"/>
      <c r="EN4" s="19"/>
      <c r="EO4" s="19"/>
      <c r="EP4" s="19"/>
      <c r="EQ4" s="14" t="str">
        <f t="shared" ref="EQ4:EQ9" si="37">IF(SUM(DX4,EB4)&gt;0,SUM(DX4,EB4),"")</f>
        <v/>
      </c>
      <c r="ER4" s="14" t="str">
        <f t="shared" ref="ER4:ER9" si="38">IF(SUM(DW4:DX4,DZ4:EB4,ED4)-DY4-EC4&gt;0,SUM(DW4:DX4,DZ4:EB4,ED4)-DY4-EC4,"")</f>
        <v/>
      </c>
      <c r="ES4" s="14">
        <f t="shared" ref="ES4:ES9" si="39">IF(SUM(EE4:EF4,EH4)-EG4&gt;0,SUM(EE4:EF4,EH4)-EG4,"")</f>
        <v>20</v>
      </c>
      <c r="ET4" s="14" t="str">
        <f t="shared" ref="ET4:ET9" si="40">IF(SUM(EJ4,EN4)&gt;0,SUM(EJ4,EN4),"")</f>
        <v/>
      </c>
      <c r="EU4" s="14" t="str">
        <f t="shared" ref="EU4:EU9" si="41">IF(SUM(EI4:EJ4,EL4:EN4,EP4)-SUM(EK4,EO4)&gt;0,SUM(EI4:EJ4,EL4:EN4,EP4)-SUM(EK4,EO4),"")</f>
        <v/>
      </c>
      <c r="EV4" s="14">
        <f t="shared" ref="EV4:EV9" si="42">IF(SUM(ER4,ES4,EU4)&gt;0,SUM(ER4,ES4,EU4),"")</f>
        <v>20</v>
      </c>
      <c r="EW4" s="18">
        <v>18.100000000000001</v>
      </c>
      <c r="EX4" s="18">
        <v>6.4</v>
      </c>
      <c r="EY4" s="18">
        <v>0</v>
      </c>
      <c r="EZ4" s="18">
        <v>0</v>
      </c>
      <c r="FA4" s="18">
        <v>18.600000000000001</v>
      </c>
      <c r="FB4" s="18">
        <v>6.8</v>
      </c>
      <c r="FC4" s="18">
        <v>0</v>
      </c>
      <c r="FD4" s="18">
        <v>0</v>
      </c>
      <c r="FE4" s="18"/>
      <c r="FF4" s="18"/>
      <c r="FG4" s="18"/>
      <c r="FH4" s="18"/>
      <c r="FI4" s="18">
        <v>18.3</v>
      </c>
      <c r="FJ4" s="18">
        <v>6.4</v>
      </c>
      <c r="FK4" s="18">
        <v>0.2</v>
      </c>
      <c r="FL4" s="18">
        <v>0</v>
      </c>
      <c r="FM4" s="18">
        <v>18</v>
      </c>
      <c r="FN4" s="18">
        <v>4.4000000000000004</v>
      </c>
      <c r="FO4" s="18">
        <v>0.6</v>
      </c>
      <c r="FP4" s="18">
        <v>0</v>
      </c>
      <c r="FQ4" s="55">
        <f t="shared" ref="FQ4:FQ9" si="43">IF(SUM(EX4,FB4)&gt;0,SUM(EX4,FB4),"")</f>
        <v>13.2</v>
      </c>
      <c r="FR4" s="55">
        <f t="shared" ref="FR4:FR9" si="44">IF(SUM(EW4:EX4,EZ4:FB4,FD4)-EY4-FC4&gt;0,SUM(EW4:EX4,EZ4:FB4,FD4)-EY4-FC4,"")</f>
        <v>49.9</v>
      </c>
      <c r="FS4" s="55" t="str">
        <f t="shared" ref="FS4:FS9" si="45">IF(SUM(FE4:FF4,FH4)-FG4&gt;0,SUM(FE4:FF4,FH4)-FG4,"")</f>
        <v/>
      </c>
      <c r="FT4" s="55">
        <f t="shared" ref="FT4:FT9" si="46">IF(SUM(FJ4,FN4)&gt;0,SUM(FJ4,FN4),"")</f>
        <v>10.8</v>
      </c>
      <c r="FU4" s="55">
        <f t="shared" ref="FU4:FU9" si="47">IF(SUM(FI4:FJ4,FL4:FN4,FP4)-SUM(FK4,FO4)&gt;0,SUM(FI4:FJ4,FL4:FN4,FP4)-SUM(FK4,FO4),"")</f>
        <v>46.300000000000004</v>
      </c>
      <c r="FV4" s="55">
        <f t="shared" ref="FV4:FV9" si="48">IF(SUM(FR4,FS4,FU4)&gt;0,SUM(FR4,FS4,FU4),"")</f>
        <v>96.2</v>
      </c>
      <c r="FW4" s="19">
        <v>18.5</v>
      </c>
      <c r="FX4" s="19">
        <v>6.4</v>
      </c>
      <c r="FY4" s="19">
        <v>0</v>
      </c>
      <c r="FZ4" s="19">
        <v>0</v>
      </c>
      <c r="GA4" s="19">
        <v>18.600000000000001</v>
      </c>
      <c r="GB4" s="19">
        <v>6.8</v>
      </c>
      <c r="GC4" s="19">
        <v>0</v>
      </c>
      <c r="GD4" s="19">
        <v>0</v>
      </c>
      <c r="GE4" s="19"/>
      <c r="GF4" s="19"/>
      <c r="GG4" s="19"/>
      <c r="GH4" s="19"/>
      <c r="GI4" s="19">
        <v>18.399999999999999</v>
      </c>
      <c r="GJ4" s="19">
        <v>6.4</v>
      </c>
      <c r="GK4" s="19">
        <v>0</v>
      </c>
      <c r="GL4" s="19">
        <v>0</v>
      </c>
      <c r="GM4" s="19">
        <v>18.600000000000001</v>
      </c>
      <c r="GN4" s="19">
        <v>6.8</v>
      </c>
      <c r="GO4" s="19">
        <v>0</v>
      </c>
      <c r="GP4" s="19">
        <v>0</v>
      </c>
      <c r="GQ4" s="14">
        <f t="shared" ref="GQ4:GQ9" si="49">IF(SUM(FX4,GB4)&gt;0,SUM(FX4,GB4),"")</f>
        <v>13.2</v>
      </c>
      <c r="GR4" s="14">
        <f t="shared" ref="GR4:GR9" si="50">IF(SUM(FW4:FX4,FZ4:GB4,GD4)-FY4-GC4&gt;0,SUM(FW4:FX4,FZ4:GB4,GD4)-FY4-GC4,"")</f>
        <v>50.3</v>
      </c>
      <c r="GS4" s="14" t="str">
        <f t="shared" ref="GS4:GS9" si="51">IF(SUM(GE4:GF4,GH4)-GG4&gt;0,SUM(GE4:GF4,GH4)-GG4,"")</f>
        <v/>
      </c>
      <c r="GT4" s="14">
        <f t="shared" ref="GT4:GT9" si="52">IF(SUM(GJ4,GN4)&gt;0,SUM(GJ4,GN4),"")</f>
        <v>13.2</v>
      </c>
      <c r="GU4" s="14">
        <f t="shared" ref="GU4:GU9" si="53">IF(SUM(GI4:GJ4,GL4:GN4,GP4)-SUM(GK4,GO4)&gt;0,SUM(GI4:GJ4,GL4:GN4,GP4)-SUM(GK4,GO4),"")</f>
        <v>50.199999999999996</v>
      </c>
      <c r="GV4" s="14">
        <f t="shared" ref="GV4:GV9" si="54">IF(SUM(GR4,GS4,GU4)&gt;0,SUM(GR4,GS4,GU4),"")</f>
        <v>100.5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9" si="55">IF(SUM(GX4,HB4)&gt;0,SUM(GX4,HB4),"")</f>
        <v/>
      </c>
      <c r="HR4" s="55" t="str">
        <f t="shared" ref="HR4:HR9" si="56">IF(SUM(GW4:GX4,GZ4:HB4,HD4)-GY4-HC4&gt;0,SUM(GW4:GX4,GZ4:HB4,HD4)-GY4-HC4,"")</f>
        <v/>
      </c>
      <c r="HS4" s="55" t="str">
        <f t="shared" ref="HS4:HS9" si="57">IF(SUM(HE4:HF4,HH4)-HG4&gt;0,SUM(HE4:HF4,HH4)-HG4,"")</f>
        <v/>
      </c>
      <c r="HT4" s="55" t="str">
        <f t="shared" ref="HT4:HT9" si="58">IF(SUM(HJ4,HN4)&gt;0,SUM(HJ4,HN4),"")</f>
        <v/>
      </c>
      <c r="HU4" s="55" t="str">
        <f t="shared" ref="HU4:HU9" si="59">IF(SUM(HI4:HJ4,HL4:HN4,HP4)-SUM(HK4,HO4)&gt;0,SUM(HI4:HJ4,HL4:HN4,HP4)-SUM(HK4,HO4),"")</f>
        <v/>
      </c>
      <c r="HV4" s="55" t="str">
        <f t="shared" ref="HV4:HV9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9" si="61">IF(SUM(HX4,IB4)&gt;0,SUM(HX4,IB4),"")</f>
        <v/>
      </c>
      <c r="IR4" s="14" t="str">
        <f t="shared" ref="IR4:IR9" si="62">IF(SUM(HW4:HX4,HZ4:IB4,ID4)-HY4-IC4&gt;0,SUM(HW4:HX4,HZ4:IB4,ID4)-HY4-IC4,"")</f>
        <v/>
      </c>
      <c r="IS4" s="14" t="str">
        <f t="shared" ref="IS4:IS9" si="63">IF(SUM(IE4:IF4,IH4)-IG4&gt;0,SUM(IE4:IF4,IH4)-IG4,"")</f>
        <v/>
      </c>
      <c r="IT4" s="14" t="str">
        <f t="shared" ref="IT4:IT9" si="64">IF(SUM(IJ4,IN4)&gt;0,SUM(IJ4,IN4),"")</f>
        <v/>
      </c>
      <c r="IU4" s="14" t="str">
        <f t="shared" ref="IU4:IU9" si="65">IF(SUM(II4:IJ4,IL4:IN4,IP4)-SUM(IK4,IO4)&gt;0,SUM(II4:IJ4,IL4:IN4,IP4)-SUM(IK4,IO4),"")</f>
        <v/>
      </c>
      <c r="IV4" s="14" t="str">
        <f t="shared" ref="IV4:IV9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9" si="67">IF(SUM(IX4,JB4)&gt;0,SUM(IX4,JB4),"")</f>
        <v/>
      </c>
      <c r="JR4" s="55" t="str">
        <f t="shared" ref="JR4:JR9" si="68">IF(SUM(IW4:IX4,IZ4:JB4,JD4)-IY4-JC4&gt;0,SUM(IW4:IX4,IZ4:JB4,JD4)-IY4-JC4,"")</f>
        <v/>
      </c>
      <c r="JS4" s="55" t="str">
        <f t="shared" ref="JS4:JS9" si="69">IF(SUM(JE4:JF4,JH4)-JG4&gt;0,SUM(JE4:JF4,JH4)-JG4,"")</f>
        <v/>
      </c>
      <c r="JT4" s="55" t="str">
        <f t="shared" ref="JT4:JT9" si="70">IF(SUM(JJ4,JN4)&gt;0,SUM(JJ4,JN4),"")</f>
        <v/>
      </c>
      <c r="JU4" s="55" t="str">
        <f t="shared" ref="JU4:JU9" si="71">IF(SUM(JI4:JJ4,JL4:JN4,JP4)-SUM(JK4,JO4)&gt;0,SUM(JI4:JJ4,JL4:JN4,JP4)-SUM(JK4,JO4),"")</f>
        <v/>
      </c>
      <c r="JV4" s="55" t="str">
        <f t="shared" ref="JV4:JV9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9" si="73">IF(SUM(JX4,KB4)&gt;0,SUM(JX4,KB4),"")</f>
        <v/>
      </c>
      <c r="KR4" s="14" t="str">
        <f t="shared" ref="KR4:KR9" si="74">IF(SUM(JW4:JX4,JZ4:KB4,KD4)-JY4-KC4&gt;0,SUM(JW4:JX4,JZ4:KB4,KD4)-JY4-KC4,"")</f>
        <v/>
      </c>
      <c r="KS4" s="14" t="str">
        <f t="shared" ref="KS4:KS9" si="75">IF(SUM(KE4:KF4,KH4)-KG4&gt;0,SUM(KE4:KF4,KH4)-KG4,"")</f>
        <v/>
      </c>
      <c r="KT4" s="14" t="str">
        <f t="shared" ref="KT4:KT9" si="76">IF(SUM(KJ4,KN4)&gt;0,SUM(KJ4,KN4),"")</f>
        <v/>
      </c>
      <c r="KU4" s="14" t="str">
        <f t="shared" ref="KU4:KU9" si="77">IF(SUM(KI4:KJ4,KL4:KN4,KP4)-SUM(KK4,KO4)&gt;0,SUM(KI4:KJ4,KL4:KN4,KP4)-SUM(KK4,KO4),"")</f>
        <v/>
      </c>
      <c r="KV4" s="14" t="str">
        <f t="shared" ref="KV4:KV9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9" si="79">IF(SUM(KX4,LB4)&gt;0,SUM(KX4,LB4),"")</f>
        <v/>
      </c>
      <c r="LR4" s="55" t="str">
        <f t="shared" ref="LR4:LR9" si="80">IF(SUM(KW4:KX4,KZ4:LB4,LD4)-KY4-LC4&gt;0,SUM(KW4:KX4,KZ4:LB4,LD4)-KY4-LC4,"")</f>
        <v/>
      </c>
      <c r="LS4" s="55" t="str">
        <f t="shared" ref="LS4:LS9" si="81">IF(SUM(LE4:LF4,LH4)-LG4&gt;0,SUM(LE4:LF4,LH4)-LG4,"")</f>
        <v/>
      </c>
      <c r="LT4" s="55" t="str">
        <f t="shared" ref="LT4:LT9" si="82">IF(SUM(LJ4,LN4)&gt;0,SUM(LJ4,LN4),"")</f>
        <v/>
      </c>
      <c r="LU4" s="55" t="str">
        <f t="shared" ref="LU4:LU9" si="83">IF(SUM(LI4:LJ4,LL4:LN4,LP4)-SUM(LK4,LO4)&gt;0,SUM(LI4:LJ4,LL4:LN4,LP4)-SUM(LK4,LO4),"")</f>
        <v/>
      </c>
      <c r="LV4" s="55" t="str">
        <f t="shared" ref="LV4:LV9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9" si="85">IF(SUM(LX4,MB4)&gt;0,SUM(LX4,MB4),"")</f>
        <v/>
      </c>
      <c r="MR4" s="14" t="str">
        <f t="shared" ref="MR4:MR9" si="86">IF(SUM(LW4:LX4,LZ4:MB4,MD4)-LY4-MC4&gt;0,SUM(LW4:LX4,LZ4:MB4,MD4)-LY4-MC4,"")</f>
        <v/>
      </c>
      <c r="MS4" s="14" t="str">
        <f t="shared" ref="MS4:MS9" si="87">IF(SUM(ME4:MF4,MH4)-MG4&gt;0,SUM(ME4:MF4,MH4)-MG4,"")</f>
        <v/>
      </c>
      <c r="MT4" s="14" t="str">
        <f t="shared" ref="MT4:MT9" si="88">IF(SUM(MJ4,MN4)&gt;0,SUM(MJ4,MN4),"")</f>
        <v/>
      </c>
      <c r="MU4" s="14" t="str">
        <f t="shared" ref="MU4:MU9" si="89">IF(SUM(MI4:MJ4,ML4:MN4,MP4)-SUM(MK4,MO4)&gt;0,SUM(MI4:MJ4,ML4:MN4,MP4)-SUM(MK4,MO4),"")</f>
        <v/>
      </c>
      <c r="MV4" s="14" t="str">
        <f t="shared" ref="MV4:MV9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9" si="91">IF(SUM(MX4,NB4)&gt;0,SUM(MX4,NB4),"")</f>
        <v/>
      </c>
      <c r="NR4" s="55" t="str">
        <f t="shared" ref="NR4:NR9" si="92">IF(SUM(MW4:MX4,MZ4:NB4,ND4)-MY4-NC4&gt;0,SUM(MW4:MX4,MZ4:NB4,ND4)-MY4-NC4,"")</f>
        <v/>
      </c>
      <c r="NS4" s="55" t="str">
        <f t="shared" ref="NS4:NS9" si="93">IF(SUM(NE4:NF4,NH4)-NG4&gt;0,SUM(NE4:NF4,NH4)-NG4,"")</f>
        <v/>
      </c>
      <c r="NT4" s="55" t="str">
        <f t="shared" ref="NT4:NT9" si="94">IF(SUM(NJ4,NN4)&gt;0,SUM(NJ4,NN4),"")</f>
        <v/>
      </c>
      <c r="NU4" s="55" t="str">
        <f t="shared" ref="NU4:NU9" si="95">IF(SUM(NI4:NJ4,NL4:NN4,NP4)-SUM(NK4,NO4)&gt;0,SUM(NI4:NJ4,NL4:NN4,NP4)-SUM(NK4,NO4),"")</f>
        <v/>
      </c>
      <c r="NV4" s="55" t="str">
        <f t="shared" ref="NV4:NV9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9" si="97">IF(SUM(NX4,OB4)&gt;0,SUM(NX4,OB4),"")</f>
        <v/>
      </c>
      <c r="OR4" s="14" t="str">
        <f t="shared" ref="OR4:OR9" si="98">IF(SUM(NW4:NX4,NZ4:OB4,OD4)-NY4-OC4&gt;0,SUM(NW4:NX4,NZ4:OB4,OD4)-NY4-OC4,"")</f>
        <v/>
      </c>
      <c r="OS4" s="14" t="str">
        <f t="shared" ref="OS4:OS9" si="99">IF(SUM(OE4:OF4,OH4)-OG4&gt;0,SUM(OE4:OF4,OH4)-OG4,"")</f>
        <v/>
      </c>
      <c r="OT4" s="14" t="str">
        <f t="shared" ref="OT4:OT9" si="100">IF(SUM(OJ4,ON4)&gt;0,SUM(OJ4,ON4),"")</f>
        <v/>
      </c>
      <c r="OU4" s="14" t="str">
        <f t="shared" ref="OU4:OU9" si="101">IF(SUM(OI4:OJ4,OL4:ON4,OP4)-SUM(OK4,OO4)&gt;0,SUM(OI4:OJ4,OL4:ON4,OP4)-SUM(OK4,OO4),"")</f>
        <v/>
      </c>
      <c r="OV4" s="14" t="str">
        <f t="shared" ref="OV4:OV9" si="102">IF(SUM(OR4,OS4,OU4)&gt;0,SUM(OR4,OS4,OU4),"")</f>
        <v/>
      </c>
      <c r="OW4" s="27">
        <f t="shared" ref="OW4:PF9" si="103">IF($CN4="P",BT4,(BT4+AS4)/2)</f>
        <v>19</v>
      </c>
      <c r="OX4" s="27">
        <f t="shared" si="103"/>
        <v>6.8</v>
      </c>
      <c r="OY4" s="27">
        <f t="shared" si="103"/>
        <v>0.1</v>
      </c>
      <c r="OZ4" s="27">
        <f t="shared" si="103"/>
        <v>0</v>
      </c>
      <c r="PA4" s="27">
        <f t="shared" si="103"/>
        <v>18.649999999999999</v>
      </c>
      <c r="PB4" s="27">
        <f t="shared" si="103"/>
        <v>6.4</v>
      </c>
      <c r="PC4" s="27">
        <f t="shared" si="103"/>
        <v>0</v>
      </c>
      <c r="PD4" s="27">
        <f t="shared" si="103"/>
        <v>0</v>
      </c>
      <c r="PE4" s="27">
        <f t="shared" si="103"/>
        <v>18.600000000000001</v>
      </c>
      <c r="PF4" s="27">
        <f t="shared" si="103"/>
        <v>5.6</v>
      </c>
      <c r="PG4" s="27">
        <f t="shared" ref="PG4:PP9" si="104">IF($CN4="P",CD4,(CD4+BC4)/2)</f>
        <v>0.3</v>
      </c>
      <c r="PH4" s="27">
        <f t="shared" si="104"/>
        <v>0</v>
      </c>
      <c r="PI4" s="27">
        <f t="shared" si="104"/>
        <v>18.45</v>
      </c>
      <c r="PJ4" s="27">
        <f t="shared" si="104"/>
        <v>7.6</v>
      </c>
      <c r="PK4" s="27">
        <f t="shared" si="104"/>
        <v>0.1</v>
      </c>
      <c r="PL4" s="27">
        <f t="shared" si="104"/>
        <v>0</v>
      </c>
      <c r="PM4" s="27">
        <f t="shared" si="104"/>
        <v>18.899999999999999</v>
      </c>
      <c r="PN4" s="27">
        <f t="shared" si="104"/>
        <v>6.4</v>
      </c>
      <c r="PO4" s="27">
        <f t="shared" si="104"/>
        <v>0</v>
      </c>
      <c r="PP4" s="27">
        <f t="shared" si="104"/>
        <v>0</v>
      </c>
      <c r="PQ4" s="32" t="s">
        <v>44</v>
      </c>
      <c r="PR4" s="55">
        <f t="shared" ref="PR4:PR9" si="105">IF(SUM(OX4,PB4)&gt;0,SUM(OX4,PB4),"")</f>
        <v>13.2</v>
      </c>
      <c r="PS4" s="55">
        <f t="shared" ref="PS4:PS9" si="106">IF(SUM(OW4:OX4,OZ4:PB4,PD4)-OY4-PC4&gt;0,SUM(OW4:OX4,OZ4:PB4,PD4)-OY4-PC4,"")</f>
        <v>50.75</v>
      </c>
      <c r="PT4" s="55">
        <f t="shared" ref="PT4:PT9" si="107">IF(SUM(PE4:PF4,PH4)-PG4&gt;0,SUM(PE4:PF4,PH4)-PG4,"")</f>
        <v>23.900000000000002</v>
      </c>
      <c r="PU4" s="55">
        <f t="shared" ref="PU4:PU9" si="108">IF(SUM(PJ4,PN4)&gt;0,SUM(PJ4,PN4),"")</f>
        <v>14</v>
      </c>
      <c r="PV4" s="55">
        <f t="shared" ref="PV4:PV9" si="109">IF(SUM(PI4:PJ4,PL4:PN4,PP4)-SUM(PK4,PO4)&gt;0,SUM(PI4:PJ4,PL4:PN4,PP4)-SUM(PK4,PO4),"")</f>
        <v>51.249999999999993</v>
      </c>
      <c r="PW4" s="55">
        <f t="shared" ref="PW4:PW9" si="110">IF(SUM(PS4,PT4,PV4)&gt;0,SUM(PS4,PT4,PV4),"")</f>
        <v>125.9</v>
      </c>
    </row>
    <row r="5" spans="1:439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82</v>
      </c>
      <c r="C5" s="4" t="s">
        <v>68</v>
      </c>
      <c r="D5" s="4">
        <v>2008</v>
      </c>
      <c r="E5" s="10">
        <f t="shared" si="0"/>
        <v>147.20001454000501</v>
      </c>
      <c r="F5" s="3" t="str">
        <f t="shared" si="1"/>
        <v>P</v>
      </c>
      <c r="G5" s="3" t="str">
        <f t="shared" si="2"/>
        <v>P</v>
      </c>
      <c r="H5" s="47" t="str">
        <f t="shared" si="3"/>
        <v>Excellence</v>
      </c>
      <c r="I5" s="9">
        <f>IF(COUNT(AN5,BO5,CP5)&gt;0,LARGE((AN5,BO5,CP5),1),0)</f>
        <v>49.900000000000006</v>
      </c>
      <c r="J5" s="9" t="str">
        <f t="shared" si="4"/>
        <v>2024 Nationals</v>
      </c>
      <c r="K5" s="9">
        <f>IF(COUNT(AN5,BO5,CP5)&gt;1,LARGE((AN5,BO5,CP5),2),0)</f>
        <v>47.9</v>
      </c>
      <c r="L5" s="9" t="str">
        <f t="shared" si="5"/>
        <v>2024 Elite Canada</v>
      </c>
      <c r="M5" s="9">
        <f t="shared" si="6"/>
        <v>47.6</v>
      </c>
      <c r="N5" s="9" t="str">
        <f t="shared" si="7"/>
        <v>2024 Elite Canada</v>
      </c>
      <c r="O5" s="9">
        <f t="shared" si="8"/>
        <v>1.8000000000000043</v>
      </c>
      <c r="P5" s="14" t="str">
        <f t="shared" si="9"/>
        <v>(Q1)</v>
      </c>
      <c r="Q5" s="9" t="str">
        <f t="shared" si="10"/>
        <v>2023 WAGC (Nov 18)</v>
      </c>
      <c r="R5" s="20">
        <v>18.600000000000001</v>
      </c>
      <c r="S5" s="20">
        <v>5.1999999999999993</v>
      </c>
      <c r="T5" s="20">
        <v>0.6</v>
      </c>
      <c r="U5" s="20">
        <v>0</v>
      </c>
      <c r="V5" s="20">
        <v>18.399999999999999</v>
      </c>
      <c r="W5" s="20">
        <v>5.1999999999999993</v>
      </c>
      <c r="X5" s="20">
        <v>0</v>
      </c>
      <c r="Y5" s="20">
        <v>0</v>
      </c>
      <c r="Z5" s="20">
        <v>18.8</v>
      </c>
      <c r="AA5" s="20">
        <v>3.9000000000000004</v>
      </c>
      <c r="AB5" s="20">
        <v>0</v>
      </c>
      <c r="AC5" s="20">
        <v>0</v>
      </c>
      <c r="AD5" s="20">
        <v>18.100000000000001</v>
      </c>
      <c r="AE5" s="20">
        <v>5.6</v>
      </c>
      <c r="AF5" s="20">
        <v>0.2</v>
      </c>
      <c r="AG5" s="20">
        <v>0</v>
      </c>
      <c r="AH5" s="20">
        <v>18.399999999999999</v>
      </c>
      <c r="AI5" s="20">
        <v>5.6</v>
      </c>
      <c r="AJ5" s="20">
        <v>0.6</v>
      </c>
      <c r="AK5" s="20">
        <v>0</v>
      </c>
      <c r="AL5" s="32"/>
      <c r="AM5" s="55">
        <f t="shared" si="11"/>
        <v>10.399999999999999</v>
      </c>
      <c r="AN5" s="55">
        <f t="shared" si="12"/>
        <v>46.800000000000004</v>
      </c>
      <c r="AO5" s="55">
        <f t="shared" si="13"/>
        <v>22.700000000000003</v>
      </c>
      <c r="AP5" s="55">
        <f t="shared" si="14"/>
        <v>11.2</v>
      </c>
      <c r="AQ5" s="55">
        <f t="shared" si="15"/>
        <v>46.900000000000006</v>
      </c>
      <c r="AR5" s="55">
        <f t="shared" si="16"/>
        <v>116.4</v>
      </c>
      <c r="AS5" s="19">
        <v>18.5</v>
      </c>
      <c r="AT5" s="19">
        <v>5.2</v>
      </c>
      <c r="AU5" s="19">
        <v>0</v>
      </c>
      <c r="AV5" s="19">
        <v>0</v>
      </c>
      <c r="AW5" s="19">
        <v>18.2</v>
      </c>
      <c r="AX5" s="19">
        <v>6</v>
      </c>
      <c r="AY5" s="19">
        <v>0</v>
      </c>
      <c r="AZ5" s="19">
        <v>0</v>
      </c>
      <c r="BA5" s="19">
        <v>17.399999999999999</v>
      </c>
      <c r="BB5" s="19">
        <v>2.4</v>
      </c>
      <c r="BC5" s="19">
        <v>0</v>
      </c>
      <c r="BD5" s="19">
        <v>0</v>
      </c>
      <c r="BE5" s="19">
        <v>17.8</v>
      </c>
      <c r="BF5" s="19">
        <v>6</v>
      </c>
      <c r="BG5" s="19">
        <v>0.8</v>
      </c>
      <c r="BH5" s="19">
        <v>0</v>
      </c>
      <c r="BI5" s="19">
        <v>18</v>
      </c>
      <c r="BJ5" s="19">
        <v>7.2</v>
      </c>
      <c r="BK5" s="19">
        <v>0.6</v>
      </c>
      <c r="BL5" s="19">
        <v>0</v>
      </c>
      <c r="BM5" s="33"/>
      <c r="BN5" s="14">
        <f t="shared" si="17"/>
        <v>11.2</v>
      </c>
      <c r="BO5" s="14">
        <f t="shared" si="18"/>
        <v>47.9</v>
      </c>
      <c r="BP5" s="14">
        <f t="shared" si="19"/>
        <v>19.799999999999997</v>
      </c>
      <c r="BQ5" s="14">
        <f t="shared" si="20"/>
        <v>13.2</v>
      </c>
      <c r="BR5" s="14">
        <f t="shared" si="21"/>
        <v>47.6</v>
      </c>
      <c r="BS5" s="14">
        <f t="shared" si="22"/>
        <v>115.29999999999998</v>
      </c>
      <c r="BT5" s="20">
        <v>18.600000000000001</v>
      </c>
      <c r="BU5" s="20">
        <v>6</v>
      </c>
      <c r="BV5" s="20">
        <v>0</v>
      </c>
      <c r="BW5" s="20">
        <v>0</v>
      </c>
      <c r="BX5" s="20">
        <v>18.3</v>
      </c>
      <c r="BY5" s="20">
        <v>7.2</v>
      </c>
      <c r="BZ5" s="20">
        <v>0.2</v>
      </c>
      <c r="CA5" s="20">
        <v>0</v>
      </c>
      <c r="CB5" s="20">
        <v>18.3</v>
      </c>
      <c r="CC5" s="20">
        <v>4.4000000000000004</v>
      </c>
      <c r="CD5" s="20">
        <v>1</v>
      </c>
      <c r="CE5" s="20">
        <v>0</v>
      </c>
      <c r="CF5" s="20">
        <v>17.399999999999999</v>
      </c>
      <c r="CG5" s="20">
        <v>2.4</v>
      </c>
      <c r="CH5" s="20">
        <v>0</v>
      </c>
      <c r="CI5" s="20">
        <v>0</v>
      </c>
      <c r="CJ5" s="20">
        <v>18.600000000000001</v>
      </c>
      <c r="CK5" s="20">
        <v>6.4</v>
      </c>
      <c r="CL5" s="20">
        <v>0</v>
      </c>
      <c r="CM5" s="20">
        <v>0</v>
      </c>
      <c r="CN5" s="32"/>
      <c r="CO5" s="55">
        <f t="shared" si="23"/>
        <v>13.2</v>
      </c>
      <c r="CP5" s="55">
        <f t="shared" si="24"/>
        <v>49.900000000000006</v>
      </c>
      <c r="CQ5" s="55">
        <f t="shared" si="25"/>
        <v>21.700000000000003</v>
      </c>
      <c r="CR5" s="55">
        <f t="shared" si="26"/>
        <v>8.8000000000000007</v>
      </c>
      <c r="CS5" s="55">
        <f t="shared" si="27"/>
        <v>44.8</v>
      </c>
      <c r="CT5" s="55">
        <f t="shared" si="28"/>
        <v>116.4</v>
      </c>
      <c r="CU5" s="56">
        <f t="shared" si="29"/>
        <v>1.8000000000000043</v>
      </c>
      <c r="CV5" s="56">
        <f t="shared" si="30"/>
        <v>0.99999999999999289</v>
      </c>
      <c r="CW5" s="18">
        <v>18.2</v>
      </c>
      <c r="CX5" s="18">
        <v>6.4</v>
      </c>
      <c r="CY5" s="18">
        <v>0</v>
      </c>
      <c r="CZ5" s="18">
        <v>0</v>
      </c>
      <c r="DA5" s="18">
        <v>18.3</v>
      </c>
      <c r="DB5" s="18">
        <v>6.8</v>
      </c>
      <c r="DC5" s="18">
        <v>0</v>
      </c>
      <c r="DD5" s="18">
        <v>0</v>
      </c>
      <c r="DE5" s="18"/>
      <c r="DF5" s="18"/>
      <c r="DG5" s="18"/>
      <c r="DH5" s="18"/>
      <c r="DI5" s="18">
        <v>18.2</v>
      </c>
      <c r="DJ5" s="18">
        <v>6.8</v>
      </c>
      <c r="DK5" s="18">
        <v>0.6</v>
      </c>
      <c r="DL5" s="18">
        <v>0</v>
      </c>
      <c r="DM5" s="18">
        <v>18.399999999999999</v>
      </c>
      <c r="DN5" s="18">
        <v>6.4</v>
      </c>
      <c r="DO5" s="18">
        <v>0.6</v>
      </c>
      <c r="DP5" s="18">
        <v>0</v>
      </c>
      <c r="DQ5" s="55">
        <f t="shared" si="31"/>
        <v>13.2</v>
      </c>
      <c r="DR5" s="55">
        <f t="shared" si="32"/>
        <v>49.7</v>
      </c>
      <c r="DS5" s="55" t="str">
        <f t="shared" si="33"/>
        <v/>
      </c>
      <c r="DT5" s="55">
        <f t="shared" si="34"/>
        <v>13.2</v>
      </c>
      <c r="DU5" s="55">
        <f t="shared" si="35"/>
        <v>48.599999999999994</v>
      </c>
      <c r="DV5" s="55">
        <f t="shared" si="36"/>
        <v>98.3</v>
      </c>
      <c r="DW5" s="19"/>
      <c r="DX5" s="19"/>
      <c r="DY5" s="19"/>
      <c r="DZ5" s="19"/>
      <c r="EA5" s="19"/>
      <c r="EB5" s="19"/>
      <c r="EC5" s="19"/>
      <c r="ED5" s="19"/>
      <c r="EE5" s="19">
        <v>18</v>
      </c>
      <c r="EF5" s="19">
        <v>6.4</v>
      </c>
      <c r="EG5" s="19">
        <v>0.2</v>
      </c>
      <c r="EH5" s="19">
        <v>0</v>
      </c>
      <c r="EI5" s="19">
        <v>17.8</v>
      </c>
      <c r="EJ5" s="19">
        <v>6</v>
      </c>
      <c r="EK5" s="19">
        <v>0.2</v>
      </c>
      <c r="EL5" s="19">
        <v>0</v>
      </c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>
        <f t="shared" si="39"/>
        <v>24.2</v>
      </c>
      <c r="ET5" s="14">
        <f t="shared" si="40"/>
        <v>6</v>
      </c>
      <c r="EU5" s="14">
        <f t="shared" si="41"/>
        <v>23.6</v>
      </c>
      <c r="EV5" s="14">
        <f t="shared" si="42"/>
        <v>47.8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18.55</v>
      </c>
      <c r="OX5" s="27">
        <f t="shared" si="103"/>
        <v>5.6</v>
      </c>
      <c r="OY5" s="27">
        <f t="shared" si="103"/>
        <v>0</v>
      </c>
      <c r="OZ5" s="27">
        <f t="shared" si="103"/>
        <v>0</v>
      </c>
      <c r="PA5" s="27">
        <f t="shared" si="103"/>
        <v>18.25</v>
      </c>
      <c r="PB5" s="27">
        <f t="shared" si="103"/>
        <v>6.6</v>
      </c>
      <c r="PC5" s="27">
        <f t="shared" si="103"/>
        <v>0.1</v>
      </c>
      <c r="PD5" s="27">
        <f t="shared" si="103"/>
        <v>0</v>
      </c>
      <c r="PE5" s="27">
        <f t="shared" si="103"/>
        <v>17.850000000000001</v>
      </c>
      <c r="PF5" s="27">
        <f t="shared" si="103"/>
        <v>3.4000000000000004</v>
      </c>
      <c r="PG5" s="27">
        <f t="shared" si="104"/>
        <v>0.5</v>
      </c>
      <c r="PH5" s="27">
        <f t="shared" si="104"/>
        <v>0</v>
      </c>
      <c r="PI5" s="27">
        <f t="shared" si="104"/>
        <v>17.600000000000001</v>
      </c>
      <c r="PJ5" s="27">
        <f t="shared" si="104"/>
        <v>4.2</v>
      </c>
      <c r="PK5" s="27">
        <f t="shared" si="104"/>
        <v>0.4</v>
      </c>
      <c r="PL5" s="27">
        <f t="shared" si="104"/>
        <v>0</v>
      </c>
      <c r="PM5" s="27">
        <f t="shared" si="104"/>
        <v>18.3</v>
      </c>
      <c r="PN5" s="27">
        <f t="shared" si="104"/>
        <v>6.8000000000000007</v>
      </c>
      <c r="PO5" s="27">
        <f t="shared" si="104"/>
        <v>0.3</v>
      </c>
      <c r="PP5" s="27">
        <f t="shared" si="104"/>
        <v>0</v>
      </c>
      <c r="PQ5" s="32" t="s">
        <v>44</v>
      </c>
      <c r="PR5" s="55">
        <f t="shared" si="105"/>
        <v>12.2</v>
      </c>
      <c r="PS5" s="55">
        <f t="shared" si="106"/>
        <v>48.9</v>
      </c>
      <c r="PT5" s="55">
        <f t="shared" si="107"/>
        <v>20.75</v>
      </c>
      <c r="PU5" s="55">
        <f t="shared" si="108"/>
        <v>11</v>
      </c>
      <c r="PV5" s="55">
        <f t="shared" si="109"/>
        <v>46.2</v>
      </c>
      <c r="PW5" s="55">
        <f t="shared" si="110"/>
        <v>115.85000000000001</v>
      </c>
    </row>
    <row r="6" spans="1:439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85</v>
      </c>
      <c r="C6" s="4" t="s">
        <v>68</v>
      </c>
      <c r="D6" s="4">
        <v>2009</v>
      </c>
      <c r="E6" s="10">
        <f t="shared" si="0"/>
        <v>140.40001404000472</v>
      </c>
      <c r="F6" s="3" t="str">
        <f t="shared" si="1"/>
        <v>P</v>
      </c>
      <c r="G6" s="3" t="str">
        <f t="shared" si="2"/>
        <v>P</v>
      </c>
      <c r="H6" s="47" t="str">
        <f t="shared" si="3"/>
        <v>Excellence</v>
      </c>
      <c r="I6" s="9">
        <f>IF(COUNT(AN6,BO6,CP6)&gt;0,LARGE((AN6,BO6,CP6),1),0)</f>
        <v>47.599999999999994</v>
      </c>
      <c r="J6" s="9" t="str">
        <f t="shared" si="4"/>
        <v>2024 Nationals</v>
      </c>
      <c r="K6" s="9">
        <f>IF(COUNT(AN6,BO6,CP6)&gt;1,LARGE((AN6,BO6,CP6),2),0)</f>
        <v>45.1</v>
      </c>
      <c r="L6" s="9" t="str">
        <f t="shared" si="5"/>
        <v>2024 Elite Canada</v>
      </c>
      <c r="M6" s="9">
        <f t="shared" si="6"/>
        <v>47.699999999999996</v>
      </c>
      <c r="N6" s="9" t="str">
        <f t="shared" si="7"/>
        <v>2024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>
        <v>18.100000000000001</v>
      </c>
      <c r="AT6" s="19">
        <v>5.2</v>
      </c>
      <c r="AU6" s="19">
        <v>0.6</v>
      </c>
      <c r="AV6" s="19">
        <v>0</v>
      </c>
      <c r="AW6" s="19">
        <v>17.8</v>
      </c>
      <c r="AX6" s="19">
        <v>5.2</v>
      </c>
      <c r="AY6" s="19">
        <v>0.6</v>
      </c>
      <c r="AZ6" s="19">
        <v>0</v>
      </c>
      <c r="BA6" s="19">
        <v>18.2</v>
      </c>
      <c r="BB6" s="19">
        <v>4.4000000000000004</v>
      </c>
      <c r="BC6" s="19">
        <v>0</v>
      </c>
      <c r="BD6" s="19">
        <v>0</v>
      </c>
      <c r="BE6" s="19">
        <v>18.3</v>
      </c>
      <c r="BF6" s="19">
        <v>5.2</v>
      </c>
      <c r="BG6" s="19">
        <v>0.6</v>
      </c>
      <c r="BH6" s="19">
        <v>0</v>
      </c>
      <c r="BI6" s="19">
        <v>18.5</v>
      </c>
      <c r="BJ6" s="19">
        <v>6</v>
      </c>
      <c r="BK6" s="19">
        <v>0.2</v>
      </c>
      <c r="BL6" s="19">
        <v>0</v>
      </c>
      <c r="BM6" s="33"/>
      <c r="BN6" s="14">
        <f t="shared" si="17"/>
        <v>10.4</v>
      </c>
      <c r="BO6" s="14">
        <f t="shared" si="18"/>
        <v>45.1</v>
      </c>
      <c r="BP6" s="14">
        <f t="shared" si="19"/>
        <v>22.6</v>
      </c>
      <c r="BQ6" s="14">
        <f t="shared" si="20"/>
        <v>11.2</v>
      </c>
      <c r="BR6" s="14">
        <f t="shared" si="21"/>
        <v>47.2</v>
      </c>
      <c r="BS6" s="14">
        <f t="shared" si="22"/>
        <v>114.9</v>
      </c>
      <c r="BT6" s="20">
        <v>18.2</v>
      </c>
      <c r="BU6" s="20">
        <v>5.6</v>
      </c>
      <c r="BV6" s="20">
        <v>0.6</v>
      </c>
      <c r="BW6" s="20">
        <v>0</v>
      </c>
      <c r="BX6" s="20">
        <v>18.399999999999999</v>
      </c>
      <c r="BY6" s="20">
        <v>6</v>
      </c>
      <c r="BZ6" s="20">
        <v>0</v>
      </c>
      <c r="CA6" s="20">
        <v>0</v>
      </c>
      <c r="CB6" s="20">
        <v>18.3</v>
      </c>
      <c r="CC6" s="20">
        <v>4.8</v>
      </c>
      <c r="CD6" s="20">
        <v>0.6</v>
      </c>
      <c r="CE6" s="20">
        <v>0</v>
      </c>
      <c r="CF6" s="20">
        <v>18.3</v>
      </c>
      <c r="CG6" s="20">
        <v>5.6</v>
      </c>
      <c r="CH6" s="20">
        <v>0.6</v>
      </c>
      <c r="CI6" s="20">
        <v>0</v>
      </c>
      <c r="CJ6" s="20">
        <v>18.399999999999999</v>
      </c>
      <c r="CK6" s="20">
        <v>6</v>
      </c>
      <c r="CL6" s="20">
        <v>0</v>
      </c>
      <c r="CM6" s="20">
        <v>0</v>
      </c>
      <c r="CN6" s="32"/>
      <c r="CO6" s="55">
        <f t="shared" si="23"/>
        <v>11.6</v>
      </c>
      <c r="CP6" s="55">
        <f t="shared" si="24"/>
        <v>47.599999999999994</v>
      </c>
      <c r="CQ6" s="55">
        <f t="shared" si="25"/>
        <v>22.5</v>
      </c>
      <c r="CR6" s="55">
        <f t="shared" si="26"/>
        <v>11.6</v>
      </c>
      <c r="CS6" s="55">
        <f t="shared" si="27"/>
        <v>47.699999999999996</v>
      </c>
      <c r="CT6" s="55">
        <f t="shared" si="28"/>
        <v>117.79999999999998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18.149999999999999</v>
      </c>
      <c r="OX6" s="27">
        <f t="shared" si="103"/>
        <v>5.4</v>
      </c>
      <c r="OY6" s="27">
        <f t="shared" si="103"/>
        <v>0.6</v>
      </c>
      <c r="OZ6" s="27">
        <f t="shared" si="103"/>
        <v>0</v>
      </c>
      <c r="PA6" s="27">
        <f t="shared" si="103"/>
        <v>18.100000000000001</v>
      </c>
      <c r="PB6" s="27">
        <f t="shared" si="103"/>
        <v>5.6</v>
      </c>
      <c r="PC6" s="27">
        <f t="shared" si="103"/>
        <v>0.3</v>
      </c>
      <c r="PD6" s="27">
        <f t="shared" si="103"/>
        <v>0</v>
      </c>
      <c r="PE6" s="27">
        <f t="shared" si="103"/>
        <v>18.25</v>
      </c>
      <c r="PF6" s="27">
        <f t="shared" si="103"/>
        <v>4.5999999999999996</v>
      </c>
      <c r="PG6" s="27">
        <f t="shared" si="104"/>
        <v>0.3</v>
      </c>
      <c r="PH6" s="27">
        <f t="shared" si="104"/>
        <v>0</v>
      </c>
      <c r="PI6" s="27">
        <f t="shared" si="104"/>
        <v>18.3</v>
      </c>
      <c r="PJ6" s="27">
        <f t="shared" si="104"/>
        <v>5.4</v>
      </c>
      <c r="PK6" s="27">
        <f t="shared" si="104"/>
        <v>0.6</v>
      </c>
      <c r="PL6" s="27">
        <f t="shared" si="104"/>
        <v>0</v>
      </c>
      <c r="PM6" s="27">
        <f t="shared" si="104"/>
        <v>18.45</v>
      </c>
      <c r="PN6" s="27">
        <f t="shared" si="104"/>
        <v>6</v>
      </c>
      <c r="PO6" s="27">
        <f t="shared" si="104"/>
        <v>0.1</v>
      </c>
      <c r="PP6" s="27">
        <f t="shared" si="104"/>
        <v>0</v>
      </c>
      <c r="PQ6" s="32" t="s">
        <v>44</v>
      </c>
      <c r="PR6" s="55">
        <f t="shared" si="105"/>
        <v>11</v>
      </c>
      <c r="PS6" s="55">
        <f t="shared" si="106"/>
        <v>46.35</v>
      </c>
      <c r="PT6" s="55">
        <f t="shared" si="107"/>
        <v>22.55</v>
      </c>
      <c r="PU6" s="55">
        <f t="shared" si="108"/>
        <v>11.4</v>
      </c>
      <c r="PV6" s="55">
        <f t="shared" si="109"/>
        <v>47.45</v>
      </c>
      <c r="PW6" s="55">
        <f t="shared" si="110"/>
        <v>116.35000000000001</v>
      </c>
    </row>
    <row r="7" spans="1:439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86</v>
      </c>
      <c r="C7" s="4" t="s">
        <v>66</v>
      </c>
      <c r="D7" s="4">
        <v>2008</v>
      </c>
      <c r="E7" s="10">
        <f t="shared" si="0"/>
        <v>138.80001388000474</v>
      </c>
      <c r="F7" s="3" t="str">
        <f t="shared" si="1"/>
        <v>P</v>
      </c>
      <c r="G7" s="3" t="str">
        <f t="shared" si="2"/>
        <v>P</v>
      </c>
      <c r="H7" s="47" t="str">
        <f t="shared" si="3"/>
        <v>Excellence</v>
      </c>
      <c r="I7" s="9">
        <f>IF(COUNT(AN7,BO7,CP7)&gt;0,LARGE((AN7,BO7,CP7),1),0)</f>
        <v>47.3</v>
      </c>
      <c r="J7" s="9" t="str">
        <f t="shared" si="4"/>
        <v>2024 Elite Canada</v>
      </c>
      <c r="K7" s="9">
        <f>IF(COUNT(AN7,BO7,CP7)&gt;1,LARGE((AN7,BO7,CP7),2),0)</f>
        <v>45.699999999999996</v>
      </c>
      <c r="L7" s="9" t="str">
        <f t="shared" si="5"/>
        <v>2024 Nationals</v>
      </c>
      <c r="M7" s="9">
        <f t="shared" si="6"/>
        <v>45.8</v>
      </c>
      <c r="N7" s="9" t="str">
        <f t="shared" si="7"/>
        <v>2024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1"/>
        <v/>
      </c>
      <c r="AN7" s="55" t="str">
        <f t="shared" si="12"/>
        <v/>
      </c>
      <c r="AO7" s="55" t="str">
        <f t="shared" si="13"/>
        <v/>
      </c>
      <c r="AP7" s="55" t="str">
        <f t="shared" si="14"/>
        <v/>
      </c>
      <c r="AQ7" s="55" t="str">
        <f t="shared" si="15"/>
        <v/>
      </c>
      <c r="AR7" s="55" t="str">
        <f t="shared" si="16"/>
        <v/>
      </c>
      <c r="AS7" s="19">
        <v>18</v>
      </c>
      <c r="AT7" s="19">
        <v>5.2</v>
      </c>
      <c r="AU7" s="19">
        <v>0.2</v>
      </c>
      <c r="AV7" s="19">
        <v>0</v>
      </c>
      <c r="AW7" s="19">
        <v>18.3</v>
      </c>
      <c r="AX7" s="19">
        <v>6</v>
      </c>
      <c r="AY7" s="19">
        <v>0</v>
      </c>
      <c r="AZ7" s="19">
        <v>0</v>
      </c>
      <c r="BA7" s="19">
        <v>19</v>
      </c>
      <c r="BB7" s="19">
        <v>4</v>
      </c>
      <c r="BC7" s="19">
        <v>0</v>
      </c>
      <c r="BD7" s="19">
        <v>0</v>
      </c>
      <c r="BE7" s="19">
        <v>18.2</v>
      </c>
      <c r="BF7" s="19">
        <v>4.8</v>
      </c>
      <c r="BG7" s="19">
        <v>0.2</v>
      </c>
      <c r="BH7" s="19">
        <v>0</v>
      </c>
      <c r="BI7" s="19">
        <v>16.399999999999999</v>
      </c>
      <c r="BJ7" s="19">
        <v>5.2</v>
      </c>
      <c r="BK7" s="19">
        <v>0.2</v>
      </c>
      <c r="BL7" s="19">
        <v>0</v>
      </c>
      <c r="BM7" s="33"/>
      <c r="BN7" s="14">
        <f t="shared" si="17"/>
        <v>11.2</v>
      </c>
      <c r="BO7" s="14">
        <f t="shared" si="18"/>
        <v>47.3</v>
      </c>
      <c r="BP7" s="14">
        <f t="shared" si="19"/>
        <v>23</v>
      </c>
      <c r="BQ7" s="14">
        <f t="shared" si="20"/>
        <v>10</v>
      </c>
      <c r="BR7" s="14">
        <f t="shared" si="21"/>
        <v>44.2</v>
      </c>
      <c r="BS7" s="14">
        <f t="shared" si="22"/>
        <v>114.5</v>
      </c>
      <c r="BT7" s="20">
        <v>18.3</v>
      </c>
      <c r="BU7" s="20">
        <v>5.2</v>
      </c>
      <c r="BV7" s="20">
        <v>0.6</v>
      </c>
      <c r="BW7" s="20">
        <v>0</v>
      </c>
      <c r="BX7" s="20">
        <v>17.8</v>
      </c>
      <c r="BY7" s="20">
        <v>5.2</v>
      </c>
      <c r="BZ7" s="20">
        <v>0.2</v>
      </c>
      <c r="CA7" s="20">
        <v>0</v>
      </c>
      <c r="CB7" s="20">
        <v>17.600000000000001</v>
      </c>
      <c r="CC7" s="20">
        <v>1.2</v>
      </c>
      <c r="CD7" s="20">
        <v>0</v>
      </c>
      <c r="CE7" s="20">
        <v>0</v>
      </c>
      <c r="CF7" s="20">
        <v>18.899999999999999</v>
      </c>
      <c r="CG7" s="20">
        <v>3.4</v>
      </c>
      <c r="CH7" s="20">
        <v>0.5</v>
      </c>
      <c r="CI7" s="20">
        <v>0</v>
      </c>
      <c r="CJ7" s="20">
        <v>18</v>
      </c>
      <c r="CK7" s="20">
        <v>6</v>
      </c>
      <c r="CL7" s="20">
        <v>0</v>
      </c>
      <c r="CM7" s="20">
        <v>0</v>
      </c>
      <c r="CN7" s="32"/>
      <c r="CO7" s="55">
        <f t="shared" si="23"/>
        <v>10.4</v>
      </c>
      <c r="CP7" s="55">
        <f t="shared" si="24"/>
        <v>45.699999999999996</v>
      </c>
      <c r="CQ7" s="55">
        <f t="shared" si="25"/>
        <v>18.8</v>
      </c>
      <c r="CR7" s="55">
        <f t="shared" si="26"/>
        <v>9.4</v>
      </c>
      <c r="CS7" s="55">
        <f t="shared" si="27"/>
        <v>45.8</v>
      </c>
      <c r="CT7" s="55">
        <f t="shared" si="28"/>
        <v>110.3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18.149999999999999</v>
      </c>
      <c r="OX7" s="27">
        <f t="shared" si="103"/>
        <v>5.2</v>
      </c>
      <c r="OY7" s="27">
        <f t="shared" si="103"/>
        <v>0.4</v>
      </c>
      <c r="OZ7" s="27">
        <f t="shared" si="103"/>
        <v>0</v>
      </c>
      <c r="PA7" s="27">
        <f t="shared" si="103"/>
        <v>18.05</v>
      </c>
      <c r="PB7" s="27">
        <f t="shared" si="103"/>
        <v>5.6</v>
      </c>
      <c r="PC7" s="27">
        <f t="shared" si="103"/>
        <v>0.1</v>
      </c>
      <c r="PD7" s="27">
        <f t="shared" si="103"/>
        <v>0</v>
      </c>
      <c r="PE7" s="27">
        <f t="shared" si="103"/>
        <v>18.3</v>
      </c>
      <c r="PF7" s="27">
        <f t="shared" si="103"/>
        <v>2.6</v>
      </c>
      <c r="PG7" s="27">
        <f t="shared" si="104"/>
        <v>0</v>
      </c>
      <c r="PH7" s="27">
        <f t="shared" si="104"/>
        <v>0</v>
      </c>
      <c r="PI7" s="27">
        <f t="shared" si="104"/>
        <v>18.549999999999997</v>
      </c>
      <c r="PJ7" s="27">
        <f t="shared" si="104"/>
        <v>4.0999999999999996</v>
      </c>
      <c r="PK7" s="27">
        <f t="shared" si="104"/>
        <v>0.35</v>
      </c>
      <c r="PL7" s="27">
        <f t="shared" si="104"/>
        <v>0</v>
      </c>
      <c r="PM7" s="27">
        <f t="shared" si="104"/>
        <v>17.2</v>
      </c>
      <c r="PN7" s="27">
        <f t="shared" si="104"/>
        <v>5.6</v>
      </c>
      <c r="PO7" s="27">
        <f t="shared" si="104"/>
        <v>0.1</v>
      </c>
      <c r="PP7" s="27">
        <f t="shared" si="104"/>
        <v>0</v>
      </c>
      <c r="PQ7" s="32" t="s">
        <v>44</v>
      </c>
      <c r="PR7" s="55">
        <f t="shared" si="105"/>
        <v>10.8</v>
      </c>
      <c r="PS7" s="55">
        <f t="shared" si="106"/>
        <v>46.5</v>
      </c>
      <c r="PT7" s="55">
        <f t="shared" si="107"/>
        <v>20.900000000000002</v>
      </c>
      <c r="PU7" s="55">
        <f t="shared" si="108"/>
        <v>9.6999999999999993</v>
      </c>
      <c r="PV7" s="55">
        <f t="shared" si="109"/>
        <v>44.999999999999993</v>
      </c>
      <c r="PW7" s="55">
        <f t="shared" si="110"/>
        <v>112.4</v>
      </c>
    </row>
    <row r="8" spans="1:439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104</v>
      </c>
      <c r="C8" s="4" t="s">
        <v>68</v>
      </c>
      <c r="D8" s="4">
        <v>2009</v>
      </c>
      <c r="E8" s="10">
        <f t="shared" si="0"/>
        <v>95.900009590004743</v>
      </c>
      <c r="F8" s="3" t="str">
        <f t="shared" si="1"/>
        <v>P</v>
      </c>
      <c r="G8" s="3" t="str">
        <f t="shared" si="2"/>
        <v>P</v>
      </c>
      <c r="H8" s="47" t="str">
        <f t="shared" si="3"/>
        <v>Excellence</v>
      </c>
      <c r="I8" s="9">
        <f>IF(COUNT(AN8,BO8,CP8)&gt;0,LARGE((AN8,BO8,CP8),1),0)</f>
        <v>47.300000000000004</v>
      </c>
      <c r="J8" s="9" t="str">
        <f t="shared" si="4"/>
        <v>2024 Nationals</v>
      </c>
      <c r="K8" s="9">
        <f>IF(COUNT(AN8,BO8,CP8)&gt;1,LARGE((AN8,BO8,CP8),2),0)</f>
        <v>0</v>
      </c>
      <c r="L8" s="9" t="str">
        <f t="shared" si="5"/>
        <v/>
      </c>
      <c r="M8" s="9">
        <f t="shared" si="6"/>
        <v>48.6</v>
      </c>
      <c r="N8" s="9" t="str">
        <f t="shared" si="7"/>
        <v>2024 Nationals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 t="shared" si="17"/>
        <v/>
      </c>
      <c r="BO8" s="14" t="str">
        <f t="shared" si="18"/>
        <v/>
      </c>
      <c r="BP8" s="14" t="str">
        <f t="shared" si="19"/>
        <v/>
      </c>
      <c r="BQ8" s="14" t="str">
        <f t="shared" si="20"/>
        <v/>
      </c>
      <c r="BR8" s="14" t="str">
        <f t="shared" si="21"/>
        <v/>
      </c>
      <c r="BS8" s="14" t="str">
        <f t="shared" si="22"/>
        <v/>
      </c>
      <c r="BT8" s="20">
        <v>18.5</v>
      </c>
      <c r="BU8" s="20">
        <v>6</v>
      </c>
      <c r="BV8" s="20">
        <v>0.6</v>
      </c>
      <c r="BW8" s="20">
        <v>0</v>
      </c>
      <c r="BX8" s="20">
        <v>18.600000000000001</v>
      </c>
      <c r="BY8" s="20">
        <v>5.6</v>
      </c>
      <c r="BZ8" s="20">
        <v>0.8</v>
      </c>
      <c r="CA8" s="20">
        <v>0</v>
      </c>
      <c r="CB8" s="20">
        <v>18.399999999999999</v>
      </c>
      <c r="CC8" s="20">
        <v>4.8</v>
      </c>
      <c r="CD8" s="20">
        <v>0.2</v>
      </c>
      <c r="CE8" s="20">
        <v>0</v>
      </c>
      <c r="CF8" s="20">
        <v>18.7</v>
      </c>
      <c r="CG8" s="20">
        <v>6</v>
      </c>
      <c r="CH8" s="20">
        <v>0</v>
      </c>
      <c r="CI8" s="20">
        <v>0</v>
      </c>
      <c r="CJ8" s="20">
        <v>18.5</v>
      </c>
      <c r="CK8" s="20">
        <v>5.6</v>
      </c>
      <c r="CL8" s="20">
        <v>0.2</v>
      </c>
      <c r="CM8" s="20">
        <v>0</v>
      </c>
      <c r="CN8" s="32"/>
      <c r="CO8" s="55">
        <f t="shared" si="23"/>
        <v>11.6</v>
      </c>
      <c r="CP8" s="55">
        <f t="shared" si="24"/>
        <v>47.300000000000004</v>
      </c>
      <c r="CQ8" s="55">
        <f t="shared" si="25"/>
        <v>23</v>
      </c>
      <c r="CR8" s="55">
        <f t="shared" si="26"/>
        <v>11.6</v>
      </c>
      <c r="CS8" s="55">
        <f t="shared" si="27"/>
        <v>48.6</v>
      </c>
      <c r="CT8" s="55">
        <f t="shared" si="28"/>
        <v>118.9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9.25</v>
      </c>
      <c r="OX8" s="27">
        <f t="shared" si="103"/>
        <v>3</v>
      </c>
      <c r="OY8" s="27">
        <f t="shared" si="103"/>
        <v>0.3</v>
      </c>
      <c r="OZ8" s="27">
        <f t="shared" si="103"/>
        <v>0</v>
      </c>
      <c r="PA8" s="27">
        <f t="shared" si="103"/>
        <v>9.3000000000000007</v>
      </c>
      <c r="PB8" s="27">
        <f t="shared" si="103"/>
        <v>2.8</v>
      </c>
      <c r="PC8" s="27">
        <f t="shared" si="103"/>
        <v>0.4</v>
      </c>
      <c r="PD8" s="27">
        <f t="shared" si="103"/>
        <v>0</v>
      </c>
      <c r="PE8" s="27">
        <f t="shared" si="103"/>
        <v>9.1999999999999993</v>
      </c>
      <c r="PF8" s="27">
        <f t="shared" si="103"/>
        <v>2.4</v>
      </c>
      <c r="PG8" s="27">
        <f t="shared" si="104"/>
        <v>0.1</v>
      </c>
      <c r="PH8" s="27">
        <f t="shared" si="104"/>
        <v>0</v>
      </c>
      <c r="PI8" s="27">
        <f t="shared" si="104"/>
        <v>9.35</v>
      </c>
      <c r="PJ8" s="27">
        <f t="shared" si="104"/>
        <v>3</v>
      </c>
      <c r="PK8" s="27">
        <f t="shared" si="104"/>
        <v>0</v>
      </c>
      <c r="PL8" s="27">
        <f t="shared" si="104"/>
        <v>0</v>
      </c>
      <c r="PM8" s="27">
        <f t="shared" si="104"/>
        <v>9.25</v>
      </c>
      <c r="PN8" s="27">
        <f t="shared" si="104"/>
        <v>2.8</v>
      </c>
      <c r="PO8" s="27">
        <f t="shared" si="104"/>
        <v>0.1</v>
      </c>
      <c r="PP8" s="27">
        <f t="shared" si="104"/>
        <v>0</v>
      </c>
      <c r="PQ8" s="32" t="s">
        <v>44</v>
      </c>
      <c r="PR8" s="55">
        <f t="shared" si="105"/>
        <v>5.8</v>
      </c>
      <c r="PS8" s="55">
        <f t="shared" si="106"/>
        <v>23.650000000000002</v>
      </c>
      <c r="PT8" s="55">
        <f t="shared" si="107"/>
        <v>11.5</v>
      </c>
      <c r="PU8" s="55">
        <f t="shared" si="108"/>
        <v>5.8</v>
      </c>
      <c r="PV8" s="55">
        <f t="shared" si="109"/>
        <v>24.3</v>
      </c>
      <c r="PW8" s="55">
        <f t="shared" si="110"/>
        <v>59.45</v>
      </c>
    </row>
    <row r="9" spans="1:43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105</v>
      </c>
      <c r="C9" s="4" t="s">
        <v>68</v>
      </c>
      <c r="D9" s="4">
        <v>2008</v>
      </c>
      <c r="E9" s="10">
        <f t="shared" si="0"/>
        <v>40.100004010004007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40.1</v>
      </c>
      <c r="J9" s="9" t="str">
        <f t="shared" si="4"/>
        <v>2024 Nationals</v>
      </c>
      <c r="K9" s="9">
        <f>IF(COUNT(AN9,BO9,CP9)&gt;1,LARGE((AN9,BO9,CP9),2),0)</f>
        <v>0</v>
      </c>
      <c r="L9" s="9" t="str">
        <f t="shared" si="5"/>
        <v/>
      </c>
      <c r="M9" s="9">
        <f t="shared" si="6"/>
        <v>0</v>
      </c>
      <c r="N9" s="9" t="str">
        <f t="shared" si="7"/>
        <v/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 t="shared" si="17"/>
        <v/>
      </c>
      <c r="BO9" s="14" t="str">
        <f t="shared" si="18"/>
        <v/>
      </c>
      <c r="BP9" s="14" t="str">
        <f t="shared" si="19"/>
        <v/>
      </c>
      <c r="BQ9" s="14" t="str">
        <f t="shared" si="20"/>
        <v/>
      </c>
      <c r="BR9" s="14" t="str">
        <f t="shared" si="21"/>
        <v/>
      </c>
      <c r="BS9" s="14" t="str">
        <f t="shared" si="22"/>
        <v/>
      </c>
      <c r="BT9" s="20">
        <v>17.3</v>
      </c>
      <c r="BU9" s="20">
        <v>2.4</v>
      </c>
      <c r="BV9" s="20">
        <v>0</v>
      </c>
      <c r="BW9" s="20">
        <v>0</v>
      </c>
      <c r="BX9" s="20">
        <v>16.2</v>
      </c>
      <c r="BY9" s="20">
        <v>5.2</v>
      </c>
      <c r="BZ9" s="20">
        <v>1</v>
      </c>
      <c r="CA9" s="20">
        <v>0</v>
      </c>
      <c r="CB9" s="20">
        <v>19.2</v>
      </c>
      <c r="CC9" s="20">
        <v>3.5</v>
      </c>
      <c r="CD9" s="20">
        <v>0.4</v>
      </c>
      <c r="CE9" s="20">
        <v>0</v>
      </c>
      <c r="CF9" s="20"/>
      <c r="CG9" s="20"/>
      <c r="CH9" s="20"/>
      <c r="CI9" s="20"/>
      <c r="CJ9" s="20"/>
      <c r="CK9" s="20"/>
      <c r="CL9" s="20"/>
      <c r="CM9" s="20"/>
      <c r="CN9" s="32"/>
      <c r="CO9" s="55">
        <f t="shared" si="23"/>
        <v>7.6</v>
      </c>
      <c r="CP9" s="55">
        <f t="shared" si="24"/>
        <v>40.1</v>
      </c>
      <c r="CQ9" s="55">
        <f t="shared" si="25"/>
        <v>22.3</v>
      </c>
      <c r="CR9" s="55" t="str">
        <f t="shared" si="26"/>
        <v/>
      </c>
      <c r="CS9" s="55" t="str">
        <f t="shared" si="27"/>
        <v/>
      </c>
      <c r="CT9" s="55">
        <f t="shared" si="28"/>
        <v>62.400000000000006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8.65</v>
      </c>
      <c r="OX9" s="27">
        <f t="shared" si="103"/>
        <v>1.2</v>
      </c>
      <c r="OY9" s="27">
        <f t="shared" si="103"/>
        <v>0</v>
      </c>
      <c r="OZ9" s="27">
        <f t="shared" si="103"/>
        <v>0</v>
      </c>
      <c r="PA9" s="27">
        <f t="shared" si="103"/>
        <v>8.1</v>
      </c>
      <c r="PB9" s="27">
        <f t="shared" si="103"/>
        <v>2.6</v>
      </c>
      <c r="PC9" s="27">
        <f t="shared" si="103"/>
        <v>0.5</v>
      </c>
      <c r="PD9" s="27">
        <f t="shared" si="103"/>
        <v>0</v>
      </c>
      <c r="PE9" s="27">
        <f t="shared" si="103"/>
        <v>9.6</v>
      </c>
      <c r="PF9" s="27">
        <f t="shared" si="103"/>
        <v>1.75</v>
      </c>
      <c r="PG9" s="27">
        <f t="shared" si="104"/>
        <v>0.2</v>
      </c>
      <c r="PH9" s="27">
        <f t="shared" si="104"/>
        <v>0</v>
      </c>
      <c r="PI9" s="27">
        <f t="shared" si="104"/>
        <v>0</v>
      </c>
      <c r="PJ9" s="27">
        <f t="shared" si="104"/>
        <v>0</v>
      </c>
      <c r="PK9" s="27">
        <f t="shared" si="104"/>
        <v>0</v>
      </c>
      <c r="PL9" s="27">
        <f t="shared" si="104"/>
        <v>0</v>
      </c>
      <c r="PM9" s="27">
        <f t="shared" si="104"/>
        <v>0</v>
      </c>
      <c r="PN9" s="27">
        <f t="shared" si="104"/>
        <v>0</v>
      </c>
      <c r="PO9" s="27">
        <f t="shared" si="104"/>
        <v>0</v>
      </c>
      <c r="PP9" s="27">
        <f t="shared" si="104"/>
        <v>0</v>
      </c>
      <c r="PQ9" s="32" t="s">
        <v>44</v>
      </c>
      <c r="PR9" s="55">
        <f t="shared" si="105"/>
        <v>3.8</v>
      </c>
      <c r="PS9" s="55">
        <f t="shared" si="106"/>
        <v>20.05</v>
      </c>
      <c r="PT9" s="55">
        <f t="shared" si="107"/>
        <v>11.15</v>
      </c>
      <c r="PU9" s="55" t="str">
        <f t="shared" si="108"/>
        <v/>
      </c>
      <c r="PV9" s="55" t="str">
        <f t="shared" si="109"/>
        <v/>
      </c>
      <c r="PW9" s="55">
        <f t="shared" si="110"/>
        <v>31.200000000000003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7.9</v>
      </c>
      <c r="BN12" s="4"/>
      <c r="BS12" s="57">
        <v>7.9</v>
      </c>
      <c r="CO12" s="4"/>
      <c r="CT12" s="57">
        <v>7.9</v>
      </c>
      <c r="DQ12" s="4"/>
      <c r="DV12" s="57">
        <v>7.9</v>
      </c>
      <c r="EQ12" s="4"/>
      <c r="EV12" s="57">
        <v>7.9</v>
      </c>
      <c r="FQ12" s="4"/>
      <c r="FV12" s="57">
        <v>7.9</v>
      </c>
      <c r="GQ12" s="4"/>
      <c r="GV12" s="57">
        <v>7.9</v>
      </c>
      <c r="HQ12" s="4"/>
      <c r="HV12" s="57">
        <v>7.9</v>
      </c>
      <c r="IQ12" s="4"/>
      <c r="IV12" s="57">
        <v>7.9</v>
      </c>
      <c r="JQ12" s="4"/>
      <c r="JV12" s="57">
        <v>7.9</v>
      </c>
      <c r="KQ12" s="4"/>
      <c r="KV12" s="57">
        <v>7.9</v>
      </c>
      <c r="LQ12" s="4"/>
      <c r="LV12" s="57">
        <v>7.9</v>
      </c>
      <c r="MQ12" s="4"/>
      <c r="MV12" s="57">
        <v>7.9</v>
      </c>
      <c r="NQ12" s="4"/>
      <c r="NV12" s="57">
        <v>7.9</v>
      </c>
      <c r="OQ12" s="4"/>
      <c r="OV12" s="57">
        <v>7.9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f>AR14</f>
        <v>9.6</v>
      </c>
      <c r="BN13" s="4"/>
      <c r="BS13" s="58">
        <f>BS14</f>
        <v>9.6</v>
      </c>
      <c r="CO13" s="4"/>
      <c r="CT13" s="58">
        <f>CT14</f>
        <v>9.6</v>
      </c>
      <c r="DQ13" s="4"/>
      <c r="DV13" s="58">
        <f>DV14</f>
        <v>9.6</v>
      </c>
      <c r="EQ13" s="4"/>
      <c r="EV13" s="58">
        <f>EV14</f>
        <v>9.6</v>
      </c>
      <c r="FQ13" s="4"/>
      <c r="FV13" s="58">
        <f>FV14</f>
        <v>9.6</v>
      </c>
      <c r="GQ13" s="4"/>
      <c r="GV13" s="58">
        <f>GV14</f>
        <v>9.6</v>
      </c>
      <c r="HQ13" s="4"/>
      <c r="HV13" s="58">
        <f>HV14</f>
        <v>9.6</v>
      </c>
      <c r="IQ13" s="4"/>
      <c r="IV13" s="58">
        <f>IV14</f>
        <v>9.6</v>
      </c>
      <c r="JQ13" s="4"/>
      <c r="JV13" s="58">
        <f>JV14</f>
        <v>9.6</v>
      </c>
      <c r="KQ13" s="4"/>
      <c r="KV13" s="58">
        <f>KV14</f>
        <v>9.6</v>
      </c>
      <c r="LQ13" s="4"/>
      <c r="LV13" s="58">
        <f>LV14</f>
        <v>9.6</v>
      </c>
      <c r="MQ13" s="4"/>
      <c r="MV13" s="58">
        <f>MV14</f>
        <v>9.6</v>
      </c>
      <c r="NQ13" s="4"/>
      <c r="NV13" s="58">
        <f>NV14</f>
        <v>9.6</v>
      </c>
      <c r="OQ13" s="4"/>
      <c r="OV13" s="58">
        <f>OV14</f>
        <v>9.6</v>
      </c>
    </row>
    <row r="14" spans="1:439" ht="17" x14ac:dyDescent="0.2">
      <c r="A14" s="5"/>
      <c r="B14" s="36" t="s">
        <v>54</v>
      </c>
      <c r="C14" s="22"/>
      <c r="O14" s="11"/>
      <c r="P14" s="11"/>
      <c r="Q14" s="11"/>
      <c r="AM14" s="4"/>
      <c r="AR14" s="59">
        <v>9.6</v>
      </c>
      <c r="BN14" s="4"/>
      <c r="BS14" s="59">
        <v>9.6</v>
      </c>
      <c r="CO14" s="4"/>
      <c r="CT14" s="59">
        <v>9.6</v>
      </c>
      <c r="DQ14" s="4"/>
      <c r="DV14" s="59">
        <v>9.6</v>
      </c>
      <c r="EQ14" s="4"/>
      <c r="EV14" s="59">
        <v>9.6</v>
      </c>
      <c r="FQ14" s="4"/>
      <c r="FV14" s="59">
        <v>9.6</v>
      </c>
      <c r="GQ14" s="4"/>
      <c r="GV14" s="59">
        <v>9.6</v>
      </c>
      <c r="HQ14" s="4"/>
      <c r="HV14" s="59">
        <v>9.6</v>
      </c>
      <c r="IQ14" s="4"/>
      <c r="IV14" s="59">
        <v>9.6</v>
      </c>
      <c r="JQ14" s="4"/>
      <c r="JV14" s="59">
        <v>9.6</v>
      </c>
      <c r="KQ14" s="4"/>
      <c r="KV14" s="59">
        <v>9.6</v>
      </c>
      <c r="LQ14" s="4"/>
      <c r="LV14" s="59">
        <v>9.6</v>
      </c>
      <c r="MQ14" s="4"/>
      <c r="MV14" s="59">
        <v>9.6</v>
      </c>
      <c r="NQ14" s="4"/>
      <c r="NV14" s="59">
        <v>9.6</v>
      </c>
      <c r="OQ14" s="4"/>
      <c r="OV14" s="59">
        <v>9.6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5">
        <v>1000</v>
      </c>
      <c r="BN15" s="4"/>
      <c r="BS15" s="65">
        <v>1000</v>
      </c>
      <c r="CO15" s="4"/>
      <c r="CT15" s="65">
        <v>1000</v>
      </c>
      <c r="DQ15" s="4"/>
      <c r="DV15" s="65">
        <v>1000</v>
      </c>
      <c r="EQ15" s="4"/>
      <c r="EV15" s="65">
        <v>1000</v>
      </c>
      <c r="FQ15" s="4"/>
      <c r="FV15" s="65">
        <v>1000</v>
      </c>
      <c r="GQ15" s="4"/>
      <c r="GV15" s="65">
        <v>1000</v>
      </c>
      <c r="HQ15" s="4"/>
      <c r="HV15" s="65">
        <v>1000</v>
      </c>
      <c r="IQ15" s="4"/>
      <c r="IV15" s="65">
        <v>1000</v>
      </c>
      <c r="JQ15" s="4"/>
      <c r="JV15" s="65">
        <v>1000</v>
      </c>
      <c r="KQ15" s="4"/>
      <c r="KV15" s="65">
        <v>1000</v>
      </c>
      <c r="LQ15" s="4"/>
      <c r="LV15" s="65">
        <v>1000</v>
      </c>
      <c r="MQ15" s="4"/>
      <c r="MV15" s="65">
        <v>1000</v>
      </c>
      <c r="NQ15" s="4"/>
      <c r="NV15" s="65">
        <v>1000</v>
      </c>
      <c r="OQ15" s="4"/>
      <c r="OV15" s="65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6">
        <v>45.5</v>
      </c>
      <c r="BN16" s="4"/>
      <c r="BS16" s="66">
        <v>45.5</v>
      </c>
      <c r="CO16" s="4"/>
      <c r="CT16" s="66">
        <v>45.5</v>
      </c>
      <c r="DQ16" s="4"/>
      <c r="DV16" s="66">
        <v>45.5</v>
      </c>
      <c r="EQ16" s="4"/>
      <c r="EV16" s="66">
        <v>45.5</v>
      </c>
      <c r="FQ16" s="4"/>
      <c r="FV16" s="66">
        <v>45.5</v>
      </c>
      <c r="GQ16" s="4"/>
      <c r="GV16" s="66">
        <v>45.5</v>
      </c>
      <c r="HQ16" s="4"/>
      <c r="HV16" s="66">
        <v>45.5</v>
      </c>
      <c r="IQ16" s="4"/>
      <c r="IV16" s="66">
        <v>45.5</v>
      </c>
      <c r="JQ16" s="4"/>
      <c r="JV16" s="66">
        <v>45.5</v>
      </c>
      <c r="KQ16" s="4"/>
      <c r="KV16" s="66">
        <v>45.5</v>
      </c>
      <c r="LQ16" s="4"/>
      <c r="LV16" s="66">
        <v>45.5</v>
      </c>
      <c r="MQ16" s="4"/>
      <c r="MV16" s="66">
        <v>45.5</v>
      </c>
      <c r="NQ16" s="4"/>
      <c r="NV16" s="66">
        <v>45.5</v>
      </c>
      <c r="OQ16" s="4"/>
      <c r="OV16" s="66">
        <v>45.5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f>AR18</f>
        <v>47.1</v>
      </c>
      <c r="BN17" s="4"/>
      <c r="BS17" s="62">
        <f>BS18</f>
        <v>47.1</v>
      </c>
      <c r="CO17" s="4"/>
      <c r="CT17" s="62">
        <f>CT18</f>
        <v>47.1</v>
      </c>
      <c r="DQ17" s="4"/>
      <c r="DV17" s="62">
        <f>DV18</f>
        <v>47.1</v>
      </c>
      <c r="EQ17" s="4"/>
      <c r="EV17" s="62">
        <f>EV18</f>
        <v>47.1</v>
      </c>
      <c r="FQ17" s="4"/>
      <c r="FV17" s="62">
        <f>FV18</f>
        <v>47.1</v>
      </c>
      <c r="GQ17" s="4"/>
      <c r="GV17" s="62">
        <f>GV18</f>
        <v>47.1</v>
      </c>
      <c r="HQ17" s="4"/>
      <c r="HV17" s="62">
        <f>HV18</f>
        <v>47.1</v>
      </c>
      <c r="IQ17" s="4"/>
      <c r="IV17" s="62">
        <f>IV18</f>
        <v>47.1</v>
      </c>
      <c r="JQ17" s="4"/>
      <c r="JV17" s="62">
        <f>JV18</f>
        <v>47.1</v>
      </c>
      <c r="KQ17" s="4"/>
      <c r="KV17" s="62">
        <f>KV18</f>
        <v>47.1</v>
      </c>
      <c r="LQ17" s="4"/>
      <c r="LV17" s="62">
        <f>LV18</f>
        <v>47.1</v>
      </c>
      <c r="MQ17" s="4"/>
      <c r="MV17" s="62">
        <f>MV18</f>
        <v>47.1</v>
      </c>
      <c r="NQ17" s="4"/>
      <c r="NV17" s="62">
        <f>NV18</f>
        <v>47.1</v>
      </c>
      <c r="OQ17" s="4"/>
      <c r="OV17" s="62">
        <f>OV18</f>
        <v>47.1</v>
      </c>
    </row>
    <row r="18" spans="1:412" ht="17" x14ac:dyDescent="0.2">
      <c r="A18" s="5"/>
      <c r="B18" s="40" t="s">
        <v>53</v>
      </c>
      <c r="C18" s="22"/>
      <c r="O18" s="11"/>
      <c r="P18" s="11"/>
      <c r="Q18" s="11"/>
      <c r="AM18" s="4"/>
      <c r="AR18" s="63">
        <v>47.1</v>
      </c>
      <c r="BN18" s="4"/>
      <c r="BS18" s="63">
        <v>47.1</v>
      </c>
      <c r="CO18" s="4"/>
      <c r="CT18" s="63">
        <v>47.1</v>
      </c>
      <c r="DQ18" s="4"/>
      <c r="DV18" s="63">
        <v>47.1</v>
      </c>
      <c r="EQ18" s="4"/>
      <c r="EV18" s="63">
        <v>47.1</v>
      </c>
      <c r="FQ18" s="4"/>
      <c r="FV18" s="63">
        <v>47.1</v>
      </c>
      <c r="GQ18" s="4"/>
      <c r="GV18" s="63">
        <v>47.1</v>
      </c>
      <c r="HQ18" s="4"/>
      <c r="HV18" s="63">
        <v>47.1</v>
      </c>
      <c r="IQ18" s="4"/>
      <c r="IV18" s="63">
        <v>47.1</v>
      </c>
      <c r="JQ18" s="4"/>
      <c r="JV18" s="63">
        <v>47.1</v>
      </c>
      <c r="KQ18" s="4"/>
      <c r="KV18" s="63">
        <v>47.1</v>
      </c>
      <c r="LQ18" s="4"/>
      <c r="LV18" s="63">
        <v>47.1</v>
      </c>
      <c r="MQ18" s="4"/>
      <c r="MV18" s="63">
        <v>47.1</v>
      </c>
      <c r="NQ18" s="4"/>
      <c r="NV18" s="63">
        <v>47.1</v>
      </c>
      <c r="OQ18" s="4"/>
      <c r="OV18" s="63">
        <v>47.1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9">
      <sortCondition descending="1" ref="F1:F10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9">
    <cfRule type="expression" dxfId="28" priority="2" stopIfTrue="1">
      <formula>IF($AL4&lt;&gt;"",1,0)</formula>
    </cfRule>
  </conditionalFormatting>
  <conditionalFormatting sqref="AS4:BS9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9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AR$15</formula>
      <formula>1000</formula>
    </cfRule>
    <cfRule type="cellIs" dxfId="14" priority="58571" operator="between">
      <formula>AR$14</formula>
      <formula>AR$15</formula>
    </cfRule>
    <cfRule type="cellIs" dxfId="13" priority="58572" operator="between">
      <formula>AR$13</formula>
      <formula>AR$14</formula>
    </cfRule>
    <cfRule type="cellIs" dxfId="12" priority="58573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AR$19</formula>
      <formula>1000</formula>
    </cfRule>
    <cfRule type="cellIs" dxfId="10" priority="58751" operator="between">
      <formula>AR$18</formula>
      <formula>AR$19</formula>
    </cfRule>
    <cfRule type="cellIs" dxfId="9" priority="58752" operator="between">
      <formula>AR$17</formula>
      <formula>AR$18</formula>
    </cfRule>
    <cfRule type="cellIs" dxfId="8" priority="58753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AR$12</formula>
      <formula>AR$13</formula>
    </cfRule>
    <cfRule type="cellIs" dxfId="6" priority="58931" operator="between">
      <formula>AR$13</formula>
      <formula>AR$14</formula>
    </cfRule>
    <cfRule type="cellIs" dxfId="5" priority="58932" operator="between">
      <formula>AR$14</formula>
      <formula>AR$15</formula>
    </cfRule>
    <cfRule type="cellIs" dxfId="4" priority="58933" operator="between">
      <formula>AR$15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AR$16</formula>
      <formula>AR$17</formula>
    </cfRule>
    <cfRule type="cellIs" dxfId="2" priority="59111" operator="between">
      <formula>AR$17</formula>
      <formula>AR$18</formula>
    </cfRule>
    <cfRule type="cellIs" dxfId="1" priority="59112" operator="between">
      <formula>AR$18</formula>
      <formula>AR$19</formula>
    </cfRule>
    <cfRule type="cellIs" dxfId="0" priority="59113" operator="between">
      <formula>AR$19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2024-06-14T16:06:06Z</dcterms:modified>
</cp:coreProperties>
</file>