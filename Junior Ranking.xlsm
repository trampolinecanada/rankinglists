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98B56DD-6CF0-384A-9972-6A2ADB64120E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5" i="17" l="1"/>
  <c r="NV11" i="17"/>
  <c r="NU7" i="17"/>
  <c r="NT7" i="17"/>
  <c r="NS7" i="17"/>
  <c r="NR7" i="17"/>
  <c r="NV7" i="17" s="1"/>
  <c r="NQ7" i="17"/>
  <c r="NU6" i="17"/>
  <c r="NT6" i="17"/>
  <c r="NS6" i="17"/>
  <c r="NR6" i="17"/>
  <c r="NV6" i="17" s="1"/>
  <c r="NQ6" i="17"/>
  <c r="NU5" i="17"/>
  <c r="NV5" i="17" s="1"/>
  <c r="NT5" i="17"/>
  <c r="NS5" i="17"/>
  <c r="NR5" i="17"/>
  <c r="NQ5" i="17"/>
  <c r="NU4" i="17"/>
  <c r="NT4" i="17"/>
  <c r="NS4" i="17"/>
  <c r="NR4" i="17"/>
  <c r="NQ4" i="17"/>
  <c r="MV15" i="17"/>
  <c r="MV11" i="17"/>
  <c r="MU7" i="17"/>
  <c r="MT7" i="17"/>
  <c r="MS7" i="17"/>
  <c r="MR7" i="17"/>
  <c r="MV7" i="17" s="1"/>
  <c r="MQ7" i="17"/>
  <c r="MU6" i="17"/>
  <c r="MT6" i="17"/>
  <c r="MS6" i="17"/>
  <c r="MR6" i="17"/>
  <c r="MV6" i="17" s="1"/>
  <c r="MQ6" i="17"/>
  <c r="MU5" i="17"/>
  <c r="MT5" i="17"/>
  <c r="MS5" i="17"/>
  <c r="MR5" i="17"/>
  <c r="MQ5" i="17"/>
  <c r="MU4" i="17"/>
  <c r="MT4" i="17"/>
  <c r="MS4" i="17"/>
  <c r="MR4" i="17"/>
  <c r="MQ4" i="17"/>
  <c r="LV15" i="17"/>
  <c r="LV11" i="17"/>
  <c r="LU7" i="17"/>
  <c r="LT7" i="17"/>
  <c r="LS7" i="17"/>
  <c r="LR7" i="17"/>
  <c r="LV7" i="17" s="1"/>
  <c r="LQ7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Q4" i="17"/>
  <c r="KV15" i="17"/>
  <c r="KV11" i="17"/>
  <c r="KU7" i="17"/>
  <c r="KT7" i="17"/>
  <c r="KS7" i="17"/>
  <c r="KR7" i="17"/>
  <c r="KQ7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Q4" i="17"/>
  <c r="JV15" i="17"/>
  <c r="JV11" i="17"/>
  <c r="JU7" i="17"/>
  <c r="JT7" i="17"/>
  <c r="JS7" i="17"/>
  <c r="JR7" i="17"/>
  <c r="JQ7" i="17"/>
  <c r="JU6" i="17"/>
  <c r="JT6" i="17"/>
  <c r="JS6" i="17"/>
  <c r="JR6" i="17"/>
  <c r="JQ6" i="17"/>
  <c r="JU5" i="17"/>
  <c r="JT5" i="17"/>
  <c r="JS5" i="17"/>
  <c r="JR5" i="17"/>
  <c r="JQ5" i="17"/>
  <c r="JU4" i="17"/>
  <c r="JT4" i="17"/>
  <c r="JS4" i="17"/>
  <c r="JV4" i="17" s="1"/>
  <c r="JR4" i="17"/>
  <c r="JQ4" i="17"/>
  <c r="IV15" i="17"/>
  <c r="IV11" i="17"/>
  <c r="IU7" i="17"/>
  <c r="IT7" i="17"/>
  <c r="IS7" i="17"/>
  <c r="IR7" i="17"/>
  <c r="IV7" i="17" s="1"/>
  <c r="IQ7" i="17"/>
  <c r="IU6" i="17"/>
  <c r="IT6" i="17"/>
  <c r="IS6" i="17"/>
  <c r="IR6" i="17"/>
  <c r="IQ6" i="17"/>
  <c r="IU5" i="17"/>
  <c r="IV5" i="17" s="1"/>
  <c r="IT5" i="17"/>
  <c r="IS5" i="17"/>
  <c r="IR5" i="17"/>
  <c r="IQ5" i="17"/>
  <c r="IU4" i="17"/>
  <c r="IT4" i="17"/>
  <c r="IS4" i="17"/>
  <c r="IR4" i="17"/>
  <c r="IQ4" i="17"/>
  <c r="HV15" i="17"/>
  <c r="HV11" i="17"/>
  <c r="HU7" i="17"/>
  <c r="HT7" i="17"/>
  <c r="HS7" i="17"/>
  <c r="HR7" i="17"/>
  <c r="HV7" i="17" s="1"/>
  <c r="HQ7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Q4" i="17"/>
  <c r="GV15" i="17"/>
  <c r="GV11" i="17"/>
  <c r="GU7" i="17"/>
  <c r="GT7" i="17"/>
  <c r="GS7" i="17"/>
  <c r="GR7" i="17"/>
  <c r="GV7" i="17" s="1"/>
  <c r="GQ7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Q4" i="17"/>
  <c r="FV15" i="17"/>
  <c r="FV11" i="17"/>
  <c r="FU7" i="17"/>
  <c r="FT7" i="17"/>
  <c r="FS7" i="17"/>
  <c r="FR7" i="17"/>
  <c r="FQ7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Q4" i="17"/>
  <c r="EV15" i="17"/>
  <c r="EV11" i="17"/>
  <c r="EU7" i="17"/>
  <c r="ET7" i="17"/>
  <c r="ES7" i="17"/>
  <c r="ER7" i="17"/>
  <c r="EV7" i="17" s="1"/>
  <c r="EQ7" i="17"/>
  <c r="EU6" i="17"/>
  <c r="ET6" i="17"/>
  <c r="ES6" i="17"/>
  <c r="ER6" i="17"/>
  <c r="EQ6" i="17"/>
  <c r="EU5" i="17"/>
  <c r="EV5" i="17" s="1"/>
  <c r="ET5" i="17"/>
  <c r="ES5" i="17"/>
  <c r="ER5" i="17"/>
  <c r="EQ5" i="17"/>
  <c r="EU4" i="17"/>
  <c r="ET4" i="17"/>
  <c r="ES4" i="17"/>
  <c r="ER4" i="17"/>
  <c r="EQ4" i="17"/>
  <c r="DV15" i="17"/>
  <c r="DV11" i="17"/>
  <c r="DU7" i="17"/>
  <c r="DT7" i="17"/>
  <c r="DS7" i="17"/>
  <c r="DR7" i="17"/>
  <c r="DV7" i="17" s="1"/>
  <c r="DQ7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Q4" i="17"/>
  <c r="NV16" i="16"/>
  <c r="NV12" i="16"/>
  <c r="NU8" i="16"/>
  <c r="NT8" i="16"/>
  <c r="NS8" i="16"/>
  <c r="NR8" i="16"/>
  <c r="NV8" i="16" s="1"/>
  <c r="NQ8" i="16"/>
  <c r="NU7" i="16"/>
  <c r="NT7" i="16"/>
  <c r="NS7" i="16"/>
  <c r="NR7" i="16"/>
  <c r="NQ7" i="16"/>
  <c r="NU6" i="16"/>
  <c r="NT6" i="16"/>
  <c r="NS6" i="16"/>
  <c r="NR6" i="16"/>
  <c r="NQ6" i="16"/>
  <c r="NU5" i="16"/>
  <c r="NT5" i="16"/>
  <c r="NS5" i="16"/>
  <c r="NR5" i="16"/>
  <c r="NQ5" i="16"/>
  <c r="NU4" i="16"/>
  <c r="NT4" i="16"/>
  <c r="NS4" i="16"/>
  <c r="NR4" i="16"/>
  <c r="NQ4" i="16"/>
  <c r="MV16" i="16"/>
  <c r="MV12" i="16"/>
  <c r="MU8" i="16"/>
  <c r="MT8" i="16"/>
  <c r="MS8" i="16"/>
  <c r="MR8" i="16"/>
  <c r="MV8" i="16" s="1"/>
  <c r="MQ8" i="16"/>
  <c r="MU7" i="16"/>
  <c r="MT7" i="16"/>
  <c r="MS7" i="16"/>
  <c r="MR7" i="16"/>
  <c r="MQ7" i="16"/>
  <c r="MU6" i="16"/>
  <c r="MT6" i="16"/>
  <c r="MS6" i="16"/>
  <c r="MR6" i="16"/>
  <c r="MQ6" i="16"/>
  <c r="MU5" i="16"/>
  <c r="MT5" i="16"/>
  <c r="MS5" i="16"/>
  <c r="MV5" i="16" s="1"/>
  <c r="MR5" i="16"/>
  <c r="MQ5" i="16"/>
  <c r="MU4" i="16"/>
  <c r="MT4" i="16"/>
  <c r="MS4" i="16"/>
  <c r="MR4" i="16"/>
  <c r="MQ4" i="16"/>
  <c r="LV16" i="16"/>
  <c r="LV12" i="16"/>
  <c r="LU8" i="16"/>
  <c r="LT8" i="16"/>
  <c r="LS8" i="16"/>
  <c r="LR8" i="16"/>
  <c r="LQ8" i="16"/>
  <c r="LU7" i="16"/>
  <c r="LT7" i="16"/>
  <c r="LS7" i="16"/>
  <c r="LR7" i="16"/>
  <c r="LV7" i="16" s="1"/>
  <c r="LQ7" i="16"/>
  <c r="LU6" i="16"/>
  <c r="LT6" i="16"/>
  <c r="LS6" i="16"/>
  <c r="LR6" i="16"/>
  <c r="LQ6" i="16"/>
  <c r="LU5" i="16"/>
  <c r="LT5" i="16"/>
  <c r="LS5" i="16"/>
  <c r="LR5" i="16"/>
  <c r="LQ5" i="16"/>
  <c r="LU4" i="16"/>
  <c r="LT4" i="16"/>
  <c r="LS4" i="16"/>
  <c r="LR4" i="16"/>
  <c r="LQ4" i="16"/>
  <c r="KV16" i="16"/>
  <c r="KV12" i="16"/>
  <c r="KU8" i="16"/>
  <c r="KT8" i="16"/>
  <c r="KS8" i="16"/>
  <c r="KR8" i="16"/>
  <c r="KQ8" i="16"/>
  <c r="KU7" i="16"/>
  <c r="KT7" i="16"/>
  <c r="KS7" i="16"/>
  <c r="KR7" i="16"/>
  <c r="KQ7" i="16"/>
  <c r="KU6" i="16"/>
  <c r="KT6" i="16"/>
  <c r="KS6" i="16"/>
  <c r="KR6" i="16"/>
  <c r="KQ6" i="16"/>
  <c r="KU5" i="16"/>
  <c r="KT5" i="16"/>
  <c r="KS5" i="16"/>
  <c r="KR5" i="16"/>
  <c r="KV5" i="16" s="1"/>
  <c r="KQ5" i="16"/>
  <c r="KU4" i="16"/>
  <c r="KT4" i="16"/>
  <c r="KS4" i="16"/>
  <c r="KR4" i="16"/>
  <c r="KQ4" i="16"/>
  <c r="JV16" i="16"/>
  <c r="JV12" i="16"/>
  <c r="JU8" i="16"/>
  <c r="JT8" i="16"/>
  <c r="JS8" i="16"/>
  <c r="JR8" i="16"/>
  <c r="JV8" i="16" s="1"/>
  <c r="JQ8" i="16"/>
  <c r="JU7" i="16"/>
  <c r="JT7" i="16"/>
  <c r="JS7" i="16"/>
  <c r="JR7" i="16"/>
  <c r="JQ7" i="16"/>
  <c r="JU6" i="16"/>
  <c r="JV6" i="16" s="1"/>
  <c r="JT6" i="16"/>
  <c r="JS6" i="16"/>
  <c r="JR6" i="16"/>
  <c r="JQ6" i="16"/>
  <c r="JU5" i="16"/>
  <c r="JT5" i="16"/>
  <c r="JS5" i="16"/>
  <c r="JR5" i="16"/>
  <c r="JQ5" i="16"/>
  <c r="JU4" i="16"/>
  <c r="JT4" i="16"/>
  <c r="JS4" i="16"/>
  <c r="JR4" i="16"/>
  <c r="JV4" i="16" s="1"/>
  <c r="JQ4" i="16"/>
  <c r="IV16" i="16"/>
  <c r="IV12" i="16"/>
  <c r="IU8" i="16"/>
  <c r="IT8" i="16"/>
  <c r="IS8" i="16"/>
  <c r="IR8" i="16"/>
  <c r="IQ8" i="16"/>
  <c r="IU7" i="16"/>
  <c r="IT7" i="16"/>
  <c r="IS7" i="16"/>
  <c r="IR7" i="16"/>
  <c r="IV7" i="16" s="1"/>
  <c r="IQ7" i="16"/>
  <c r="IU6" i="16"/>
  <c r="IT6" i="16"/>
  <c r="IS6" i="16"/>
  <c r="IR6" i="16"/>
  <c r="IQ6" i="16"/>
  <c r="IU5" i="16"/>
  <c r="IT5" i="16"/>
  <c r="IS5" i="16"/>
  <c r="IR5" i="16"/>
  <c r="IQ5" i="16"/>
  <c r="IU4" i="16"/>
  <c r="IT4" i="16"/>
  <c r="IS4" i="16"/>
  <c r="IR4" i="16"/>
  <c r="IQ4" i="16"/>
  <c r="HV16" i="16"/>
  <c r="HV12" i="16"/>
  <c r="HU8" i="16"/>
  <c r="HT8" i="16"/>
  <c r="HS8" i="16"/>
  <c r="HR8" i="16"/>
  <c r="HQ8" i="16"/>
  <c r="HU7" i="16"/>
  <c r="HT7" i="16"/>
  <c r="HS7" i="16"/>
  <c r="HR7" i="16"/>
  <c r="HQ7" i="16"/>
  <c r="HU6" i="16"/>
  <c r="HT6" i="16"/>
  <c r="HS6" i="16"/>
  <c r="HR6" i="16"/>
  <c r="HQ6" i="16"/>
  <c r="HU5" i="16"/>
  <c r="HT5" i="16"/>
  <c r="HS5" i="16"/>
  <c r="HR5" i="16"/>
  <c r="HQ5" i="16"/>
  <c r="HU4" i="16"/>
  <c r="HT4" i="16"/>
  <c r="HS4" i="16"/>
  <c r="HR4" i="16"/>
  <c r="HQ4" i="16"/>
  <c r="GV16" i="16"/>
  <c r="GV12" i="16"/>
  <c r="GU8" i="16"/>
  <c r="GT8" i="16"/>
  <c r="GS8" i="16"/>
  <c r="GR8" i="16"/>
  <c r="GQ8" i="16"/>
  <c r="GU7" i="16"/>
  <c r="GT7" i="16"/>
  <c r="GS7" i="16"/>
  <c r="GR7" i="16"/>
  <c r="GQ7" i="16"/>
  <c r="GU6" i="16"/>
  <c r="GV6" i="16" s="1"/>
  <c r="GT6" i="16"/>
  <c r="GS6" i="16"/>
  <c r="GR6" i="16"/>
  <c r="GQ6" i="16"/>
  <c r="GU5" i="16"/>
  <c r="GT5" i="16"/>
  <c r="GS5" i="16"/>
  <c r="GR5" i="16"/>
  <c r="GQ5" i="16"/>
  <c r="GU4" i="16"/>
  <c r="GT4" i="16"/>
  <c r="GS4" i="16"/>
  <c r="GR4" i="16"/>
  <c r="GQ4" i="16"/>
  <c r="FV16" i="16"/>
  <c r="FV12" i="16"/>
  <c r="FU8" i="16"/>
  <c r="FT8" i="16"/>
  <c r="FS8" i="16"/>
  <c r="FR8" i="16"/>
  <c r="FV8" i="16" s="1"/>
  <c r="FQ8" i="16"/>
  <c r="FU7" i="16"/>
  <c r="FT7" i="16"/>
  <c r="FS7" i="16"/>
  <c r="FR7" i="16"/>
  <c r="FQ7" i="16"/>
  <c r="FU6" i="16"/>
  <c r="FT6" i="16"/>
  <c r="FS6" i="16"/>
  <c r="FR6" i="16"/>
  <c r="FQ6" i="16"/>
  <c r="FU5" i="16"/>
  <c r="FT5" i="16"/>
  <c r="FS5" i="16"/>
  <c r="FR5" i="16"/>
  <c r="FQ5" i="16"/>
  <c r="FU4" i="16"/>
  <c r="FT4" i="16"/>
  <c r="FS4" i="16"/>
  <c r="FR4" i="16"/>
  <c r="FQ4" i="16"/>
  <c r="EV16" i="16"/>
  <c r="EV12" i="16"/>
  <c r="EU8" i="16"/>
  <c r="ET8" i="16"/>
  <c r="ES8" i="16"/>
  <c r="ER8" i="16"/>
  <c r="EQ8" i="16"/>
  <c r="EU7" i="16"/>
  <c r="ET7" i="16"/>
  <c r="ES7" i="16"/>
  <c r="ER7" i="16"/>
  <c r="EV7" i="16" s="1"/>
  <c r="EQ7" i="16"/>
  <c r="EU6" i="16"/>
  <c r="ET6" i="16"/>
  <c r="ES6" i="16"/>
  <c r="EV6" i="16" s="1"/>
  <c r="ER6" i="16"/>
  <c r="EQ6" i="16"/>
  <c r="EU5" i="16"/>
  <c r="ET5" i="16"/>
  <c r="ES5" i="16"/>
  <c r="ER5" i="16"/>
  <c r="EQ5" i="16"/>
  <c r="EU4" i="16"/>
  <c r="ET4" i="16"/>
  <c r="ES4" i="16"/>
  <c r="ER4" i="16"/>
  <c r="EQ4" i="16"/>
  <c r="DV16" i="16"/>
  <c r="DV12" i="16"/>
  <c r="DU8" i="16"/>
  <c r="DT8" i="16"/>
  <c r="DS8" i="16"/>
  <c r="DR8" i="16"/>
  <c r="DQ8" i="16"/>
  <c r="DU7" i="16"/>
  <c r="DT7" i="16"/>
  <c r="DS7" i="16"/>
  <c r="DR7" i="16"/>
  <c r="DQ7" i="16"/>
  <c r="DU6" i="16"/>
  <c r="DT6" i="16"/>
  <c r="DS6" i="16"/>
  <c r="DR6" i="16"/>
  <c r="DQ6" i="16"/>
  <c r="DU5" i="16"/>
  <c r="DT5" i="16"/>
  <c r="DS5" i="16"/>
  <c r="DV5" i="16" s="1"/>
  <c r="DR5" i="16"/>
  <c r="DQ5" i="16"/>
  <c r="DU4" i="16"/>
  <c r="DT4" i="16"/>
  <c r="DS4" i="16"/>
  <c r="DR4" i="16"/>
  <c r="DQ4" i="16"/>
  <c r="MP9" i="13"/>
  <c r="MO9" i="13"/>
  <c r="MM9" i="13"/>
  <c r="ML9" i="13"/>
  <c r="MK9" i="13"/>
  <c r="MP8" i="13"/>
  <c r="MO8" i="13"/>
  <c r="MM8" i="13"/>
  <c r="ML8" i="13"/>
  <c r="MK8" i="13"/>
  <c r="MP7" i="13"/>
  <c r="MO7" i="13"/>
  <c r="MM7" i="13"/>
  <c r="ML7" i="13"/>
  <c r="MN7" i="13" s="1"/>
  <c r="MK7" i="13"/>
  <c r="MP6" i="13"/>
  <c r="MO6" i="13"/>
  <c r="MM6" i="13"/>
  <c r="ML6" i="13"/>
  <c r="MK6" i="13"/>
  <c r="MP5" i="13"/>
  <c r="MO5" i="13"/>
  <c r="MM5" i="13"/>
  <c r="ML5" i="13"/>
  <c r="MN5" i="13" s="1"/>
  <c r="MQ5" i="13" s="1"/>
  <c r="MK5" i="13"/>
  <c r="MP4" i="13"/>
  <c r="MO4" i="13"/>
  <c r="MM4" i="13"/>
  <c r="ML4" i="13"/>
  <c r="MK4" i="13"/>
  <c r="LT9" i="13"/>
  <c r="LS9" i="13"/>
  <c r="LQ9" i="13"/>
  <c r="LP9" i="13"/>
  <c r="LO9" i="13"/>
  <c r="LT8" i="13"/>
  <c r="LS8" i="13"/>
  <c r="LQ8" i="13"/>
  <c r="LP8" i="13"/>
  <c r="LO8" i="13"/>
  <c r="LT7" i="13"/>
  <c r="LS7" i="13"/>
  <c r="LQ7" i="13"/>
  <c r="LP7" i="13"/>
  <c r="LO7" i="13"/>
  <c r="LT6" i="13"/>
  <c r="LS6" i="13"/>
  <c r="LQ6" i="13"/>
  <c r="LP6" i="13"/>
  <c r="LO6" i="13"/>
  <c r="LT5" i="13"/>
  <c r="LS5" i="13"/>
  <c r="LQ5" i="13"/>
  <c r="LP5" i="13"/>
  <c r="LR5" i="13" s="1"/>
  <c r="LU5" i="13" s="1"/>
  <c r="LO5" i="13"/>
  <c r="LT4" i="13"/>
  <c r="LS4" i="13"/>
  <c r="LQ4" i="13"/>
  <c r="LP4" i="13"/>
  <c r="LO4" i="13"/>
  <c r="KX9" i="13"/>
  <c r="KW9" i="13"/>
  <c r="KU9" i="13"/>
  <c r="KT9" i="13"/>
  <c r="KV9" i="13" s="1"/>
  <c r="KY9" i="13" s="1"/>
  <c r="KS9" i="13"/>
  <c r="KX8" i="13"/>
  <c r="KW8" i="13"/>
  <c r="KU8" i="13"/>
  <c r="KT8" i="13"/>
  <c r="KV8" i="13" s="1"/>
  <c r="KY8" i="13" s="1"/>
  <c r="KS8" i="13"/>
  <c r="KX7" i="13"/>
  <c r="KW7" i="13"/>
  <c r="KU7" i="13"/>
  <c r="KT7" i="13"/>
  <c r="KS7" i="13"/>
  <c r="KX6" i="13"/>
  <c r="KW6" i="13"/>
  <c r="KU6" i="13"/>
  <c r="KT6" i="13"/>
  <c r="KS6" i="13"/>
  <c r="KX5" i="13"/>
  <c r="KW5" i="13"/>
  <c r="KU5" i="13"/>
  <c r="KT5" i="13"/>
  <c r="KS5" i="13"/>
  <c r="KX4" i="13"/>
  <c r="KW4" i="13"/>
  <c r="KU4" i="13"/>
  <c r="KT4" i="13"/>
  <c r="KS4" i="13"/>
  <c r="KB9" i="13"/>
  <c r="KA9" i="13"/>
  <c r="JY9" i="13"/>
  <c r="JX9" i="13"/>
  <c r="JW9" i="13"/>
  <c r="KB8" i="13"/>
  <c r="KA8" i="13"/>
  <c r="JY8" i="13"/>
  <c r="JX8" i="13"/>
  <c r="JW8" i="13"/>
  <c r="KB7" i="13"/>
  <c r="KA7" i="13"/>
  <c r="JY7" i="13"/>
  <c r="JX7" i="13"/>
  <c r="JW7" i="13"/>
  <c r="KB6" i="13"/>
  <c r="KA6" i="13"/>
  <c r="JY6" i="13"/>
  <c r="JX6" i="13"/>
  <c r="JW6" i="13"/>
  <c r="KB5" i="13"/>
  <c r="KA5" i="13"/>
  <c r="JY5" i="13"/>
  <c r="JX5" i="13"/>
  <c r="JW5" i="13"/>
  <c r="KB4" i="13"/>
  <c r="KA4" i="13"/>
  <c r="JY4" i="13"/>
  <c r="JZ4" i="13" s="1"/>
  <c r="KC4" i="13" s="1"/>
  <c r="JX4" i="13"/>
  <c r="JW4" i="13"/>
  <c r="JF9" i="13"/>
  <c r="JE9" i="13"/>
  <c r="JC9" i="13"/>
  <c r="JB9" i="13"/>
  <c r="JA9" i="13"/>
  <c r="JF8" i="13"/>
  <c r="JE8" i="13"/>
  <c r="JC8" i="13"/>
  <c r="JB8" i="13"/>
  <c r="JD8" i="13" s="1"/>
  <c r="JA8" i="13"/>
  <c r="JF7" i="13"/>
  <c r="JE7" i="13"/>
  <c r="JC7" i="13"/>
  <c r="JB7" i="13"/>
  <c r="JA7" i="13"/>
  <c r="JF6" i="13"/>
  <c r="JE6" i="13"/>
  <c r="JC6" i="13"/>
  <c r="JB6" i="13"/>
  <c r="JA6" i="13"/>
  <c r="JF5" i="13"/>
  <c r="JE5" i="13"/>
  <c r="JC5" i="13"/>
  <c r="JB5" i="13"/>
  <c r="JD5" i="13" s="1"/>
  <c r="JG5" i="13" s="1"/>
  <c r="JA5" i="13"/>
  <c r="JF4" i="13"/>
  <c r="JE4" i="13"/>
  <c r="JC4" i="13"/>
  <c r="JB4" i="13"/>
  <c r="JA4" i="13"/>
  <c r="IJ9" i="13"/>
  <c r="II9" i="13"/>
  <c r="IG9" i="13"/>
  <c r="IF9" i="13"/>
  <c r="IE9" i="13"/>
  <c r="IJ8" i="13"/>
  <c r="II8" i="13"/>
  <c r="IG8" i="13"/>
  <c r="IF8" i="13"/>
  <c r="IE8" i="13"/>
  <c r="IJ7" i="13"/>
  <c r="II7" i="13"/>
  <c r="IG7" i="13"/>
  <c r="IH7" i="13" s="1"/>
  <c r="IF7" i="13"/>
  <c r="IE7" i="13"/>
  <c r="IJ6" i="13"/>
  <c r="II6" i="13"/>
  <c r="IG6" i="13"/>
  <c r="IF6" i="13"/>
  <c r="IE6" i="13"/>
  <c r="IJ5" i="13"/>
  <c r="II5" i="13"/>
  <c r="IG5" i="13"/>
  <c r="IF5" i="13"/>
  <c r="IH5" i="13" s="1"/>
  <c r="IE5" i="13"/>
  <c r="IJ4" i="13"/>
  <c r="II4" i="13"/>
  <c r="IG4" i="13"/>
  <c r="IF4" i="13"/>
  <c r="IH4" i="13" s="1"/>
  <c r="IK4" i="13" s="1"/>
  <c r="IE4" i="13"/>
  <c r="HN9" i="13"/>
  <c r="HM9" i="13"/>
  <c r="HK9" i="13"/>
  <c r="HJ9" i="13"/>
  <c r="HL9" i="13" s="1"/>
  <c r="HI9" i="13"/>
  <c r="HN8" i="13"/>
  <c r="HM8" i="13"/>
  <c r="HK8" i="13"/>
  <c r="HJ8" i="13"/>
  <c r="HL8" i="13" s="1"/>
  <c r="HO8" i="13" s="1"/>
  <c r="HI8" i="13"/>
  <c r="HN7" i="13"/>
  <c r="HM7" i="13"/>
  <c r="HK7" i="13"/>
  <c r="HJ7" i="13"/>
  <c r="HI7" i="13"/>
  <c r="HN6" i="13"/>
  <c r="HM6" i="13"/>
  <c r="HK6" i="13"/>
  <c r="HJ6" i="13"/>
  <c r="HI6" i="13"/>
  <c r="HN5" i="13"/>
  <c r="HM5" i="13"/>
  <c r="HK5" i="13"/>
  <c r="HJ5" i="13"/>
  <c r="HL5" i="13" s="1"/>
  <c r="HO5" i="13" s="1"/>
  <c r="HI5" i="13"/>
  <c r="HN4" i="13"/>
  <c r="HM4" i="13"/>
  <c r="HK4" i="13"/>
  <c r="HL4" i="13" s="1"/>
  <c r="HO4" i="13" s="1"/>
  <c r="HJ4" i="13"/>
  <c r="HI4" i="13"/>
  <c r="GR9" i="13"/>
  <c r="GQ9" i="13"/>
  <c r="GO9" i="13"/>
  <c r="GN9" i="13"/>
  <c r="GM9" i="13"/>
  <c r="GR8" i="13"/>
  <c r="GQ8" i="13"/>
  <c r="GO8" i="13"/>
  <c r="GN8" i="13"/>
  <c r="GP8" i="13" s="1"/>
  <c r="GM8" i="13"/>
  <c r="GR7" i="13"/>
  <c r="GQ7" i="13"/>
  <c r="GO7" i="13"/>
  <c r="GN7" i="13"/>
  <c r="GM7" i="13"/>
  <c r="GR6" i="13"/>
  <c r="GQ6" i="13"/>
  <c r="GO6" i="13"/>
  <c r="GN6" i="13"/>
  <c r="GM6" i="13"/>
  <c r="GR5" i="13"/>
  <c r="GQ5" i="13"/>
  <c r="GO5" i="13"/>
  <c r="GN5" i="13"/>
  <c r="GM5" i="13"/>
  <c r="GR4" i="13"/>
  <c r="GQ4" i="13"/>
  <c r="GO4" i="13"/>
  <c r="GN4" i="13"/>
  <c r="GM4" i="13"/>
  <c r="FV9" i="13"/>
  <c r="FU9" i="13"/>
  <c r="FS9" i="13"/>
  <c r="FR9" i="13"/>
  <c r="FQ9" i="13"/>
  <c r="FV8" i="13"/>
  <c r="FU8" i="13"/>
  <c r="FS8" i="13"/>
  <c r="FR8" i="13"/>
  <c r="FQ8" i="13"/>
  <c r="FV7" i="13"/>
  <c r="FU7" i="13"/>
  <c r="FS7" i="13"/>
  <c r="FR7" i="13"/>
  <c r="FT7" i="13" s="1"/>
  <c r="FQ7" i="13"/>
  <c r="FV6" i="13"/>
  <c r="FU6" i="13"/>
  <c r="FS6" i="13"/>
  <c r="FR6" i="13"/>
  <c r="FT6" i="13" s="1"/>
  <c r="FQ6" i="13"/>
  <c r="FV5" i="13"/>
  <c r="FU5" i="13"/>
  <c r="FS5" i="13"/>
  <c r="FR5" i="13"/>
  <c r="FQ5" i="13"/>
  <c r="FV4" i="13"/>
  <c r="FU4" i="13"/>
  <c r="FS4" i="13"/>
  <c r="FR4" i="13"/>
  <c r="FQ4" i="13"/>
  <c r="EZ9" i="13"/>
  <c r="EY9" i="13"/>
  <c r="EW9" i="13"/>
  <c r="EV9" i="13"/>
  <c r="EU9" i="13"/>
  <c r="EZ8" i="13"/>
  <c r="EY8" i="13"/>
  <c r="EW8" i="13"/>
  <c r="EV8" i="13"/>
  <c r="EX8" i="13" s="1"/>
  <c r="EU8" i="13"/>
  <c r="EZ7" i="13"/>
  <c r="EY7" i="13"/>
  <c r="EW7" i="13"/>
  <c r="EV7" i="13"/>
  <c r="EU7" i="13"/>
  <c r="EZ6" i="13"/>
  <c r="EY6" i="13"/>
  <c r="EW6" i="13"/>
  <c r="EV6" i="13"/>
  <c r="EX6" i="13" s="1"/>
  <c r="EU6" i="13"/>
  <c r="EZ5" i="13"/>
  <c r="EY5" i="13"/>
  <c r="EW5" i="13"/>
  <c r="EV5" i="13"/>
  <c r="EU5" i="13"/>
  <c r="EZ4" i="13"/>
  <c r="EY4" i="13"/>
  <c r="EW4" i="13"/>
  <c r="EV4" i="13"/>
  <c r="EU4" i="13"/>
  <c r="ED9" i="13"/>
  <c r="EC9" i="13"/>
  <c r="EA9" i="13"/>
  <c r="DZ9" i="13"/>
  <c r="DY9" i="13"/>
  <c r="ED8" i="13"/>
  <c r="EC8" i="13"/>
  <c r="EB8" i="13"/>
  <c r="EE8" i="13" s="1"/>
  <c r="EA8" i="13"/>
  <c r="DZ8" i="13"/>
  <c r="DY8" i="13"/>
  <c r="ED7" i="13"/>
  <c r="EC7" i="13"/>
  <c r="EA7" i="13"/>
  <c r="DZ7" i="13"/>
  <c r="DY7" i="13"/>
  <c r="ED6" i="13"/>
  <c r="EC6" i="13"/>
  <c r="EA6" i="13"/>
  <c r="EB6" i="13" s="1"/>
  <c r="EE6" i="13" s="1"/>
  <c r="DZ6" i="13"/>
  <c r="DY6" i="13"/>
  <c r="ED5" i="13"/>
  <c r="EC5" i="13"/>
  <c r="EB5" i="13"/>
  <c r="EE5" i="13" s="1"/>
  <c r="EA5" i="13"/>
  <c r="DZ5" i="13"/>
  <c r="DY5" i="13"/>
  <c r="ED4" i="13"/>
  <c r="EC4" i="13"/>
  <c r="EA4" i="13"/>
  <c r="DZ4" i="13"/>
  <c r="DY4" i="13"/>
  <c r="MP5" i="4"/>
  <c r="MO5" i="4"/>
  <c r="MM5" i="4"/>
  <c r="ML5" i="4"/>
  <c r="MK5" i="4"/>
  <c r="MP4" i="4"/>
  <c r="MO4" i="4"/>
  <c r="MM4" i="4"/>
  <c r="ML4" i="4"/>
  <c r="MN4" i="4" s="1"/>
  <c r="MQ4" i="4" s="1"/>
  <c r="MK4" i="4"/>
  <c r="LT5" i="4"/>
  <c r="LS5" i="4"/>
  <c r="LQ5" i="4"/>
  <c r="LP5" i="4"/>
  <c r="LO5" i="4"/>
  <c r="LT4" i="4"/>
  <c r="LS4" i="4"/>
  <c r="LQ4" i="4"/>
  <c r="LP4" i="4"/>
  <c r="LO4" i="4"/>
  <c r="KX5" i="4"/>
  <c r="KW5" i="4"/>
  <c r="KU5" i="4"/>
  <c r="KT5" i="4"/>
  <c r="KV5" i="4" s="1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A5" i="4"/>
  <c r="JF4" i="4"/>
  <c r="JE4" i="4"/>
  <c r="JC4" i="4"/>
  <c r="JB4" i="4"/>
  <c r="JA4" i="4"/>
  <c r="IJ5" i="4"/>
  <c r="II5" i="4"/>
  <c r="IG5" i="4"/>
  <c r="IF5" i="4"/>
  <c r="IE5" i="4"/>
  <c r="IJ4" i="4"/>
  <c r="II4" i="4"/>
  <c r="IG4" i="4"/>
  <c r="IF4" i="4"/>
  <c r="IE4" i="4"/>
  <c r="HN5" i="4"/>
  <c r="HM5" i="4"/>
  <c r="HK5" i="4"/>
  <c r="HJ5" i="4"/>
  <c r="HL5" i="4" s="1"/>
  <c r="HI5" i="4"/>
  <c r="HN4" i="4"/>
  <c r="HM4" i="4"/>
  <c r="HK4" i="4"/>
  <c r="HJ4" i="4"/>
  <c r="HI4" i="4"/>
  <c r="GR5" i="4"/>
  <c r="GQ5" i="4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X4" i="4" s="1"/>
  <c r="FA4" i="4" s="1"/>
  <c r="EV4" i="4"/>
  <c r="EU4" i="4"/>
  <c r="ED5" i="4"/>
  <c r="EC5" i="4"/>
  <c r="EA5" i="4"/>
  <c r="DZ5" i="4"/>
  <c r="DY5" i="4"/>
  <c r="ED4" i="4"/>
  <c r="EC4" i="4"/>
  <c r="EA4" i="4"/>
  <c r="DZ4" i="4"/>
  <c r="EB4" i="4" s="1"/>
  <c r="DY4" i="4"/>
  <c r="AM7" i="17"/>
  <c r="AN7" i="17"/>
  <c r="AO7" i="17"/>
  <c r="AP7" i="17"/>
  <c r="AQ7" i="17"/>
  <c r="BN7" i="17"/>
  <c r="BO7" i="17"/>
  <c r="BP7" i="17"/>
  <c r="BQ7" i="17"/>
  <c r="BR7" i="17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AM6" i="17"/>
  <c r="AN6" i="17"/>
  <c r="AO6" i="17"/>
  <c r="AP6" i="17"/>
  <c r="AQ6" i="17"/>
  <c r="BN6" i="17"/>
  <c r="BO6" i="17"/>
  <c r="BP6" i="17"/>
  <c r="BQ6" i="17"/>
  <c r="BR6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AM7" i="16"/>
  <c r="AN7" i="16"/>
  <c r="AO7" i="16"/>
  <c r="AP7" i="16"/>
  <c r="AQ7" i="16"/>
  <c r="BN7" i="16"/>
  <c r="BO7" i="16"/>
  <c r="BP7" i="16"/>
  <c r="BQ7" i="16"/>
  <c r="BR7" i="16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5" i="16"/>
  <c r="AN5" i="16"/>
  <c r="AO5" i="16"/>
  <c r="AP5" i="16"/>
  <c r="AQ5" i="16"/>
  <c r="BN5" i="16"/>
  <c r="BO5" i="16"/>
  <c r="BP5" i="16"/>
  <c r="BQ5" i="16"/>
  <c r="BR5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AM6" i="14"/>
  <c r="AN6" i="14"/>
  <c r="AO6" i="14"/>
  <c r="AP6" i="14"/>
  <c r="AQ6" i="14"/>
  <c r="BN6" i="14"/>
  <c r="BO6" i="14"/>
  <c r="BP6" i="14"/>
  <c r="BQ6" i="14"/>
  <c r="BR6" i="14"/>
  <c r="CO6" i="14"/>
  <c r="CP6" i="14"/>
  <c r="CQ6" i="14"/>
  <c r="CR6" i="14"/>
  <c r="CS6" i="14"/>
  <c r="DQ6" i="14"/>
  <c r="DR6" i="14"/>
  <c r="DS6" i="14"/>
  <c r="DT6" i="14"/>
  <c r="DU6" i="14"/>
  <c r="EQ6" i="14"/>
  <c r="ER6" i="14"/>
  <c r="ES6" i="14"/>
  <c r="ET6" i="14"/>
  <c r="EU6" i="14"/>
  <c r="FQ6" i="14"/>
  <c r="FR6" i="14"/>
  <c r="FS6" i="14"/>
  <c r="FT6" i="14"/>
  <c r="FU6" i="14"/>
  <c r="GQ6" i="14"/>
  <c r="GR6" i="14"/>
  <c r="GS6" i="14"/>
  <c r="GT6" i="14"/>
  <c r="GU6" i="14"/>
  <c r="HQ6" i="14"/>
  <c r="HR6" i="14"/>
  <c r="HS6" i="14"/>
  <c r="HT6" i="14"/>
  <c r="HU6" i="14"/>
  <c r="IQ6" i="14"/>
  <c r="IR6" i="14"/>
  <c r="IS6" i="14"/>
  <c r="IT6" i="14"/>
  <c r="IU6" i="14"/>
  <c r="JQ6" i="14"/>
  <c r="JR6" i="14"/>
  <c r="JS6" i="14"/>
  <c r="JT6" i="14"/>
  <c r="JU6" i="14"/>
  <c r="KQ6" i="14"/>
  <c r="KR6" i="14"/>
  <c r="KS6" i="14"/>
  <c r="KT6" i="14"/>
  <c r="KU6" i="14"/>
  <c r="LQ6" i="14"/>
  <c r="LR6" i="14"/>
  <c r="LS6" i="14"/>
  <c r="LT6" i="14"/>
  <c r="LU6" i="14"/>
  <c r="MQ6" i="14"/>
  <c r="MR6" i="14"/>
  <c r="MS6" i="14"/>
  <c r="MT6" i="14"/>
  <c r="MU6" i="14"/>
  <c r="NQ6" i="14"/>
  <c r="NR6" i="14"/>
  <c r="NS6" i="14"/>
  <c r="NT6" i="14"/>
  <c r="NU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BS15" i="17"/>
  <c r="BS11" i="17"/>
  <c r="BR5" i="17"/>
  <c r="BQ5" i="17"/>
  <c r="BP5" i="17"/>
  <c r="BO5" i="17"/>
  <c r="BN5" i="17"/>
  <c r="BR4" i="17"/>
  <c r="BQ4" i="17"/>
  <c r="BP4" i="17"/>
  <c r="BO4" i="17"/>
  <c r="BN4" i="17"/>
  <c r="AR15" i="17"/>
  <c r="AR11" i="17"/>
  <c r="AQ5" i="17"/>
  <c r="AP5" i="17"/>
  <c r="AO5" i="17"/>
  <c r="AN5" i="17"/>
  <c r="AM5" i="17"/>
  <c r="AQ4" i="17"/>
  <c r="AP4" i="17"/>
  <c r="AO4" i="17"/>
  <c r="AN4" i="17"/>
  <c r="AM4" i="17"/>
  <c r="BS16" i="16"/>
  <c r="BS12" i="16"/>
  <c r="BR6" i="16"/>
  <c r="BQ6" i="16"/>
  <c r="BP6" i="16"/>
  <c r="BO6" i="16"/>
  <c r="BN6" i="16"/>
  <c r="BR4" i="16"/>
  <c r="BQ4" i="16"/>
  <c r="BP4" i="16"/>
  <c r="BO4" i="16"/>
  <c r="BN4" i="16"/>
  <c r="AR16" i="16"/>
  <c r="AR12" i="16"/>
  <c r="AQ6" i="16"/>
  <c r="AP6" i="16"/>
  <c r="AO6" i="16"/>
  <c r="AN6" i="16"/>
  <c r="AM6" i="16"/>
  <c r="AQ4" i="16"/>
  <c r="AP4" i="16"/>
  <c r="AO4" i="16"/>
  <c r="AN4" i="16"/>
  <c r="AM4" i="16"/>
  <c r="BR4" i="15"/>
  <c r="BQ4" i="15"/>
  <c r="BP4" i="15"/>
  <c r="BO4" i="15"/>
  <c r="BS4" i="15" s="1"/>
  <c r="BN4" i="15"/>
  <c r="AQ4" i="15"/>
  <c r="AP4" i="15"/>
  <c r="AO4" i="15"/>
  <c r="AN4" i="15"/>
  <c r="AM4" i="15"/>
  <c r="BS14" i="14"/>
  <c r="BS10" i="14"/>
  <c r="BR5" i="14"/>
  <c r="BQ5" i="14"/>
  <c r="BP5" i="14"/>
  <c r="BO5" i="14"/>
  <c r="BN5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4" i="14"/>
  <c r="AP4" i="14"/>
  <c r="AO4" i="14"/>
  <c r="AN4" i="14"/>
  <c r="AM4" i="14"/>
  <c r="BZ8" i="13"/>
  <c r="BY8" i="13"/>
  <c r="BW8" i="13"/>
  <c r="BV8" i="13"/>
  <c r="BU8" i="13"/>
  <c r="BT8" i="13"/>
  <c r="BS8" i="13"/>
  <c r="BZ9" i="13"/>
  <c r="BY9" i="13"/>
  <c r="BW9" i="13"/>
  <c r="BV9" i="13"/>
  <c r="BU9" i="13"/>
  <c r="BT9" i="13"/>
  <c r="BS9" i="13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7" i="13"/>
  <c r="BY7" i="13"/>
  <c r="BW7" i="13"/>
  <c r="BV7" i="13"/>
  <c r="BU7" i="13"/>
  <c r="BT7" i="13"/>
  <c r="BS7" i="13"/>
  <c r="BZ5" i="13"/>
  <c r="BY5" i="13"/>
  <c r="BW5" i="13"/>
  <c r="BV5" i="13"/>
  <c r="BU5" i="13"/>
  <c r="BT5" i="13"/>
  <c r="BS5" i="13"/>
  <c r="AV8" i="13"/>
  <c r="AU8" i="13"/>
  <c r="AS8" i="13"/>
  <c r="AR8" i="13"/>
  <c r="AQ8" i="13"/>
  <c r="AP8" i="13"/>
  <c r="AO8" i="13"/>
  <c r="AV9" i="13"/>
  <c r="AU9" i="13"/>
  <c r="AS9" i="13"/>
  <c r="AR9" i="13"/>
  <c r="AQ9" i="13"/>
  <c r="AP9" i="13"/>
  <c r="AO9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7" i="13"/>
  <c r="AU7" i="13"/>
  <c r="AS7" i="13"/>
  <c r="AR7" i="13"/>
  <c r="AQ7" i="13"/>
  <c r="AP7" i="13"/>
  <c r="AO7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NU4" i="15"/>
  <c r="NT4" i="15"/>
  <c r="NS4" i="15"/>
  <c r="NR4" i="15"/>
  <c r="NV4" i="15" s="1"/>
  <c r="NQ4" i="15"/>
  <c r="MU4" i="15"/>
  <c r="MT4" i="15"/>
  <c r="MS4" i="15"/>
  <c r="MR4" i="15"/>
  <c r="MV4" i="15" s="1"/>
  <c r="MQ4" i="15"/>
  <c r="LU4" i="15"/>
  <c r="LT4" i="15"/>
  <c r="LS4" i="15"/>
  <c r="LR4" i="15"/>
  <c r="LV4" i="15" s="1"/>
  <c r="LQ4" i="15"/>
  <c r="KU4" i="15"/>
  <c r="KT4" i="15"/>
  <c r="KS4" i="15"/>
  <c r="KR4" i="15"/>
  <c r="KV4" i="15" s="1"/>
  <c r="KQ4" i="15"/>
  <c r="JU4" i="15"/>
  <c r="JT4" i="15"/>
  <c r="JS4" i="15"/>
  <c r="JR4" i="15"/>
  <c r="JV4" i="15" s="1"/>
  <c r="JQ4" i="15"/>
  <c r="IU4" i="15"/>
  <c r="IT4" i="15"/>
  <c r="IS4" i="15"/>
  <c r="IR4" i="15"/>
  <c r="IV4" i="15" s="1"/>
  <c r="IQ4" i="15"/>
  <c r="HU4" i="15"/>
  <c r="HT4" i="15"/>
  <c r="HS4" i="15"/>
  <c r="HR4" i="15"/>
  <c r="HV4" i="15" s="1"/>
  <c r="HQ4" i="15"/>
  <c r="GU4" i="15"/>
  <c r="GT4" i="15"/>
  <c r="GS4" i="15"/>
  <c r="GR4" i="15"/>
  <c r="GV4" i="15" s="1"/>
  <c r="GQ4" i="15"/>
  <c r="FU4" i="15"/>
  <c r="FT4" i="15"/>
  <c r="FS4" i="15"/>
  <c r="FR4" i="15"/>
  <c r="FV4" i="15" s="1"/>
  <c r="FQ4" i="15"/>
  <c r="EU4" i="15"/>
  <c r="ET4" i="15"/>
  <c r="ES4" i="15"/>
  <c r="ER4" i="15"/>
  <c r="EV4" i="15" s="1"/>
  <c r="EQ4" i="15"/>
  <c r="DU4" i="15"/>
  <c r="DT4" i="15"/>
  <c r="DS4" i="15"/>
  <c r="DR4" i="15"/>
  <c r="DV4" i="15" s="1"/>
  <c r="DQ4" i="15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NV14" i="14"/>
  <c r="NV10" i="14"/>
  <c r="MV14" i="14"/>
  <c r="MV10" i="14"/>
  <c r="LV14" i="14"/>
  <c r="LV10" i="14"/>
  <c r="KV14" i="14"/>
  <c r="KV10" i="14"/>
  <c r="JV14" i="14"/>
  <c r="JV10" i="14"/>
  <c r="IV14" i="14"/>
  <c r="IV10" i="14"/>
  <c r="HV14" i="14"/>
  <c r="HV10" i="14"/>
  <c r="GV14" i="14"/>
  <c r="GV10" i="14"/>
  <c r="FV14" i="14"/>
  <c r="FV10" i="14"/>
  <c r="EV14" i="14"/>
  <c r="EV10" i="14"/>
  <c r="DV14" i="14"/>
  <c r="DV10" i="14"/>
  <c r="OV15" i="17"/>
  <c r="OV11" i="17"/>
  <c r="OV16" i="16"/>
  <c r="OV12" i="16"/>
  <c r="CO4" i="14"/>
  <c r="CP4" i="14"/>
  <c r="CQ4" i="14"/>
  <c r="CR4" i="14"/>
  <c r="CS4" i="14"/>
  <c r="DQ4" i="14"/>
  <c r="DR4" i="14"/>
  <c r="DS4" i="14"/>
  <c r="DT4" i="14"/>
  <c r="DU4" i="14"/>
  <c r="EQ4" i="14"/>
  <c r="ER4" i="14"/>
  <c r="ES4" i="14"/>
  <c r="ET4" i="14"/>
  <c r="EU4" i="14"/>
  <c r="FQ4" i="14"/>
  <c r="FR4" i="14"/>
  <c r="FS4" i="14"/>
  <c r="FT4" i="14"/>
  <c r="FU4" i="14"/>
  <c r="GQ4" i="14"/>
  <c r="GR4" i="14"/>
  <c r="GS4" i="14"/>
  <c r="GT4" i="14"/>
  <c r="GU4" i="14"/>
  <c r="HQ4" i="14"/>
  <c r="HR4" i="14"/>
  <c r="HS4" i="14"/>
  <c r="HT4" i="14"/>
  <c r="HU4" i="14"/>
  <c r="IQ4" i="14"/>
  <c r="IR4" i="14"/>
  <c r="IS4" i="14"/>
  <c r="IT4" i="14"/>
  <c r="IU4" i="14"/>
  <c r="JQ4" i="14"/>
  <c r="JR4" i="14"/>
  <c r="JS4" i="14"/>
  <c r="JT4" i="14"/>
  <c r="JU4" i="14"/>
  <c r="KQ4" i="14"/>
  <c r="KR4" i="14"/>
  <c r="KS4" i="14"/>
  <c r="KT4" i="14"/>
  <c r="KU4" i="14"/>
  <c r="LQ4" i="14"/>
  <c r="LR4" i="14"/>
  <c r="LS4" i="14"/>
  <c r="LT4" i="14"/>
  <c r="LU4" i="14"/>
  <c r="MQ4" i="14"/>
  <c r="MR4" i="14"/>
  <c r="MS4" i="14"/>
  <c r="MT4" i="14"/>
  <c r="MU4" i="14"/>
  <c r="NQ4" i="14"/>
  <c r="NR4" i="14"/>
  <c r="NS4" i="14"/>
  <c r="NT4" i="14"/>
  <c r="NU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KV7" i="17" l="1"/>
  <c r="NV4" i="17"/>
  <c r="MV5" i="17"/>
  <c r="EV4" i="17"/>
  <c r="EV6" i="17"/>
  <c r="IV6" i="17"/>
  <c r="FV7" i="17"/>
  <c r="JV7" i="17"/>
  <c r="KV4" i="17"/>
  <c r="FV5" i="17"/>
  <c r="GV6" i="17"/>
  <c r="JV5" i="17"/>
  <c r="KV6" i="17"/>
  <c r="PU7" i="17"/>
  <c r="FV6" i="17"/>
  <c r="JV6" i="17"/>
  <c r="IV4" i="17"/>
  <c r="MV4" i="17"/>
  <c r="DV5" i="17"/>
  <c r="HV5" i="17"/>
  <c r="LV5" i="17"/>
  <c r="DV4" i="17"/>
  <c r="HV4" i="17"/>
  <c r="LV4" i="17"/>
  <c r="DV6" i="17"/>
  <c r="GV5" i="17"/>
  <c r="HV6" i="17"/>
  <c r="KV5" i="17"/>
  <c r="LV6" i="17"/>
  <c r="NV7" i="16"/>
  <c r="DV4" i="16"/>
  <c r="GV7" i="16"/>
  <c r="HV8" i="16"/>
  <c r="LV4" i="16"/>
  <c r="HV5" i="16"/>
  <c r="MV7" i="16"/>
  <c r="DV6" i="16"/>
  <c r="FV7" i="16"/>
  <c r="GV8" i="16"/>
  <c r="IV5" i="16"/>
  <c r="KV4" i="16"/>
  <c r="LV8" i="16"/>
  <c r="NV5" i="16"/>
  <c r="DV7" i="16"/>
  <c r="EV8" i="16"/>
  <c r="GV5" i="16"/>
  <c r="IV4" i="16"/>
  <c r="LV5" i="16"/>
  <c r="NV4" i="16"/>
  <c r="JV5" i="16"/>
  <c r="EV5" i="16"/>
  <c r="GV4" i="16"/>
  <c r="HV6" i="16"/>
  <c r="JV7" i="16"/>
  <c r="KV8" i="16"/>
  <c r="MV6" i="16"/>
  <c r="KV6" i="16"/>
  <c r="FV5" i="16"/>
  <c r="FV6" i="16"/>
  <c r="HV7" i="16"/>
  <c r="IV8" i="16"/>
  <c r="LV6" i="16"/>
  <c r="DV8" i="16"/>
  <c r="HV4" i="16"/>
  <c r="IV6" i="16"/>
  <c r="KV7" i="16"/>
  <c r="MV4" i="16"/>
  <c r="NV6" i="16"/>
  <c r="EB9" i="13"/>
  <c r="JZ5" i="13"/>
  <c r="KC5" i="13" s="1"/>
  <c r="KV7" i="13"/>
  <c r="FA8" i="13"/>
  <c r="JG8" i="13"/>
  <c r="MN8" i="13"/>
  <c r="FW7" i="13"/>
  <c r="HO9" i="13"/>
  <c r="EX5" i="13"/>
  <c r="FA5" i="13" s="1"/>
  <c r="GP6" i="13"/>
  <c r="GS6" i="13" s="1"/>
  <c r="IH8" i="13"/>
  <c r="LR8" i="13"/>
  <c r="LU8" i="13" s="1"/>
  <c r="JD7" i="13"/>
  <c r="JG7" i="13" s="1"/>
  <c r="EB4" i="13"/>
  <c r="EE4" i="13" s="1"/>
  <c r="EX9" i="13"/>
  <c r="FA9" i="13" s="1"/>
  <c r="KV5" i="13"/>
  <c r="KY5" i="13" s="1"/>
  <c r="LR7" i="13"/>
  <c r="MN4" i="13"/>
  <c r="MQ4" i="13" s="1"/>
  <c r="IK7" i="13"/>
  <c r="FT9" i="13"/>
  <c r="FW9" i="13" s="1"/>
  <c r="GP9" i="13"/>
  <c r="GS9" i="13" s="1"/>
  <c r="HL6" i="13"/>
  <c r="HO6" i="13" s="1"/>
  <c r="JZ8" i="13"/>
  <c r="KC8" i="13" s="1"/>
  <c r="EE9" i="13"/>
  <c r="IK5" i="13"/>
  <c r="IK8" i="13"/>
  <c r="MQ8" i="13"/>
  <c r="KY7" i="13"/>
  <c r="LR4" i="13"/>
  <c r="LU4" i="13" s="1"/>
  <c r="FT8" i="13"/>
  <c r="FW8" i="13" s="1"/>
  <c r="JD4" i="13"/>
  <c r="JG4" i="13" s="1"/>
  <c r="JZ7" i="13"/>
  <c r="KC7" i="13" s="1"/>
  <c r="KV4" i="13"/>
  <c r="KY4" i="13" s="1"/>
  <c r="FW6" i="13"/>
  <c r="EB7" i="13"/>
  <c r="EE7" i="13" s="1"/>
  <c r="FA6" i="13"/>
  <c r="GP7" i="13"/>
  <c r="GS7" i="13" s="1"/>
  <c r="HL7" i="13"/>
  <c r="HO7" i="13" s="1"/>
  <c r="JZ9" i="13"/>
  <c r="KC9" i="13" s="1"/>
  <c r="KV6" i="13"/>
  <c r="KY6" i="13" s="1"/>
  <c r="LR6" i="13"/>
  <c r="LU6" i="13" s="1"/>
  <c r="LU7" i="13"/>
  <c r="GS8" i="13"/>
  <c r="IH6" i="13"/>
  <c r="IK6" i="13" s="1"/>
  <c r="IH9" i="13"/>
  <c r="IK9" i="13" s="1"/>
  <c r="JD6" i="13"/>
  <c r="JG6" i="13" s="1"/>
  <c r="JD9" i="13"/>
  <c r="JG9" i="13" s="1"/>
  <c r="JZ6" i="13"/>
  <c r="KC6" i="13" s="1"/>
  <c r="LR9" i="13"/>
  <c r="LU9" i="13" s="1"/>
  <c r="MN6" i="13"/>
  <c r="MQ6" i="13" s="1"/>
  <c r="MN9" i="13"/>
  <c r="MQ9" i="13" s="1"/>
  <c r="EX4" i="13"/>
  <c r="FA4" i="13" s="1"/>
  <c r="EX7" i="13"/>
  <c r="FA7" i="13" s="1"/>
  <c r="MQ7" i="13"/>
  <c r="JZ5" i="4"/>
  <c r="KC5" i="4" s="1"/>
  <c r="HO5" i="4"/>
  <c r="KY5" i="4"/>
  <c r="EX5" i="4"/>
  <c r="FA5" i="4" s="1"/>
  <c r="IH5" i="4"/>
  <c r="IK5" i="4" s="1"/>
  <c r="LR5" i="4"/>
  <c r="LU5" i="4" s="1"/>
  <c r="IH4" i="4"/>
  <c r="IK4" i="4" s="1"/>
  <c r="LR4" i="4"/>
  <c r="LU4" i="4" s="1"/>
  <c r="MN5" i="4"/>
  <c r="MQ5" i="4" s="1"/>
  <c r="EB5" i="4"/>
  <c r="EE5" i="4" s="1"/>
  <c r="FT4" i="4"/>
  <c r="FW4" i="4" s="1"/>
  <c r="JD4" i="4"/>
  <c r="JG4" i="4" s="1"/>
  <c r="GP4" i="4"/>
  <c r="GS4" i="4" s="1"/>
  <c r="JZ4" i="4"/>
  <c r="KC4" i="4" s="1"/>
  <c r="EE4" i="4"/>
  <c r="HL4" i="4"/>
  <c r="HO4" i="4" s="1"/>
  <c r="KV4" i="4"/>
  <c r="KY4" i="4" s="1"/>
  <c r="JD5" i="4"/>
  <c r="JG5" i="4" s="1"/>
  <c r="GV4" i="17"/>
  <c r="FV4" i="16"/>
  <c r="EV4" i="16"/>
  <c r="FV4" i="17"/>
  <c r="GP5" i="13"/>
  <c r="GS5" i="13" s="1"/>
  <c r="GP4" i="13"/>
  <c r="GS4" i="13" s="1"/>
  <c r="GP5" i="4"/>
  <c r="GS5" i="4" s="1"/>
  <c r="FT4" i="13"/>
  <c r="FW4" i="13" s="1"/>
  <c r="FT5" i="13"/>
  <c r="FW5" i="13" s="1"/>
  <c r="FT5" i="4"/>
  <c r="FW5" i="4" s="1"/>
  <c r="IV6" i="14"/>
  <c r="PU8" i="16"/>
  <c r="PR8" i="16"/>
  <c r="CT6" i="14"/>
  <c r="PR7" i="17"/>
  <c r="PR5" i="16"/>
  <c r="BS4" i="16"/>
  <c r="MV6" i="14"/>
  <c r="AT4" i="13"/>
  <c r="AW4" i="13" s="1"/>
  <c r="BX5" i="13"/>
  <c r="CA5" i="13" s="1"/>
  <c r="BX4" i="13"/>
  <c r="CA4" i="13" s="1"/>
  <c r="AT8" i="13"/>
  <c r="AW8" i="13" s="1"/>
  <c r="BS6" i="17"/>
  <c r="BS4" i="17"/>
  <c r="PV7" i="17"/>
  <c r="BS7" i="17"/>
  <c r="AR5" i="17"/>
  <c r="AR6" i="16"/>
  <c r="BS7" i="16"/>
  <c r="OV8" i="16"/>
  <c r="OV5" i="16"/>
  <c r="BS4" i="14"/>
  <c r="DV6" i="14"/>
  <c r="HV6" i="14"/>
  <c r="EV6" i="14"/>
  <c r="NV6" i="14"/>
  <c r="LV6" i="14"/>
  <c r="BS6" i="14"/>
  <c r="AR4" i="14"/>
  <c r="BS5" i="14"/>
  <c r="AT7" i="13"/>
  <c r="AW7" i="13" s="1"/>
  <c r="BX7" i="13"/>
  <c r="CA7" i="13" s="1"/>
  <c r="AT9" i="13"/>
  <c r="AW9" i="13" s="1"/>
  <c r="AT5" i="13"/>
  <c r="AW5" i="13" s="1"/>
  <c r="BX9" i="13"/>
  <c r="CA9" i="13" s="1"/>
  <c r="BX8" i="13"/>
  <c r="CA8" i="13" s="1"/>
  <c r="BX6" i="13"/>
  <c r="CA6" i="13" s="1"/>
  <c r="AT6" i="13"/>
  <c r="AW6" i="13" s="1"/>
  <c r="BX5" i="4"/>
  <c r="CA5" i="4" s="1"/>
  <c r="BX4" i="4"/>
  <c r="CA4" i="4" s="1"/>
  <c r="AT5" i="4"/>
  <c r="AW5" i="4" s="1"/>
  <c r="AT4" i="4"/>
  <c r="AW4" i="4" s="1"/>
  <c r="AR7" i="17"/>
  <c r="AR6" i="17"/>
  <c r="OV7" i="17"/>
  <c r="M7" i="17"/>
  <c r="CV7" i="17" s="1"/>
  <c r="PT7" i="17"/>
  <c r="CT7" i="17"/>
  <c r="PS7" i="17"/>
  <c r="K7" i="17"/>
  <c r="L7" i="17" s="1"/>
  <c r="F7" i="17"/>
  <c r="I7" i="17"/>
  <c r="G7" i="17"/>
  <c r="CT6" i="17"/>
  <c r="PR6" i="17"/>
  <c r="OV6" i="17"/>
  <c r="PU6" i="17"/>
  <c r="M6" i="17"/>
  <c r="N6" i="17" s="1"/>
  <c r="PV6" i="17"/>
  <c r="PT6" i="17"/>
  <c r="PS6" i="17"/>
  <c r="K6" i="17"/>
  <c r="L6" i="17" s="1"/>
  <c r="F6" i="17"/>
  <c r="I6" i="17"/>
  <c r="G6" i="17"/>
  <c r="AR4" i="17"/>
  <c r="BS5" i="17"/>
  <c r="PR7" i="16"/>
  <c r="PV5" i="16"/>
  <c r="PS5" i="16"/>
  <c r="PV8" i="16"/>
  <c r="AR7" i="16"/>
  <c r="OV7" i="16"/>
  <c r="CT7" i="16"/>
  <c r="M7" i="16"/>
  <c r="N7" i="16" s="1"/>
  <c r="PU7" i="16"/>
  <c r="K7" i="16"/>
  <c r="L7" i="16" s="1"/>
  <c r="PV7" i="16"/>
  <c r="PT7" i="16"/>
  <c r="PS7" i="16"/>
  <c r="F7" i="16"/>
  <c r="G7" i="16"/>
  <c r="I7" i="16"/>
  <c r="M8" i="16"/>
  <c r="N8" i="16" s="1"/>
  <c r="CT8" i="16"/>
  <c r="PT8" i="16"/>
  <c r="PS8" i="16"/>
  <c r="K8" i="16"/>
  <c r="L8" i="16" s="1"/>
  <c r="BS8" i="16"/>
  <c r="F8" i="16"/>
  <c r="I8" i="16"/>
  <c r="AR8" i="16"/>
  <c r="G8" i="16"/>
  <c r="CT5" i="16"/>
  <c r="M5" i="16"/>
  <c r="CV5" i="16" s="1"/>
  <c r="BS5" i="16"/>
  <c r="PT5" i="16"/>
  <c r="K5" i="16"/>
  <c r="L5" i="16" s="1"/>
  <c r="PU5" i="16"/>
  <c r="F5" i="16"/>
  <c r="I5" i="16"/>
  <c r="AR5" i="16"/>
  <c r="G5" i="16"/>
  <c r="AR4" i="16"/>
  <c r="BS6" i="16"/>
  <c r="AR4" i="15"/>
  <c r="OV6" i="14"/>
  <c r="KV6" i="14"/>
  <c r="JV6" i="14"/>
  <c r="GV6" i="14"/>
  <c r="FV6" i="14"/>
  <c r="PS6" i="14"/>
  <c r="PU6" i="14"/>
  <c r="PR6" i="14"/>
  <c r="PV6" i="14"/>
  <c r="PT6" i="14"/>
  <c r="K6" i="14"/>
  <c r="L6" i="14" s="1"/>
  <c r="M6" i="14"/>
  <c r="CV6" i="14" s="1"/>
  <c r="F6" i="14"/>
  <c r="AR6" i="14"/>
  <c r="G6" i="14"/>
  <c r="I6" i="14"/>
  <c r="AR5" i="14"/>
  <c r="HV4" i="14"/>
  <c r="JV4" i="14"/>
  <c r="OV6" i="16"/>
  <c r="OV4" i="16"/>
  <c r="CT6" i="16"/>
  <c r="CT4" i="16"/>
  <c r="CT4" i="14"/>
  <c r="NV4" i="14"/>
  <c r="FV4" i="14"/>
  <c r="IV4" i="14"/>
  <c r="KV4" i="14"/>
  <c r="LV4" i="14"/>
  <c r="DV4" i="14"/>
  <c r="OV4" i="14"/>
  <c r="GV4" i="14"/>
  <c r="MV4" i="14"/>
  <c r="EV4" i="14"/>
  <c r="O8" i="13"/>
  <c r="P8" i="13" s="1"/>
  <c r="NJ8" i="13"/>
  <c r="NM8" i="13" s="1"/>
  <c r="DB8" i="13"/>
  <c r="DE8" i="13" s="1"/>
  <c r="OP9" i="13"/>
  <c r="OM8" i="13"/>
  <c r="OK8" i="13"/>
  <c r="OI8" i="13"/>
  <c r="DB7" i="13"/>
  <c r="DE7" i="13" s="1"/>
  <c r="O7" i="13"/>
  <c r="P7" i="13" s="1"/>
  <c r="PS6" i="16"/>
  <c r="M6" i="16"/>
  <c r="CV6" i="16" s="1"/>
  <c r="PT6" i="16"/>
  <c r="G6" i="16"/>
  <c r="PU6" i="16"/>
  <c r="PR6" i="16"/>
  <c r="F6" i="16"/>
  <c r="K6" i="16"/>
  <c r="I6" i="16"/>
  <c r="PV6" i="16"/>
  <c r="OP8" i="13"/>
  <c r="DB9" i="13"/>
  <c r="DE9" i="13" s="1"/>
  <c r="NJ7" i="13"/>
  <c r="NM7" i="13" s="1"/>
  <c r="OM7" i="13"/>
  <c r="OK7" i="13"/>
  <c r="OI7" i="13"/>
  <c r="DB5" i="13"/>
  <c r="DE5" i="13" s="1"/>
  <c r="NJ9" i="13"/>
  <c r="NM9" i="13" s="1"/>
  <c r="OP7" i="13"/>
  <c r="OM9" i="13"/>
  <c r="OK9" i="13"/>
  <c r="OI9" i="13"/>
  <c r="O9" i="13"/>
  <c r="P9" i="13" s="1"/>
  <c r="DB6" i="13"/>
  <c r="DE6" i="13" s="1"/>
  <c r="OK5" i="13"/>
  <c r="NJ6" i="13"/>
  <c r="NM6" i="13" s="1"/>
  <c r="O5" i="13"/>
  <c r="DI5" i="13" s="1"/>
  <c r="NJ5" i="13"/>
  <c r="NM5" i="13" s="1"/>
  <c r="OM5" i="13"/>
  <c r="OI5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PW8" i="16" l="1"/>
  <c r="PW7" i="16"/>
  <c r="PW7" i="17"/>
  <c r="PW5" i="16"/>
  <c r="N7" i="17"/>
  <c r="CU7" i="17"/>
  <c r="O7" i="17" s="1"/>
  <c r="Q7" i="17" s="1"/>
  <c r="H7" i="17"/>
  <c r="J7" i="17"/>
  <c r="CV6" i="17"/>
  <c r="PW6" i="17"/>
  <c r="CU6" i="17"/>
  <c r="H6" i="17"/>
  <c r="J6" i="17"/>
  <c r="CU8" i="16"/>
  <c r="CV7" i="16"/>
  <c r="CU7" i="16"/>
  <c r="H7" i="16"/>
  <c r="J7" i="16"/>
  <c r="H8" i="16"/>
  <c r="CV8" i="16"/>
  <c r="J8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6" i="16"/>
  <c r="PW4" i="14"/>
  <c r="DI8" i="13"/>
  <c r="I4" i="4"/>
  <c r="J4" i="4" s="1"/>
  <c r="G8" i="13"/>
  <c r="H8" i="13" s="1"/>
  <c r="I8" i="13"/>
  <c r="DH8" i="13" s="1"/>
  <c r="F8" i="13"/>
  <c r="ON8" i="13"/>
  <c r="I7" i="13"/>
  <c r="J7" i="13" s="1"/>
  <c r="I9" i="13"/>
  <c r="K9" i="13" s="1"/>
  <c r="DI7" i="13"/>
  <c r="G7" i="13"/>
  <c r="H7" i="13" s="1"/>
  <c r="A7" i="13" s="1" a="1"/>
  <c r="A7" i="13" s="1"/>
  <c r="F7" i="13"/>
  <c r="G9" i="13"/>
  <c r="H9" i="13" s="1"/>
  <c r="A9" i="13" s="1" a="1"/>
  <c r="A9" i="13" s="1"/>
  <c r="ON9" i="13"/>
  <c r="DI5" i="4"/>
  <c r="H6" i="16"/>
  <c r="N6" i="16"/>
  <c r="J6" i="16"/>
  <c r="L6" i="16"/>
  <c r="CU6" i="16"/>
  <c r="O6" i="16" s="1"/>
  <c r="ON7" i="13"/>
  <c r="DI9" i="13"/>
  <c r="ON6" i="13"/>
  <c r="I5" i="13"/>
  <c r="DH5" i="13" s="1"/>
  <c r="F5" i="13"/>
  <c r="I6" i="13"/>
  <c r="M6" i="13" s="1"/>
  <c r="F9" i="13"/>
  <c r="G6" i="13"/>
  <c r="H6" i="13" s="1"/>
  <c r="A6" i="13" s="1" a="1"/>
  <c r="A6" i="13" s="1"/>
  <c r="G5" i="13"/>
  <c r="H5" i="13" s="1"/>
  <c r="P5" i="13"/>
  <c r="ON5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L4" i="14"/>
  <c r="CU4" i="14"/>
  <c r="CV4" i="16"/>
  <c r="H4" i="16"/>
  <c r="L4" i="16"/>
  <c r="CU4" i="16"/>
  <c r="O8" i="16" l="1"/>
  <c r="E8" i="16" s="1"/>
  <c r="P7" i="17"/>
  <c r="O6" i="17"/>
  <c r="P6" i="17" s="1"/>
  <c r="E7" i="17"/>
  <c r="O7" i="16"/>
  <c r="Q7" i="16" s="1"/>
  <c r="P5" i="16"/>
  <c r="E5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9" i="13"/>
  <c r="L9" i="13" s="1"/>
  <c r="OQ8" i="13"/>
  <c r="DH9" i="13"/>
  <c r="M9" i="13"/>
  <c r="M8" i="13"/>
  <c r="DG8" i="13" s="1"/>
  <c r="J8" i="13"/>
  <c r="K8" i="13"/>
  <c r="DF8" i="13" s="1"/>
  <c r="DH5" i="4"/>
  <c r="J5" i="4"/>
  <c r="L5" i="4" s="1"/>
  <c r="K6" i="13"/>
  <c r="DF6" i="13" s="1"/>
  <c r="M5" i="4"/>
  <c r="E6" i="16"/>
  <c r="P6" i="16"/>
  <c r="Q6" i="16"/>
  <c r="K5" i="13"/>
  <c r="DF5" i="13" s="1"/>
  <c r="M5" i="13"/>
  <c r="DG5" i="13" s="1"/>
  <c r="J5" i="13"/>
  <c r="DH6" i="13"/>
  <c r="J6" i="13"/>
  <c r="N6" i="13" s="1"/>
  <c r="DF9" i="13"/>
  <c r="DG6" i="13"/>
  <c r="O4" i="14"/>
  <c r="E4" i="14" s="1"/>
  <c r="DF5" i="4"/>
  <c r="O4" i="16"/>
  <c r="E4" i="16" s="1"/>
  <c r="P8" i="16" l="1"/>
  <c r="Q8" i="16"/>
  <c r="Q6" i="17"/>
  <c r="E6" i="17"/>
  <c r="E7" i="16"/>
  <c r="P7" i="16"/>
  <c r="L4" i="4"/>
  <c r="N7" i="13"/>
  <c r="N9" i="13"/>
  <c r="DF7" i="13"/>
  <c r="Q7" i="13" s="1"/>
  <c r="S7" i="13" s="1"/>
  <c r="DG4" i="4"/>
  <c r="Q4" i="4" s="1"/>
  <c r="N8" i="13"/>
  <c r="DG9" i="13"/>
  <c r="Q9" i="13" s="1"/>
  <c r="L8" i="13"/>
  <c r="Q8" i="13"/>
  <c r="S8" i="13" s="1"/>
  <c r="L5" i="13"/>
  <c r="N5" i="4"/>
  <c r="DG5" i="4"/>
  <c r="Q5" i="4" s="1"/>
  <c r="R5" i="4" s="1"/>
  <c r="L6" i="13"/>
  <c r="Q4" i="14"/>
  <c r="P4" i="14"/>
  <c r="N5" i="13"/>
  <c r="Q5" i="13"/>
  <c r="S5" i="13" s="1"/>
  <c r="Q6" i="13"/>
  <c r="Q4" i="16"/>
  <c r="P4" i="16"/>
  <c r="E4" i="4" l="1"/>
  <c r="A7" i="16" a="1"/>
  <c r="A7" i="16" s="1"/>
  <c r="A5" i="16" a="1"/>
  <c r="A5" i="16" s="1"/>
  <c r="A8" i="16" a="1"/>
  <c r="A8" i="16" s="1"/>
  <c r="E9" i="13"/>
  <c r="E8" i="13"/>
  <c r="R8" i="13"/>
  <c r="E6" i="13"/>
  <c r="E7" i="13"/>
  <c r="R7" i="13"/>
  <c r="R9" i="13"/>
  <c r="S9" i="13"/>
  <c r="R5" i="13"/>
  <c r="E5" i="13"/>
  <c r="S6" i="13"/>
  <c r="R6" i="13"/>
  <c r="E5" i="4"/>
  <c r="S5" i="4"/>
  <c r="S4" i="4"/>
  <c r="R4" i="4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OP6" i="13" l="1"/>
  <c r="OP5" i="13"/>
  <c r="OM4" i="13"/>
  <c r="NJ4" i="13"/>
  <c r="NM4" i="13" s="1"/>
  <c r="O4" i="13"/>
  <c r="DI4" i="13" s="1"/>
  <c r="DB4" i="13"/>
  <c r="DE4" i="13" s="1"/>
  <c r="OK4" i="13"/>
  <c r="OI4" i="13"/>
  <c r="CT15" i="17"/>
  <c r="CT11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6" i="16"/>
  <c r="CT12" i="16"/>
  <c r="PP4" i="15"/>
  <c r="PO4" i="15"/>
  <c r="PN4" i="15"/>
  <c r="PM4" i="15"/>
  <c r="PL4" i="15"/>
  <c r="PK4" i="15"/>
  <c r="PJ4" i="15"/>
  <c r="PI4" i="15"/>
  <c r="PH4" i="15"/>
  <c r="PG4" i="15"/>
  <c r="PF4" i="15"/>
  <c r="PE4" i="15"/>
  <c r="PD4" i="15"/>
  <c r="PC4" i="15"/>
  <c r="PB4" i="15"/>
  <c r="PA4" i="15"/>
  <c r="OZ4" i="15"/>
  <c r="OY4" i="15"/>
  <c r="OX4" i="15"/>
  <c r="OW4" i="15"/>
  <c r="OU4" i="15"/>
  <c r="OT4" i="15"/>
  <c r="OS4" i="15"/>
  <c r="OR4" i="15"/>
  <c r="OQ4" i="15"/>
  <c r="CS4" i="15"/>
  <c r="CR4" i="15"/>
  <c r="CQ4" i="15"/>
  <c r="CP4" i="15"/>
  <c r="CO4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NU5" i="14"/>
  <c r="NT5" i="14"/>
  <c r="NS5" i="14"/>
  <c r="NR5" i="14"/>
  <c r="NQ5" i="14"/>
  <c r="MU5" i="14"/>
  <c r="MT5" i="14"/>
  <c r="MS5" i="14"/>
  <c r="MR5" i="14"/>
  <c r="MQ5" i="14"/>
  <c r="LU5" i="14"/>
  <c r="LT5" i="14"/>
  <c r="LS5" i="14"/>
  <c r="LR5" i="14"/>
  <c r="LQ5" i="14"/>
  <c r="KU5" i="14"/>
  <c r="KT5" i="14"/>
  <c r="KS5" i="14"/>
  <c r="KR5" i="14"/>
  <c r="KQ5" i="14"/>
  <c r="JU5" i="14"/>
  <c r="JT5" i="14"/>
  <c r="JS5" i="14"/>
  <c r="JR5" i="14"/>
  <c r="JQ5" i="14"/>
  <c r="IU5" i="14"/>
  <c r="IT5" i="14"/>
  <c r="IS5" i="14"/>
  <c r="IR5" i="14"/>
  <c r="IQ5" i="14"/>
  <c r="HU5" i="14"/>
  <c r="HT5" i="14"/>
  <c r="HS5" i="14"/>
  <c r="HR5" i="14"/>
  <c r="HQ5" i="14"/>
  <c r="GU5" i="14"/>
  <c r="GT5" i="14"/>
  <c r="GS5" i="14"/>
  <c r="GR5" i="14"/>
  <c r="GQ5" i="14"/>
  <c r="FU5" i="14"/>
  <c r="FT5" i="14"/>
  <c r="FS5" i="14"/>
  <c r="FR5" i="14"/>
  <c r="FQ5" i="14"/>
  <c r="EU5" i="14"/>
  <c r="ET5" i="14"/>
  <c r="ES5" i="14"/>
  <c r="ER5" i="14"/>
  <c r="EQ5" i="14"/>
  <c r="DU5" i="14"/>
  <c r="DT5" i="14"/>
  <c r="DS5" i="14"/>
  <c r="DR5" i="14"/>
  <c r="DQ5" i="14"/>
  <c r="CS5" i="14"/>
  <c r="CR5" i="14"/>
  <c r="CQ5" i="14"/>
  <c r="CP5" i="14"/>
  <c r="CO5" i="14"/>
  <c r="CT4" i="17" l="1"/>
  <c r="JV5" i="14"/>
  <c r="CT5" i="17"/>
  <c r="EV5" i="14"/>
  <c r="MV5" i="14"/>
  <c r="OV5" i="14"/>
  <c r="GV5" i="14"/>
  <c r="OV4" i="17"/>
  <c r="OV5" i="17"/>
  <c r="OV4" i="15"/>
  <c r="CT4" i="15"/>
  <c r="HV5" i="14"/>
  <c r="LV5" i="14"/>
  <c r="DV5" i="14"/>
  <c r="IV5" i="14"/>
  <c r="FV5" i="14"/>
  <c r="NV5" i="14"/>
  <c r="CT5" i="14"/>
  <c r="KV5" i="14"/>
  <c r="A4" i="4" a="1"/>
  <c r="A4" i="4" s="1"/>
  <c r="P4" i="13"/>
  <c r="I4" i="13"/>
  <c r="ON4" i="13"/>
  <c r="F4" i="13"/>
  <c r="G4" i="13"/>
  <c r="H4" i="13" s="1"/>
  <c r="PU5" i="17"/>
  <c r="M4" i="17"/>
  <c r="CV4" i="17" s="1"/>
  <c r="PT5" i="17"/>
  <c r="G4" i="17"/>
  <c r="PT4" i="17"/>
  <c r="PR5" i="17"/>
  <c r="PR4" i="17"/>
  <c r="PS5" i="17"/>
  <c r="K5" i="17"/>
  <c r="CU5" i="17" s="1"/>
  <c r="PV4" i="17"/>
  <c r="I5" i="17"/>
  <c r="J5" i="17" s="1"/>
  <c r="PV5" i="17"/>
  <c r="PU4" i="17"/>
  <c r="PS4" i="17"/>
  <c r="I4" i="17"/>
  <c r="F5" i="17"/>
  <c r="K4" i="17"/>
  <c r="CU4" i="17" s="1"/>
  <c r="G5" i="17"/>
  <c r="M5" i="17"/>
  <c r="CV5" i="17" s="1"/>
  <c r="F4" i="17"/>
  <c r="PR4" i="15"/>
  <c r="F4" i="15"/>
  <c r="G4" i="15"/>
  <c r="PS4" i="15"/>
  <c r="PT4" i="15"/>
  <c r="PV4" i="15"/>
  <c r="M4" i="15"/>
  <c r="CV4" i="15" s="1"/>
  <c r="PU4" i="15"/>
  <c r="I4" i="15"/>
  <c r="K4" i="15"/>
  <c r="CU4" i="15" s="1"/>
  <c r="M5" i="14"/>
  <c r="CV5" i="14" s="1"/>
  <c r="PT5" i="14"/>
  <c r="PR5" i="14"/>
  <c r="PS5" i="14"/>
  <c r="K5" i="14"/>
  <c r="CU5" i="14" s="1"/>
  <c r="G5" i="14"/>
  <c r="PV5" i="14"/>
  <c r="PU5" i="14"/>
  <c r="F5" i="14"/>
  <c r="I5" i="14"/>
  <c r="OQ5" i="13" l="1"/>
  <c r="OQ6" i="13"/>
  <c r="PW5" i="17"/>
  <c r="PW4" i="17"/>
  <c r="PW4" i="15"/>
  <c r="PW5" i="14"/>
  <c r="K4" i="13"/>
  <c r="DF4" i="13" s="1"/>
  <c r="DH4" i="13"/>
  <c r="J4" i="13"/>
  <c r="M4" i="13"/>
  <c r="DG4" i="13" s="1"/>
  <c r="N5" i="14"/>
  <c r="L5" i="14"/>
  <c r="H5" i="14"/>
  <c r="N4" i="17"/>
  <c r="H4" i="15"/>
  <c r="H5" i="17"/>
  <c r="H4" i="17"/>
  <c r="L5" i="17"/>
  <c r="J4" i="17"/>
  <c r="N5" i="17"/>
  <c r="O5" i="17"/>
  <c r="L4" i="17"/>
  <c r="N4" i="15"/>
  <c r="J4" i="15"/>
  <c r="O4" i="15"/>
  <c r="L4" i="15"/>
  <c r="J5" i="14"/>
  <c r="L4" i="13" l="1"/>
  <c r="N4" i="13"/>
  <c r="Q4" i="13"/>
  <c r="O4" i="17"/>
  <c r="E4" i="17" s="1"/>
  <c r="O5" i="14"/>
  <c r="E5" i="14" s="1"/>
  <c r="A5" i="14" s="1" a="1"/>
  <c r="A5" i="14" s="1"/>
  <c r="Q5" i="17"/>
  <c r="P5" i="17"/>
  <c r="E5" i="17"/>
  <c r="E4" i="15"/>
  <c r="A4" i="15" s="1" a="1"/>
  <c r="A4" i="15" s="1"/>
  <c r="P4" i="15"/>
  <c r="Q4" i="15"/>
  <c r="A6" i="17" l="1" a="1"/>
  <c r="A6" i="17" s="1"/>
  <c r="A7" i="17" a="1"/>
  <c r="A7" i="17" s="1"/>
  <c r="A6" i="14" a="1"/>
  <c r="A6" i="14" s="1"/>
  <c r="A5" i="17" a="1"/>
  <c r="A5" i="17" s="1"/>
  <c r="A4" i="17" a="1"/>
  <c r="A4" i="17" s="1"/>
  <c r="A6" i="16" a="1"/>
  <c r="A6" i="16" s="1"/>
  <c r="A4" i="16" a="1"/>
  <c r="A4" i="16" s="1"/>
  <c r="A4" i="14" a="1"/>
  <c r="A4" i="14" s="1"/>
  <c r="E4" i="13"/>
  <c r="A5" i="13" s="1" a="1"/>
  <c r="A5" i="13" s="1"/>
  <c r="R4" i="13"/>
  <c r="S4" i="13"/>
  <c r="Q4" i="17"/>
  <c r="P4" i="17"/>
  <c r="Q5" i="14"/>
  <c r="P5" i="14"/>
  <c r="A8" i="13" l="1" a="1"/>
  <c r="A8" i="13" s="1"/>
  <c r="A4" i="13" a="1"/>
  <c r="A4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<sst xmlns="http://schemas.openxmlformats.org/spreadsheetml/2006/main" count="3179" uniqueCount="104">
  <si>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</si>
  <si>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</si>
  <si>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</si>
  <si>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</si>
  <si>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</si>
  <si>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</si>
  <si>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</si>
  <si>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</si>
  <si>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</si>
  <si>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</si>
  <si>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</si>
  <si>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</si>
  <si>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</si>
  <si>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</si>
  <si>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</si>
  <si>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</si>
  <si>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</si>
  <si>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</si>
  <si>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</si>
  <si>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</si>
  <si>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</si>
  <si>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</si>
  <si>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</si>
  <si>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</si>
  <si>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</si>
  <si>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</si>
  <si>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</si>
  <si>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</si>
  <si>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</si>
  <si>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</si>
  <si>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</si>
  <si>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</si>
  <si>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</si>
  <si>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</si>
  <si>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</si>
  <si>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</si>
  <si>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</si>
  <si>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</si>
  <si>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</si>
  <si>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</si>
  <si>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</si>
  <si>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</si>
  <si>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</si>
  <si>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</si>
  <si>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</si>
  <si>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</si>
  <si>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</si>
  <si>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</si>
  <si>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</si>
  <si>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</si>
  <si>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</si>
  <si>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</si>
  <si>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</si>
  <si>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</si>
  <si>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</si>
  <si>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</si>
  <si>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</si>
  <si>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</si>
  <si>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</si>
  <si>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</si>
  <si>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</si>
  <si>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</si>
  <si>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</si>
  <si>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</si>
  <si>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</si>
  <si>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</si>
  <si>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</si>
  <si>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</si>
  <si>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</si>
  <si>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</si>
  <si>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</si>
  <si>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</si>
  <si>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</si>
  <si>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</si>
  <si>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</si>
  <si>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</si>
  <si>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</si>
  <si>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</si>
  <si>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</si>
  <si>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</si>
  <si>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</si>
  <si>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</si>
  <si>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</si>
  <si>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</si>
  <si>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2023 Nationals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</si>
  <si>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</si>
  <si>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</si>
  <si>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</si>
  <si>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</si>
  <si>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</si>
  <si>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</si>
  <si>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</si>
  <si>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2023 3rd Domestic Trial</t>
  </si>
  <si>
    <t>2023 WAGC (Nov 16)</t>
  </si>
  <si>
    <t>2023 WAGC (Nov 18)</t>
  </si>
  <si>
    <t>2023 Junior Worlds (Nov 19)</t>
  </si>
  <si>
    <t>2024 Elite Canada</t>
  </si>
  <si>
    <t>NEWMAN, Olivia</t>
  </si>
  <si>
    <t>BING-L'HEUREUX, Noah</t>
  </si>
  <si>
    <t>KOCAK, Jonas</t>
  </si>
  <si>
    <t>2024 Pacific Rim (April 23)</t>
  </si>
  <si>
    <t>2024 Pan Am Championships (May 19)</t>
  </si>
  <si>
    <t>2024 Pan Am Club Championships (May 19)</t>
  </si>
  <si>
    <t>2024 Pan Am Championships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</si>
</sst>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x14ac:dyDescent="0.2">
      <c r="A2" s="6" t="s">
        <v>31</v>
      </c>
      <c r="B2" s="6">
        <v>1</v>
      </c>
      <c r="C2" s="6" t="str">
        <f>IF(B2&gt;MAX('TRA-M'!A:A),"",INDEX('TRA-M'!B:B,MATCH(B2,'TRA-M'!A:A,0)))</f>
        <v>BEAULIEU, Alex</v>
      </c>
      <c r="D2" s="16" t="str">
        <f>IF(B2&gt;MAX('TRA-M'!A:A),"",INDEX('TRA-M'!H:H,MATCH(B2,'TRA-M'!A:A,0)))</f>
        <v>No DD</v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LEE-MCMEEKEN, Brooklyn</v>
      </c>
      <c r="D6" s="17" t="str">
        <f>IF(B2&gt;MAX('TRA-W'!A:A),"",INDEX('TRA-W'!H:H,MATCH(B2,'TRA-W'!A:A,0)))</f>
        <v>National Team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LEPORÉ, Amylia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NEWMAN, Olivia</v>
      </c>
      <c r="D14" s="17" t="str">
        <f>IF(B2&gt;MAX('TUM-W'!A:A),"",INDEX('TUM-W'!H:H,MATCH(B2,'TUM-W'!A:A,0)))</f>
        <v>Excellence</v>
      </c>
    </row>
    <row r="15" spans="1:6" hidden="1" x14ac:dyDescent="0.2">
      <c r="A15" s="8"/>
      <c r="B15" s="8">
        <v>2</v>
      </c>
      <c r="C15" s="8" t="str">
        <f>IF(B3&gt;MAX('TUM-W'!A:A),"",INDEX('TUM-W'!B:B,MATCH(B3,'TUM-W'!A:A,0)))</f>
        <v/>
      </c>
      <c r="D15" s="17" t="str">
        <f>IF(B3&gt;MAX('TUM-W'!A:A),"",INDEX('TUM-W'!H:H,MATCH(B3,'TUM-W'!A:A,0)))</f>
        <v/>
      </c>
    </row>
    <row r="16" spans="1:6" hidden="1" x14ac:dyDescent="0.2">
      <c r="A16" s="8"/>
      <c r="B16" s="8">
        <v>3</v>
      </c>
      <c r="C16" s="8" t="str">
        <f>IF(B4&gt;MAX('TUM-W'!A:A),"",INDEX('TUM-W'!B:B,MATCH(B4,'TUM-W'!A:A,0)))</f>
        <v/>
      </c>
      <c r="D16" s="17" t="str">
        <f>IF(B4&gt;MAX('TUM-W'!A:A),"",INDEX('TUM-W'!H:H,MATCH(B4,'TUM-W'!A:A,0)))</f>
        <v/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REIMCHE, Wilson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KOCAK, Jonas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SCHMIDT, Makena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45439</v>
      </c>
      <c r="C34" s="68"/>
    </row>
    <row r="35" spans="1:3" x14ac:dyDescent="0.2">
      <c r="B35" t="s">
        <v>103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84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96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93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100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101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102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>1</v>
      </c>
      <c r="B4" s="5" t="s">
        <v>85</v>
      </c>
      <c r="C4" s="4" t="s">
        <v>3</v>
      </c>
      <c r="D4" s="4">
        <v>2008</v>
      </c>
      <c r="E4" s="10">
        <f>SUM(I4:Q4)</f>
        <v>243.23000000000002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>P</v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>No DD</v>
      </c>
      <c r="I4" s="9">
        <f>IF(MAX(AT4,BX4,DB4)&gt;0,MAX(AT4,BX4,DB4),0)</f>
        <v>96.04</v>
      </c>
      <c r="J4" s="9" t="str">
        <f>IF(I4=0,"",IF(I4=DB4,$CB$1,IF(I4=BX4,$AX$1,IF(I4=AT4,$T$1,""))))</f>
        <v>2023 3rd Domestic Trial</v>
      </c>
      <c r="K4" s="9">
        <f>IF($I4=$AT4,MAX(BS4,CW4),IF($I4=$BX4,MAX(AO4,CW4),IF($I4=$DB4,MAX(AO4,BS4),MAX(AO4,BS4,CW4))))</f>
        <v>43.57</v>
      </c>
      <c r="L4" s="9" t="str">
        <f>IF(K4=0,"",IF(AND(K4=CW4,$J4&lt;&gt;$CB$1),$CB$1,IF(AND(K4=BS4,$J4&lt;&gt;$AX$1),$AX$1,IF(AND(K4=AO4,$J4&lt;&gt;$T$1),$T$1,""))))</f>
        <v>2023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51.54</v>
      </c>
      <c r="N4" s="9" t="str">
        <f>IF(M4=0,"",IF(AND(OR(M4=DA4,M4=CY4),$J4&lt;&gt;$CB$1),$CB$1,IF(AND(OR(M4=BW4,M4=BU4),$J4&lt;&gt;$AX$1),$AX$1,IF(AND(OR(M4=AS4,M4=AQ4),$J4&lt;&gt;$T$1),$T$1,""))))</f>
        <v>2023 Nationals</v>
      </c>
      <c r="O4" s="9">
        <f>MAX(AV4,BZ4,DD4)</f>
        <v>52.08</v>
      </c>
      <c r="P4" s="9" t="str">
        <f>IF(O4=0,"",IF(O4=DD4,$CB$1,IF(O4=BZ4,$AX$1,IF(O4=AV4,$T$1,""))))</f>
        <v>2023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18.5</v>
      </c>
      <c r="U4" s="27">
        <v>9.6999999999999993</v>
      </c>
      <c r="V4" s="27">
        <v>0</v>
      </c>
      <c r="W4" s="27">
        <v>15.37</v>
      </c>
      <c r="X4" s="27">
        <v>0</v>
      </c>
      <c r="Y4" s="27">
        <v>16</v>
      </c>
      <c r="Z4" s="27">
        <v>9.1999999999999993</v>
      </c>
      <c r="AA4" s="27">
        <v>12.1</v>
      </c>
      <c r="AB4" s="27">
        <v>14.24</v>
      </c>
      <c r="AC4" s="27">
        <v>0</v>
      </c>
      <c r="AD4" s="27"/>
      <c r="AE4" s="27"/>
      <c r="AF4" s="27"/>
      <c r="AG4" s="27"/>
      <c r="AH4" s="27"/>
      <c r="AI4" s="27">
        <v>13.6</v>
      </c>
      <c r="AJ4" s="27">
        <v>7.5</v>
      </c>
      <c r="AK4" s="27">
        <v>9.6</v>
      </c>
      <c r="AL4" s="27">
        <v>11.46</v>
      </c>
      <c r="AM4" s="27">
        <v>0</v>
      </c>
      <c r="AN4" s="32"/>
      <c r="AO4" s="7">
        <f>IF(SUM(T4:W4)-X4&gt;0,SUM(T4:W4)-X4,"")</f>
        <v>43.57</v>
      </c>
      <c r="AP4" s="7">
        <f>IF(AA4&gt;0,AA4,"")</f>
        <v>12.1</v>
      </c>
      <c r="AQ4" s="7">
        <f>IF(SUM(Y4:AB4)-AC4&gt;0,SUM(Y4:AB4)-AC4,"")</f>
        <v>51.54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95.11</v>
      </c>
      <c r="AU4" s="7">
        <f>IF(AK4&gt;0,AK4,"")</f>
        <v>9.6</v>
      </c>
      <c r="AV4" s="7">
        <f>IF(SUM(AI4:AL4)-AM4&gt;0,SUM(AI4:AL4)-AM4,"")</f>
        <v>42.160000000000004</v>
      </c>
      <c r="AW4" s="7">
        <f>IF(SUM(AT4,AV4)&gt;0,SUM(AT4,AV4),"")</f>
        <v>137.27000000000001</v>
      </c>
      <c r="AX4" s="23">
        <v>18.399999999999999</v>
      </c>
      <c r="AY4" s="23">
        <v>9.6</v>
      </c>
      <c r="AZ4" s="23">
        <v>0</v>
      </c>
      <c r="BA4" s="23">
        <v>16.12</v>
      </c>
      <c r="BB4" s="23">
        <v>0</v>
      </c>
      <c r="BC4" s="23">
        <v>14.9</v>
      </c>
      <c r="BD4" s="23">
        <v>9.5</v>
      </c>
      <c r="BE4" s="23">
        <v>12.3</v>
      </c>
      <c r="BF4" s="23">
        <v>15.22</v>
      </c>
      <c r="BG4" s="23">
        <v>0</v>
      </c>
      <c r="BH4" s="23"/>
      <c r="BI4" s="23"/>
      <c r="BJ4" s="23"/>
      <c r="BK4" s="23"/>
      <c r="BL4" s="23"/>
      <c r="BM4" s="23">
        <v>15.6</v>
      </c>
      <c r="BN4" s="23">
        <v>9.4</v>
      </c>
      <c r="BO4" s="23">
        <v>11.9</v>
      </c>
      <c r="BP4" s="23">
        <v>15.18</v>
      </c>
      <c r="BQ4" s="23">
        <v>0</v>
      </c>
      <c r="BR4" s="33"/>
      <c r="BS4" s="9">
        <f>IF(SUM(AX4:BA4)-BB4&gt;0,SUM(AX4:BA4)-BB4,"")</f>
        <v>44.120000000000005</v>
      </c>
      <c r="BT4" s="9">
        <f>IF(BE4&gt;0,BE4,"")</f>
        <v>12.3</v>
      </c>
      <c r="BU4" s="9">
        <f>IF(SUM(BC4:BF4)-BG4&gt;0,SUM(BC4:BF4)-BG4,"")</f>
        <v>51.92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96.04</v>
      </c>
      <c r="BY4" s="9">
        <f>IF(BO4&gt;0,BO4,"")</f>
        <v>11.9</v>
      </c>
      <c r="BZ4" s="9">
        <f>IF(SUM(BM4:BP4)-BQ4&gt;0,SUM(BM4:BP4)-BQ4,"")</f>
        <v>52.08</v>
      </c>
      <c r="CA4" s="9">
        <f>IF(SUM(BX4,BZ4)&gt;0,SUM(BX4,BZ4),"")</f>
        <v>148.12</v>
      </c>
      <c r="CB4" s="27">
        <v>1.9</v>
      </c>
      <c r="CC4" s="27">
        <v>1</v>
      </c>
      <c r="CD4" s="27">
        <v>0</v>
      </c>
      <c r="CE4" s="27">
        <v>1.78</v>
      </c>
      <c r="CF4" s="27">
        <v>0</v>
      </c>
      <c r="CG4" s="27">
        <v>13.6</v>
      </c>
      <c r="CH4" s="27">
        <v>9.4</v>
      </c>
      <c r="CI4" s="27">
        <v>13.3</v>
      </c>
      <c r="CJ4" s="27">
        <v>14.55</v>
      </c>
      <c r="CK4" s="27">
        <v>0</v>
      </c>
      <c r="CL4" s="27"/>
      <c r="CM4" s="27"/>
      <c r="CN4" s="27"/>
      <c r="CO4" s="27"/>
      <c r="CP4" s="27"/>
      <c r="CQ4" s="27"/>
      <c r="CR4" s="27"/>
      <c r="CS4" s="27"/>
      <c r="CT4" s="27"/>
      <c r="CU4" s="27"/>
      <c r="CV4" s="32"/>
      <c r="CW4" s="7">
        <f>IF(SUM(CB4:CE4)-CF4&gt;0,SUM(CB4:CE4)-CF4,"")</f>
        <v>4.68</v>
      </c>
      <c r="CX4" s="7">
        <f>IF(CI4&gt;0,CI4,"")</f>
        <v>13.3</v>
      </c>
      <c r="CY4" s="7">
        <f>IF(SUM(CG4:CJ4)-CK4&gt;0,SUM(CG4:CJ4)-CK4,"")</f>
        <v>50.849999999999994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55.529999999999994</v>
      </c>
      <c r="DC4" s="7" t="str">
        <f>IF(CS4&gt;0,CS4,"")</f>
        <v/>
      </c>
      <c r="DD4" s="7" t="str">
        <f>IF(SUM(CQ4:CT4)-CU4&gt;0,SUM(CQ4:CT4)-CU4,"")</f>
        <v/>
      </c>
      <c r="DE4" s="7">
        <f>IF(SUM(DB4,DD4)&gt;0,SUM(DB4,DD4),"")</f>
        <v>55.529999999999994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>
        <v>17.600000000000001</v>
      </c>
      <c r="DK4" s="18">
        <v>9.8000000000000007</v>
      </c>
      <c r="DL4" s="18">
        <v>0</v>
      </c>
      <c r="DM4" s="18">
        <v>15.87</v>
      </c>
      <c r="DN4" s="18">
        <v>0</v>
      </c>
      <c r="DO4" s="18">
        <v>13.9</v>
      </c>
      <c r="DP4" s="18">
        <v>9.5</v>
      </c>
      <c r="DQ4" s="18">
        <v>13.1</v>
      </c>
      <c r="DR4" s="18">
        <v>14.66</v>
      </c>
      <c r="DS4" s="18">
        <v>0</v>
      </c>
      <c r="DT4" s="18"/>
      <c r="DU4" s="18"/>
      <c r="DV4" s="18"/>
      <c r="DW4" s="18"/>
      <c r="DX4" s="18"/>
      <c r="DY4" s="7">
        <f>IF(DQ4&gt;0,DQ4,"")</f>
        <v>13.1</v>
      </c>
      <c r="DZ4" s="7">
        <f>IF(SUM(DJ4:DM4)-DN4&gt;0,SUM(DJ4:DM4)-DN4,"")</f>
        <v>43.27</v>
      </c>
      <c r="EA4" s="7">
        <f>IF(SUM(DO4:DR4)-DS4&gt;0,SUM(DO4:DR4)-DS4,"")</f>
        <v>51.16</v>
      </c>
      <c r="EB4" s="7">
        <f>IF(SUM(DZ4:EA4)&gt;0,SUM(DZ4:EA4),"")</f>
        <v>94.43</v>
      </c>
      <c r="EC4" s="7" t="str">
        <f>IF(DV4&gt;0,DV4,"")</f>
        <v/>
      </c>
      <c r="ED4" s="7" t="str">
        <f>IF(SUM(DT4:DW4)-DX4&gt;0,SUM(DT4:DW4)-DX4,"")</f>
        <v/>
      </c>
      <c r="EE4" s="7">
        <f>IF(SUM(EB4,ED4)&gt;0,SUM(EB4,ED4),"")</f>
        <v>94.43</v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9" t="str">
        <f>IF(GE4&gt;0,GE4,"")</f>
        <v/>
      </c>
      <c r="GN4" s="9" t="str">
        <f>IF(SUM(FX4:GA4)-GB4&gt;0,SUM(FX4:GA4)-GB4,"")</f>
        <v/>
      </c>
      <c r="GO4" s="9" t="str">
        <f>IF(SUM(GC4:GF4)-GG4&gt;0,SUM(GC4:GF4)-GG4,"")</f>
        <v/>
      </c>
      <c r="GP4" s="9" t="str">
        <f>IF(SUM(GN4:GO4)&gt;0,SUM(GN4:GO4),"")</f>
        <v/>
      </c>
      <c r="GQ4" s="9" t="str">
        <f>IF(GJ4&gt;0,GJ4,"")</f>
        <v/>
      </c>
      <c r="GR4" s="9" t="str">
        <f>IF(SUM(GH4:GK4)-GL4&gt;0,SUM(GH4:GK4)-GL4,"")</f>
        <v/>
      </c>
      <c r="GS4" s="9" t="str">
        <f>IF(SUM(GP4,GR4)&gt;0,SUM(GP4,GR4),"")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 t="shared" ref="NN4:NW5" si="0">IF($CV4="P",CB4,(CB4+AX4)/2)</f>
        <v>10.149999999999999</v>
      </c>
      <c r="NO4" s="27">
        <f t="shared" si="0"/>
        <v>5.3</v>
      </c>
      <c r="NP4" s="27">
        <f t="shared" si="0"/>
        <v>0</v>
      </c>
      <c r="NQ4" s="27">
        <f t="shared" si="0"/>
        <v>8.9500000000000011</v>
      </c>
      <c r="NR4" s="27">
        <f t="shared" si="0"/>
        <v>0</v>
      </c>
      <c r="NS4" s="27">
        <f t="shared" si="0"/>
        <v>14.25</v>
      </c>
      <c r="NT4" s="27">
        <f t="shared" si="0"/>
        <v>9.4499999999999993</v>
      </c>
      <c r="NU4" s="27">
        <f t="shared" si="0"/>
        <v>12.8</v>
      </c>
      <c r="NV4" s="27">
        <f t="shared" si="0"/>
        <v>14.885000000000002</v>
      </c>
      <c r="NW4" s="27">
        <f t="shared" si="0"/>
        <v>0</v>
      </c>
      <c r="NX4" s="27">
        <f t="shared" ref="NX4:OG5" si="1">IF($CV4="P",CL4,(CL4+BH4)/2)</f>
        <v>0</v>
      </c>
      <c r="NY4" s="27">
        <f t="shared" si="1"/>
        <v>0</v>
      </c>
      <c r="NZ4" s="27">
        <f t="shared" si="1"/>
        <v>0</v>
      </c>
      <c r="OA4" s="27">
        <f t="shared" si="1"/>
        <v>0</v>
      </c>
      <c r="OB4" s="27">
        <f t="shared" si="1"/>
        <v>0</v>
      </c>
      <c r="OC4" s="27">
        <f t="shared" si="1"/>
        <v>7.8</v>
      </c>
      <c r="OD4" s="27">
        <f t="shared" si="1"/>
        <v>4.7</v>
      </c>
      <c r="OE4" s="27">
        <f t="shared" si="1"/>
        <v>5.95</v>
      </c>
      <c r="OF4" s="27">
        <f t="shared" si="1"/>
        <v>7.59</v>
      </c>
      <c r="OG4" s="27">
        <f t="shared" si="1"/>
        <v>0</v>
      </c>
      <c r="OH4" s="32" t="s">
        <v>44</v>
      </c>
      <c r="OI4" s="7">
        <f>IF(SUM(NN4:NQ4)-NR4&gt;0,SUM(NN4:NQ4)-NR4,"")</f>
        <v>24.4</v>
      </c>
      <c r="OJ4" s="7">
        <f>IF(NU4&gt;0,NU4,"")</f>
        <v>12.8</v>
      </c>
      <c r="OK4" s="7">
        <f>IF(SUM(NS4:NV4)-NW4&gt;0,SUM(NS4:NV4)-NW4,"")</f>
        <v>51.385000000000005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75.784999999999997</v>
      </c>
      <c r="OO4" s="7">
        <f>IF(OE4&gt;0,OE4,"")</f>
        <v>5.95</v>
      </c>
      <c r="OP4" s="7">
        <f t="shared" ref="OP4" si="2">IF(SUM(OC4:OF4)-OG4&gt;0,SUM(OC4:OF4)-OG4,"")</f>
        <v>26.04</v>
      </c>
      <c r="OQ4" s="7">
        <f t="shared" ref="OQ4" si="3">IF(SUM(ON4,OP4)&gt;0,SUM(ON4,OP4),"")</f>
        <v>101.82499999999999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231.75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41.28</v>
      </c>
      <c r="L5" s="9" t="str">
        <f>IF(K5=0,"",IF(AND(K5=CW5,$J5&lt;&gt;$CB$1),$CB$1,IF(AND(K5=BS5,$J5&lt;&gt;$AX$1),$AX$1,IF(AND(K5=AO5,$J5&lt;&gt;$T$1),$T$1,""))))</f>
        <v>2023 3rd Domestic Trial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45.449999999999996</v>
      </c>
      <c r="N5" s="9" t="str">
        <f>IF(M5=0,"",IF(AND(OR(M5=DA5,M5=CY5),$J5&lt;&gt;$CB$1),$CB$1,IF(AND(OR(M5=BW5,M5=BU5),$J5&lt;&gt;$AX$1),$AX$1,IF(AND(OR(M5=AS5,M5=AQ5),$J5&lt;&gt;$T$1),$T$1,""))))</f>
        <v>2023 Nationals</v>
      </c>
      <c r="O5" s="9">
        <f>MAX(AV5,BZ5,DD5)</f>
        <v>50.6</v>
      </c>
      <c r="P5" s="9" t="str">
        <f>IF(O5=0,"",IF(O5=DD5,$CB$1,IF(O5=BZ5,$AX$1,IF(O5=AV5,$T$1,""))))</f>
        <v>2024 Elite Canada</v>
      </c>
      <c r="Q5" s="9">
        <f>IF(MAX(DF5,DG5,DH5,DI5)&gt;0,MAX(DF5,DG5,DH5,DI5),"")</f>
        <v>5.0800000000000054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Pan Am Club Championships (May 19)</v>
      </c>
      <c r="T5" s="27">
        <v>15.5</v>
      </c>
      <c r="U5" s="27">
        <v>9.3000000000000007</v>
      </c>
      <c r="V5" s="27">
        <v>0</v>
      </c>
      <c r="W5" s="27">
        <v>14.32</v>
      </c>
      <c r="X5" s="27">
        <v>0</v>
      </c>
      <c r="Y5" s="27">
        <v>11.2</v>
      </c>
      <c r="Z5" s="27">
        <v>8.6</v>
      </c>
      <c r="AA5" s="27">
        <v>11.8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13.8</v>
      </c>
      <c r="AJ5" s="27">
        <v>8.9</v>
      </c>
      <c r="AK5" s="27">
        <v>13.3</v>
      </c>
      <c r="AL5" s="27">
        <v>14.25</v>
      </c>
      <c r="AM5" s="27">
        <v>0</v>
      </c>
      <c r="AN5" s="32"/>
      <c r="AO5" s="7">
        <f>IF(SUM(T5:W5)-X5&gt;0,SUM(T5:W5)-X5,"")</f>
        <v>39.120000000000005</v>
      </c>
      <c r="AP5" s="7">
        <f>IF(AA5&gt;0,AA5,"")</f>
        <v>11.8</v>
      </c>
      <c r="AQ5" s="7">
        <f>IF(SUM(Y5:AB5)-AC5&gt;0,SUM(Y5:AB5)-AC5,"")</f>
        <v>45.449999999999996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84.57</v>
      </c>
      <c r="AU5" s="7">
        <f>IF(AK5&gt;0,AK5,"")</f>
        <v>13.3</v>
      </c>
      <c r="AV5" s="7">
        <f>IF(SUM(AI5:AL5)-AM5&gt;0,SUM(AI5:AL5)-AM5,"")</f>
        <v>50.25</v>
      </c>
      <c r="AW5" s="7">
        <f>IF(SUM(AT5,AV5)&gt;0,SUM(AT5,AV5),"")</f>
        <v>134.82</v>
      </c>
      <c r="AX5" s="23">
        <v>16.8</v>
      </c>
      <c r="AY5" s="23">
        <v>9.5</v>
      </c>
      <c r="AZ5" s="23">
        <v>0</v>
      </c>
      <c r="BA5" s="23">
        <v>14.98</v>
      </c>
      <c r="BB5" s="23">
        <v>0</v>
      </c>
      <c r="BC5" s="23">
        <v>2.7</v>
      </c>
      <c r="BD5" s="23">
        <v>1.7</v>
      </c>
      <c r="BE5" s="23">
        <v>3.2</v>
      </c>
      <c r="BF5" s="23">
        <v>3.26</v>
      </c>
      <c r="BG5" s="23">
        <v>0</v>
      </c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33"/>
      <c r="BS5" s="9">
        <f>IF(SUM(AX5:BA5)-BB5&gt;0,SUM(AX5:BA5)-BB5,"")</f>
        <v>41.28</v>
      </c>
      <c r="BT5" s="9">
        <f>IF(BE5&gt;0,BE5,"")</f>
        <v>3.2</v>
      </c>
      <c r="BU5" s="9">
        <f>IF(SUM(BC5:BF5)-BG5&gt;0,SUM(BC5:BF5)-BG5,"")</f>
        <v>10.86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52.14</v>
      </c>
      <c r="BY5" s="9" t="str">
        <f>IF(BO5&gt;0,BO5,"")</f>
        <v/>
      </c>
      <c r="BZ5" s="9" t="str">
        <f>IF(SUM(BM5:BP5)-BQ5&gt;0,SUM(BM5:BP5)-BQ5,"")</f>
        <v/>
      </c>
      <c r="CA5" s="9">
        <f>IF(SUM(BX5,BZ5)&gt;0,SUM(BX5,BZ5),"")</f>
        <v>52.14</v>
      </c>
      <c r="CB5" s="27">
        <v>15.8</v>
      </c>
      <c r="CC5" s="27">
        <v>8.9</v>
      </c>
      <c r="CD5" s="27">
        <v>0</v>
      </c>
      <c r="CE5" s="27">
        <v>14.68</v>
      </c>
      <c r="CF5" s="27">
        <v>0</v>
      </c>
      <c r="CG5" s="27">
        <v>13.1</v>
      </c>
      <c r="CH5" s="27">
        <v>9</v>
      </c>
      <c r="CI5" s="27">
        <v>13.6</v>
      </c>
      <c r="CJ5" s="27">
        <v>14.26</v>
      </c>
      <c r="CK5" s="27">
        <v>0</v>
      </c>
      <c r="CL5" s="27"/>
      <c r="CM5" s="27"/>
      <c r="CN5" s="27"/>
      <c r="CO5" s="27"/>
      <c r="CP5" s="27"/>
      <c r="CQ5" s="27">
        <v>13.3</v>
      </c>
      <c r="CR5" s="27">
        <v>9.3000000000000007</v>
      </c>
      <c r="CS5" s="27">
        <v>13.6</v>
      </c>
      <c r="CT5" s="27">
        <v>14.4</v>
      </c>
      <c r="CU5" s="27">
        <v>0</v>
      </c>
      <c r="CV5" s="32"/>
      <c r="CW5" s="7">
        <f>IF(SUM(CB5:CE5)-CF5&gt;0,SUM(CB5:CE5)-CF5,"")</f>
        <v>39.380000000000003</v>
      </c>
      <c r="CX5" s="7">
        <f>IF(CI5&gt;0,CI5,"")</f>
        <v>13.6</v>
      </c>
      <c r="CY5" s="7">
        <f>IF(SUM(CG5:CJ5)-CK5&gt;0,SUM(CG5:CJ5)-CK5,"")</f>
        <v>49.96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89.34</v>
      </c>
      <c r="DC5" s="7">
        <f>IF(CS5&gt;0,CS5,"")</f>
        <v>13.6</v>
      </c>
      <c r="DD5" s="7">
        <f>IF(SUM(CQ5:CT5)-CU5&gt;0,SUM(CQ5:CT5)-CU5,"")</f>
        <v>50.6</v>
      </c>
      <c r="DE5" s="7">
        <f>IF(SUM(DB5,DD5)&gt;0,SUM(DB5,DD5),"")</f>
        <v>139.94</v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5.0800000000000054</v>
      </c>
      <c r="DH5" s="13">
        <f>IF(MAX(EB5,EX5,FT5,GP5,HL5,IH5,JD5,JZ5,KV5,LR5,MN5,NJ5)-IF(I5="",0,I5)&gt;0.001,MAX(EB5,EX5,FT5,GP5,HL5,IH5,JD5,JZ5,KV5,LR5,MN5,NJ5)-IF(I5="",0,I5),"")</f>
        <v>1.5600000000000023</v>
      </c>
      <c r="DI5" s="13">
        <f>IF(MAX(ED5,EZ5,FV5,GR5,HN5,IJ5,JF5,KB5,KX5,LT5,MP5,NL5)-IF(O5="",0,O5)&gt;0.001,MAX(ED5,EZ5,FV5,GR5,HN5,IJ5,JF5,KB5,KX5,LT5,MP5,NL5)-IF(O5="",0,O5),"")</f>
        <v>1.039999999999992</v>
      </c>
      <c r="DJ5" s="18">
        <v>15.8</v>
      </c>
      <c r="DK5" s="18">
        <v>9.1999999999999993</v>
      </c>
      <c r="DL5" s="18">
        <v>0</v>
      </c>
      <c r="DM5" s="18">
        <v>14.81</v>
      </c>
      <c r="DN5" s="18">
        <v>0</v>
      </c>
      <c r="DO5" s="18">
        <v>13.2</v>
      </c>
      <c r="DP5" s="18">
        <v>9</v>
      </c>
      <c r="DQ5" s="18">
        <v>13.3</v>
      </c>
      <c r="DR5" s="18">
        <v>14.66</v>
      </c>
      <c r="DS5" s="18">
        <v>0</v>
      </c>
      <c r="DT5" s="18"/>
      <c r="DU5" s="18"/>
      <c r="DV5" s="18"/>
      <c r="DW5" s="18"/>
      <c r="DX5" s="18"/>
      <c r="DY5" s="7">
        <f>IF(DQ5&gt;0,DQ5,"")</f>
        <v>13.3</v>
      </c>
      <c r="DZ5" s="7">
        <f>IF(SUM(DJ5:DM5)-DN5&gt;0,SUM(DJ5:DM5)-DN5,"")</f>
        <v>39.81</v>
      </c>
      <c r="EA5" s="7">
        <f>IF(SUM(DO5:DR5)-DS5&gt;0,SUM(DO5:DR5)-DS5,"")</f>
        <v>50.16</v>
      </c>
      <c r="EB5" s="7">
        <f>IF(SUM(DZ5:EA5)&gt;0,SUM(DZ5:EA5),"")</f>
        <v>89.97</v>
      </c>
      <c r="EC5" s="7" t="str">
        <f>IF(DV5&gt;0,DV5,"")</f>
        <v/>
      </c>
      <c r="ED5" s="7" t="str">
        <f>IF(SUM(DT5:DW5)-DX5&gt;0,SUM(DT5:DW5)-DX5,"")</f>
        <v/>
      </c>
      <c r="EE5" s="7">
        <f>IF(SUM(EB5,ED5)&gt;0,SUM(EB5,ED5),"")</f>
        <v>89.97</v>
      </c>
      <c r="EF5" s="19">
        <v>16.2</v>
      </c>
      <c r="EG5" s="19">
        <v>9.4</v>
      </c>
      <c r="EH5" s="19">
        <v>0</v>
      </c>
      <c r="EI5" s="19">
        <v>15.42</v>
      </c>
      <c r="EJ5" s="19">
        <v>0</v>
      </c>
      <c r="EK5" s="19">
        <v>2.7</v>
      </c>
      <c r="EL5" s="19">
        <v>1.8</v>
      </c>
      <c r="EM5" s="19">
        <v>3</v>
      </c>
      <c r="EN5" s="19">
        <v>3.23</v>
      </c>
      <c r="EO5" s="19">
        <v>0</v>
      </c>
      <c r="EP5" s="19">
        <v>14</v>
      </c>
      <c r="EQ5" s="19">
        <v>9.1999999999999993</v>
      </c>
      <c r="ER5" s="19">
        <v>11.4</v>
      </c>
      <c r="ES5" s="19">
        <v>14.65</v>
      </c>
      <c r="ET5" s="19">
        <v>0</v>
      </c>
      <c r="EU5" s="9">
        <f>IF(EM5&gt;0,EM5,"")</f>
        <v>3</v>
      </c>
      <c r="EV5" s="9">
        <f>IF(SUM(EF5:EI5)-EJ5&gt;0,SUM(EF5:EI5)-EJ5,"")</f>
        <v>41.02</v>
      </c>
      <c r="EW5" s="9">
        <f>IF(SUM(EK5:EN5)-EO5&gt;0,SUM(EK5:EN5)-EO5,"")</f>
        <v>10.73</v>
      </c>
      <c r="EX5" s="9">
        <f>IF(SUM(EV5:EW5)&gt;0,SUM(EV5:EW5),"")</f>
        <v>51.75</v>
      </c>
      <c r="EY5" s="9">
        <f>IF(ER5&gt;0,ER5,"")</f>
        <v>11.4</v>
      </c>
      <c r="EZ5" s="9">
        <f>IF(SUM(EP5:ES5)-ET5&gt;0,SUM(EP5:ES5)-ET5,"")</f>
        <v>49.25</v>
      </c>
      <c r="FA5" s="9">
        <f>IF(SUM(EX5,EZ5)&gt;0,SUM(EX5,EZ5),"")</f>
        <v>101</v>
      </c>
      <c r="FB5" s="18">
        <v>16.100000000000001</v>
      </c>
      <c r="FC5" s="18">
        <v>9.6999999999999993</v>
      </c>
      <c r="FD5" s="18">
        <v>0</v>
      </c>
      <c r="FE5" s="18">
        <v>15.42</v>
      </c>
      <c r="FF5" s="18">
        <v>0</v>
      </c>
      <c r="FG5" s="18">
        <v>12.3</v>
      </c>
      <c r="FH5" s="18">
        <v>9.1</v>
      </c>
      <c r="FI5" s="18">
        <v>12.2</v>
      </c>
      <c r="FJ5" s="18">
        <v>14.43</v>
      </c>
      <c r="FK5" s="18">
        <v>0</v>
      </c>
      <c r="FL5" s="18">
        <v>13.7</v>
      </c>
      <c r="FM5" s="18">
        <v>9.1</v>
      </c>
      <c r="FN5" s="18">
        <v>13.8</v>
      </c>
      <c r="FO5" s="18">
        <v>15.04</v>
      </c>
      <c r="FP5" s="18">
        <v>0</v>
      </c>
      <c r="FQ5" s="7">
        <f>IF(FI5&gt;0,FI5,"")</f>
        <v>12.2</v>
      </c>
      <c r="FR5" s="7">
        <f>IF(SUM(FB5:FE5)-FF5&gt;0,SUM(FB5:FE5)-FF5,"")</f>
        <v>41.22</v>
      </c>
      <c r="FS5" s="7">
        <f>IF(SUM(FG5:FJ5)-FK5&gt;0,SUM(FG5:FJ5)-FK5,"")</f>
        <v>48.029999999999994</v>
      </c>
      <c r="FT5" s="7">
        <f>IF(SUM(FR5:FS5)&gt;0,SUM(FR5:FS5),"")</f>
        <v>89.25</v>
      </c>
      <c r="FU5" s="7">
        <f>IF(FN5&gt;0,FN5,"")</f>
        <v>13.8</v>
      </c>
      <c r="FV5" s="7">
        <f>IF(SUM(FL5:FO5)-FP5&gt;0,SUM(FL5:FO5)-FP5,"")</f>
        <v>51.639999999999993</v>
      </c>
      <c r="FW5" s="7">
        <f>IF(SUM(FT5,FV5)&gt;0,SUM(FT5,FV5),"")</f>
        <v>140.88999999999999</v>
      </c>
      <c r="FX5" s="19">
        <v>15.2</v>
      </c>
      <c r="FY5" s="19">
        <v>9.6</v>
      </c>
      <c r="FZ5" s="19">
        <v>0</v>
      </c>
      <c r="GA5" s="19">
        <v>15.57</v>
      </c>
      <c r="GB5" s="19">
        <v>0</v>
      </c>
      <c r="GC5" s="19">
        <v>13.1</v>
      </c>
      <c r="GD5" s="19">
        <v>9.1999999999999993</v>
      </c>
      <c r="GE5" s="19">
        <v>13.6</v>
      </c>
      <c r="GF5" s="19">
        <v>14.63</v>
      </c>
      <c r="GG5" s="19">
        <v>0</v>
      </c>
      <c r="GH5" s="19">
        <v>10.199999999999999</v>
      </c>
      <c r="GI5" s="19">
        <v>8.1</v>
      </c>
      <c r="GJ5" s="19">
        <v>12.7</v>
      </c>
      <c r="GK5" s="19">
        <v>14.84</v>
      </c>
      <c r="GL5" s="19">
        <v>0</v>
      </c>
      <c r="GM5" s="9">
        <f>IF(GE5&gt;0,GE5,"")</f>
        <v>13.6</v>
      </c>
      <c r="GN5" s="9">
        <f>IF(SUM(FX5:GA5)-GB5&gt;0,SUM(FX5:GA5)-GB5,"")</f>
        <v>40.369999999999997</v>
      </c>
      <c r="GO5" s="9">
        <f>IF(SUM(GC5:GF5)-GG5&gt;0,SUM(GC5:GF5)-GG5,"")</f>
        <v>50.53</v>
      </c>
      <c r="GP5" s="9">
        <f>IF(SUM(GN5:GO5)&gt;0,SUM(GN5:GO5),"")</f>
        <v>90.9</v>
      </c>
      <c r="GQ5" s="9">
        <f>IF(GJ5&gt;0,GJ5,"")</f>
        <v>12.7</v>
      </c>
      <c r="GR5" s="9">
        <f>IF(SUM(GH5:GK5)-GL5&gt;0,SUM(GH5:GK5)-GL5,"")</f>
        <v>45.839999999999996</v>
      </c>
      <c r="GS5" s="9">
        <f>IF(SUM(GP5,GR5)&gt;0,SUM(GP5,GR5),"")</f>
        <v>136.74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 t="shared" si="0"/>
        <v>16.3</v>
      </c>
      <c r="NO5" s="27">
        <f t="shared" si="0"/>
        <v>9.1999999999999993</v>
      </c>
      <c r="NP5" s="27">
        <f t="shared" si="0"/>
        <v>0</v>
      </c>
      <c r="NQ5" s="27">
        <f t="shared" si="0"/>
        <v>14.83</v>
      </c>
      <c r="NR5" s="27">
        <f t="shared" si="0"/>
        <v>0</v>
      </c>
      <c r="NS5" s="27">
        <f t="shared" si="0"/>
        <v>7.9</v>
      </c>
      <c r="NT5" s="27">
        <f t="shared" si="0"/>
        <v>5.35</v>
      </c>
      <c r="NU5" s="27">
        <f t="shared" si="0"/>
        <v>8.4</v>
      </c>
      <c r="NV5" s="27">
        <f t="shared" si="0"/>
        <v>8.76</v>
      </c>
      <c r="NW5" s="27">
        <f t="shared" si="0"/>
        <v>0</v>
      </c>
      <c r="NX5" s="27">
        <f t="shared" si="1"/>
        <v>0</v>
      </c>
      <c r="NY5" s="27">
        <f t="shared" si="1"/>
        <v>0</v>
      </c>
      <c r="NZ5" s="27">
        <f t="shared" si="1"/>
        <v>0</v>
      </c>
      <c r="OA5" s="27">
        <f t="shared" si="1"/>
        <v>0</v>
      </c>
      <c r="OB5" s="27">
        <f t="shared" si="1"/>
        <v>0</v>
      </c>
      <c r="OC5" s="27">
        <f t="shared" si="1"/>
        <v>6.65</v>
      </c>
      <c r="OD5" s="27">
        <f t="shared" si="1"/>
        <v>4.6500000000000004</v>
      </c>
      <c r="OE5" s="27">
        <f t="shared" si="1"/>
        <v>6.8</v>
      </c>
      <c r="OF5" s="27">
        <f t="shared" si="1"/>
        <v>7.2</v>
      </c>
      <c r="OG5" s="27">
        <f t="shared" si="1"/>
        <v>0</v>
      </c>
      <c r="OH5" s="32" t="s">
        <v>44</v>
      </c>
      <c r="OI5" s="7">
        <f>IF(SUM(NN5:NQ5)-NR5&gt;0,SUM(NN5:NQ5)-NR5,"")</f>
        <v>40.33</v>
      </c>
      <c r="OJ5" s="7">
        <f>IF(NU5&gt;0,NU5,"")</f>
        <v>8.4</v>
      </c>
      <c r="OK5" s="7">
        <f>IF(SUM(NS5:NV5)-NW5&gt;0,SUM(NS5:NV5)-NW5,"")</f>
        <v>30.409999999999997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70.739999999999995</v>
      </c>
      <c r="OO5" s="7">
        <f>IF(OE5&gt;0,OE5,"")</f>
        <v>6.8</v>
      </c>
      <c r="OP5" s="7">
        <f t="shared" ref="OP5" si="4">IF(SUM(OC5:OF5)-OG5&gt;0,SUM(OC5:OF5)-OG5,"")</f>
        <v>25.3</v>
      </c>
      <c r="OQ5" s="7">
        <f t="shared" ref="OQ5" si="5">IF(SUM(ON5,OP5)&gt;0,SUM(ON5,OP5),"")</f>
        <v>96.039999999999992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NS2:NW2"/>
    <mergeCell ref="NN1:OO1"/>
    <mergeCell ref="NN2:NR2"/>
    <mergeCell ref="NX2:OB2"/>
    <mergeCell ref="OC2:OG2"/>
    <mergeCell ref="GC2:GG2"/>
    <mergeCell ref="FX1:GS1"/>
    <mergeCell ref="IL1:JG1"/>
    <mergeCell ref="GT1:HO1"/>
    <mergeCell ref="HP1:IK1"/>
    <mergeCell ref="GT2:GX2"/>
    <mergeCell ref="HZ2:ID2"/>
    <mergeCell ref="FX2:GB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Q1:Q3"/>
    <mergeCell ref="S1:S3"/>
    <mergeCell ref="R1:R3"/>
    <mergeCell ref="T2:X2"/>
    <mergeCell ref="Y2:AC2"/>
    <mergeCell ref="H1:H3"/>
    <mergeCell ref="I1:I3"/>
    <mergeCell ref="K1:K3"/>
    <mergeCell ref="M1:M3"/>
    <mergeCell ref="J1:J3"/>
    <mergeCell ref="L1:L3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FL2:FP2"/>
    <mergeCell ref="FG2:FK2"/>
    <mergeCell ref="EK2:EO2"/>
    <mergeCell ref="FB1:FW1"/>
    <mergeCell ref="EF2:EJ2"/>
    <mergeCell ref="EF1:FA1"/>
    <mergeCell ref="EP2:ET2"/>
    <mergeCell ref="FB2:FF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4" t="s">
        <v>5</v>
      </c>
      <c r="H1" s="74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1" t="s">
        <v>84</v>
      </c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2" t="s">
        <v>92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1" t="s">
        <v>96</v>
      </c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1"/>
      <c r="DE1" s="71"/>
      <c r="DF1" s="73" t="s">
        <v>10</v>
      </c>
      <c r="DG1" s="73"/>
      <c r="DH1" s="73"/>
      <c r="DI1" s="73"/>
      <c r="DJ1" s="71" t="s">
        <v>93</v>
      </c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2" t="s">
        <v>100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1" t="s">
        <v>101</v>
      </c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2" t="s">
        <v>102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1"/>
      <c r="GU1" s="71"/>
      <c r="GV1" s="71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1"/>
      <c r="KV1" s="71"/>
      <c r="KW1" s="71"/>
      <c r="KX1" s="71"/>
      <c r="KY1" s="71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1" t="s">
        <v>55</v>
      </c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</row>
    <row r="2" spans="1:407" x14ac:dyDescent="0.2">
      <c r="A2" s="74"/>
      <c r="B2" s="74"/>
      <c r="C2" s="74"/>
      <c r="D2" s="74"/>
      <c r="E2" s="74"/>
      <c r="F2" s="77"/>
      <c r="G2" s="74"/>
      <c r="H2" s="74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0" t="s">
        <v>15</v>
      </c>
      <c r="AY2" s="70"/>
      <c r="AZ2" s="70"/>
      <c r="BA2" s="70"/>
      <c r="BB2" s="70"/>
      <c r="BC2" s="70" t="s">
        <v>16</v>
      </c>
      <c r="BD2" s="70"/>
      <c r="BE2" s="70"/>
      <c r="BF2" s="70"/>
      <c r="BG2" s="70"/>
      <c r="BH2" s="70" t="s">
        <v>60</v>
      </c>
      <c r="BI2" s="70"/>
      <c r="BJ2" s="70"/>
      <c r="BK2" s="70"/>
      <c r="BL2" s="70"/>
      <c r="BM2" s="70" t="s">
        <v>19</v>
      </c>
      <c r="BN2" s="70"/>
      <c r="BO2" s="70"/>
      <c r="BP2" s="70"/>
      <c r="BQ2" s="70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0" t="s">
        <v>15</v>
      </c>
      <c r="EG2" s="70"/>
      <c r="EH2" s="70"/>
      <c r="EI2" s="70"/>
      <c r="EJ2" s="70"/>
      <c r="EK2" s="70" t="s">
        <v>16</v>
      </c>
      <c r="EL2" s="70"/>
      <c r="EM2" s="70"/>
      <c r="EN2" s="70"/>
      <c r="EO2" s="70"/>
      <c r="EP2" s="70" t="s">
        <v>19</v>
      </c>
      <c r="EQ2" s="70"/>
      <c r="ER2" s="70"/>
      <c r="ES2" s="70"/>
      <c r="ET2" s="70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0" t="s">
        <v>15</v>
      </c>
      <c r="FY2" s="70"/>
      <c r="FZ2" s="70"/>
      <c r="GA2" s="70"/>
      <c r="GB2" s="70"/>
      <c r="GC2" s="70" t="s">
        <v>16</v>
      </c>
      <c r="GD2" s="70"/>
      <c r="GE2" s="70"/>
      <c r="GF2" s="70"/>
      <c r="GG2" s="70"/>
      <c r="GH2" s="70" t="s">
        <v>19</v>
      </c>
      <c r="GI2" s="70"/>
      <c r="GJ2" s="70"/>
      <c r="GK2" s="70"/>
      <c r="GL2" s="70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0" t="s">
        <v>15</v>
      </c>
      <c r="HQ2" s="70"/>
      <c r="HR2" s="70"/>
      <c r="HS2" s="70"/>
      <c r="HT2" s="70"/>
      <c r="HU2" s="70" t="s">
        <v>16</v>
      </c>
      <c r="HV2" s="70"/>
      <c r="HW2" s="70"/>
      <c r="HX2" s="70"/>
      <c r="HY2" s="70"/>
      <c r="HZ2" s="70" t="s">
        <v>19</v>
      </c>
      <c r="IA2" s="70"/>
      <c r="IB2" s="70"/>
      <c r="IC2" s="70"/>
      <c r="ID2" s="70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0" t="s">
        <v>15</v>
      </c>
      <c r="JI2" s="70"/>
      <c r="JJ2" s="70"/>
      <c r="JK2" s="70"/>
      <c r="JL2" s="70"/>
      <c r="JM2" s="70" t="s">
        <v>16</v>
      </c>
      <c r="JN2" s="70"/>
      <c r="JO2" s="70"/>
      <c r="JP2" s="70"/>
      <c r="JQ2" s="70"/>
      <c r="JR2" s="70" t="s">
        <v>19</v>
      </c>
      <c r="JS2" s="70"/>
      <c r="JT2" s="70"/>
      <c r="JU2" s="70"/>
      <c r="JV2" s="70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0" t="s">
        <v>15</v>
      </c>
      <c r="LA2" s="70"/>
      <c r="LB2" s="70"/>
      <c r="LC2" s="70"/>
      <c r="LD2" s="70"/>
      <c r="LE2" s="70" t="s">
        <v>16</v>
      </c>
      <c r="LF2" s="70"/>
      <c r="LG2" s="70"/>
      <c r="LH2" s="70"/>
      <c r="LI2" s="70"/>
      <c r="LJ2" s="70" t="s">
        <v>19</v>
      </c>
      <c r="LK2" s="70"/>
      <c r="LL2" s="70"/>
      <c r="LM2" s="70"/>
      <c r="LN2" s="70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0" t="s">
        <v>15</v>
      </c>
      <c r="MS2" s="70"/>
      <c r="MT2" s="70"/>
      <c r="MU2" s="70"/>
      <c r="MV2" s="70"/>
      <c r="MW2" s="70" t="s">
        <v>16</v>
      </c>
      <c r="MX2" s="70"/>
      <c r="MY2" s="70"/>
      <c r="MZ2" s="70"/>
      <c r="NA2" s="70"/>
      <c r="NB2" s="70" t="s">
        <v>19</v>
      </c>
      <c r="NC2" s="70"/>
      <c r="ND2" s="70"/>
      <c r="NE2" s="70"/>
      <c r="NF2" s="70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4"/>
      <c r="B3" s="74"/>
      <c r="C3" s="74"/>
      <c r="D3" s="74"/>
      <c r="E3" s="74"/>
      <c r="F3" s="77"/>
      <c r="G3" s="74"/>
      <c r="H3" s="74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79</v>
      </c>
      <c r="C4" s="4" t="s">
        <v>68</v>
      </c>
      <c r="D4" s="4">
        <v>2009</v>
      </c>
      <c r="E4" s="10">
        <f t="shared" ref="E4:E9" si="0">SUM(I4:Q4)</f>
        <v>231.58999999999997</v>
      </c>
      <c r="F4" s="3" t="str">
        <f t="shared" ref="F4:F9" si="1"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 t="shared" ref="G4:G9" si="2"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 t="shared" ref="H4:H9" si="3"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National Team</v>
      </c>
      <c r="I4" s="9">
        <f t="shared" ref="I4:I9" si="4">IF(MAX(AT4,BX4,DB4)&gt;0,MAX(AT4,BX4,DB4),0)</f>
        <v>90.53</v>
      </c>
      <c r="J4" s="9" t="str">
        <f t="shared" ref="J4:J9" si="5">IF(I4=0,"",IF(I4=DB4,$CB$1,IF(I4=BX4,$AX$1,IF(I4=AT4,$T$1,""))))</f>
        <v>2024 Elite Canada</v>
      </c>
      <c r="K4" s="9">
        <f t="shared" ref="K4:K9" si="6">IF($I4=$AT4,MAX(BS4,CW4),IF($I4=$BX4,MAX(AO4,CW4),IF($I4=$DB4,MAX(AO4,BS4),MAX(AO4,BS4,CW4))))</f>
        <v>40.54</v>
      </c>
      <c r="L4" s="9" t="str">
        <f t="shared" ref="L4:L9" si="7">IF(K4=0,"",IF(AND(K4=CW4,$J4&lt;&gt;$CB$1),$CB$1,IF(AND(K4=BS4,$J4&lt;&gt;$AX$1),$AX$1,IF(AND(K4=AO4,$J4&lt;&gt;$T$1),$T$1,""))))</f>
        <v>2023 Nationals</v>
      </c>
      <c r="M4" s="9">
        <f t="shared" ref="M4:M9" si="8"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39.64</v>
      </c>
      <c r="N4" s="9" t="str">
        <f t="shared" ref="N4:N9" si="9">IF(M4=0,"",IF(AND(OR(M4=DA4,M4=CY4),$J4&lt;&gt;$CB$1),$CB$1,IF(AND(OR(M4=BW4,M4=BU4),$J4&lt;&gt;$AX$1),$AX$1,IF(AND(OR(M4=AS4,M4=AQ4),$J4&lt;&gt;$T$1),$T$1,""))))</f>
        <v>2023 Nationals</v>
      </c>
      <c r="O4" s="9">
        <f t="shared" ref="O4:O9" si="10">MAX(AV4,BZ4,DD4)</f>
        <v>50.68</v>
      </c>
      <c r="P4" s="9" t="str">
        <f t="shared" ref="P4:P9" si="11">IF(O4=0,"",IF(O4=DD4,$CB$1,IF(O4=BZ4,$AX$1,IF(O4=AV4,$T$1,""))))</f>
        <v>2024 Elite Canada</v>
      </c>
      <c r="Q4" s="9">
        <f t="shared" ref="Q4:Q9" si="12">IF(MAX(DF4,DG4,DH4,DI4)&gt;0,MAX(DF4,DG4,DH4,DI4),"")</f>
        <v>10.200000000000003</v>
      </c>
      <c r="R4" s="14" t="str">
        <f t="shared" ref="R4:R9" si="13">IF(Q4="","",IF(Q4=DF4,"(Vol 1)",IF(Q4=DG4,"(Vol 2)",IF(Q4=DH4,"(Prelim)",IF(Q4=DI4,"(Final)")))))</f>
        <v>(Vol 2)</v>
      </c>
      <c r="S4" s="9" t="str">
        <f t="shared" ref="S4:S9" si="14"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17.3</v>
      </c>
      <c r="U4" s="27">
        <v>9.3000000000000007</v>
      </c>
      <c r="V4" s="27">
        <v>0</v>
      </c>
      <c r="W4" s="27">
        <v>13.94</v>
      </c>
      <c r="X4" s="27">
        <v>0</v>
      </c>
      <c r="Y4" s="27">
        <v>11.3</v>
      </c>
      <c r="Z4" s="27">
        <v>7.3</v>
      </c>
      <c r="AA4" s="27">
        <v>9.6</v>
      </c>
      <c r="AB4" s="27">
        <v>11.44</v>
      </c>
      <c r="AC4" s="27">
        <v>0</v>
      </c>
      <c r="AD4" s="27"/>
      <c r="AE4" s="27"/>
      <c r="AF4" s="27"/>
      <c r="AG4" s="27"/>
      <c r="AH4" s="27"/>
      <c r="AI4" s="27">
        <v>14.9</v>
      </c>
      <c r="AJ4" s="27">
        <v>9</v>
      </c>
      <c r="AK4" s="27">
        <v>10.9</v>
      </c>
      <c r="AL4" s="27">
        <v>13.97</v>
      </c>
      <c r="AM4" s="27">
        <v>2</v>
      </c>
      <c r="AN4" s="32"/>
      <c r="AO4" s="7">
        <f t="shared" ref="AO4:AO9" si="15">IF(SUM(T4:W4)-X4&gt;0,SUM(T4:W4)-X4,"")</f>
        <v>40.54</v>
      </c>
      <c r="AP4" s="7">
        <f t="shared" ref="AP4:AP9" si="16">IF(AA4&gt;0,AA4,"")</f>
        <v>9.6</v>
      </c>
      <c r="AQ4" s="7">
        <f t="shared" ref="AQ4:AQ9" si="17">IF(SUM(Y4:AB4)-AC4&gt;0,SUM(Y4:AB4)-AC4,"")</f>
        <v>39.64</v>
      </c>
      <c r="AR4" s="7" t="str">
        <f t="shared" ref="AR4:AR9" si="18">IF(AF4&gt;0,AF4,"")</f>
        <v/>
      </c>
      <c r="AS4" s="7" t="str">
        <f t="shared" ref="AS4:AS9" si="19">IF(SUM(AD4:AG4)-AH4&gt;0,SUM(AD4:AG4)-AH4,"")</f>
        <v/>
      </c>
      <c r="AT4" s="7">
        <f t="shared" ref="AT4:AT9" si="20">IF(AO4="",IF(MAX(AQ4,AS4)&gt;0,MAX(AQ4,AS4),""),MAX(AQ4,AS4)+AO4)</f>
        <v>80.180000000000007</v>
      </c>
      <c r="AU4" s="7">
        <f t="shared" ref="AU4:AU9" si="21">IF(AK4&gt;0,AK4,"")</f>
        <v>10.9</v>
      </c>
      <c r="AV4" s="7">
        <f t="shared" ref="AV4:AV9" si="22">IF(SUM(AI4:AL4)-AM4&gt;0,SUM(AI4:AL4)-AM4,"")</f>
        <v>46.769999999999996</v>
      </c>
      <c r="AW4" s="7">
        <f t="shared" ref="AW4:AW9" si="23">IF(SUM(AT4,AV4)&gt;0,SUM(AT4,AV4),"")</f>
        <v>126.95</v>
      </c>
      <c r="AX4" s="31">
        <v>16.5</v>
      </c>
      <c r="AY4" s="31">
        <v>9.5</v>
      </c>
      <c r="AZ4" s="31">
        <v>0</v>
      </c>
      <c r="BA4" s="31">
        <v>14.28</v>
      </c>
      <c r="BB4" s="31">
        <v>0</v>
      </c>
      <c r="BC4" s="31">
        <v>10.7</v>
      </c>
      <c r="BD4" s="31">
        <v>6.9</v>
      </c>
      <c r="BE4" s="31">
        <v>9.3999999999999986</v>
      </c>
      <c r="BF4" s="31">
        <v>11.12</v>
      </c>
      <c r="BG4" s="31">
        <v>0</v>
      </c>
      <c r="BH4" s="31"/>
      <c r="BI4" s="31"/>
      <c r="BJ4" s="31"/>
      <c r="BK4" s="31"/>
      <c r="BL4" s="31"/>
      <c r="BM4" s="31">
        <v>14.1</v>
      </c>
      <c r="BN4" s="31">
        <v>8.6999999999999993</v>
      </c>
      <c r="BO4" s="31">
        <v>12.299999999999999</v>
      </c>
      <c r="BP4" s="31">
        <v>14.13</v>
      </c>
      <c r="BQ4" s="31">
        <v>0</v>
      </c>
      <c r="BR4" s="33"/>
      <c r="BS4" s="9">
        <f t="shared" ref="BS4:BS9" si="24">IF(SUM(AX4:BA4)-BB4&gt;0,SUM(AX4:BA4)-BB4,"")</f>
        <v>40.28</v>
      </c>
      <c r="BT4" s="9">
        <f t="shared" ref="BT4:BT9" si="25">IF(BE4&gt;0,BE4,"")</f>
        <v>9.3999999999999986</v>
      </c>
      <c r="BU4" s="9">
        <f t="shared" ref="BU4:BU9" si="26">IF(SUM(BC4:BF4)-BG4&gt;0,SUM(BC4:BF4)-BG4,"")</f>
        <v>38.119999999999997</v>
      </c>
      <c r="BV4" s="9" t="str">
        <f t="shared" ref="BV4:BV9" si="27">IF(BJ4&gt;0,BJ4,"")</f>
        <v/>
      </c>
      <c r="BW4" s="9" t="str">
        <f t="shared" ref="BW4:BW9" si="28">IF(SUM(BH4:BK4)-BL4&gt;0,SUM(BH4:BK4)-BL4,"")</f>
        <v/>
      </c>
      <c r="BX4" s="9">
        <f t="shared" ref="BX4:BX9" si="29">IF(BS4="",IF(MAX(BU4,BW4)&gt;0,MAX(BU4,BW4),""),MAX(BU4,BW4)+BS4)</f>
        <v>78.400000000000006</v>
      </c>
      <c r="BY4" s="9">
        <f t="shared" ref="BY4:BY9" si="30">IF(BO4&gt;0,BO4,"")</f>
        <v>12.299999999999999</v>
      </c>
      <c r="BZ4" s="9">
        <f t="shared" ref="BZ4:BZ9" si="31">IF(SUM(BM4:BP4)-BQ4&gt;0,SUM(BM4:BP4)-BQ4,"")</f>
        <v>49.23</v>
      </c>
      <c r="CA4" s="9">
        <f t="shared" ref="CA4:CA9" si="32">IF(SUM(BX4,BZ4)&gt;0,SUM(BX4,BZ4),"")</f>
        <v>127.63</v>
      </c>
      <c r="CB4" s="27">
        <v>16.8</v>
      </c>
      <c r="CC4" s="27">
        <v>9.6999999999999993</v>
      </c>
      <c r="CD4" s="27">
        <v>0</v>
      </c>
      <c r="CE4" s="27">
        <v>14.38</v>
      </c>
      <c r="CF4" s="27">
        <v>0</v>
      </c>
      <c r="CG4" s="27">
        <v>14.2</v>
      </c>
      <c r="CH4" s="27">
        <v>9.3000000000000007</v>
      </c>
      <c r="CI4" s="27">
        <v>12.3</v>
      </c>
      <c r="CJ4" s="27">
        <v>13.85</v>
      </c>
      <c r="CK4" s="27">
        <v>0</v>
      </c>
      <c r="CL4" s="27"/>
      <c r="CM4" s="27"/>
      <c r="CN4" s="27"/>
      <c r="CO4" s="27"/>
      <c r="CP4" s="27"/>
      <c r="CQ4" s="27">
        <v>14.7</v>
      </c>
      <c r="CR4" s="27">
        <v>9.8000000000000007</v>
      </c>
      <c r="CS4" s="27">
        <v>12.3</v>
      </c>
      <c r="CT4" s="27">
        <v>13.88</v>
      </c>
      <c r="CU4" s="27">
        <v>0</v>
      </c>
      <c r="CV4" s="32"/>
      <c r="CW4" s="7">
        <f t="shared" ref="CW4:CW9" si="33">IF(SUM(CB4:CE4)-CF4&gt;0,SUM(CB4:CE4)-CF4,"")</f>
        <v>40.880000000000003</v>
      </c>
      <c r="CX4" s="7">
        <f t="shared" ref="CX4:CX9" si="34">IF(CI4&gt;0,CI4,"")</f>
        <v>12.3</v>
      </c>
      <c r="CY4" s="7">
        <f t="shared" ref="CY4:CY9" si="35">IF(SUM(CG4:CJ4)-CK4&gt;0,SUM(CG4:CJ4)-CK4,"")</f>
        <v>49.65</v>
      </c>
      <c r="CZ4" s="7" t="str">
        <f t="shared" ref="CZ4:CZ9" si="36">IF(CN4&gt;0,CN4,"")</f>
        <v/>
      </c>
      <c r="DA4" s="7" t="str">
        <f t="shared" ref="DA4:DA9" si="37">IF(SUM(CL4:CO4)-CP4&gt;0,SUM(CL4:CO4)-CP4,"")</f>
        <v/>
      </c>
      <c r="DB4" s="7">
        <f t="shared" ref="DB4:DB9" si="38">IF(CW4="",IF(MAX(CY4,DA4)&gt;0,MAX(CY4,DA4),""),MAX(CY4,DA4)+CW4)</f>
        <v>90.53</v>
      </c>
      <c r="DC4" s="7">
        <f t="shared" ref="DC4:DC9" si="39">IF(CS4&gt;0,CS4,"")</f>
        <v>12.3</v>
      </c>
      <c r="DD4" s="7">
        <f t="shared" ref="DD4:DD9" si="40">IF(SUM(CQ4:CT4)-CU4&gt;0,SUM(CQ4:CT4)-CU4,"")</f>
        <v>50.68</v>
      </c>
      <c r="DE4" s="7">
        <f t="shared" ref="DE4:DE9" si="41">IF(SUM(DB4,DD4)&gt;0,SUM(DB4,DD4),"")</f>
        <v>141.21</v>
      </c>
      <c r="DF4" s="13">
        <f t="shared" ref="DF4:DF9" si="42">IF(MAX(DZ4,EV4,FR4,GN4,HJ4,IF4,JB4,JX4,KT4,LP4,ML4,NH4)-IF(K4="",0,K4)&gt;0.001,MAX(DZ4,EV4,FR4,GN4,HJ4,IF4,JB4,JX4,KT4,LP4,ML4,NH4)-IF(K4="",0,K4),"")</f>
        <v>8.00000000000054E-2</v>
      </c>
      <c r="DG4" s="13">
        <f t="shared" ref="DG4:DG9" si="43">IF(MAX(EA4,EW4,FS4,GO4,HK4,IG4,JC4,JY4,KU4,LQ4,MM4,NI4)-IF(M4="",0,M4)&gt;0.001,MAX(EA4,EW4,FS4,GO4,HK4,IG4,JC4,JY4,KU4,LQ4,MM4,NI4)-IF(M4="",0,M4),"")</f>
        <v>10.200000000000003</v>
      </c>
      <c r="DH4" s="13" t="str">
        <f t="shared" ref="DH4:DH9" si="44">IF(MAX(EB4,EX4,FT4,GP4,HL4,IH4,JD4,JZ4,KV4,LR4,MN4,NJ4)-IF(I4="",0,I4)&gt;0.001,MAX(EB4,EX4,FT4,GP4,HL4,IH4,JD4,JZ4,KV4,LR4,MN4,NJ4)-IF(I4="",0,I4),"")</f>
        <v/>
      </c>
      <c r="DI4" s="13" t="str">
        <f t="shared" ref="DI4:DI9" si="45">IF(MAX(ED4,EZ4,FV4,GR4,HN4,IJ4,JF4,KB4,KX4,LT4,MP4,NL4)-IF(O4="",0,O4)&gt;0.001,MAX(ED4,EZ4,FV4,GR4,HN4,IJ4,JF4,KB4,KX4,LT4,MP4,NL4)-IF(O4="",0,O4),"")</f>
        <v/>
      </c>
      <c r="DJ4" s="18">
        <v>15.5</v>
      </c>
      <c r="DK4" s="18">
        <v>9.1999999999999993</v>
      </c>
      <c r="DL4" s="18">
        <v>0</v>
      </c>
      <c r="DM4" s="18">
        <v>14.38</v>
      </c>
      <c r="DN4" s="18">
        <v>0</v>
      </c>
      <c r="DO4" s="18">
        <v>12.6</v>
      </c>
      <c r="DP4" s="18">
        <v>8.8000000000000007</v>
      </c>
      <c r="DQ4" s="18">
        <v>11.4</v>
      </c>
      <c r="DR4" s="18">
        <v>13.72</v>
      </c>
      <c r="DS4" s="18">
        <v>0</v>
      </c>
      <c r="DT4" s="18"/>
      <c r="DU4" s="18"/>
      <c r="DV4" s="18"/>
      <c r="DW4" s="18"/>
      <c r="DX4" s="18"/>
      <c r="DY4" s="7">
        <f t="shared" ref="DY4:DY9" si="46">IF(DQ4&gt;0,DQ4,"")</f>
        <v>11.4</v>
      </c>
      <c r="DZ4" s="7">
        <f t="shared" ref="DZ4:DZ9" si="47">IF(SUM(DJ4:DM4)-DN4&gt;0,SUM(DJ4:DM4)-DN4,"")</f>
        <v>39.08</v>
      </c>
      <c r="EA4" s="7">
        <f t="shared" ref="EA4:EA9" si="48">IF(SUM(DO4:DR4)-DS4&gt;0,SUM(DO4:DR4)-DS4,"")</f>
        <v>46.519999999999996</v>
      </c>
      <c r="EB4" s="7">
        <f t="shared" ref="EB4:EB9" si="49">IF(SUM(DZ4:EA4)&gt;0,SUM(DZ4:EA4),"")</f>
        <v>85.6</v>
      </c>
      <c r="EC4" s="7" t="str">
        <f t="shared" ref="EC4:EC9" si="50">IF(DV4&gt;0,DV4,"")</f>
        <v/>
      </c>
      <c r="ED4" s="7" t="str">
        <f t="shared" ref="ED4:ED9" si="51">IF(SUM(DT4:DW4)-DX4&gt;0,SUM(DT4:DW4)-DX4,"")</f>
        <v/>
      </c>
      <c r="EE4" s="7">
        <f t="shared" ref="EE4:EE9" si="52">IF(SUM(EB4,ED4)&gt;0,SUM(EB4,ED4),"")</f>
        <v>85.6</v>
      </c>
      <c r="EF4" s="19">
        <v>16.600000000000001</v>
      </c>
      <c r="EG4" s="19">
        <v>9.6999999999999993</v>
      </c>
      <c r="EH4" s="19">
        <v>0</v>
      </c>
      <c r="EI4" s="19">
        <v>14.32</v>
      </c>
      <c r="EJ4" s="19">
        <v>0</v>
      </c>
      <c r="EK4" s="19">
        <v>14.3</v>
      </c>
      <c r="EL4" s="19">
        <v>9.3000000000000007</v>
      </c>
      <c r="EM4" s="19">
        <v>12.3</v>
      </c>
      <c r="EN4" s="19">
        <v>13.94</v>
      </c>
      <c r="EO4" s="19">
        <v>0</v>
      </c>
      <c r="EP4" s="19">
        <v>10.1</v>
      </c>
      <c r="EQ4" s="19">
        <v>6.4</v>
      </c>
      <c r="ER4" s="19">
        <v>8.4</v>
      </c>
      <c r="ES4" s="19">
        <v>9.75</v>
      </c>
      <c r="ET4" s="19">
        <v>0</v>
      </c>
      <c r="EU4" s="9">
        <f t="shared" ref="EU4:EU9" si="53">IF(EM4&gt;0,EM4,"")</f>
        <v>12.3</v>
      </c>
      <c r="EV4" s="9">
        <f t="shared" ref="EV4:EV9" si="54">IF(SUM(EF4:EI4)-EJ4&gt;0,SUM(EF4:EI4)-EJ4,"")</f>
        <v>40.620000000000005</v>
      </c>
      <c r="EW4" s="9">
        <f t="shared" ref="EW4:EW9" si="55">IF(SUM(EK4:EN4)-EO4&gt;0,SUM(EK4:EN4)-EO4,"")</f>
        <v>49.84</v>
      </c>
      <c r="EX4" s="9">
        <f t="shared" ref="EX4:EX9" si="56">IF(SUM(EV4:EW4)&gt;0,SUM(EV4:EW4),"")</f>
        <v>90.460000000000008</v>
      </c>
      <c r="EY4" s="9">
        <f t="shared" ref="EY4:EY9" si="57">IF(ER4&gt;0,ER4,"")</f>
        <v>8.4</v>
      </c>
      <c r="EZ4" s="9">
        <f t="shared" ref="EZ4:EZ9" si="58">IF(SUM(EP4:ES4)-ET4&gt;0,SUM(EP4:ES4)-ET4,"")</f>
        <v>34.65</v>
      </c>
      <c r="FA4" s="9">
        <f t="shared" ref="FA4:FA9" si="59">IF(SUM(EX4,EZ4)&gt;0,SUM(EX4,EZ4),"")</f>
        <v>125.11000000000001</v>
      </c>
      <c r="FB4" s="18">
        <v>16.3</v>
      </c>
      <c r="FC4" s="18">
        <v>9.5</v>
      </c>
      <c r="FD4" s="18">
        <v>0</v>
      </c>
      <c r="FE4" s="18">
        <v>14.43</v>
      </c>
      <c r="FF4" s="18">
        <v>0</v>
      </c>
      <c r="FG4" s="18">
        <v>14.1</v>
      </c>
      <c r="FH4" s="18">
        <v>9.4</v>
      </c>
      <c r="FI4" s="18">
        <v>10.7</v>
      </c>
      <c r="FJ4" s="18">
        <v>14.18</v>
      </c>
      <c r="FK4" s="18">
        <v>0</v>
      </c>
      <c r="FL4" s="18">
        <v>14.7</v>
      </c>
      <c r="FM4" s="18">
        <v>9.3000000000000007</v>
      </c>
      <c r="FN4" s="18">
        <v>11.6</v>
      </c>
      <c r="FO4" s="18">
        <v>14.18</v>
      </c>
      <c r="FP4" s="18">
        <v>0</v>
      </c>
      <c r="FQ4" s="7">
        <f t="shared" ref="FQ4:FQ9" si="60">IF(FI4&gt;0,FI4,"")</f>
        <v>10.7</v>
      </c>
      <c r="FR4" s="7">
        <f t="shared" ref="FR4:FR9" si="61">IF(SUM(FB4:FE4)-FF4&gt;0,SUM(FB4:FE4)-FF4,"")</f>
        <v>40.230000000000004</v>
      </c>
      <c r="FS4" s="7">
        <f t="shared" ref="FS4:FS9" si="62">IF(SUM(FG4:FJ4)-FK4&gt;0,SUM(FG4:FJ4)-FK4,"")</f>
        <v>48.38</v>
      </c>
      <c r="FT4" s="7">
        <f t="shared" ref="FT4:FT9" si="63">IF(SUM(FR4:FS4)&gt;0,SUM(FR4:FS4),"")</f>
        <v>88.610000000000014</v>
      </c>
      <c r="FU4" s="7">
        <f t="shared" ref="FU4:FU9" si="64">IF(FN4&gt;0,FN4,"")</f>
        <v>11.6</v>
      </c>
      <c r="FV4" s="7">
        <f t="shared" ref="FV4:FV9" si="65">IF(SUM(FL4:FO4)-FP4&gt;0,SUM(FL4:FO4)-FP4,"")</f>
        <v>49.78</v>
      </c>
      <c r="FW4" s="7">
        <f t="shared" ref="FW4:FW9" si="66">IF(SUM(FT4,FV4)&gt;0,SUM(FT4,FV4),"")</f>
        <v>138.39000000000001</v>
      </c>
      <c r="FX4" s="19">
        <v>16.100000000000001</v>
      </c>
      <c r="FY4" s="19">
        <v>9.8000000000000007</v>
      </c>
      <c r="FZ4" s="19">
        <v>0</v>
      </c>
      <c r="GA4" s="19">
        <v>14.11</v>
      </c>
      <c r="GB4" s="19">
        <v>0</v>
      </c>
      <c r="GC4" s="19">
        <v>1.4</v>
      </c>
      <c r="GD4" s="19">
        <v>0.7</v>
      </c>
      <c r="GE4" s="19">
        <v>1.5</v>
      </c>
      <c r="GF4" s="19">
        <v>1.46</v>
      </c>
      <c r="GG4" s="19">
        <v>0</v>
      </c>
      <c r="GH4" s="19"/>
      <c r="GI4" s="19"/>
      <c r="GJ4" s="19"/>
      <c r="GK4" s="19"/>
      <c r="GL4" s="19"/>
      <c r="GM4" s="9">
        <f t="shared" ref="GM4:GM9" si="67">IF(GE4&gt;0,GE4,"")</f>
        <v>1.5</v>
      </c>
      <c r="GN4" s="9">
        <f t="shared" ref="GN4:GN9" si="68">IF(SUM(FX4:GA4)-GB4&gt;0,SUM(FX4:GA4)-GB4,"")</f>
        <v>40.010000000000005</v>
      </c>
      <c r="GO4" s="9">
        <f t="shared" ref="GO4:GO9" si="69">IF(SUM(GC4:GF4)-GG4&gt;0,SUM(GC4:GF4)-GG4,"")</f>
        <v>5.0599999999999996</v>
      </c>
      <c r="GP4" s="9">
        <f t="shared" ref="GP4:GP9" si="70">IF(SUM(GN4:GO4)&gt;0,SUM(GN4:GO4),"")</f>
        <v>45.070000000000007</v>
      </c>
      <c r="GQ4" s="9" t="str">
        <f t="shared" ref="GQ4:GQ9" si="71">IF(GJ4&gt;0,GJ4,"")</f>
        <v/>
      </c>
      <c r="GR4" s="9" t="str">
        <f t="shared" ref="GR4:GR9" si="72">IF(SUM(GH4:GK4)-GL4&gt;0,SUM(GH4:GK4)-GL4,"")</f>
        <v/>
      </c>
      <c r="GS4" s="9">
        <f t="shared" ref="GS4:GS9" si="73">IF(SUM(GP4,GR4)&gt;0,SUM(GP4,GR4),"")</f>
        <v>45.070000000000007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 t="shared" ref="HI4:HI9" si="74">IF(HA4&gt;0,HA4,"")</f>
        <v/>
      </c>
      <c r="HJ4" s="7" t="str">
        <f t="shared" ref="HJ4:HJ9" si="75">IF(SUM(GT4:GW4)-GX4&gt;0,SUM(GT4:GW4)-GX4,"")</f>
        <v/>
      </c>
      <c r="HK4" s="7" t="str">
        <f t="shared" ref="HK4:HK9" si="76">IF(SUM(GY4:HB4)-HC4&gt;0,SUM(GY4:HB4)-HC4,"")</f>
        <v/>
      </c>
      <c r="HL4" s="7" t="str">
        <f t="shared" ref="HL4:HL9" si="77">IF(SUM(HJ4:HK4)&gt;0,SUM(HJ4:HK4),"")</f>
        <v/>
      </c>
      <c r="HM4" s="7" t="str">
        <f t="shared" ref="HM4:HM9" si="78">IF(HF4&gt;0,HF4,"")</f>
        <v/>
      </c>
      <c r="HN4" s="7" t="str">
        <f t="shared" ref="HN4:HN9" si="79">IF(SUM(HD4:HG4)-HH4&gt;0,SUM(HD4:HG4)-HH4,"")</f>
        <v/>
      </c>
      <c r="HO4" s="7" t="str">
        <f t="shared" ref="HO4:HO9" si="80"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 t="shared" ref="IE4:IE9" si="81">IF(HW4&gt;0,HW4,"")</f>
        <v/>
      </c>
      <c r="IF4" s="9" t="str">
        <f t="shared" ref="IF4:IF9" si="82">IF(SUM(HP4:HS4)-HT4&gt;0,SUM(HP4:HS4)-HT4,"")</f>
        <v/>
      </c>
      <c r="IG4" s="9" t="str">
        <f t="shared" ref="IG4:IG9" si="83">IF(SUM(HU4:HX4)-HY4&gt;0,SUM(HU4:HX4)-HY4,"")</f>
        <v/>
      </c>
      <c r="IH4" s="9" t="str">
        <f t="shared" ref="IH4:IH9" si="84">IF(SUM(IF4:IG4)&gt;0,SUM(IF4:IG4),"")</f>
        <v/>
      </c>
      <c r="II4" s="9" t="str">
        <f t="shared" ref="II4:II9" si="85">IF(IB4&gt;0,IB4,"")</f>
        <v/>
      </c>
      <c r="IJ4" s="9" t="str">
        <f t="shared" ref="IJ4:IJ9" si="86">IF(SUM(HZ4:IC4)-ID4&gt;0,SUM(HZ4:IC4)-ID4,"")</f>
        <v/>
      </c>
      <c r="IK4" s="9" t="str">
        <f t="shared" ref="IK4:IK9" si="87"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 t="shared" ref="JA4:JA9" si="88">IF(IS4&gt;0,IS4,"")</f>
        <v/>
      </c>
      <c r="JB4" s="7" t="str">
        <f t="shared" ref="JB4:JB9" si="89">IF(SUM(IL4:IO4)-IP4&gt;0,SUM(IL4:IO4)-IP4,"")</f>
        <v/>
      </c>
      <c r="JC4" s="7" t="str">
        <f t="shared" ref="JC4:JC9" si="90">IF(SUM(IQ4:IT4)-IU4&gt;0,SUM(IQ4:IT4)-IU4,"")</f>
        <v/>
      </c>
      <c r="JD4" s="7" t="str">
        <f t="shared" ref="JD4:JD9" si="91">IF(SUM(JB4:JC4)&gt;0,SUM(JB4:JC4),"")</f>
        <v/>
      </c>
      <c r="JE4" s="7" t="str">
        <f t="shared" ref="JE4:JE9" si="92">IF(IX4&gt;0,IX4,"")</f>
        <v/>
      </c>
      <c r="JF4" s="7" t="str">
        <f t="shared" ref="JF4:JF9" si="93">IF(SUM(IV4:IY4)-IZ4&gt;0,SUM(IV4:IY4)-IZ4,"")</f>
        <v/>
      </c>
      <c r="JG4" s="7" t="str">
        <f t="shared" ref="JG4:JG9" si="94"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 t="shared" ref="JW4:JW9" si="95">IF(JO4&gt;0,JO4,"")</f>
        <v/>
      </c>
      <c r="JX4" s="9" t="str">
        <f t="shared" ref="JX4:JX9" si="96">IF(SUM(JH4:JK4)-JL4&gt;0,SUM(JH4:JK4)-JL4,"")</f>
        <v/>
      </c>
      <c r="JY4" s="9" t="str">
        <f t="shared" ref="JY4:JY9" si="97">IF(SUM(JM4:JP4)-JQ4&gt;0,SUM(JM4:JP4)-JQ4,"")</f>
        <v/>
      </c>
      <c r="JZ4" s="9" t="str">
        <f t="shared" ref="JZ4:JZ9" si="98">IF(SUM(JX4:JY4)&gt;0,SUM(JX4:JY4),"")</f>
        <v/>
      </c>
      <c r="KA4" s="9" t="str">
        <f t="shared" ref="KA4:KA9" si="99">IF(JT4&gt;0,JT4,"")</f>
        <v/>
      </c>
      <c r="KB4" s="9" t="str">
        <f t="shared" ref="KB4:KB9" si="100">IF(SUM(JR4:JU4)-JV4&gt;0,SUM(JR4:JU4)-JV4,"")</f>
        <v/>
      </c>
      <c r="KC4" s="9" t="str">
        <f t="shared" ref="KC4:KC9" si="101"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 t="shared" ref="KS4:KS9" si="102">IF(KK4&gt;0,KK4,"")</f>
        <v/>
      </c>
      <c r="KT4" s="7" t="str">
        <f t="shared" ref="KT4:KT9" si="103">IF(SUM(KD4:KG4)-KH4&gt;0,SUM(KD4:KG4)-KH4,"")</f>
        <v/>
      </c>
      <c r="KU4" s="7" t="str">
        <f t="shared" ref="KU4:KU9" si="104">IF(SUM(KI4:KL4)-KM4&gt;0,SUM(KI4:KL4)-KM4,"")</f>
        <v/>
      </c>
      <c r="KV4" s="7" t="str">
        <f t="shared" ref="KV4:KV9" si="105">IF(SUM(KT4:KU4)&gt;0,SUM(KT4:KU4),"")</f>
        <v/>
      </c>
      <c r="KW4" s="7" t="str">
        <f t="shared" ref="KW4:KW9" si="106">IF(KP4&gt;0,KP4,"")</f>
        <v/>
      </c>
      <c r="KX4" s="7" t="str">
        <f t="shared" ref="KX4:KX9" si="107">IF(SUM(KN4:KQ4)-KR4&gt;0,SUM(KN4:KQ4)-KR4,"")</f>
        <v/>
      </c>
      <c r="KY4" s="7" t="str">
        <f t="shared" ref="KY4:KY9" si="108"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 t="shared" ref="LO4:LO9" si="109">IF(LG4&gt;0,LG4,"")</f>
        <v/>
      </c>
      <c r="LP4" s="9" t="str">
        <f t="shared" ref="LP4:LP9" si="110">IF(SUM(KZ4:LC4)-LD4&gt;0,SUM(KZ4:LC4)-LD4,"")</f>
        <v/>
      </c>
      <c r="LQ4" s="9" t="str">
        <f t="shared" ref="LQ4:LQ9" si="111">IF(SUM(LE4:LH4)-LI4&gt;0,SUM(LE4:LH4)-LI4,"")</f>
        <v/>
      </c>
      <c r="LR4" s="9" t="str">
        <f t="shared" ref="LR4:LR9" si="112">IF(SUM(LP4:LQ4)&gt;0,SUM(LP4:LQ4),"")</f>
        <v/>
      </c>
      <c r="LS4" s="9" t="str">
        <f t="shared" ref="LS4:LS9" si="113">IF(LL4&gt;0,LL4,"")</f>
        <v/>
      </c>
      <c r="LT4" s="9" t="str">
        <f t="shared" ref="LT4:LT9" si="114">IF(SUM(LJ4:LM4)-LN4&gt;0,SUM(LJ4:LM4)-LN4,"")</f>
        <v/>
      </c>
      <c r="LU4" s="9" t="str">
        <f t="shared" ref="LU4:LU9" si="115"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 t="shared" ref="MK4:MK9" si="116">IF(MC4&gt;0,MC4,"")</f>
        <v/>
      </c>
      <c r="ML4" s="7" t="str">
        <f t="shared" ref="ML4:ML9" si="117">IF(SUM(LV4:LY4)-LZ4&gt;0,SUM(LV4:LY4)-LZ4,"")</f>
        <v/>
      </c>
      <c r="MM4" s="7" t="str">
        <f t="shared" ref="MM4:MM9" si="118">IF(SUM(MA4:MD4)-ME4&gt;0,SUM(MA4:MD4)-ME4,"")</f>
        <v/>
      </c>
      <c r="MN4" s="7" t="str">
        <f t="shared" ref="MN4:MN9" si="119">IF(SUM(ML4:MM4)&gt;0,SUM(ML4:MM4),"")</f>
        <v/>
      </c>
      <c r="MO4" s="7" t="str">
        <f t="shared" ref="MO4:MO9" si="120">IF(MH4&gt;0,MH4,"")</f>
        <v/>
      </c>
      <c r="MP4" s="7" t="str">
        <f t="shared" ref="MP4:MP9" si="121">IF(SUM(MF4:MI4)-MJ4&gt;0,SUM(MF4:MI4)-MJ4,"")</f>
        <v/>
      </c>
      <c r="MQ4" s="7" t="str">
        <f t="shared" ref="MQ4:MQ9" si="122"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 t="shared" ref="NG4:NG9" si="123">IF(MY4&gt;0,MY4,"")</f>
        <v/>
      </c>
      <c r="NH4" s="9" t="str">
        <f t="shared" ref="NH4:NH9" si="124">IF(SUM(MR4:MU4)-MV4&gt;0,SUM(MR4:MU4)-MV4,"")</f>
        <v/>
      </c>
      <c r="NI4" s="9" t="str">
        <f t="shared" ref="NI4:NI9" si="125">IF(SUM(MW4:MZ4)-NA4&gt;0,SUM(MW4:MZ4)-NA4,"")</f>
        <v/>
      </c>
      <c r="NJ4" s="9" t="str">
        <f t="shared" ref="NJ4:NJ9" si="126">IF(SUM(NH4:NI4)&gt;0,SUM(NH4:NI4),"")</f>
        <v/>
      </c>
      <c r="NK4" s="9" t="str">
        <f t="shared" ref="NK4:NK9" si="127">IF(ND4&gt;0,ND4,"")</f>
        <v/>
      </c>
      <c r="NL4" s="9" t="str">
        <f t="shared" ref="NL4:NL9" si="128">IF(SUM(NB4:NE4)-NF4&gt;0,SUM(NB4:NE4)-NF4,"")</f>
        <v/>
      </c>
      <c r="NM4" s="9" t="str">
        <f t="shared" ref="NM4:NM9" si="129">IF(SUM(NJ4,NL4)&gt;0,SUM(NJ4,NL4),"")</f>
        <v/>
      </c>
      <c r="NN4" s="27">
        <f t="shared" ref="NN4:NW9" si="130">IF($CV4="P",CB4,(CB4+AX4)/2)</f>
        <v>16.649999999999999</v>
      </c>
      <c r="NO4" s="27">
        <f t="shared" si="130"/>
        <v>9.6</v>
      </c>
      <c r="NP4" s="27">
        <f t="shared" si="130"/>
        <v>0</v>
      </c>
      <c r="NQ4" s="27">
        <f t="shared" si="130"/>
        <v>14.33</v>
      </c>
      <c r="NR4" s="27">
        <f t="shared" si="130"/>
        <v>0</v>
      </c>
      <c r="NS4" s="27">
        <f t="shared" si="130"/>
        <v>12.45</v>
      </c>
      <c r="NT4" s="27">
        <f t="shared" si="130"/>
        <v>8.1000000000000014</v>
      </c>
      <c r="NU4" s="27">
        <f t="shared" si="130"/>
        <v>10.85</v>
      </c>
      <c r="NV4" s="27">
        <f t="shared" si="130"/>
        <v>12.484999999999999</v>
      </c>
      <c r="NW4" s="27">
        <f t="shared" si="130"/>
        <v>0</v>
      </c>
      <c r="NX4" s="27">
        <f t="shared" ref="NX4:OG9" si="131">IF($CV4="P",CL4,(CL4+BH4)/2)</f>
        <v>0</v>
      </c>
      <c r="NY4" s="27">
        <f t="shared" si="131"/>
        <v>0</v>
      </c>
      <c r="NZ4" s="27">
        <f t="shared" si="131"/>
        <v>0</v>
      </c>
      <c r="OA4" s="27">
        <f t="shared" si="131"/>
        <v>0</v>
      </c>
      <c r="OB4" s="27">
        <f t="shared" si="131"/>
        <v>0</v>
      </c>
      <c r="OC4" s="27">
        <f t="shared" si="131"/>
        <v>14.399999999999999</v>
      </c>
      <c r="OD4" s="27">
        <f t="shared" si="131"/>
        <v>9.25</v>
      </c>
      <c r="OE4" s="27">
        <f t="shared" si="131"/>
        <v>12.3</v>
      </c>
      <c r="OF4" s="27">
        <f t="shared" si="131"/>
        <v>14.005000000000001</v>
      </c>
      <c r="OG4" s="27">
        <f t="shared" si="131"/>
        <v>0</v>
      </c>
      <c r="OH4" s="32" t="s">
        <v>44</v>
      </c>
      <c r="OI4" s="7">
        <f t="shared" ref="OI4:OI9" si="132">IF(SUM(NN4:NQ4)-NR4&gt;0,SUM(NN4:NQ4)-NR4,"")</f>
        <v>40.58</v>
      </c>
      <c r="OJ4" s="7">
        <f t="shared" ref="OJ4:OJ9" si="133">IF(NU4&gt;0,NU4,"")</f>
        <v>10.85</v>
      </c>
      <c r="OK4" s="7">
        <f t="shared" ref="OK4:OK9" si="134">IF(SUM(NS4:NV4)-NW4&gt;0,SUM(NS4:NV4)-NW4,"")</f>
        <v>43.884999999999998</v>
      </c>
      <c r="OL4" s="7" t="str">
        <f t="shared" ref="OL4:OL9" si="135">IF(NZ4&gt;0,NZ4,"")</f>
        <v/>
      </c>
      <c r="OM4" s="7" t="str">
        <f t="shared" ref="OM4:OM9" si="136">IF(SUM(NX4:OA4)-OB4&gt;0,SUM(NX4:OA4)-OB4,"")</f>
        <v/>
      </c>
      <c r="ON4" s="7">
        <f t="shared" ref="ON4:ON9" si="137">IF(OR(OI4&lt;&gt;"",OK4&lt;&gt;"",OM4&lt;&gt;""),OI4+MAX(OK4,OM4),"")</f>
        <v>84.465000000000003</v>
      </c>
      <c r="OO4" s="7">
        <f t="shared" ref="OO4:OO9" si="138">IF(OE4&gt;0,OE4,"")</f>
        <v>12.3</v>
      </c>
      <c r="OP4" s="7">
        <f t="shared" ref="OP4" si="139">IF(SUM(OC4:OF4)-OG4&gt;0,SUM(OC4:OF4)-OG4,"")</f>
        <v>49.955000000000005</v>
      </c>
      <c r="OQ4" s="7">
        <f t="shared" ref="OQ4" si="140">IF(SUM(ON4,OP4)&gt;0,SUM(ON4,OP4),"")</f>
        <v>134.42000000000002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88</v>
      </c>
      <c r="C5" s="4" t="s">
        <v>3</v>
      </c>
      <c r="D5" s="4">
        <v>2009</v>
      </c>
      <c r="E5" s="10">
        <f t="shared" si="0"/>
        <v>229.32999999999998</v>
      </c>
      <c r="F5" s="3" t="str">
        <f t="shared" si="1"/>
        <v>P</v>
      </c>
      <c r="G5" s="3" t="str">
        <f t="shared" si="2"/>
        <v>P</v>
      </c>
      <c r="H5" s="47" t="str">
        <f t="shared" si="3"/>
        <v>National Team</v>
      </c>
      <c r="I5" s="9">
        <f t="shared" si="4"/>
        <v>88.990000000000009</v>
      </c>
      <c r="J5" s="9" t="str">
        <f t="shared" si="5"/>
        <v>2024 Elite Canada</v>
      </c>
      <c r="K5" s="9">
        <f t="shared" si="6"/>
        <v>41.68</v>
      </c>
      <c r="L5" s="9" t="str">
        <f t="shared" si="7"/>
        <v>2023 3rd Domestic Trial</v>
      </c>
      <c r="M5" s="9">
        <f t="shared" si="8"/>
        <v>43.31</v>
      </c>
      <c r="N5" s="9" t="str">
        <f t="shared" si="9"/>
        <v>2023 Nationals</v>
      </c>
      <c r="O5" s="9">
        <f t="shared" si="10"/>
        <v>48.510000000000005</v>
      </c>
      <c r="P5" s="9" t="str">
        <f t="shared" si="11"/>
        <v>2023 Nationals</v>
      </c>
      <c r="Q5" s="9">
        <f t="shared" si="12"/>
        <v>6.8399999999999892</v>
      </c>
      <c r="R5" s="14" t="str">
        <f t="shared" si="13"/>
        <v>(Vol 2)</v>
      </c>
      <c r="S5" s="9" t="str">
        <f t="shared" si="14"/>
        <v>2024 Pacific Rim (April 23)</v>
      </c>
      <c r="T5" s="27">
        <v>16.399999999999999</v>
      </c>
      <c r="U5" s="27">
        <v>9</v>
      </c>
      <c r="V5" s="27">
        <v>0</v>
      </c>
      <c r="W5" s="27">
        <v>14.69</v>
      </c>
      <c r="X5" s="27">
        <v>0</v>
      </c>
      <c r="Y5" s="27">
        <v>13.7</v>
      </c>
      <c r="Z5" s="27">
        <v>8.1</v>
      </c>
      <c r="AA5" s="27">
        <v>8.3000000000000007</v>
      </c>
      <c r="AB5" s="27">
        <v>13.21</v>
      </c>
      <c r="AC5" s="27">
        <v>0</v>
      </c>
      <c r="AD5" s="27"/>
      <c r="AE5" s="27"/>
      <c r="AF5" s="27"/>
      <c r="AG5" s="27"/>
      <c r="AH5" s="27"/>
      <c r="AI5" s="27">
        <v>15.4</v>
      </c>
      <c r="AJ5" s="27">
        <v>9.1</v>
      </c>
      <c r="AK5" s="27">
        <v>9.6999999999999993</v>
      </c>
      <c r="AL5" s="27">
        <v>14.31</v>
      </c>
      <c r="AM5" s="27">
        <v>0</v>
      </c>
      <c r="AN5" s="32"/>
      <c r="AO5" s="7">
        <f t="shared" si="15"/>
        <v>40.089999999999996</v>
      </c>
      <c r="AP5" s="7">
        <f t="shared" si="16"/>
        <v>8.3000000000000007</v>
      </c>
      <c r="AQ5" s="7">
        <f t="shared" si="17"/>
        <v>43.31</v>
      </c>
      <c r="AR5" s="7" t="str">
        <f t="shared" si="18"/>
        <v/>
      </c>
      <c r="AS5" s="7" t="str">
        <f t="shared" si="19"/>
        <v/>
      </c>
      <c r="AT5" s="7">
        <f t="shared" si="20"/>
        <v>83.4</v>
      </c>
      <c r="AU5" s="7">
        <f t="shared" si="21"/>
        <v>9.6999999999999993</v>
      </c>
      <c r="AV5" s="7">
        <f t="shared" si="22"/>
        <v>48.510000000000005</v>
      </c>
      <c r="AW5" s="7">
        <f t="shared" si="23"/>
        <v>131.91000000000003</v>
      </c>
      <c r="AX5" s="31">
        <v>17.399999999999999</v>
      </c>
      <c r="AY5" s="31">
        <v>9.4</v>
      </c>
      <c r="AZ5" s="31">
        <v>0</v>
      </c>
      <c r="BA5" s="31">
        <v>14.88</v>
      </c>
      <c r="BB5" s="31">
        <v>0</v>
      </c>
      <c r="BC5" s="31">
        <v>12.2</v>
      </c>
      <c r="BD5" s="31">
        <v>8.3000000000000007</v>
      </c>
      <c r="BE5" s="31">
        <v>7.1999999999999993</v>
      </c>
      <c r="BF5" s="31">
        <v>13.13</v>
      </c>
      <c r="BG5" s="31">
        <v>0</v>
      </c>
      <c r="BH5" s="31"/>
      <c r="BI5" s="31"/>
      <c r="BJ5" s="31"/>
      <c r="BK5" s="31"/>
      <c r="BL5" s="31"/>
      <c r="BM5" s="31">
        <v>14.3</v>
      </c>
      <c r="BN5" s="31">
        <v>9.1</v>
      </c>
      <c r="BO5" s="31">
        <v>10.299999999999999</v>
      </c>
      <c r="BP5" s="31">
        <v>14.3</v>
      </c>
      <c r="BQ5" s="31">
        <v>0</v>
      </c>
      <c r="BR5" s="33"/>
      <c r="BS5" s="9">
        <f t="shared" si="24"/>
        <v>41.68</v>
      </c>
      <c r="BT5" s="9">
        <f t="shared" si="25"/>
        <v>7.1999999999999993</v>
      </c>
      <c r="BU5" s="9">
        <f t="shared" si="26"/>
        <v>40.83</v>
      </c>
      <c r="BV5" s="9" t="str">
        <f t="shared" si="27"/>
        <v/>
      </c>
      <c r="BW5" s="9" t="str">
        <f t="shared" si="28"/>
        <v/>
      </c>
      <c r="BX5" s="9">
        <f t="shared" si="29"/>
        <v>82.509999999999991</v>
      </c>
      <c r="BY5" s="9">
        <f t="shared" si="30"/>
        <v>10.299999999999999</v>
      </c>
      <c r="BZ5" s="9">
        <f t="shared" si="31"/>
        <v>48</v>
      </c>
      <c r="CA5" s="9">
        <f t="shared" si="32"/>
        <v>130.51</v>
      </c>
      <c r="CB5" s="27">
        <v>16.100000000000001</v>
      </c>
      <c r="CC5" s="27">
        <v>9.5</v>
      </c>
      <c r="CD5" s="27">
        <v>0</v>
      </c>
      <c r="CE5" s="27">
        <v>14.72</v>
      </c>
      <c r="CF5" s="27">
        <v>0</v>
      </c>
      <c r="CG5" s="27">
        <v>14.4</v>
      </c>
      <c r="CH5" s="27">
        <v>8.9</v>
      </c>
      <c r="CI5" s="27">
        <v>11.2</v>
      </c>
      <c r="CJ5" s="27">
        <v>14.17</v>
      </c>
      <c r="CK5" s="27">
        <v>0</v>
      </c>
      <c r="CL5" s="27"/>
      <c r="CM5" s="27"/>
      <c r="CN5" s="27"/>
      <c r="CO5" s="27"/>
      <c r="CP5" s="27"/>
      <c r="CQ5" s="27">
        <v>14.4</v>
      </c>
      <c r="CR5" s="27">
        <v>9.1999999999999993</v>
      </c>
      <c r="CS5" s="27">
        <v>10.5</v>
      </c>
      <c r="CT5" s="27">
        <v>14.37</v>
      </c>
      <c r="CU5" s="27">
        <v>0</v>
      </c>
      <c r="CV5" s="32"/>
      <c r="CW5" s="7">
        <f t="shared" si="33"/>
        <v>40.32</v>
      </c>
      <c r="CX5" s="7">
        <f t="shared" si="34"/>
        <v>11.2</v>
      </c>
      <c r="CY5" s="7">
        <f t="shared" si="35"/>
        <v>48.67</v>
      </c>
      <c r="CZ5" s="7" t="str">
        <f t="shared" si="36"/>
        <v/>
      </c>
      <c r="DA5" s="7" t="str">
        <f t="shared" si="37"/>
        <v/>
      </c>
      <c r="DB5" s="7">
        <f t="shared" si="38"/>
        <v>88.990000000000009</v>
      </c>
      <c r="DC5" s="7">
        <f t="shared" si="39"/>
        <v>10.5</v>
      </c>
      <c r="DD5" s="7">
        <f t="shared" si="40"/>
        <v>48.47</v>
      </c>
      <c r="DE5" s="7">
        <f t="shared" si="41"/>
        <v>137.46</v>
      </c>
      <c r="DF5" s="13" t="str">
        <f t="shared" si="42"/>
        <v/>
      </c>
      <c r="DG5" s="13">
        <f t="shared" si="43"/>
        <v>6.8399999999999892</v>
      </c>
      <c r="DH5" s="13">
        <f t="shared" si="44"/>
        <v>1.6299999999999812</v>
      </c>
      <c r="DI5" s="13">
        <f t="shared" si="45"/>
        <v>0.78999999999999204</v>
      </c>
      <c r="DJ5" s="18">
        <v>14.8</v>
      </c>
      <c r="DK5" s="18">
        <v>9.5</v>
      </c>
      <c r="DL5" s="18">
        <v>0</v>
      </c>
      <c r="DM5" s="18">
        <v>14.73</v>
      </c>
      <c r="DN5" s="18">
        <v>0</v>
      </c>
      <c r="DO5" s="18">
        <v>14</v>
      </c>
      <c r="DP5" s="18">
        <v>9.3000000000000007</v>
      </c>
      <c r="DQ5" s="18">
        <v>10.5</v>
      </c>
      <c r="DR5" s="18">
        <v>14.13</v>
      </c>
      <c r="DS5" s="18">
        <v>0</v>
      </c>
      <c r="DT5" s="18"/>
      <c r="DU5" s="18"/>
      <c r="DV5" s="18"/>
      <c r="DW5" s="18"/>
      <c r="DX5" s="18"/>
      <c r="DY5" s="7">
        <f t="shared" si="46"/>
        <v>10.5</v>
      </c>
      <c r="DZ5" s="7">
        <f t="shared" si="47"/>
        <v>39.03</v>
      </c>
      <c r="EA5" s="7">
        <f t="shared" si="48"/>
        <v>47.93</v>
      </c>
      <c r="EB5" s="7">
        <f t="shared" si="49"/>
        <v>86.960000000000008</v>
      </c>
      <c r="EC5" s="7" t="str">
        <f t="shared" si="50"/>
        <v/>
      </c>
      <c r="ED5" s="7" t="str">
        <f t="shared" si="51"/>
        <v/>
      </c>
      <c r="EE5" s="7">
        <f t="shared" si="52"/>
        <v>86.960000000000008</v>
      </c>
      <c r="EF5" s="19">
        <v>16.3</v>
      </c>
      <c r="EG5" s="19">
        <v>9.3000000000000007</v>
      </c>
      <c r="EH5" s="19">
        <v>0</v>
      </c>
      <c r="EI5" s="19">
        <v>14.87</v>
      </c>
      <c r="EJ5" s="19">
        <v>0</v>
      </c>
      <c r="EK5" s="19">
        <v>14.9</v>
      </c>
      <c r="EL5" s="19">
        <v>9.5</v>
      </c>
      <c r="EM5" s="19">
        <v>11.2</v>
      </c>
      <c r="EN5" s="19">
        <v>14.55</v>
      </c>
      <c r="EO5" s="19">
        <v>0</v>
      </c>
      <c r="EP5" s="19">
        <v>14.9</v>
      </c>
      <c r="EQ5" s="19">
        <v>8.9</v>
      </c>
      <c r="ER5" s="19">
        <v>11.2</v>
      </c>
      <c r="ES5" s="19">
        <v>14.3</v>
      </c>
      <c r="ET5" s="19">
        <v>0</v>
      </c>
      <c r="EU5" s="9">
        <f t="shared" si="53"/>
        <v>11.2</v>
      </c>
      <c r="EV5" s="9">
        <f t="shared" si="54"/>
        <v>40.47</v>
      </c>
      <c r="EW5" s="9">
        <f t="shared" si="55"/>
        <v>50.149999999999991</v>
      </c>
      <c r="EX5" s="9">
        <f t="shared" si="56"/>
        <v>90.61999999999999</v>
      </c>
      <c r="EY5" s="9">
        <f t="shared" si="57"/>
        <v>11.2</v>
      </c>
      <c r="EZ5" s="9">
        <f t="shared" si="58"/>
        <v>49.3</v>
      </c>
      <c r="FA5" s="9">
        <f t="shared" si="59"/>
        <v>139.91999999999999</v>
      </c>
      <c r="FB5" s="18">
        <v>15.4</v>
      </c>
      <c r="FC5" s="18">
        <v>9.5</v>
      </c>
      <c r="FD5" s="18">
        <v>0</v>
      </c>
      <c r="FE5" s="18">
        <v>15.38</v>
      </c>
      <c r="FF5" s="18">
        <v>0</v>
      </c>
      <c r="FG5" s="18">
        <v>13.8</v>
      </c>
      <c r="FH5" s="18">
        <v>9.6</v>
      </c>
      <c r="FI5" s="18">
        <v>10.7</v>
      </c>
      <c r="FJ5" s="18">
        <v>14.51</v>
      </c>
      <c r="FK5" s="18">
        <v>0</v>
      </c>
      <c r="FL5" s="18">
        <v>4.5999999999999996</v>
      </c>
      <c r="FM5" s="18">
        <v>2.7</v>
      </c>
      <c r="FN5" s="18">
        <v>3.6</v>
      </c>
      <c r="FO5" s="18">
        <v>4.51</v>
      </c>
      <c r="FP5" s="18">
        <v>0</v>
      </c>
      <c r="FQ5" s="7">
        <f t="shared" si="60"/>
        <v>10.7</v>
      </c>
      <c r="FR5" s="7">
        <f t="shared" si="61"/>
        <v>40.28</v>
      </c>
      <c r="FS5" s="7">
        <f t="shared" si="62"/>
        <v>48.609999999999992</v>
      </c>
      <c r="FT5" s="7">
        <f t="shared" si="63"/>
        <v>88.889999999999986</v>
      </c>
      <c r="FU5" s="7">
        <f t="shared" si="64"/>
        <v>3.6</v>
      </c>
      <c r="FV5" s="7">
        <f t="shared" si="65"/>
        <v>15.41</v>
      </c>
      <c r="FW5" s="7">
        <f t="shared" si="66"/>
        <v>104.29999999999998</v>
      </c>
      <c r="FX5" s="19">
        <v>16.399999999999999</v>
      </c>
      <c r="FY5" s="19">
        <v>9.5</v>
      </c>
      <c r="FZ5" s="19">
        <v>0</v>
      </c>
      <c r="GA5" s="19">
        <v>15.16</v>
      </c>
      <c r="GB5" s="19">
        <v>0</v>
      </c>
      <c r="GC5" s="19">
        <v>1.4</v>
      </c>
      <c r="GD5" s="19">
        <v>0.8</v>
      </c>
      <c r="GE5" s="19">
        <v>1.5</v>
      </c>
      <c r="GF5" s="19">
        <v>1.56</v>
      </c>
      <c r="GG5" s="19">
        <v>0</v>
      </c>
      <c r="GH5" s="19"/>
      <c r="GI5" s="19"/>
      <c r="GJ5" s="19"/>
      <c r="GK5" s="19"/>
      <c r="GL5" s="19"/>
      <c r="GM5" s="9">
        <f t="shared" si="67"/>
        <v>1.5</v>
      </c>
      <c r="GN5" s="9">
        <f t="shared" si="68"/>
        <v>41.06</v>
      </c>
      <c r="GO5" s="9">
        <f t="shared" si="69"/>
        <v>5.26</v>
      </c>
      <c r="GP5" s="9">
        <f t="shared" si="70"/>
        <v>46.32</v>
      </c>
      <c r="GQ5" s="9" t="str">
        <f t="shared" si="71"/>
        <v/>
      </c>
      <c r="GR5" s="9" t="str">
        <f t="shared" si="72"/>
        <v/>
      </c>
      <c r="GS5" s="9">
        <f t="shared" si="73"/>
        <v>46.32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 t="shared" si="74"/>
        <v/>
      </c>
      <c r="HJ5" s="7" t="str">
        <f t="shared" si="75"/>
        <v/>
      </c>
      <c r="HK5" s="7" t="str">
        <f t="shared" si="76"/>
        <v/>
      </c>
      <c r="HL5" s="7" t="str">
        <f t="shared" si="77"/>
        <v/>
      </c>
      <c r="HM5" s="7" t="str">
        <f t="shared" si="78"/>
        <v/>
      </c>
      <c r="HN5" s="7" t="str">
        <f t="shared" si="79"/>
        <v/>
      </c>
      <c r="HO5" s="7" t="str">
        <f t="shared" si="80"/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 t="shared" si="81"/>
        <v/>
      </c>
      <c r="IF5" s="9" t="str">
        <f t="shared" si="82"/>
        <v/>
      </c>
      <c r="IG5" s="9" t="str">
        <f t="shared" si="83"/>
        <v/>
      </c>
      <c r="IH5" s="9" t="str">
        <f t="shared" si="84"/>
        <v/>
      </c>
      <c r="II5" s="9" t="str">
        <f t="shared" si="85"/>
        <v/>
      </c>
      <c r="IJ5" s="9" t="str">
        <f t="shared" si="86"/>
        <v/>
      </c>
      <c r="IK5" s="9" t="str">
        <f t="shared" si="87"/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 t="shared" si="88"/>
        <v/>
      </c>
      <c r="JB5" s="7" t="str">
        <f t="shared" si="89"/>
        <v/>
      </c>
      <c r="JC5" s="7" t="str">
        <f t="shared" si="90"/>
        <v/>
      </c>
      <c r="JD5" s="7" t="str">
        <f t="shared" si="91"/>
        <v/>
      </c>
      <c r="JE5" s="7" t="str">
        <f t="shared" si="92"/>
        <v/>
      </c>
      <c r="JF5" s="7" t="str">
        <f t="shared" si="93"/>
        <v/>
      </c>
      <c r="JG5" s="7" t="str">
        <f t="shared" si="94"/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 t="shared" si="95"/>
        <v/>
      </c>
      <c r="JX5" s="9" t="str">
        <f t="shared" si="96"/>
        <v/>
      </c>
      <c r="JY5" s="9" t="str">
        <f t="shared" si="97"/>
        <v/>
      </c>
      <c r="JZ5" s="9" t="str">
        <f t="shared" si="98"/>
        <v/>
      </c>
      <c r="KA5" s="9" t="str">
        <f t="shared" si="99"/>
        <v/>
      </c>
      <c r="KB5" s="9" t="str">
        <f t="shared" si="100"/>
        <v/>
      </c>
      <c r="KC5" s="9" t="str">
        <f t="shared" si="101"/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 t="shared" si="102"/>
        <v/>
      </c>
      <c r="KT5" s="7" t="str">
        <f t="shared" si="103"/>
        <v/>
      </c>
      <c r="KU5" s="7" t="str">
        <f t="shared" si="104"/>
        <v/>
      </c>
      <c r="KV5" s="7" t="str">
        <f t="shared" si="105"/>
        <v/>
      </c>
      <c r="KW5" s="7" t="str">
        <f t="shared" si="106"/>
        <v/>
      </c>
      <c r="KX5" s="7" t="str">
        <f t="shared" si="107"/>
        <v/>
      </c>
      <c r="KY5" s="7" t="str">
        <f t="shared" si="108"/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 t="shared" si="109"/>
        <v/>
      </c>
      <c r="LP5" s="9" t="str">
        <f t="shared" si="110"/>
        <v/>
      </c>
      <c r="LQ5" s="9" t="str">
        <f t="shared" si="111"/>
        <v/>
      </c>
      <c r="LR5" s="9" t="str">
        <f t="shared" si="112"/>
        <v/>
      </c>
      <c r="LS5" s="9" t="str">
        <f t="shared" si="113"/>
        <v/>
      </c>
      <c r="LT5" s="9" t="str">
        <f t="shared" si="114"/>
        <v/>
      </c>
      <c r="LU5" s="9" t="str">
        <f t="shared" si="115"/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 t="shared" si="116"/>
        <v/>
      </c>
      <c r="ML5" s="7" t="str">
        <f t="shared" si="117"/>
        <v/>
      </c>
      <c r="MM5" s="7" t="str">
        <f t="shared" si="118"/>
        <v/>
      </c>
      <c r="MN5" s="7" t="str">
        <f t="shared" si="119"/>
        <v/>
      </c>
      <c r="MO5" s="7" t="str">
        <f t="shared" si="120"/>
        <v/>
      </c>
      <c r="MP5" s="7" t="str">
        <f t="shared" si="121"/>
        <v/>
      </c>
      <c r="MQ5" s="7" t="str">
        <f t="shared" si="122"/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 t="shared" si="123"/>
        <v/>
      </c>
      <c r="NH5" s="9" t="str">
        <f t="shared" si="124"/>
        <v/>
      </c>
      <c r="NI5" s="9" t="str">
        <f t="shared" si="125"/>
        <v/>
      </c>
      <c r="NJ5" s="9" t="str">
        <f t="shared" si="126"/>
        <v/>
      </c>
      <c r="NK5" s="9" t="str">
        <f t="shared" si="127"/>
        <v/>
      </c>
      <c r="NL5" s="9" t="str">
        <f t="shared" si="128"/>
        <v/>
      </c>
      <c r="NM5" s="9" t="str">
        <f t="shared" si="129"/>
        <v/>
      </c>
      <c r="NN5" s="27">
        <f t="shared" si="130"/>
        <v>16.75</v>
      </c>
      <c r="NO5" s="27">
        <f t="shared" si="130"/>
        <v>9.4499999999999993</v>
      </c>
      <c r="NP5" s="27">
        <f t="shared" si="130"/>
        <v>0</v>
      </c>
      <c r="NQ5" s="27">
        <f t="shared" si="130"/>
        <v>14.8</v>
      </c>
      <c r="NR5" s="27">
        <f t="shared" si="130"/>
        <v>0</v>
      </c>
      <c r="NS5" s="27">
        <f t="shared" si="130"/>
        <v>13.3</v>
      </c>
      <c r="NT5" s="27">
        <f t="shared" si="130"/>
        <v>8.6000000000000014</v>
      </c>
      <c r="NU5" s="27">
        <f t="shared" si="130"/>
        <v>9.1999999999999993</v>
      </c>
      <c r="NV5" s="27">
        <f t="shared" si="130"/>
        <v>13.65</v>
      </c>
      <c r="NW5" s="27">
        <f t="shared" si="130"/>
        <v>0</v>
      </c>
      <c r="NX5" s="27">
        <f t="shared" si="131"/>
        <v>0</v>
      </c>
      <c r="NY5" s="27">
        <f t="shared" si="131"/>
        <v>0</v>
      </c>
      <c r="NZ5" s="27">
        <f t="shared" si="131"/>
        <v>0</v>
      </c>
      <c r="OA5" s="27">
        <f t="shared" si="131"/>
        <v>0</v>
      </c>
      <c r="OB5" s="27">
        <f t="shared" si="131"/>
        <v>0</v>
      </c>
      <c r="OC5" s="27">
        <f t="shared" si="131"/>
        <v>14.350000000000001</v>
      </c>
      <c r="OD5" s="27">
        <f t="shared" si="131"/>
        <v>9.1499999999999986</v>
      </c>
      <c r="OE5" s="27">
        <f t="shared" si="131"/>
        <v>10.399999999999999</v>
      </c>
      <c r="OF5" s="27">
        <f t="shared" si="131"/>
        <v>14.335000000000001</v>
      </c>
      <c r="OG5" s="27">
        <f t="shared" si="131"/>
        <v>0</v>
      </c>
      <c r="OH5" s="32" t="s">
        <v>44</v>
      </c>
      <c r="OI5" s="7">
        <f t="shared" si="132"/>
        <v>41</v>
      </c>
      <c r="OJ5" s="7">
        <f t="shared" si="133"/>
        <v>9.1999999999999993</v>
      </c>
      <c r="OK5" s="7">
        <f t="shared" si="134"/>
        <v>44.75</v>
      </c>
      <c r="OL5" s="7" t="str">
        <f t="shared" si="135"/>
        <v/>
      </c>
      <c r="OM5" s="7" t="str">
        <f t="shared" si="136"/>
        <v/>
      </c>
      <c r="ON5" s="7">
        <f t="shared" si="137"/>
        <v>85.75</v>
      </c>
      <c r="OO5" s="7">
        <f t="shared" si="138"/>
        <v>10.399999999999999</v>
      </c>
      <c r="OP5" s="7">
        <f t="shared" ref="OP5" si="141">IF(SUM(OC5:OF5)-OG5&gt;0,SUM(OC5:OF5)-OG5,"")</f>
        <v>48.234999999999999</v>
      </c>
      <c r="OQ5" s="7">
        <f t="shared" ref="OQ5" si="142">IF(SUM(ON5,OP5)&gt;0,SUM(ON5,OP5),"")</f>
        <v>133.98500000000001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86</v>
      </c>
      <c r="C6" s="4" t="s">
        <v>68</v>
      </c>
      <c r="D6" s="4">
        <v>2009</v>
      </c>
      <c r="E6" s="10">
        <f t="shared" si="0"/>
        <v>223.71</v>
      </c>
      <c r="F6" s="3" t="str">
        <f t="shared" si="1"/>
        <v/>
      </c>
      <c r="G6" s="3" t="str">
        <f t="shared" si="2"/>
        <v/>
      </c>
      <c r="H6" s="47" t="str">
        <f t="shared" si="3"/>
        <v/>
      </c>
      <c r="I6" s="9">
        <f t="shared" si="4"/>
        <v>87.740000000000009</v>
      </c>
      <c r="J6" s="9" t="str">
        <f t="shared" si="5"/>
        <v>2024 Elite Canada</v>
      </c>
      <c r="K6" s="9">
        <f t="shared" si="6"/>
        <v>40.1</v>
      </c>
      <c r="L6" s="9" t="str">
        <f t="shared" si="7"/>
        <v>2023 3rd Domestic Trial</v>
      </c>
      <c r="M6" s="9">
        <f t="shared" si="8"/>
        <v>47.46</v>
      </c>
      <c r="N6" s="9" t="str">
        <f t="shared" si="9"/>
        <v>2023 Nationals</v>
      </c>
      <c r="O6" s="9">
        <f t="shared" si="10"/>
        <v>48.41</v>
      </c>
      <c r="P6" s="9" t="str">
        <f t="shared" si="11"/>
        <v>2024 Elite Canada</v>
      </c>
      <c r="Q6" s="9" t="str">
        <f t="shared" si="12"/>
        <v/>
      </c>
      <c r="R6" s="14" t="str">
        <f t="shared" si="13"/>
        <v/>
      </c>
      <c r="S6" s="9" t="str">
        <f t="shared" si="14"/>
        <v/>
      </c>
      <c r="T6" s="27">
        <v>15.9</v>
      </c>
      <c r="U6" s="27">
        <v>9.4</v>
      </c>
      <c r="V6" s="27">
        <v>0</v>
      </c>
      <c r="W6" s="27">
        <v>14.28</v>
      </c>
      <c r="X6" s="27">
        <v>0</v>
      </c>
      <c r="Y6" s="27">
        <v>13.6</v>
      </c>
      <c r="Z6" s="27">
        <v>9.3000000000000007</v>
      </c>
      <c r="AA6" s="27">
        <v>11</v>
      </c>
      <c r="AB6" s="27">
        <v>13.56</v>
      </c>
      <c r="AC6" s="27">
        <v>0</v>
      </c>
      <c r="AD6" s="27"/>
      <c r="AE6" s="27"/>
      <c r="AF6" s="27"/>
      <c r="AG6" s="27"/>
      <c r="AH6" s="27"/>
      <c r="AI6" s="27">
        <v>13.1</v>
      </c>
      <c r="AJ6" s="27">
        <v>9.3000000000000007</v>
      </c>
      <c r="AK6" s="27">
        <v>10.9</v>
      </c>
      <c r="AL6" s="27">
        <v>12.93</v>
      </c>
      <c r="AM6" s="27">
        <v>0</v>
      </c>
      <c r="AN6" s="32"/>
      <c r="AO6" s="7">
        <f t="shared" si="15"/>
        <v>39.58</v>
      </c>
      <c r="AP6" s="7">
        <f t="shared" si="16"/>
        <v>11</v>
      </c>
      <c r="AQ6" s="7">
        <f t="shared" si="17"/>
        <v>47.46</v>
      </c>
      <c r="AR6" s="7" t="str">
        <f t="shared" si="18"/>
        <v/>
      </c>
      <c r="AS6" s="7" t="str">
        <f t="shared" si="19"/>
        <v/>
      </c>
      <c r="AT6" s="7">
        <f t="shared" si="20"/>
        <v>87.039999999999992</v>
      </c>
      <c r="AU6" s="7">
        <f t="shared" si="21"/>
        <v>10.9</v>
      </c>
      <c r="AV6" s="7">
        <f t="shared" si="22"/>
        <v>46.23</v>
      </c>
      <c r="AW6" s="7">
        <f t="shared" si="23"/>
        <v>133.26999999999998</v>
      </c>
      <c r="AX6" s="31">
        <v>16.5</v>
      </c>
      <c r="AY6" s="31">
        <v>9.5</v>
      </c>
      <c r="AZ6" s="31">
        <v>0</v>
      </c>
      <c r="BA6" s="31">
        <v>14.1</v>
      </c>
      <c r="BB6" s="31">
        <v>0</v>
      </c>
      <c r="BC6" s="31">
        <v>13.5</v>
      </c>
      <c r="BD6" s="31">
        <v>9.1</v>
      </c>
      <c r="BE6" s="31">
        <v>10.999999999999998</v>
      </c>
      <c r="BF6" s="31">
        <v>13.7</v>
      </c>
      <c r="BG6" s="31">
        <v>0</v>
      </c>
      <c r="BH6" s="31"/>
      <c r="BI6" s="31"/>
      <c r="BJ6" s="31"/>
      <c r="BK6" s="31"/>
      <c r="BL6" s="31"/>
      <c r="BM6" s="31">
        <v>12.8</v>
      </c>
      <c r="BN6" s="31">
        <v>9.3000000000000007</v>
      </c>
      <c r="BO6" s="31">
        <v>10.999999999999998</v>
      </c>
      <c r="BP6" s="31">
        <v>13.25</v>
      </c>
      <c r="BQ6" s="31">
        <v>0</v>
      </c>
      <c r="BR6" s="33"/>
      <c r="BS6" s="9">
        <f t="shared" si="24"/>
        <v>40.1</v>
      </c>
      <c r="BT6" s="9">
        <f t="shared" si="25"/>
        <v>10.999999999999998</v>
      </c>
      <c r="BU6" s="9">
        <f t="shared" si="26"/>
        <v>47.3</v>
      </c>
      <c r="BV6" s="9" t="str">
        <f t="shared" si="27"/>
        <v/>
      </c>
      <c r="BW6" s="9" t="str">
        <f t="shared" si="28"/>
        <v/>
      </c>
      <c r="BX6" s="9">
        <f t="shared" si="29"/>
        <v>87.4</v>
      </c>
      <c r="BY6" s="9">
        <f t="shared" si="30"/>
        <v>10.999999999999998</v>
      </c>
      <c r="BZ6" s="9">
        <f t="shared" si="31"/>
        <v>46.35</v>
      </c>
      <c r="CA6" s="9">
        <f t="shared" si="32"/>
        <v>133.75</v>
      </c>
      <c r="CB6" s="27">
        <v>15.5</v>
      </c>
      <c r="CC6" s="27">
        <v>9.6</v>
      </c>
      <c r="CD6" s="27">
        <v>0</v>
      </c>
      <c r="CE6" s="27">
        <v>14.42</v>
      </c>
      <c r="CF6" s="27">
        <v>0</v>
      </c>
      <c r="CG6" s="27">
        <v>14.9</v>
      </c>
      <c r="CH6" s="27">
        <v>9.3000000000000007</v>
      </c>
      <c r="CI6" s="27">
        <v>10.3</v>
      </c>
      <c r="CJ6" s="27">
        <v>13.72</v>
      </c>
      <c r="CK6" s="27">
        <v>0</v>
      </c>
      <c r="CL6" s="27"/>
      <c r="CM6" s="27"/>
      <c r="CN6" s="27"/>
      <c r="CO6" s="27"/>
      <c r="CP6" s="27"/>
      <c r="CQ6" s="27">
        <v>14.8</v>
      </c>
      <c r="CR6" s="27">
        <v>9.4</v>
      </c>
      <c r="CS6" s="27">
        <v>10.3</v>
      </c>
      <c r="CT6" s="27">
        <v>13.91</v>
      </c>
      <c r="CU6" s="27">
        <v>0</v>
      </c>
      <c r="CV6" s="32"/>
      <c r="CW6" s="7">
        <f t="shared" si="33"/>
        <v>39.520000000000003</v>
      </c>
      <c r="CX6" s="7">
        <f t="shared" si="34"/>
        <v>10.3</v>
      </c>
      <c r="CY6" s="7">
        <f t="shared" si="35"/>
        <v>48.22</v>
      </c>
      <c r="CZ6" s="7" t="str">
        <f t="shared" si="36"/>
        <v/>
      </c>
      <c r="DA6" s="7" t="str">
        <f t="shared" si="37"/>
        <v/>
      </c>
      <c r="DB6" s="7">
        <f t="shared" si="38"/>
        <v>87.740000000000009</v>
      </c>
      <c r="DC6" s="7">
        <f t="shared" si="39"/>
        <v>10.3</v>
      </c>
      <c r="DD6" s="7">
        <f t="shared" si="40"/>
        <v>48.41</v>
      </c>
      <c r="DE6" s="7">
        <f t="shared" si="41"/>
        <v>136.15</v>
      </c>
      <c r="DF6" s="13" t="str">
        <f t="shared" si="42"/>
        <v/>
      </c>
      <c r="DG6" s="13" t="str">
        <f t="shared" si="43"/>
        <v/>
      </c>
      <c r="DH6" s="13" t="str">
        <f t="shared" si="44"/>
        <v/>
      </c>
      <c r="DI6" s="13" t="str">
        <f t="shared" si="45"/>
        <v/>
      </c>
      <c r="DJ6" s="18">
        <v>14.7</v>
      </c>
      <c r="DK6" s="18">
        <v>9.5</v>
      </c>
      <c r="DL6" s="18">
        <v>0</v>
      </c>
      <c r="DM6" s="18">
        <v>14.59</v>
      </c>
      <c r="DN6" s="18">
        <v>0</v>
      </c>
      <c r="DO6" s="18">
        <v>12.8</v>
      </c>
      <c r="DP6" s="18">
        <v>9.3000000000000007</v>
      </c>
      <c r="DQ6" s="18">
        <v>9.6999999999999993</v>
      </c>
      <c r="DR6" s="18">
        <v>13.72</v>
      </c>
      <c r="DS6" s="18">
        <v>0</v>
      </c>
      <c r="DT6" s="18"/>
      <c r="DU6" s="18"/>
      <c r="DV6" s="18"/>
      <c r="DW6" s="18"/>
      <c r="DX6" s="18"/>
      <c r="DY6" s="7">
        <f t="shared" si="46"/>
        <v>9.6999999999999993</v>
      </c>
      <c r="DZ6" s="7">
        <f t="shared" si="47"/>
        <v>38.79</v>
      </c>
      <c r="EA6" s="7">
        <f t="shared" si="48"/>
        <v>45.52</v>
      </c>
      <c r="EB6" s="7">
        <f t="shared" si="49"/>
        <v>84.31</v>
      </c>
      <c r="EC6" s="7" t="str">
        <f t="shared" si="50"/>
        <v/>
      </c>
      <c r="ED6" s="7" t="str">
        <f t="shared" si="51"/>
        <v/>
      </c>
      <c r="EE6" s="7">
        <f t="shared" si="52"/>
        <v>84.31</v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 t="shared" si="53"/>
        <v/>
      </c>
      <c r="EV6" s="9" t="str">
        <f t="shared" si="54"/>
        <v/>
      </c>
      <c r="EW6" s="9" t="str">
        <f t="shared" si="55"/>
        <v/>
      </c>
      <c r="EX6" s="9" t="str">
        <f t="shared" si="56"/>
        <v/>
      </c>
      <c r="EY6" s="9" t="str">
        <f t="shared" si="57"/>
        <v/>
      </c>
      <c r="EZ6" s="9" t="str">
        <f t="shared" si="58"/>
        <v/>
      </c>
      <c r="FA6" s="9" t="str">
        <f t="shared" si="59"/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 t="shared" si="60"/>
        <v/>
      </c>
      <c r="FR6" s="7" t="str">
        <f t="shared" si="61"/>
        <v/>
      </c>
      <c r="FS6" s="7" t="str">
        <f t="shared" si="62"/>
        <v/>
      </c>
      <c r="FT6" s="7" t="str">
        <f t="shared" si="63"/>
        <v/>
      </c>
      <c r="FU6" s="7" t="str">
        <f t="shared" si="64"/>
        <v/>
      </c>
      <c r="FV6" s="7" t="str">
        <f t="shared" si="65"/>
        <v/>
      </c>
      <c r="FW6" s="7" t="str">
        <f t="shared" si="66"/>
        <v/>
      </c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9" t="str">
        <f t="shared" si="67"/>
        <v/>
      </c>
      <c r="GN6" s="9" t="str">
        <f t="shared" si="68"/>
        <v/>
      </c>
      <c r="GO6" s="9" t="str">
        <f t="shared" si="69"/>
        <v/>
      </c>
      <c r="GP6" s="9" t="str">
        <f t="shared" si="70"/>
        <v/>
      </c>
      <c r="GQ6" s="9" t="str">
        <f t="shared" si="71"/>
        <v/>
      </c>
      <c r="GR6" s="9" t="str">
        <f t="shared" si="72"/>
        <v/>
      </c>
      <c r="GS6" s="9" t="str">
        <f t="shared" si="73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 t="shared" si="74"/>
        <v/>
      </c>
      <c r="HJ6" s="7" t="str">
        <f t="shared" si="75"/>
        <v/>
      </c>
      <c r="HK6" s="7" t="str">
        <f t="shared" si="76"/>
        <v/>
      </c>
      <c r="HL6" s="7" t="str">
        <f t="shared" si="77"/>
        <v/>
      </c>
      <c r="HM6" s="7" t="str">
        <f t="shared" si="78"/>
        <v/>
      </c>
      <c r="HN6" s="7" t="str">
        <f t="shared" si="79"/>
        <v/>
      </c>
      <c r="HO6" s="7" t="str">
        <f t="shared" si="80"/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 t="shared" si="81"/>
        <v/>
      </c>
      <c r="IF6" s="9" t="str">
        <f t="shared" si="82"/>
        <v/>
      </c>
      <c r="IG6" s="9" t="str">
        <f t="shared" si="83"/>
        <v/>
      </c>
      <c r="IH6" s="9" t="str">
        <f t="shared" si="84"/>
        <v/>
      </c>
      <c r="II6" s="9" t="str">
        <f t="shared" si="85"/>
        <v/>
      </c>
      <c r="IJ6" s="9" t="str">
        <f t="shared" si="86"/>
        <v/>
      </c>
      <c r="IK6" s="9" t="str">
        <f t="shared" si="87"/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 t="shared" si="88"/>
        <v/>
      </c>
      <c r="JB6" s="7" t="str">
        <f t="shared" si="89"/>
        <v/>
      </c>
      <c r="JC6" s="7" t="str">
        <f t="shared" si="90"/>
        <v/>
      </c>
      <c r="JD6" s="7" t="str">
        <f t="shared" si="91"/>
        <v/>
      </c>
      <c r="JE6" s="7" t="str">
        <f t="shared" si="92"/>
        <v/>
      </c>
      <c r="JF6" s="7" t="str">
        <f t="shared" si="93"/>
        <v/>
      </c>
      <c r="JG6" s="7" t="str">
        <f t="shared" si="94"/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 t="shared" si="95"/>
        <v/>
      </c>
      <c r="JX6" s="9" t="str">
        <f t="shared" si="96"/>
        <v/>
      </c>
      <c r="JY6" s="9" t="str">
        <f t="shared" si="97"/>
        <v/>
      </c>
      <c r="JZ6" s="9" t="str">
        <f t="shared" si="98"/>
        <v/>
      </c>
      <c r="KA6" s="9" t="str">
        <f t="shared" si="99"/>
        <v/>
      </c>
      <c r="KB6" s="9" t="str">
        <f t="shared" si="100"/>
        <v/>
      </c>
      <c r="KC6" s="9" t="str">
        <f t="shared" si="101"/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 t="shared" si="102"/>
        <v/>
      </c>
      <c r="KT6" s="7" t="str">
        <f t="shared" si="103"/>
        <v/>
      </c>
      <c r="KU6" s="7" t="str">
        <f t="shared" si="104"/>
        <v/>
      </c>
      <c r="KV6" s="7" t="str">
        <f t="shared" si="105"/>
        <v/>
      </c>
      <c r="KW6" s="7" t="str">
        <f t="shared" si="106"/>
        <v/>
      </c>
      <c r="KX6" s="7" t="str">
        <f t="shared" si="107"/>
        <v/>
      </c>
      <c r="KY6" s="7" t="str">
        <f t="shared" si="108"/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 t="shared" si="109"/>
        <v/>
      </c>
      <c r="LP6" s="9" t="str">
        <f t="shared" si="110"/>
        <v/>
      </c>
      <c r="LQ6" s="9" t="str">
        <f t="shared" si="111"/>
        <v/>
      </c>
      <c r="LR6" s="9" t="str">
        <f t="shared" si="112"/>
        <v/>
      </c>
      <c r="LS6" s="9" t="str">
        <f t="shared" si="113"/>
        <v/>
      </c>
      <c r="LT6" s="9" t="str">
        <f t="shared" si="114"/>
        <v/>
      </c>
      <c r="LU6" s="9" t="str">
        <f t="shared" si="115"/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 t="shared" si="116"/>
        <v/>
      </c>
      <c r="ML6" s="7" t="str">
        <f t="shared" si="117"/>
        <v/>
      </c>
      <c r="MM6" s="7" t="str">
        <f t="shared" si="118"/>
        <v/>
      </c>
      <c r="MN6" s="7" t="str">
        <f t="shared" si="119"/>
        <v/>
      </c>
      <c r="MO6" s="7" t="str">
        <f t="shared" si="120"/>
        <v/>
      </c>
      <c r="MP6" s="7" t="str">
        <f t="shared" si="121"/>
        <v/>
      </c>
      <c r="MQ6" s="7" t="str">
        <f t="shared" si="122"/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 t="shared" si="123"/>
        <v/>
      </c>
      <c r="NH6" s="9" t="str">
        <f t="shared" si="124"/>
        <v/>
      </c>
      <c r="NI6" s="9" t="str">
        <f t="shared" si="125"/>
        <v/>
      </c>
      <c r="NJ6" s="9" t="str">
        <f t="shared" si="126"/>
        <v/>
      </c>
      <c r="NK6" s="9" t="str">
        <f t="shared" si="127"/>
        <v/>
      </c>
      <c r="NL6" s="9" t="str">
        <f t="shared" si="128"/>
        <v/>
      </c>
      <c r="NM6" s="9" t="str">
        <f t="shared" si="129"/>
        <v/>
      </c>
      <c r="NN6" s="27">
        <f t="shared" si="130"/>
        <v>16</v>
      </c>
      <c r="NO6" s="27">
        <f t="shared" si="130"/>
        <v>9.5500000000000007</v>
      </c>
      <c r="NP6" s="27">
        <f t="shared" si="130"/>
        <v>0</v>
      </c>
      <c r="NQ6" s="27">
        <f t="shared" si="130"/>
        <v>14.26</v>
      </c>
      <c r="NR6" s="27">
        <f t="shared" si="130"/>
        <v>0</v>
      </c>
      <c r="NS6" s="27">
        <f t="shared" si="130"/>
        <v>14.2</v>
      </c>
      <c r="NT6" s="27">
        <f t="shared" si="130"/>
        <v>9.1999999999999993</v>
      </c>
      <c r="NU6" s="27">
        <f t="shared" si="130"/>
        <v>10.649999999999999</v>
      </c>
      <c r="NV6" s="27">
        <f t="shared" si="130"/>
        <v>13.71</v>
      </c>
      <c r="NW6" s="27">
        <f t="shared" si="130"/>
        <v>0</v>
      </c>
      <c r="NX6" s="27">
        <f t="shared" si="131"/>
        <v>0</v>
      </c>
      <c r="NY6" s="27">
        <f t="shared" si="131"/>
        <v>0</v>
      </c>
      <c r="NZ6" s="27">
        <f t="shared" si="131"/>
        <v>0</v>
      </c>
      <c r="OA6" s="27">
        <f t="shared" si="131"/>
        <v>0</v>
      </c>
      <c r="OB6" s="27">
        <f t="shared" si="131"/>
        <v>0</v>
      </c>
      <c r="OC6" s="27">
        <f t="shared" si="131"/>
        <v>13.8</v>
      </c>
      <c r="OD6" s="27">
        <f t="shared" si="131"/>
        <v>9.3500000000000014</v>
      </c>
      <c r="OE6" s="27">
        <f t="shared" si="131"/>
        <v>10.649999999999999</v>
      </c>
      <c r="OF6" s="27">
        <f t="shared" si="131"/>
        <v>13.58</v>
      </c>
      <c r="OG6" s="27">
        <f t="shared" si="131"/>
        <v>0</v>
      </c>
      <c r="OH6" s="32" t="s">
        <v>44</v>
      </c>
      <c r="OI6" s="7">
        <f t="shared" si="132"/>
        <v>39.81</v>
      </c>
      <c r="OJ6" s="7">
        <f t="shared" si="133"/>
        <v>10.649999999999999</v>
      </c>
      <c r="OK6" s="7">
        <f t="shared" si="134"/>
        <v>47.76</v>
      </c>
      <c r="OL6" s="7" t="str">
        <f t="shared" si="135"/>
        <v/>
      </c>
      <c r="OM6" s="7" t="str">
        <f t="shared" si="136"/>
        <v/>
      </c>
      <c r="ON6" s="7">
        <f t="shared" si="137"/>
        <v>87.57</v>
      </c>
      <c r="OO6" s="7">
        <f t="shared" si="138"/>
        <v>10.649999999999999</v>
      </c>
      <c r="OP6" s="7">
        <f t="shared" ref="OP6" si="143">IF(SUM(OC6:OF6)-OG6&gt;0,SUM(OC6:OF6)-OG6,"")</f>
        <v>47.379999999999995</v>
      </c>
      <c r="OQ6" s="7">
        <f t="shared" ref="OQ6" si="144">IF(SUM(ON6,OP6)&gt;0,SUM(ON6,OP6),"")</f>
        <v>134.94999999999999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 t="shared" si="0"/>
        <v>222.44000000000005</v>
      </c>
      <c r="F7" s="3" t="str">
        <f t="shared" si="1"/>
        <v/>
      </c>
      <c r="G7" s="3" t="str">
        <f t="shared" si="2"/>
        <v/>
      </c>
      <c r="H7" s="47" t="str">
        <f t="shared" si="3"/>
        <v/>
      </c>
      <c r="I7" s="9">
        <f t="shared" si="4"/>
        <v>87.200000000000017</v>
      </c>
      <c r="J7" s="9" t="str">
        <f t="shared" si="5"/>
        <v>2024 Elite Canada</v>
      </c>
      <c r="K7" s="9">
        <f t="shared" si="6"/>
        <v>40.68</v>
      </c>
      <c r="L7" s="9" t="str">
        <f t="shared" si="7"/>
        <v>2023 3rd Domestic Trial</v>
      </c>
      <c r="M7" s="9">
        <f t="shared" si="8"/>
        <v>46.64</v>
      </c>
      <c r="N7" s="9" t="str">
        <f t="shared" si="9"/>
        <v>2023 Nationals</v>
      </c>
      <c r="O7" s="9">
        <f t="shared" si="10"/>
        <v>47.92</v>
      </c>
      <c r="P7" s="9" t="str">
        <f t="shared" si="11"/>
        <v>2024 Elite Canada</v>
      </c>
      <c r="Q7" s="9" t="str">
        <f t="shared" si="12"/>
        <v/>
      </c>
      <c r="R7" s="14" t="str">
        <f t="shared" si="13"/>
        <v/>
      </c>
      <c r="S7" s="9" t="str">
        <f t="shared" si="14"/>
        <v/>
      </c>
      <c r="T7" s="27">
        <v>16.3</v>
      </c>
      <c r="U7" s="27">
        <v>9.5</v>
      </c>
      <c r="V7" s="27">
        <v>0</v>
      </c>
      <c r="W7" s="27">
        <v>13.98</v>
      </c>
      <c r="X7" s="27">
        <v>0</v>
      </c>
      <c r="Y7" s="27">
        <v>13.1</v>
      </c>
      <c r="Z7" s="27">
        <v>9.3000000000000007</v>
      </c>
      <c r="AA7" s="27">
        <v>11</v>
      </c>
      <c r="AB7" s="27">
        <v>13.24</v>
      </c>
      <c r="AC7" s="27">
        <v>0</v>
      </c>
      <c r="AD7" s="27"/>
      <c r="AE7" s="27"/>
      <c r="AF7" s="27"/>
      <c r="AG7" s="27"/>
      <c r="AH7" s="27"/>
      <c r="AI7" s="27">
        <v>1.5</v>
      </c>
      <c r="AJ7" s="27">
        <v>1</v>
      </c>
      <c r="AK7" s="27">
        <v>1.5</v>
      </c>
      <c r="AL7" s="27">
        <v>1.37</v>
      </c>
      <c r="AM7" s="27">
        <v>0</v>
      </c>
      <c r="AN7" s="32"/>
      <c r="AO7" s="7">
        <f t="shared" si="15"/>
        <v>39.78</v>
      </c>
      <c r="AP7" s="7">
        <f t="shared" si="16"/>
        <v>11</v>
      </c>
      <c r="AQ7" s="7">
        <f t="shared" si="17"/>
        <v>46.64</v>
      </c>
      <c r="AR7" s="7" t="str">
        <f t="shared" si="18"/>
        <v/>
      </c>
      <c r="AS7" s="7" t="str">
        <f t="shared" si="19"/>
        <v/>
      </c>
      <c r="AT7" s="7">
        <f t="shared" si="20"/>
        <v>86.42</v>
      </c>
      <c r="AU7" s="7">
        <f t="shared" si="21"/>
        <v>1.5</v>
      </c>
      <c r="AV7" s="7">
        <f t="shared" si="22"/>
        <v>5.37</v>
      </c>
      <c r="AW7" s="7">
        <f t="shared" si="23"/>
        <v>91.79</v>
      </c>
      <c r="AX7" s="31">
        <v>17</v>
      </c>
      <c r="AY7" s="31">
        <v>9.3000000000000007</v>
      </c>
      <c r="AZ7" s="31">
        <v>0</v>
      </c>
      <c r="BA7" s="31">
        <v>14.38</v>
      </c>
      <c r="BB7" s="31">
        <v>0</v>
      </c>
      <c r="BC7" s="31">
        <v>2.7</v>
      </c>
      <c r="BD7" s="31">
        <v>1.7</v>
      </c>
      <c r="BE7" s="31">
        <v>2.5</v>
      </c>
      <c r="BF7" s="31">
        <v>2.88</v>
      </c>
      <c r="BG7" s="31">
        <v>0</v>
      </c>
      <c r="BH7" s="31"/>
      <c r="BI7" s="31"/>
      <c r="BJ7" s="31"/>
      <c r="BK7" s="31"/>
      <c r="BL7" s="31"/>
      <c r="BM7" s="31"/>
      <c r="BN7" s="31"/>
      <c r="BO7" s="31"/>
      <c r="BP7" s="31"/>
      <c r="BQ7" s="31"/>
      <c r="BR7" s="33"/>
      <c r="BS7" s="9">
        <f t="shared" si="24"/>
        <v>40.68</v>
      </c>
      <c r="BT7" s="9">
        <f t="shared" si="25"/>
        <v>2.5</v>
      </c>
      <c r="BU7" s="9">
        <f t="shared" si="26"/>
        <v>9.7800000000000011</v>
      </c>
      <c r="BV7" s="9" t="str">
        <f t="shared" si="27"/>
        <v/>
      </c>
      <c r="BW7" s="9" t="str">
        <f t="shared" si="28"/>
        <v/>
      </c>
      <c r="BX7" s="9">
        <f t="shared" si="29"/>
        <v>50.46</v>
      </c>
      <c r="BY7" s="9" t="str">
        <f t="shared" si="30"/>
        <v/>
      </c>
      <c r="BZ7" s="9" t="str">
        <f t="shared" si="31"/>
        <v/>
      </c>
      <c r="CA7" s="9">
        <f t="shared" si="32"/>
        <v>50.46</v>
      </c>
      <c r="CB7" s="27">
        <v>16.3</v>
      </c>
      <c r="CC7" s="27">
        <v>9.3000000000000007</v>
      </c>
      <c r="CD7" s="27">
        <v>0</v>
      </c>
      <c r="CE7" s="27">
        <v>14</v>
      </c>
      <c r="CF7" s="27">
        <v>0</v>
      </c>
      <c r="CG7" s="27">
        <v>14.3</v>
      </c>
      <c r="CH7" s="27">
        <v>9.4</v>
      </c>
      <c r="CI7" s="27">
        <v>10.199999999999999</v>
      </c>
      <c r="CJ7" s="27">
        <v>13.7</v>
      </c>
      <c r="CK7" s="27">
        <v>0</v>
      </c>
      <c r="CL7" s="27"/>
      <c r="CM7" s="27"/>
      <c r="CN7" s="27"/>
      <c r="CO7" s="27"/>
      <c r="CP7" s="27"/>
      <c r="CQ7" s="27">
        <v>14.7</v>
      </c>
      <c r="CR7" s="27">
        <v>9.3000000000000007</v>
      </c>
      <c r="CS7" s="27">
        <v>10.199999999999999</v>
      </c>
      <c r="CT7" s="27">
        <v>13.72</v>
      </c>
      <c r="CU7" s="27">
        <v>0</v>
      </c>
      <c r="CV7" s="32"/>
      <c r="CW7" s="7">
        <f t="shared" si="33"/>
        <v>39.6</v>
      </c>
      <c r="CX7" s="7">
        <f t="shared" si="34"/>
        <v>10.199999999999999</v>
      </c>
      <c r="CY7" s="7">
        <f t="shared" si="35"/>
        <v>47.600000000000009</v>
      </c>
      <c r="CZ7" s="7" t="str">
        <f t="shared" si="36"/>
        <v/>
      </c>
      <c r="DA7" s="7" t="str">
        <f t="shared" si="37"/>
        <v/>
      </c>
      <c r="DB7" s="7">
        <f t="shared" si="38"/>
        <v>87.200000000000017</v>
      </c>
      <c r="DC7" s="7">
        <f t="shared" si="39"/>
        <v>10.199999999999999</v>
      </c>
      <c r="DD7" s="7">
        <f t="shared" si="40"/>
        <v>47.92</v>
      </c>
      <c r="DE7" s="7">
        <f t="shared" si="41"/>
        <v>135.12</v>
      </c>
      <c r="DF7" s="13" t="str">
        <f t="shared" si="42"/>
        <v/>
      </c>
      <c r="DG7" s="13" t="str">
        <f t="shared" si="43"/>
        <v/>
      </c>
      <c r="DH7" s="13" t="str">
        <f t="shared" si="44"/>
        <v/>
      </c>
      <c r="DI7" s="13" t="str">
        <f t="shared" si="45"/>
        <v/>
      </c>
      <c r="DJ7" s="18">
        <v>16</v>
      </c>
      <c r="DK7" s="18">
        <v>9.4</v>
      </c>
      <c r="DL7" s="18">
        <v>0</v>
      </c>
      <c r="DM7" s="18">
        <v>14.44</v>
      </c>
      <c r="DN7" s="18">
        <v>0</v>
      </c>
      <c r="DO7" s="18">
        <v>12.3</v>
      </c>
      <c r="DP7" s="18">
        <v>9.3000000000000007</v>
      </c>
      <c r="DQ7" s="18">
        <v>10.199999999999999</v>
      </c>
      <c r="DR7" s="18">
        <v>14.11</v>
      </c>
      <c r="DS7" s="18">
        <v>0</v>
      </c>
      <c r="DT7" s="18"/>
      <c r="DU7" s="18"/>
      <c r="DV7" s="18"/>
      <c r="DW7" s="18"/>
      <c r="DX7" s="18"/>
      <c r="DY7" s="7">
        <f t="shared" si="46"/>
        <v>10.199999999999999</v>
      </c>
      <c r="DZ7" s="7">
        <f t="shared" si="47"/>
        <v>39.839999999999996</v>
      </c>
      <c r="EA7" s="7">
        <f t="shared" si="48"/>
        <v>45.91</v>
      </c>
      <c r="EB7" s="7">
        <f t="shared" si="49"/>
        <v>85.75</v>
      </c>
      <c r="EC7" s="7" t="str">
        <f t="shared" si="50"/>
        <v/>
      </c>
      <c r="ED7" s="7" t="str">
        <f t="shared" si="51"/>
        <v/>
      </c>
      <c r="EE7" s="7">
        <f t="shared" si="52"/>
        <v>85.75</v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 t="shared" si="53"/>
        <v/>
      </c>
      <c r="EV7" s="9" t="str">
        <f t="shared" si="54"/>
        <v/>
      </c>
      <c r="EW7" s="9" t="str">
        <f t="shared" si="55"/>
        <v/>
      </c>
      <c r="EX7" s="9" t="str">
        <f t="shared" si="56"/>
        <v/>
      </c>
      <c r="EY7" s="9" t="str">
        <f t="shared" si="57"/>
        <v/>
      </c>
      <c r="EZ7" s="9" t="str">
        <f t="shared" si="58"/>
        <v/>
      </c>
      <c r="FA7" s="9" t="str">
        <f t="shared" si="59"/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 t="shared" si="60"/>
        <v/>
      </c>
      <c r="FR7" s="7" t="str">
        <f t="shared" si="61"/>
        <v/>
      </c>
      <c r="FS7" s="7" t="str">
        <f t="shared" si="62"/>
        <v/>
      </c>
      <c r="FT7" s="7" t="str">
        <f t="shared" si="63"/>
        <v/>
      </c>
      <c r="FU7" s="7" t="str">
        <f t="shared" si="64"/>
        <v/>
      </c>
      <c r="FV7" s="7" t="str">
        <f t="shared" si="65"/>
        <v/>
      </c>
      <c r="FW7" s="7" t="str">
        <f t="shared" si="66"/>
        <v/>
      </c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9" t="str">
        <f t="shared" si="67"/>
        <v/>
      </c>
      <c r="GN7" s="9" t="str">
        <f t="shared" si="68"/>
        <v/>
      </c>
      <c r="GO7" s="9" t="str">
        <f t="shared" si="69"/>
        <v/>
      </c>
      <c r="GP7" s="9" t="str">
        <f t="shared" si="70"/>
        <v/>
      </c>
      <c r="GQ7" s="9" t="str">
        <f t="shared" si="71"/>
        <v/>
      </c>
      <c r="GR7" s="9" t="str">
        <f t="shared" si="72"/>
        <v/>
      </c>
      <c r="GS7" s="9" t="str">
        <f t="shared" si="73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 t="shared" si="74"/>
        <v/>
      </c>
      <c r="HJ7" s="7" t="str">
        <f t="shared" si="75"/>
        <v/>
      </c>
      <c r="HK7" s="7" t="str">
        <f t="shared" si="76"/>
        <v/>
      </c>
      <c r="HL7" s="7" t="str">
        <f t="shared" si="77"/>
        <v/>
      </c>
      <c r="HM7" s="7" t="str">
        <f t="shared" si="78"/>
        <v/>
      </c>
      <c r="HN7" s="7" t="str">
        <f t="shared" si="79"/>
        <v/>
      </c>
      <c r="HO7" s="7" t="str">
        <f t="shared" si="80"/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 t="shared" si="81"/>
        <v/>
      </c>
      <c r="IF7" s="9" t="str">
        <f t="shared" si="82"/>
        <v/>
      </c>
      <c r="IG7" s="9" t="str">
        <f t="shared" si="83"/>
        <v/>
      </c>
      <c r="IH7" s="9" t="str">
        <f t="shared" si="84"/>
        <v/>
      </c>
      <c r="II7" s="9" t="str">
        <f t="shared" si="85"/>
        <v/>
      </c>
      <c r="IJ7" s="9" t="str">
        <f t="shared" si="86"/>
        <v/>
      </c>
      <c r="IK7" s="9" t="str">
        <f t="shared" si="87"/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 t="shared" si="88"/>
        <v/>
      </c>
      <c r="JB7" s="7" t="str">
        <f t="shared" si="89"/>
        <v/>
      </c>
      <c r="JC7" s="7" t="str">
        <f t="shared" si="90"/>
        <v/>
      </c>
      <c r="JD7" s="7" t="str">
        <f t="shared" si="91"/>
        <v/>
      </c>
      <c r="JE7" s="7" t="str">
        <f t="shared" si="92"/>
        <v/>
      </c>
      <c r="JF7" s="7" t="str">
        <f t="shared" si="93"/>
        <v/>
      </c>
      <c r="JG7" s="7" t="str">
        <f t="shared" si="94"/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 t="shared" si="95"/>
        <v/>
      </c>
      <c r="JX7" s="9" t="str">
        <f t="shared" si="96"/>
        <v/>
      </c>
      <c r="JY7" s="9" t="str">
        <f t="shared" si="97"/>
        <v/>
      </c>
      <c r="JZ7" s="9" t="str">
        <f t="shared" si="98"/>
        <v/>
      </c>
      <c r="KA7" s="9" t="str">
        <f t="shared" si="99"/>
        <v/>
      </c>
      <c r="KB7" s="9" t="str">
        <f t="shared" si="100"/>
        <v/>
      </c>
      <c r="KC7" s="9" t="str">
        <f t="shared" si="101"/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 t="shared" si="102"/>
        <v/>
      </c>
      <c r="KT7" s="7" t="str">
        <f t="shared" si="103"/>
        <v/>
      </c>
      <c r="KU7" s="7" t="str">
        <f t="shared" si="104"/>
        <v/>
      </c>
      <c r="KV7" s="7" t="str">
        <f t="shared" si="105"/>
        <v/>
      </c>
      <c r="KW7" s="7" t="str">
        <f t="shared" si="106"/>
        <v/>
      </c>
      <c r="KX7" s="7" t="str">
        <f t="shared" si="107"/>
        <v/>
      </c>
      <c r="KY7" s="7" t="str">
        <f t="shared" si="108"/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 t="shared" si="109"/>
        <v/>
      </c>
      <c r="LP7" s="9" t="str">
        <f t="shared" si="110"/>
        <v/>
      </c>
      <c r="LQ7" s="9" t="str">
        <f t="shared" si="111"/>
        <v/>
      </c>
      <c r="LR7" s="9" t="str">
        <f t="shared" si="112"/>
        <v/>
      </c>
      <c r="LS7" s="9" t="str">
        <f t="shared" si="113"/>
        <v/>
      </c>
      <c r="LT7" s="9" t="str">
        <f t="shared" si="114"/>
        <v/>
      </c>
      <c r="LU7" s="9" t="str">
        <f t="shared" si="115"/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 t="shared" si="116"/>
        <v/>
      </c>
      <c r="ML7" s="7" t="str">
        <f t="shared" si="117"/>
        <v/>
      </c>
      <c r="MM7" s="7" t="str">
        <f t="shared" si="118"/>
        <v/>
      </c>
      <c r="MN7" s="7" t="str">
        <f t="shared" si="119"/>
        <v/>
      </c>
      <c r="MO7" s="7" t="str">
        <f t="shared" si="120"/>
        <v/>
      </c>
      <c r="MP7" s="7" t="str">
        <f t="shared" si="121"/>
        <v/>
      </c>
      <c r="MQ7" s="7" t="str">
        <f t="shared" si="122"/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 t="shared" si="123"/>
        <v/>
      </c>
      <c r="NH7" s="9" t="str">
        <f t="shared" si="124"/>
        <v/>
      </c>
      <c r="NI7" s="9" t="str">
        <f t="shared" si="125"/>
        <v/>
      </c>
      <c r="NJ7" s="9" t="str">
        <f t="shared" si="126"/>
        <v/>
      </c>
      <c r="NK7" s="9" t="str">
        <f t="shared" si="127"/>
        <v/>
      </c>
      <c r="NL7" s="9" t="str">
        <f t="shared" si="128"/>
        <v/>
      </c>
      <c r="NM7" s="9" t="str">
        <f t="shared" si="129"/>
        <v/>
      </c>
      <c r="NN7" s="27">
        <f t="shared" si="130"/>
        <v>16.649999999999999</v>
      </c>
      <c r="NO7" s="27">
        <f t="shared" si="130"/>
        <v>9.3000000000000007</v>
      </c>
      <c r="NP7" s="27">
        <f t="shared" si="130"/>
        <v>0</v>
      </c>
      <c r="NQ7" s="27">
        <f t="shared" si="130"/>
        <v>14.190000000000001</v>
      </c>
      <c r="NR7" s="27">
        <f t="shared" si="130"/>
        <v>0</v>
      </c>
      <c r="NS7" s="27">
        <f t="shared" si="130"/>
        <v>8.5</v>
      </c>
      <c r="NT7" s="27">
        <f t="shared" si="130"/>
        <v>5.55</v>
      </c>
      <c r="NU7" s="27">
        <f t="shared" si="130"/>
        <v>6.35</v>
      </c>
      <c r="NV7" s="27">
        <f t="shared" si="130"/>
        <v>8.2899999999999991</v>
      </c>
      <c r="NW7" s="27">
        <f t="shared" si="130"/>
        <v>0</v>
      </c>
      <c r="NX7" s="27">
        <f t="shared" si="131"/>
        <v>0</v>
      </c>
      <c r="NY7" s="27">
        <f t="shared" si="131"/>
        <v>0</v>
      </c>
      <c r="NZ7" s="27">
        <f t="shared" si="131"/>
        <v>0</v>
      </c>
      <c r="OA7" s="27">
        <f t="shared" si="131"/>
        <v>0</v>
      </c>
      <c r="OB7" s="27">
        <f t="shared" si="131"/>
        <v>0</v>
      </c>
      <c r="OC7" s="27">
        <f t="shared" si="131"/>
        <v>7.35</v>
      </c>
      <c r="OD7" s="27">
        <f t="shared" si="131"/>
        <v>4.6500000000000004</v>
      </c>
      <c r="OE7" s="27">
        <f t="shared" si="131"/>
        <v>5.0999999999999996</v>
      </c>
      <c r="OF7" s="27">
        <f t="shared" si="131"/>
        <v>6.86</v>
      </c>
      <c r="OG7" s="27">
        <f t="shared" si="131"/>
        <v>0</v>
      </c>
      <c r="OH7" s="32" t="s">
        <v>44</v>
      </c>
      <c r="OI7" s="7">
        <f t="shared" si="132"/>
        <v>40.14</v>
      </c>
      <c r="OJ7" s="7">
        <f t="shared" si="133"/>
        <v>6.35</v>
      </c>
      <c r="OK7" s="7">
        <f t="shared" si="134"/>
        <v>28.689999999999998</v>
      </c>
      <c r="OL7" s="7" t="str">
        <f t="shared" si="135"/>
        <v/>
      </c>
      <c r="OM7" s="7" t="str">
        <f t="shared" si="136"/>
        <v/>
      </c>
      <c r="ON7" s="7">
        <f t="shared" si="137"/>
        <v>68.83</v>
      </c>
      <c r="OO7" s="7">
        <f t="shared" si="138"/>
        <v>5.0999999999999996</v>
      </c>
      <c r="OP7" s="7">
        <f t="shared" ref="OP7" si="145">IF(SUM(OC7:OF7)-OG7&gt;0,SUM(OC7:OF7)-OG7,"")</f>
        <v>23.96</v>
      </c>
      <c r="OQ7" s="7">
        <f t="shared" ref="OQ7" si="146">IF(SUM(ON7,OP7)&gt;0,SUM(ON7,OP7),"")</f>
        <v>92.789999999999992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91</v>
      </c>
      <c r="C8" s="4" t="s">
        <v>66</v>
      </c>
      <c r="D8" s="4">
        <v>2008</v>
      </c>
      <c r="E8" s="10">
        <f t="shared" si="0"/>
        <v>211.11</v>
      </c>
      <c r="F8" s="3" t="str">
        <f t="shared" si="1"/>
        <v/>
      </c>
      <c r="G8" s="3" t="str">
        <f t="shared" si="2"/>
        <v/>
      </c>
      <c r="H8" s="47" t="str">
        <f t="shared" si="3"/>
        <v/>
      </c>
      <c r="I8" s="9">
        <f t="shared" si="4"/>
        <v>83.289999999999992</v>
      </c>
      <c r="J8" s="9" t="str">
        <f t="shared" si="5"/>
        <v>2023 Nationals</v>
      </c>
      <c r="K8" s="9">
        <f t="shared" si="6"/>
        <v>39.71</v>
      </c>
      <c r="L8" s="9" t="str">
        <f t="shared" si="7"/>
        <v>2024 Elite Canada</v>
      </c>
      <c r="M8" s="9">
        <f t="shared" si="8"/>
        <v>41.53</v>
      </c>
      <c r="N8" s="9" t="str">
        <f t="shared" si="9"/>
        <v>2023 3rd Domestic Trial</v>
      </c>
      <c r="O8" s="9">
        <f t="shared" si="10"/>
        <v>46.58</v>
      </c>
      <c r="P8" s="9" t="str">
        <f t="shared" si="11"/>
        <v>2023 Nationals</v>
      </c>
      <c r="Q8" s="9" t="str">
        <f t="shared" si="12"/>
        <v/>
      </c>
      <c r="R8" s="14" t="str">
        <f t="shared" si="13"/>
        <v/>
      </c>
      <c r="S8" s="9" t="str">
        <f t="shared" si="14"/>
        <v/>
      </c>
      <c r="T8" s="27">
        <v>15.5</v>
      </c>
      <c r="U8" s="27">
        <v>9.4</v>
      </c>
      <c r="V8" s="27">
        <v>0</v>
      </c>
      <c r="W8" s="27">
        <v>14.14</v>
      </c>
      <c r="X8" s="27">
        <v>0</v>
      </c>
      <c r="Y8" s="27">
        <v>12.6</v>
      </c>
      <c r="Z8" s="27">
        <v>8.9</v>
      </c>
      <c r="AA8" s="27">
        <v>9.6</v>
      </c>
      <c r="AB8" s="27">
        <v>13.15</v>
      </c>
      <c r="AC8" s="27">
        <v>0</v>
      </c>
      <c r="AD8" s="27"/>
      <c r="AE8" s="27"/>
      <c r="AF8" s="27"/>
      <c r="AG8" s="27"/>
      <c r="AH8" s="27"/>
      <c r="AI8" s="27">
        <v>14.3</v>
      </c>
      <c r="AJ8" s="27">
        <v>9.1</v>
      </c>
      <c r="AK8" s="27">
        <v>9.6</v>
      </c>
      <c r="AL8" s="27">
        <v>13.58</v>
      </c>
      <c r="AM8" s="27">
        <v>0</v>
      </c>
      <c r="AN8" s="32"/>
      <c r="AO8" s="7">
        <f t="shared" si="15"/>
        <v>39.04</v>
      </c>
      <c r="AP8" s="7">
        <f t="shared" si="16"/>
        <v>9.6</v>
      </c>
      <c r="AQ8" s="7">
        <f t="shared" si="17"/>
        <v>44.25</v>
      </c>
      <c r="AR8" s="7" t="str">
        <f t="shared" si="18"/>
        <v/>
      </c>
      <c r="AS8" s="7" t="str">
        <f t="shared" si="19"/>
        <v/>
      </c>
      <c r="AT8" s="7">
        <f t="shared" si="20"/>
        <v>83.289999999999992</v>
      </c>
      <c r="AU8" s="7">
        <f t="shared" si="21"/>
        <v>9.6</v>
      </c>
      <c r="AV8" s="7">
        <f t="shared" si="22"/>
        <v>46.58</v>
      </c>
      <c r="AW8" s="7">
        <f t="shared" si="23"/>
        <v>129.87</v>
      </c>
      <c r="AX8" s="31">
        <v>3.2</v>
      </c>
      <c r="AY8" s="31">
        <v>1.8</v>
      </c>
      <c r="AZ8" s="31">
        <v>0</v>
      </c>
      <c r="BA8" s="31">
        <v>2.9</v>
      </c>
      <c r="BB8" s="31">
        <v>0</v>
      </c>
      <c r="BC8" s="31">
        <v>12.1</v>
      </c>
      <c r="BD8" s="31">
        <v>7.9</v>
      </c>
      <c r="BE8" s="31">
        <v>8.8999999999999986</v>
      </c>
      <c r="BF8" s="31">
        <v>12.63</v>
      </c>
      <c r="BG8" s="31">
        <v>0</v>
      </c>
      <c r="BH8" s="31"/>
      <c r="BI8" s="31"/>
      <c r="BJ8" s="31"/>
      <c r="BK8" s="31"/>
      <c r="BL8" s="31"/>
      <c r="BM8" s="31"/>
      <c r="BN8" s="31"/>
      <c r="BO8" s="31"/>
      <c r="BP8" s="31"/>
      <c r="BQ8" s="31"/>
      <c r="BR8" s="33"/>
      <c r="BS8" s="9">
        <f t="shared" si="24"/>
        <v>7.9</v>
      </c>
      <c r="BT8" s="9">
        <f t="shared" si="25"/>
        <v>8.8999999999999986</v>
      </c>
      <c r="BU8" s="9">
        <f t="shared" si="26"/>
        <v>41.53</v>
      </c>
      <c r="BV8" s="9" t="str">
        <f t="shared" si="27"/>
        <v/>
      </c>
      <c r="BW8" s="9" t="str">
        <f t="shared" si="28"/>
        <v/>
      </c>
      <c r="BX8" s="9">
        <f t="shared" si="29"/>
        <v>49.43</v>
      </c>
      <c r="BY8" s="9" t="str">
        <f t="shared" si="30"/>
        <v/>
      </c>
      <c r="BZ8" s="9" t="str">
        <f t="shared" si="31"/>
        <v/>
      </c>
      <c r="CA8" s="9">
        <f t="shared" si="32"/>
        <v>49.43</v>
      </c>
      <c r="CB8" s="27">
        <v>15.6</v>
      </c>
      <c r="CC8" s="27">
        <v>9.6</v>
      </c>
      <c r="CD8" s="27">
        <v>0</v>
      </c>
      <c r="CE8" s="27">
        <v>14.51</v>
      </c>
      <c r="CF8" s="27">
        <v>0</v>
      </c>
      <c r="CG8" s="27">
        <v>1.4</v>
      </c>
      <c r="CH8" s="27">
        <v>0.9</v>
      </c>
      <c r="CI8" s="27">
        <v>1.5</v>
      </c>
      <c r="CJ8" s="27">
        <v>1.54</v>
      </c>
      <c r="CK8" s="27">
        <v>0</v>
      </c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>
        <f t="shared" si="33"/>
        <v>39.71</v>
      </c>
      <c r="CX8" s="7">
        <f t="shared" si="34"/>
        <v>1.5</v>
      </c>
      <c r="CY8" s="7">
        <f t="shared" si="35"/>
        <v>5.34</v>
      </c>
      <c r="CZ8" s="7" t="str">
        <f t="shared" si="36"/>
        <v/>
      </c>
      <c r="DA8" s="7" t="str">
        <f t="shared" si="37"/>
        <v/>
      </c>
      <c r="DB8" s="7">
        <f t="shared" si="38"/>
        <v>45.05</v>
      </c>
      <c r="DC8" s="7" t="str">
        <f t="shared" si="39"/>
        <v/>
      </c>
      <c r="DD8" s="7" t="str">
        <f t="shared" si="40"/>
        <v/>
      </c>
      <c r="DE8" s="7">
        <f t="shared" si="41"/>
        <v>45.05</v>
      </c>
      <c r="DF8" s="13" t="str">
        <f t="shared" si="42"/>
        <v/>
      </c>
      <c r="DG8" s="13" t="str">
        <f t="shared" si="43"/>
        <v/>
      </c>
      <c r="DH8" s="13" t="str">
        <f t="shared" si="44"/>
        <v/>
      </c>
      <c r="DI8" s="13" t="str">
        <f t="shared" si="45"/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 t="shared" si="46"/>
        <v/>
      </c>
      <c r="DZ8" s="7" t="str">
        <f t="shared" si="47"/>
        <v/>
      </c>
      <c r="EA8" s="7" t="str">
        <f t="shared" si="48"/>
        <v/>
      </c>
      <c r="EB8" s="7" t="str">
        <f t="shared" si="49"/>
        <v/>
      </c>
      <c r="EC8" s="7" t="str">
        <f t="shared" si="50"/>
        <v/>
      </c>
      <c r="ED8" s="7" t="str">
        <f t="shared" si="51"/>
        <v/>
      </c>
      <c r="EE8" s="7" t="str">
        <f t="shared" si="52"/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 t="shared" si="53"/>
        <v/>
      </c>
      <c r="EV8" s="9" t="str">
        <f t="shared" si="54"/>
        <v/>
      </c>
      <c r="EW8" s="9" t="str">
        <f t="shared" si="55"/>
        <v/>
      </c>
      <c r="EX8" s="9" t="str">
        <f t="shared" si="56"/>
        <v/>
      </c>
      <c r="EY8" s="9" t="str">
        <f t="shared" si="57"/>
        <v/>
      </c>
      <c r="EZ8" s="9" t="str">
        <f t="shared" si="58"/>
        <v/>
      </c>
      <c r="FA8" s="9" t="str">
        <f t="shared" si="59"/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 t="shared" si="60"/>
        <v/>
      </c>
      <c r="FR8" s="7" t="str">
        <f t="shared" si="61"/>
        <v/>
      </c>
      <c r="FS8" s="7" t="str">
        <f t="shared" si="62"/>
        <v/>
      </c>
      <c r="FT8" s="7" t="str">
        <f t="shared" si="63"/>
        <v/>
      </c>
      <c r="FU8" s="7" t="str">
        <f t="shared" si="64"/>
        <v/>
      </c>
      <c r="FV8" s="7" t="str">
        <f t="shared" si="65"/>
        <v/>
      </c>
      <c r="FW8" s="7" t="str">
        <f t="shared" si="66"/>
        <v/>
      </c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9" t="str">
        <f t="shared" si="67"/>
        <v/>
      </c>
      <c r="GN8" s="9" t="str">
        <f t="shared" si="68"/>
        <v/>
      </c>
      <c r="GO8" s="9" t="str">
        <f t="shared" si="69"/>
        <v/>
      </c>
      <c r="GP8" s="9" t="str">
        <f t="shared" si="70"/>
        <v/>
      </c>
      <c r="GQ8" s="9" t="str">
        <f t="shared" si="71"/>
        <v/>
      </c>
      <c r="GR8" s="9" t="str">
        <f t="shared" si="72"/>
        <v/>
      </c>
      <c r="GS8" s="9" t="str">
        <f t="shared" si="73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 t="shared" si="74"/>
        <v/>
      </c>
      <c r="HJ8" s="7" t="str">
        <f t="shared" si="75"/>
        <v/>
      </c>
      <c r="HK8" s="7" t="str">
        <f t="shared" si="76"/>
        <v/>
      </c>
      <c r="HL8" s="7" t="str">
        <f t="shared" si="77"/>
        <v/>
      </c>
      <c r="HM8" s="7" t="str">
        <f t="shared" si="78"/>
        <v/>
      </c>
      <c r="HN8" s="7" t="str">
        <f t="shared" si="79"/>
        <v/>
      </c>
      <c r="HO8" s="7" t="str">
        <f t="shared" si="80"/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 t="shared" si="81"/>
        <v/>
      </c>
      <c r="IF8" s="9" t="str">
        <f t="shared" si="82"/>
        <v/>
      </c>
      <c r="IG8" s="9" t="str">
        <f t="shared" si="83"/>
        <v/>
      </c>
      <c r="IH8" s="9" t="str">
        <f t="shared" si="84"/>
        <v/>
      </c>
      <c r="II8" s="9" t="str">
        <f t="shared" si="85"/>
        <v/>
      </c>
      <c r="IJ8" s="9" t="str">
        <f t="shared" si="86"/>
        <v/>
      </c>
      <c r="IK8" s="9" t="str">
        <f t="shared" si="87"/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 t="shared" si="88"/>
        <v/>
      </c>
      <c r="JB8" s="7" t="str">
        <f t="shared" si="89"/>
        <v/>
      </c>
      <c r="JC8" s="7" t="str">
        <f t="shared" si="90"/>
        <v/>
      </c>
      <c r="JD8" s="7" t="str">
        <f t="shared" si="91"/>
        <v/>
      </c>
      <c r="JE8" s="7" t="str">
        <f t="shared" si="92"/>
        <v/>
      </c>
      <c r="JF8" s="7" t="str">
        <f t="shared" si="93"/>
        <v/>
      </c>
      <c r="JG8" s="7" t="str">
        <f t="shared" si="94"/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 t="shared" si="95"/>
        <v/>
      </c>
      <c r="JX8" s="9" t="str">
        <f t="shared" si="96"/>
        <v/>
      </c>
      <c r="JY8" s="9" t="str">
        <f t="shared" si="97"/>
        <v/>
      </c>
      <c r="JZ8" s="9" t="str">
        <f t="shared" si="98"/>
        <v/>
      </c>
      <c r="KA8" s="9" t="str">
        <f t="shared" si="99"/>
        <v/>
      </c>
      <c r="KB8" s="9" t="str">
        <f t="shared" si="100"/>
        <v/>
      </c>
      <c r="KC8" s="9" t="str">
        <f t="shared" si="101"/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 t="shared" si="102"/>
        <v/>
      </c>
      <c r="KT8" s="7" t="str">
        <f t="shared" si="103"/>
        <v/>
      </c>
      <c r="KU8" s="7" t="str">
        <f t="shared" si="104"/>
        <v/>
      </c>
      <c r="KV8" s="7" t="str">
        <f t="shared" si="105"/>
        <v/>
      </c>
      <c r="KW8" s="7" t="str">
        <f t="shared" si="106"/>
        <v/>
      </c>
      <c r="KX8" s="7" t="str">
        <f t="shared" si="107"/>
        <v/>
      </c>
      <c r="KY8" s="7" t="str">
        <f t="shared" si="108"/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 t="shared" si="109"/>
        <v/>
      </c>
      <c r="LP8" s="9" t="str">
        <f t="shared" si="110"/>
        <v/>
      </c>
      <c r="LQ8" s="9" t="str">
        <f t="shared" si="111"/>
        <v/>
      </c>
      <c r="LR8" s="9" t="str">
        <f t="shared" si="112"/>
        <v/>
      </c>
      <c r="LS8" s="9" t="str">
        <f t="shared" si="113"/>
        <v/>
      </c>
      <c r="LT8" s="9" t="str">
        <f t="shared" si="114"/>
        <v/>
      </c>
      <c r="LU8" s="9" t="str">
        <f t="shared" si="115"/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 t="shared" si="116"/>
        <v/>
      </c>
      <c r="ML8" s="7" t="str">
        <f t="shared" si="117"/>
        <v/>
      </c>
      <c r="MM8" s="7" t="str">
        <f t="shared" si="118"/>
        <v/>
      </c>
      <c r="MN8" s="7" t="str">
        <f t="shared" si="119"/>
        <v/>
      </c>
      <c r="MO8" s="7" t="str">
        <f t="shared" si="120"/>
        <v/>
      </c>
      <c r="MP8" s="7" t="str">
        <f t="shared" si="121"/>
        <v/>
      </c>
      <c r="MQ8" s="7" t="str">
        <f t="shared" si="122"/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 t="shared" si="123"/>
        <v/>
      </c>
      <c r="NH8" s="9" t="str">
        <f t="shared" si="124"/>
        <v/>
      </c>
      <c r="NI8" s="9" t="str">
        <f t="shared" si="125"/>
        <v/>
      </c>
      <c r="NJ8" s="9" t="str">
        <f t="shared" si="126"/>
        <v/>
      </c>
      <c r="NK8" s="9" t="str">
        <f t="shared" si="127"/>
        <v/>
      </c>
      <c r="NL8" s="9" t="str">
        <f t="shared" si="128"/>
        <v/>
      </c>
      <c r="NM8" s="9" t="str">
        <f t="shared" si="129"/>
        <v/>
      </c>
      <c r="NN8" s="27">
        <f t="shared" si="130"/>
        <v>9.4</v>
      </c>
      <c r="NO8" s="27">
        <f t="shared" si="130"/>
        <v>5.7</v>
      </c>
      <c r="NP8" s="27">
        <f t="shared" si="130"/>
        <v>0</v>
      </c>
      <c r="NQ8" s="27">
        <f t="shared" si="130"/>
        <v>8.7050000000000001</v>
      </c>
      <c r="NR8" s="27">
        <f t="shared" si="130"/>
        <v>0</v>
      </c>
      <c r="NS8" s="27">
        <f t="shared" si="130"/>
        <v>6.75</v>
      </c>
      <c r="NT8" s="27">
        <f t="shared" si="130"/>
        <v>4.4000000000000004</v>
      </c>
      <c r="NU8" s="27">
        <f t="shared" si="130"/>
        <v>5.1999999999999993</v>
      </c>
      <c r="NV8" s="27">
        <f t="shared" si="130"/>
        <v>7.0850000000000009</v>
      </c>
      <c r="NW8" s="27">
        <f t="shared" si="130"/>
        <v>0</v>
      </c>
      <c r="NX8" s="27">
        <f t="shared" si="131"/>
        <v>0</v>
      </c>
      <c r="NY8" s="27">
        <f t="shared" si="131"/>
        <v>0</v>
      </c>
      <c r="NZ8" s="27">
        <f t="shared" si="131"/>
        <v>0</v>
      </c>
      <c r="OA8" s="27">
        <f t="shared" si="131"/>
        <v>0</v>
      </c>
      <c r="OB8" s="27">
        <f t="shared" si="131"/>
        <v>0</v>
      </c>
      <c r="OC8" s="27">
        <f t="shared" si="131"/>
        <v>0</v>
      </c>
      <c r="OD8" s="27">
        <f t="shared" si="131"/>
        <v>0</v>
      </c>
      <c r="OE8" s="27">
        <f t="shared" si="131"/>
        <v>0</v>
      </c>
      <c r="OF8" s="27">
        <f t="shared" si="131"/>
        <v>0</v>
      </c>
      <c r="OG8" s="27">
        <f t="shared" si="131"/>
        <v>0</v>
      </c>
      <c r="OH8" s="32" t="s">
        <v>44</v>
      </c>
      <c r="OI8" s="7">
        <f t="shared" si="132"/>
        <v>23.805</v>
      </c>
      <c r="OJ8" s="7">
        <f t="shared" si="133"/>
        <v>5.1999999999999993</v>
      </c>
      <c r="OK8" s="7">
        <f t="shared" si="134"/>
        <v>23.435000000000002</v>
      </c>
      <c r="OL8" s="7" t="str">
        <f t="shared" si="135"/>
        <v/>
      </c>
      <c r="OM8" s="7" t="str">
        <f t="shared" si="136"/>
        <v/>
      </c>
      <c r="ON8" s="7">
        <f t="shared" si="137"/>
        <v>47.24</v>
      </c>
      <c r="OO8" s="7" t="str">
        <f t="shared" si="138"/>
        <v/>
      </c>
      <c r="OP8" s="7" t="str">
        <f t="shared" ref="OP8" si="147">IF(SUM(OC8:OF8)-OG8&gt;0,SUM(OC8:OF8)-OG8,"")</f>
        <v/>
      </c>
      <c r="OQ8" s="7">
        <f t="shared" ref="OQ8" si="148">IF(SUM(ON8,OP8)&gt;0,SUM(ON8,OP8),"")</f>
        <v>47.24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87</v>
      </c>
      <c r="C9" s="4" t="s">
        <v>66</v>
      </c>
      <c r="D9" s="4">
        <v>2008</v>
      </c>
      <c r="E9" s="10">
        <f t="shared" si="0"/>
        <v>206.73000000000002</v>
      </c>
      <c r="F9" s="3" t="str">
        <f t="shared" si="1"/>
        <v/>
      </c>
      <c r="G9" s="3" t="str">
        <f t="shared" si="2"/>
        <v/>
      </c>
      <c r="H9" s="47" t="str">
        <f t="shared" si="3"/>
        <v/>
      </c>
      <c r="I9" s="9">
        <f t="shared" si="4"/>
        <v>80.010000000000005</v>
      </c>
      <c r="J9" s="9" t="str">
        <f t="shared" si="5"/>
        <v>2023 Nationals</v>
      </c>
      <c r="K9" s="9">
        <f t="shared" si="6"/>
        <v>39.549999999999997</v>
      </c>
      <c r="L9" s="9" t="str">
        <f t="shared" si="7"/>
        <v>2024 Elite Canada</v>
      </c>
      <c r="M9" s="9">
        <f t="shared" si="8"/>
        <v>22.689999999999998</v>
      </c>
      <c r="N9" s="9" t="str">
        <f t="shared" si="9"/>
        <v>2024 Elite Canada</v>
      </c>
      <c r="O9" s="9">
        <f t="shared" si="10"/>
        <v>46.11</v>
      </c>
      <c r="P9" s="9" t="str">
        <f t="shared" si="11"/>
        <v>2024 Elite Canada</v>
      </c>
      <c r="Q9" s="9">
        <f t="shared" si="12"/>
        <v>18.370000000000005</v>
      </c>
      <c r="R9" s="14" t="str">
        <f t="shared" si="13"/>
        <v>(Vol 2)</v>
      </c>
      <c r="S9" s="9" t="str">
        <f t="shared" si="14"/>
        <v>2023 WAGC (Nov 16)</v>
      </c>
      <c r="T9" s="27">
        <v>15.1</v>
      </c>
      <c r="U9" s="27">
        <v>9.5</v>
      </c>
      <c r="V9" s="27">
        <v>0</v>
      </c>
      <c r="W9" s="27">
        <v>12.85</v>
      </c>
      <c r="X9" s="27">
        <v>0</v>
      </c>
      <c r="Y9" s="27">
        <v>11</v>
      </c>
      <c r="Z9" s="27">
        <v>9.1</v>
      </c>
      <c r="AA9" s="27">
        <v>9.8000000000000007</v>
      </c>
      <c r="AB9" s="27">
        <v>12.66</v>
      </c>
      <c r="AC9" s="27">
        <v>0</v>
      </c>
      <c r="AD9" s="27"/>
      <c r="AE9" s="27"/>
      <c r="AF9" s="27"/>
      <c r="AG9" s="27"/>
      <c r="AH9" s="27"/>
      <c r="AI9" s="27">
        <v>6.9</v>
      </c>
      <c r="AJ9" s="27">
        <v>4.5999999999999996</v>
      </c>
      <c r="AK9" s="27">
        <v>5.4</v>
      </c>
      <c r="AL9" s="27">
        <v>6.48</v>
      </c>
      <c r="AM9" s="27">
        <v>0</v>
      </c>
      <c r="AN9" s="32"/>
      <c r="AO9" s="7">
        <f t="shared" si="15"/>
        <v>37.450000000000003</v>
      </c>
      <c r="AP9" s="7">
        <f t="shared" si="16"/>
        <v>9.8000000000000007</v>
      </c>
      <c r="AQ9" s="7">
        <f t="shared" si="17"/>
        <v>42.56</v>
      </c>
      <c r="AR9" s="7" t="str">
        <f t="shared" si="18"/>
        <v/>
      </c>
      <c r="AS9" s="7" t="str">
        <f t="shared" si="19"/>
        <v/>
      </c>
      <c r="AT9" s="7">
        <f t="shared" si="20"/>
        <v>80.010000000000005</v>
      </c>
      <c r="AU9" s="7">
        <f t="shared" si="21"/>
        <v>5.4</v>
      </c>
      <c r="AV9" s="7">
        <f t="shared" si="22"/>
        <v>23.38</v>
      </c>
      <c r="AW9" s="7">
        <f t="shared" si="23"/>
        <v>103.39</v>
      </c>
      <c r="AX9" s="31">
        <v>15.5</v>
      </c>
      <c r="AY9" s="31">
        <v>9.3000000000000007</v>
      </c>
      <c r="AZ9" s="31">
        <v>0</v>
      </c>
      <c r="BA9" s="31">
        <v>13.67</v>
      </c>
      <c r="BB9" s="31">
        <v>0</v>
      </c>
      <c r="BC9" s="31">
        <v>5.4</v>
      </c>
      <c r="BD9" s="31">
        <v>3.5</v>
      </c>
      <c r="BE9" s="31">
        <v>4.3</v>
      </c>
      <c r="BF9" s="31">
        <v>5.51</v>
      </c>
      <c r="BG9" s="31">
        <v>0</v>
      </c>
      <c r="BH9" s="31"/>
      <c r="BI9" s="31"/>
      <c r="BJ9" s="31"/>
      <c r="BK9" s="31"/>
      <c r="BL9" s="31"/>
      <c r="BM9" s="31">
        <v>14.1</v>
      </c>
      <c r="BN9" s="31">
        <v>8.6999999999999993</v>
      </c>
      <c r="BO9" s="31">
        <v>9.8000000000000007</v>
      </c>
      <c r="BP9" s="31">
        <v>13.28</v>
      </c>
      <c r="BQ9" s="31">
        <v>0</v>
      </c>
      <c r="BR9" s="33"/>
      <c r="BS9" s="9">
        <f t="shared" si="24"/>
        <v>38.47</v>
      </c>
      <c r="BT9" s="9">
        <f t="shared" si="25"/>
        <v>4.3</v>
      </c>
      <c r="BU9" s="9">
        <f t="shared" si="26"/>
        <v>18.71</v>
      </c>
      <c r="BV9" s="9" t="str">
        <f t="shared" si="27"/>
        <v/>
      </c>
      <c r="BW9" s="9" t="str">
        <f t="shared" si="28"/>
        <v/>
      </c>
      <c r="BX9" s="9">
        <f t="shared" si="29"/>
        <v>57.18</v>
      </c>
      <c r="BY9" s="9">
        <f t="shared" si="30"/>
        <v>9.8000000000000007</v>
      </c>
      <c r="BZ9" s="9">
        <f t="shared" si="31"/>
        <v>45.879999999999995</v>
      </c>
      <c r="CA9" s="9">
        <f t="shared" si="32"/>
        <v>103.06</v>
      </c>
      <c r="CB9" s="27">
        <v>16.399999999999999</v>
      </c>
      <c r="CC9" s="27">
        <v>10</v>
      </c>
      <c r="CD9" s="27">
        <v>0</v>
      </c>
      <c r="CE9" s="27">
        <v>13.15</v>
      </c>
      <c r="CF9" s="27">
        <v>0</v>
      </c>
      <c r="CG9" s="27">
        <v>6.6</v>
      </c>
      <c r="CH9" s="27">
        <v>4.4000000000000004</v>
      </c>
      <c r="CI9" s="27">
        <v>5.2</v>
      </c>
      <c r="CJ9" s="27">
        <v>6.49</v>
      </c>
      <c r="CK9" s="27">
        <v>0</v>
      </c>
      <c r="CL9" s="27"/>
      <c r="CM9" s="27"/>
      <c r="CN9" s="27"/>
      <c r="CO9" s="27"/>
      <c r="CP9" s="27"/>
      <c r="CQ9" s="27">
        <v>12.9</v>
      </c>
      <c r="CR9" s="27">
        <v>9.6999999999999993</v>
      </c>
      <c r="CS9" s="27">
        <v>10.5</v>
      </c>
      <c r="CT9" s="27">
        <v>13.01</v>
      </c>
      <c r="CU9" s="27">
        <v>0</v>
      </c>
      <c r="CV9" s="32"/>
      <c r="CW9" s="7">
        <f t="shared" si="33"/>
        <v>39.549999999999997</v>
      </c>
      <c r="CX9" s="7">
        <f t="shared" si="34"/>
        <v>5.2</v>
      </c>
      <c r="CY9" s="7">
        <f t="shared" si="35"/>
        <v>22.689999999999998</v>
      </c>
      <c r="CZ9" s="7" t="str">
        <f t="shared" si="36"/>
        <v/>
      </c>
      <c r="DA9" s="7" t="str">
        <f t="shared" si="37"/>
        <v/>
      </c>
      <c r="DB9" s="7">
        <f t="shared" si="38"/>
        <v>62.239999999999995</v>
      </c>
      <c r="DC9" s="7">
        <f t="shared" si="39"/>
        <v>10.5</v>
      </c>
      <c r="DD9" s="7">
        <f t="shared" si="40"/>
        <v>46.11</v>
      </c>
      <c r="DE9" s="7">
        <f t="shared" si="41"/>
        <v>108.35</v>
      </c>
      <c r="DF9" s="13" t="str">
        <f t="shared" si="42"/>
        <v/>
      </c>
      <c r="DG9" s="13">
        <f t="shared" si="43"/>
        <v>18.370000000000005</v>
      </c>
      <c r="DH9" s="13" t="str">
        <f t="shared" si="44"/>
        <v/>
      </c>
      <c r="DI9" s="13" t="str">
        <f t="shared" si="45"/>
        <v/>
      </c>
      <c r="DJ9" s="18">
        <v>15</v>
      </c>
      <c r="DK9" s="18">
        <v>9.6</v>
      </c>
      <c r="DL9" s="18">
        <v>0</v>
      </c>
      <c r="DM9" s="18">
        <v>13.61</v>
      </c>
      <c r="DN9" s="18">
        <v>0</v>
      </c>
      <c r="DO9" s="18">
        <v>12.3</v>
      </c>
      <c r="DP9" s="18">
        <v>8.4</v>
      </c>
      <c r="DQ9" s="18">
        <v>8.4</v>
      </c>
      <c r="DR9" s="18">
        <v>11.96</v>
      </c>
      <c r="DS9" s="18">
        <v>0</v>
      </c>
      <c r="DT9" s="18"/>
      <c r="DU9" s="18"/>
      <c r="DV9" s="18"/>
      <c r="DW9" s="18"/>
      <c r="DX9" s="18"/>
      <c r="DY9" s="7">
        <f t="shared" si="46"/>
        <v>8.4</v>
      </c>
      <c r="DZ9" s="7">
        <f t="shared" si="47"/>
        <v>38.21</v>
      </c>
      <c r="EA9" s="7">
        <f t="shared" si="48"/>
        <v>41.06</v>
      </c>
      <c r="EB9" s="7">
        <f t="shared" si="49"/>
        <v>79.27000000000001</v>
      </c>
      <c r="EC9" s="7" t="str">
        <f t="shared" si="50"/>
        <v/>
      </c>
      <c r="ED9" s="7" t="str">
        <f t="shared" si="51"/>
        <v/>
      </c>
      <c r="EE9" s="7">
        <f t="shared" si="52"/>
        <v>79.27000000000001</v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 t="shared" si="53"/>
        <v/>
      </c>
      <c r="EV9" s="9" t="str">
        <f t="shared" si="54"/>
        <v/>
      </c>
      <c r="EW9" s="9" t="str">
        <f t="shared" si="55"/>
        <v/>
      </c>
      <c r="EX9" s="9" t="str">
        <f t="shared" si="56"/>
        <v/>
      </c>
      <c r="EY9" s="9" t="str">
        <f t="shared" si="57"/>
        <v/>
      </c>
      <c r="EZ9" s="9" t="str">
        <f t="shared" si="58"/>
        <v/>
      </c>
      <c r="FA9" s="9" t="str">
        <f t="shared" si="59"/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 t="shared" si="60"/>
        <v/>
      </c>
      <c r="FR9" s="7" t="str">
        <f t="shared" si="61"/>
        <v/>
      </c>
      <c r="FS9" s="7" t="str">
        <f t="shared" si="62"/>
        <v/>
      </c>
      <c r="FT9" s="7" t="str">
        <f t="shared" si="63"/>
        <v/>
      </c>
      <c r="FU9" s="7" t="str">
        <f t="shared" si="64"/>
        <v/>
      </c>
      <c r="FV9" s="7" t="str">
        <f t="shared" si="65"/>
        <v/>
      </c>
      <c r="FW9" s="7" t="str">
        <f t="shared" si="66"/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 t="shared" si="67"/>
        <v/>
      </c>
      <c r="GN9" s="9" t="str">
        <f t="shared" si="68"/>
        <v/>
      </c>
      <c r="GO9" s="9" t="str">
        <f t="shared" si="69"/>
        <v/>
      </c>
      <c r="GP9" s="9" t="str">
        <f t="shared" si="70"/>
        <v/>
      </c>
      <c r="GQ9" s="9" t="str">
        <f t="shared" si="71"/>
        <v/>
      </c>
      <c r="GR9" s="9" t="str">
        <f t="shared" si="72"/>
        <v/>
      </c>
      <c r="GS9" s="9" t="str">
        <f t="shared" si="73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 t="shared" si="74"/>
        <v/>
      </c>
      <c r="HJ9" s="7" t="str">
        <f t="shared" si="75"/>
        <v/>
      </c>
      <c r="HK9" s="7" t="str">
        <f t="shared" si="76"/>
        <v/>
      </c>
      <c r="HL9" s="7" t="str">
        <f t="shared" si="77"/>
        <v/>
      </c>
      <c r="HM9" s="7" t="str">
        <f t="shared" si="78"/>
        <v/>
      </c>
      <c r="HN9" s="7" t="str">
        <f t="shared" si="79"/>
        <v/>
      </c>
      <c r="HO9" s="7" t="str">
        <f t="shared" si="80"/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 t="shared" si="81"/>
        <v/>
      </c>
      <c r="IF9" s="9" t="str">
        <f t="shared" si="82"/>
        <v/>
      </c>
      <c r="IG9" s="9" t="str">
        <f t="shared" si="83"/>
        <v/>
      </c>
      <c r="IH9" s="9" t="str">
        <f t="shared" si="84"/>
        <v/>
      </c>
      <c r="II9" s="9" t="str">
        <f t="shared" si="85"/>
        <v/>
      </c>
      <c r="IJ9" s="9" t="str">
        <f t="shared" si="86"/>
        <v/>
      </c>
      <c r="IK9" s="9" t="str">
        <f t="shared" si="87"/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 t="shared" si="88"/>
        <v/>
      </c>
      <c r="JB9" s="7" t="str">
        <f t="shared" si="89"/>
        <v/>
      </c>
      <c r="JC9" s="7" t="str">
        <f t="shared" si="90"/>
        <v/>
      </c>
      <c r="JD9" s="7" t="str">
        <f t="shared" si="91"/>
        <v/>
      </c>
      <c r="JE9" s="7" t="str">
        <f t="shared" si="92"/>
        <v/>
      </c>
      <c r="JF9" s="7" t="str">
        <f t="shared" si="93"/>
        <v/>
      </c>
      <c r="JG9" s="7" t="str">
        <f t="shared" si="94"/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 t="shared" si="95"/>
        <v/>
      </c>
      <c r="JX9" s="9" t="str">
        <f t="shared" si="96"/>
        <v/>
      </c>
      <c r="JY9" s="9" t="str">
        <f t="shared" si="97"/>
        <v/>
      </c>
      <c r="JZ9" s="9" t="str">
        <f t="shared" si="98"/>
        <v/>
      </c>
      <c r="KA9" s="9" t="str">
        <f t="shared" si="99"/>
        <v/>
      </c>
      <c r="KB9" s="9" t="str">
        <f t="shared" si="100"/>
        <v/>
      </c>
      <c r="KC9" s="9" t="str">
        <f t="shared" si="101"/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 t="shared" si="102"/>
        <v/>
      </c>
      <c r="KT9" s="7" t="str">
        <f t="shared" si="103"/>
        <v/>
      </c>
      <c r="KU9" s="7" t="str">
        <f t="shared" si="104"/>
        <v/>
      </c>
      <c r="KV9" s="7" t="str">
        <f t="shared" si="105"/>
        <v/>
      </c>
      <c r="KW9" s="7" t="str">
        <f t="shared" si="106"/>
        <v/>
      </c>
      <c r="KX9" s="7" t="str">
        <f t="shared" si="107"/>
        <v/>
      </c>
      <c r="KY9" s="7" t="str">
        <f t="shared" si="108"/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 t="shared" si="109"/>
        <v/>
      </c>
      <c r="LP9" s="9" t="str">
        <f t="shared" si="110"/>
        <v/>
      </c>
      <c r="LQ9" s="9" t="str">
        <f t="shared" si="111"/>
        <v/>
      </c>
      <c r="LR9" s="9" t="str">
        <f t="shared" si="112"/>
        <v/>
      </c>
      <c r="LS9" s="9" t="str">
        <f t="shared" si="113"/>
        <v/>
      </c>
      <c r="LT9" s="9" t="str">
        <f t="shared" si="114"/>
        <v/>
      </c>
      <c r="LU9" s="9" t="str">
        <f t="shared" si="115"/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 t="shared" si="116"/>
        <v/>
      </c>
      <c r="ML9" s="7" t="str">
        <f t="shared" si="117"/>
        <v/>
      </c>
      <c r="MM9" s="7" t="str">
        <f t="shared" si="118"/>
        <v/>
      </c>
      <c r="MN9" s="7" t="str">
        <f t="shared" si="119"/>
        <v/>
      </c>
      <c r="MO9" s="7" t="str">
        <f t="shared" si="120"/>
        <v/>
      </c>
      <c r="MP9" s="7" t="str">
        <f t="shared" si="121"/>
        <v/>
      </c>
      <c r="MQ9" s="7" t="str">
        <f t="shared" si="122"/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 t="shared" si="123"/>
        <v/>
      </c>
      <c r="NH9" s="9" t="str">
        <f t="shared" si="124"/>
        <v/>
      </c>
      <c r="NI9" s="9" t="str">
        <f t="shared" si="125"/>
        <v/>
      </c>
      <c r="NJ9" s="9" t="str">
        <f t="shared" si="126"/>
        <v/>
      </c>
      <c r="NK9" s="9" t="str">
        <f t="shared" si="127"/>
        <v/>
      </c>
      <c r="NL9" s="9" t="str">
        <f t="shared" si="128"/>
        <v/>
      </c>
      <c r="NM9" s="9" t="str">
        <f t="shared" si="129"/>
        <v/>
      </c>
      <c r="NN9" s="27">
        <f t="shared" si="130"/>
        <v>15.95</v>
      </c>
      <c r="NO9" s="27">
        <f t="shared" si="130"/>
        <v>9.65</v>
      </c>
      <c r="NP9" s="27">
        <f t="shared" si="130"/>
        <v>0</v>
      </c>
      <c r="NQ9" s="27">
        <f t="shared" si="130"/>
        <v>13.41</v>
      </c>
      <c r="NR9" s="27">
        <f t="shared" si="130"/>
        <v>0</v>
      </c>
      <c r="NS9" s="27">
        <f t="shared" si="130"/>
        <v>6</v>
      </c>
      <c r="NT9" s="27">
        <f t="shared" si="130"/>
        <v>3.95</v>
      </c>
      <c r="NU9" s="27">
        <f t="shared" si="130"/>
        <v>4.75</v>
      </c>
      <c r="NV9" s="27">
        <f t="shared" si="130"/>
        <v>6</v>
      </c>
      <c r="NW9" s="27">
        <f t="shared" si="130"/>
        <v>0</v>
      </c>
      <c r="NX9" s="27">
        <f t="shared" si="131"/>
        <v>0</v>
      </c>
      <c r="NY9" s="27">
        <f t="shared" si="131"/>
        <v>0</v>
      </c>
      <c r="NZ9" s="27">
        <f t="shared" si="131"/>
        <v>0</v>
      </c>
      <c r="OA9" s="27">
        <f t="shared" si="131"/>
        <v>0</v>
      </c>
      <c r="OB9" s="27">
        <f t="shared" si="131"/>
        <v>0</v>
      </c>
      <c r="OC9" s="27">
        <f t="shared" si="131"/>
        <v>13.5</v>
      </c>
      <c r="OD9" s="27">
        <f t="shared" si="131"/>
        <v>9.1999999999999993</v>
      </c>
      <c r="OE9" s="27">
        <f t="shared" si="131"/>
        <v>10.15</v>
      </c>
      <c r="OF9" s="27">
        <f t="shared" si="131"/>
        <v>13.145</v>
      </c>
      <c r="OG9" s="27">
        <f t="shared" si="131"/>
        <v>0</v>
      </c>
      <c r="OH9" s="32" t="s">
        <v>44</v>
      </c>
      <c r="OI9" s="7">
        <f t="shared" si="132"/>
        <v>39.010000000000005</v>
      </c>
      <c r="OJ9" s="7">
        <f t="shared" si="133"/>
        <v>4.75</v>
      </c>
      <c r="OK9" s="7">
        <f t="shared" si="134"/>
        <v>20.7</v>
      </c>
      <c r="OL9" s="7" t="str">
        <f t="shared" si="135"/>
        <v/>
      </c>
      <c r="OM9" s="7" t="str">
        <f t="shared" si="136"/>
        <v/>
      </c>
      <c r="ON9" s="7">
        <f t="shared" si="137"/>
        <v>59.710000000000008</v>
      </c>
      <c r="OO9" s="7">
        <f t="shared" si="138"/>
        <v>10.15</v>
      </c>
      <c r="OP9" s="7">
        <f t="shared" ref="OP9" si="149">IF(SUM(OC9:OF9)-OG9&gt;0,SUM(OC9:OF9)-OG9,"")</f>
        <v>45.995000000000005</v>
      </c>
      <c r="OQ9" s="7">
        <f t="shared" ref="OQ9" si="150">IF(SUM(ON9,OP9)&gt;0,SUM(ON9,OP9),"")</f>
        <v>105.70500000000001</v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6:OO9">
      <sortCondition descending="1" ref="F1:F10"/>
    </sortState>
  </autoFilter>
  <mergeCells count="88"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DJ2:DN2"/>
    <mergeCell ref="DO2:DS2"/>
    <mergeCell ref="DT2:DX2"/>
    <mergeCell ref="EF2:EJ2"/>
    <mergeCell ref="EK2:EO2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MR1:NM1"/>
    <mergeCell ref="DJ1:EE1"/>
    <mergeCell ref="EF1:FA1"/>
    <mergeCell ref="FB1:FW1"/>
    <mergeCell ref="FX1:GS1"/>
    <mergeCell ref="GT1:HO1"/>
    <mergeCell ref="HP1:IK1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84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92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96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137.40001374000474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46.7</v>
      </c>
      <c r="L4" s="9" t="str">
        <f>IF(K4=0,"",IF(K4=CP4,$BT$1,IF(K4=BO4,$AS$1,IF(K4=AN4,$R$1,""))))</f>
        <v>2023 3rd Domestic Trial</v>
      </c>
      <c r="M4" s="9">
        <f>IF(MAX(AQ4,BR4,CS4)&gt;0,MAX(AQ4,BR4,CS4),0)</f>
        <v>43.6</v>
      </c>
      <c r="N4" s="9" t="str">
        <f>IF(M4=0,"",IF(M4=CS4,$BT$1,IF(M4=BR4,$AS$1,IF(M4=AQ4,$R$1,""))))</f>
        <v>2023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14.8</v>
      </c>
      <c r="S4" s="20">
        <v>4.8</v>
      </c>
      <c r="T4" s="20">
        <v>0.2</v>
      </c>
      <c r="U4" s="20">
        <v>0.6</v>
      </c>
      <c r="V4" s="20">
        <v>15.9</v>
      </c>
      <c r="W4" s="20">
        <v>4.3</v>
      </c>
      <c r="X4" s="20">
        <v>0</v>
      </c>
      <c r="Y4" s="20">
        <v>0.3</v>
      </c>
      <c r="Z4" s="20">
        <v>15.6</v>
      </c>
      <c r="AA4" s="20">
        <v>4.8</v>
      </c>
      <c r="AB4" s="20">
        <v>0</v>
      </c>
      <c r="AC4" s="20">
        <v>0.6</v>
      </c>
      <c r="AD4" s="20">
        <v>16.5</v>
      </c>
      <c r="AE4" s="20">
        <v>4.8</v>
      </c>
      <c r="AF4" s="20">
        <v>0.2</v>
      </c>
      <c r="AG4" s="20">
        <v>0.6</v>
      </c>
      <c r="AH4" s="20">
        <v>16</v>
      </c>
      <c r="AI4" s="20">
        <v>5.3</v>
      </c>
      <c r="AJ4" s="20">
        <v>0</v>
      </c>
      <c r="AK4" s="20">
        <v>0.6</v>
      </c>
      <c r="AL4" s="32"/>
      <c r="AM4" s="55">
        <f>IF(SUM(S4,W4)&gt;0,SUM(S4,W4),"")</f>
        <v>9.1</v>
      </c>
      <c r="AN4" s="55">
        <f>IF(SUM(R4:S4,U4:W4,Y4)-T4-X4&gt;0,SUM(R4:S4,U4:W4,Y4)-T4-X4,"")</f>
        <v>40.499999999999993</v>
      </c>
      <c r="AO4" s="55">
        <f>IF(SUM(Z4:AA4,AC4)-AB4&gt;0,SUM(Z4:AA4,AC4)-AB4,"")</f>
        <v>21</v>
      </c>
      <c r="AP4" s="55">
        <f>IF(SUM(AE4,AI4)&gt;0,SUM(AE4,AI4),"")</f>
        <v>10.1</v>
      </c>
      <c r="AQ4" s="55">
        <f>IF(SUM(AD4:AE4,AG4:AI4,AK4)-SUM(AF4,AJ4)&gt;0,SUM(AD4:AE4,AG4:AI4,AK4)-SUM(AF4,AJ4),"")</f>
        <v>43.6</v>
      </c>
      <c r="AR4" s="55">
        <f>IF(SUM(AN4,AO4,AQ4)&gt;0,SUM(AN4,AO4,AQ4),"")</f>
        <v>105.1</v>
      </c>
      <c r="AS4" s="19">
        <v>17.399999999999999</v>
      </c>
      <c r="AT4" s="19">
        <v>5.3</v>
      </c>
      <c r="AU4" s="19">
        <v>0</v>
      </c>
      <c r="AV4" s="19">
        <v>0.6</v>
      </c>
      <c r="AW4" s="19">
        <v>17.3</v>
      </c>
      <c r="AX4" s="19">
        <v>5.5</v>
      </c>
      <c r="AY4" s="19">
        <v>0</v>
      </c>
      <c r="AZ4" s="19">
        <v>0.6</v>
      </c>
      <c r="BA4" s="19">
        <v>17</v>
      </c>
      <c r="BB4" s="19">
        <v>5.5</v>
      </c>
      <c r="BC4" s="19">
        <v>0</v>
      </c>
      <c r="BD4" s="19">
        <v>0.6</v>
      </c>
      <c r="BE4" s="19">
        <v>17</v>
      </c>
      <c r="BF4" s="19">
        <v>5.3</v>
      </c>
      <c r="BG4" s="19">
        <v>0</v>
      </c>
      <c r="BH4" s="19">
        <v>0.6</v>
      </c>
      <c r="BI4" s="19">
        <v>15.8</v>
      </c>
      <c r="BJ4" s="19">
        <v>3.3</v>
      </c>
      <c r="BK4" s="19">
        <v>0</v>
      </c>
      <c r="BL4" s="19">
        <v>0.6</v>
      </c>
      <c r="BM4" s="33"/>
      <c r="BN4" s="14">
        <f>IF(SUM(AT4,AX4)&gt;0,SUM(AT4,AX4),"")</f>
        <v>10.8</v>
      </c>
      <c r="BO4" s="14">
        <f>IF(SUM(AS4:AT4,AV4:AX4,AZ4)-AU4-AY4&gt;0,SUM(AS4:AT4,AV4:AX4,AZ4)-AU4-AY4,"")</f>
        <v>46.7</v>
      </c>
      <c r="BP4" s="14">
        <f>IF(SUM(BA4:BB4,BD4)-BC4&gt;0,SUM(BA4:BB4,BD4)-BC4,"")</f>
        <v>23.1</v>
      </c>
      <c r="BQ4" s="14">
        <f>IF(SUM(BF4,BJ4)&gt;0,SUM(BF4,BJ4),"")</f>
        <v>8.6</v>
      </c>
      <c r="BR4" s="14">
        <f>IF(SUM(BE4:BF4,BH4:BJ4,BL4)-SUM(BG4,BK4)&gt;0,SUM(BE4:BF4,BH4:BJ4,BL4)-SUM(BG4,BK4),"")</f>
        <v>42.6</v>
      </c>
      <c r="BS4" s="14">
        <f>IF(SUM(BO4,BP4,BR4)&gt;0,SUM(BO4,BP4,BR4),"")</f>
        <v>112.4</v>
      </c>
      <c r="BT4" s="20">
        <v>16</v>
      </c>
      <c r="BU4" s="20">
        <v>6.8</v>
      </c>
      <c r="BV4" s="20">
        <v>0.2</v>
      </c>
      <c r="BW4" s="20">
        <v>0.6</v>
      </c>
      <c r="BX4" s="20">
        <v>16.5</v>
      </c>
      <c r="BY4" s="20">
        <v>6.8</v>
      </c>
      <c r="BZ4" s="20">
        <v>0</v>
      </c>
      <c r="CA4" s="20">
        <v>0.6</v>
      </c>
      <c r="CB4" s="20">
        <v>16.2</v>
      </c>
      <c r="CC4" s="20">
        <v>7.5</v>
      </c>
      <c r="CD4" s="20">
        <v>0</v>
      </c>
      <c r="CE4" s="20">
        <v>0.6</v>
      </c>
      <c r="CF4" s="20">
        <v>15</v>
      </c>
      <c r="CG4" s="20">
        <v>4.3</v>
      </c>
      <c r="CH4" s="20">
        <v>0.4</v>
      </c>
      <c r="CI4" s="20">
        <v>0.3</v>
      </c>
      <c r="CJ4" s="20">
        <v>15.1</v>
      </c>
      <c r="CK4" s="20">
        <v>7.3</v>
      </c>
      <c r="CL4" s="20">
        <v>0</v>
      </c>
      <c r="CM4" s="20">
        <v>0.6</v>
      </c>
      <c r="CN4" s="32"/>
      <c r="CO4" s="55">
        <f>IF(SUM(BU4,BY4)&gt;0,SUM(BU4,BY4),"")</f>
        <v>13.6</v>
      </c>
      <c r="CP4" s="55">
        <f>IF(SUM(BT4:BU4,BW4:BY4,CA4)-BV4-BZ4&gt;0,SUM(BT4:BU4,BW4:BY4,CA4)-BV4-BZ4,"")</f>
        <v>47.1</v>
      </c>
      <c r="CQ4" s="55">
        <f>IF(SUM(CB4:CC4,CE4)-CD4&gt;0,SUM(CB4:CC4,CE4)-CD4,"")</f>
        <v>24.3</v>
      </c>
      <c r="CR4" s="55">
        <f>IF(SUM(CG4,CK4)&gt;0,SUM(CG4,CK4),"")</f>
        <v>11.6</v>
      </c>
      <c r="CS4" s="55">
        <f>IF(SUM(CF4:CG4,CI4:CK4,CM4)-SUM(CH4,CL4)&gt;0,SUM(CF4:CG4,CI4:CK4,CM4)-SUM(CH4,CL4),"")</f>
        <v>42.2</v>
      </c>
      <c r="CT4" s="55">
        <f>IF(SUM(CP4,CQ4,CS4)&gt;0,SUM(CP4,CQ4,CS4),"")</f>
        <v>113.60000000000001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16.8</v>
      </c>
      <c r="CX4" s="18">
        <v>6.2</v>
      </c>
      <c r="CY4" s="18">
        <v>0</v>
      </c>
      <c r="CZ4" s="18">
        <v>0</v>
      </c>
      <c r="DA4" s="18">
        <v>15.4</v>
      </c>
      <c r="DB4" s="18">
        <v>6.1</v>
      </c>
      <c r="DC4" s="18">
        <v>0.2</v>
      </c>
      <c r="DD4" s="18">
        <v>0</v>
      </c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>
        <f>IF(SUM(CX4,DB4)&gt;0,SUM(CX4,DB4),"")</f>
        <v>12.3</v>
      </c>
      <c r="DR4" s="55">
        <f>IF(SUM(CW4:CX4,CZ4:DB4,DD4)-CY4-DC4&gt;0,SUM(CW4:CX4,CZ4:DB4,DD4)-CY4-DC4,"")</f>
        <v>44.3</v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>
        <f>IF(SUM(DR4,DS4,DU4)&gt;0,SUM(DR4,DS4,DU4),"")</f>
        <v>44.3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6" si="0">IF($CN4="P",BT4,(BT4+AS4)/2)</f>
        <v>16.7</v>
      </c>
      <c r="OX4" s="27">
        <f t="shared" si="0"/>
        <v>6.05</v>
      </c>
      <c r="OY4" s="27">
        <f t="shared" si="0"/>
        <v>0.1</v>
      </c>
      <c r="OZ4" s="27">
        <f t="shared" si="0"/>
        <v>0.6</v>
      </c>
      <c r="PA4" s="27">
        <f t="shared" si="0"/>
        <v>16.899999999999999</v>
      </c>
      <c r="PB4" s="27">
        <f t="shared" si="0"/>
        <v>6.15</v>
      </c>
      <c r="PC4" s="27">
        <f t="shared" si="0"/>
        <v>0</v>
      </c>
      <c r="PD4" s="27">
        <f t="shared" si="0"/>
        <v>0.6</v>
      </c>
      <c r="PE4" s="27">
        <f t="shared" si="0"/>
        <v>16.600000000000001</v>
      </c>
      <c r="PF4" s="27">
        <f t="shared" si="0"/>
        <v>6.5</v>
      </c>
      <c r="PG4" s="27">
        <f t="shared" ref="PG4:PP6" si="1">IF($CN4="P",CD4,(CD4+BC4)/2)</f>
        <v>0</v>
      </c>
      <c r="PH4" s="27">
        <f t="shared" si="1"/>
        <v>0.6</v>
      </c>
      <c r="PI4" s="27">
        <f t="shared" si="1"/>
        <v>16</v>
      </c>
      <c r="PJ4" s="27">
        <f t="shared" si="1"/>
        <v>4.8</v>
      </c>
      <c r="PK4" s="27">
        <f t="shared" si="1"/>
        <v>0.2</v>
      </c>
      <c r="PL4" s="27">
        <f t="shared" si="1"/>
        <v>0.44999999999999996</v>
      </c>
      <c r="PM4" s="27">
        <f t="shared" si="1"/>
        <v>15.45</v>
      </c>
      <c r="PN4" s="27">
        <f t="shared" si="1"/>
        <v>5.3</v>
      </c>
      <c r="PO4" s="27">
        <f t="shared" si="1"/>
        <v>0</v>
      </c>
      <c r="PP4" s="27">
        <f t="shared" si="1"/>
        <v>0.6</v>
      </c>
      <c r="PQ4" s="32" t="s">
        <v>44</v>
      </c>
      <c r="PR4" s="55">
        <f>IF(SUM(OX4,PB4)&gt;0,SUM(OX4,PB4),"")</f>
        <v>12.2</v>
      </c>
      <c r="PS4" s="55">
        <f>IF(SUM(OW4:OX4,OZ4:PB4,PD4)-OY4-PC4&gt;0,SUM(OW4:OX4,OZ4:PB4,PD4)-OY4-PC4,"")</f>
        <v>46.9</v>
      </c>
      <c r="PT4" s="55">
        <f>IF(SUM(PE4:PF4,PH4)-PG4&gt;0,SUM(PE4:PF4,PH4)-PG4,"")</f>
        <v>23.700000000000003</v>
      </c>
      <c r="PU4" s="55">
        <f>IF(SUM(PJ4,PN4)&gt;0,SUM(PJ4,PN4),"")</f>
        <v>10.1</v>
      </c>
      <c r="PV4" s="55">
        <f>IF(SUM(PI4:PJ4,PL4:PN4,PP4)-SUM(PK4,PO4)&gt;0,SUM(PI4:PJ4,PL4:PN4,PP4)-SUM(PK4,PO4),"")</f>
        <v>42.4</v>
      </c>
      <c r="PW4" s="55">
        <f>IF(SUM(PS4,PT4,PV4)&gt;0,SUM(PS4,PT4,PV4),"")</f>
        <v>113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132.80001314000458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41.900000000000006</v>
      </c>
      <c r="L5" s="9" t="str">
        <f>IF(K5=0,"",IF(K5=CP5,$BT$1,IF(K5=BO5,$AS$1,IF(K5=AN5,$R$1,""))))</f>
        <v>2023 Nationals</v>
      </c>
      <c r="M5" s="9">
        <f>IF(MAX(AQ5,BR5,CS5)&gt;0,MAX(AQ5,BR5,CS5),0)</f>
        <v>43.800000000000004</v>
      </c>
      <c r="N5" s="9" t="str">
        <f>IF(M5=0,"",IF(M5=CS5,$BT$1,IF(M5=BR5,$AS$1,IF(M5=AQ5,$R$1,""))))</f>
        <v>2023 Nationals</v>
      </c>
      <c r="O5" s="9">
        <f>IF(MAX(CU5:CV5)&gt;0,MAX(CU5:CV5),"")</f>
        <v>1.3999999999999915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15.5</v>
      </c>
      <c r="S5" s="20">
        <v>5.0999999999999996</v>
      </c>
      <c r="T5" s="20">
        <v>0</v>
      </c>
      <c r="U5" s="20">
        <v>0.3</v>
      </c>
      <c r="V5" s="20">
        <v>14.7</v>
      </c>
      <c r="W5" s="20">
        <v>5.7</v>
      </c>
      <c r="X5" s="20">
        <v>0</v>
      </c>
      <c r="Y5" s="20">
        <v>0.6</v>
      </c>
      <c r="Z5" s="20">
        <v>15.9</v>
      </c>
      <c r="AA5" s="20">
        <v>5.0999999999999996</v>
      </c>
      <c r="AB5" s="20">
        <v>0</v>
      </c>
      <c r="AC5" s="20">
        <v>0.3</v>
      </c>
      <c r="AD5" s="20">
        <v>16.7</v>
      </c>
      <c r="AE5" s="20">
        <v>5.3</v>
      </c>
      <c r="AF5" s="20">
        <v>0</v>
      </c>
      <c r="AG5" s="20">
        <v>0.3</v>
      </c>
      <c r="AH5" s="20">
        <v>15.4</v>
      </c>
      <c r="AI5" s="20">
        <v>5.5</v>
      </c>
      <c r="AJ5" s="20">
        <v>0</v>
      </c>
      <c r="AK5" s="20">
        <v>0.6</v>
      </c>
      <c r="AL5" s="32"/>
      <c r="AM5" s="55">
        <f>IF(SUM(S5,W5)&gt;0,SUM(S5,W5),"")</f>
        <v>10.8</v>
      </c>
      <c r="AN5" s="55">
        <f>IF(SUM(R5:S5,U5:W5,Y5)-T5-X5&gt;0,SUM(R5:S5,U5:W5,Y5)-T5-X5,"")</f>
        <v>41.900000000000006</v>
      </c>
      <c r="AO5" s="55">
        <f>IF(SUM(Z5:AA5,AC5)-AB5&gt;0,SUM(Z5:AA5,AC5)-AB5,"")</f>
        <v>21.3</v>
      </c>
      <c r="AP5" s="55">
        <f>IF(SUM(AE5,AI5)&gt;0,SUM(AE5,AI5),"")</f>
        <v>10.8</v>
      </c>
      <c r="AQ5" s="55">
        <f>IF(SUM(AD5:AE5,AG5:AI5,AK5)-SUM(AF5,AJ5)&gt;0,SUM(AD5:AE5,AG5:AI5,AK5)-SUM(AF5,AJ5),"")</f>
        <v>43.800000000000004</v>
      </c>
      <c r="AR5" s="55">
        <f>IF(SUM(AN5,AO5,AQ5)&gt;0,SUM(AN5,AO5,AQ5),"")</f>
        <v>107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16.3</v>
      </c>
      <c r="BU5" s="20">
        <v>5.9</v>
      </c>
      <c r="BV5" s="20">
        <v>0.2</v>
      </c>
      <c r="BW5" s="20">
        <v>0.6</v>
      </c>
      <c r="BX5" s="20">
        <v>16.7</v>
      </c>
      <c r="BY5" s="20">
        <v>5.8</v>
      </c>
      <c r="BZ5" s="20">
        <v>0</v>
      </c>
      <c r="CA5" s="20">
        <v>0.6</v>
      </c>
      <c r="CB5" s="20">
        <v>16.5</v>
      </c>
      <c r="CC5" s="20">
        <v>5.8</v>
      </c>
      <c r="CD5" s="20">
        <v>0</v>
      </c>
      <c r="CE5" s="20">
        <v>0.6</v>
      </c>
      <c r="CF5" s="20">
        <v>13.8</v>
      </c>
      <c r="CG5" s="20">
        <v>4.5999999999999996</v>
      </c>
      <c r="CH5" s="20">
        <v>0</v>
      </c>
      <c r="CI5" s="20">
        <v>0.3</v>
      </c>
      <c r="CJ5" s="20">
        <v>16.8</v>
      </c>
      <c r="CK5" s="20">
        <v>5.8</v>
      </c>
      <c r="CL5" s="20">
        <v>0</v>
      </c>
      <c r="CM5" s="20">
        <v>0.6</v>
      </c>
      <c r="CN5" s="32"/>
      <c r="CO5" s="55">
        <f>IF(SUM(BU5,BY5)&gt;0,SUM(BU5,BY5),"")</f>
        <v>11.7</v>
      </c>
      <c r="CP5" s="55">
        <f>IF(SUM(BT5:BU5,BW5:BY5,CA5)-BV5-BZ5&gt;0,SUM(BT5:BU5,BW5:BY5,CA5)-BV5-BZ5,"")</f>
        <v>45.699999999999996</v>
      </c>
      <c r="CQ5" s="55">
        <f>IF(SUM(CB5:CC5,CE5)-CD5&gt;0,SUM(CB5:CC5,CE5)-CD5,"")</f>
        <v>22.900000000000002</v>
      </c>
      <c r="CR5" s="55">
        <f>IF(SUM(CG5,CK5)&gt;0,SUM(CG5,CK5),"")</f>
        <v>10.399999999999999</v>
      </c>
      <c r="CS5" s="55">
        <f>IF(SUM(CF5:CG5,CI5:CK5,CM5)-SUM(CH5,CL5)&gt;0,SUM(CF5:CG5,CI5:CK5,CM5)-SUM(CH5,CL5),"")</f>
        <v>41.9</v>
      </c>
      <c r="CT5" s="55">
        <f>IF(SUM(CP5,CQ5,CS5)&gt;0,SUM(CP5,CQ5,CS5),"")</f>
        <v>110.5</v>
      </c>
      <c r="CU5" s="56">
        <f>IF(MAX(DR5,ER5,FR5,GR5,HR5,IR5,JR5,KR5,LR5,MR5,NR5,OR5)-IF(K5="",0,K5)&gt;0.001,MAX(DR5,ER5,FR5,GR5,HR5,IR5,JR5,KR5,LR5,MR5,NR5,OR5)-IF(K5="",0,K5),"")</f>
        <v>1.3999999999999915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16.2</v>
      </c>
      <c r="CX5" s="18">
        <v>5.8</v>
      </c>
      <c r="CY5" s="18">
        <v>0</v>
      </c>
      <c r="CZ5" s="18">
        <v>0</v>
      </c>
      <c r="DA5" s="18">
        <v>16.3</v>
      </c>
      <c r="DB5" s="18">
        <v>5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10.8</v>
      </c>
      <c r="DR5" s="55">
        <f>IF(SUM(CW5:CX5,CZ5:DB5,DD5)-CY5-DC5&gt;0,SUM(CW5:CX5,CZ5:DB5,DD5)-CY5-DC5,"")</f>
        <v>43.3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43.3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8.15</v>
      </c>
      <c r="OX5" s="27">
        <f t="shared" si="0"/>
        <v>2.95</v>
      </c>
      <c r="OY5" s="27">
        <f t="shared" si="0"/>
        <v>0.1</v>
      </c>
      <c r="OZ5" s="27">
        <f t="shared" si="0"/>
        <v>0.3</v>
      </c>
      <c r="PA5" s="27">
        <f t="shared" si="0"/>
        <v>8.35</v>
      </c>
      <c r="PB5" s="27">
        <f t="shared" si="0"/>
        <v>2.9</v>
      </c>
      <c r="PC5" s="27">
        <f t="shared" si="0"/>
        <v>0</v>
      </c>
      <c r="PD5" s="27">
        <f t="shared" si="0"/>
        <v>0.3</v>
      </c>
      <c r="PE5" s="27">
        <f t="shared" si="0"/>
        <v>8.25</v>
      </c>
      <c r="PF5" s="27">
        <f t="shared" si="0"/>
        <v>2.9</v>
      </c>
      <c r="PG5" s="27">
        <f t="shared" si="1"/>
        <v>0</v>
      </c>
      <c r="PH5" s="27">
        <f t="shared" si="1"/>
        <v>0.3</v>
      </c>
      <c r="PI5" s="27">
        <f t="shared" si="1"/>
        <v>6.9</v>
      </c>
      <c r="PJ5" s="27">
        <f t="shared" si="1"/>
        <v>2.2999999999999998</v>
      </c>
      <c r="PK5" s="27">
        <f t="shared" si="1"/>
        <v>0</v>
      </c>
      <c r="PL5" s="27">
        <f t="shared" si="1"/>
        <v>0.15</v>
      </c>
      <c r="PM5" s="27">
        <f t="shared" si="1"/>
        <v>8.4</v>
      </c>
      <c r="PN5" s="27">
        <f t="shared" si="1"/>
        <v>2.9</v>
      </c>
      <c r="PO5" s="27">
        <f t="shared" si="1"/>
        <v>0</v>
      </c>
      <c r="PP5" s="27">
        <f t="shared" si="1"/>
        <v>0.3</v>
      </c>
      <c r="PQ5" s="32" t="s">
        <v>44</v>
      </c>
      <c r="PR5" s="55">
        <f>IF(SUM(OX5,PB5)&gt;0,SUM(OX5,PB5),"")</f>
        <v>5.85</v>
      </c>
      <c r="PS5" s="55">
        <f>IF(SUM(OW5:OX5,OZ5:PB5,PD5)-OY5-PC5&gt;0,SUM(OW5:OX5,OZ5:PB5,PD5)-OY5-PC5,"")</f>
        <v>22.849999999999998</v>
      </c>
      <c r="PT5" s="55">
        <f>IF(SUM(PE5:PF5,PH5)-PG5&gt;0,SUM(PE5:PF5,PH5)-PG5,"")</f>
        <v>11.450000000000001</v>
      </c>
      <c r="PU5" s="55">
        <f>IF(SUM(PJ5,PN5)&gt;0,SUM(PJ5,PN5),"")</f>
        <v>5.1999999999999993</v>
      </c>
      <c r="PV5" s="55">
        <f>IF(SUM(PI5:PJ5,PL5:PN5,PP5)-SUM(PK5,PO5)&gt;0,SUM(PI5:PJ5,PL5:PN5,PP5)-SUM(PK5,PO5),"")</f>
        <v>20.95</v>
      </c>
      <c r="PW5" s="55">
        <f>IF(SUM(PS5,PT5,PV5)&gt;0,SUM(PS5,PT5,PV5),"")</f>
        <v>55.25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131.40001314000438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41.500000000000007</v>
      </c>
      <c r="L6" s="9" t="str">
        <f>IF(K6=0,"",IF(K6=CP6,$BT$1,IF(K6=BO6,$AS$1,IF(K6=AN6,$R$1,""))))</f>
        <v>2023 Nationals</v>
      </c>
      <c r="M6" s="9">
        <f>IF(MAX(AQ6,BR6,CS6)&gt;0,MAX(AQ6,BR6,CS6),0)</f>
        <v>46.300000000000004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16.2</v>
      </c>
      <c r="S6" s="20">
        <v>4</v>
      </c>
      <c r="T6" s="20">
        <v>0</v>
      </c>
      <c r="U6" s="20">
        <v>0.3</v>
      </c>
      <c r="V6" s="20">
        <v>15.7</v>
      </c>
      <c r="W6" s="20">
        <v>4.7</v>
      </c>
      <c r="X6" s="20">
        <v>0</v>
      </c>
      <c r="Y6" s="20">
        <v>0.6</v>
      </c>
      <c r="Z6" s="20"/>
      <c r="AA6" s="20"/>
      <c r="AB6" s="20"/>
      <c r="AC6" s="20"/>
      <c r="AD6" s="20">
        <v>16.2</v>
      </c>
      <c r="AE6" s="20">
        <v>3.2</v>
      </c>
      <c r="AF6" s="20">
        <v>0</v>
      </c>
      <c r="AG6" s="20">
        <v>0.6</v>
      </c>
      <c r="AH6" s="20">
        <v>14.8</v>
      </c>
      <c r="AI6" s="20">
        <v>4.0999999999999996</v>
      </c>
      <c r="AJ6" s="20">
        <v>0</v>
      </c>
      <c r="AK6" s="20">
        <v>0.6</v>
      </c>
      <c r="AL6" s="32"/>
      <c r="AM6" s="55">
        <f>IF(SUM(S6,W6)&gt;0,SUM(S6,W6),"")</f>
        <v>8.6999999999999993</v>
      </c>
      <c r="AN6" s="55">
        <f>IF(SUM(R6:S6,U6:W6,Y6)-T6-X6&gt;0,SUM(R6:S6,U6:W6,Y6)-T6-X6,"")</f>
        <v>41.500000000000007</v>
      </c>
      <c r="AO6" s="55" t="str">
        <f>IF(SUM(Z6:AA6,AC6)-AB6&gt;0,SUM(Z6:AA6,AC6)-AB6,"")</f>
        <v/>
      </c>
      <c r="AP6" s="55">
        <f>IF(SUM(AE6,AI6)&gt;0,SUM(AE6,AI6),"")</f>
        <v>7.3</v>
      </c>
      <c r="AQ6" s="55">
        <f>IF(SUM(AD6:AE6,AG6:AI6,AK6)-SUM(AF6,AJ6)&gt;0,SUM(AD6:AE6,AG6:AI6,AK6)-SUM(AF6,AJ6),"")</f>
        <v>39.5</v>
      </c>
      <c r="AR6" s="55">
        <f>IF(SUM(AN6,AO6,AQ6)&gt;0,SUM(AN6,AO6,AQ6),"")</f>
        <v>81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16.399999999999999</v>
      </c>
      <c r="BU6" s="20">
        <v>6.1</v>
      </c>
      <c r="BV6" s="20">
        <v>0</v>
      </c>
      <c r="BW6" s="20">
        <v>0.6</v>
      </c>
      <c r="BX6" s="20">
        <v>14.6</v>
      </c>
      <c r="BY6" s="20">
        <v>5.7</v>
      </c>
      <c r="BZ6" s="20">
        <v>0.4</v>
      </c>
      <c r="CA6" s="20">
        <v>0.6</v>
      </c>
      <c r="CB6" s="20">
        <v>15.9</v>
      </c>
      <c r="CC6" s="20">
        <v>7.5</v>
      </c>
      <c r="CD6" s="20">
        <v>0</v>
      </c>
      <c r="CE6" s="20">
        <v>0.6</v>
      </c>
      <c r="CF6" s="20">
        <v>16.3</v>
      </c>
      <c r="CG6" s="20">
        <v>7.5</v>
      </c>
      <c r="CH6" s="20">
        <v>0</v>
      </c>
      <c r="CI6" s="20">
        <v>0.6</v>
      </c>
      <c r="CJ6" s="20">
        <v>15.5</v>
      </c>
      <c r="CK6" s="20">
        <v>5.8</v>
      </c>
      <c r="CL6" s="20">
        <v>0</v>
      </c>
      <c r="CM6" s="20">
        <v>0.6</v>
      </c>
      <c r="CN6" s="32"/>
      <c r="CO6" s="55">
        <f>IF(SUM(BU6,BY6)&gt;0,SUM(BU6,BY6),"")</f>
        <v>11.8</v>
      </c>
      <c r="CP6" s="55">
        <f>IF(SUM(BT6:BU6,BW6:BY6,CA6)-BV6-BZ6&gt;0,SUM(BT6:BU6,BW6:BY6,CA6)-BV6-BZ6,"")</f>
        <v>43.600000000000009</v>
      </c>
      <c r="CQ6" s="55">
        <f>IF(SUM(CB6:CC6,CE6)-CD6&gt;0,SUM(CB6:CC6,CE6)-CD6,"")</f>
        <v>24</v>
      </c>
      <c r="CR6" s="55">
        <f>IF(SUM(CG6,CK6)&gt;0,SUM(CG6,CK6),"")</f>
        <v>13.3</v>
      </c>
      <c r="CS6" s="55">
        <f>IF(SUM(CF6:CG6,CI6:CK6,CM6)-SUM(CH6,CL6)&gt;0,SUM(CF6:CG6,CI6:CK6,CM6)-SUM(CH6,CL6),"")</f>
        <v>46.300000000000004</v>
      </c>
      <c r="CT6" s="55">
        <f>IF(SUM(CP6,CQ6,CS6)&gt;0,SUM(CP6,CQ6,CS6),"")</f>
        <v>113.9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8.1999999999999993</v>
      </c>
      <c r="OX6" s="27">
        <f t="shared" si="0"/>
        <v>3.05</v>
      </c>
      <c r="OY6" s="27">
        <f t="shared" si="0"/>
        <v>0</v>
      </c>
      <c r="OZ6" s="27">
        <f t="shared" si="0"/>
        <v>0.3</v>
      </c>
      <c r="PA6" s="27">
        <f t="shared" si="0"/>
        <v>7.3</v>
      </c>
      <c r="PB6" s="27">
        <f t="shared" si="0"/>
        <v>2.85</v>
      </c>
      <c r="PC6" s="27">
        <f t="shared" si="0"/>
        <v>0.2</v>
      </c>
      <c r="PD6" s="27">
        <f t="shared" si="0"/>
        <v>0.3</v>
      </c>
      <c r="PE6" s="27">
        <f t="shared" si="0"/>
        <v>7.95</v>
      </c>
      <c r="PF6" s="27">
        <f t="shared" si="0"/>
        <v>3.75</v>
      </c>
      <c r="PG6" s="27">
        <f t="shared" si="1"/>
        <v>0</v>
      </c>
      <c r="PH6" s="27">
        <f t="shared" si="1"/>
        <v>0.3</v>
      </c>
      <c r="PI6" s="27">
        <f t="shared" si="1"/>
        <v>8.15</v>
      </c>
      <c r="PJ6" s="27">
        <f t="shared" si="1"/>
        <v>3.75</v>
      </c>
      <c r="PK6" s="27">
        <f t="shared" si="1"/>
        <v>0</v>
      </c>
      <c r="PL6" s="27">
        <f t="shared" si="1"/>
        <v>0.3</v>
      </c>
      <c r="PM6" s="27">
        <f t="shared" si="1"/>
        <v>7.75</v>
      </c>
      <c r="PN6" s="27">
        <f t="shared" si="1"/>
        <v>2.9</v>
      </c>
      <c r="PO6" s="27">
        <f t="shared" si="1"/>
        <v>0</v>
      </c>
      <c r="PP6" s="27">
        <f t="shared" si="1"/>
        <v>0.3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21.800000000000004</v>
      </c>
      <c r="PT6" s="55">
        <f>IF(SUM(PE6:PF6,PH6)-PG6&gt;0,SUM(PE6:PF6,PH6)-PG6,"")</f>
        <v>12</v>
      </c>
      <c r="PU6" s="55">
        <f>IF(SUM(PJ6,PN6)&gt;0,SUM(PJ6,PN6),"")</f>
        <v>6.65</v>
      </c>
      <c r="PV6" s="55">
        <f>IF(SUM(PI6:PJ6,PL6:PN6,PP6)-SUM(PK6,PO6)&gt;0,SUM(PI6:PJ6,PL6:PN6,PP6)-SUM(PK6,PO6),"")</f>
        <v>23.150000000000002</v>
      </c>
      <c r="PW6" s="55">
        <f>IF(SUM(PS6,PT6,PV6)&gt;0,SUM(PS6,PT6,PV6),"")</f>
        <v>56.95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6">
      <sortCondition descending="1" ref="F1:F7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L1:L1048576 N1:N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1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hidden="1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84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92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96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/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DD"),SUMPRODUCT((H$4:H$5&lt;&gt;"")*(H$4:H$5&lt;&gt;"No DD")*(E$4:E$5&gt;E4))+1,IF(H4="No DD",SUMPRODUCT((H$4:H$5="No DD")*(E$4:E$5&gt;E4))+1+SUMPRODUCT((H$4:H$5&lt;&gt;"")*(H$4:H$5&lt;&gt;"No DD")),""))</f>
        <v>1</v>
      </c>
      <c r="B4" s="5" t="s">
        <v>97</v>
      </c>
      <c r="C4" s="4" t="s">
        <v>66</v>
      </c>
      <c r="D4" s="4">
        <v>2008</v>
      </c>
      <c r="E4" s="10">
        <f>SUM(I4:O4)+SUM(I4:M4)*0.0000001+SUM(I4)*0.0000000000001</f>
        <v>124.40001244000415</v>
      </c>
      <c r="F4" s="3" t="str">
        <f>IF(OR(AND(AM4&gt;=AR$7,AN4&gt;=AR$11,AM4&lt;&gt;"",AL4=""),AND(AP4&gt;=AR$7,AQ4&gt;=AR$11,AP4&lt;&gt;"",AL4=""),AND(BN4&gt;=BS$7,BO4&gt;=BS$11,BN4&lt;&gt;"",BM4=""),AND(BQ4&gt;=BS$7,BR4&gt;=BS$11,BQ4&lt;&gt;"",BM4=""),AND(CO4&gt;=CT$7,CP4&gt;=CT$11,CO4&lt;&gt;"",CN4=""),AND(CR4&gt;=CT$7,CS4&gt;=CT$11,CR4&lt;&gt;""),AND(DQ4&gt;=DV$7,DR4&gt;=DV$11,DQ4&lt;&gt;""),AND(DT4&gt;=DV$7,DU4&gt;=DV$11,DT4&lt;&gt;""),AND(EQ4&gt;=EV$7,ER4&gt;=EV$11,EQ4&lt;&gt;""),AND(ET4&gt;=EV$7,EU4&gt;=EV$11,ET4&lt;&gt;""),AND(FQ4&gt;=FV$7,FR4&gt;=FV$11,FQ4&lt;&gt;""),AND(FT4&gt;=FV$7,FU4&gt;=FV$11,FT4&lt;&gt;""),AND(GQ4&gt;=GV$7,GR4&gt;=GV$11,GQ4&lt;&gt;""),AND(GT4&gt;=GV$7,GU4&gt;=GV$11,GT4&lt;&gt;""),AND(HQ4&gt;=HV$7,HR4&gt;=HV$11,HQ4&lt;&gt;""),AND(HT4&gt;=HV$7,HU4&gt;=HV$11,HT4&lt;&gt;""),AND(IQ4&gt;=IV$7,IR4&gt;=IV$11,IQ4&lt;&gt;""),AND(IT4&gt;=IV$7,IU4&gt;=IV$11,IT4&lt;&gt;""),AND(JQ4&gt;=JV$7,JR4&gt;=JV$11,JQ4&lt;&gt;""),AND(JT4&gt;=JV$7,JU4&gt;=JV$11,JT4&lt;&gt;""),AND(KQ4&gt;=KV$7,KR4&gt;=KV$11,KQ4&lt;&gt;""),AND(KT4&gt;=KV$7,KU4&gt;=KV$11,KT4&lt;&gt;""),AND(LQ4&gt;=LV$7,LR4&gt;=LV$11,LQ4&lt;&gt;""),AND(LT4&gt;=LV$7,LU4&gt;=LV$11,LT4&lt;&gt;""),AND(MQ4&gt;=MV$7,MR4&gt;=MV$11,MQ4&lt;&gt;""),AND(MT4&gt;=MV$7,MU4&gt;=MV$11,MT4&lt;&gt;""),AND(NQ4&gt;=NV$7,NR4&gt;=NV$11,NQ4&lt;&gt;""),AND(NT4&gt;=NV$7,NU4&gt;=NV$11,NT4&lt;&gt;""),AND(OQ4&gt;=OV$7,OR4&gt;=OV$11,OQ4&lt;&gt;""),AND(OT4&gt;=OV$7,OU4&gt;=OV$11,OT4&lt;&gt;"")),"P","")</f>
        <v>P</v>
      </c>
      <c r="G4" s="3" t="str">
        <f>IF(OR(AND(AN4&gt;=AR$11,AN4&lt;&gt;"",AL4=""),AND(AQ4&gt;=AR$11,AQ4&lt;&gt;"",AL4=""),AND(BO4&gt;=BS$11,BO4&lt;&gt;"",BM4=""),AND(BR4&gt;=BS$11,BR4&lt;&gt;"",BM4=""),AND(CP4&gt;=CT$11,CP4&lt;&gt;"",CN4=""),AND(CS4&gt;=CT$11,CS4&lt;&gt;"",CN4=""),AND(DR4&gt;=DV$11,DR4&lt;&gt;""),AND(DU4&gt;=DV$11,DU4&lt;&gt;""),AND(ER4&gt;=EV$11,ER4&lt;&gt;""),AND(EU4&gt;=EV$11,EU4&lt;&gt;""),AND(FR4&gt;=FV$11,FR4&lt;&gt;""),AND(FU4&gt;=FV$11,FU4&lt;&gt;""),AND(GR4&gt;=GV$11,GR4&lt;&gt;""),AND(GU4&gt;=GV$11,GU4&lt;&gt;""),AND(HR4&gt;=HV$11,HR4&lt;&gt;""),AND(HU4&gt;=HV$11,HU4&lt;&gt;""),AND(IR4&gt;=IV$11,IR4&lt;&gt;""),AND(IU4&gt;=IV$11,IU4&lt;&gt;""),AND(JR4&gt;=JV$11,JR4&lt;&gt;""),AND(JU4&gt;=JV$11,JU4&lt;&gt;""),AND(KR4&gt;=KV$11,KR4&lt;&gt;""),AND(KU4&gt;=KV$11,KU4&lt;&gt;""),AND(LR4&gt;=LV$11,LR4&lt;&gt;""),AND(LU4&gt;=LV$11,LU4&lt;&gt;""),AND(MR4&gt;=MV$11,MR4&lt;&gt;""),AND(MU4&gt;=MV$11,MU4&lt;&gt;""),AND(NR4&gt;=NV$11,NR4&lt;&gt;""),AND(NU4&gt;=NV$11,NU4&lt;&gt;""),AND(OR4&gt;=OV$11,OR4&lt;&gt;""),AND(OU4&gt;=OV$11,OU4&lt;&gt;"")),"P","")</f>
        <v>P</v>
      </c>
      <c r="H4" s="47" t="str">
        <f>IF(AND(G4="P",F4=""),"No DD",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Merit",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Excellence",IF(F4="P","National Team",""))))</f>
        <v>Excellence</v>
      </c>
      <c r="I4" s="9">
        <f>IF(COUNT(AN4,BO4,CP4)&gt;0,LARGE((AN4,BO4,CP4),1),0)</f>
        <v>41.4</v>
      </c>
      <c r="J4" s="9" t="str">
        <f>IF(I4=0,"",IF(I4=CP4,$BT$1,IF(I4=BO4,$AS$1,IF(I4=AN4,$R$1,""))))</f>
        <v>2023 Nationals</v>
      </c>
      <c r="K4" s="9">
        <f>IF(COUNT(AN4,BO4,CP4)&gt;1,LARGE((AN4,BO4,CP4),2),0)</f>
        <v>39.1</v>
      </c>
      <c r="L4" s="9" t="str">
        <f>IF(K4=0,"",IF(K4=CP4,$BT$1,IF(K4=BO4,$AS$1,IF(K4=AN4,$R$1,""))))</f>
        <v>2024 Elite Canada</v>
      </c>
      <c r="M4" s="9">
        <f>IF(MAX(AQ4,BR4,CS4)&gt;0,MAX(AQ4,BR4,CS4),0)</f>
        <v>43.900000000000006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16.600000000000001</v>
      </c>
      <c r="S4" s="20">
        <v>3.9</v>
      </c>
      <c r="T4" s="20">
        <v>0</v>
      </c>
      <c r="U4" s="20">
        <v>0.3</v>
      </c>
      <c r="V4" s="20">
        <v>16.2</v>
      </c>
      <c r="W4" s="20">
        <v>4.0999999999999996</v>
      </c>
      <c r="X4" s="20">
        <v>0</v>
      </c>
      <c r="Y4" s="20">
        <v>0.3</v>
      </c>
      <c r="Z4" s="20"/>
      <c r="AA4" s="20"/>
      <c r="AB4" s="20"/>
      <c r="AC4" s="20"/>
      <c r="AD4" s="20">
        <v>16.399999999999999</v>
      </c>
      <c r="AE4" s="20">
        <v>4.0999999999999996</v>
      </c>
      <c r="AF4" s="20">
        <v>0</v>
      </c>
      <c r="AG4" s="20">
        <v>0.3</v>
      </c>
      <c r="AH4" s="20">
        <v>16.2</v>
      </c>
      <c r="AI4" s="20">
        <v>3.9</v>
      </c>
      <c r="AJ4" s="20">
        <v>0</v>
      </c>
      <c r="AK4" s="20">
        <v>0.3</v>
      </c>
      <c r="AL4" s="32"/>
      <c r="AM4" s="55">
        <f>IF(SUM(S4,W4)&gt;0,SUM(S4,W4),"")</f>
        <v>8</v>
      </c>
      <c r="AN4" s="55">
        <f>IF(SUM(R4:S4,U4:W4,Y4)-T4-X4&gt;0,SUM(R4:S4,U4:W4,Y4)-T4-X4,"")</f>
        <v>41.4</v>
      </c>
      <c r="AO4" s="55" t="str">
        <f>IF(SUM(Z4:AA4,AC4)-AB4&gt;0,SUM(Z4:AA4,AC4)-AB4,"")</f>
        <v/>
      </c>
      <c r="AP4" s="55">
        <f>IF(SUM(AE4,AI4)&gt;0,SUM(AE4,AI4),"")</f>
        <v>8</v>
      </c>
      <c r="AQ4" s="55">
        <f>IF(SUM(AD4:AE4,AG4:AI4,AK4)-SUM(AF4,AJ4)&gt;0,SUM(AD4:AE4,AG4:AI4,AK4)-SUM(AF4,AJ4),"")</f>
        <v>41.199999999999996</v>
      </c>
      <c r="AR4" s="55">
        <f>IF(SUM(AN4,AO4,AQ4)&gt;0,SUM(AN4,AO4,AQ4),"")</f>
        <v>82.6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15.9</v>
      </c>
      <c r="BU4" s="20">
        <v>6.1</v>
      </c>
      <c r="BV4" s="20">
        <v>0</v>
      </c>
      <c r="BW4" s="20">
        <v>0.3</v>
      </c>
      <c r="BX4" s="20">
        <v>15.3</v>
      </c>
      <c r="BY4" s="20">
        <v>2.5</v>
      </c>
      <c r="BZ4" s="20">
        <v>1.3</v>
      </c>
      <c r="CA4" s="20">
        <v>0.3</v>
      </c>
      <c r="CB4" s="20">
        <v>15.7</v>
      </c>
      <c r="CC4" s="20">
        <v>3.4</v>
      </c>
      <c r="CD4" s="20">
        <v>0.4</v>
      </c>
      <c r="CE4" s="20">
        <v>0.3</v>
      </c>
      <c r="CF4" s="20">
        <v>16.100000000000001</v>
      </c>
      <c r="CG4" s="20">
        <v>6.1</v>
      </c>
      <c r="CH4" s="20">
        <v>0</v>
      </c>
      <c r="CI4" s="20">
        <v>0.3</v>
      </c>
      <c r="CJ4" s="20">
        <v>17.8</v>
      </c>
      <c r="CK4" s="20">
        <v>3.6</v>
      </c>
      <c r="CL4" s="20">
        <v>0</v>
      </c>
      <c r="CM4" s="20">
        <v>0</v>
      </c>
      <c r="CN4" s="32"/>
      <c r="CO4" s="55">
        <f>IF(SUM(BU4,BY4)&gt;0,SUM(BU4,BY4),"")</f>
        <v>8.6</v>
      </c>
      <c r="CP4" s="55">
        <f>IF(SUM(BT4:BU4,BW4:BY4,CA4)-BV4-BZ4&gt;0,SUM(BT4:BU4,BW4:BY4,CA4)-BV4-BZ4,"")</f>
        <v>39.1</v>
      </c>
      <c r="CQ4" s="55">
        <f>IF(SUM(CB4:CC4,CE4)-CD4&gt;0,SUM(CB4:CC4,CE4)-CD4,"")</f>
        <v>19</v>
      </c>
      <c r="CR4" s="55">
        <f>IF(SUM(CG4,CK4)&gt;0,SUM(CG4,CK4),"")</f>
        <v>9.6999999999999993</v>
      </c>
      <c r="CS4" s="55">
        <f>IF(SUM(CF4:CG4,CI4:CK4,CM4)-SUM(CH4,CL4)&gt;0,SUM(CF4:CG4,CI4:CK4,CM4)-SUM(CH4,CL4),"")</f>
        <v>43.900000000000006</v>
      </c>
      <c r="CT4" s="55">
        <f>IF(SUM(CP4,CQ4,CS4)&gt;0,SUM(CP4,CQ4,CS4),"")</f>
        <v>102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4" si="0">IF($CN4="P",BT4,(BT4+AS4)/2)</f>
        <v>7.95</v>
      </c>
      <c r="OX4" s="27">
        <f t="shared" si="0"/>
        <v>3.05</v>
      </c>
      <c r="OY4" s="27">
        <f t="shared" si="0"/>
        <v>0</v>
      </c>
      <c r="OZ4" s="27">
        <f t="shared" si="0"/>
        <v>0.15</v>
      </c>
      <c r="PA4" s="27">
        <f t="shared" si="0"/>
        <v>7.65</v>
      </c>
      <c r="PB4" s="27">
        <f t="shared" si="0"/>
        <v>1.25</v>
      </c>
      <c r="PC4" s="27">
        <f t="shared" si="0"/>
        <v>0.65</v>
      </c>
      <c r="PD4" s="27">
        <f t="shared" si="0"/>
        <v>0.15</v>
      </c>
      <c r="PE4" s="27">
        <f t="shared" si="0"/>
        <v>7.85</v>
      </c>
      <c r="PF4" s="27">
        <f t="shared" si="0"/>
        <v>1.7</v>
      </c>
      <c r="PG4" s="27">
        <f t="shared" ref="PG4:PP4" si="1">IF($CN4="P",CD4,(CD4+BC4)/2)</f>
        <v>0.2</v>
      </c>
      <c r="PH4" s="27">
        <f t="shared" si="1"/>
        <v>0.15</v>
      </c>
      <c r="PI4" s="27">
        <f t="shared" si="1"/>
        <v>8.0500000000000007</v>
      </c>
      <c r="PJ4" s="27">
        <f t="shared" si="1"/>
        <v>3.05</v>
      </c>
      <c r="PK4" s="27">
        <f t="shared" si="1"/>
        <v>0</v>
      </c>
      <c r="PL4" s="27">
        <f t="shared" si="1"/>
        <v>0.15</v>
      </c>
      <c r="PM4" s="27">
        <f t="shared" si="1"/>
        <v>8.9</v>
      </c>
      <c r="PN4" s="27">
        <f t="shared" si="1"/>
        <v>1.8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4.3</v>
      </c>
      <c r="PS4" s="55">
        <f>IF(SUM(OW4:OX4,OZ4:PB4,PD4)-OY4-PC4&gt;0,SUM(OW4:OX4,OZ4:PB4,PD4)-OY4-PC4,"")</f>
        <v>19.55</v>
      </c>
      <c r="PT4" s="55">
        <f>IF(SUM(PE4:PF4,PH4)-PG4&gt;0,SUM(PE4:PF4,PH4)-PG4,"")</f>
        <v>9.5</v>
      </c>
      <c r="PU4" s="55">
        <f>IF(SUM(PJ4,PN4)&gt;0,SUM(PJ4,PN4),"")</f>
        <v>4.8499999999999996</v>
      </c>
      <c r="PV4" s="55">
        <f>IF(SUM(PI4:PJ4,PL4:PN4,PP4)-SUM(PK4,PO4)&gt;0,SUM(PI4:PJ4,PL4:PN4,PP4)-SUM(PK4,PO4),"")</f>
        <v>21.950000000000003</v>
      </c>
      <c r="PW4" s="55">
        <f>IF(SUM(PS4,PT4,PV4)&gt;0,SUM(PS4,PT4,PV4),"")</f>
        <v>51</v>
      </c>
    </row>
    <row r="5" spans="1:439" ht="17" x14ac:dyDescent="0.2">
      <c r="O5" s="11"/>
      <c r="P5" s="11"/>
      <c r="Q5" s="11"/>
    </row>
    <row r="6" spans="1:439" ht="17" x14ac:dyDescent="0.2">
      <c r="O6" s="11"/>
      <c r="P6" s="11"/>
      <c r="Q6" s="11"/>
    </row>
    <row r="7" spans="1:439" ht="17" x14ac:dyDescent="0.2">
      <c r="B7" s="28" t="s">
        <v>42</v>
      </c>
      <c r="O7" s="11"/>
      <c r="P7" s="11"/>
      <c r="Q7" s="11"/>
      <c r="AM7" s="4"/>
      <c r="AR7" s="57">
        <v>7.3</v>
      </c>
      <c r="BN7" s="4"/>
      <c r="BS7" s="57">
        <v>7.3</v>
      </c>
      <c r="CO7" s="4"/>
      <c r="CT7" s="57">
        <v>7.3</v>
      </c>
      <c r="DQ7" s="4"/>
      <c r="DV7" s="57">
        <v>7.3</v>
      </c>
      <c r="EQ7" s="4"/>
      <c r="EV7" s="57">
        <v>7.3</v>
      </c>
      <c r="FQ7" s="4"/>
      <c r="FV7" s="57">
        <v>7.3</v>
      </c>
      <c r="GQ7" s="4"/>
      <c r="GV7" s="57">
        <v>7.3</v>
      </c>
      <c r="HQ7" s="4"/>
      <c r="HV7" s="57">
        <v>7.3</v>
      </c>
      <c r="IQ7" s="4"/>
      <c r="IV7" s="57">
        <v>7.3</v>
      </c>
      <c r="JQ7" s="4"/>
      <c r="JV7" s="57">
        <v>7.3</v>
      </c>
      <c r="KQ7" s="4"/>
      <c r="KV7" s="57">
        <v>7.3</v>
      </c>
      <c r="LQ7" s="4"/>
      <c r="LV7" s="57">
        <v>7.3</v>
      </c>
      <c r="MQ7" s="4"/>
      <c r="MV7" s="57">
        <v>7.3</v>
      </c>
      <c r="NQ7" s="4"/>
      <c r="NV7" s="57">
        <v>7.3</v>
      </c>
      <c r="OQ7" s="4"/>
      <c r="OV7" s="57">
        <v>7.3</v>
      </c>
    </row>
    <row r="8" spans="1:439" ht="17" x14ac:dyDescent="0.2">
      <c r="B8" s="35" t="s">
        <v>41</v>
      </c>
      <c r="O8" s="11"/>
      <c r="P8" s="11"/>
      <c r="Q8" s="11"/>
      <c r="AM8" s="4"/>
      <c r="AR8" s="58">
        <v>8</v>
      </c>
      <c r="BN8" s="4"/>
      <c r="BS8" s="58">
        <v>8</v>
      </c>
      <c r="CO8" s="4"/>
      <c r="CT8" s="58">
        <v>8</v>
      </c>
      <c r="DQ8" s="4"/>
      <c r="DV8" s="58">
        <v>7.2</v>
      </c>
      <c r="EQ8" s="4"/>
      <c r="EV8" s="58">
        <v>7.2</v>
      </c>
      <c r="FQ8" s="4"/>
      <c r="FV8" s="58">
        <v>7.2</v>
      </c>
      <c r="GQ8" s="4"/>
      <c r="GV8" s="58">
        <v>7.2</v>
      </c>
      <c r="HQ8" s="4"/>
      <c r="HV8" s="58">
        <v>7.2</v>
      </c>
      <c r="IQ8" s="4"/>
      <c r="IV8" s="58">
        <v>7.2</v>
      </c>
      <c r="JQ8" s="4"/>
      <c r="JV8" s="58">
        <v>7.2</v>
      </c>
      <c r="KQ8" s="4"/>
      <c r="KV8" s="58">
        <v>7.2</v>
      </c>
      <c r="LQ8" s="4"/>
      <c r="LV8" s="58">
        <v>7.2</v>
      </c>
      <c r="MQ8" s="4"/>
      <c r="MV8" s="58">
        <v>7.2</v>
      </c>
      <c r="NQ8" s="4"/>
      <c r="NV8" s="58">
        <v>7.2</v>
      </c>
      <c r="OQ8" s="4"/>
      <c r="OV8" s="58">
        <v>7.2</v>
      </c>
    </row>
    <row r="9" spans="1:439" ht="17" x14ac:dyDescent="0.2">
      <c r="A9" s="5"/>
      <c r="B9" s="36" t="s">
        <v>54</v>
      </c>
      <c r="C9" s="22"/>
      <c r="O9" s="11"/>
      <c r="P9" s="11"/>
      <c r="Q9" s="11"/>
      <c r="AM9" s="4"/>
      <c r="AR9" s="59">
        <v>8</v>
      </c>
      <c r="BN9" s="4"/>
      <c r="BS9" s="59">
        <v>8</v>
      </c>
      <c r="CO9" s="4"/>
      <c r="CT9" s="59">
        <v>8</v>
      </c>
      <c r="DQ9" s="4"/>
      <c r="DV9" s="59">
        <v>8</v>
      </c>
      <c r="EQ9" s="4"/>
      <c r="EV9" s="59">
        <v>8</v>
      </c>
      <c r="FQ9" s="4"/>
      <c r="FV9" s="59">
        <v>8</v>
      </c>
      <c r="GQ9" s="4"/>
      <c r="GV9" s="59">
        <v>8</v>
      </c>
      <c r="HQ9" s="4"/>
      <c r="HV9" s="59">
        <v>8</v>
      </c>
      <c r="IQ9" s="4"/>
      <c r="IV9" s="59">
        <v>8</v>
      </c>
      <c r="JQ9" s="4"/>
      <c r="JV9" s="59">
        <v>8</v>
      </c>
      <c r="KQ9" s="4"/>
      <c r="KV9" s="59">
        <v>8</v>
      </c>
      <c r="LQ9" s="4"/>
      <c r="LV9" s="59">
        <v>8</v>
      </c>
      <c r="MQ9" s="4"/>
      <c r="MV9" s="59">
        <v>8</v>
      </c>
      <c r="NQ9" s="4"/>
      <c r="NV9" s="59">
        <v>8</v>
      </c>
      <c r="OQ9" s="4"/>
      <c r="OV9" s="59">
        <v>8</v>
      </c>
    </row>
    <row r="10" spans="1:439" ht="17" hidden="1" x14ac:dyDescent="0.2">
      <c r="A10" s="5"/>
      <c r="B10" s="44" t="s">
        <v>59</v>
      </c>
      <c r="C10" s="22"/>
      <c r="O10" s="11"/>
      <c r="P10" s="11"/>
      <c r="Q10" s="11"/>
      <c r="AM10" s="4"/>
      <c r="AR10" s="60">
        <v>1000</v>
      </c>
      <c r="BN10" s="4"/>
      <c r="BS10" s="60">
        <v>1000</v>
      </c>
      <c r="CO10" s="4"/>
      <c r="CT10" s="60">
        <v>1000</v>
      </c>
      <c r="DQ10" s="4"/>
      <c r="DV10" s="60">
        <v>1000</v>
      </c>
      <c r="EQ10" s="4"/>
      <c r="EV10" s="60">
        <v>1000</v>
      </c>
      <c r="FQ10" s="4"/>
      <c r="FV10" s="60">
        <v>1000</v>
      </c>
      <c r="GQ10" s="4"/>
      <c r="GV10" s="60">
        <v>1000</v>
      </c>
      <c r="HQ10" s="4"/>
      <c r="HV10" s="60">
        <v>1000</v>
      </c>
      <c r="IQ10" s="4"/>
      <c r="IV10" s="60">
        <v>1000</v>
      </c>
      <c r="JQ10" s="4"/>
      <c r="JV10" s="60">
        <v>1000</v>
      </c>
      <c r="KQ10" s="4"/>
      <c r="KV10" s="60">
        <v>1000</v>
      </c>
      <c r="LQ10" s="4"/>
      <c r="LV10" s="60">
        <v>1000</v>
      </c>
      <c r="MQ10" s="4"/>
      <c r="MV10" s="60">
        <v>1000</v>
      </c>
      <c r="NQ10" s="4"/>
      <c r="NV10" s="60">
        <v>1000</v>
      </c>
      <c r="OQ10" s="4"/>
      <c r="OV10" s="60">
        <v>1000</v>
      </c>
    </row>
    <row r="11" spans="1:439" ht="17" x14ac:dyDescent="0.2">
      <c r="A11" s="5"/>
      <c r="B11" s="42" t="s">
        <v>39</v>
      </c>
      <c r="C11" s="22"/>
      <c r="O11" s="11"/>
      <c r="P11" s="11"/>
      <c r="Q11" s="11"/>
      <c r="AM11" s="4"/>
      <c r="AR11" s="61">
        <v>41.7</v>
      </c>
      <c r="BN11" s="4"/>
      <c r="BS11" s="61">
        <v>41.7</v>
      </c>
      <c r="CO11" s="4"/>
      <c r="CT11" s="61">
        <v>41.7</v>
      </c>
      <c r="DQ11" s="4"/>
      <c r="DV11" s="61">
        <v>41.7</v>
      </c>
      <c r="EQ11" s="4"/>
      <c r="EV11" s="61">
        <v>41.7</v>
      </c>
      <c r="FQ11" s="4"/>
      <c r="FV11" s="61">
        <v>41.7</v>
      </c>
      <c r="GQ11" s="4"/>
      <c r="GV11" s="61">
        <v>41.7</v>
      </c>
      <c r="HQ11" s="4"/>
      <c r="HV11" s="61">
        <v>41.7</v>
      </c>
      <c r="IQ11" s="4"/>
      <c r="IV11" s="61">
        <v>41.7</v>
      </c>
      <c r="JQ11" s="4"/>
      <c r="JV11" s="61">
        <v>41.7</v>
      </c>
      <c r="KQ11" s="4"/>
      <c r="KV11" s="61">
        <v>41.7</v>
      </c>
      <c r="LQ11" s="4"/>
      <c r="LV11" s="61">
        <v>41.7</v>
      </c>
      <c r="MQ11" s="4"/>
      <c r="MV11" s="61">
        <v>41.7</v>
      </c>
      <c r="NQ11" s="4"/>
      <c r="NV11" s="61">
        <v>41.7</v>
      </c>
      <c r="OQ11" s="4"/>
      <c r="OV11" s="61">
        <v>41.7</v>
      </c>
    </row>
    <row r="12" spans="1:439" ht="17" hidden="1" x14ac:dyDescent="0.2">
      <c r="A12" s="5"/>
      <c r="B12" s="29" t="s">
        <v>40</v>
      </c>
      <c r="C12" s="22"/>
      <c r="O12" s="11"/>
      <c r="P12" s="11"/>
      <c r="Q12" s="11"/>
      <c r="AM12" s="4"/>
      <c r="AR12" s="62">
        <v>43.4</v>
      </c>
      <c r="BN12" s="4"/>
      <c r="BS12" s="62">
        <v>43.4</v>
      </c>
      <c r="CO12" s="4"/>
      <c r="CT12" s="62">
        <v>43.4</v>
      </c>
      <c r="DQ12" s="4"/>
      <c r="DV12" s="62">
        <v>43.4</v>
      </c>
      <c r="EQ12" s="4"/>
      <c r="EV12" s="62">
        <v>43.4</v>
      </c>
      <c r="FQ12" s="4"/>
      <c r="FV12" s="62">
        <v>43.4</v>
      </c>
      <c r="GQ12" s="4"/>
      <c r="GV12" s="62">
        <v>43.4</v>
      </c>
      <c r="HQ12" s="4"/>
      <c r="HV12" s="62">
        <v>43.4</v>
      </c>
      <c r="IQ12" s="4"/>
      <c r="IV12" s="62">
        <v>43.4</v>
      </c>
      <c r="JQ12" s="4"/>
      <c r="JV12" s="62">
        <v>43.4</v>
      </c>
      <c r="KQ12" s="4"/>
      <c r="KV12" s="62">
        <v>43.4</v>
      </c>
      <c r="LQ12" s="4"/>
      <c r="LV12" s="62">
        <v>43.4</v>
      </c>
      <c r="MQ12" s="4"/>
      <c r="MV12" s="62">
        <v>43.4</v>
      </c>
      <c r="NQ12" s="4"/>
      <c r="NV12" s="62">
        <v>43.4</v>
      </c>
      <c r="OQ12" s="4"/>
      <c r="OV12" s="62">
        <v>43.4</v>
      </c>
    </row>
    <row r="13" spans="1:439" ht="17" x14ac:dyDescent="0.2">
      <c r="A13" s="5"/>
      <c r="B13" s="40" t="s">
        <v>53</v>
      </c>
      <c r="C13" s="22"/>
      <c r="O13" s="11"/>
      <c r="P13" s="11"/>
      <c r="Q13" s="11"/>
      <c r="AM13" s="4"/>
      <c r="AR13" s="63">
        <v>42.5</v>
      </c>
      <c r="BN13" s="4"/>
      <c r="BS13" s="63">
        <v>42.5</v>
      </c>
      <c r="CO13" s="4"/>
      <c r="CT13" s="63">
        <v>42.5</v>
      </c>
      <c r="DQ13" s="4"/>
      <c r="DV13" s="63">
        <v>42.5</v>
      </c>
      <c r="EQ13" s="4"/>
      <c r="EV13" s="63">
        <v>42.5</v>
      </c>
      <c r="FQ13" s="4"/>
      <c r="FV13" s="63">
        <v>42.5</v>
      </c>
      <c r="GQ13" s="4"/>
      <c r="GV13" s="63">
        <v>42.5</v>
      </c>
      <c r="HQ13" s="4"/>
      <c r="HV13" s="63">
        <v>42.5</v>
      </c>
      <c r="IQ13" s="4"/>
      <c r="IV13" s="63">
        <v>42.5</v>
      </c>
      <c r="JQ13" s="4"/>
      <c r="JV13" s="63">
        <v>42.5</v>
      </c>
      <c r="KQ13" s="4"/>
      <c r="KV13" s="63">
        <v>42.5</v>
      </c>
      <c r="LQ13" s="4"/>
      <c r="LV13" s="63">
        <v>42.5</v>
      </c>
      <c r="MQ13" s="4"/>
      <c r="MV13" s="63">
        <v>42.5</v>
      </c>
      <c r="NQ13" s="4"/>
      <c r="NV13" s="63">
        <v>42.5</v>
      </c>
      <c r="OQ13" s="4"/>
      <c r="OV13" s="63">
        <v>42.5</v>
      </c>
    </row>
    <row r="14" spans="1:439" ht="17" hidden="1" x14ac:dyDescent="0.2">
      <c r="A14" s="5"/>
      <c r="B14" s="30" t="s">
        <v>26</v>
      </c>
      <c r="C14" s="22"/>
      <c r="O14" s="11"/>
      <c r="P14" s="11"/>
      <c r="Q14" s="11"/>
      <c r="AM14" s="4"/>
      <c r="AR14" s="64">
        <v>1000</v>
      </c>
      <c r="BN14" s="4"/>
      <c r="BS14" s="64">
        <v>1000</v>
      </c>
      <c r="CO14" s="4"/>
      <c r="CT14" s="64">
        <v>1000</v>
      </c>
      <c r="DQ14" s="4"/>
      <c r="DV14" s="64">
        <v>1000</v>
      </c>
      <c r="EQ14" s="4"/>
      <c r="EV14" s="64">
        <v>1000</v>
      </c>
      <c r="FQ14" s="4"/>
      <c r="FV14" s="64">
        <v>1000</v>
      </c>
      <c r="GQ14" s="4"/>
      <c r="GV14" s="64">
        <v>1000</v>
      </c>
      <c r="HQ14" s="4"/>
      <c r="HV14" s="64">
        <v>1000</v>
      </c>
      <c r="IQ14" s="4"/>
      <c r="IV14" s="64">
        <v>1000</v>
      </c>
      <c r="JQ14" s="4"/>
      <c r="JV14" s="64">
        <v>1000</v>
      </c>
      <c r="KQ14" s="4"/>
      <c r="KV14" s="64">
        <v>1000</v>
      </c>
      <c r="LQ14" s="4"/>
      <c r="LV14" s="64">
        <v>1000</v>
      </c>
      <c r="MQ14" s="4"/>
      <c r="MV14" s="64">
        <v>1000</v>
      </c>
      <c r="NQ14" s="4"/>
      <c r="NV14" s="64">
        <v>1000</v>
      </c>
      <c r="OQ14" s="4"/>
      <c r="OV14" s="64">
        <v>1000</v>
      </c>
    </row>
    <row r="15" spans="1:439" x14ac:dyDescent="0.2">
      <c r="B15" s="34" t="s">
        <v>45</v>
      </c>
      <c r="C15" s="2"/>
    </row>
    <row r="16" spans="1:439" x14ac:dyDescent="0.2">
      <c r="A16" s="5"/>
      <c r="B16" s="5"/>
      <c r="C16" s="22"/>
    </row>
    <row r="17" spans="1:3" x14ac:dyDescent="0.2">
      <c r="A17" s="5"/>
      <c r="B17" s="5"/>
      <c r="C17" s="22"/>
    </row>
    <row r="18" spans="1:3" x14ac:dyDescent="0.2">
      <c r="A18" s="5"/>
      <c r="B18" s="5"/>
      <c r="C18" s="22"/>
    </row>
    <row r="19" spans="1:3" x14ac:dyDescent="0.2">
      <c r="A19" s="5"/>
      <c r="B19" s="5"/>
      <c r="C19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4">
      <sortCondition descending="1" ref="F1:F5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4">
    <cfRule type="expression" dxfId="86" priority="6" stopIfTrue="1">
      <formula>IF($AL4&lt;&gt;"",1,0)</formula>
    </cfRule>
  </conditionalFormatting>
  <conditionalFormatting sqref="AS4:BS4">
    <cfRule type="expression" dxfId="85" priority="11" stopIfTrue="1">
      <formula>IF($BM4&lt;&gt;"",1,0)</formula>
    </cfRule>
  </conditionalFormatting>
  <conditionalFormatting sqref="J1:J1048576 L1:L1048576 N1:N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4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AR$10</formula>
      <formula>1000</formula>
    </cfRule>
    <cfRule type="cellIs" dxfId="72" priority="54397" operator="between">
      <formula>AR$9</formula>
      <formula>AR$10</formula>
    </cfRule>
    <cfRule type="cellIs" dxfId="71" priority="54398" operator="between">
      <formula>AR$8</formula>
      <formula>AR$9</formula>
    </cfRule>
    <cfRule type="cellIs" dxfId="70" priority="54399" operator="between">
      <formula>AR$7</formula>
      <formula>AR$8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AR$14</formula>
      <formula>1000</formula>
    </cfRule>
    <cfRule type="cellIs" dxfId="68" priority="54577" operator="between">
      <formula>AR$13</formula>
      <formula>AR$14</formula>
    </cfRule>
    <cfRule type="cellIs" dxfId="67" priority="54578" operator="between">
      <formula>AR$12</formula>
      <formula>AR$13</formula>
    </cfRule>
    <cfRule type="cellIs" dxfId="66" priority="54579" operator="between">
      <formula>AR$11</formula>
      <formula>AR$12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AR$7</formula>
      <formula>AR$8</formula>
    </cfRule>
    <cfRule type="cellIs" dxfId="64" priority="54757" operator="between">
      <formula>AR$8</formula>
      <formula>AR$9</formula>
    </cfRule>
    <cfRule type="cellIs" dxfId="63" priority="54758" operator="between">
      <formula>AR$9</formula>
      <formula>AR$10</formula>
    </cfRule>
    <cfRule type="cellIs" dxfId="62" priority="54759" operator="between">
      <formula>AR$10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AR$11</formula>
      <formula>AR$12</formula>
    </cfRule>
    <cfRule type="cellIs" dxfId="60" priority="54937" operator="between">
      <formula>AR$12</formula>
      <formula>AR$13</formula>
    </cfRule>
    <cfRule type="cellIs" dxfId="59" priority="54938" operator="between">
      <formula>AR$13</formula>
      <formula>AR$14</formula>
    </cfRule>
    <cfRule type="cellIs" dxfId="58" priority="54939" operator="between">
      <formula>AR$14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84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92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96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101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102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DD"),SUMPRODUCT((H$4:H$9&lt;&gt;"")*(H$4:H$9&lt;&gt;"No DD")*(E$4:E$9&gt;E4))+1,IF(H4="No DD",SUMPRODUCT((H$4:H$9="No DD")*(E$4:E$9&gt;E4))+1+SUMPRODUCT((H$4:H$9&lt;&gt;"")*(H$4:H$9&lt;&gt;"No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157.70001515000519</v>
      </c>
      <c r="F4" s="3" t="str">
        <f>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P","")</f>
        <v>P</v>
      </c>
      <c r="G4" s="3" t="str">
        <f>IF(OR(AND(AN4&gt;=AR$15,AN4&lt;&gt;"",AL4=""),AND(AQ4&gt;=AR$15,AQ4&lt;&gt;"",AL4=""),AND(BO4&gt;=BS$15,BO4&lt;&gt;"",BM4=""),AND(BR4&gt;=BS$15,BR4&lt;&gt;"",BM4=""),AND(CP4&gt;=CT$15,CP4&lt;&gt;"",CN4=""),AND(CS4&gt;=CT$15,CS4&lt;&gt;"",CN4=""),AND(DR4&gt;=DV$15,DR4&lt;&gt;""),AND(DU4&gt;=DV$15,DU4&lt;&gt;""),AND(ER4&gt;=EV$15,ER4&lt;&gt;""),AND(EU4&gt;=EV$15,EU4&lt;&gt;""),AND(FR4&gt;=FV$15,FR4&lt;&gt;""),AND(FU4&gt;=FV$15,FU4&lt;&gt;""),AND(GR4&gt;=GV$15,GR4&lt;&gt;""),AND(GU4&gt;=GV$15,GU4&lt;&gt;""),AND(HR4&gt;=HV$15,HR4&lt;&gt;""),AND(HU4&gt;=HV$15,HU4&lt;&gt;""),AND(IR4&gt;=IV$15,IR4&lt;&gt;""),AND(IU4&gt;=IV$15,IU4&lt;&gt;""),AND(JR4&gt;=JV$15,JR4&lt;&gt;""),AND(JU4&gt;=JV$15,JU4&lt;&gt;""),AND(KR4&gt;=KV$15,KR4&lt;&gt;""),AND(KU4&gt;=KV$15,KU4&lt;&gt;""),AND(LR4&gt;=LV$15,LR4&lt;&gt;""),AND(LU4&gt;=LV$15,LU4&lt;&gt;""),AND(MR4&gt;=MV$15,MR4&lt;&gt;""),AND(MU4&gt;=MV$15,MU4&lt;&gt;""),AND(NR4&gt;=NV$15,NR4&lt;&gt;""),AND(NU4&gt;=NV$15,NU4&lt;&gt;""),AND(OR4&gt;=OV$15,OR4&lt;&gt;""),AND(OU4&gt;=OV$15,OU4&lt;&gt;"")),"P","")</f>
        <v>P</v>
      </c>
      <c r="H4" s="47" t="str">
        <f>IF(AND(G4="P",F4=""),"No DD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Merit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Excellence",IF(F4="P","National Team",""))))</f>
        <v>Excellence</v>
      </c>
      <c r="I4" s="9">
        <f>IF(COUNT(AN4,BO4,CP4)&gt;0,LARGE((AN4,BO4,CP4),1),0)</f>
        <v>51.7</v>
      </c>
      <c r="J4" s="9" t="str">
        <f>IF(I4=0,"",IF(I4=CP4,$BT$1,IF(I4=BO4,$AS$1,IF(I4=AN4,$R$1,""))))</f>
        <v>2024 Elite Canada</v>
      </c>
      <c r="K4" s="9">
        <f>IF(COUNT(AN4,BO4,CP4)&gt;1,LARGE((AN4,BO4,CP4),2),0)</f>
        <v>46.599999999999994</v>
      </c>
      <c r="L4" s="9" t="str">
        <f>IF(K4=0,"",IF(K4=CP4,$BT$1,IF(K4=BO4,$AS$1,IF(K4=AN4,$R$1,""))))</f>
        <v>2023 3rd Domestic Trial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6.2000000000000099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2023 WAGC (Nov 18)</v>
      </c>
      <c r="R4" s="20">
        <v>17.399999999999999</v>
      </c>
      <c r="S4" s="20">
        <v>2.8</v>
      </c>
      <c r="T4" s="20">
        <v>0</v>
      </c>
      <c r="U4" s="20">
        <v>0</v>
      </c>
      <c r="V4" s="20">
        <v>17.600000000000001</v>
      </c>
      <c r="W4" s="20">
        <v>4</v>
      </c>
      <c r="X4" s="20">
        <v>0</v>
      </c>
      <c r="Y4" s="20">
        <v>0</v>
      </c>
      <c r="Z4" s="20">
        <v>18.5</v>
      </c>
      <c r="AA4" s="20">
        <v>7.6</v>
      </c>
      <c r="AB4" s="20">
        <v>0</v>
      </c>
      <c r="AC4" s="20">
        <v>0</v>
      </c>
      <c r="AD4" s="20">
        <v>18.8</v>
      </c>
      <c r="AE4" s="20">
        <v>7.2</v>
      </c>
      <c r="AF4" s="20">
        <v>0.6</v>
      </c>
      <c r="AG4" s="20">
        <v>0</v>
      </c>
      <c r="AH4" s="20">
        <v>18.3</v>
      </c>
      <c r="AI4" s="20">
        <v>6.8</v>
      </c>
      <c r="AJ4" s="20">
        <v>0.2</v>
      </c>
      <c r="AK4" s="20">
        <v>0</v>
      </c>
      <c r="AL4" s="32"/>
      <c r="AM4" s="55">
        <f>IF(SUM(S4,W4)&gt;0,SUM(S4,W4),"")</f>
        <v>6.8</v>
      </c>
      <c r="AN4" s="55">
        <f>IF(SUM(R4:S4,U4:W4,Y4)-T4-X4&gt;0,SUM(R4:S4,U4:W4,Y4)-T4-X4,"")</f>
        <v>41.8</v>
      </c>
      <c r="AO4" s="55">
        <f>IF(SUM(Z4:AA4,AC4)-AB4&gt;0,SUM(Z4:AA4,AC4)-AB4,"")</f>
        <v>26.1</v>
      </c>
      <c r="AP4" s="55">
        <f>IF(SUM(AE4,AI4)&gt;0,SUM(AE4,AI4),"")</f>
        <v>14</v>
      </c>
      <c r="AQ4" s="55">
        <f>IF(SUM(AD4:AE4,AG4:AI4,AK4)-SUM(AF4,AJ4)&gt;0,SUM(AD4:AE4,AG4:AI4,AK4)-SUM(AF4,AJ4),"")</f>
        <v>50.3</v>
      </c>
      <c r="AR4" s="55">
        <f>IF(SUM(AN4,AO4,AQ4)&gt;0,SUM(AN4,AO4,AQ4),"")</f>
        <v>118.2</v>
      </c>
      <c r="AS4" s="19">
        <v>17.399999999999999</v>
      </c>
      <c r="AT4" s="19">
        <v>4</v>
      </c>
      <c r="AU4" s="19">
        <v>0</v>
      </c>
      <c r="AV4" s="19">
        <v>0</v>
      </c>
      <c r="AW4" s="19">
        <v>18.2</v>
      </c>
      <c r="AX4" s="19">
        <v>7.6000000000000005</v>
      </c>
      <c r="AY4" s="19">
        <v>0.6</v>
      </c>
      <c r="AZ4" s="19">
        <v>0</v>
      </c>
      <c r="BA4" s="19">
        <v>17.3</v>
      </c>
      <c r="BB4" s="19">
        <v>2.8</v>
      </c>
      <c r="BC4" s="19">
        <v>0</v>
      </c>
      <c r="BD4" s="19">
        <v>0</v>
      </c>
      <c r="BE4" s="19">
        <v>18.2</v>
      </c>
      <c r="BF4" s="19">
        <v>7.6</v>
      </c>
      <c r="BG4" s="19">
        <v>0</v>
      </c>
      <c r="BH4" s="19">
        <v>0</v>
      </c>
      <c r="BI4" s="19">
        <v>18.399999999999999</v>
      </c>
      <c r="BJ4" s="19">
        <v>7.6000000000000005</v>
      </c>
      <c r="BK4" s="19">
        <v>0</v>
      </c>
      <c r="BL4" s="19">
        <v>0</v>
      </c>
      <c r="BM4" s="33"/>
      <c r="BN4" s="14">
        <f>IF(SUM(AT4,AX4)&gt;0,SUM(AT4,AX4),"")</f>
        <v>11.600000000000001</v>
      </c>
      <c r="BO4" s="14">
        <f>IF(SUM(AS4:AT4,AV4:AX4,AZ4)-AU4-AY4&gt;0,SUM(AS4:AT4,AV4:AX4,AZ4)-AU4-AY4,"")</f>
        <v>46.599999999999994</v>
      </c>
      <c r="BP4" s="14">
        <f>IF(SUM(BA4:BB4,BD4)-BC4&gt;0,SUM(BA4:BB4,BD4)-BC4,"")</f>
        <v>20.100000000000001</v>
      </c>
      <c r="BQ4" s="14">
        <f>IF(SUM(BF4,BJ4)&gt;0,SUM(BF4,BJ4),"")</f>
        <v>15.2</v>
      </c>
      <c r="BR4" s="14">
        <f>IF(SUM(BE4:BF4,BH4:BJ4,BL4)-SUM(BG4,BK4)&gt;0,SUM(BE4:BF4,BH4:BJ4,BL4)-SUM(BG4,BK4),"")</f>
        <v>51.8</v>
      </c>
      <c r="BS4" s="14">
        <f>IF(SUM(BO4,BP4,BR4)&gt;0,SUM(BO4,BP4,BR4),"")</f>
        <v>118.49999999999999</v>
      </c>
      <c r="BT4" s="20">
        <v>18.600000000000001</v>
      </c>
      <c r="BU4" s="20">
        <v>8.4</v>
      </c>
      <c r="BV4" s="20">
        <v>0.6</v>
      </c>
      <c r="BW4" s="20">
        <v>0</v>
      </c>
      <c r="BX4" s="20">
        <v>18</v>
      </c>
      <c r="BY4" s="20">
        <v>8.1</v>
      </c>
      <c r="BZ4" s="20">
        <v>0.8</v>
      </c>
      <c r="CA4" s="20">
        <v>0</v>
      </c>
      <c r="CB4" s="20">
        <v>18.3</v>
      </c>
      <c r="CC4" s="20">
        <v>7.6</v>
      </c>
      <c r="CD4" s="20">
        <v>0.2</v>
      </c>
      <c r="CE4" s="20">
        <v>0</v>
      </c>
      <c r="CF4" s="20">
        <v>18.600000000000001</v>
      </c>
      <c r="CG4" s="20">
        <v>8.4</v>
      </c>
      <c r="CH4" s="20">
        <v>0.2</v>
      </c>
      <c r="CI4" s="20">
        <v>0</v>
      </c>
      <c r="CJ4" s="20">
        <v>18.3</v>
      </c>
      <c r="CK4" s="20">
        <v>8.1</v>
      </c>
      <c r="CL4" s="20">
        <v>0</v>
      </c>
      <c r="CM4" s="20">
        <v>0</v>
      </c>
      <c r="CN4" s="32"/>
      <c r="CO4" s="55">
        <f>IF(SUM(BU4,BY4)&gt;0,SUM(BU4,BY4),"")</f>
        <v>16.5</v>
      </c>
      <c r="CP4" s="55">
        <f>IF(SUM(BT4:BU4,BW4:BY4,CA4)-BV4-BZ4&gt;0,SUM(BT4:BU4,BW4:BY4,CA4)-BV4-BZ4,"")</f>
        <v>51.7</v>
      </c>
      <c r="CQ4" s="55">
        <f>IF(SUM(CB4:CC4,CE4)-CD4&gt;0,SUM(CB4:CC4,CE4)-CD4,"")</f>
        <v>25.7</v>
      </c>
      <c r="CR4" s="55">
        <f>IF(SUM(CG4,CK4)&gt;0,SUM(CG4,CK4),"")</f>
        <v>16.5</v>
      </c>
      <c r="CS4" s="55">
        <f>IF(SUM(CF4:CG4,CI4:CK4,CM4)-SUM(CH4,CL4)&gt;0,SUM(CF4:CG4,CI4:CK4,CM4)-SUM(CH4,CL4),"")</f>
        <v>53.199999999999996</v>
      </c>
      <c r="CT4" s="55">
        <f>IF(SUM(CP4,CQ4,CS4)&gt;0,SUM(CP4,CQ4,CS4),"")</f>
        <v>130.6</v>
      </c>
      <c r="CU4" s="56">
        <f>IF(MAX(DR4,ER4,FR4,GR4,HR4,IR4,JR4,KR4,LR4,MR4,NR4,OR4)-IF(K4="",0,K4)&gt;0.001,MAX(DR4,ER4,FR4,GR4,HR4,IR4,JR4,KR4,LR4,MR4,NR4,OR4)-IF(K4="",0,K4),"")</f>
        <v>6.2000000000000099</v>
      </c>
      <c r="CV4" s="56" t="str">
        <f>IF(MAX(DU4,EU4,FU4,GU4,HU4,IU4,JU4,KU4,LU4,MU4,NU4,OU4)-IF(M4="",0,M4)&gt;0.001,MAX(DU4,EU4,FU4,GU4,HU4,IU4,JU4,KU4,LU4,MU4,NU4,OU4)-IF(M4="",0,M4),"")</f>
        <v/>
      </c>
      <c r="CW4" s="18">
        <v>19</v>
      </c>
      <c r="CX4" s="18">
        <v>7.6</v>
      </c>
      <c r="CY4" s="18">
        <v>0.6</v>
      </c>
      <c r="CZ4" s="18">
        <v>0</v>
      </c>
      <c r="DA4" s="18">
        <v>18.8</v>
      </c>
      <c r="DB4" s="18">
        <v>8</v>
      </c>
      <c r="DC4" s="18">
        <v>0</v>
      </c>
      <c r="DD4" s="18">
        <v>0</v>
      </c>
      <c r="DE4" s="18"/>
      <c r="DF4" s="18"/>
      <c r="DG4" s="18"/>
      <c r="DH4" s="18"/>
      <c r="DI4" s="18">
        <v>18.8</v>
      </c>
      <c r="DJ4" s="18">
        <v>8.4</v>
      </c>
      <c r="DK4" s="18">
        <v>0</v>
      </c>
      <c r="DL4" s="18">
        <v>0</v>
      </c>
      <c r="DM4" s="18">
        <v>0</v>
      </c>
      <c r="DN4" s="18">
        <v>0</v>
      </c>
      <c r="DO4" s="18">
        <v>0</v>
      </c>
      <c r="DP4" s="18">
        <v>0</v>
      </c>
      <c r="DQ4" s="55">
        <f>IF(SUM(CX4,DB4)&gt;0,SUM(CX4,DB4),"")</f>
        <v>15.6</v>
      </c>
      <c r="DR4" s="55">
        <f>IF(SUM(CW4:CX4,CZ4:DB4,DD4)-CY4-DC4&gt;0,SUM(CW4:CX4,CZ4:DB4,DD4)-CY4-DC4,"")</f>
        <v>52.800000000000004</v>
      </c>
      <c r="DS4" s="55" t="str">
        <f>IF(SUM(DE4:DF4,DH4)-DG4&gt;0,SUM(DE4:DF4,DH4)-DG4,"")</f>
        <v/>
      </c>
      <c r="DT4" s="55">
        <f>IF(SUM(DJ4,DN4)&gt;0,SUM(DJ4,DN4),"")</f>
        <v>8.4</v>
      </c>
      <c r="DU4" s="55">
        <f>IF(SUM(DI4:DJ4,DL4:DN4,DP4)-SUM(DK4,DO4)&gt;0,SUM(DI4:DJ4,DL4:DN4,DP4)-SUM(DK4,DO4),"")</f>
        <v>27.200000000000003</v>
      </c>
      <c r="DV4" s="55">
        <f>IF(SUM(DR4,DS4,DU4)&gt;0,SUM(DR4,DS4,DU4),"")</f>
        <v>80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18.7</v>
      </c>
      <c r="EJ4" s="19">
        <v>7.2</v>
      </c>
      <c r="EK4" s="19">
        <v>0</v>
      </c>
      <c r="EL4" s="19">
        <v>0</v>
      </c>
      <c r="EM4" s="19">
        <v>18.899999999999999</v>
      </c>
      <c r="EN4" s="19">
        <v>7.6</v>
      </c>
      <c r="EO4" s="19">
        <v>0.8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14.8</v>
      </c>
      <c r="EU4" s="14">
        <f>IF(SUM(EI4:EJ4,EL4:EN4,EP4)-SUM(EK4,EO4)&gt;0,SUM(EI4:EJ4,EL4:EN4,EP4)-SUM(EK4,EO4),"")</f>
        <v>51.6</v>
      </c>
      <c r="EV4" s="14">
        <f>IF(SUM(ER4,ES4,EU4)&gt;0,SUM(ER4,ES4,EU4),"")</f>
        <v>51.6</v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>
        <v>18.5</v>
      </c>
      <c r="FJ4" s="18">
        <v>8.4</v>
      </c>
      <c r="FK4" s="18">
        <v>1</v>
      </c>
      <c r="FL4" s="18">
        <v>0</v>
      </c>
      <c r="FM4" s="18">
        <v>17.399999999999999</v>
      </c>
      <c r="FN4" s="18">
        <v>2.8</v>
      </c>
      <c r="FO4" s="18">
        <v>0</v>
      </c>
      <c r="FP4" s="18">
        <v>0</v>
      </c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>
        <f>IF(SUM(FJ4,FN4)&gt;0,SUM(FJ4,FN4),"")</f>
        <v>11.2</v>
      </c>
      <c r="FU4" s="55">
        <f>IF(SUM(FI4:FJ4,FL4:FN4,FP4)-SUM(FK4,FO4)&gt;0,SUM(FI4:FJ4,FL4:FN4,FP4)-SUM(FK4,FO4),"")</f>
        <v>46.099999999999994</v>
      </c>
      <c r="FV4" s="55">
        <f>IF(SUM(FR4,FS4,FU4)&gt;0,SUM(FR4,FS4,FU4),"")</f>
        <v>46.099999999999994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8" si="0">IF($CN4="P",BT4,(BT4+AS4)/2)</f>
        <v>18</v>
      </c>
      <c r="OX4" s="27">
        <f t="shared" si="0"/>
        <v>6.2</v>
      </c>
      <c r="OY4" s="27">
        <f t="shared" si="0"/>
        <v>0.3</v>
      </c>
      <c r="OZ4" s="27">
        <f t="shared" si="0"/>
        <v>0</v>
      </c>
      <c r="PA4" s="27">
        <f t="shared" si="0"/>
        <v>18.100000000000001</v>
      </c>
      <c r="PB4" s="27">
        <f t="shared" si="0"/>
        <v>7.85</v>
      </c>
      <c r="PC4" s="27">
        <f t="shared" si="0"/>
        <v>0.7</v>
      </c>
      <c r="PD4" s="27">
        <f t="shared" si="0"/>
        <v>0</v>
      </c>
      <c r="PE4" s="27">
        <f t="shared" si="0"/>
        <v>17.8</v>
      </c>
      <c r="PF4" s="27">
        <f t="shared" si="0"/>
        <v>5.1999999999999993</v>
      </c>
      <c r="PG4" s="27">
        <f t="shared" ref="PG4:PP8" si="1">IF($CN4="P",CD4,(CD4+BC4)/2)</f>
        <v>0.1</v>
      </c>
      <c r="PH4" s="27">
        <f t="shared" si="1"/>
        <v>0</v>
      </c>
      <c r="PI4" s="27">
        <f t="shared" si="1"/>
        <v>18.399999999999999</v>
      </c>
      <c r="PJ4" s="27">
        <f t="shared" si="1"/>
        <v>8</v>
      </c>
      <c r="PK4" s="27">
        <f t="shared" si="1"/>
        <v>0.1</v>
      </c>
      <c r="PL4" s="27">
        <f t="shared" si="1"/>
        <v>0</v>
      </c>
      <c r="PM4" s="27">
        <f t="shared" si="1"/>
        <v>18.350000000000001</v>
      </c>
      <c r="PN4" s="27">
        <f t="shared" si="1"/>
        <v>7.85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14.05</v>
      </c>
      <c r="PS4" s="55">
        <f>IF(SUM(OW4:OX4,OZ4:PB4,PD4)-OY4-PC4&gt;0,SUM(OW4:OX4,OZ4:PB4,PD4)-OY4-PC4,"")</f>
        <v>49.15</v>
      </c>
      <c r="PT4" s="55">
        <f>IF(SUM(PE4:PF4,PH4)-PG4&gt;0,SUM(PE4:PF4,PH4)-PG4,"")</f>
        <v>22.9</v>
      </c>
      <c r="PU4" s="55">
        <f>IF(SUM(PJ4,PN4)&gt;0,SUM(PJ4,PN4),"")</f>
        <v>15.85</v>
      </c>
      <c r="PV4" s="55">
        <f>IF(SUM(PI4:PJ4,PL4:PN4,PP4)-SUM(PK4,PO4)&gt;0,SUM(PI4:PJ4,PL4:PN4,PP4)-SUM(PK4,PO4),"")</f>
        <v>52.5</v>
      </c>
      <c r="PW4" s="55">
        <f>IF(SUM(PS4,PT4,PV4)&gt;0,SUM(PS4,PT4,PV4),"")</f>
        <v>124.55</v>
      </c>
    </row>
    <row r="5" spans="1:439" x14ac:dyDescent="0.2">
      <c r="A5" s="4" cm="1">
        <f t="array" ref="A5">IF(AND(H5&lt;&gt;"",H5&lt;&gt;"No DD"),SUMPRODUCT((H$4:H$9&lt;&gt;"")*(H$4:H$9&lt;&gt;"No DD")*(E$4:E$9&gt;E5))+1,IF(H5="No DD",SUMPRODUCT((H$4:H$9="No DD")*(E$4:E$9&gt;E5))+1+SUMPRODUCT((H$4:H$9&lt;&gt;"")*(H$4:H$9&lt;&gt;"No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150.3000150300052</v>
      </c>
      <c r="F5" s="3" t="str">
        <f>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P","")</f>
        <v>P</v>
      </c>
      <c r="G5" s="3" t="str">
        <f>IF(OR(AND(AN5&gt;=AR$15,AN5&lt;&gt;"",AL5=""),AND(AQ5&gt;=AR$15,AQ5&lt;&gt;"",AL5=""),AND(BO5&gt;=BS$15,BO5&lt;&gt;"",BM5=""),AND(BR5&gt;=BS$15,BR5&lt;&gt;"",BM5=""),AND(CP5&gt;=CT$15,CP5&lt;&gt;"",CN5=""),AND(CS5&gt;=CT$15,CS5&lt;&gt;"",CN5=""),AND(DR5&gt;=DV$15,DR5&lt;&gt;""),AND(DU5&gt;=DV$15,DU5&lt;&gt;""),AND(ER5&gt;=EV$15,ER5&lt;&gt;""),AND(EU5&gt;=EV$15,EU5&lt;&gt;""),AND(FR5&gt;=FV$15,FR5&lt;&gt;""),AND(FU5&gt;=FV$15,FU5&lt;&gt;""),AND(GR5&gt;=GV$15,GR5&lt;&gt;""),AND(GU5&gt;=GV$15,GU5&lt;&gt;""),AND(HR5&gt;=HV$15,HR5&lt;&gt;""),AND(HU5&gt;=HV$15,HU5&lt;&gt;""),AND(IR5&gt;=IV$15,IR5&lt;&gt;""),AND(IU5&gt;=IV$15,IU5&lt;&gt;""),AND(JR5&gt;=JV$15,JR5&lt;&gt;""),AND(JU5&gt;=JV$15,JU5&lt;&gt;""),AND(KR5&gt;=KV$15,KR5&lt;&gt;""),AND(KU5&gt;=KV$15,KU5&lt;&gt;""),AND(LR5&gt;=LV$15,LR5&lt;&gt;""),AND(LU5&gt;=LV$15,LU5&lt;&gt;""),AND(MR5&gt;=MV$15,MR5&lt;&gt;""),AND(MU5&gt;=MV$15,MU5&lt;&gt;""),AND(NR5&gt;=NV$15,NR5&lt;&gt;""),AND(NU5&gt;=NV$15,NU5&lt;&gt;""),AND(OR5&gt;=OV$15,OR5&lt;&gt;""),AND(OU5&gt;=OV$15,OU5&lt;&gt;"")),"P","")</f>
        <v>P</v>
      </c>
      <c r="H5" s="47" t="str">
        <f>IF(AND(G5="P",F5=""),"No DD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Merit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46.3</v>
      </c>
      <c r="L5" s="9" t="str">
        <f>IF(K5=0,"",IF(K5=CP5,$BT$1,IF(K5=BO5,$AS$1,IF(K5=AN5,$R$1,""))))</f>
        <v>2023 Nationals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19</v>
      </c>
      <c r="S5" s="20">
        <v>4</v>
      </c>
      <c r="T5" s="20">
        <v>0</v>
      </c>
      <c r="U5" s="20">
        <v>0</v>
      </c>
      <c r="V5" s="20">
        <v>19</v>
      </c>
      <c r="W5" s="20">
        <v>4.3</v>
      </c>
      <c r="X5" s="20">
        <v>0</v>
      </c>
      <c r="Y5" s="20">
        <v>0</v>
      </c>
      <c r="Z5" s="20"/>
      <c r="AA5" s="20"/>
      <c r="AB5" s="20"/>
      <c r="AC5" s="20"/>
      <c r="AD5" s="20">
        <v>18.600000000000001</v>
      </c>
      <c r="AE5" s="20">
        <v>3.9</v>
      </c>
      <c r="AF5" s="20">
        <v>0</v>
      </c>
      <c r="AG5" s="20">
        <v>0</v>
      </c>
      <c r="AH5" s="20">
        <v>18.399999999999999</v>
      </c>
      <c r="AI5" s="20">
        <v>3.5</v>
      </c>
      <c r="AJ5" s="20">
        <v>0.2</v>
      </c>
      <c r="AK5" s="20">
        <v>0</v>
      </c>
      <c r="AL5" s="32"/>
      <c r="AM5" s="55">
        <f>IF(SUM(S5,W5)&gt;0,SUM(S5,W5),"")</f>
        <v>8.3000000000000007</v>
      </c>
      <c r="AN5" s="55">
        <f>IF(SUM(R5:S5,U5:W5,Y5)-T5-X5&gt;0,SUM(R5:S5,U5:W5,Y5)-T5-X5,"")</f>
        <v>46.3</v>
      </c>
      <c r="AO5" s="55" t="str">
        <f>IF(SUM(Z5:AA5,AC5)-AB5&gt;0,SUM(Z5:AA5,AC5)-AB5,"")</f>
        <v/>
      </c>
      <c r="AP5" s="55">
        <f>IF(SUM(AE5,AI5)&gt;0,SUM(AE5,AI5),"")</f>
        <v>7.4</v>
      </c>
      <c r="AQ5" s="55">
        <f>IF(SUM(AD5:AE5,AG5:AI5,AK5)-SUM(AF5,AJ5)&gt;0,SUM(AD5:AE5,AG5:AI5,AK5)-SUM(AF5,AJ5),"")</f>
        <v>44.199999999999996</v>
      </c>
      <c r="AR5" s="55">
        <f>IF(SUM(AN5,AO5,AQ5)&gt;0,SUM(AN5,AO5,AQ5),"")</f>
        <v>90.5</v>
      </c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33"/>
      <c r="BN5" s="14" t="str">
        <f>IF(SUM(AT5,AX5)&gt;0,SUM(AT5,AX5),"")</f>
        <v/>
      </c>
      <c r="BO5" s="14" t="str">
        <f>IF(SUM(AS5:AT5,AV5:AX5,AZ5)-AU5-AY5&gt;0,SUM(AS5:AT5,AV5:AX5,AZ5)-AU5-AY5,"")</f>
        <v/>
      </c>
      <c r="BP5" s="14" t="str">
        <f>IF(SUM(BA5:BB5,BD5)-BC5&gt;0,SUM(BA5:BB5,BD5)-BC5,"")</f>
        <v/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 t="str">
        <f>IF(SUM(BO5,BP5,BR5)&gt;0,SUM(BO5,BP5,BR5),"")</f>
        <v/>
      </c>
      <c r="BT5" s="20">
        <v>19</v>
      </c>
      <c r="BU5" s="20">
        <v>7.6</v>
      </c>
      <c r="BV5" s="20">
        <v>0</v>
      </c>
      <c r="BW5" s="20">
        <v>0</v>
      </c>
      <c r="BX5" s="20">
        <v>18.399999999999999</v>
      </c>
      <c r="BY5" s="20">
        <v>7.6</v>
      </c>
      <c r="BZ5" s="20">
        <v>0.6</v>
      </c>
      <c r="CA5" s="20">
        <v>0</v>
      </c>
      <c r="CB5" s="20">
        <v>18.7</v>
      </c>
      <c r="CC5" s="20">
        <v>6.4</v>
      </c>
      <c r="CD5" s="20">
        <v>0.6</v>
      </c>
      <c r="CE5" s="20">
        <v>0</v>
      </c>
      <c r="CF5" s="20">
        <v>18.7</v>
      </c>
      <c r="CG5" s="20">
        <v>8.4</v>
      </c>
      <c r="CH5" s="20">
        <v>0</v>
      </c>
      <c r="CI5" s="20">
        <v>0</v>
      </c>
      <c r="CJ5" s="20">
        <v>18.3</v>
      </c>
      <c r="CK5" s="20">
        <v>6.8</v>
      </c>
      <c r="CL5" s="20">
        <v>0.2</v>
      </c>
      <c r="CM5" s="20">
        <v>0</v>
      </c>
      <c r="CN5" s="32"/>
      <c r="CO5" s="55">
        <f>IF(SUM(BU5,BY5)&gt;0,SUM(BU5,BY5),"")</f>
        <v>15.2</v>
      </c>
      <c r="CP5" s="55">
        <f>IF(SUM(BT5:BU5,BW5:BY5,CA5)-BV5-BZ5&gt;0,SUM(BT5:BU5,BW5:BY5,CA5)-BV5-BZ5,"")</f>
        <v>52</v>
      </c>
      <c r="CQ5" s="55">
        <f>IF(SUM(CB5:CC5,CE5)-CD5&gt;0,SUM(CB5:CC5,CE5)-CD5,"")</f>
        <v>24.5</v>
      </c>
      <c r="CR5" s="55">
        <f>IF(SUM(CG5,CK5)&gt;0,SUM(CG5,CK5),"")</f>
        <v>15.2</v>
      </c>
      <c r="CS5" s="55">
        <f>IF(SUM(CF5:CG5,CI5:CK5,CM5)-SUM(CH5,CL5)&gt;0,SUM(CF5:CG5,CI5:CK5,CM5)-SUM(CH5,CL5),"")</f>
        <v>52</v>
      </c>
      <c r="CT5" s="55">
        <f>IF(SUM(CP5,CQ5,CS5)&gt;0,SUM(CP5,CQ5,CS5),"")</f>
        <v>128.5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9.5</v>
      </c>
      <c r="OX5" s="27">
        <f t="shared" si="0"/>
        <v>3.8</v>
      </c>
      <c r="OY5" s="27">
        <f t="shared" si="0"/>
        <v>0</v>
      </c>
      <c r="OZ5" s="27">
        <f t="shared" si="0"/>
        <v>0</v>
      </c>
      <c r="PA5" s="27">
        <f t="shared" si="0"/>
        <v>9.1999999999999993</v>
      </c>
      <c r="PB5" s="27">
        <f t="shared" si="0"/>
        <v>3.8</v>
      </c>
      <c r="PC5" s="27">
        <f t="shared" si="0"/>
        <v>0.3</v>
      </c>
      <c r="PD5" s="27">
        <f t="shared" si="0"/>
        <v>0</v>
      </c>
      <c r="PE5" s="27">
        <f t="shared" si="0"/>
        <v>9.35</v>
      </c>
      <c r="PF5" s="27">
        <f t="shared" si="0"/>
        <v>3.2</v>
      </c>
      <c r="PG5" s="27">
        <f t="shared" si="1"/>
        <v>0.3</v>
      </c>
      <c r="PH5" s="27">
        <f t="shared" si="1"/>
        <v>0</v>
      </c>
      <c r="PI5" s="27">
        <f t="shared" si="1"/>
        <v>9.35</v>
      </c>
      <c r="PJ5" s="27">
        <f t="shared" si="1"/>
        <v>4.2</v>
      </c>
      <c r="PK5" s="27">
        <f t="shared" si="1"/>
        <v>0</v>
      </c>
      <c r="PL5" s="27">
        <f t="shared" si="1"/>
        <v>0</v>
      </c>
      <c r="PM5" s="27">
        <f t="shared" si="1"/>
        <v>9.15</v>
      </c>
      <c r="PN5" s="27">
        <f t="shared" si="1"/>
        <v>3.4</v>
      </c>
      <c r="PO5" s="27">
        <f t="shared" si="1"/>
        <v>0.1</v>
      </c>
      <c r="PP5" s="27">
        <f t="shared" si="1"/>
        <v>0</v>
      </c>
      <c r="PQ5" s="32" t="s">
        <v>44</v>
      </c>
      <c r="PR5" s="55">
        <f>IF(SUM(OX5,PB5)&gt;0,SUM(OX5,PB5),"")</f>
        <v>7.6</v>
      </c>
      <c r="PS5" s="55">
        <f>IF(SUM(OW5:OX5,OZ5:PB5,PD5)-OY5-PC5&gt;0,SUM(OW5:OX5,OZ5:PB5,PD5)-OY5-PC5,"")</f>
        <v>26</v>
      </c>
      <c r="PT5" s="55">
        <f>IF(SUM(PE5:PF5,PH5)-PG5&gt;0,SUM(PE5:PF5,PH5)-PG5,"")</f>
        <v>12.25</v>
      </c>
      <c r="PU5" s="55">
        <f>IF(SUM(PJ5,PN5)&gt;0,SUM(PJ5,PN5),"")</f>
        <v>7.6</v>
      </c>
      <c r="PV5" s="55">
        <f>IF(SUM(PI5:PJ5,PL5:PN5,PP5)-SUM(PK5,PO5)&gt;0,SUM(PI5:PJ5,PL5:PN5,PP5)-SUM(PK5,PO5),"")</f>
        <v>26</v>
      </c>
      <c r="PW5" s="55">
        <f>IF(SUM(PS5,PT5,PV5)&gt;0,SUM(PS5,PT5,PV5),"")</f>
        <v>64.25</v>
      </c>
    </row>
    <row r="6" spans="1:439" x14ac:dyDescent="0.2">
      <c r="A6" s="4" cm="1">
        <f t="array" ref="A6">IF(AND(H6&lt;&gt;"",H6&lt;&gt;"No DD"),SUMPRODUCT((H$4:H$9&lt;&gt;"")*(H$4:H$9&lt;&gt;"No DD")*(E$4:E$9&gt;E6))+1,IF(H6="No DD",SUMPRODUCT((H$4:H$9="No DD")*(E$4:E$9&gt;E6))+1+SUMPRODUCT((H$4:H$9&lt;&gt;"")*(H$4:H$9&lt;&gt;"No DD")),""))</f>
        <v>3</v>
      </c>
      <c r="B6" s="5" t="s">
        <v>90</v>
      </c>
      <c r="C6" s="4" t="s">
        <v>89</v>
      </c>
      <c r="D6" s="4">
        <v>2009</v>
      </c>
      <c r="E6" s="10">
        <f>SUM(I6:O6)+SUM(I6:M6)*0.0000001+SUM(I6)*0.0000000000001</f>
        <v>148.50001485000496</v>
      </c>
      <c r="F6" s="3" t="str">
        <f>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P","")</f>
        <v>P</v>
      </c>
      <c r="G6" s="3" t="str">
        <f>IF(OR(AND(AN6&gt;=AR$15,AN6&lt;&gt;"",AL6=""),AND(AQ6&gt;=AR$15,AQ6&lt;&gt;"",AL6=""),AND(BO6&gt;=BS$15,BO6&lt;&gt;"",BM6=""),AND(BR6&gt;=BS$15,BR6&lt;&gt;"",BM6=""),AND(CP6&gt;=CT$15,CP6&lt;&gt;"",CN6=""),AND(CS6&gt;=CT$15,CS6&lt;&gt;"",CN6=""),AND(DR6&gt;=DV$15,DR6&lt;&gt;""),AND(DU6&gt;=DV$15,DU6&lt;&gt;""),AND(ER6&gt;=EV$15,ER6&lt;&gt;""),AND(EU6&gt;=EV$15,EU6&lt;&gt;""),AND(FR6&gt;=FV$15,FR6&lt;&gt;""),AND(FU6&gt;=FV$15,FU6&lt;&gt;""),AND(GR6&gt;=GV$15,GR6&lt;&gt;""),AND(GU6&gt;=GV$15,GU6&lt;&gt;""),AND(HR6&gt;=HV$15,HR6&lt;&gt;""),AND(HU6&gt;=HV$15,HU6&lt;&gt;""),AND(IR6&gt;=IV$15,IR6&lt;&gt;""),AND(IU6&gt;=IV$15,IU6&lt;&gt;""),AND(JR6&gt;=JV$15,JR6&lt;&gt;""),AND(JU6&gt;=JV$15,JU6&lt;&gt;""),AND(KR6&gt;=KV$15,KR6&lt;&gt;""),AND(KU6&gt;=KV$15,KU6&lt;&gt;""),AND(LR6&gt;=LV$15,LR6&lt;&gt;""),AND(LU6&gt;=LV$15,LU6&lt;&gt;""),AND(MR6&gt;=MV$15,MR6&lt;&gt;""),AND(MU6&gt;=MV$15,MU6&lt;&gt;""),AND(NR6&gt;=NV$15,NR6&lt;&gt;""),AND(NU6&gt;=NV$15,NU6&lt;&gt;""),AND(OR6&gt;=OV$15,OR6&lt;&gt;""),AND(OU6&gt;=OV$15,OU6&lt;&gt;"")),"P","")</f>
        <v>P</v>
      </c>
      <c r="H6" s="47" t="str">
        <f>IF(AND(G6="P",F6=""),"No DD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Merit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Excellence",IF(F6="P","National Team",""))))</f>
        <v>Excellence</v>
      </c>
      <c r="I6" s="9">
        <f>IF(COUNT(AN6,BO6,CP6)&gt;0,LARGE((AN6,BO6,CP6),1),0)</f>
        <v>49.400000000000006</v>
      </c>
      <c r="J6" s="9" t="str">
        <f>IF(I6=0,"",IF(I6=CP6,$BT$1,IF(I6=BO6,$AS$1,IF(I6=AN6,$R$1,""))))</f>
        <v>2024 Elite Canada</v>
      </c>
      <c r="K6" s="9">
        <f>IF(COUNT(AN6,BO6,CP6)&gt;1,LARGE((AN6,BO6,CP6),2),0)</f>
        <v>49.4</v>
      </c>
      <c r="L6" s="9" t="str">
        <f>IF(K6=0,"",IF(K6=CP6,$BT$1,IF(K6=BO6,$AS$1,IF(K6=AN6,$R$1,""))))</f>
        <v>2024 Elite Canada</v>
      </c>
      <c r="M6" s="9">
        <f>IF(MAX(AQ6,BR6,CS6)&gt;0,MAX(AQ6,BR6,CS6),0)</f>
        <v>49.7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19.100000000000001</v>
      </c>
      <c r="S6" s="20">
        <v>5.6</v>
      </c>
      <c r="T6" s="20">
        <v>0</v>
      </c>
      <c r="U6" s="20">
        <v>0</v>
      </c>
      <c r="V6" s="20">
        <v>18.899999999999999</v>
      </c>
      <c r="W6" s="20">
        <v>6</v>
      </c>
      <c r="X6" s="20">
        <v>0.2</v>
      </c>
      <c r="Y6" s="20">
        <v>0</v>
      </c>
      <c r="Z6" s="20">
        <v>18.600000000000001</v>
      </c>
      <c r="AA6" s="20">
        <v>4</v>
      </c>
      <c r="AB6" s="20">
        <v>0.3</v>
      </c>
      <c r="AC6" s="20">
        <v>0</v>
      </c>
      <c r="AD6" s="20">
        <v>19</v>
      </c>
      <c r="AE6" s="20">
        <v>5.6</v>
      </c>
      <c r="AF6" s="20">
        <v>0</v>
      </c>
      <c r="AG6" s="20">
        <v>0</v>
      </c>
      <c r="AH6" s="20">
        <v>18.600000000000001</v>
      </c>
      <c r="AI6" s="20">
        <v>6</v>
      </c>
      <c r="AJ6" s="20">
        <v>0</v>
      </c>
      <c r="AK6" s="20">
        <v>0</v>
      </c>
      <c r="AL6" s="32"/>
      <c r="AM6" s="55">
        <f>IF(SUM(S6,W6)&gt;0,SUM(S6,W6),"")</f>
        <v>11.6</v>
      </c>
      <c r="AN6" s="55">
        <f>IF(SUM(R6:S6,U6:W6,Y6)-T6-X6&gt;0,SUM(R6:S6,U6:W6,Y6)-T6-X6,"")</f>
        <v>49.4</v>
      </c>
      <c r="AO6" s="55">
        <f>IF(SUM(Z6:AA6,AC6)-AB6&gt;0,SUM(Z6:AA6,AC6)-AB6,"")</f>
        <v>22.3</v>
      </c>
      <c r="AP6" s="55">
        <f>IF(SUM(AE6,AI6)&gt;0,SUM(AE6,AI6),"")</f>
        <v>11.6</v>
      </c>
      <c r="AQ6" s="55">
        <f>IF(SUM(AD6:AE6,AG6:AI6,AK6)-SUM(AF6,AJ6)&gt;0,SUM(AD6:AE6,AG6:AI6,AK6)-SUM(AF6,AJ6),"")</f>
        <v>49.2</v>
      </c>
      <c r="AR6" s="55">
        <f>IF(SUM(AN6,AO6,AQ6)&gt;0,SUM(AN6,AO6,AQ6),"")</f>
        <v>120.9</v>
      </c>
      <c r="AS6" s="19">
        <v>18.8</v>
      </c>
      <c r="AT6" s="19">
        <v>5.6</v>
      </c>
      <c r="AU6" s="19">
        <v>0</v>
      </c>
      <c r="AV6" s="19">
        <v>0</v>
      </c>
      <c r="AW6" s="19">
        <v>19</v>
      </c>
      <c r="AX6" s="19">
        <v>6</v>
      </c>
      <c r="AY6" s="19">
        <v>0</v>
      </c>
      <c r="AZ6" s="19">
        <v>0</v>
      </c>
      <c r="BA6" s="19">
        <v>18.399999999999999</v>
      </c>
      <c r="BB6" s="19">
        <v>5.6</v>
      </c>
      <c r="BC6" s="19">
        <v>0.8</v>
      </c>
      <c r="BD6" s="19">
        <v>0</v>
      </c>
      <c r="BE6" s="19">
        <v>19</v>
      </c>
      <c r="BF6" s="19">
        <v>6.4</v>
      </c>
      <c r="BG6" s="19">
        <v>0.6</v>
      </c>
      <c r="BH6" s="19">
        <v>0</v>
      </c>
      <c r="BI6" s="19">
        <v>17.600000000000001</v>
      </c>
      <c r="BJ6" s="19">
        <v>5.2</v>
      </c>
      <c r="BK6" s="19">
        <v>1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49.4</v>
      </c>
      <c r="BP6" s="14">
        <f>IF(SUM(BA6:BB6,BD6)-BC6&gt;0,SUM(BA6:BB6,BD6)-BC6,"")</f>
        <v>23.2</v>
      </c>
      <c r="BQ6" s="14">
        <f>IF(SUM(BF6,BJ6)&gt;0,SUM(BF6,BJ6),"")</f>
        <v>11.600000000000001</v>
      </c>
      <c r="BR6" s="14">
        <f>IF(SUM(BE6:BF6,BH6:BJ6,BL6)-SUM(BG6,BK6)&gt;0,SUM(BE6:BF6,BH6:BJ6,BL6)-SUM(BG6,BK6),"")</f>
        <v>46.6</v>
      </c>
      <c r="BS6" s="14">
        <f>IF(SUM(BO6,BP6,BR6)&gt;0,SUM(BO6,BP6,BR6),"")</f>
        <v>119.19999999999999</v>
      </c>
      <c r="BT6" s="20">
        <v>18.5</v>
      </c>
      <c r="BU6" s="20">
        <v>6</v>
      </c>
      <c r="BV6" s="20">
        <v>0.8</v>
      </c>
      <c r="BW6" s="20">
        <v>0</v>
      </c>
      <c r="BX6" s="20">
        <v>18.5</v>
      </c>
      <c r="BY6" s="20">
        <v>7.2</v>
      </c>
      <c r="BZ6" s="20">
        <v>0</v>
      </c>
      <c r="CA6" s="20">
        <v>0</v>
      </c>
      <c r="CB6" s="20">
        <v>18.3</v>
      </c>
      <c r="CC6" s="20">
        <v>6</v>
      </c>
      <c r="CD6" s="20">
        <v>0</v>
      </c>
      <c r="CE6" s="20">
        <v>0</v>
      </c>
      <c r="CF6" s="20">
        <v>18</v>
      </c>
      <c r="CG6" s="20">
        <v>6</v>
      </c>
      <c r="CH6" s="20">
        <v>0</v>
      </c>
      <c r="CI6" s="20">
        <v>0</v>
      </c>
      <c r="CJ6" s="20">
        <v>18.5</v>
      </c>
      <c r="CK6" s="20">
        <v>7.2</v>
      </c>
      <c r="CL6" s="20">
        <v>0</v>
      </c>
      <c r="CM6" s="20">
        <v>0</v>
      </c>
      <c r="CN6" s="32"/>
      <c r="CO6" s="55">
        <f>IF(SUM(BU6,BY6)&gt;0,SUM(BU6,BY6),"")</f>
        <v>13.2</v>
      </c>
      <c r="CP6" s="55">
        <f>IF(SUM(BT6:BU6,BW6:BY6,CA6)-BV6-BZ6&gt;0,SUM(BT6:BU6,BW6:BY6,CA6)-BV6-BZ6,"")</f>
        <v>49.400000000000006</v>
      </c>
      <c r="CQ6" s="55">
        <f>IF(SUM(CB6:CC6,CE6)-CD6&gt;0,SUM(CB6:CC6,CE6)-CD6,"")</f>
        <v>24.3</v>
      </c>
      <c r="CR6" s="55">
        <f>IF(SUM(CG6,CK6)&gt;0,SUM(CG6,CK6),"")</f>
        <v>13.2</v>
      </c>
      <c r="CS6" s="55">
        <f>IF(SUM(CF6:CG6,CI6:CK6,CM6)-SUM(CH6,CL6)&gt;0,SUM(CF6:CG6,CI6:CK6,CM6)-SUM(CH6,CL6),"")</f>
        <v>49.7</v>
      </c>
      <c r="CT6" s="55">
        <f>IF(SUM(CP6,CQ6,CS6)&gt;0,SUM(CP6,CQ6,CS6),"")</f>
        <v>123.4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>
        <v>18.600000000000001</v>
      </c>
      <c r="CX6" s="18">
        <v>6</v>
      </c>
      <c r="CY6" s="18">
        <v>0.6</v>
      </c>
      <c r="CZ6" s="18">
        <v>0</v>
      </c>
      <c r="DA6" s="18">
        <v>18.2</v>
      </c>
      <c r="DB6" s="18">
        <v>6.4</v>
      </c>
      <c r="DC6" s="18">
        <v>0.8</v>
      </c>
      <c r="DD6" s="18">
        <v>0</v>
      </c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>
        <f>IF(SUM(CX6,DB6)&gt;0,SUM(CX6,DB6),"")</f>
        <v>12.4</v>
      </c>
      <c r="DR6" s="55">
        <f>IF(SUM(CW6:CX6,CZ6:DB6,DD6)-CY6-DC6&gt;0,SUM(CW6:CX6,CZ6:DB6,DD6)-CY6-DC6,"")</f>
        <v>47.8</v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>
        <f>IF(SUM(DR6,DS6,DU6)&gt;0,SUM(DR6,DS6,DU6),"")</f>
        <v>47.8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18.649999999999999</v>
      </c>
      <c r="OX6" s="27">
        <f t="shared" si="0"/>
        <v>5.8</v>
      </c>
      <c r="OY6" s="27">
        <f t="shared" si="0"/>
        <v>0.4</v>
      </c>
      <c r="OZ6" s="27">
        <f t="shared" si="0"/>
        <v>0</v>
      </c>
      <c r="PA6" s="27">
        <f t="shared" si="0"/>
        <v>18.75</v>
      </c>
      <c r="PB6" s="27">
        <f t="shared" si="0"/>
        <v>6.6</v>
      </c>
      <c r="PC6" s="27">
        <f t="shared" si="0"/>
        <v>0</v>
      </c>
      <c r="PD6" s="27">
        <f t="shared" si="0"/>
        <v>0</v>
      </c>
      <c r="PE6" s="27">
        <f t="shared" si="0"/>
        <v>18.350000000000001</v>
      </c>
      <c r="PF6" s="27">
        <f t="shared" si="0"/>
        <v>5.8</v>
      </c>
      <c r="PG6" s="27">
        <f t="shared" si="1"/>
        <v>0.4</v>
      </c>
      <c r="PH6" s="27">
        <f t="shared" si="1"/>
        <v>0</v>
      </c>
      <c r="PI6" s="27">
        <f t="shared" si="1"/>
        <v>18.5</v>
      </c>
      <c r="PJ6" s="27">
        <f t="shared" si="1"/>
        <v>6.2</v>
      </c>
      <c r="PK6" s="27">
        <f t="shared" si="1"/>
        <v>0.3</v>
      </c>
      <c r="PL6" s="27">
        <f t="shared" si="1"/>
        <v>0</v>
      </c>
      <c r="PM6" s="27">
        <f t="shared" si="1"/>
        <v>18.05</v>
      </c>
      <c r="PN6" s="27">
        <f t="shared" si="1"/>
        <v>6.2</v>
      </c>
      <c r="PO6" s="27">
        <f t="shared" si="1"/>
        <v>0.5</v>
      </c>
      <c r="PP6" s="27">
        <f t="shared" si="1"/>
        <v>0</v>
      </c>
      <c r="PQ6" s="32" t="s">
        <v>44</v>
      </c>
      <c r="PR6" s="55">
        <f>IF(SUM(OX6,PB6)&gt;0,SUM(OX6,PB6),"")</f>
        <v>12.399999999999999</v>
      </c>
      <c r="PS6" s="55">
        <f>IF(SUM(OW6:OX6,OZ6:PB6,PD6)-OY6-PC6&gt;0,SUM(OW6:OX6,OZ6:PB6,PD6)-OY6-PC6,"")</f>
        <v>49.400000000000006</v>
      </c>
      <c r="PT6" s="55">
        <f>IF(SUM(PE6:PF6,PH6)-PG6&gt;0,SUM(PE6:PF6,PH6)-PG6,"")</f>
        <v>23.750000000000004</v>
      </c>
      <c r="PU6" s="55">
        <f>IF(SUM(PJ6,PN6)&gt;0,SUM(PJ6,PN6),"")</f>
        <v>12.4</v>
      </c>
      <c r="PV6" s="55">
        <f>IF(SUM(PI6:PJ6,PL6:PN6,PP6)-SUM(PK6,PO6)&gt;0,SUM(PI6:PJ6,PL6:PN6,PP6)-SUM(PK6,PO6),"")</f>
        <v>48.150000000000006</v>
      </c>
      <c r="PW6" s="55">
        <f>IF(SUM(PS6,PT6,PV6)&gt;0,SUM(PS6,PT6,PV6),"")</f>
        <v>121.30000000000001</v>
      </c>
    </row>
    <row r="7" spans="1:439" x14ac:dyDescent="0.2">
      <c r="A7" s="4" cm="1">
        <f t="array" ref="A7">IF(AND(H7&lt;&gt;"",H7&lt;&gt;"No DD"),SUMPRODUCT((H$4:H$9&lt;&gt;"")*(H$4:H$9&lt;&gt;"No DD")*(E$4:E$9&gt;E7))+1,IF(H7="No DD",SUMPRODUCT((H$4:H$9="No DD")*(E$4:E$9&gt;E7))+1+SUMPRODUCT((H$4:H$9&lt;&gt;"")*(H$4:H$9&lt;&gt;"No DD")),""))</f>
        <v>4</v>
      </c>
      <c r="B7" s="5" t="s">
        <v>99</v>
      </c>
      <c r="C7" s="4" t="s">
        <v>68</v>
      </c>
      <c r="D7" s="4">
        <v>2008</v>
      </c>
      <c r="E7" s="10">
        <f>SUM(I7:O7)+SUM(I7:M7)*0.0000001+SUM(I7)*0.0000000000001</f>
        <v>139.20001392000481</v>
      </c>
      <c r="F7" s="3" t="str">
        <f>IF(OR(AND(AM7&gt;=AR$11,AN7&gt;=AR$15,AM7&lt;&gt;"",AL7=""),AND(AP7&gt;=AR$11,AQ7&gt;=AR$15,AP7&lt;&gt;"",AL7=""),AND(BN7&gt;=BS$11,BO7&gt;=BS$15,BN7&lt;&gt;"",BM7=""),AND(BQ7&gt;=BS$11,BR7&gt;=BS$15,BQ7&lt;&gt;"",BM7=""),AND(CO7&gt;=CT$11,CP7&gt;=CT$15,CO7&lt;&gt;"",CN7=""),AND(CR7&gt;=CT$11,CS7&gt;=CT$15,CR7&lt;&gt;""),AND(DQ7&gt;=DV$11,DR7&gt;=DV$15,DQ7&lt;&gt;""),AND(DT7&gt;=DV$11,DU7&gt;=DV$15,DT7&lt;&gt;""),AND(EQ7&gt;=EV$11,ER7&gt;=EV$15,EQ7&lt;&gt;""),AND(ET7&gt;=EV$11,EU7&gt;=EV$15,ET7&lt;&gt;""),AND(FQ7&gt;=FV$11,FR7&gt;=FV$15,FQ7&lt;&gt;""),AND(FT7&gt;=FV$11,FU7&gt;=FV$15,FT7&lt;&gt;""),AND(GQ7&gt;=GV$11,GR7&gt;=GV$15,GQ7&lt;&gt;""),AND(GT7&gt;=GV$11,GU7&gt;=GV$15,GT7&lt;&gt;""),AND(HQ7&gt;=HV$11,HR7&gt;=HV$15,HQ7&lt;&gt;""),AND(HT7&gt;=HV$11,HU7&gt;=HV$15,HT7&lt;&gt;""),AND(IQ7&gt;=IV$11,IR7&gt;=IV$15,IQ7&lt;&gt;""),AND(IT7&gt;=IV$11,IU7&gt;=IV$15,IT7&lt;&gt;""),AND(JQ7&gt;=JV$11,JR7&gt;=JV$15,JQ7&lt;&gt;""),AND(JT7&gt;=JV$11,JU7&gt;=JV$15,JT7&lt;&gt;""),AND(KQ7&gt;=KV$11,KR7&gt;=KV$15,KQ7&lt;&gt;""),AND(KT7&gt;=KV$11,KU7&gt;=KV$15,KT7&lt;&gt;""),AND(LQ7&gt;=LV$11,LR7&gt;=LV$15,LQ7&lt;&gt;""),AND(LT7&gt;=LV$11,LU7&gt;=LV$15,LT7&lt;&gt;""),AND(MQ7&gt;=MV$11,MR7&gt;=MV$15,MQ7&lt;&gt;""),AND(MT7&gt;=MV$11,MU7&gt;=MV$15,MT7&lt;&gt;""),AND(NQ7&gt;=NV$11,NR7&gt;=NV$15,NQ7&lt;&gt;""),AND(NT7&gt;=NV$11,NU7&gt;=NV$15,NT7&lt;&gt;""),AND(OQ7&gt;=OV$11,OR7&gt;=OV$15,OQ7&lt;&gt;""),AND(OT7&gt;=OV$11,OU7&gt;=OV$15,OT7&lt;&gt;"")),"P","")</f>
        <v>P</v>
      </c>
      <c r="G7" s="3" t="str">
        <f>IF(OR(AND(AN7&gt;=AR$15,AN7&lt;&gt;"",AL7=""),AND(AQ7&gt;=AR$15,AQ7&lt;&gt;"",AL7=""),AND(BO7&gt;=BS$15,BO7&lt;&gt;"",BM7=""),AND(BR7&gt;=BS$15,BR7&lt;&gt;"",BM7=""),AND(CP7&gt;=CT$15,CP7&lt;&gt;"",CN7=""),AND(CS7&gt;=CT$15,CS7&lt;&gt;"",CN7=""),AND(DR7&gt;=DV$15,DR7&lt;&gt;""),AND(DU7&gt;=DV$15,DU7&lt;&gt;""),AND(ER7&gt;=EV$15,ER7&lt;&gt;""),AND(EU7&gt;=EV$15,EU7&lt;&gt;""),AND(FR7&gt;=FV$15,FR7&lt;&gt;""),AND(FU7&gt;=FV$15,FU7&lt;&gt;""),AND(GR7&gt;=GV$15,GR7&lt;&gt;""),AND(GU7&gt;=GV$15,GU7&lt;&gt;""),AND(HR7&gt;=HV$15,HR7&lt;&gt;""),AND(HU7&gt;=HV$15,HU7&lt;&gt;""),AND(IR7&gt;=IV$15,IR7&lt;&gt;""),AND(IU7&gt;=IV$15,IU7&lt;&gt;""),AND(JR7&gt;=JV$15,JR7&lt;&gt;""),AND(JU7&gt;=JV$15,JU7&lt;&gt;""),AND(KR7&gt;=KV$15,KR7&lt;&gt;""),AND(KU7&gt;=KV$15,KU7&lt;&gt;""),AND(LR7&gt;=LV$15,LR7&lt;&gt;""),AND(LU7&gt;=LV$15,LU7&lt;&gt;""),AND(MR7&gt;=MV$15,MR7&lt;&gt;""),AND(MU7&gt;=MV$15,MU7&lt;&gt;""),AND(NR7&gt;=NV$15,NR7&lt;&gt;""),AND(NU7&gt;=NV$15,NU7&lt;&gt;""),AND(OR7&gt;=OV$15,OR7&lt;&gt;""),AND(OU7&gt;=OV$15,OU7&lt;&gt;"")),"P","")</f>
        <v>P</v>
      </c>
      <c r="H7" s="47" t="str">
        <f>IF(AND(G7="P",F7=""),"No DD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Merit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Excellence",IF(F7="P","National Team",""))))</f>
        <v>Excellence</v>
      </c>
      <c r="I7" s="9">
        <f>IF(COUNT(AN7,BO7,CP7)&gt;0,LARGE((AN7,BO7,CP7),1),0)</f>
        <v>48.2</v>
      </c>
      <c r="J7" s="9" t="str">
        <f>IF(I7=0,"",IF(I7=CP7,$BT$1,IF(I7=BO7,$AS$1,IF(I7=AN7,$R$1,""))))</f>
        <v>2024 Elite Canada</v>
      </c>
      <c r="K7" s="9">
        <f>IF(COUNT(AN7,BO7,CP7)&gt;1,LARGE((AN7,BO7,CP7),2),0)</f>
        <v>47.5</v>
      </c>
      <c r="L7" s="9" t="str">
        <f>IF(K7=0,"",IF(K7=CP7,$BT$1,IF(K7=BO7,$AS$1,IF(K7=AN7,$R$1,""))))</f>
        <v>2023 Nationals</v>
      </c>
      <c r="M7" s="9">
        <f>IF(MAX(AQ7,BR7,CS7)&gt;0,MAX(AQ7,BR7,CS7),0)</f>
        <v>43.5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18.899999999999999</v>
      </c>
      <c r="S7" s="20">
        <v>6</v>
      </c>
      <c r="T7" s="20">
        <v>0.8</v>
      </c>
      <c r="U7" s="20">
        <v>0</v>
      </c>
      <c r="V7" s="20">
        <v>18.399999999999999</v>
      </c>
      <c r="W7" s="20">
        <v>5.6</v>
      </c>
      <c r="X7" s="20">
        <v>0.6</v>
      </c>
      <c r="Y7" s="20">
        <v>0</v>
      </c>
      <c r="Z7" s="20"/>
      <c r="AA7" s="20"/>
      <c r="AB7" s="20"/>
      <c r="AC7" s="20"/>
      <c r="AD7" s="20">
        <v>18</v>
      </c>
      <c r="AE7" s="20">
        <v>5.2</v>
      </c>
      <c r="AF7" s="20">
        <v>1</v>
      </c>
      <c r="AG7" s="20">
        <v>0</v>
      </c>
      <c r="AH7" s="20">
        <v>18.2</v>
      </c>
      <c r="AI7" s="20">
        <v>3.7</v>
      </c>
      <c r="AJ7" s="20">
        <v>0.6</v>
      </c>
      <c r="AK7" s="20">
        <v>0</v>
      </c>
      <c r="AL7" s="32"/>
      <c r="AM7" s="55">
        <f>IF(SUM(S7,W7)&gt;0,SUM(S7,W7),"")</f>
        <v>11.6</v>
      </c>
      <c r="AN7" s="55">
        <f>IF(SUM(R7:S7,U7:W7,Y7)-T7-X7&gt;0,SUM(R7:S7,U7:W7,Y7)-T7-X7,"")</f>
        <v>47.5</v>
      </c>
      <c r="AO7" s="55" t="str">
        <f>IF(SUM(Z7:AA7,AC7)-AB7&gt;0,SUM(Z7:AA7,AC7)-AB7,"")</f>
        <v/>
      </c>
      <c r="AP7" s="55">
        <f>IF(SUM(AE7,AI7)&gt;0,SUM(AE7,AI7),"")</f>
        <v>8.9</v>
      </c>
      <c r="AQ7" s="55">
        <f>IF(SUM(AD7:AE7,AG7:AI7,AK7)-SUM(AF7,AJ7)&gt;0,SUM(AD7:AE7,AG7:AI7,AK7)-SUM(AF7,AJ7),"")</f>
        <v>43.5</v>
      </c>
      <c r="AR7" s="55">
        <f>IF(SUM(AN7,AO7,AQ7)&gt;0,SUM(AN7,AO7,AQ7),"")</f>
        <v>91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17.899999999999999</v>
      </c>
      <c r="BU7" s="20">
        <v>6.8</v>
      </c>
      <c r="BV7" s="20">
        <v>0.8</v>
      </c>
      <c r="BW7" s="20">
        <v>0</v>
      </c>
      <c r="BX7" s="20">
        <v>18.5</v>
      </c>
      <c r="BY7" s="20">
        <v>6.4</v>
      </c>
      <c r="BZ7" s="20">
        <v>0.6</v>
      </c>
      <c r="CA7" s="20">
        <v>0</v>
      </c>
      <c r="CB7" s="20">
        <v>16.2</v>
      </c>
      <c r="CC7" s="20">
        <v>5.2</v>
      </c>
      <c r="CD7" s="20">
        <v>0.8</v>
      </c>
      <c r="CE7" s="20">
        <v>0</v>
      </c>
      <c r="CF7" s="20">
        <v>0</v>
      </c>
      <c r="CG7" s="20">
        <v>0</v>
      </c>
      <c r="CH7" s="20">
        <v>0</v>
      </c>
      <c r="CI7" s="20">
        <v>0</v>
      </c>
      <c r="CJ7" s="20">
        <v>18</v>
      </c>
      <c r="CK7" s="20">
        <v>7.2</v>
      </c>
      <c r="CL7" s="20">
        <v>0.8</v>
      </c>
      <c r="CM7" s="20">
        <v>0</v>
      </c>
      <c r="CN7" s="32"/>
      <c r="CO7" s="55">
        <f>IF(SUM(BU7,BY7)&gt;0,SUM(BU7,BY7),"")</f>
        <v>13.2</v>
      </c>
      <c r="CP7" s="55">
        <f>IF(SUM(BT7:BU7,BW7:BY7,CA7)-BV7-BZ7&gt;0,SUM(BT7:BU7,BW7:BY7,CA7)-BV7-BZ7,"")</f>
        <v>48.2</v>
      </c>
      <c r="CQ7" s="55">
        <f>IF(SUM(CB7:CC7,CE7)-CD7&gt;0,SUM(CB7:CC7,CE7)-CD7,"")</f>
        <v>20.599999999999998</v>
      </c>
      <c r="CR7" s="55">
        <f>IF(SUM(CG7,CK7)&gt;0,SUM(CG7,CK7),"")</f>
        <v>7.2</v>
      </c>
      <c r="CS7" s="55">
        <f>IF(SUM(CF7:CG7,CI7:CK7,CM7)-SUM(CH7,CL7)&gt;0,SUM(CF7:CG7,CI7:CK7,CM7)-SUM(CH7,CL7),"")</f>
        <v>24.4</v>
      </c>
      <c r="CT7" s="55">
        <f>IF(SUM(CP7,CQ7,CS7)&gt;0,SUM(CP7,CQ7,CS7),"")</f>
        <v>93.199999999999989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8.9499999999999993</v>
      </c>
      <c r="OX7" s="27">
        <f t="shared" si="0"/>
        <v>3.4</v>
      </c>
      <c r="OY7" s="27">
        <f t="shared" si="0"/>
        <v>0.4</v>
      </c>
      <c r="OZ7" s="27">
        <f t="shared" si="0"/>
        <v>0</v>
      </c>
      <c r="PA7" s="27">
        <f t="shared" si="0"/>
        <v>9.25</v>
      </c>
      <c r="PB7" s="27">
        <f t="shared" si="0"/>
        <v>3.2</v>
      </c>
      <c r="PC7" s="27">
        <f t="shared" si="0"/>
        <v>0.3</v>
      </c>
      <c r="PD7" s="27">
        <f t="shared" si="0"/>
        <v>0</v>
      </c>
      <c r="PE7" s="27">
        <f t="shared" si="0"/>
        <v>8.1</v>
      </c>
      <c r="PF7" s="27">
        <f t="shared" si="0"/>
        <v>2.6</v>
      </c>
      <c r="PG7" s="27">
        <f t="shared" si="1"/>
        <v>0.4</v>
      </c>
      <c r="PH7" s="27">
        <f t="shared" si="1"/>
        <v>0</v>
      </c>
      <c r="PI7" s="27">
        <f t="shared" si="1"/>
        <v>0</v>
      </c>
      <c r="PJ7" s="27">
        <f t="shared" si="1"/>
        <v>0</v>
      </c>
      <c r="PK7" s="27">
        <f t="shared" si="1"/>
        <v>0</v>
      </c>
      <c r="PL7" s="27">
        <f t="shared" si="1"/>
        <v>0</v>
      </c>
      <c r="PM7" s="27">
        <f t="shared" si="1"/>
        <v>9</v>
      </c>
      <c r="PN7" s="27">
        <f t="shared" si="1"/>
        <v>3.6</v>
      </c>
      <c r="PO7" s="27">
        <f t="shared" si="1"/>
        <v>0.4</v>
      </c>
      <c r="PP7" s="27">
        <f t="shared" si="1"/>
        <v>0</v>
      </c>
      <c r="PQ7" s="32" t="s">
        <v>44</v>
      </c>
      <c r="PR7" s="55">
        <f>IF(SUM(OX7,PB7)&gt;0,SUM(OX7,PB7),"")</f>
        <v>6.6</v>
      </c>
      <c r="PS7" s="55">
        <f>IF(SUM(OW7:OX7,OZ7:PB7,PD7)-OY7-PC7&gt;0,SUM(OW7:OX7,OZ7:PB7,PD7)-OY7-PC7,"")</f>
        <v>24.1</v>
      </c>
      <c r="PT7" s="55">
        <f>IF(SUM(PE7:PF7,PH7)-PG7&gt;0,SUM(PE7:PF7,PH7)-PG7,"")</f>
        <v>10.299999999999999</v>
      </c>
      <c r="PU7" s="55">
        <f>IF(SUM(PJ7,PN7)&gt;0,SUM(PJ7,PN7),"")</f>
        <v>3.6</v>
      </c>
      <c r="PV7" s="55">
        <f>IF(SUM(PI7:PJ7,PL7:PN7,PP7)-SUM(PK7,PO7)&gt;0,SUM(PI7:PJ7,PL7:PN7,PP7)-SUM(PK7,PO7),"")</f>
        <v>12.2</v>
      </c>
      <c r="PW7" s="55">
        <f>IF(SUM(PS7,PT7,PV7)&gt;0,SUM(PS7,PT7,PV7),"")</f>
        <v>46.599999999999994</v>
      </c>
    </row>
    <row r="8" spans="1:439" x14ac:dyDescent="0.2">
      <c r="A8" s="4" cm="1">
        <f t="array" ref="A8">IF(AND(H8&lt;&gt;"",H8&lt;&gt;"No DD"),SUMPRODUCT((H$4:H$9&lt;&gt;"")*(H$4:H$9&lt;&gt;"No DD")*(E$4:E$9&gt;E8))+1,IF(H8="No DD",SUMPRODUCT((H$4:H$9="No DD")*(E$4:E$9&gt;E8))+1+SUMPRODUCT((H$4:H$9&lt;&gt;"")*(H$4:H$9&lt;&gt;"No DD")),""))</f>
        <v>5</v>
      </c>
      <c r="B8" s="5" t="s">
        <v>98</v>
      </c>
      <c r="C8" s="4" t="s">
        <v>66</v>
      </c>
      <c r="D8" s="4">
        <v>2008</v>
      </c>
      <c r="E8" s="10">
        <f>SUM(I8:O8)+SUM(I8:M8)*0.0000001+SUM(I8)*0.0000000000001</f>
        <v>95.000009500004708</v>
      </c>
      <c r="F8" s="3" t="str">
        <f>IF(OR(AND(AM8&gt;=AR$11,AN8&gt;=AR$15,AM8&lt;&gt;"",AL8=""),AND(AP8&gt;=AR$11,AQ8&gt;=AR$15,AP8&lt;&gt;"",AL8=""),AND(BN8&gt;=BS$11,BO8&gt;=BS$15,BN8&lt;&gt;"",BM8=""),AND(BQ8&gt;=BS$11,BR8&gt;=BS$15,BQ8&lt;&gt;"",BM8=""),AND(CO8&gt;=CT$11,CP8&gt;=CT$15,CO8&lt;&gt;"",CN8=""),AND(CR8&gt;=CT$11,CS8&gt;=CT$15,CR8&lt;&gt;""),AND(DQ8&gt;=DV$11,DR8&gt;=DV$15,DQ8&lt;&gt;""),AND(DT8&gt;=DV$11,DU8&gt;=DV$15,DT8&lt;&gt;""),AND(EQ8&gt;=EV$11,ER8&gt;=EV$15,EQ8&lt;&gt;""),AND(ET8&gt;=EV$11,EU8&gt;=EV$15,ET8&lt;&gt;""),AND(FQ8&gt;=FV$11,FR8&gt;=FV$15,FQ8&lt;&gt;""),AND(FT8&gt;=FV$11,FU8&gt;=FV$15,FT8&lt;&gt;""),AND(GQ8&gt;=GV$11,GR8&gt;=GV$15,GQ8&lt;&gt;""),AND(GT8&gt;=GV$11,GU8&gt;=GV$15,GT8&lt;&gt;""),AND(HQ8&gt;=HV$11,HR8&gt;=HV$15,HQ8&lt;&gt;""),AND(HT8&gt;=HV$11,HU8&gt;=HV$15,HT8&lt;&gt;""),AND(IQ8&gt;=IV$11,IR8&gt;=IV$15,IQ8&lt;&gt;""),AND(IT8&gt;=IV$11,IU8&gt;=IV$15,IT8&lt;&gt;""),AND(JQ8&gt;=JV$11,JR8&gt;=JV$15,JQ8&lt;&gt;""),AND(JT8&gt;=JV$11,JU8&gt;=JV$15,JT8&lt;&gt;""),AND(KQ8&gt;=KV$11,KR8&gt;=KV$15,KQ8&lt;&gt;""),AND(KT8&gt;=KV$11,KU8&gt;=KV$15,KT8&lt;&gt;""),AND(LQ8&gt;=LV$11,LR8&gt;=LV$15,LQ8&lt;&gt;""),AND(LT8&gt;=LV$11,LU8&gt;=LV$15,LT8&lt;&gt;""),AND(MQ8&gt;=MV$11,MR8&gt;=MV$15,MQ8&lt;&gt;""),AND(MT8&gt;=MV$11,MU8&gt;=MV$15,MT8&lt;&gt;""),AND(NQ8&gt;=NV$11,NR8&gt;=NV$15,NQ8&lt;&gt;""),AND(NT8&gt;=NV$11,NU8&gt;=NV$15,NT8&lt;&gt;""),AND(OQ8&gt;=OV$11,OR8&gt;=OV$15,OQ8&lt;&gt;""),AND(OT8&gt;=OV$11,OU8&gt;=OV$15,OT8&lt;&gt;"")),"P","")</f>
        <v>P</v>
      </c>
      <c r="G8" s="3" t="str">
        <f>IF(OR(AND(AN8&gt;=AR$15,AN8&lt;&gt;"",AL8=""),AND(AQ8&gt;=AR$15,AQ8&lt;&gt;"",AL8=""),AND(BO8&gt;=BS$15,BO8&lt;&gt;"",BM8=""),AND(BR8&gt;=BS$15,BR8&lt;&gt;"",BM8=""),AND(CP8&gt;=CT$15,CP8&lt;&gt;"",CN8=""),AND(CS8&gt;=CT$15,CS8&lt;&gt;"",CN8=""),AND(DR8&gt;=DV$15,DR8&lt;&gt;""),AND(DU8&gt;=DV$15,DU8&lt;&gt;""),AND(ER8&gt;=EV$15,ER8&lt;&gt;""),AND(EU8&gt;=EV$15,EU8&lt;&gt;""),AND(FR8&gt;=FV$15,FR8&lt;&gt;""),AND(FU8&gt;=FV$15,FU8&lt;&gt;""),AND(GR8&gt;=GV$15,GR8&lt;&gt;""),AND(GU8&gt;=GV$15,GU8&lt;&gt;""),AND(HR8&gt;=HV$15,HR8&lt;&gt;""),AND(HU8&gt;=HV$15,HU8&lt;&gt;""),AND(IR8&gt;=IV$15,IR8&lt;&gt;""),AND(IU8&gt;=IV$15,IU8&lt;&gt;""),AND(JR8&gt;=JV$15,JR8&lt;&gt;""),AND(JU8&gt;=JV$15,JU8&lt;&gt;""),AND(KR8&gt;=KV$15,KR8&lt;&gt;""),AND(KU8&gt;=KV$15,KU8&lt;&gt;""),AND(LR8&gt;=LV$15,LR8&lt;&gt;""),AND(LU8&gt;=LV$15,LU8&lt;&gt;""),AND(MR8&gt;=MV$15,MR8&lt;&gt;""),AND(MU8&gt;=MV$15,MU8&lt;&gt;""),AND(NR8&gt;=NV$15,NR8&lt;&gt;""),AND(NU8&gt;=NV$15,NU8&lt;&gt;""),AND(OR8&gt;=OV$15,OR8&lt;&gt;""),AND(OU8&gt;=OV$15,OU8&lt;&gt;"")),"P","")</f>
        <v>P</v>
      </c>
      <c r="H8" s="47" t="str">
        <f>IF(AND(G8="P",F8=""),"No DD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Merit",IF(OR(AND(AM8&gt;=AR$13,AN8&gt;=AR$17,AM8&lt;&gt;"",AL8=""),AND(AP8&gt;=AR$13,AQ8&gt;=AR$17,AP8&lt;&gt;"",AL8=""),AND(BN8&gt;=BS$13,BO8&gt;=BS$17,BN8&lt;&gt;"",BM8=""),AND(BQ8&gt;=BS$13,BR8&gt;=BS$17,BQ8&lt;&gt;"",BM8=""),AND(CO8&gt;=CT$13,CP8&gt;=CT$17,CO8&lt;&gt;"",CN8=""),AND(CR8&gt;=CT$13,CS8&gt;=CT$17,CR8&lt;&gt;""),AND(DQ8&gt;=DV$13,DR8&gt;=DV$17,DQ8&lt;&gt;""),AND(DT8&gt;=DV$13,DU8&gt;=DV$17,DT8&lt;&gt;""),AND(EQ8&gt;=EV$13,ER8&gt;=EV$17,EQ8&lt;&gt;""),AND(ET8&gt;=EV$13,EU8&gt;=EV$17,ET8&lt;&gt;""),AND(FQ8&gt;=FV$13,FR8&gt;=FV$17,FQ8&lt;&gt;""),AND(FT8&gt;=FV$13,FU8&gt;=FV$17,FT8&lt;&gt;""),AND(GQ8&gt;=GV$13,GR8&gt;=GV$17,GQ8&lt;&gt;""),AND(GT8&gt;=GV$13,GU8&gt;=GV$17,GT8&lt;&gt;""),AND(HQ8&gt;=HV$13,HR8&gt;=HV$17,HQ8&lt;&gt;""),AND(HT8&gt;=HV$13,HU8&gt;=HV$17,HT8&lt;&gt;""),AND(IQ8&gt;=IV$13,IR8&gt;=IV$17,IQ8&lt;&gt;""),AND(IT8&gt;=IV$13,IU8&gt;=IV$17,IT8&lt;&gt;""),AND(JQ8&gt;=JV$13,JR8&gt;=JV$17,JQ8&lt;&gt;""),AND(JT8&gt;=JV$13,JU8&gt;=JV$17,JT8&lt;&gt;""),AND(KQ8&gt;=KV$13,KR8&gt;=KV$17,KQ8&lt;&gt;""),AND(KT8&gt;=KV$13,KU8&gt;=KV$17,KT8&lt;&gt;""),AND(LQ8&gt;=LV$13,LR8&gt;=LV$17,LQ8&lt;&gt;""),AND(LT8&gt;=LV$13,LU8&gt;=LV$17,LT8&lt;&gt;""),AND(MQ8&gt;=MV$13,MR8&gt;=MV$17,MQ8&lt;&gt;""),AND(MT8&gt;=MV$13,MU8&gt;=MV$17,MT8&lt;&gt;""),AND(NQ8&gt;=NV$13,NR8&gt;=NV$17,NQ8&lt;&gt;""),AND(NT8&gt;=NV$13,NU8&gt;=NV$17,NT8&lt;&gt;""),AND(OQ8&gt;=OV$13,OR8&gt;=OV$17,OQ8&lt;&gt;""),AND(OT8&gt;=OV$13,OU8&gt;=OV$17,OT8&lt;&gt;"")),"Excellence",IF(F8="P","National Team",""))))</f>
        <v>Excellence</v>
      </c>
      <c r="I8" s="9">
        <f>IF(COUNT(AN8,BO8,CP8)&gt;0,LARGE((AN8,BO8,CP8),1),0)</f>
        <v>47.1</v>
      </c>
      <c r="J8" s="9" t="str">
        <f>IF(I8=0,"",IF(I8=CP8,$BT$1,IF(I8=BO8,$AS$1,IF(I8=AN8,$R$1,""))))</f>
        <v>2024 Elite Canada</v>
      </c>
      <c r="K8" s="9">
        <f>IF(COUNT(AN8,BO8,CP8)&gt;1,LARGE((AN8,BO8,CP8),2),0)</f>
        <v>0</v>
      </c>
      <c r="L8" s="9" t="str">
        <f>IF(K8=0,"",IF(K8=CP8,$BT$1,IF(K8=BO8,$AS$1,IF(K8=AN8,$R$1,""))))</f>
        <v/>
      </c>
      <c r="M8" s="9">
        <f>IF(MAX(AQ8,BR8,CS8)&gt;0,MAX(AQ8,BR8,CS8),0)</f>
        <v>47.9</v>
      </c>
      <c r="N8" s="9" t="str">
        <f>IF(M8=0,"",IF(M8=CS8,$BT$1,IF(M8=BR8,$AS$1,IF(M8=AQ8,$R$1,""))))</f>
        <v>2024 Elite Canada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33"/>
      <c r="BN8" s="14" t="str">
        <f>IF(SUM(AT8,AX8)&gt;0,SUM(AT8,AX8),"")</f>
        <v/>
      </c>
      <c r="BO8" s="14" t="str">
        <f>IF(SUM(AS8:AT8,AV8:AX8,AZ8)-AU8-AY8&gt;0,SUM(AS8:AT8,AV8:AX8,AZ8)-AU8-AY8,"")</f>
        <v/>
      </c>
      <c r="BP8" s="14" t="str">
        <f>IF(SUM(BA8:BB8,BD8)-BC8&gt;0,SUM(BA8:BB8,BD8)-BC8,"")</f>
        <v/>
      </c>
      <c r="BQ8" s="14" t="str">
        <f>IF(SUM(BF8,BJ8)&gt;0,SUM(BF8,BJ8),"")</f>
        <v/>
      </c>
      <c r="BR8" s="14" t="str">
        <f>IF(SUM(BE8:BF8,BH8:BJ8,BL8)-SUM(BG8,BK8)&gt;0,SUM(BE8:BF8,BH8:BJ8,BL8)-SUM(BG8,BK8),"")</f>
        <v/>
      </c>
      <c r="BS8" s="14" t="str">
        <f>IF(SUM(BO8,BP8,BR8)&gt;0,SUM(BO8,BP8,BR8),"")</f>
        <v/>
      </c>
      <c r="BT8" s="20">
        <v>17.600000000000001</v>
      </c>
      <c r="BU8" s="20">
        <v>6.8</v>
      </c>
      <c r="BV8" s="20">
        <v>0.8</v>
      </c>
      <c r="BW8" s="20">
        <v>0</v>
      </c>
      <c r="BX8" s="20">
        <v>18.100000000000001</v>
      </c>
      <c r="BY8" s="20">
        <v>6</v>
      </c>
      <c r="BZ8" s="20">
        <v>0.6</v>
      </c>
      <c r="CA8" s="20">
        <v>0</v>
      </c>
      <c r="CB8" s="20">
        <v>18.399999999999999</v>
      </c>
      <c r="CC8" s="20">
        <v>7.3</v>
      </c>
      <c r="CD8" s="20">
        <v>0</v>
      </c>
      <c r="CE8" s="20">
        <v>0</v>
      </c>
      <c r="CF8" s="20">
        <v>18.5</v>
      </c>
      <c r="CG8" s="20">
        <v>5.2</v>
      </c>
      <c r="CH8" s="20">
        <v>0.8</v>
      </c>
      <c r="CI8" s="20">
        <v>0</v>
      </c>
      <c r="CJ8" s="20">
        <v>17.899999999999999</v>
      </c>
      <c r="CK8" s="20">
        <v>7.7</v>
      </c>
      <c r="CL8" s="20">
        <v>0.6</v>
      </c>
      <c r="CM8" s="20">
        <v>0</v>
      </c>
      <c r="CN8" s="32"/>
      <c r="CO8" s="55">
        <f>IF(SUM(BU8,BY8)&gt;0,SUM(BU8,BY8),"")</f>
        <v>12.8</v>
      </c>
      <c r="CP8" s="55">
        <f>IF(SUM(BT8:BU8,BW8:BY8,CA8)-BV8-BZ8&gt;0,SUM(BT8:BU8,BW8:BY8,CA8)-BV8-BZ8,"")</f>
        <v>47.1</v>
      </c>
      <c r="CQ8" s="55">
        <f>IF(SUM(CB8:CC8,CE8)-CD8&gt;0,SUM(CB8:CC8,CE8)-CD8,"")</f>
        <v>25.7</v>
      </c>
      <c r="CR8" s="55">
        <f>IF(SUM(CG8,CK8)&gt;0,SUM(CG8,CK8),"")</f>
        <v>12.9</v>
      </c>
      <c r="CS8" s="55">
        <f>IF(SUM(CF8:CG8,CI8:CK8,CM8)-SUM(CH8,CL8)&gt;0,SUM(CF8:CG8,CI8:CK8,CM8)-SUM(CH8,CL8),"")</f>
        <v>47.9</v>
      </c>
      <c r="CT8" s="55">
        <f>IF(SUM(CP8,CQ8,CS8)&gt;0,SUM(CP8,CQ8,CS8),"")</f>
        <v>120.69999999999999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 t="shared" si="0"/>
        <v>8.8000000000000007</v>
      </c>
      <c r="OX8" s="27">
        <f t="shared" si="0"/>
        <v>3.4</v>
      </c>
      <c r="OY8" s="27">
        <f t="shared" si="0"/>
        <v>0.4</v>
      </c>
      <c r="OZ8" s="27">
        <f t="shared" si="0"/>
        <v>0</v>
      </c>
      <c r="PA8" s="27">
        <f t="shared" si="0"/>
        <v>9.0500000000000007</v>
      </c>
      <c r="PB8" s="27">
        <f t="shared" si="0"/>
        <v>3</v>
      </c>
      <c r="PC8" s="27">
        <f t="shared" si="0"/>
        <v>0.3</v>
      </c>
      <c r="PD8" s="27">
        <f t="shared" si="0"/>
        <v>0</v>
      </c>
      <c r="PE8" s="27">
        <f t="shared" si="0"/>
        <v>9.1999999999999993</v>
      </c>
      <c r="PF8" s="27">
        <f t="shared" si="0"/>
        <v>3.65</v>
      </c>
      <c r="PG8" s="27">
        <f t="shared" si="1"/>
        <v>0</v>
      </c>
      <c r="PH8" s="27">
        <f t="shared" si="1"/>
        <v>0</v>
      </c>
      <c r="PI8" s="27">
        <f t="shared" si="1"/>
        <v>9.25</v>
      </c>
      <c r="PJ8" s="27">
        <f t="shared" si="1"/>
        <v>2.6</v>
      </c>
      <c r="PK8" s="27">
        <f t="shared" si="1"/>
        <v>0.4</v>
      </c>
      <c r="PL8" s="27">
        <f t="shared" si="1"/>
        <v>0</v>
      </c>
      <c r="PM8" s="27">
        <f t="shared" si="1"/>
        <v>8.9499999999999993</v>
      </c>
      <c r="PN8" s="27">
        <f t="shared" si="1"/>
        <v>3.85</v>
      </c>
      <c r="PO8" s="27">
        <f t="shared" si="1"/>
        <v>0.3</v>
      </c>
      <c r="PP8" s="27">
        <f t="shared" si="1"/>
        <v>0</v>
      </c>
      <c r="PQ8" s="32" t="s">
        <v>44</v>
      </c>
      <c r="PR8" s="55">
        <f>IF(SUM(OX8,PB8)&gt;0,SUM(OX8,PB8),"")</f>
        <v>6.4</v>
      </c>
      <c r="PS8" s="55">
        <f>IF(SUM(OW8:OX8,OZ8:PB8,PD8)-OY8-PC8&gt;0,SUM(OW8:OX8,OZ8:PB8,PD8)-OY8-PC8,"")</f>
        <v>23.55</v>
      </c>
      <c r="PT8" s="55">
        <f>IF(SUM(PE8:PF8,PH8)-PG8&gt;0,SUM(PE8:PF8,PH8)-PG8,"")</f>
        <v>12.85</v>
      </c>
      <c r="PU8" s="55">
        <f>IF(SUM(PJ8,PN8)&gt;0,SUM(PJ8,PN8),"")</f>
        <v>6.45</v>
      </c>
      <c r="PV8" s="55">
        <f>IF(SUM(PI8:PJ8,PL8:PN8,PP8)-SUM(PK8,PO8)&gt;0,SUM(PI8:PJ8,PL8:PN8,PP8)-SUM(PK8,PO8),"")</f>
        <v>23.95</v>
      </c>
      <c r="PW8" s="55">
        <f>IF(SUM(PS8,PT8,PV8)&gt;0,SUM(PS8,PT8,PV8),"")</f>
        <v>60.349999999999994</v>
      </c>
    </row>
    <row r="9" spans="1:439" ht="17" x14ac:dyDescent="0.2">
      <c r="O9" s="11"/>
      <c r="P9" s="11"/>
      <c r="Q9" s="11"/>
    </row>
    <row r="10" spans="1:439" ht="17" x14ac:dyDescent="0.2">
      <c r="O10" s="11"/>
      <c r="P10" s="11"/>
      <c r="Q10" s="11"/>
    </row>
    <row r="11" spans="1:439" ht="17" x14ac:dyDescent="0.2">
      <c r="B11" s="28" t="s">
        <v>42</v>
      </c>
      <c r="O11" s="11"/>
      <c r="P11" s="11"/>
      <c r="Q11" s="11"/>
      <c r="AM11" s="4"/>
      <c r="AR11" s="57">
        <v>10.4</v>
      </c>
      <c r="BN11" s="4"/>
      <c r="BS11" s="57">
        <v>10.4</v>
      </c>
      <c r="CO11" s="4"/>
      <c r="CT11" s="57">
        <v>10.4</v>
      </c>
      <c r="DQ11" s="4"/>
      <c r="DV11" s="57">
        <v>10.4</v>
      </c>
      <c r="EQ11" s="4"/>
      <c r="EV11" s="57">
        <v>10.4</v>
      </c>
      <c r="FQ11" s="4"/>
      <c r="FV11" s="57">
        <v>10.4</v>
      </c>
      <c r="GQ11" s="4"/>
      <c r="GV11" s="57">
        <v>10.4</v>
      </c>
      <c r="HQ11" s="4"/>
      <c r="HV11" s="57">
        <v>10.4</v>
      </c>
      <c r="IQ11" s="4"/>
      <c r="IV11" s="57">
        <v>10.4</v>
      </c>
      <c r="JQ11" s="4"/>
      <c r="JV11" s="57">
        <v>10.4</v>
      </c>
      <c r="KQ11" s="4"/>
      <c r="KV11" s="57">
        <v>10.4</v>
      </c>
      <c r="LQ11" s="4"/>
      <c r="LV11" s="57">
        <v>10.4</v>
      </c>
      <c r="MQ11" s="4"/>
      <c r="MV11" s="57">
        <v>10.4</v>
      </c>
      <c r="NQ11" s="4"/>
      <c r="NV11" s="57">
        <v>10.4</v>
      </c>
      <c r="OQ11" s="4"/>
      <c r="OV11" s="57">
        <v>10.4</v>
      </c>
    </row>
    <row r="12" spans="1:439" ht="17" hidden="1" x14ac:dyDescent="0.2">
      <c r="B12" s="35" t="s">
        <v>41</v>
      </c>
      <c r="O12" s="11"/>
      <c r="P12" s="11"/>
      <c r="Q12" s="11"/>
      <c r="AM12" s="4"/>
      <c r="AR12" s="58">
        <f>AR13</f>
        <v>11.2</v>
      </c>
      <c r="BN12" s="4"/>
      <c r="BS12" s="58">
        <f>BS13</f>
        <v>11.2</v>
      </c>
      <c r="CO12" s="4"/>
      <c r="CT12" s="58">
        <f>CT13</f>
        <v>11.2</v>
      </c>
      <c r="DQ12" s="4"/>
      <c r="DV12" s="58">
        <f>DV13</f>
        <v>11.2</v>
      </c>
      <c r="EQ12" s="4"/>
      <c r="EV12" s="58">
        <f>EV13</f>
        <v>11.2</v>
      </c>
      <c r="FQ12" s="4"/>
      <c r="FV12" s="58">
        <f>FV13</f>
        <v>11.2</v>
      </c>
      <c r="GQ12" s="4"/>
      <c r="GV12" s="58">
        <f>GV13</f>
        <v>11.2</v>
      </c>
      <c r="HQ12" s="4"/>
      <c r="HV12" s="58">
        <f>HV13</f>
        <v>11.2</v>
      </c>
      <c r="IQ12" s="4"/>
      <c r="IV12" s="58">
        <f>IV13</f>
        <v>11.2</v>
      </c>
      <c r="JQ12" s="4"/>
      <c r="JV12" s="58">
        <f>JV13</f>
        <v>11.2</v>
      </c>
      <c r="KQ12" s="4"/>
      <c r="KV12" s="58">
        <f>KV13</f>
        <v>11.2</v>
      </c>
      <c r="LQ12" s="4"/>
      <c r="LV12" s="58">
        <f>LV13</f>
        <v>11.2</v>
      </c>
      <c r="MQ12" s="4"/>
      <c r="MV12" s="58">
        <f>MV13</f>
        <v>11.2</v>
      </c>
      <c r="NQ12" s="4"/>
      <c r="NV12" s="58">
        <f>NV13</f>
        <v>11.2</v>
      </c>
      <c r="OQ12" s="4"/>
      <c r="OV12" s="58">
        <f>OV13</f>
        <v>11.2</v>
      </c>
    </row>
    <row r="13" spans="1:439" ht="17" x14ac:dyDescent="0.2">
      <c r="A13" s="5"/>
      <c r="B13" s="36" t="s">
        <v>54</v>
      </c>
      <c r="C13" s="22"/>
      <c r="O13" s="11"/>
      <c r="P13" s="11"/>
      <c r="Q13" s="11"/>
      <c r="AM13" s="4"/>
      <c r="AR13" s="59">
        <v>11.2</v>
      </c>
      <c r="BN13" s="4"/>
      <c r="BS13" s="59">
        <v>11.2</v>
      </c>
      <c r="CO13" s="4"/>
      <c r="CT13" s="59">
        <v>11.2</v>
      </c>
      <c r="DQ13" s="4"/>
      <c r="DV13" s="59">
        <v>11.2</v>
      </c>
      <c r="EQ13" s="4"/>
      <c r="EV13" s="59">
        <v>11.2</v>
      </c>
      <c r="FQ13" s="4"/>
      <c r="FV13" s="59">
        <v>11.2</v>
      </c>
      <c r="GQ13" s="4"/>
      <c r="GV13" s="59">
        <v>11.2</v>
      </c>
      <c r="HQ13" s="4"/>
      <c r="HV13" s="59">
        <v>11.2</v>
      </c>
      <c r="IQ13" s="4"/>
      <c r="IV13" s="59">
        <v>11.2</v>
      </c>
      <c r="JQ13" s="4"/>
      <c r="JV13" s="59">
        <v>11.2</v>
      </c>
      <c r="KQ13" s="4"/>
      <c r="KV13" s="59">
        <v>11.2</v>
      </c>
      <c r="LQ13" s="4"/>
      <c r="LV13" s="59">
        <v>11.2</v>
      </c>
      <c r="MQ13" s="4"/>
      <c r="MV13" s="59">
        <v>11.2</v>
      </c>
      <c r="NQ13" s="4"/>
      <c r="NV13" s="59">
        <v>11.2</v>
      </c>
      <c r="OQ13" s="4"/>
      <c r="OV13" s="59">
        <v>11.2</v>
      </c>
    </row>
    <row r="14" spans="1:439" ht="17" hidden="1" x14ac:dyDescent="0.2">
      <c r="A14" s="5"/>
      <c r="B14" s="44" t="s">
        <v>59</v>
      </c>
      <c r="C14" s="22"/>
      <c r="O14" s="11"/>
      <c r="P14" s="11"/>
      <c r="Q14" s="11"/>
      <c r="AM14" s="4"/>
      <c r="AR14" s="65">
        <v>1000</v>
      </c>
      <c r="BN14" s="4"/>
      <c r="BS14" s="65">
        <v>1000</v>
      </c>
      <c r="CO14" s="4"/>
      <c r="CT14" s="65">
        <v>1000</v>
      </c>
      <c r="DQ14" s="4"/>
      <c r="DV14" s="65">
        <v>1000</v>
      </c>
      <c r="EQ14" s="4"/>
      <c r="EV14" s="65">
        <v>1000</v>
      </c>
      <c r="FQ14" s="4"/>
      <c r="FV14" s="65">
        <v>1000</v>
      </c>
      <c r="GQ14" s="4"/>
      <c r="GV14" s="65">
        <v>1000</v>
      </c>
      <c r="HQ14" s="4"/>
      <c r="HV14" s="65">
        <v>1000</v>
      </c>
      <c r="IQ14" s="4"/>
      <c r="IV14" s="65">
        <v>1000</v>
      </c>
      <c r="JQ14" s="4"/>
      <c r="JV14" s="65">
        <v>1000</v>
      </c>
      <c r="KQ14" s="4"/>
      <c r="KV14" s="65">
        <v>1000</v>
      </c>
      <c r="LQ14" s="4"/>
      <c r="LV14" s="65">
        <v>1000</v>
      </c>
      <c r="MQ14" s="4"/>
      <c r="MV14" s="65">
        <v>1000</v>
      </c>
      <c r="NQ14" s="4"/>
      <c r="NV14" s="65">
        <v>1000</v>
      </c>
      <c r="OQ14" s="4"/>
      <c r="OV14" s="65">
        <v>1000</v>
      </c>
    </row>
    <row r="15" spans="1:439" ht="17" x14ac:dyDescent="0.2">
      <c r="A15" s="5"/>
      <c r="B15" s="42" t="s">
        <v>39</v>
      </c>
      <c r="C15" s="22"/>
      <c r="O15" s="11"/>
      <c r="P15" s="11"/>
      <c r="Q15" s="11"/>
      <c r="AM15" s="4"/>
      <c r="AR15" s="66">
        <v>47.2</v>
      </c>
      <c r="BN15" s="4"/>
      <c r="BS15" s="66">
        <v>47.2</v>
      </c>
      <c r="CO15" s="4"/>
      <c r="CT15" s="66">
        <v>47.2</v>
      </c>
      <c r="DQ15" s="4"/>
      <c r="DV15" s="66">
        <v>47.2</v>
      </c>
      <c r="EQ15" s="4"/>
      <c r="EV15" s="66">
        <v>47.2</v>
      </c>
      <c r="FQ15" s="4"/>
      <c r="FV15" s="66">
        <v>47.2</v>
      </c>
      <c r="GQ15" s="4"/>
      <c r="GV15" s="66">
        <v>47.2</v>
      </c>
      <c r="HQ15" s="4"/>
      <c r="HV15" s="66">
        <v>47.2</v>
      </c>
      <c r="IQ15" s="4"/>
      <c r="IV15" s="66">
        <v>47.2</v>
      </c>
      <c r="JQ15" s="4"/>
      <c r="JV15" s="66">
        <v>47.2</v>
      </c>
      <c r="KQ15" s="4"/>
      <c r="KV15" s="66">
        <v>47.2</v>
      </c>
      <c r="LQ15" s="4"/>
      <c r="LV15" s="66">
        <v>47.2</v>
      </c>
      <c r="MQ15" s="4"/>
      <c r="MV15" s="66">
        <v>47.2</v>
      </c>
      <c r="NQ15" s="4"/>
      <c r="NV15" s="66">
        <v>47.2</v>
      </c>
      <c r="OQ15" s="4"/>
      <c r="OV15" s="66">
        <v>47.2</v>
      </c>
    </row>
    <row r="16" spans="1:439" ht="17" hidden="1" x14ac:dyDescent="0.2">
      <c r="A16" s="5"/>
      <c r="B16" s="29" t="s">
        <v>40</v>
      </c>
      <c r="C16" s="22"/>
      <c r="O16" s="11"/>
      <c r="P16" s="11"/>
      <c r="Q16" s="11"/>
      <c r="AM16" s="4"/>
      <c r="AR16" s="62">
        <f>AR17</f>
        <v>47.6</v>
      </c>
      <c r="BN16" s="4"/>
      <c r="BS16" s="62">
        <f>BS17</f>
        <v>47.6</v>
      </c>
      <c r="CO16" s="4"/>
      <c r="CT16" s="62">
        <f>CT17</f>
        <v>47.6</v>
      </c>
      <c r="DQ16" s="4"/>
      <c r="DV16" s="62">
        <f>DV17</f>
        <v>47.6</v>
      </c>
      <c r="EQ16" s="4"/>
      <c r="EV16" s="62">
        <f>EV17</f>
        <v>47.6</v>
      </c>
      <c r="FQ16" s="4"/>
      <c r="FV16" s="62">
        <f>FV17</f>
        <v>47.6</v>
      </c>
      <c r="GQ16" s="4"/>
      <c r="GV16" s="62">
        <f>GV17</f>
        <v>47.6</v>
      </c>
      <c r="HQ16" s="4"/>
      <c r="HV16" s="62">
        <f>HV17</f>
        <v>47.6</v>
      </c>
      <c r="IQ16" s="4"/>
      <c r="IV16" s="62">
        <f>IV17</f>
        <v>47.6</v>
      </c>
      <c r="JQ16" s="4"/>
      <c r="JV16" s="62">
        <f>JV17</f>
        <v>47.6</v>
      </c>
      <c r="KQ16" s="4"/>
      <c r="KV16" s="62">
        <f>KV17</f>
        <v>47.6</v>
      </c>
      <c r="LQ16" s="4"/>
      <c r="LV16" s="62">
        <f>LV17</f>
        <v>47.6</v>
      </c>
      <c r="MQ16" s="4"/>
      <c r="MV16" s="62">
        <f>MV17</f>
        <v>47.6</v>
      </c>
      <c r="NQ16" s="4"/>
      <c r="NV16" s="62">
        <f>NV17</f>
        <v>47.6</v>
      </c>
      <c r="OQ16" s="4"/>
      <c r="OV16" s="62">
        <f>OV17</f>
        <v>47.6</v>
      </c>
    </row>
    <row r="17" spans="1:412" ht="17" x14ac:dyDescent="0.2">
      <c r="A17" s="5"/>
      <c r="B17" s="40" t="s">
        <v>53</v>
      </c>
      <c r="C17" s="22"/>
      <c r="O17" s="11"/>
      <c r="P17" s="11"/>
      <c r="Q17" s="11"/>
      <c r="AM17" s="4"/>
      <c r="AR17" s="63">
        <v>47.6</v>
      </c>
      <c r="BN17" s="4"/>
      <c r="BS17" s="63">
        <v>47.6</v>
      </c>
      <c r="CO17" s="4"/>
      <c r="CT17" s="63">
        <v>47.6</v>
      </c>
      <c r="DQ17" s="4"/>
      <c r="DV17" s="63">
        <v>47.6</v>
      </c>
      <c r="EQ17" s="4"/>
      <c r="EV17" s="63">
        <v>47.6</v>
      </c>
      <c r="FQ17" s="4"/>
      <c r="FV17" s="63">
        <v>47.6</v>
      </c>
      <c r="GQ17" s="4"/>
      <c r="GV17" s="63">
        <v>47.6</v>
      </c>
      <c r="HQ17" s="4"/>
      <c r="HV17" s="63">
        <v>47.6</v>
      </c>
      <c r="IQ17" s="4"/>
      <c r="IV17" s="63">
        <v>47.6</v>
      </c>
      <c r="JQ17" s="4"/>
      <c r="JV17" s="63">
        <v>47.6</v>
      </c>
      <c r="KQ17" s="4"/>
      <c r="KV17" s="63">
        <v>47.6</v>
      </c>
      <c r="LQ17" s="4"/>
      <c r="LV17" s="63">
        <v>47.6</v>
      </c>
      <c r="MQ17" s="4"/>
      <c r="MV17" s="63">
        <v>47.6</v>
      </c>
      <c r="NQ17" s="4"/>
      <c r="NV17" s="63">
        <v>47.6</v>
      </c>
      <c r="OQ17" s="4"/>
      <c r="OV17" s="63">
        <v>47.6</v>
      </c>
    </row>
    <row r="18" spans="1:412" ht="17" hidden="1" x14ac:dyDescent="0.2">
      <c r="A18" s="5"/>
      <c r="B18" s="30" t="s">
        <v>26</v>
      </c>
      <c r="C18" s="22"/>
      <c r="O18" s="11"/>
      <c r="P18" s="11"/>
      <c r="Q18" s="11"/>
      <c r="AM18" s="4"/>
      <c r="AR18" s="64">
        <v>1000</v>
      </c>
      <c r="BN18" s="4"/>
      <c r="BS18" s="64">
        <v>1000</v>
      </c>
      <c r="CO18" s="4"/>
      <c r="CT18" s="64">
        <v>1000</v>
      </c>
      <c r="DQ18" s="4"/>
      <c r="DV18" s="64">
        <v>1000</v>
      </c>
      <c r="EQ18" s="4"/>
      <c r="EV18" s="64">
        <v>1000</v>
      </c>
      <c r="FQ18" s="4"/>
      <c r="FV18" s="64">
        <v>1000</v>
      </c>
      <c r="GQ18" s="4"/>
      <c r="GV18" s="64">
        <v>1000</v>
      </c>
      <c r="HQ18" s="4"/>
      <c r="HV18" s="64">
        <v>1000</v>
      </c>
      <c r="IQ18" s="4"/>
      <c r="IV18" s="64">
        <v>1000</v>
      </c>
      <c r="JQ18" s="4"/>
      <c r="JV18" s="64">
        <v>1000</v>
      </c>
      <c r="KQ18" s="4"/>
      <c r="KV18" s="64">
        <v>1000</v>
      </c>
      <c r="LQ18" s="4"/>
      <c r="LV18" s="64">
        <v>1000</v>
      </c>
      <c r="MQ18" s="4"/>
      <c r="MV18" s="64">
        <v>1000</v>
      </c>
      <c r="NQ18" s="4"/>
      <c r="NV18" s="64">
        <v>1000</v>
      </c>
      <c r="OQ18" s="4"/>
      <c r="OV18" s="64">
        <v>1000</v>
      </c>
    </row>
    <row r="19" spans="1:412" x14ac:dyDescent="0.2">
      <c r="B19" s="34" t="s">
        <v>45</v>
      </c>
      <c r="C19" s="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8">
      <sortCondition descending="1" ref="F1:F9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8">
    <cfRule type="expression" dxfId="57" priority="2" stopIfTrue="1">
      <formula>IF($AL4&lt;&gt;"",1,0)</formula>
    </cfRule>
  </conditionalFormatting>
  <conditionalFormatting sqref="AS4:BS8">
    <cfRule type="expression" dxfId="56" priority="3" stopIfTrue="1">
      <formula>IF($BM4&lt;&gt;"",1,0)</formula>
    </cfRule>
  </conditionalFormatting>
  <conditionalFormatting sqref="J1:J1048576 L1:L1048576 N1:N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8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AR$14</formula>
      <formula>1000</formula>
    </cfRule>
    <cfRule type="cellIs" dxfId="43" priority="57973" operator="between">
      <formula>AR$13</formula>
      <formula>AR$14</formula>
    </cfRule>
    <cfRule type="cellIs" dxfId="42" priority="57974" operator="between">
      <formula>AR$12</formula>
      <formula>AR$13</formula>
    </cfRule>
    <cfRule type="cellIs" dxfId="41" priority="57975" operator="between">
      <formula>AR$11</formula>
      <formula>AR$12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AR$18</formula>
      <formula>1000</formula>
    </cfRule>
    <cfRule type="cellIs" dxfId="39" priority="58153" operator="between">
      <formula>AR$17</formula>
      <formula>AR$18</formula>
    </cfRule>
    <cfRule type="cellIs" dxfId="38" priority="58154" operator="between">
      <formula>AR$16</formula>
      <formula>AR$17</formula>
    </cfRule>
    <cfRule type="cellIs" dxfId="37" priority="58155" operator="between">
      <formula>AR$15</formula>
      <formula>AR$16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AR$14</formula>
      <formula>1000</formula>
    </cfRule>
    <cfRule type="cellIs" dxfId="35" priority="58333" operator="between">
      <formula>AR$13</formula>
      <formula>AR$14</formula>
    </cfRule>
    <cfRule type="cellIs" dxfId="34" priority="58334" operator="between">
      <formula>AR$12</formula>
      <formula>AR$13</formula>
    </cfRule>
    <cfRule type="cellIs" dxfId="33" priority="58335" operator="between">
      <formula>AR$11</formula>
      <formula>AR$12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AR$15</formula>
      <formula>AR$16</formula>
    </cfRule>
    <cfRule type="cellIs" dxfId="31" priority="58513" operator="between">
      <formula>AR$16</formula>
      <formula>AR$17</formula>
    </cfRule>
    <cfRule type="cellIs" dxfId="30" priority="58514" operator="between">
      <formula>AR$17</formula>
      <formula>AR$18</formula>
    </cfRule>
    <cfRule type="cellIs" dxfId="29" priority="58515" operator="between">
      <formula>AR$18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4" t="s">
        <v>1</v>
      </c>
      <c r="B1" s="74" t="s">
        <v>21</v>
      </c>
      <c r="C1" s="74" t="s">
        <v>0</v>
      </c>
      <c r="D1" s="74" t="s">
        <v>46</v>
      </c>
      <c r="E1" s="74" t="s">
        <v>2</v>
      </c>
      <c r="F1" s="77" t="s">
        <v>52</v>
      </c>
      <c r="G1" s="77" t="s">
        <v>5</v>
      </c>
      <c r="H1" s="74" t="s">
        <v>6</v>
      </c>
      <c r="I1" s="81" t="s">
        <v>69</v>
      </c>
      <c r="J1" s="75" t="s">
        <v>24</v>
      </c>
      <c r="K1" s="81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1" t="s">
        <v>84</v>
      </c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2" t="s">
        <v>92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1" t="s">
        <v>96</v>
      </c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3" t="s">
        <v>51</v>
      </c>
      <c r="CV1" s="73"/>
      <c r="CW1" s="71" t="s">
        <v>94</v>
      </c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2" t="s">
        <v>95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1" t="s">
        <v>101</v>
      </c>
      <c r="EX1" s="71"/>
      <c r="EY1" s="71"/>
      <c r="EZ1" s="71"/>
      <c r="FA1" s="71"/>
      <c r="FB1" s="71"/>
      <c r="FC1" s="71"/>
      <c r="FD1" s="71"/>
      <c r="FE1" s="71"/>
      <c r="FF1" s="71"/>
      <c r="FG1" s="71"/>
      <c r="FH1" s="71"/>
      <c r="FI1" s="71"/>
      <c r="FJ1" s="71"/>
      <c r="FK1" s="71"/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2" t="s">
        <v>101</v>
      </c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1"/>
      <c r="GX1" s="71"/>
      <c r="GY1" s="71"/>
      <c r="GZ1" s="71"/>
      <c r="HA1" s="71"/>
      <c r="HB1" s="71"/>
      <c r="HC1" s="71"/>
      <c r="HD1" s="71"/>
      <c r="HE1" s="71"/>
      <c r="HF1" s="71"/>
      <c r="HG1" s="71"/>
      <c r="HH1" s="71"/>
      <c r="HI1" s="71"/>
      <c r="HJ1" s="71"/>
      <c r="HK1" s="71"/>
      <c r="HL1" s="71"/>
      <c r="HM1" s="71"/>
      <c r="HN1" s="71"/>
      <c r="HO1" s="71"/>
      <c r="HP1" s="71"/>
      <c r="HQ1" s="71"/>
      <c r="HR1" s="71"/>
      <c r="HS1" s="71"/>
      <c r="HT1" s="71"/>
      <c r="HU1" s="71"/>
      <c r="HV1" s="71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1"/>
      <c r="JS1" s="71"/>
      <c r="JT1" s="71"/>
      <c r="JU1" s="71"/>
      <c r="JV1" s="71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1"/>
      <c r="MX1" s="71"/>
      <c r="MY1" s="71"/>
      <c r="MZ1" s="71"/>
      <c r="NA1" s="71"/>
      <c r="NB1" s="71"/>
      <c r="NC1" s="71"/>
      <c r="ND1" s="71"/>
      <c r="NE1" s="71"/>
      <c r="NF1" s="71"/>
      <c r="NG1" s="71"/>
      <c r="NH1" s="71"/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1" t="s">
        <v>55</v>
      </c>
      <c r="OX1" s="71"/>
      <c r="OY1" s="71"/>
      <c r="OZ1" s="71"/>
      <c r="PA1" s="71"/>
      <c r="PB1" s="71"/>
      <c r="PC1" s="71"/>
      <c r="PD1" s="71"/>
      <c r="PE1" s="71"/>
      <c r="PF1" s="71"/>
      <c r="PG1" s="71"/>
      <c r="PH1" s="71"/>
      <c r="PI1" s="71"/>
      <c r="PJ1" s="71"/>
      <c r="PK1" s="71"/>
      <c r="PL1" s="71"/>
      <c r="PM1" s="71"/>
      <c r="PN1" s="71"/>
      <c r="PO1" s="71"/>
      <c r="PP1" s="71"/>
      <c r="PQ1" s="71"/>
      <c r="PR1" s="71"/>
      <c r="PS1" s="71"/>
      <c r="PT1" s="71"/>
      <c r="PU1" s="71"/>
      <c r="PV1" s="71"/>
      <c r="PW1" s="71"/>
    </row>
    <row r="2" spans="1:439" x14ac:dyDescent="0.2">
      <c r="A2" s="74"/>
      <c r="B2" s="74"/>
      <c r="C2" s="74"/>
      <c r="D2" s="74"/>
      <c r="E2" s="74"/>
      <c r="F2" s="77"/>
      <c r="G2" s="77"/>
      <c r="H2" s="74"/>
      <c r="I2" s="81"/>
      <c r="J2" s="75"/>
      <c r="K2" s="81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8" t="s">
        <v>75</v>
      </c>
      <c r="AI2" s="78"/>
      <c r="AJ2" s="78"/>
      <c r="AK2" s="78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0" t="s">
        <v>71</v>
      </c>
      <c r="AT2" s="70"/>
      <c r="AU2" s="70"/>
      <c r="AV2" s="70"/>
      <c r="AW2" s="70" t="s">
        <v>72</v>
      </c>
      <c r="AX2" s="70"/>
      <c r="AY2" s="70"/>
      <c r="AZ2" s="70"/>
      <c r="BA2" s="70" t="s">
        <v>73</v>
      </c>
      <c r="BB2" s="70"/>
      <c r="BC2" s="70"/>
      <c r="BD2" s="70"/>
      <c r="BE2" s="70" t="s">
        <v>74</v>
      </c>
      <c r="BF2" s="70"/>
      <c r="BG2" s="70"/>
      <c r="BH2" s="70"/>
      <c r="BI2" s="79" t="s">
        <v>75</v>
      </c>
      <c r="BJ2" s="79"/>
      <c r="BK2" s="79"/>
      <c r="BL2" s="79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8" t="s">
        <v>75</v>
      </c>
      <c r="CK2" s="78"/>
      <c r="CL2" s="78"/>
      <c r="CM2" s="78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0" t="s">
        <v>75</v>
      </c>
      <c r="DN2" s="80"/>
      <c r="DO2" s="80"/>
      <c r="DP2" s="80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0" t="s">
        <v>71</v>
      </c>
      <c r="DX2" s="70"/>
      <c r="DY2" s="70"/>
      <c r="DZ2" s="70"/>
      <c r="EA2" s="70" t="s">
        <v>72</v>
      </c>
      <c r="EB2" s="70"/>
      <c r="EC2" s="70"/>
      <c r="ED2" s="70"/>
      <c r="EE2" s="70" t="s">
        <v>73</v>
      </c>
      <c r="EF2" s="70"/>
      <c r="EG2" s="70"/>
      <c r="EH2" s="70"/>
      <c r="EI2" s="70" t="s">
        <v>74</v>
      </c>
      <c r="EJ2" s="70"/>
      <c r="EK2" s="70"/>
      <c r="EL2" s="70"/>
      <c r="EM2" s="79" t="s">
        <v>75</v>
      </c>
      <c r="EN2" s="79"/>
      <c r="EO2" s="79"/>
      <c r="EP2" s="79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0" t="s">
        <v>75</v>
      </c>
      <c r="FN2" s="80"/>
      <c r="FO2" s="80"/>
      <c r="FP2" s="80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0" t="s">
        <v>71</v>
      </c>
      <c r="FX2" s="70"/>
      <c r="FY2" s="70"/>
      <c r="FZ2" s="70"/>
      <c r="GA2" s="70" t="s">
        <v>72</v>
      </c>
      <c r="GB2" s="70"/>
      <c r="GC2" s="70"/>
      <c r="GD2" s="70"/>
      <c r="GE2" s="70" t="s">
        <v>73</v>
      </c>
      <c r="GF2" s="70"/>
      <c r="GG2" s="70"/>
      <c r="GH2" s="70"/>
      <c r="GI2" s="70" t="s">
        <v>74</v>
      </c>
      <c r="GJ2" s="70"/>
      <c r="GK2" s="70"/>
      <c r="GL2" s="70"/>
      <c r="GM2" s="79" t="s">
        <v>75</v>
      </c>
      <c r="GN2" s="79"/>
      <c r="GO2" s="79"/>
      <c r="GP2" s="79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0" t="s">
        <v>75</v>
      </c>
      <c r="HN2" s="80"/>
      <c r="HO2" s="80"/>
      <c r="HP2" s="80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0" t="s">
        <v>71</v>
      </c>
      <c r="HX2" s="70"/>
      <c r="HY2" s="70"/>
      <c r="HZ2" s="70"/>
      <c r="IA2" s="70" t="s">
        <v>72</v>
      </c>
      <c r="IB2" s="70"/>
      <c r="IC2" s="70"/>
      <c r="ID2" s="70"/>
      <c r="IE2" s="70" t="s">
        <v>73</v>
      </c>
      <c r="IF2" s="70"/>
      <c r="IG2" s="70"/>
      <c r="IH2" s="70"/>
      <c r="II2" s="70" t="s">
        <v>74</v>
      </c>
      <c r="IJ2" s="70"/>
      <c r="IK2" s="70"/>
      <c r="IL2" s="70"/>
      <c r="IM2" s="79" t="s">
        <v>75</v>
      </c>
      <c r="IN2" s="79"/>
      <c r="IO2" s="79"/>
      <c r="IP2" s="79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0" t="s">
        <v>75</v>
      </c>
      <c r="JN2" s="80"/>
      <c r="JO2" s="80"/>
      <c r="JP2" s="80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0" t="s">
        <v>71</v>
      </c>
      <c r="JX2" s="70"/>
      <c r="JY2" s="70"/>
      <c r="JZ2" s="70"/>
      <c r="KA2" s="70" t="s">
        <v>72</v>
      </c>
      <c r="KB2" s="70"/>
      <c r="KC2" s="70"/>
      <c r="KD2" s="70"/>
      <c r="KE2" s="70" t="s">
        <v>73</v>
      </c>
      <c r="KF2" s="70"/>
      <c r="KG2" s="70"/>
      <c r="KH2" s="70"/>
      <c r="KI2" s="70" t="s">
        <v>74</v>
      </c>
      <c r="KJ2" s="70"/>
      <c r="KK2" s="70"/>
      <c r="KL2" s="70"/>
      <c r="KM2" s="79" t="s">
        <v>75</v>
      </c>
      <c r="KN2" s="79"/>
      <c r="KO2" s="79"/>
      <c r="KP2" s="79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0" t="s">
        <v>75</v>
      </c>
      <c r="LN2" s="80"/>
      <c r="LO2" s="80"/>
      <c r="LP2" s="80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0" t="s">
        <v>71</v>
      </c>
      <c r="LX2" s="70"/>
      <c r="LY2" s="70"/>
      <c r="LZ2" s="70"/>
      <c r="MA2" s="70" t="s">
        <v>72</v>
      </c>
      <c r="MB2" s="70"/>
      <c r="MC2" s="70"/>
      <c r="MD2" s="70"/>
      <c r="ME2" s="70" t="s">
        <v>73</v>
      </c>
      <c r="MF2" s="70"/>
      <c r="MG2" s="70"/>
      <c r="MH2" s="70"/>
      <c r="MI2" s="70" t="s">
        <v>74</v>
      </c>
      <c r="MJ2" s="70"/>
      <c r="MK2" s="70"/>
      <c r="ML2" s="70"/>
      <c r="MM2" s="79" t="s">
        <v>75</v>
      </c>
      <c r="MN2" s="79"/>
      <c r="MO2" s="79"/>
      <c r="MP2" s="79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0" t="s">
        <v>75</v>
      </c>
      <c r="NN2" s="80"/>
      <c r="NO2" s="80"/>
      <c r="NP2" s="80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0" t="s">
        <v>71</v>
      </c>
      <c r="NX2" s="70"/>
      <c r="NY2" s="70"/>
      <c r="NZ2" s="70"/>
      <c r="OA2" s="70" t="s">
        <v>72</v>
      </c>
      <c r="OB2" s="70"/>
      <c r="OC2" s="70"/>
      <c r="OD2" s="70"/>
      <c r="OE2" s="70" t="s">
        <v>73</v>
      </c>
      <c r="OF2" s="70"/>
      <c r="OG2" s="70"/>
      <c r="OH2" s="70"/>
      <c r="OI2" s="70" t="s">
        <v>74</v>
      </c>
      <c r="OJ2" s="70"/>
      <c r="OK2" s="70"/>
      <c r="OL2" s="70"/>
      <c r="OM2" s="79" t="s">
        <v>75</v>
      </c>
      <c r="ON2" s="79"/>
      <c r="OO2" s="79"/>
      <c r="OP2" s="79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8" t="s">
        <v>75</v>
      </c>
      <c r="PN2" s="78"/>
      <c r="PO2" s="78"/>
      <c r="PP2" s="78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4"/>
      <c r="B3" s="74"/>
      <c r="C3" s="74"/>
      <c r="D3" s="74"/>
      <c r="E3" s="74"/>
      <c r="F3" s="77"/>
      <c r="G3" s="77"/>
      <c r="H3" s="74"/>
      <c r="I3" s="81"/>
      <c r="J3" s="75"/>
      <c r="K3" s="81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DD"),SUMPRODUCT((H$4:H$8&lt;&gt;"")*(H$4:H$8&lt;&gt;"No DD")*(E$4:E$8&gt;E4))+1,IF(H4="No DD",SUMPRODUCT((H$4:H$8="No DD")*(E$4:E$8&gt;E4))+1+SUMPRODUCT((H$4:H$8&lt;&gt;"")*(H$4:H$8&lt;&gt;"No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153.20001532000509</v>
      </c>
      <c r="F4" s="3" t="str">
        <f>IF(OR(AND(AM4&gt;=AR$10,AN4&gt;=AR$14,AM4&lt;&gt;"",AL4=""),AND(AP4&gt;=AR$10,AQ4&gt;=AR$14,AP4&lt;&gt;"",AL4=""),AND(BN4&gt;=BS$10,BO4&gt;=BS$14,BN4&lt;&gt;"",BM4=""),AND(BQ4&gt;=BS$10,BR4&gt;=BS$14,BQ4&lt;&gt;"",BM4=""),AND(CO4&gt;=CT$10,CP4&gt;=CT$14,CO4&lt;&gt;"",CN4=""),AND(CR4&gt;=CT$10,CS4&gt;=CT$14,CR4&lt;&gt;""),AND(DQ4&gt;=DV$10,DR4&gt;=DV$14,DQ4&lt;&gt;""),AND(DT4&gt;=DV$10,DU4&gt;=DV$14,DT4&lt;&gt;""),AND(EQ4&gt;=EV$10,ER4&gt;=EV$14,EQ4&lt;&gt;""),AND(ET4&gt;=EV$10,EU4&gt;=EV$14,ET4&lt;&gt;""),AND(FQ4&gt;=FV$10,FR4&gt;=FV$14,FQ4&lt;&gt;""),AND(FT4&gt;=FV$10,FU4&gt;=FV$14,FT4&lt;&gt;""),AND(GQ4&gt;=GV$10,GR4&gt;=GV$14,GQ4&lt;&gt;""),AND(GT4&gt;=GV$10,GU4&gt;=GV$14,GT4&lt;&gt;""),AND(HQ4&gt;=HV$10,HR4&gt;=HV$14,HQ4&lt;&gt;""),AND(HT4&gt;=HV$10,HU4&gt;=HV$14,HT4&lt;&gt;""),AND(IQ4&gt;=IV$10,IR4&gt;=IV$14,IQ4&lt;&gt;""),AND(IT4&gt;=IV$10,IU4&gt;=IV$14,IT4&lt;&gt;""),AND(JQ4&gt;=JV$10,JR4&gt;=JV$14,JQ4&lt;&gt;""),AND(JT4&gt;=JV$10,JU4&gt;=JV$14,JT4&lt;&gt;""),AND(KQ4&gt;=KV$10,KR4&gt;=KV$14,KQ4&lt;&gt;""),AND(KT4&gt;=KV$10,KU4&gt;=KV$14,KT4&lt;&gt;""),AND(LQ4&gt;=LV$10,LR4&gt;=LV$14,LQ4&lt;&gt;""),AND(LT4&gt;=LV$10,LU4&gt;=LV$14,LT4&lt;&gt;""),AND(MQ4&gt;=MV$10,MR4&gt;=MV$14,MQ4&lt;&gt;""),AND(MT4&gt;=MV$10,MU4&gt;=MV$14,MT4&lt;&gt;""),AND(NQ4&gt;=NV$10,NR4&gt;=NV$14,NQ4&lt;&gt;""),AND(NT4&gt;=NV$10,NU4&gt;=NV$14,NT4&lt;&gt;""),AND(OQ4&gt;=OV$10,OR4&gt;=OV$14,OQ4&lt;&gt;""),AND(OT4&gt;=OV$10,OU4&gt;=OV$14,OT4&lt;&gt;"")),"P","")</f>
        <v>P</v>
      </c>
      <c r="G4" s="3" t="str">
        <f>IF(OR(AND(AN4&gt;=AR$14,AN4&lt;&gt;"",AL4=""),AND(AQ4&gt;=AR$14,AQ4&lt;&gt;"",AL4=""),AND(BO4&gt;=BS$14,BO4&lt;&gt;"",BM4=""),AND(BR4&gt;=BS$14,BR4&lt;&gt;"",BM4=""),AND(CP4&gt;=CT$14,CP4&lt;&gt;"",CN4=""),AND(CS4&gt;=CT$14,CS4&lt;&gt;"",CN4=""),AND(DR4&gt;=DV$14,DR4&lt;&gt;""),AND(DU4&gt;=DV$14,DU4&lt;&gt;""),AND(ER4&gt;=EV$14,ER4&lt;&gt;""),AND(EU4&gt;=EV$14,EU4&lt;&gt;""),AND(FR4&gt;=FV$14,FR4&lt;&gt;""),AND(FU4&gt;=FV$14,FU4&lt;&gt;""),AND(GR4&gt;=GV$14,GR4&lt;&gt;""),AND(GU4&gt;=GV$14,GU4&lt;&gt;""),AND(HR4&gt;=HV$14,HR4&lt;&gt;""),AND(HU4&gt;=HV$14,HU4&lt;&gt;""),AND(IR4&gt;=IV$14,IR4&lt;&gt;""),AND(IU4&gt;=IV$14,IU4&lt;&gt;""),AND(JR4&gt;=JV$14,JR4&lt;&gt;""),AND(JU4&gt;=JV$14,JU4&lt;&gt;""),AND(KR4&gt;=KV$14,KR4&lt;&gt;""),AND(KU4&gt;=KV$14,KU4&lt;&gt;""),AND(LR4&gt;=LV$14,LR4&lt;&gt;""),AND(LU4&gt;=LV$14,LU4&lt;&gt;""),AND(MR4&gt;=MV$14,MR4&lt;&gt;""),AND(MU4&gt;=MV$14,MU4&lt;&gt;""),AND(NR4&gt;=NV$14,NR4&lt;&gt;""),AND(NU4&gt;=NV$14,NU4&lt;&gt;""),AND(OR4&gt;=OV$14,OR4&lt;&gt;""),AND(OU4&gt;=OV$14,OU4&lt;&gt;"")),"P","")</f>
        <v>P</v>
      </c>
      <c r="H4" s="47" t="str">
        <f>IF(AND(G4="P",F4=""),"No DD",IF(OR(AND(AM4&gt;=AR$13,AN4&gt;=AR$17,AM4&lt;&gt;"",AL4=""),AND(AP4&gt;=AR$13,AQ4&gt;=AR$17,AP4&lt;&gt;"",AL4=""),AND(BN4&gt;=BS$13,BO4&gt;=BS$17,BN4&lt;&gt;"",BM4=""),AND(BQ4&gt;=BS$13,BR4&gt;=BS$17,BQ4&lt;&gt;"",BM4=""),AND(CO4&gt;=CT$13,CP4&gt;=CT$17,CO4&lt;&gt;"",CN4=""),AND(CR4&gt;=CT$13,CS4&gt;=CT$17,CR4&lt;&gt;""),AND(DQ4&gt;=DV$13,DR4&gt;=DV$17,DQ4&lt;&gt;""),AND(DT4&gt;=DV$13,DU4&gt;=DV$17,DT4&lt;&gt;""),AND(EQ4&gt;=EV$13,ER4&gt;=EV$17,EQ4&lt;&gt;""),AND(ET4&gt;=EV$13,EU4&gt;=EV$17,ET4&lt;&gt;""),AND(FQ4&gt;=FV$13,FR4&gt;=FV$17,FQ4&lt;&gt;""),AND(FT4&gt;=FV$13,FU4&gt;=FV$17,FT4&lt;&gt;""),AND(GQ4&gt;=GV$13,GR4&gt;=GV$17,GQ4&lt;&gt;""),AND(GT4&gt;=GV$13,GU4&gt;=GV$17,GT4&lt;&gt;""),AND(HQ4&gt;=HV$13,HR4&gt;=HV$17,HQ4&lt;&gt;""),AND(HT4&gt;=HV$13,HU4&gt;=HV$17,HT4&lt;&gt;""),AND(IQ4&gt;=IV$13,IR4&gt;=IV$17,IQ4&lt;&gt;""),AND(IT4&gt;=IV$13,IU4&gt;=IV$17,IT4&lt;&gt;""),AND(JQ4&gt;=JV$13,JR4&gt;=JV$17,JQ4&lt;&gt;""),AND(JT4&gt;=JV$13,JU4&gt;=JV$17,JT4&lt;&gt;""),AND(KQ4&gt;=KV$13,KR4&gt;=KV$17,KQ4&lt;&gt;""),AND(KT4&gt;=KV$13,KU4&gt;=KV$17,KT4&lt;&gt;""),AND(LQ4&gt;=LV$13,LR4&gt;=LV$17,LQ4&lt;&gt;""),AND(LT4&gt;=LV$13,LU4&gt;=LV$17,LT4&lt;&gt;""),AND(MQ4&gt;=MV$13,MR4&gt;=MV$17,MQ4&lt;&gt;""),AND(MT4&gt;=MV$13,MU4&gt;=MV$17,MT4&lt;&gt;""),AND(NQ4&gt;=NV$13,NR4&gt;=NV$17,NQ4&lt;&gt;""),AND(NT4&gt;=NV$13,NU4&gt;=NV$17,NT4&lt;&gt;""),AND(OQ4&gt;=OV$13,OR4&gt;=OV$17,OQ4&lt;&gt;""),AND(OT4&gt;=OV$13,OU4&gt;=OV$17,OT4&lt;&gt;"")),"Merit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Excellence",IF(F4="P","National Team",""))))</f>
        <v>Excellence</v>
      </c>
      <c r="I4" s="9">
        <f>IF(COUNT(AN4,BO4,CP4)&gt;0,LARGE((AN4,BO4,CP4),1),0)</f>
        <v>51.1</v>
      </c>
      <c r="J4" s="9" t="str">
        <f>IF(I4=0,"",IF(I4=CP4,$BT$1,IF(I4=BO4,$AS$1,IF(I4=AN4,$R$1,""))))</f>
        <v>2023 Nationals</v>
      </c>
      <c r="K4" s="9">
        <f>IF(COUNT(AN4,BO4,CP4)&gt;1,LARGE((AN4,BO4,CP4),2),0)</f>
        <v>50.800000000000004</v>
      </c>
      <c r="L4" s="9" t="str">
        <f>IF(K4=0,"",IF(K4=CP4,$BT$1,IF(K4=BO4,$AS$1,IF(K4=AN4,$R$1,""))))</f>
        <v>2024 Elite Canada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>
        <v>18.8</v>
      </c>
      <c r="S4" s="20">
        <v>6.4</v>
      </c>
      <c r="T4" s="20">
        <v>0</v>
      </c>
      <c r="U4" s="20">
        <v>0</v>
      </c>
      <c r="V4" s="20">
        <v>19.100000000000001</v>
      </c>
      <c r="W4" s="20">
        <v>6.8</v>
      </c>
      <c r="X4" s="20">
        <v>0</v>
      </c>
      <c r="Y4" s="20">
        <v>0</v>
      </c>
      <c r="Z4" s="20">
        <v>18.7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6.4</v>
      </c>
      <c r="AF4" s="20">
        <v>0</v>
      </c>
      <c r="AG4" s="20">
        <v>0</v>
      </c>
      <c r="AH4" s="20">
        <v>18.7</v>
      </c>
      <c r="AI4" s="20">
        <v>6.8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51.1</v>
      </c>
      <c r="AO4" s="55">
        <f>IF(SUM(Z4:AA4,AC4)-AB4&gt;0,SUM(Z4:AA4,AC4)-AB4,"")</f>
        <v>24.7</v>
      </c>
      <c r="AP4" s="55">
        <f>IF(SUM(AE4,AI4)&gt;0,SUM(AE4,AI4),"")</f>
        <v>13.2</v>
      </c>
      <c r="AQ4" s="55">
        <f>IF(SUM(AD4:AE4,AG4:AI4,AK4)-SUM(AF4,AJ4)&gt;0,SUM(AD4:AE4,AG4:AI4,AK4)-SUM(AF4,AJ4),"")</f>
        <v>50.3</v>
      </c>
      <c r="AR4" s="55">
        <f>IF(SUM(AN4,AO4,AQ4)&gt;0,SUM(AN4,AO4,AQ4),"")</f>
        <v>126.1</v>
      </c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33"/>
      <c r="BN4" s="14" t="str">
        <f>IF(SUM(AT4,AX4)&gt;0,SUM(AT4,AX4),"")</f>
        <v/>
      </c>
      <c r="BO4" s="14" t="str">
        <f>IF(SUM(AS4:AT4,AV4:AX4,AZ4)-AU4-AY4&gt;0,SUM(AS4:AT4,AV4:AX4,AZ4)-AU4-AY4,"")</f>
        <v/>
      </c>
      <c r="BP4" s="14" t="str">
        <f>IF(SUM(BA4:BB4,BD4)-BC4&gt;0,SUM(BA4:BB4,BD4)-BC4,"")</f>
        <v/>
      </c>
      <c r="BQ4" s="14" t="str">
        <f>IF(SUM(BF4,BJ4)&gt;0,SUM(BF4,BJ4),"")</f>
        <v/>
      </c>
      <c r="BR4" s="14" t="str">
        <f>IF(SUM(BE4:BF4,BH4:BJ4,BL4)-SUM(BG4,BK4)&gt;0,SUM(BE4:BF4,BH4:BJ4,BL4)-SUM(BG4,BK4),"")</f>
        <v/>
      </c>
      <c r="BS4" s="14" t="str">
        <f>IF(SUM(BO4,BP4,BR4)&gt;0,SUM(BO4,BP4,BR4),"")</f>
        <v/>
      </c>
      <c r="BT4" s="20">
        <v>18.8</v>
      </c>
      <c r="BU4" s="20">
        <v>6.8</v>
      </c>
      <c r="BV4" s="20">
        <v>0</v>
      </c>
      <c r="BW4" s="20">
        <v>0</v>
      </c>
      <c r="BX4" s="20">
        <v>18.8</v>
      </c>
      <c r="BY4" s="20">
        <v>6.4</v>
      </c>
      <c r="BZ4" s="20">
        <v>0</v>
      </c>
      <c r="CA4" s="20">
        <v>0</v>
      </c>
      <c r="CB4" s="20">
        <v>18.600000000000001</v>
      </c>
      <c r="CC4" s="20">
        <v>6</v>
      </c>
      <c r="CD4" s="20">
        <v>0</v>
      </c>
      <c r="CE4" s="20">
        <v>0</v>
      </c>
      <c r="CF4" s="20">
        <v>18.399999999999999</v>
      </c>
      <c r="CG4" s="20">
        <v>7.6</v>
      </c>
      <c r="CH4" s="20">
        <v>0</v>
      </c>
      <c r="CI4" s="20">
        <v>0</v>
      </c>
      <c r="CJ4" s="20">
        <v>18.899999999999999</v>
      </c>
      <c r="CK4" s="20">
        <v>6.4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50.800000000000004</v>
      </c>
      <c r="CQ4" s="55">
        <f>IF(SUM(CB4:CC4,CE4)-CD4&gt;0,SUM(CB4:CC4,CE4)-CD4,"")</f>
        <v>24.6</v>
      </c>
      <c r="CR4" s="55">
        <f>IF(SUM(CG4,CK4)&gt;0,SUM(CG4,CK4),"")</f>
        <v>14</v>
      </c>
      <c r="CS4" s="55">
        <f>IF(SUM(CF4:CG4,CI4:CK4,CM4)-SUM(CH4,CL4)&gt;0,SUM(CF4:CG4,CI4:CK4,CM4)-SUM(CH4,CL4),"")</f>
        <v>51.3</v>
      </c>
      <c r="CT4" s="55">
        <f>IF(SUM(CP4,CQ4,CS4)&gt;0,SUM(CP4,CQ4,CS4),"")</f>
        <v>126.7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>
        <v>18.8</v>
      </c>
      <c r="CX4" s="18">
        <v>6.8</v>
      </c>
      <c r="CY4" s="18">
        <v>0.2</v>
      </c>
      <c r="CZ4" s="18">
        <v>0</v>
      </c>
      <c r="DA4" s="18">
        <v>18.600000000000001</v>
      </c>
      <c r="DB4" s="18">
        <v>6.4</v>
      </c>
      <c r="DC4" s="18">
        <v>0</v>
      </c>
      <c r="DD4" s="18">
        <v>0</v>
      </c>
      <c r="DE4" s="18"/>
      <c r="DF4" s="18"/>
      <c r="DG4" s="18"/>
      <c r="DH4" s="18"/>
      <c r="DI4" s="18">
        <v>18.600000000000001</v>
      </c>
      <c r="DJ4" s="18">
        <v>6.4</v>
      </c>
      <c r="DK4" s="18">
        <v>0</v>
      </c>
      <c r="DL4" s="18">
        <v>0</v>
      </c>
      <c r="DM4" s="18">
        <v>18.8</v>
      </c>
      <c r="DN4" s="18">
        <v>6.8</v>
      </c>
      <c r="DO4" s="18">
        <v>0</v>
      </c>
      <c r="DP4" s="18">
        <v>0</v>
      </c>
      <c r="DQ4" s="55">
        <f>IF(SUM(CX4,DB4)&gt;0,SUM(CX4,DB4),"")</f>
        <v>13.2</v>
      </c>
      <c r="DR4" s="55">
        <f>IF(SUM(CW4:CX4,CZ4:DB4,DD4)-CY4-DC4&gt;0,SUM(CW4:CX4,CZ4:DB4,DD4)-CY4-DC4,"")</f>
        <v>50.4</v>
      </c>
      <c r="DS4" s="55" t="str">
        <f>IF(SUM(DE4:DF4,DH4)-DG4&gt;0,SUM(DE4:DF4,DH4)-DG4,"")</f>
        <v/>
      </c>
      <c r="DT4" s="55">
        <f>IF(SUM(DJ4,DN4)&gt;0,SUM(DJ4,DN4),"")</f>
        <v>13.2</v>
      </c>
      <c r="DU4" s="55">
        <f>IF(SUM(DI4:DJ4,DL4:DN4,DP4)-SUM(DK4,DO4)&gt;0,SUM(DI4:DJ4,DL4:DN4,DP4)-SUM(DK4,DO4),"")</f>
        <v>50.599999999999994</v>
      </c>
      <c r="DV4" s="55">
        <f>IF(SUM(DR4,DS4,DU4)&gt;0,SUM(DR4,DS4,DU4),"")</f>
        <v>101</v>
      </c>
      <c r="DW4" s="19"/>
      <c r="DX4" s="19"/>
      <c r="DY4" s="19"/>
      <c r="DZ4" s="19"/>
      <c r="EA4" s="19"/>
      <c r="EB4" s="19"/>
      <c r="EC4" s="19"/>
      <c r="ED4" s="19"/>
      <c r="EE4" s="19">
        <v>17.2</v>
      </c>
      <c r="EF4" s="19">
        <v>2.8</v>
      </c>
      <c r="EG4" s="19">
        <v>0</v>
      </c>
      <c r="EH4" s="19">
        <v>0</v>
      </c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>
        <f>IF(SUM(EE4:EF4,EH4)-EG4&gt;0,SUM(EE4:EF4,EH4)-EG4,"")</f>
        <v>20</v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>
        <f>IF(SUM(ER4,ES4,EU4)&gt;0,SUM(ER4,ES4,EU4),"")</f>
        <v>20</v>
      </c>
      <c r="EW4" s="18">
        <v>18.100000000000001</v>
      </c>
      <c r="EX4" s="18">
        <v>6.4</v>
      </c>
      <c r="EY4" s="18">
        <v>0</v>
      </c>
      <c r="EZ4" s="18">
        <v>0</v>
      </c>
      <c r="FA4" s="18">
        <v>18.600000000000001</v>
      </c>
      <c r="FB4" s="18">
        <v>6.8</v>
      </c>
      <c r="FC4" s="18">
        <v>0</v>
      </c>
      <c r="FD4" s="18">
        <v>0</v>
      </c>
      <c r="FE4" s="18"/>
      <c r="FF4" s="18"/>
      <c r="FG4" s="18"/>
      <c r="FH4" s="18"/>
      <c r="FI4" s="18">
        <v>18.3</v>
      </c>
      <c r="FJ4" s="18">
        <v>6.4</v>
      </c>
      <c r="FK4" s="18">
        <v>0.2</v>
      </c>
      <c r="FL4" s="18">
        <v>0</v>
      </c>
      <c r="FM4" s="18">
        <v>18</v>
      </c>
      <c r="FN4" s="18">
        <v>4.4000000000000004</v>
      </c>
      <c r="FO4" s="18">
        <v>0.6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49.9</v>
      </c>
      <c r="FS4" s="55" t="str">
        <f>IF(SUM(FE4:FF4,FH4)-FG4&gt;0,SUM(FE4:FF4,FH4)-FG4,"")</f>
        <v/>
      </c>
      <c r="FT4" s="55">
        <f>IF(SUM(FJ4,FN4)&gt;0,SUM(FJ4,FN4),"")</f>
        <v>10.8</v>
      </c>
      <c r="FU4" s="55">
        <f>IF(SUM(FI4:FJ4,FL4:FN4,FP4)-SUM(FK4,FO4)&gt;0,SUM(FI4:FJ4,FL4:FN4,FP4)-SUM(FK4,FO4),"")</f>
        <v>46.300000000000004</v>
      </c>
      <c r="FV4" s="55">
        <f>IF(SUM(FR4,FS4,FU4)&gt;0,SUM(FR4,FS4,FU4),"")</f>
        <v>96.2</v>
      </c>
      <c r="FW4" s="19">
        <v>18.5</v>
      </c>
      <c r="FX4" s="19">
        <v>6.4</v>
      </c>
      <c r="FY4" s="19">
        <v>0</v>
      </c>
      <c r="FZ4" s="19">
        <v>0</v>
      </c>
      <c r="GA4" s="19">
        <v>18.600000000000001</v>
      </c>
      <c r="GB4" s="19">
        <v>6.8</v>
      </c>
      <c r="GC4" s="19">
        <v>0</v>
      </c>
      <c r="GD4" s="19">
        <v>0</v>
      </c>
      <c r="GE4" s="19"/>
      <c r="GF4" s="19"/>
      <c r="GG4" s="19"/>
      <c r="GH4" s="19"/>
      <c r="GI4" s="19">
        <v>18.399999999999999</v>
      </c>
      <c r="GJ4" s="19">
        <v>6.4</v>
      </c>
      <c r="GK4" s="19">
        <v>0</v>
      </c>
      <c r="GL4" s="19">
        <v>0</v>
      </c>
      <c r="GM4" s="19">
        <v>18.600000000000001</v>
      </c>
      <c r="GN4" s="19">
        <v>6.8</v>
      </c>
      <c r="GO4" s="19">
        <v>0</v>
      </c>
      <c r="GP4" s="19">
        <v>0</v>
      </c>
      <c r="GQ4" s="14">
        <f>IF(SUM(FX4,GB4)&gt;0,SUM(FX4,GB4),"")</f>
        <v>13.2</v>
      </c>
      <c r="GR4" s="14">
        <f>IF(SUM(FW4:FX4,FZ4:GB4,GD4)-FY4-GC4&gt;0,SUM(FW4:FX4,FZ4:GB4,GD4)-FY4-GC4,"")</f>
        <v>50.3</v>
      </c>
      <c r="GS4" s="14" t="str">
        <f>IF(SUM(GE4:GF4,GH4)-GG4&gt;0,SUM(GE4:GF4,GH4)-GG4,"")</f>
        <v/>
      </c>
      <c r="GT4" s="14">
        <f>IF(SUM(GJ4,GN4)&gt;0,SUM(GJ4,GN4),"")</f>
        <v>13.2</v>
      </c>
      <c r="GU4" s="14">
        <f>IF(SUM(GI4:GJ4,GL4:GN4,GP4)-SUM(GK4,GO4)&gt;0,SUM(GI4:GJ4,GL4:GN4,GP4)-SUM(GK4,GO4),"")</f>
        <v>50.199999999999996</v>
      </c>
      <c r="GV4" s="14">
        <f>IF(SUM(GR4,GS4,GU4)&gt;0,SUM(GR4,GS4,GU4),"")</f>
        <v>100.5</v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 t="shared" ref="OW4:PF7" si="0">IF($CN4="P",BT4,(BT4+AS4)/2)</f>
        <v>9.4</v>
      </c>
      <c r="OX4" s="27">
        <f t="shared" si="0"/>
        <v>3.4</v>
      </c>
      <c r="OY4" s="27">
        <f t="shared" si="0"/>
        <v>0</v>
      </c>
      <c r="OZ4" s="27">
        <f t="shared" si="0"/>
        <v>0</v>
      </c>
      <c r="PA4" s="27">
        <f t="shared" si="0"/>
        <v>9.4</v>
      </c>
      <c r="PB4" s="27">
        <f t="shared" si="0"/>
        <v>3.2</v>
      </c>
      <c r="PC4" s="27">
        <f t="shared" si="0"/>
        <v>0</v>
      </c>
      <c r="PD4" s="27">
        <f t="shared" si="0"/>
        <v>0</v>
      </c>
      <c r="PE4" s="27">
        <f t="shared" si="0"/>
        <v>9.3000000000000007</v>
      </c>
      <c r="PF4" s="27">
        <f t="shared" si="0"/>
        <v>3</v>
      </c>
      <c r="PG4" s="27">
        <f t="shared" ref="PG4:PP7" si="1">IF($CN4="P",CD4,(CD4+BC4)/2)</f>
        <v>0</v>
      </c>
      <c r="PH4" s="27">
        <f t="shared" si="1"/>
        <v>0</v>
      </c>
      <c r="PI4" s="27">
        <f t="shared" si="1"/>
        <v>9.1999999999999993</v>
      </c>
      <c r="PJ4" s="27">
        <f t="shared" si="1"/>
        <v>3.8</v>
      </c>
      <c r="PK4" s="27">
        <f t="shared" si="1"/>
        <v>0</v>
      </c>
      <c r="PL4" s="27">
        <f t="shared" si="1"/>
        <v>0</v>
      </c>
      <c r="PM4" s="27">
        <f t="shared" si="1"/>
        <v>9.4499999999999993</v>
      </c>
      <c r="PN4" s="27">
        <f t="shared" si="1"/>
        <v>3.2</v>
      </c>
      <c r="PO4" s="27">
        <f t="shared" si="1"/>
        <v>0</v>
      </c>
      <c r="PP4" s="27">
        <f t="shared" si="1"/>
        <v>0</v>
      </c>
      <c r="PQ4" s="32" t="s">
        <v>44</v>
      </c>
      <c r="PR4" s="55">
        <f>IF(SUM(OX4,PB4)&gt;0,SUM(OX4,PB4),"")</f>
        <v>6.6</v>
      </c>
      <c r="PS4" s="55">
        <f>IF(SUM(OW4:OX4,OZ4:PB4,PD4)-OY4-PC4&gt;0,SUM(OW4:OX4,OZ4:PB4,PD4)-OY4-PC4,"")</f>
        <v>25.400000000000002</v>
      </c>
      <c r="PT4" s="55">
        <f>IF(SUM(PE4:PF4,PH4)-PG4&gt;0,SUM(PE4:PF4,PH4)-PG4,"")</f>
        <v>12.3</v>
      </c>
      <c r="PU4" s="55">
        <f>IF(SUM(PJ4,PN4)&gt;0,SUM(PJ4,PN4),"")</f>
        <v>7</v>
      </c>
      <c r="PV4" s="55">
        <f>IF(SUM(PI4:PJ4,PL4:PN4,PP4)-SUM(PK4,PO4)&gt;0,SUM(PI4:PJ4,PL4:PN4,PP4)-SUM(PK4,PO4),"")</f>
        <v>25.65</v>
      </c>
      <c r="PW4" s="55">
        <f>IF(SUM(PS4,PT4,PV4)&gt;0,SUM(PS4,PT4,PV4),"")</f>
        <v>63.35</v>
      </c>
    </row>
    <row r="5" spans="1:439" x14ac:dyDescent="0.2">
      <c r="A5" s="4" cm="1">
        <f t="array" ref="A5">IF(AND(H5&lt;&gt;"",H5&lt;&gt;"No DD"),SUMPRODUCT((H$4:H$8&lt;&gt;"")*(H$4:H$8&lt;&gt;"No DD")*(E$4:E$8&gt;E5))+1,IF(H5="No DD",SUMPRODUCT((H$4:H$8="No DD")*(E$4:E$8&gt;E5))+1+SUMPRODUCT((H$4:H$8&lt;&gt;"")*(H$4:H$8&lt;&gt;"No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145.20001423000483</v>
      </c>
      <c r="F5" s="3" t="str">
        <f>IF(OR(AND(AM5&gt;=AR$10,AN5&gt;=AR$14,AM5&lt;&gt;"",AL5=""),AND(AP5&gt;=AR$10,AQ5&gt;=AR$14,AP5&lt;&gt;"",AL5=""),AND(BN5&gt;=BS$10,BO5&gt;=BS$14,BN5&lt;&gt;"",BM5=""),AND(BQ5&gt;=BS$10,BR5&gt;=BS$14,BQ5&lt;&gt;"",BM5=""),AND(CO5&gt;=CT$10,CP5&gt;=CT$14,CO5&lt;&gt;"",CN5=""),AND(CR5&gt;=CT$10,CS5&gt;=CT$14,CR5&lt;&gt;""),AND(DQ5&gt;=DV$10,DR5&gt;=DV$14,DQ5&lt;&gt;""),AND(DT5&gt;=DV$10,DU5&gt;=DV$14,DT5&lt;&gt;""),AND(EQ5&gt;=EV$10,ER5&gt;=EV$14,EQ5&lt;&gt;""),AND(ET5&gt;=EV$10,EU5&gt;=EV$14,ET5&lt;&gt;""),AND(FQ5&gt;=FV$10,FR5&gt;=FV$14,FQ5&lt;&gt;""),AND(FT5&gt;=FV$10,FU5&gt;=FV$14,FT5&lt;&gt;""),AND(GQ5&gt;=GV$10,GR5&gt;=GV$14,GQ5&lt;&gt;""),AND(GT5&gt;=GV$10,GU5&gt;=GV$14,GT5&lt;&gt;""),AND(HQ5&gt;=HV$10,HR5&gt;=HV$14,HQ5&lt;&gt;""),AND(HT5&gt;=HV$10,HU5&gt;=HV$14,HT5&lt;&gt;""),AND(IQ5&gt;=IV$10,IR5&gt;=IV$14,IQ5&lt;&gt;""),AND(IT5&gt;=IV$10,IU5&gt;=IV$14,IT5&lt;&gt;""),AND(JQ5&gt;=JV$10,JR5&gt;=JV$14,JQ5&lt;&gt;""),AND(JT5&gt;=JV$10,JU5&gt;=JV$14,JT5&lt;&gt;""),AND(KQ5&gt;=KV$10,KR5&gt;=KV$14,KQ5&lt;&gt;""),AND(KT5&gt;=KV$10,KU5&gt;=KV$14,KT5&lt;&gt;""),AND(LQ5&gt;=LV$10,LR5&gt;=LV$14,LQ5&lt;&gt;""),AND(LT5&gt;=LV$10,LU5&gt;=LV$14,LT5&lt;&gt;""),AND(MQ5&gt;=MV$10,MR5&gt;=MV$14,MQ5&lt;&gt;""),AND(MT5&gt;=MV$10,MU5&gt;=MV$14,MT5&lt;&gt;""),AND(NQ5&gt;=NV$10,NR5&gt;=NV$14,NQ5&lt;&gt;""),AND(NT5&gt;=NV$10,NU5&gt;=NV$14,NT5&lt;&gt;""),AND(OQ5&gt;=OV$10,OR5&gt;=OV$14,OQ5&lt;&gt;""),AND(OT5&gt;=OV$10,OU5&gt;=OV$14,OT5&lt;&gt;"")),"P","")</f>
        <v>P</v>
      </c>
      <c r="G5" s="3" t="str">
        <f>IF(OR(AND(AN5&gt;=AR$14,AN5&lt;&gt;"",AL5=""),AND(AQ5&gt;=AR$14,AQ5&lt;&gt;"",AL5=""),AND(BO5&gt;=BS$14,BO5&lt;&gt;"",BM5=""),AND(BR5&gt;=BS$14,BR5&lt;&gt;"",BM5=""),AND(CP5&gt;=CT$14,CP5&lt;&gt;"",CN5=""),AND(CS5&gt;=CT$14,CS5&lt;&gt;"",CN5=""),AND(DR5&gt;=DV$14,DR5&lt;&gt;""),AND(DU5&gt;=DV$14,DU5&lt;&gt;""),AND(ER5&gt;=EV$14,ER5&lt;&gt;""),AND(EU5&gt;=EV$14,EU5&lt;&gt;""),AND(FR5&gt;=FV$14,FR5&lt;&gt;""),AND(FU5&gt;=FV$14,FU5&lt;&gt;""),AND(GR5&gt;=GV$14,GR5&lt;&gt;""),AND(GU5&gt;=GV$14,GU5&lt;&gt;""),AND(HR5&gt;=HV$14,HR5&lt;&gt;""),AND(HU5&gt;=HV$14,HU5&lt;&gt;""),AND(IR5&gt;=IV$14,IR5&lt;&gt;""),AND(IU5&gt;=IV$14,IU5&lt;&gt;""),AND(JR5&gt;=JV$14,JR5&lt;&gt;""),AND(JU5&gt;=JV$14,JU5&lt;&gt;""),AND(KR5&gt;=KV$14,KR5&lt;&gt;""),AND(KU5&gt;=KV$14,KU5&lt;&gt;""),AND(LR5&gt;=LV$14,LR5&lt;&gt;""),AND(LU5&gt;=LV$14,LU5&lt;&gt;""),AND(MR5&gt;=MV$14,MR5&lt;&gt;""),AND(MU5&gt;=MV$14,MU5&lt;&gt;""),AND(NR5&gt;=NV$14,NR5&lt;&gt;""),AND(NU5&gt;=NV$14,NU5&lt;&gt;""),AND(OR5&gt;=OV$14,OR5&lt;&gt;""),AND(OU5&gt;=OV$14,OU5&lt;&gt;"")),"P","")</f>
        <v>P</v>
      </c>
      <c r="H5" s="47" t="str">
        <f>IF(AND(G5="P",F5=""),"No DD",IF(OR(AND(AM5&gt;=AR$13,AN5&gt;=AR$17,AM5&lt;&gt;"",AL5=""),AND(AP5&gt;=AR$13,AQ5&gt;=AR$17,AP5&lt;&gt;"",AL5=""),AND(BN5&gt;=BS$13,BO5&gt;=BS$17,BN5&lt;&gt;"",BM5=""),AND(BQ5&gt;=BS$13,BR5&gt;=BS$17,BQ5&lt;&gt;"",BM5=""),AND(CO5&gt;=CT$13,CP5&gt;=CT$17,CO5&lt;&gt;"",CN5=""),AND(CR5&gt;=CT$13,CS5&gt;=CT$17,CR5&lt;&gt;""),AND(DQ5&gt;=DV$13,DR5&gt;=DV$17,DQ5&lt;&gt;""),AND(DT5&gt;=DV$13,DU5&gt;=DV$17,DT5&lt;&gt;""),AND(EQ5&gt;=EV$13,ER5&gt;=EV$17,EQ5&lt;&gt;""),AND(ET5&gt;=EV$13,EU5&gt;=EV$17,ET5&lt;&gt;""),AND(FQ5&gt;=FV$13,FR5&gt;=FV$17,FQ5&lt;&gt;""),AND(FT5&gt;=FV$13,FU5&gt;=FV$17,FT5&lt;&gt;""),AND(GQ5&gt;=GV$13,GR5&gt;=GV$17,GQ5&lt;&gt;""),AND(GT5&gt;=GV$13,GU5&gt;=GV$17,GT5&lt;&gt;""),AND(HQ5&gt;=HV$13,HR5&gt;=HV$17,HQ5&lt;&gt;""),AND(HT5&gt;=HV$13,HU5&gt;=HV$17,HT5&lt;&gt;""),AND(IQ5&gt;=IV$13,IR5&gt;=IV$17,IQ5&lt;&gt;""),AND(IT5&gt;=IV$13,IU5&gt;=IV$17,IT5&lt;&gt;""),AND(JQ5&gt;=JV$13,JR5&gt;=JV$17,JQ5&lt;&gt;""),AND(JT5&gt;=JV$13,JU5&gt;=JV$17,JT5&lt;&gt;""),AND(KQ5&gt;=KV$13,KR5&gt;=KV$17,KQ5&lt;&gt;""),AND(KT5&gt;=KV$13,KU5&gt;=KV$17,KT5&lt;&gt;""),AND(LQ5&gt;=LV$13,LR5&gt;=LV$17,LQ5&lt;&gt;""),AND(LT5&gt;=LV$13,LU5&gt;=LV$17,LT5&lt;&gt;""),AND(MQ5&gt;=MV$13,MR5&gt;=MV$17,MQ5&lt;&gt;""),AND(MT5&gt;=MV$13,MU5&gt;=MV$17,MT5&lt;&gt;""),AND(NQ5&gt;=NV$13,NR5&gt;=NV$17,NQ5&lt;&gt;""),AND(NT5&gt;=NV$13,NU5&gt;=NV$17,NT5&lt;&gt;""),AND(OQ5&gt;=OV$13,OR5&gt;=OV$17,OQ5&lt;&gt;""),AND(OT5&gt;=OV$13,OU5&gt;=OV$17,OT5&lt;&gt;"")),"Merit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Excellence",IF(F5="P","National Team",""))))</f>
        <v>Excellence</v>
      </c>
      <c r="I5" s="9">
        <f>IF(COUNT(AN5,BO5,CP5)&gt;0,LARGE((AN5,BO5,CP5),1),0)</f>
        <v>47.9</v>
      </c>
      <c r="J5" s="9" t="str">
        <f>IF(I5=0,"",IF(I5=CP5,$BT$1,IF(I5=BO5,$AS$1,IF(I5=AN5,$R$1,""))))</f>
        <v>2024 Elite Canada</v>
      </c>
      <c r="K5" s="9">
        <f>IF(COUNT(AN5,BO5,CP5)&gt;1,LARGE((AN5,BO5,CP5),2),0)</f>
        <v>46.800000000000004</v>
      </c>
      <c r="L5" s="9" t="str">
        <f>IF(K5=0,"",IF(K5=CP5,$BT$1,IF(K5=BO5,$AS$1,IF(K5=AN5,$R$1,""))))</f>
        <v>2023 3rd Domestic Trial</v>
      </c>
      <c r="M5" s="9">
        <f>IF(MAX(AQ5,BR5,CS5)&gt;0,MAX(AQ5,BR5,CS5),0)</f>
        <v>47.6</v>
      </c>
      <c r="N5" s="9" t="str">
        <f>IF(M5=0,"",IF(M5=CS5,$BT$1,IF(M5=BR5,$AS$1,IF(M5=AQ5,$R$1,""))))</f>
        <v>2024 Elite Canada</v>
      </c>
      <c r="O5" s="9">
        <f>IF(MAX(CU5:CV5)&gt;0,MAX(CU5:CV5),"")</f>
        <v>2.8999999999999986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2023 WAGC (Nov 18)</v>
      </c>
      <c r="R5" s="20">
        <v>0</v>
      </c>
      <c r="S5" s="20">
        <v>0</v>
      </c>
      <c r="T5" s="20">
        <v>0</v>
      </c>
      <c r="U5" s="20">
        <v>0</v>
      </c>
      <c r="V5" s="20">
        <v>18</v>
      </c>
      <c r="W5" s="20">
        <v>6</v>
      </c>
      <c r="X5" s="20">
        <v>0.2</v>
      </c>
      <c r="Y5" s="20">
        <v>0</v>
      </c>
      <c r="Z5" s="20">
        <v>18.2</v>
      </c>
      <c r="AA5" s="20">
        <v>5.2</v>
      </c>
      <c r="AB5" s="20">
        <v>1</v>
      </c>
      <c r="AC5" s="20">
        <v>0</v>
      </c>
      <c r="AD5" s="20">
        <v>18.8</v>
      </c>
      <c r="AE5" s="20">
        <v>5.6</v>
      </c>
      <c r="AF5" s="20">
        <v>0.6</v>
      </c>
      <c r="AG5" s="20">
        <v>0</v>
      </c>
      <c r="AH5" s="20">
        <v>18.2</v>
      </c>
      <c r="AI5" s="20">
        <v>5.6</v>
      </c>
      <c r="AJ5" s="20">
        <v>0</v>
      </c>
      <c r="AK5" s="20">
        <v>0</v>
      </c>
      <c r="AL5" s="32"/>
      <c r="AM5" s="55">
        <f>IF(SUM(S5,W5)&gt;0,SUM(S5,W5),"")</f>
        <v>6</v>
      </c>
      <c r="AN5" s="55">
        <f>IF(SUM(R5:S5,U5:W5,Y5)-T5-X5&gt;0,SUM(R5:S5,U5:W5,Y5)-T5-X5,"")</f>
        <v>23.8</v>
      </c>
      <c r="AO5" s="55">
        <f>IF(SUM(Z5:AA5,AC5)-AB5&gt;0,SUM(Z5:AA5,AC5)-AB5,"")</f>
        <v>22.4</v>
      </c>
      <c r="AP5" s="55">
        <f>IF(SUM(AE5,AI5)&gt;0,SUM(AE5,AI5),"")</f>
        <v>11.2</v>
      </c>
      <c r="AQ5" s="55">
        <f>IF(SUM(AD5:AE5,AG5:AI5,AK5)-SUM(AF5,AJ5)&gt;0,SUM(AD5:AE5,AG5:AI5,AK5)-SUM(AF5,AJ5),"")</f>
        <v>47.599999999999994</v>
      </c>
      <c r="AR5" s="55">
        <f>IF(SUM(AN5,AO5,AQ5)&gt;0,SUM(AN5,AO5,AQ5),"")</f>
        <v>93.8</v>
      </c>
      <c r="AS5" s="19">
        <v>18.600000000000001</v>
      </c>
      <c r="AT5" s="19">
        <v>5.1999999999999993</v>
      </c>
      <c r="AU5" s="19">
        <v>0.6</v>
      </c>
      <c r="AV5" s="19">
        <v>0</v>
      </c>
      <c r="AW5" s="19">
        <v>18.399999999999999</v>
      </c>
      <c r="AX5" s="19">
        <v>5.1999999999999993</v>
      </c>
      <c r="AY5" s="19">
        <v>0</v>
      </c>
      <c r="AZ5" s="19">
        <v>0</v>
      </c>
      <c r="BA5" s="19">
        <v>18.8</v>
      </c>
      <c r="BB5" s="19">
        <v>3.9000000000000004</v>
      </c>
      <c r="BC5" s="19">
        <v>0</v>
      </c>
      <c r="BD5" s="19">
        <v>0</v>
      </c>
      <c r="BE5" s="19">
        <v>18.100000000000001</v>
      </c>
      <c r="BF5" s="19">
        <v>5.6</v>
      </c>
      <c r="BG5" s="19">
        <v>0.2</v>
      </c>
      <c r="BH5" s="19">
        <v>0</v>
      </c>
      <c r="BI5" s="19">
        <v>18.399999999999999</v>
      </c>
      <c r="BJ5" s="19">
        <v>5.6</v>
      </c>
      <c r="BK5" s="19">
        <v>0.6</v>
      </c>
      <c r="BL5" s="19">
        <v>0</v>
      </c>
      <c r="BM5" s="33"/>
      <c r="BN5" s="14">
        <f>IF(SUM(AT5,AX5)&gt;0,SUM(AT5,AX5),"")</f>
        <v>10.399999999999999</v>
      </c>
      <c r="BO5" s="14">
        <f>IF(SUM(AS5:AT5,AV5:AX5,AZ5)-AU5-AY5&gt;0,SUM(AS5:AT5,AV5:AX5,AZ5)-AU5-AY5,"")</f>
        <v>46.800000000000004</v>
      </c>
      <c r="BP5" s="14">
        <f>IF(SUM(BA5:BB5,BD5)-BC5&gt;0,SUM(BA5:BB5,BD5)-BC5,"")</f>
        <v>22.700000000000003</v>
      </c>
      <c r="BQ5" s="14">
        <f>IF(SUM(BF5,BJ5)&gt;0,SUM(BF5,BJ5),"")</f>
        <v>11.2</v>
      </c>
      <c r="BR5" s="14">
        <f>IF(SUM(BE5:BF5,BH5:BJ5,BL5)-SUM(BG5,BK5)&gt;0,SUM(BE5:BF5,BH5:BJ5,BL5)-SUM(BG5,BK5),"")</f>
        <v>46.900000000000006</v>
      </c>
      <c r="BS5" s="14">
        <f>IF(SUM(BO5,BP5,BR5)&gt;0,SUM(BO5,BP5,BR5),"")</f>
        <v>116.4</v>
      </c>
      <c r="BT5" s="20">
        <v>18.5</v>
      </c>
      <c r="BU5" s="20">
        <v>5.2</v>
      </c>
      <c r="BV5" s="20">
        <v>0</v>
      </c>
      <c r="BW5" s="20">
        <v>0</v>
      </c>
      <c r="BX5" s="20">
        <v>18.2</v>
      </c>
      <c r="BY5" s="20">
        <v>6</v>
      </c>
      <c r="BZ5" s="20">
        <v>0</v>
      </c>
      <c r="CA5" s="20">
        <v>0</v>
      </c>
      <c r="CB5" s="20">
        <v>17.399999999999999</v>
      </c>
      <c r="CC5" s="20">
        <v>2.4</v>
      </c>
      <c r="CD5" s="20">
        <v>0</v>
      </c>
      <c r="CE5" s="20">
        <v>0</v>
      </c>
      <c r="CF5" s="20">
        <v>17.8</v>
      </c>
      <c r="CG5" s="20">
        <v>6</v>
      </c>
      <c r="CH5" s="20">
        <v>0.8</v>
      </c>
      <c r="CI5" s="20">
        <v>0</v>
      </c>
      <c r="CJ5" s="20">
        <v>18</v>
      </c>
      <c r="CK5" s="20">
        <v>7.2</v>
      </c>
      <c r="CL5" s="20">
        <v>0.6</v>
      </c>
      <c r="CM5" s="20">
        <v>0</v>
      </c>
      <c r="CN5" s="32"/>
      <c r="CO5" s="55">
        <f>IF(SUM(BU5,BY5)&gt;0,SUM(BU5,BY5),"")</f>
        <v>11.2</v>
      </c>
      <c r="CP5" s="55">
        <f>IF(SUM(BT5:BU5,BW5:BY5,CA5)-BV5-BZ5&gt;0,SUM(BT5:BU5,BW5:BY5,CA5)-BV5-BZ5,"")</f>
        <v>47.9</v>
      </c>
      <c r="CQ5" s="55">
        <f>IF(SUM(CB5:CC5,CE5)-CD5&gt;0,SUM(CB5:CC5,CE5)-CD5,"")</f>
        <v>19.799999999999997</v>
      </c>
      <c r="CR5" s="55">
        <f>IF(SUM(CG5,CK5)&gt;0,SUM(CG5,CK5),"")</f>
        <v>13.2</v>
      </c>
      <c r="CS5" s="55">
        <f>IF(SUM(CF5:CG5,CI5:CK5,CM5)-SUM(CH5,CL5)&gt;0,SUM(CF5:CG5,CI5:CK5,CM5)-SUM(CH5,CL5),"")</f>
        <v>47.6</v>
      </c>
      <c r="CT5" s="55">
        <f>IF(SUM(CP5,CQ5,CS5)&gt;0,SUM(CP5,CQ5,CS5),"")</f>
        <v>115.29999999999998</v>
      </c>
      <c r="CU5" s="56">
        <f>IF(MAX(DR5,ER5,FR5,GR5,HR5,IR5,JR5,KR5,LR5,MR5,NR5,OR5)-IF(K5="",0,K5)&gt;0.001,MAX(DR5,ER5,FR5,GR5,HR5,IR5,JR5,KR5,LR5,MR5,NR5,OR5)-IF(K5="",0,K5),"")</f>
        <v>2.8999999999999986</v>
      </c>
      <c r="CV5" s="56">
        <f>IF(MAX(DU5,EU5,FU5,GU5,HU5,IU5,JU5,KU5,LU5,MU5,NU5,OU5)-IF(M5="",0,M5)&gt;0.001,MAX(DU5,EU5,FU5,GU5,HU5,IU5,JU5,KU5,LU5,MU5,NU5,OU5)-IF(M5="",0,M5),"")</f>
        <v>0.99999999999999289</v>
      </c>
      <c r="CW5" s="18">
        <v>18.2</v>
      </c>
      <c r="CX5" s="18">
        <v>6.4</v>
      </c>
      <c r="CY5" s="18">
        <v>0</v>
      </c>
      <c r="CZ5" s="18">
        <v>0</v>
      </c>
      <c r="DA5" s="18">
        <v>18.3</v>
      </c>
      <c r="DB5" s="18">
        <v>6.8</v>
      </c>
      <c r="DC5" s="18">
        <v>0</v>
      </c>
      <c r="DD5" s="18">
        <v>0</v>
      </c>
      <c r="DE5" s="18"/>
      <c r="DF5" s="18"/>
      <c r="DG5" s="18"/>
      <c r="DH5" s="18"/>
      <c r="DI5" s="18">
        <v>18.2</v>
      </c>
      <c r="DJ5" s="18">
        <v>6.8</v>
      </c>
      <c r="DK5" s="18">
        <v>0.6</v>
      </c>
      <c r="DL5" s="18">
        <v>0</v>
      </c>
      <c r="DM5" s="18">
        <v>18.399999999999999</v>
      </c>
      <c r="DN5" s="18">
        <v>6.4</v>
      </c>
      <c r="DO5" s="18">
        <v>0.6</v>
      </c>
      <c r="DP5" s="18">
        <v>0</v>
      </c>
      <c r="DQ5" s="55">
        <f>IF(SUM(CX5,DB5)&gt;0,SUM(CX5,DB5),"")</f>
        <v>13.2</v>
      </c>
      <c r="DR5" s="55">
        <f>IF(SUM(CW5:CX5,CZ5:DB5,DD5)-CY5-DC5&gt;0,SUM(CW5:CX5,CZ5:DB5,DD5)-CY5-DC5,"")</f>
        <v>49.7</v>
      </c>
      <c r="DS5" s="55" t="str">
        <f>IF(SUM(DE5:DF5,DH5)-DG5&gt;0,SUM(DE5:DF5,DH5)-DG5,"")</f>
        <v/>
      </c>
      <c r="DT5" s="55">
        <f>IF(SUM(DJ5,DN5)&gt;0,SUM(DJ5,DN5),"")</f>
        <v>13.2</v>
      </c>
      <c r="DU5" s="55">
        <f>IF(SUM(DI5:DJ5,DL5:DN5,DP5)-SUM(DK5,DO5)&gt;0,SUM(DI5:DJ5,DL5:DN5,DP5)-SUM(DK5,DO5),"")</f>
        <v>48.599999999999994</v>
      </c>
      <c r="DV5" s="55">
        <f>IF(SUM(DR5,DS5,DU5)&gt;0,SUM(DR5,DS5,DU5),"")</f>
        <v>98.3</v>
      </c>
      <c r="DW5" s="19"/>
      <c r="DX5" s="19"/>
      <c r="DY5" s="19"/>
      <c r="DZ5" s="19"/>
      <c r="EA5" s="19"/>
      <c r="EB5" s="19"/>
      <c r="EC5" s="19"/>
      <c r="ED5" s="19"/>
      <c r="EE5" s="19">
        <v>18</v>
      </c>
      <c r="EF5" s="19">
        <v>6.4</v>
      </c>
      <c r="EG5" s="19">
        <v>0.2</v>
      </c>
      <c r="EH5" s="19">
        <v>0</v>
      </c>
      <c r="EI5" s="19">
        <v>17.8</v>
      </c>
      <c r="EJ5" s="19">
        <v>6</v>
      </c>
      <c r="EK5" s="19">
        <v>0.2</v>
      </c>
      <c r="EL5" s="19">
        <v>0</v>
      </c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>
        <f>IF(SUM(EE5:EF5,EH5)-EG5&gt;0,SUM(EE5:EF5,EH5)-EG5,"")</f>
        <v>24.2</v>
      </c>
      <c r="ET5" s="14">
        <f>IF(SUM(EJ5,EN5)&gt;0,SUM(EJ5,EN5),"")</f>
        <v>6</v>
      </c>
      <c r="EU5" s="14">
        <f>IF(SUM(EI5:EJ5,EL5:EN5,EP5)-SUM(EK5,EO5)&gt;0,SUM(EI5:EJ5,EL5:EN5,EP5)-SUM(EK5,EO5),"")</f>
        <v>23.6</v>
      </c>
      <c r="EV5" s="14">
        <f>IF(SUM(ER5,ES5,EU5)&gt;0,SUM(ER5,ES5,EU5),"")</f>
        <v>47.8</v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 t="shared" si="0"/>
        <v>18.55</v>
      </c>
      <c r="OX5" s="27">
        <f t="shared" si="0"/>
        <v>5.1999999999999993</v>
      </c>
      <c r="OY5" s="27">
        <f t="shared" si="0"/>
        <v>0.3</v>
      </c>
      <c r="OZ5" s="27">
        <f t="shared" si="0"/>
        <v>0</v>
      </c>
      <c r="PA5" s="27">
        <f t="shared" si="0"/>
        <v>18.299999999999997</v>
      </c>
      <c r="PB5" s="27">
        <f t="shared" si="0"/>
        <v>5.6</v>
      </c>
      <c r="PC5" s="27">
        <f t="shared" si="0"/>
        <v>0</v>
      </c>
      <c r="PD5" s="27">
        <f t="shared" si="0"/>
        <v>0</v>
      </c>
      <c r="PE5" s="27">
        <f t="shared" si="0"/>
        <v>18.100000000000001</v>
      </c>
      <c r="PF5" s="27">
        <f t="shared" si="0"/>
        <v>3.1500000000000004</v>
      </c>
      <c r="PG5" s="27">
        <f t="shared" si="1"/>
        <v>0</v>
      </c>
      <c r="PH5" s="27">
        <f t="shared" si="1"/>
        <v>0</v>
      </c>
      <c r="PI5" s="27">
        <f t="shared" si="1"/>
        <v>17.950000000000003</v>
      </c>
      <c r="PJ5" s="27">
        <f t="shared" si="1"/>
        <v>5.8</v>
      </c>
      <c r="PK5" s="27">
        <f t="shared" si="1"/>
        <v>0.5</v>
      </c>
      <c r="PL5" s="27">
        <f t="shared" si="1"/>
        <v>0</v>
      </c>
      <c r="PM5" s="27">
        <f t="shared" si="1"/>
        <v>18.2</v>
      </c>
      <c r="PN5" s="27">
        <f t="shared" si="1"/>
        <v>6.4</v>
      </c>
      <c r="PO5" s="27">
        <f t="shared" si="1"/>
        <v>0.6</v>
      </c>
      <c r="PP5" s="27">
        <f t="shared" si="1"/>
        <v>0</v>
      </c>
      <c r="PQ5" s="32" t="s">
        <v>44</v>
      </c>
      <c r="PR5" s="55">
        <f>IF(SUM(OX5,PB5)&gt;0,SUM(OX5,PB5),"")</f>
        <v>10.799999999999999</v>
      </c>
      <c r="PS5" s="55">
        <f>IF(SUM(OW5:OX5,OZ5:PB5,PD5)-OY5-PC5&gt;0,SUM(OW5:OX5,OZ5:PB5,PD5)-OY5-PC5,"")</f>
        <v>47.35</v>
      </c>
      <c r="PT5" s="55">
        <f>IF(SUM(PE5:PF5,PH5)-PG5&gt;0,SUM(PE5:PF5,PH5)-PG5,"")</f>
        <v>21.25</v>
      </c>
      <c r="PU5" s="55">
        <f>IF(SUM(PJ5,PN5)&gt;0,SUM(PJ5,PN5),"")</f>
        <v>12.2</v>
      </c>
      <c r="PV5" s="55">
        <f>IF(SUM(PI5:PJ5,PL5:PN5,PP5)-SUM(PK5,PO5)&gt;0,SUM(PI5:PJ5,PL5:PN5,PP5)-SUM(PK5,PO5),"")</f>
        <v>47.25</v>
      </c>
      <c r="PW5" s="55">
        <f>IF(SUM(PS5,PT5,PV5)&gt;0,SUM(PS5,PT5,PV5),"")</f>
        <v>115.85</v>
      </c>
    </row>
    <row r="6" spans="1:439" x14ac:dyDescent="0.2">
      <c r="A6" s="4" cm="1">
        <f t="array" ref="A6">IF(AND(H6&lt;&gt;"",H6&lt;&gt;"No DD"),SUMPRODUCT((H$4:H$8&lt;&gt;"")*(H$4:H$8&lt;&gt;"No DD")*(E$4:E$8&gt;E6))+1,IF(H6="No DD",SUMPRODUCT((H$4:H$8="No DD")*(E$4:E$8&gt;E6))+1+SUMPRODUCT((H$4:H$8&lt;&gt;"")*(H$4:H$8&lt;&gt;"No DD")),""))</f>
        <v>3</v>
      </c>
      <c r="B6" s="5" t="s">
        <v>86</v>
      </c>
      <c r="C6" s="4" t="s">
        <v>68</v>
      </c>
      <c r="D6" s="4">
        <v>2009</v>
      </c>
      <c r="E6" s="10">
        <f>SUM(I6:O6)+SUM(I6:M6)*0.0000001+SUM(I6)*0.0000000000001</f>
        <v>138.90001389000463</v>
      </c>
      <c r="F6" s="3" t="str">
        <f>IF(OR(AND(AM6&gt;=AR$10,AN6&gt;=AR$14,AM6&lt;&gt;"",AL6=""),AND(AP6&gt;=AR$10,AQ6&gt;=AR$14,AP6&lt;&gt;"",AL6=""),AND(BN6&gt;=BS$10,BO6&gt;=BS$14,BN6&lt;&gt;"",BM6=""),AND(BQ6&gt;=BS$10,BR6&gt;=BS$14,BQ6&lt;&gt;"",BM6=""),AND(CO6&gt;=CT$10,CP6&gt;=CT$14,CO6&lt;&gt;"",CN6=""),AND(CR6&gt;=CT$10,CS6&gt;=CT$14,CR6&lt;&gt;""),AND(DQ6&gt;=DV$10,DR6&gt;=DV$14,DQ6&lt;&gt;""),AND(DT6&gt;=DV$10,DU6&gt;=DV$14,DT6&lt;&gt;""),AND(EQ6&gt;=EV$10,ER6&gt;=EV$14,EQ6&lt;&gt;""),AND(ET6&gt;=EV$10,EU6&gt;=EV$14,ET6&lt;&gt;""),AND(FQ6&gt;=FV$10,FR6&gt;=FV$14,FQ6&lt;&gt;""),AND(FT6&gt;=FV$10,FU6&gt;=FV$14,FT6&lt;&gt;""),AND(GQ6&gt;=GV$10,GR6&gt;=GV$14,GQ6&lt;&gt;""),AND(GT6&gt;=GV$10,GU6&gt;=GV$14,GT6&lt;&gt;""),AND(HQ6&gt;=HV$10,HR6&gt;=HV$14,HQ6&lt;&gt;""),AND(HT6&gt;=HV$10,HU6&gt;=HV$14,HT6&lt;&gt;""),AND(IQ6&gt;=IV$10,IR6&gt;=IV$14,IQ6&lt;&gt;""),AND(IT6&gt;=IV$10,IU6&gt;=IV$14,IT6&lt;&gt;""),AND(JQ6&gt;=JV$10,JR6&gt;=JV$14,JQ6&lt;&gt;""),AND(JT6&gt;=JV$10,JU6&gt;=JV$14,JT6&lt;&gt;""),AND(KQ6&gt;=KV$10,KR6&gt;=KV$14,KQ6&lt;&gt;""),AND(KT6&gt;=KV$10,KU6&gt;=KV$14,KT6&lt;&gt;""),AND(LQ6&gt;=LV$10,LR6&gt;=LV$14,LQ6&lt;&gt;""),AND(LT6&gt;=LV$10,LU6&gt;=LV$14,LT6&lt;&gt;""),AND(MQ6&gt;=MV$10,MR6&gt;=MV$14,MQ6&lt;&gt;""),AND(MT6&gt;=MV$10,MU6&gt;=MV$14,MT6&lt;&gt;""),AND(NQ6&gt;=NV$10,NR6&gt;=NV$14,NQ6&lt;&gt;""),AND(NT6&gt;=NV$10,NU6&gt;=NV$14,NT6&lt;&gt;""),AND(OQ6&gt;=OV$10,OR6&gt;=OV$14,OQ6&lt;&gt;""),AND(OT6&gt;=OV$10,OU6&gt;=OV$14,OT6&lt;&gt;"")),"P","")</f>
        <v>P</v>
      </c>
      <c r="G6" s="3" t="str">
        <f>IF(OR(AND(AN6&gt;=AR$14,AN6&lt;&gt;"",AL6=""),AND(AQ6&gt;=AR$14,AQ6&lt;&gt;"",AL6=""),AND(BO6&gt;=BS$14,BO6&lt;&gt;"",BM6=""),AND(BR6&gt;=BS$14,BR6&lt;&gt;"",BM6=""),AND(CP6&gt;=CT$14,CP6&lt;&gt;"",CN6=""),AND(CS6&gt;=CT$14,CS6&lt;&gt;"",CN6=""),AND(DR6&gt;=DV$14,DR6&lt;&gt;""),AND(DU6&gt;=DV$14,DU6&lt;&gt;""),AND(ER6&gt;=EV$14,ER6&lt;&gt;""),AND(EU6&gt;=EV$14,EU6&lt;&gt;""),AND(FR6&gt;=FV$14,FR6&lt;&gt;""),AND(FU6&gt;=FV$14,FU6&lt;&gt;""),AND(GR6&gt;=GV$14,GR6&lt;&gt;""),AND(GU6&gt;=GV$14,GU6&lt;&gt;""),AND(HR6&gt;=HV$14,HR6&lt;&gt;""),AND(HU6&gt;=HV$14,HU6&lt;&gt;""),AND(IR6&gt;=IV$14,IR6&lt;&gt;""),AND(IU6&gt;=IV$14,IU6&lt;&gt;""),AND(JR6&gt;=JV$14,JR6&lt;&gt;""),AND(JU6&gt;=JV$14,JU6&lt;&gt;""),AND(KR6&gt;=KV$14,KR6&lt;&gt;""),AND(KU6&gt;=KV$14,KU6&lt;&gt;""),AND(LR6&gt;=LV$14,LR6&lt;&gt;""),AND(LU6&gt;=LV$14,LU6&lt;&gt;""),AND(MR6&gt;=MV$14,MR6&lt;&gt;""),AND(MU6&gt;=MV$14,MU6&lt;&gt;""),AND(NR6&gt;=NV$14,NR6&lt;&gt;""),AND(NU6&gt;=NV$14,NU6&lt;&gt;""),AND(OR6&gt;=OV$14,OR6&lt;&gt;""),AND(OU6&gt;=OV$14,OU6&lt;&gt;"")),"P","")</f>
        <v>P</v>
      </c>
      <c r="H6" s="47" t="str">
        <f>IF(AND(G6="P",F6=""),"No DD",IF(OR(AND(AM6&gt;=AR$13,AN6&gt;=AR$17,AM6&lt;&gt;"",AL6=""),AND(AP6&gt;=AR$13,AQ6&gt;=AR$17,AP6&lt;&gt;"",AL6=""),AND(BN6&gt;=BS$13,BO6&gt;=BS$17,BN6&lt;&gt;"",BM6=""),AND(BQ6&gt;=BS$13,BR6&gt;=BS$17,BQ6&lt;&gt;"",BM6=""),AND(CO6&gt;=CT$13,CP6&gt;=CT$17,CO6&lt;&gt;"",CN6=""),AND(CR6&gt;=CT$13,CS6&gt;=CT$17,CR6&lt;&gt;""),AND(DQ6&gt;=DV$13,DR6&gt;=DV$17,DQ6&lt;&gt;""),AND(DT6&gt;=DV$13,DU6&gt;=DV$17,DT6&lt;&gt;""),AND(EQ6&gt;=EV$13,ER6&gt;=EV$17,EQ6&lt;&gt;""),AND(ET6&gt;=EV$13,EU6&gt;=EV$17,ET6&lt;&gt;""),AND(FQ6&gt;=FV$13,FR6&gt;=FV$17,FQ6&lt;&gt;""),AND(FT6&gt;=FV$13,FU6&gt;=FV$17,FT6&lt;&gt;""),AND(GQ6&gt;=GV$13,GR6&gt;=GV$17,GQ6&lt;&gt;""),AND(GT6&gt;=GV$13,GU6&gt;=GV$17,GT6&lt;&gt;""),AND(HQ6&gt;=HV$13,HR6&gt;=HV$17,HQ6&lt;&gt;""),AND(HT6&gt;=HV$13,HU6&gt;=HV$17,HT6&lt;&gt;""),AND(IQ6&gt;=IV$13,IR6&gt;=IV$17,IQ6&lt;&gt;""),AND(IT6&gt;=IV$13,IU6&gt;=IV$17,IT6&lt;&gt;""),AND(JQ6&gt;=JV$13,JR6&gt;=JV$17,JQ6&lt;&gt;""),AND(JT6&gt;=JV$13,JU6&gt;=JV$17,JT6&lt;&gt;""),AND(KQ6&gt;=KV$13,KR6&gt;=KV$17,KQ6&lt;&gt;""),AND(KT6&gt;=KV$13,KU6&gt;=KV$17,KT6&lt;&gt;""),AND(LQ6&gt;=LV$13,LR6&gt;=LV$17,LQ6&lt;&gt;""),AND(LT6&gt;=LV$13,LU6&gt;=LV$17,LT6&lt;&gt;""),AND(MQ6&gt;=MV$13,MR6&gt;=MV$17,MQ6&lt;&gt;""),AND(MT6&gt;=MV$13,MU6&gt;=MV$17,MT6&lt;&gt;""),AND(NQ6&gt;=NV$13,NR6&gt;=NV$17,NQ6&lt;&gt;""),AND(NT6&gt;=NV$13,NU6&gt;=NV$17,NT6&lt;&gt;""),AND(OQ6&gt;=OV$13,OR6&gt;=OV$17,OQ6&lt;&gt;""),AND(OT6&gt;=OV$13,OU6&gt;=OV$17,OT6&lt;&gt;"")),"Merit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Excellence",IF(F6="P","National Team",""))))</f>
        <v>Excellence</v>
      </c>
      <c r="I6" s="9">
        <f>IF(COUNT(AN6,BO6,CP6)&gt;0,LARGE((AN6,BO6,CP6),1),0)</f>
        <v>46.599999999999994</v>
      </c>
      <c r="J6" s="9" t="str">
        <f>IF(I6=0,"",IF(I6=CP6,$BT$1,IF(I6=BO6,$AS$1,IF(I6=AN6,$R$1,""))))</f>
        <v>2023 Nationals</v>
      </c>
      <c r="K6" s="9">
        <f>IF(COUNT(AN6,BO6,CP6)&gt;1,LARGE((AN6,BO6,CP6),2),0)</f>
        <v>45.1</v>
      </c>
      <c r="L6" s="9" t="str">
        <f>IF(K6=0,"",IF(K6=CP6,$BT$1,IF(K6=BO6,$AS$1,IF(K6=AN6,$R$1,""))))</f>
        <v>2024 Elite Canada</v>
      </c>
      <c r="M6" s="9">
        <f>IF(MAX(AQ6,BR6,CS6)&gt;0,MAX(AQ6,BR6,CS6),0)</f>
        <v>47.2</v>
      </c>
      <c r="N6" s="9" t="str">
        <f>IF(M6=0,"",IF(M6=CS6,$BT$1,IF(M6=BR6,$AS$1,IF(M6=AQ6,$R$1,""))))</f>
        <v>2024 Elite Canada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>
        <v>18.7</v>
      </c>
      <c r="S6" s="20">
        <v>5.2</v>
      </c>
      <c r="T6" s="20">
        <v>0.2</v>
      </c>
      <c r="U6" s="20">
        <v>0</v>
      </c>
      <c r="V6" s="20">
        <v>18.2</v>
      </c>
      <c r="W6" s="20">
        <v>5.2</v>
      </c>
      <c r="X6" s="20">
        <v>0.8</v>
      </c>
      <c r="Y6" s="20">
        <v>0.3</v>
      </c>
      <c r="Z6" s="20"/>
      <c r="AA6" s="20"/>
      <c r="AB6" s="20"/>
      <c r="AC6" s="20"/>
      <c r="AD6" s="20">
        <v>18.600000000000001</v>
      </c>
      <c r="AE6" s="20">
        <v>3.4</v>
      </c>
      <c r="AF6" s="20">
        <v>0</v>
      </c>
      <c r="AG6" s="20">
        <v>0</v>
      </c>
      <c r="AH6" s="20">
        <v>18.5</v>
      </c>
      <c r="AI6" s="20">
        <v>3.5</v>
      </c>
      <c r="AJ6" s="20">
        <v>0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46.599999999999994</v>
      </c>
      <c r="AO6" s="55" t="str">
        <f>IF(SUM(Z6:AA6,AC6)-AB6&gt;0,SUM(Z6:AA6,AC6)-AB6,"")</f>
        <v/>
      </c>
      <c r="AP6" s="55">
        <f>IF(SUM(AE6,AI6)&gt;0,SUM(AE6,AI6),"")</f>
        <v>6.9</v>
      </c>
      <c r="AQ6" s="55">
        <f>IF(SUM(AD6:AE6,AG6:AI6,AK6)-SUM(AF6,AJ6)&gt;0,SUM(AD6:AE6,AG6:AI6,AK6)-SUM(AF6,AJ6),"")</f>
        <v>44</v>
      </c>
      <c r="AR6" s="55">
        <f>IF(SUM(AN6,AO6,AQ6)&gt;0,SUM(AN6,AO6,AQ6),"")</f>
        <v>90.6</v>
      </c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33"/>
      <c r="BN6" s="14" t="str">
        <f>IF(SUM(AT6,AX6)&gt;0,SUM(AT6,AX6),"")</f>
        <v/>
      </c>
      <c r="BO6" s="14" t="str">
        <f>IF(SUM(AS6:AT6,AV6:AX6,AZ6)-AU6-AY6&gt;0,SUM(AS6:AT6,AV6:AX6,AZ6)-AU6-AY6,"")</f>
        <v/>
      </c>
      <c r="BP6" s="14" t="str">
        <f>IF(SUM(BA6:BB6,BD6)-BC6&gt;0,SUM(BA6:BB6,BD6)-BC6,"")</f>
        <v/>
      </c>
      <c r="BQ6" s="14" t="str">
        <f>IF(SUM(BF6,BJ6)&gt;0,SUM(BF6,BJ6),"")</f>
        <v/>
      </c>
      <c r="BR6" s="14" t="str">
        <f>IF(SUM(BE6:BF6,BH6:BJ6,BL6)-SUM(BG6,BK6)&gt;0,SUM(BE6:BF6,BH6:BJ6,BL6)-SUM(BG6,BK6),"")</f>
        <v/>
      </c>
      <c r="BS6" s="14" t="str">
        <f>IF(SUM(BO6,BP6,BR6)&gt;0,SUM(BO6,BP6,BR6),"")</f>
        <v/>
      </c>
      <c r="BT6" s="20">
        <v>18.100000000000001</v>
      </c>
      <c r="BU6" s="20">
        <v>5.2</v>
      </c>
      <c r="BV6" s="20">
        <v>0.6</v>
      </c>
      <c r="BW6" s="20">
        <v>0</v>
      </c>
      <c r="BX6" s="20">
        <v>17.8</v>
      </c>
      <c r="BY6" s="20">
        <v>5.2</v>
      </c>
      <c r="BZ6" s="20">
        <v>0.6</v>
      </c>
      <c r="CA6" s="20">
        <v>0</v>
      </c>
      <c r="CB6" s="20">
        <v>18.2</v>
      </c>
      <c r="CC6" s="20">
        <v>4.4000000000000004</v>
      </c>
      <c r="CD6" s="20">
        <v>0</v>
      </c>
      <c r="CE6" s="20">
        <v>0</v>
      </c>
      <c r="CF6" s="20">
        <v>18.3</v>
      </c>
      <c r="CG6" s="20">
        <v>5.2</v>
      </c>
      <c r="CH6" s="20">
        <v>0.6</v>
      </c>
      <c r="CI6" s="20">
        <v>0</v>
      </c>
      <c r="CJ6" s="20">
        <v>18.5</v>
      </c>
      <c r="CK6" s="20">
        <v>6</v>
      </c>
      <c r="CL6" s="20">
        <v>0.2</v>
      </c>
      <c r="CM6" s="20">
        <v>0</v>
      </c>
      <c r="CN6" s="32"/>
      <c r="CO6" s="55">
        <f>IF(SUM(BU6,BY6)&gt;0,SUM(BU6,BY6),"")</f>
        <v>10.4</v>
      </c>
      <c r="CP6" s="55">
        <f>IF(SUM(BT6:BU6,BW6:BY6,CA6)-BV6-BZ6&gt;0,SUM(BT6:BU6,BW6:BY6,CA6)-BV6-BZ6,"")</f>
        <v>45.1</v>
      </c>
      <c r="CQ6" s="55">
        <f>IF(SUM(CB6:CC6,CE6)-CD6&gt;0,SUM(CB6:CC6,CE6)-CD6,"")</f>
        <v>22.6</v>
      </c>
      <c r="CR6" s="55">
        <f>IF(SUM(CG6,CK6)&gt;0,SUM(CG6,CK6),"")</f>
        <v>11.2</v>
      </c>
      <c r="CS6" s="55">
        <f>IF(SUM(CF6:CG6,CI6:CK6,CM6)-SUM(CH6,CL6)&gt;0,SUM(CF6:CG6,CI6:CK6,CM6)-SUM(CH6,CL6),"")</f>
        <v>47.2</v>
      </c>
      <c r="CT6" s="55">
        <f>IF(SUM(CP6,CQ6,CS6)&gt;0,SUM(CP6,CQ6,CS6),"")</f>
        <v>114.9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 t="shared" si="0"/>
        <v>9.0500000000000007</v>
      </c>
      <c r="OX6" s="27">
        <f t="shared" si="0"/>
        <v>2.6</v>
      </c>
      <c r="OY6" s="27">
        <f t="shared" si="0"/>
        <v>0.3</v>
      </c>
      <c r="OZ6" s="27">
        <f t="shared" si="0"/>
        <v>0</v>
      </c>
      <c r="PA6" s="27">
        <f t="shared" si="0"/>
        <v>8.9</v>
      </c>
      <c r="PB6" s="27">
        <f t="shared" si="0"/>
        <v>2.6</v>
      </c>
      <c r="PC6" s="27">
        <f t="shared" si="0"/>
        <v>0.3</v>
      </c>
      <c r="PD6" s="27">
        <f t="shared" si="0"/>
        <v>0</v>
      </c>
      <c r="PE6" s="27">
        <f t="shared" si="0"/>
        <v>9.1</v>
      </c>
      <c r="PF6" s="27">
        <f t="shared" si="0"/>
        <v>2.2000000000000002</v>
      </c>
      <c r="PG6" s="27">
        <f t="shared" si="1"/>
        <v>0</v>
      </c>
      <c r="PH6" s="27">
        <f t="shared" si="1"/>
        <v>0</v>
      </c>
      <c r="PI6" s="27">
        <f t="shared" si="1"/>
        <v>9.15</v>
      </c>
      <c r="PJ6" s="27">
        <f t="shared" si="1"/>
        <v>2.6</v>
      </c>
      <c r="PK6" s="27">
        <f t="shared" si="1"/>
        <v>0.3</v>
      </c>
      <c r="PL6" s="27">
        <f t="shared" si="1"/>
        <v>0</v>
      </c>
      <c r="PM6" s="27">
        <f t="shared" si="1"/>
        <v>9.25</v>
      </c>
      <c r="PN6" s="27">
        <f t="shared" si="1"/>
        <v>3</v>
      </c>
      <c r="PO6" s="27">
        <f t="shared" si="1"/>
        <v>0.1</v>
      </c>
      <c r="PP6" s="27">
        <f t="shared" si="1"/>
        <v>0</v>
      </c>
      <c r="PQ6" s="32" t="s">
        <v>44</v>
      </c>
      <c r="PR6" s="55">
        <f>IF(SUM(OX6,PB6)&gt;0,SUM(OX6,PB6),"")</f>
        <v>5.2</v>
      </c>
      <c r="PS6" s="55">
        <f>IF(SUM(OW6:OX6,OZ6:PB6,PD6)-OY6-PC6&gt;0,SUM(OW6:OX6,OZ6:PB6,PD6)-OY6-PC6,"")</f>
        <v>22.55</v>
      </c>
      <c r="PT6" s="55">
        <f>IF(SUM(PE6:PF6,PH6)-PG6&gt;0,SUM(PE6:PF6,PH6)-PG6,"")</f>
        <v>11.3</v>
      </c>
      <c r="PU6" s="55">
        <f>IF(SUM(PJ6,PN6)&gt;0,SUM(PJ6,PN6),"")</f>
        <v>5.6</v>
      </c>
      <c r="PV6" s="55">
        <f>IF(SUM(PI6:PJ6,PL6:PN6,PP6)-SUM(PK6,PO6)&gt;0,SUM(PI6:PJ6,PL6:PN6,PP6)-SUM(PK6,PO6),"")</f>
        <v>23.6</v>
      </c>
      <c r="PW6" s="55">
        <f>IF(SUM(PS6,PT6,PV6)&gt;0,SUM(PS6,PT6,PV6),"")</f>
        <v>57.45</v>
      </c>
    </row>
    <row r="7" spans="1:439" x14ac:dyDescent="0.2">
      <c r="A7" s="4" cm="1">
        <f t="array" ref="A7">IF(AND(H7&lt;&gt;"",H7&lt;&gt;"No DD"),SUMPRODUCT((H$4:H$8&lt;&gt;"")*(H$4:H$8&lt;&gt;"No DD")*(E$4:E$8&gt;E7))+1,IF(H7="No DD",SUMPRODUCT((H$4:H$8="No DD")*(E$4:E$8&gt;E7))+1+SUMPRODUCT((H$4:H$8&lt;&gt;"")*(H$4:H$8&lt;&gt;"No DD")),""))</f>
        <v>4</v>
      </c>
      <c r="B7" s="5" t="s">
        <v>87</v>
      </c>
      <c r="C7" s="4" t="s">
        <v>66</v>
      </c>
      <c r="D7" s="4">
        <v>2008</v>
      </c>
      <c r="E7" s="10">
        <f>SUM(I7:O7)+SUM(I7:M7)*0.0000001+SUM(I7)*0.0000000000001</f>
        <v>137.00001370000473</v>
      </c>
      <c r="F7" s="3" t="str">
        <f>IF(OR(AND(AM7&gt;=AR$10,AN7&gt;=AR$14,AM7&lt;&gt;"",AL7=""),AND(AP7&gt;=AR$10,AQ7&gt;=AR$14,AP7&lt;&gt;"",AL7=""),AND(BN7&gt;=BS$10,BO7&gt;=BS$14,BN7&lt;&gt;"",BM7=""),AND(BQ7&gt;=BS$10,BR7&gt;=BS$14,BQ7&lt;&gt;"",BM7=""),AND(CO7&gt;=CT$10,CP7&gt;=CT$14,CO7&lt;&gt;"",CN7=""),AND(CR7&gt;=CT$10,CS7&gt;=CT$14,CR7&lt;&gt;""),AND(DQ7&gt;=DV$10,DR7&gt;=DV$14,DQ7&lt;&gt;""),AND(DT7&gt;=DV$10,DU7&gt;=DV$14,DT7&lt;&gt;""),AND(EQ7&gt;=EV$10,ER7&gt;=EV$14,EQ7&lt;&gt;""),AND(ET7&gt;=EV$10,EU7&gt;=EV$14,ET7&lt;&gt;""),AND(FQ7&gt;=FV$10,FR7&gt;=FV$14,FQ7&lt;&gt;""),AND(FT7&gt;=FV$10,FU7&gt;=FV$14,FT7&lt;&gt;""),AND(GQ7&gt;=GV$10,GR7&gt;=GV$14,GQ7&lt;&gt;""),AND(GT7&gt;=GV$10,GU7&gt;=GV$14,GT7&lt;&gt;""),AND(HQ7&gt;=HV$10,HR7&gt;=HV$14,HQ7&lt;&gt;""),AND(HT7&gt;=HV$10,HU7&gt;=HV$14,HT7&lt;&gt;""),AND(IQ7&gt;=IV$10,IR7&gt;=IV$14,IQ7&lt;&gt;""),AND(IT7&gt;=IV$10,IU7&gt;=IV$14,IT7&lt;&gt;""),AND(JQ7&gt;=JV$10,JR7&gt;=JV$14,JQ7&lt;&gt;""),AND(JT7&gt;=JV$10,JU7&gt;=JV$14,JT7&lt;&gt;""),AND(KQ7&gt;=KV$10,KR7&gt;=KV$14,KQ7&lt;&gt;""),AND(KT7&gt;=KV$10,KU7&gt;=KV$14,KT7&lt;&gt;""),AND(LQ7&gt;=LV$10,LR7&gt;=LV$14,LQ7&lt;&gt;""),AND(LT7&gt;=LV$10,LU7&gt;=LV$14,LT7&lt;&gt;""),AND(MQ7&gt;=MV$10,MR7&gt;=MV$14,MQ7&lt;&gt;""),AND(MT7&gt;=MV$10,MU7&gt;=MV$14,MT7&lt;&gt;""),AND(NQ7&gt;=NV$10,NR7&gt;=NV$14,NQ7&lt;&gt;""),AND(NT7&gt;=NV$10,NU7&gt;=NV$14,NT7&lt;&gt;""),AND(OQ7&gt;=OV$10,OR7&gt;=OV$14,OQ7&lt;&gt;""),AND(OT7&gt;=OV$10,OU7&gt;=OV$14,OT7&lt;&gt;"")),"P","")</f>
        <v>P</v>
      </c>
      <c r="G7" s="3" t="str">
        <f>IF(OR(AND(AN7&gt;=AR$14,AN7&lt;&gt;"",AL7=""),AND(AQ7&gt;=AR$14,AQ7&lt;&gt;"",AL7=""),AND(BO7&gt;=BS$14,BO7&lt;&gt;"",BM7=""),AND(BR7&gt;=BS$14,BR7&lt;&gt;"",BM7=""),AND(CP7&gt;=CT$14,CP7&lt;&gt;"",CN7=""),AND(CS7&gt;=CT$14,CS7&lt;&gt;"",CN7=""),AND(DR7&gt;=DV$14,DR7&lt;&gt;""),AND(DU7&gt;=DV$14,DU7&lt;&gt;""),AND(ER7&gt;=EV$14,ER7&lt;&gt;""),AND(EU7&gt;=EV$14,EU7&lt;&gt;""),AND(FR7&gt;=FV$14,FR7&lt;&gt;""),AND(FU7&gt;=FV$14,FU7&lt;&gt;""),AND(GR7&gt;=GV$14,GR7&lt;&gt;""),AND(GU7&gt;=GV$14,GU7&lt;&gt;""),AND(HR7&gt;=HV$14,HR7&lt;&gt;""),AND(HU7&gt;=HV$14,HU7&lt;&gt;""),AND(IR7&gt;=IV$14,IR7&lt;&gt;""),AND(IU7&gt;=IV$14,IU7&lt;&gt;""),AND(JR7&gt;=JV$14,JR7&lt;&gt;""),AND(JU7&gt;=JV$14,JU7&lt;&gt;""),AND(KR7&gt;=KV$14,KR7&lt;&gt;""),AND(KU7&gt;=KV$14,KU7&lt;&gt;""),AND(LR7&gt;=LV$14,LR7&lt;&gt;""),AND(LU7&gt;=LV$14,LU7&lt;&gt;""),AND(MR7&gt;=MV$14,MR7&lt;&gt;""),AND(MU7&gt;=MV$14,MU7&lt;&gt;""),AND(NR7&gt;=NV$14,NR7&lt;&gt;""),AND(NU7&gt;=NV$14,NU7&lt;&gt;""),AND(OR7&gt;=OV$14,OR7&lt;&gt;""),AND(OU7&gt;=OV$14,OU7&lt;&gt;"")),"P","")</f>
        <v>P</v>
      </c>
      <c r="H7" s="47" t="str">
        <f>IF(AND(G7="P",F7=""),"No DD",IF(OR(AND(AM7&gt;=AR$13,AN7&gt;=AR$17,AM7&lt;&gt;"",AL7=""),AND(AP7&gt;=AR$13,AQ7&gt;=AR$17,AP7&lt;&gt;"",AL7=""),AND(BN7&gt;=BS$13,BO7&gt;=BS$17,BN7&lt;&gt;"",BM7=""),AND(BQ7&gt;=BS$13,BR7&gt;=BS$17,BQ7&lt;&gt;"",BM7=""),AND(CO7&gt;=CT$13,CP7&gt;=CT$17,CO7&lt;&gt;"",CN7=""),AND(CR7&gt;=CT$13,CS7&gt;=CT$17,CR7&lt;&gt;""),AND(DQ7&gt;=DV$13,DR7&gt;=DV$17,DQ7&lt;&gt;""),AND(DT7&gt;=DV$13,DU7&gt;=DV$17,DT7&lt;&gt;""),AND(EQ7&gt;=EV$13,ER7&gt;=EV$17,EQ7&lt;&gt;""),AND(ET7&gt;=EV$13,EU7&gt;=EV$17,ET7&lt;&gt;""),AND(FQ7&gt;=FV$13,FR7&gt;=FV$17,FQ7&lt;&gt;""),AND(FT7&gt;=FV$13,FU7&gt;=FV$17,FT7&lt;&gt;""),AND(GQ7&gt;=GV$13,GR7&gt;=GV$17,GQ7&lt;&gt;""),AND(GT7&gt;=GV$13,GU7&gt;=GV$17,GT7&lt;&gt;""),AND(HQ7&gt;=HV$13,HR7&gt;=HV$17,HQ7&lt;&gt;""),AND(HT7&gt;=HV$13,HU7&gt;=HV$17,HT7&lt;&gt;""),AND(IQ7&gt;=IV$13,IR7&gt;=IV$17,IQ7&lt;&gt;""),AND(IT7&gt;=IV$13,IU7&gt;=IV$17,IT7&lt;&gt;""),AND(JQ7&gt;=JV$13,JR7&gt;=JV$17,JQ7&lt;&gt;""),AND(JT7&gt;=JV$13,JU7&gt;=JV$17,JT7&lt;&gt;""),AND(KQ7&gt;=KV$13,KR7&gt;=KV$17,KQ7&lt;&gt;""),AND(KT7&gt;=KV$13,KU7&gt;=KV$17,KT7&lt;&gt;""),AND(LQ7&gt;=LV$13,LR7&gt;=LV$17,LQ7&lt;&gt;""),AND(LT7&gt;=LV$13,LU7&gt;=LV$17,LT7&lt;&gt;""),AND(MQ7&gt;=MV$13,MR7&gt;=MV$17,MQ7&lt;&gt;""),AND(MT7&gt;=MV$13,MU7&gt;=MV$17,MT7&lt;&gt;""),AND(NQ7&gt;=NV$13,NR7&gt;=NV$17,NQ7&lt;&gt;""),AND(NT7&gt;=NV$13,NU7&gt;=NV$17,NT7&lt;&gt;""),AND(OQ7&gt;=OV$13,OR7&gt;=OV$17,OQ7&lt;&gt;""),AND(OT7&gt;=OV$13,OU7&gt;=OV$17,OT7&lt;&gt;"")),"Merit",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Excellence",IF(F7="P","National Team",""))))</f>
        <v>Excellence</v>
      </c>
      <c r="I7" s="9">
        <f>IF(COUNT(AN7,BO7,CP7)&gt;0,LARGE((AN7,BO7,CP7),1),0)</f>
        <v>47.3</v>
      </c>
      <c r="J7" s="9" t="str">
        <f>IF(I7=0,"",IF(I7=CP7,$BT$1,IF(I7=BO7,$AS$1,IF(I7=AN7,$R$1,""))))</f>
        <v>2024 Elite Canada</v>
      </c>
      <c r="K7" s="9">
        <f>IF(COUNT(AN7,BO7,CP7)&gt;1,LARGE((AN7,BO7,CP7),2),0)</f>
        <v>44.699999999999996</v>
      </c>
      <c r="L7" s="9" t="str">
        <f>IF(K7=0,"",IF(K7=CP7,$BT$1,IF(K7=BO7,$AS$1,IF(K7=AN7,$R$1,""))))</f>
        <v>2023 Nationals</v>
      </c>
      <c r="M7" s="9">
        <f>IF(MAX(AQ7,BR7,CS7)&gt;0,MAX(AQ7,BR7,CS7),0)</f>
        <v>45.000000000000007</v>
      </c>
      <c r="N7" s="9" t="str">
        <f>IF(M7=0,"",IF(M7=CS7,$BT$1,IF(M7=BR7,$AS$1,IF(M7=AQ7,$R$1,""))))</f>
        <v>2023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18.600000000000001</v>
      </c>
      <c r="S7" s="20">
        <v>3.4</v>
      </c>
      <c r="T7" s="20">
        <v>0</v>
      </c>
      <c r="U7" s="20">
        <v>0</v>
      </c>
      <c r="V7" s="20">
        <v>18.5</v>
      </c>
      <c r="W7" s="20">
        <v>4.4000000000000004</v>
      </c>
      <c r="X7" s="20">
        <v>0.2</v>
      </c>
      <c r="Y7" s="20">
        <v>0</v>
      </c>
      <c r="Z7" s="20"/>
      <c r="AA7" s="20"/>
      <c r="AB7" s="20"/>
      <c r="AC7" s="20"/>
      <c r="AD7" s="20">
        <v>19.3</v>
      </c>
      <c r="AE7" s="20">
        <v>3.5</v>
      </c>
      <c r="AF7" s="20">
        <v>0</v>
      </c>
      <c r="AG7" s="20">
        <v>0</v>
      </c>
      <c r="AH7" s="20">
        <v>18.600000000000001</v>
      </c>
      <c r="AI7" s="20">
        <v>3.6</v>
      </c>
      <c r="AJ7" s="20">
        <v>0</v>
      </c>
      <c r="AK7" s="20">
        <v>0</v>
      </c>
      <c r="AL7" s="32"/>
      <c r="AM7" s="55">
        <f>IF(SUM(S7,W7)&gt;0,SUM(S7,W7),"")</f>
        <v>7.8000000000000007</v>
      </c>
      <c r="AN7" s="55">
        <f>IF(SUM(R7:S7,U7:W7,Y7)-T7-X7&gt;0,SUM(R7:S7,U7:W7,Y7)-T7-X7,"")</f>
        <v>44.699999999999996</v>
      </c>
      <c r="AO7" s="55" t="str">
        <f>IF(SUM(Z7:AA7,AC7)-AB7&gt;0,SUM(Z7:AA7,AC7)-AB7,"")</f>
        <v/>
      </c>
      <c r="AP7" s="55">
        <f>IF(SUM(AE7,AI7)&gt;0,SUM(AE7,AI7),"")</f>
        <v>7.1</v>
      </c>
      <c r="AQ7" s="55">
        <f>IF(SUM(AD7:AE7,AG7:AI7,AK7)-SUM(AF7,AJ7)&gt;0,SUM(AD7:AE7,AG7:AI7,AK7)-SUM(AF7,AJ7),"")</f>
        <v>45.000000000000007</v>
      </c>
      <c r="AR7" s="55">
        <f>IF(SUM(AN7,AO7,AQ7)&gt;0,SUM(AN7,AO7,AQ7),"")</f>
        <v>89.7</v>
      </c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33"/>
      <c r="BN7" s="14" t="str">
        <f>IF(SUM(AT7,AX7)&gt;0,SUM(AT7,AX7),"")</f>
        <v/>
      </c>
      <c r="BO7" s="14" t="str">
        <f>IF(SUM(AS7:AT7,AV7:AX7,AZ7)-AU7-AY7&gt;0,SUM(AS7:AT7,AV7:AX7,AZ7)-AU7-AY7,"")</f>
        <v/>
      </c>
      <c r="BP7" s="14" t="str">
        <f>IF(SUM(BA7:BB7,BD7)-BC7&gt;0,SUM(BA7:BB7,BD7)-BC7,"")</f>
        <v/>
      </c>
      <c r="BQ7" s="14" t="str">
        <f>IF(SUM(BF7,BJ7)&gt;0,SUM(BF7,BJ7),"")</f>
        <v/>
      </c>
      <c r="BR7" s="14" t="str">
        <f>IF(SUM(BE7:BF7,BH7:BJ7,BL7)-SUM(BG7,BK7)&gt;0,SUM(BE7:BF7,BH7:BJ7,BL7)-SUM(BG7,BK7),"")</f>
        <v/>
      </c>
      <c r="BS7" s="14" t="str">
        <f>IF(SUM(BO7,BP7,BR7)&gt;0,SUM(BO7,BP7,BR7),"")</f>
        <v/>
      </c>
      <c r="BT7" s="20">
        <v>18</v>
      </c>
      <c r="BU7" s="20">
        <v>5.2</v>
      </c>
      <c r="BV7" s="20">
        <v>0.2</v>
      </c>
      <c r="BW7" s="20">
        <v>0</v>
      </c>
      <c r="BX7" s="20">
        <v>18.3</v>
      </c>
      <c r="BY7" s="20">
        <v>6</v>
      </c>
      <c r="BZ7" s="20">
        <v>0</v>
      </c>
      <c r="CA7" s="20">
        <v>0</v>
      </c>
      <c r="CB7" s="20">
        <v>19</v>
      </c>
      <c r="CC7" s="20">
        <v>4</v>
      </c>
      <c r="CD7" s="20">
        <v>0</v>
      </c>
      <c r="CE7" s="20">
        <v>0</v>
      </c>
      <c r="CF7" s="20">
        <v>18.2</v>
      </c>
      <c r="CG7" s="20">
        <v>4.8</v>
      </c>
      <c r="CH7" s="20">
        <v>0.2</v>
      </c>
      <c r="CI7" s="20">
        <v>0</v>
      </c>
      <c r="CJ7" s="20">
        <v>16.399999999999999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11.2</v>
      </c>
      <c r="CP7" s="55">
        <f>IF(SUM(BT7:BU7,BW7:BY7,CA7)-BV7-BZ7&gt;0,SUM(BT7:BU7,BW7:BY7,CA7)-BV7-BZ7,"")</f>
        <v>47.3</v>
      </c>
      <c r="CQ7" s="55">
        <f>IF(SUM(CB7:CC7,CE7)-CD7&gt;0,SUM(CB7:CC7,CE7)-CD7,"")</f>
        <v>23</v>
      </c>
      <c r="CR7" s="55">
        <f>IF(SUM(CG7,CK7)&gt;0,SUM(CG7,CK7),"")</f>
        <v>10</v>
      </c>
      <c r="CS7" s="55">
        <f>IF(SUM(CF7:CG7,CI7:CK7,CM7)-SUM(CH7,CL7)&gt;0,SUM(CF7:CG7,CI7:CK7,CM7)-SUM(CH7,CL7),"")</f>
        <v>44.2</v>
      </c>
      <c r="CT7" s="55">
        <f>IF(SUM(CP7,CQ7,CS7)&gt;0,SUM(CP7,CQ7,CS7),"")</f>
        <v>114.5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 t="shared" si="0"/>
        <v>9</v>
      </c>
      <c r="OX7" s="27">
        <f t="shared" si="0"/>
        <v>2.6</v>
      </c>
      <c r="OY7" s="27">
        <f t="shared" si="0"/>
        <v>0.1</v>
      </c>
      <c r="OZ7" s="27">
        <f t="shared" si="0"/>
        <v>0</v>
      </c>
      <c r="PA7" s="27">
        <f t="shared" si="0"/>
        <v>9.15</v>
      </c>
      <c r="PB7" s="27">
        <f t="shared" si="0"/>
        <v>3</v>
      </c>
      <c r="PC7" s="27">
        <f t="shared" si="0"/>
        <v>0</v>
      </c>
      <c r="PD7" s="27">
        <f t="shared" si="0"/>
        <v>0</v>
      </c>
      <c r="PE7" s="27">
        <f t="shared" si="0"/>
        <v>9.5</v>
      </c>
      <c r="PF7" s="27">
        <f t="shared" si="0"/>
        <v>2</v>
      </c>
      <c r="PG7" s="27">
        <f t="shared" si="1"/>
        <v>0</v>
      </c>
      <c r="PH7" s="27">
        <f t="shared" si="1"/>
        <v>0</v>
      </c>
      <c r="PI7" s="27">
        <f t="shared" si="1"/>
        <v>9.1</v>
      </c>
      <c r="PJ7" s="27">
        <f t="shared" si="1"/>
        <v>2.4</v>
      </c>
      <c r="PK7" s="27">
        <f t="shared" si="1"/>
        <v>0.1</v>
      </c>
      <c r="PL7" s="27">
        <f t="shared" si="1"/>
        <v>0</v>
      </c>
      <c r="PM7" s="27">
        <f t="shared" si="1"/>
        <v>8.1999999999999993</v>
      </c>
      <c r="PN7" s="27">
        <f t="shared" si="1"/>
        <v>2.6</v>
      </c>
      <c r="PO7" s="27">
        <f t="shared" si="1"/>
        <v>0.1</v>
      </c>
      <c r="PP7" s="27">
        <f t="shared" si="1"/>
        <v>0</v>
      </c>
      <c r="PQ7" s="32" t="s">
        <v>44</v>
      </c>
      <c r="PR7" s="55">
        <f>IF(SUM(OX7,PB7)&gt;0,SUM(OX7,PB7),"")</f>
        <v>5.6</v>
      </c>
      <c r="PS7" s="55">
        <f>IF(SUM(OW7:OX7,OZ7:PB7,PD7)-OY7-PC7&gt;0,SUM(OW7:OX7,OZ7:PB7,PD7)-OY7-PC7,"")</f>
        <v>23.65</v>
      </c>
      <c r="PT7" s="55">
        <f>IF(SUM(PE7:PF7,PH7)-PG7&gt;0,SUM(PE7:PF7,PH7)-PG7,"")</f>
        <v>11.5</v>
      </c>
      <c r="PU7" s="55">
        <f>IF(SUM(PJ7,PN7)&gt;0,SUM(PJ7,PN7),"")</f>
        <v>5</v>
      </c>
      <c r="PV7" s="55">
        <f>IF(SUM(PI7:PJ7,PL7:PN7,PP7)-SUM(PK7,PO7)&gt;0,SUM(PI7:PJ7,PL7:PN7,PP7)-SUM(PK7,PO7),"")</f>
        <v>22.1</v>
      </c>
      <c r="PW7" s="55">
        <f>IF(SUM(PS7,PT7,PV7)&gt;0,SUM(PS7,PT7,PV7),"")</f>
        <v>57.25</v>
      </c>
    </row>
    <row r="8" spans="1:439" ht="17" x14ac:dyDescent="0.2">
      <c r="O8" s="11"/>
      <c r="P8" s="11"/>
      <c r="Q8" s="11"/>
    </row>
    <row r="9" spans="1:439" ht="17" x14ac:dyDescent="0.2">
      <c r="O9" s="11"/>
      <c r="P9" s="11"/>
      <c r="Q9" s="11"/>
    </row>
    <row r="10" spans="1:439" ht="17" x14ac:dyDescent="0.2">
      <c r="B10" s="28" t="s">
        <v>42</v>
      </c>
      <c r="O10" s="11"/>
      <c r="P10" s="11"/>
      <c r="Q10" s="11"/>
      <c r="AM10" s="4"/>
      <c r="AR10" s="57">
        <v>7.9</v>
      </c>
      <c r="BN10" s="4"/>
      <c r="BS10" s="57">
        <v>7.9</v>
      </c>
      <c r="CO10" s="4"/>
      <c r="CT10" s="57">
        <v>7.9</v>
      </c>
      <c r="DQ10" s="4"/>
      <c r="DV10" s="57">
        <v>7.9</v>
      </c>
      <c r="EQ10" s="4"/>
      <c r="EV10" s="57">
        <v>7.9</v>
      </c>
      <c r="FQ10" s="4"/>
      <c r="FV10" s="57">
        <v>7.9</v>
      </c>
      <c r="GQ10" s="4"/>
      <c r="GV10" s="57">
        <v>7.9</v>
      </c>
      <c r="HQ10" s="4"/>
      <c r="HV10" s="57">
        <v>7.9</v>
      </c>
      <c r="IQ10" s="4"/>
      <c r="IV10" s="57">
        <v>7.9</v>
      </c>
      <c r="JQ10" s="4"/>
      <c r="JV10" s="57">
        <v>7.9</v>
      </c>
      <c r="KQ10" s="4"/>
      <c r="KV10" s="57">
        <v>7.9</v>
      </c>
      <c r="LQ10" s="4"/>
      <c r="LV10" s="57">
        <v>7.9</v>
      </c>
      <c r="MQ10" s="4"/>
      <c r="MV10" s="57">
        <v>7.9</v>
      </c>
      <c r="NQ10" s="4"/>
      <c r="NV10" s="57">
        <v>7.9</v>
      </c>
      <c r="OQ10" s="4"/>
      <c r="OV10" s="57">
        <v>7.9</v>
      </c>
    </row>
    <row r="11" spans="1:439" ht="17" hidden="1" x14ac:dyDescent="0.2">
      <c r="B11" s="35" t="s">
        <v>41</v>
      </c>
      <c r="O11" s="11"/>
      <c r="P11" s="11"/>
      <c r="Q11" s="11"/>
      <c r="AM11" s="4"/>
      <c r="AR11" s="58">
        <f>AR12</f>
        <v>9.6</v>
      </c>
      <c r="BN11" s="4"/>
      <c r="BS11" s="58">
        <f>BS12</f>
        <v>9.6</v>
      </c>
      <c r="CO11" s="4"/>
      <c r="CT11" s="58">
        <f>CT12</f>
        <v>9.6</v>
      </c>
      <c r="DQ11" s="4"/>
      <c r="DV11" s="58">
        <f>DV12</f>
        <v>9.6</v>
      </c>
      <c r="EQ11" s="4"/>
      <c r="EV11" s="58">
        <f>EV12</f>
        <v>9.6</v>
      </c>
      <c r="FQ11" s="4"/>
      <c r="FV11" s="58">
        <f>FV12</f>
        <v>9.6</v>
      </c>
      <c r="GQ11" s="4"/>
      <c r="GV11" s="58">
        <f>GV12</f>
        <v>9.6</v>
      </c>
      <c r="HQ11" s="4"/>
      <c r="HV11" s="58">
        <f>HV12</f>
        <v>9.6</v>
      </c>
      <c r="IQ11" s="4"/>
      <c r="IV11" s="58">
        <f>IV12</f>
        <v>9.6</v>
      </c>
      <c r="JQ11" s="4"/>
      <c r="JV11" s="58">
        <f>JV12</f>
        <v>9.6</v>
      </c>
      <c r="KQ11" s="4"/>
      <c r="KV11" s="58">
        <f>KV12</f>
        <v>9.6</v>
      </c>
      <c r="LQ11" s="4"/>
      <c r="LV11" s="58">
        <f>LV12</f>
        <v>9.6</v>
      </c>
      <c r="MQ11" s="4"/>
      <c r="MV11" s="58">
        <f>MV12</f>
        <v>9.6</v>
      </c>
      <c r="NQ11" s="4"/>
      <c r="NV11" s="58">
        <f>NV12</f>
        <v>9.6</v>
      </c>
      <c r="OQ11" s="4"/>
      <c r="OV11" s="58">
        <f>OV12</f>
        <v>9.6</v>
      </c>
    </row>
    <row r="12" spans="1:439" ht="17" x14ac:dyDescent="0.2">
      <c r="A12" s="5"/>
      <c r="B12" s="36" t="s">
        <v>54</v>
      </c>
      <c r="C12" s="22"/>
      <c r="O12" s="11"/>
      <c r="P12" s="11"/>
      <c r="Q12" s="11"/>
      <c r="AM12" s="4"/>
      <c r="AR12" s="59">
        <v>9.6</v>
      </c>
      <c r="BN12" s="4"/>
      <c r="BS12" s="59">
        <v>9.6</v>
      </c>
      <c r="CO12" s="4"/>
      <c r="CT12" s="59">
        <v>9.6</v>
      </c>
      <c r="DQ12" s="4"/>
      <c r="DV12" s="59">
        <v>9.6</v>
      </c>
      <c r="EQ12" s="4"/>
      <c r="EV12" s="59">
        <v>9.6</v>
      </c>
      <c r="FQ12" s="4"/>
      <c r="FV12" s="59">
        <v>9.6</v>
      </c>
      <c r="GQ12" s="4"/>
      <c r="GV12" s="59">
        <v>9.6</v>
      </c>
      <c r="HQ12" s="4"/>
      <c r="HV12" s="59">
        <v>9.6</v>
      </c>
      <c r="IQ12" s="4"/>
      <c r="IV12" s="59">
        <v>9.6</v>
      </c>
      <c r="JQ12" s="4"/>
      <c r="JV12" s="59">
        <v>9.6</v>
      </c>
      <c r="KQ12" s="4"/>
      <c r="KV12" s="59">
        <v>9.6</v>
      </c>
      <c r="LQ12" s="4"/>
      <c r="LV12" s="59">
        <v>9.6</v>
      </c>
      <c r="MQ12" s="4"/>
      <c r="MV12" s="59">
        <v>9.6</v>
      </c>
      <c r="NQ12" s="4"/>
      <c r="NV12" s="59">
        <v>9.6</v>
      </c>
      <c r="OQ12" s="4"/>
      <c r="OV12" s="59">
        <v>9.6</v>
      </c>
    </row>
    <row r="13" spans="1:439" ht="17" hidden="1" x14ac:dyDescent="0.2">
      <c r="A13" s="5"/>
      <c r="B13" s="44" t="s">
        <v>59</v>
      </c>
      <c r="C13" s="22"/>
      <c r="O13" s="11"/>
      <c r="P13" s="11"/>
      <c r="Q13" s="11"/>
      <c r="AM13" s="4"/>
      <c r="AR13" s="65">
        <v>1000</v>
      </c>
      <c r="BN13" s="4"/>
      <c r="BS13" s="65">
        <v>1000</v>
      </c>
      <c r="CO13" s="4"/>
      <c r="CT13" s="65">
        <v>1000</v>
      </c>
      <c r="DQ13" s="4"/>
      <c r="DV13" s="65">
        <v>1000</v>
      </c>
      <c r="EQ13" s="4"/>
      <c r="EV13" s="65">
        <v>1000</v>
      </c>
      <c r="FQ13" s="4"/>
      <c r="FV13" s="65">
        <v>1000</v>
      </c>
      <c r="GQ13" s="4"/>
      <c r="GV13" s="65">
        <v>1000</v>
      </c>
      <c r="HQ13" s="4"/>
      <c r="HV13" s="65">
        <v>1000</v>
      </c>
      <c r="IQ13" s="4"/>
      <c r="IV13" s="65">
        <v>1000</v>
      </c>
      <c r="JQ13" s="4"/>
      <c r="JV13" s="65">
        <v>1000</v>
      </c>
      <c r="KQ13" s="4"/>
      <c r="KV13" s="65">
        <v>1000</v>
      </c>
      <c r="LQ13" s="4"/>
      <c r="LV13" s="65">
        <v>1000</v>
      </c>
      <c r="MQ13" s="4"/>
      <c r="MV13" s="65">
        <v>1000</v>
      </c>
      <c r="NQ13" s="4"/>
      <c r="NV13" s="65">
        <v>1000</v>
      </c>
      <c r="OQ13" s="4"/>
      <c r="OV13" s="65">
        <v>1000</v>
      </c>
    </row>
    <row r="14" spans="1:439" ht="17" x14ac:dyDescent="0.2">
      <c r="A14" s="5"/>
      <c r="B14" s="42" t="s">
        <v>39</v>
      </c>
      <c r="C14" s="22"/>
      <c r="O14" s="11"/>
      <c r="P14" s="11"/>
      <c r="Q14" s="11"/>
      <c r="AM14" s="4"/>
      <c r="AR14" s="66">
        <v>45.5</v>
      </c>
      <c r="BN14" s="4"/>
      <c r="BS14" s="66">
        <v>45.5</v>
      </c>
      <c r="CO14" s="4"/>
      <c r="CT14" s="66">
        <v>45.5</v>
      </c>
      <c r="DQ14" s="4"/>
      <c r="DV14" s="66">
        <v>45.5</v>
      </c>
      <c r="EQ14" s="4"/>
      <c r="EV14" s="66">
        <v>45.5</v>
      </c>
      <c r="FQ14" s="4"/>
      <c r="FV14" s="66">
        <v>45.5</v>
      </c>
      <c r="GQ14" s="4"/>
      <c r="GV14" s="66">
        <v>45.5</v>
      </c>
      <c r="HQ14" s="4"/>
      <c r="HV14" s="66">
        <v>45.5</v>
      </c>
      <c r="IQ14" s="4"/>
      <c r="IV14" s="66">
        <v>45.5</v>
      </c>
      <c r="JQ14" s="4"/>
      <c r="JV14" s="66">
        <v>45.5</v>
      </c>
      <c r="KQ14" s="4"/>
      <c r="KV14" s="66">
        <v>45.5</v>
      </c>
      <c r="LQ14" s="4"/>
      <c r="LV14" s="66">
        <v>45.5</v>
      </c>
      <c r="MQ14" s="4"/>
      <c r="MV14" s="66">
        <v>45.5</v>
      </c>
      <c r="NQ14" s="4"/>
      <c r="NV14" s="66">
        <v>45.5</v>
      </c>
      <c r="OQ14" s="4"/>
      <c r="OV14" s="66">
        <v>45.5</v>
      </c>
    </row>
    <row r="15" spans="1:439" ht="17" hidden="1" x14ac:dyDescent="0.2">
      <c r="A15" s="5"/>
      <c r="B15" s="29" t="s">
        <v>40</v>
      </c>
      <c r="C15" s="22"/>
      <c r="O15" s="11"/>
      <c r="P15" s="11"/>
      <c r="Q15" s="11"/>
      <c r="AM15" s="4"/>
      <c r="AR15" s="62">
        <f>AR16</f>
        <v>47.1</v>
      </c>
      <c r="BN15" s="4"/>
      <c r="BS15" s="62">
        <f>BS16</f>
        <v>47.1</v>
      </c>
      <c r="CO15" s="4"/>
      <c r="CT15" s="62">
        <f>CT16</f>
        <v>47.1</v>
      </c>
      <c r="DQ15" s="4"/>
      <c r="DV15" s="62">
        <f>DV16</f>
        <v>47.1</v>
      </c>
      <c r="EQ15" s="4"/>
      <c r="EV15" s="62">
        <f>EV16</f>
        <v>47.1</v>
      </c>
      <c r="FQ15" s="4"/>
      <c r="FV15" s="62">
        <f>FV16</f>
        <v>47.1</v>
      </c>
      <c r="GQ15" s="4"/>
      <c r="GV15" s="62">
        <f>GV16</f>
        <v>47.1</v>
      </c>
      <c r="HQ15" s="4"/>
      <c r="HV15" s="62">
        <f>HV16</f>
        <v>47.1</v>
      </c>
      <c r="IQ15" s="4"/>
      <c r="IV15" s="62">
        <f>IV16</f>
        <v>47.1</v>
      </c>
      <c r="JQ15" s="4"/>
      <c r="JV15" s="62">
        <f>JV16</f>
        <v>47.1</v>
      </c>
      <c r="KQ15" s="4"/>
      <c r="KV15" s="62">
        <f>KV16</f>
        <v>47.1</v>
      </c>
      <c r="LQ15" s="4"/>
      <c r="LV15" s="62">
        <f>LV16</f>
        <v>47.1</v>
      </c>
      <c r="MQ15" s="4"/>
      <c r="MV15" s="62">
        <f>MV16</f>
        <v>47.1</v>
      </c>
      <c r="NQ15" s="4"/>
      <c r="NV15" s="62">
        <f>NV16</f>
        <v>47.1</v>
      </c>
      <c r="OQ15" s="4"/>
      <c r="OV15" s="62">
        <f>OV16</f>
        <v>47.1</v>
      </c>
    </row>
    <row r="16" spans="1:439" ht="17" x14ac:dyDescent="0.2">
      <c r="A16" s="5"/>
      <c r="B16" s="40" t="s">
        <v>53</v>
      </c>
      <c r="C16" s="22"/>
      <c r="O16" s="11"/>
      <c r="P16" s="11"/>
      <c r="Q16" s="11"/>
      <c r="AM16" s="4"/>
      <c r="AR16" s="63">
        <v>47.1</v>
      </c>
      <c r="BN16" s="4"/>
      <c r="BS16" s="63">
        <v>47.1</v>
      </c>
      <c r="CO16" s="4"/>
      <c r="CT16" s="63">
        <v>47.1</v>
      </c>
      <c r="DQ16" s="4"/>
      <c r="DV16" s="63">
        <v>47.1</v>
      </c>
      <c r="EQ16" s="4"/>
      <c r="EV16" s="63">
        <v>47.1</v>
      </c>
      <c r="FQ16" s="4"/>
      <c r="FV16" s="63">
        <v>47.1</v>
      </c>
      <c r="GQ16" s="4"/>
      <c r="GV16" s="63">
        <v>47.1</v>
      </c>
      <c r="HQ16" s="4"/>
      <c r="HV16" s="63">
        <v>47.1</v>
      </c>
      <c r="IQ16" s="4"/>
      <c r="IV16" s="63">
        <v>47.1</v>
      </c>
      <c r="JQ16" s="4"/>
      <c r="JV16" s="63">
        <v>47.1</v>
      </c>
      <c r="KQ16" s="4"/>
      <c r="KV16" s="63">
        <v>47.1</v>
      </c>
      <c r="LQ16" s="4"/>
      <c r="LV16" s="63">
        <v>47.1</v>
      </c>
      <c r="MQ16" s="4"/>
      <c r="MV16" s="63">
        <v>47.1</v>
      </c>
      <c r="NQ16" s="4"/>
      <c r="NV16" s="63">
        <v>47.1</v>
      </c>
      <c r="OQ16" s="4"/>
      <c r="OV16" s="63">
        <v>47.1</v>
      </c>
    </row>
    <row r="17" spans="1:412" ht="17" hidden="1" x14ac:dyDescent="0.2">
      <c r="A17" s="5"/>
      <c r="B17" s="30" t="s">
        <v>26</v>
      </c>
      <c r="C17" s="22"/>
      <c r="O17" s="11"/>
      <c r="P17" s="11"/>
      <c r="Q17" s="11"/>
      <c r="AM17" s="4"/>
      <c r="AR17" s="64">
        <v>1000</v>
      </c>
      <c r="BN17" s="4"/>
      <c r="BS17" s="64">
        <v>1000</v>
      </c>
      <c r="CO17" s="4"/>
      <c r="CT17" s="64">
        <v>1000</v>
      </c>
      <c r="DQ17" s="4"/>
      <c r="DV17" s="64">
        <v>1000</v>
      </c>
      <c r="EQ17" s="4"/>
      <c r="EV17" s="64">
        <v>1000</v>
      </c>
      <c r="FQ17" s="4"/>
      <c r="FV17" s="64">
        <v>1000</v>
      </c>
      <c r="GQ17" s="4"/>
      <c r="GV17" s="64">
        <v>1000</v>
      </c>
      <c r="HQ17" s="4"/>
      <c r="HV17" s="64">
        <v>1000</v>
      </c>
      <c r="IQ17" s="4"/>
      <c r="IV17" s="64">
        <v>1000</v>
      </c>
      <c r="JQ17" s="4"/>
      <c r="JV17" s="64">
        <v>1000</v>
      </c>
      <c r="KQ17" s="4"/>
      <c r="KV17" s="64">
        <v>1000</v>
      </c>
      <c r="LQ17" s="4"/>
      <c r="LV17" s="64">
        <v>1000</v>
      </c>
      <c r="MQ17" s="4"/>
      <c r="MV17" s="64">
        <v>1000</v>
      </c>
      <c r="NQ17" s="4"/>
      <c r="NV17" s="64">
        <v>1000</v>
      </c>
      <c r="OQ17" s="4"/>
      <c r="OV17" s="64">
        <v>1000</v>
      </c>
    </row>
    <row r="18" spans="1:412" x14ac:dyDescent="0.2">
      <c r="B18" s="34" t="s">
        <v>45</v>
      </c>
      <c r="C18" s="2"/>
    </row>
    <row r="19" spans="1:412" x14ac:dyDescent="0.2">
      <c r="A19" s="5"/>
      <c r="B19" s="5"/>
      <c r="C19" s="22"/>
    </row>
    <row r="20" spans="1:412" x14ac:dyDescent="0.2">
      <c r="A20" s="5"/>
      <c r="B20" s="5"/>
      <c r="C20" s="22"/>
    </row>
    <row r="21" spans="1:412" x14ac:dyDescent="0.2">
      <c r="A21" s="5"/>
      <c r="B21" s="5"/>
      <c r="C21" s="22"/>
    </row>
    <row r="22" spans="1:412" x14ac:dyDescent="0.2">
      <c r="A22" s="5"/>
      <c r="B22" s="5"/>
      <c r="C22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6:PW7">
      <sortCondition descending="1" ref="F1:F8"/>
    </sortState>
  </autoFilter>
  <mergeCells count="114"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</mergeCells>
  <conditionalFormatting sqref="R4:AR7">
    <cfRule type="expression" dxfId="28" priority="2" stopIfTrue="1">
      <formula>IF($AL4&lt;&gt;"",1,0)</formula>
    </cfRule>
  </conditionalFormatting>
  <conditionalFormatting sqref="AS4:BS7">
    <cfRule type="expression" dxfId="27" priority="3" stopIfTrue="1">
      <formula>IF($BM4&lt;&gt;"",1,0)</formula>
    </cfRule>
  </conditionalFormatting>
  <conditionalFormatting sqref="J1:J1048576 L1:L1048576 N1:N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7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AR$13</formula>
      <formula>1000</formula>
    </cfRule>
    <cfRule type="cellIs" dxfId="14" priority="58571" operator="between">
      <formula>AR$12</formula>
      <formula>AR$13</formula>
    </cfRule>
    <cfRule type="cellIs" dxfId="13" priority="58572" operator="between">
      <formula>AR$11</formula>
      <formula>AR$12</formula>
    </cfRule>
    <cfRule type="cellIs" dxfId="12" priority="58573" operator="between">
      <formula>AR$10</formula>
      <formula>AR$11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AR$17</formula>
      <formula>1000</formula>
    </cfRule>
    <cfRule type="cellIs" dxfId="10" priority="58751" operator="between">
      <formula>AR$16</formula>
      <formula>AR$17</formula>
    </cfRule>
    <cfRule type="cellIs" dxfId="9" priority="58752" operator="between">
      <formula>AR$15</formula>
      <formula>AR$16</formula>
    </cfRule>
    <cfRule type="cellIs" dxfId="8" priority="58753" operator="between">
      <formula>AR$14</formula>
      <formula>AR$15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AR$10</formula>
      <formula>AR$11</formula>
    </cfRule>
    <cfRule type="cellIs" dxfId="6" priority="58931" operator="between">
      <formula>AR$11</formula>
      <formula>AR$12</formula>
    </cfRule>
    <cfRule type="cellIs" dxfId="5" priority="58932" operator="between">
      <formula>AR$12</formula>
      <formula>AR$13</formula>
    </cfRule>
    <cfRule type="cellIs" dxfId="4" priority="58933" operator="between">
      <formula>AR$13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AR$14</formula>
      <formula>AR$15</formula>
    </cfRule>
    <cfRule type="cellIs" dxfId="2" priority="59111" operator="between">
      <formula>AR$15</formula>
      <formula>AR$16</formula>
    </cfRule>
    <cfRule type="cellIs" dxfId="1" priority="59112" operator="between">
      <formula>AR$16</formula>
      <formula>AR$17</formula>
    </cfRule>
    <cfRule type="cellIs" dxfId="0" priority="59113" operator="between">
      <formula>AR$17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2024-05-27T15:22:31Z</dcterms:modified>
</cp:coreProperties>
</file>