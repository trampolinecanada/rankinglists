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63A2EFBF-1270-3F4E-9701-DD8BD3F9C3D9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'DMT-M'!$A$1:$PW$3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R16" i="17" l="1"/>
  <c r="BQ16" i="17"/>
  <c r="BP16" i="17"/>
  <c r="BO16" i="17"/>
  <c r="BS16" i="17" s="1"/>
  <c r="BN16" i="17"/>
  <c r="BR15" i="17"/>
  <c r="BQ15" i="17"/>
  <c r="BP15" i="17"/>
  <c r="BO15" i="17"/>
  <c r="BN15" i="17"/>
  <c r="BR11" i="17"/>
  <c r="BQ11" i="17"/>
  <c r="BP11" i="17"/>
  <c r="BS11" i="17" s="1"/>
  <c r="BO11" i="17"/>
  <c r="BN11" i="17"/>
  <c r="BR9" i="17"/>
  <c r="BQ9" i="17"/>
  <c r="BP9" i="17"/>
  <c r="BO9" i="17"/>
  <c r="BN9" i="17"/>
  <c r="BR14" i="17"/>
  <c r="BQ14" i="17"/>
  <c r="BP14" i="17"/>
  <c r="BO14" i="17"/>
  <c r="BS14" i="17" s="1"/>
  <c r="BN14" i="17"/>
  <c r="BR13" i="17"/>
  <c r="BQ13" i="17"/>
  <c r="BP13" i="17"/>
  <c r="BO13" i="17"/>
  <c r="BN13" i="17"/>
  <c r="BR12" i="17"/>
  <c r="BQ12" i="17"/>
  <c r="BP12" i="17"/>
  <c r="BO12" i="17"/>
  <c r="BN12" i="17"/>
  <c r="BR10" i="17"/>
  <c r="BQ10" i="17"/>
  <c r="BP10" i="17"/>
  <c r="BO10" i="17"/>
  <c r="BN10" i="17"/>
  <c r="BR8" i="17"/>
  <c r="BQ8" i="17"/>
  <c r="BP8" i="17"/>
  <c r="BO8" i="17"/>
  <c r="BN8" i="17"/>
  <c r="BR7" i="17"/>
  <c r="BQ7" i="17"/>
  <c r="BP7" i="17"/>
  <c r="BO7" i="17"/>
  <c r="BS7" i="17" s="1"/>
  <c r="BN7" i="17"/>
  <c r="BR6" i="17"/>
  <c r="BQ6" i="17"/>
  <c r="BP6" i="17"/>
  <c r="BO6" i="17"/>
  <c r="BN6" i="17"/>
  <c r="BR5" i="17"/>
  <c r="BQ5" i="17"/>
  <c r="BP5" i="17"/>
  <c r="BO5" i="17"/>
  <c r="BS5" i="17" s="1"/>
  <c r="BN5" i="17"/>
  <c r="BR4" i="17"/>
  <c r="BQ4" i="17"/>
  <c r="BP4" i="17"/>
  <c r="BO4" i="17"/>
  <c r="BN4" i="17"/>
  <c r="AQ16" i="17"/>
  <c r="AP16" i="17"/>
  <c r="AO16" i="17"/>
  <c r="AN16" i="17"/>
  <c r="AM16" i="17"/>
  <c r="AQ15" i="17"/>
  <c r="AP15" i="17"/>
  <c r="AO15" i="17"/>
  <c r="AN15" i="17"/>
  <c r="AR15" i="17" s="1"/>
  <c r="AM15" i="17"/>
  <c r="AQ11" i="17"/>
  <c r="AP11" i="17"/>
  <c r="AO11" i="17"/>
  <c r="AN11" i="17"/>
  <c r="AM11" i="17"/>
  <c r="AQ9" i="17"/>
  <c r="AP9" i="17"/>
  <c r="AO9" i="17"/>
  <c r="AN9" i="17"/>
  <c r="AM9" i="17"/>
  <c r="AQ14" i="17"/>
  <c r="AP14" i="17"/>
  <c r="AO14" i="17"/>
  <c r="AN14" i="17"/>
  <c r="AM14" i="17"/>
  <c r="AQ13" i="17"/>
  <c r="AP13" i="17"/>
  <c r="AO13" i="17"/>
  <c r="AN13" i="17"/>
  <c r="AM13" i="17"/>
  <c r="AQ12" i="17"/>
  <c r="AP12" i="17"/>
  <c r="AO12" i="17"/>
  <c r="AN12" i="17"/>
  <c r="AM12" i="17"/>
  <c r="AQ10" i="17"/>
  <c r="AP10" i="17"/>
  <c r="AO10" i="17"/>
  <c r="AN10" i="17"/>
  <c r="AM10" i="17"/>
  <c r="AQ8" i="17"/>
  <c r="AP8" i="17"/>
  <c r="AO8" i="17"/>
  <c r="AN8" i="17"/>
  <c r="AM8" i="17"/>
  <c r="AQ7" i="17"/>
  <c r="AP7" i="17"/>
  <c r="AO7" i="17"/>
  <c r="AN7" i="17"/>
  <c r="AM7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R4" i="17" s="1"/>
  <c r="AM4" i="17"/>
  <c r="BR15" i="16"/>
  <c r="BQ15" i="16"/>
  <c r="BP15" i="16"/>
  <c r="BO15" i="16"/>
  <c r="BN15" i="16"/>
  <c r="BR14" i="16"/>
  <c r="BQ14" i="16"/>
  <c r="BP14" i="16"/>
  <c r="BO14" i="16"/>
  <c r="BS14" i="16" s="1"/>
  <c r="BN14" i="16"/>
  <c r="BR12" i="16"/>
  <c r="BQ12" i="16"/>
  <c r="BP12" i="16"/>
  <c r="BO12" i="16"/>
  <c r="BN12" i="16"/>
  <c r="BR13" i="16"/>
  <c r="BS13" i="16" s="1"/>
  <c r="BQ13" i="16"/>
  <c r="BP13" i="16"/>
  <c r="BO13" i="16"/>
  <c r="BN13" i="16"/>
  <c r="BR10" i="16"/>
  <c r="BQ10" i="16"/>
  <c r="BP10" i="16"/>
  <c r="BO10" i="16"/>
  <c r="BN10" i="16"/>
  <c r="BR7" i="16"/>
  <c r="BQ7" i="16"/>
  <c r="BP7" i="16"/>
  <c r="BO7" i="16"/>
  <c r="BN7" i="16"/>
  <c r="BR9" i="16"/>
  <c r="BQ9" i="16"/>
  <c r="BP9" i="16"/>
  <c r="BO9" i="16"/>
  <c r="BN9" i="16"/>
  <c r="BR11" i="16"/>
  <c r="BQ11" i="16"/>
  <c r="BP11" i="16"/>
  <c r="BO11" i="16"/>
  <c r="BN11" i="16"/>
  <c r="BR8" i="16"/>
  <c r="BQ8" i="16"/>
  <c r="BP8" i="16"/>
  <c r="BO8" i="16"/>
  <c r="BN8" i="16"/>
  <c r="BR6" i="16"/>
  <c r="BQ6" i="16"/>
  <c r="BP6" i="16"/>
  <c r="BO6" i="16"/>
  <c r="BS6" i="16" s="1"/>
  <c r="BN6" i="16"/>
  <c r="BR5" i="16"/>
  <c r="BQ5" i="16"/>
  <c r="BP5" i="16"/>
  <c r="BO5" i="16"/>
  <c r="BS5" i="16" s="1"/>
  <c r="BN5" i="16"/>
  <c r="BR4" i="16"/>
  <c r="BQ4" i="16"/>
  <c r="BP4" i="16"/>
  <c r="BO4" i="16"/>
  <c r="BN4" i="16"/>
  <c r="AQ15" i="16"/>
  <c r="AP15" i="16"/>
  <c r="AO15" i="16"/>
  <c r="AN15" i="16"/>
  <c r="AR15" i="16" s="1"/>
  <c r="AM15" i="16"/>
  <c r="AQ14" i="16"/>
  <c r="AP14" i="16"/>
  <c r="AO14" i="16"/>
  <c r="AN14" i="16"/>
  <c r="AR14" i="16" s="1"/>
  <c r="AM14" i="16"/>
  <c r="AQ12" i="16"/>
  <c r="AP12" i="16"/>
  <c r="AO12" i="16"/>
  <c r="AN12" i="16"/>
  <c r="AM12" i="16"/>
  <c r="AQ13" i="16"/>
  <c r="AP13" i="16"/>
  <c r="AO13" i="16"/>
  <c r="AN13" i="16"/>
  <c r="AM13" i="16"/>
  <c r="AQ10" i="16"/>
  <c r="AP10" i="16"/>
  <c r="AO10" i="16"/>
  <c r="AN10" i="16"/>
  <c r="AM10" i="16"/>
  <c r="AQ7" i="16"/>
  <c r="AP7" i="16"/>
  <c r="AO7" i="16"/>
  <c r="AN7" i="16"/>
  <c r="AM7" i="16"/>
  <c r="AQ9" i="16"/>
  <c r="AP9" i="16"/>
  <c r="AO9" i="16"/>
  <c r="AN9" i="16"/>
  <c r="AM9" i="16"/>
  <c r="AQ11" i="16"/>
  <c r="AP11" i="16"/>
  <c r="AO11" i="16"/>
  <c r="AN11" i="16"/>
  <c r="AM11" i="16"/>
  <c r="AQ8" i="16"/>
  <c r="AP8" i="16"/>
  <c r="AO8" i="16"/>
  <c r="AN8" i="16"/>
  <c r="AM8" i="16"/>
  <c r="AQ6" i="16"/>
  <c r="AP6" i="16"/>
  <c r="AO6" i="16"/>
  <c r="AN6" i="16"/>
  <c r="AM6" i="16"/>
  <c r="AQ5" i="16"/>
  <c r="AP5" i="16"/>
  <c r="AO5" i="16"/>
  <c r="AN5" i="16"/>
  <c r="AM5" i="16"/>
  <c r="AQ4" i="16"/>
  <c r="AP4" i="16"/>
  <c r="AO4" i="16"/>
  <c r="AN4" i="16"/>
  <c r="AM4" i="16"/>
  <c r="BR9" i="15"/>
  <c r="BQ9" i="15"/>
  <c r="BP9" i="15"/>
  <c r="BO9" i="15"/>
  <c r="BN9" i="15"/>
  <c r="BR8" i="15"/>
  <c r="BQ8" i="15"/>
  <c r="BP8" i="15"/>
  <c r="BO8" i="15"/>
  <c r="BS8" i="15" s="1"/>
  <c r="BN8" i="15"/>
  <c r="BR7" i="15"/>
  <c r="BQ7" i="15"/>
  <c r="BP7" i="15"/>
  <c r="BO7" i="15"/>
  <c r="BN7" i="15"/>
  <c r="BR6" i="15"/>
  <c r="BQ6" i="15"/>
  <c r="BP6" i="15"/>
  <c r="BO6" i="15"/>
  <c r="BN6" i="15"/>
  <c r="BR5" i="15"/>
  <c r="BQ5" i="15"/>
  <c r="BP5" i="15"/>
  <c r="BO5" i="15"/>
  <c r="BS5" i="15" s="1"/>
  <c r="BN5" i="15"/>
  <c r="BR4" i="15"/>
  <c r="BQ4" i="15"/>
  <c r="BP4" i="15"/>
  <c r="BO4" i="15"/>
  <c r="BS4" i="15" s="1"/>
  <c r="BN4" i="15"/>
  <c r="AQ9" i="15"/>
  <c r="AP9" i="15"/>
  <c r="AO9" i="15"/>
  <c r="AN9" i="15"/>
  <c r="AM9" i="15"/>
  <c r="AQ8" i="15"/>
  <c r="AP8" i="15"/>
  <c r="AO8" i="15"/>
  <c r="AN8" i="15"/>
  <c r="AM8" i="15"/>
  <c r="AQ7" i="15"/>
  <c r="AP7" i="15"/>
  <c r="AO7" i="15"/>
  <c r="AN7" i="15"/>
  <c r="AM7" i="15"/>
  <c r="AQ6" i="15"/>
  <c r="AP6" i="15"/>
  <c r="AO6" i="15"/>
  <c r="AN6" i="15"/>
  <c r="AM6" i="15"/>
  <c r="AQ5" i="15"/>
  <c r="AP5" i="15"/>
  <c r="AO5" i="15"/>
  <c r="AN5" i="15"/>
  <c r="AM5" i="15"/>
  <c r="AQ4" i="15"/>
  <c r="AP4" i="15"/>
  <c r="AO4" i="15"/>
  <c r="AN4" i="15"/>
  <c r="AM4" i="15"/>
  <c r="BR5" i="14"/>
  <c r="BQ5" i="14"/>
  <c r="BP5" i="14"/>
  <c r="BO5" i="14"/>
  <c r="BS5" i="14" s="1"/>
  <c r="BN5" i="14"/>
  <c r="BR4" i="14"/>
  <c r="BQ4" i="14"/>
  <c r="BP4" i="14"/>
  <c r="BO4" i="14"/>
  <c r="BS4" i="14" s="1"/>
  <c r="BN4" i="14"/>
  <c r="AQ5" i="14"/>
  <c r="AP5" i="14"/>
  <c r="AO5" i="14"/>
  <c r="AN5" i="14"/>
  <c r="AM5" i="14"/>
  <c r="AQ4" i="14"/>
  <c r="AP4" i="14"/>
  <c r="AO4" i="14"/>
  <c r="AN4" i="14"/>
  <c r="AM4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9" i="13"/>
  <c r="BY9" i="13"/>
  <c r="BW9" i="13"/>
  <c r="BV9" i="13"/>
  <c r="BU9" i="13"/>
  <c r="BT9" i="13"/>
  <c r="BS9" i="13"/>
  <c r="BZ8" i="13"/>
  <c r="BY8" i="13"/>
  <c r="BW8" i="13"/>
  <c r="BV8" i="13"/>
  <c r="BU8" i="13"/>
  <c r="BT8" i="13"/>
  <c r="BS8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BZ6" i="13"/>
  <c r="BY6" i="13"/>
  <c r="BW6" i="13"/>
  <c r="BV6" i="13"/>
  <c r="BU6" i="13"/>
  <c r="BT6" i="13"/>
  <c r="BS6" i="13"/>
  <c r="BZ7" i="13"/>
  <c r="BY7" i="13"/>
  <c r="BW7" i="13"/>
  <c r="BV7" i="13"/>
  <c r="BU7" i="13"/>
  <c r="BX7" i="13" s="1"/>
  <c r="CA7" i="13" s="1"/>
  <c r="BT7" i="13"/>
  <c r="BS7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9" i="13"/>
  <c r="AU9" i="13"/>
  <c r="AS9" i="13"/>
  <c r="AR9" i="13"/>
  <c r="AQ9" i="13"/>
  <c r="AP9" i="13"/>
  <c r="AO9" i="13"/>
  <c r="AV8" i="13"/>
  <c r="AU8" i="13"/>
  <c r="AS8" i="13"/>
  <c r="AR8" i="13"/>
  <c r="AQ8" i="13"/>
  <c r="AP8" i="13"/>
  <c r="AO8" i="13"/>
  <c r="AV5" i="13"/>
  <c r="AU5" i="13"/>
  <c r="AS5" i="13"/>
  <c r="AR5" i="13"/>
  <c r="AQ5" i="13"/>
  <c r="AT5" i="13" s="1"/>
  <c r="AW5" i="13" s="1"/>
  <c r="AP5" i="13"/>
  <c r="AO5" i="13"/>
  <c r="AV4" i="13"/>
  <c r="AU4" i="13"/>
  <c r="AS4" i="13"/>
  <c r="AR4" i="13"/>
  <c r="AQ4" i="13"/>
  <c r="AP4" i="13"/>
  <c r="AO4" i="13"/>
  <c r="AV6" i="13"/>
  <c r="AU6" i="13"/>
  <c r="AS6" i="13"/>
  <c r="AR6" i="13"/>
  <c r="AQ6" i="13"/>
  <c r="AP6" i="13"/>
  <c r="AO6" i="13"/>
  <c r="AV7" i="13"/>
  <c r="AU7" i="13"/>
  <c r="AS7" i="13"/>
  <c r="AR7" i="13"/>
  <c r="AQ7" i="13"/>
  <c r="AP7" i="13"/>
  <c r="AO7" i="13"/>
  <c r="BZ14" i="4"/>
  <c r="BY14" i="4"/>
  <c r="BW14" i="4"/>
  <c r="BV14" i="4"/>
  <c r="BU14" i="4"/>
  <c r="BT14" i="4"/>
  <c r="BS14" i="4"/>
  <c r="BZ11" i="4"/>
  <c r="BY11" i="4"/>
  <c r="BW11" i="4"/>
  <c r="BV11" i="4"/>
  <c r="BU11" i="4"/>
  <c r="BT11" i="4"/>
  <c r="BS11" i="4"/>
  <c r="BZ9" i="4"/>
  <c r="BY9" i="4"/>
  <c r="BW9" i="4"/>
  <c r="BV9" i="4"/>
  <c r="BU9" i="4"/>
  <c r="BT9" i="4"/>
  <c r="BS9" i="4"/>
  <c r="BZ13" i="4"/>
  <c r="BY13" i="4"/>
  <c r="BW13" i="4"/>
  <c r="BV13" i="4"/>
  <c r="BU13" i="4"/>
  <c r="BT13" i="4"/>
  <c r="BS13" i="4"/>
  <c r="BZ8" i="4"/>
  <c r="BY8" i="4"/>
  <c r="BW8" i="4"/>
  <c r="BX8" i="4" s="1"/>
  <c r="CA8" i="4" s="1"/>
  <c r="BV8" i="4"/>
  <c r="BU8" i="4"/>
  <c r="BT8" i="4"/>
  <c r="BS8" i="4"/>
  <c r="BZ5" i="4"/>
  <c r="BY5" i="4"/>
  <c r="BW5" i="4"/>
  <c r="BV5" i="4"/>
  <c r="BU5" i="4"/>
  <c r="BT5" i="4"/>
  <c r="BS5" i="4"/>
  <c r="BZ12" i="4"/>
  <c r="BY12" i="4"/>
  <c r="BW12" i="4"/>
  <c r="BV12" i="4"/>
  <c r="BU12" i="4"/>
  <c r="BT12" i="4"/>
  <c r="BS12" i="4"/>
  <c r="BZ10" i="4"/>
  <c r="BY10" i="4"/>
  <c r="BW10" i="4"/>
  <c r="BV10" i="4"/>
  <c r="BU10" i="4"/>
  <c r="BT10" i="4"/>
  <c r="BS10" i="4"/>
  <c r="BZ7" i="4"/>
  <c r="BY7" i="4"/>
  <c r="BW7" i="4"/>
  <c r="BX7" i="4" s="1"/>
  <c r="CA7" i="4" s="1"/>
  <c r="BV7" i="4"/>
  <c r="BU7" i="4"/>
  <c r="BT7" i="4"/>
  <c r="BS7" i="4"/>
  <c r="BZ6" i="4"/>
  <c r="BY6" i="4"/>
  <c r="BW6" i="4"/>
  <c r="BV6" i="4"/>
  <c r="BU6" i="4"/>
  <c r="BT6" i="4"/>
  <c r="BS6" i="4"/>
  <c r="BX6" i="4" s="1"/>
  <c r="CA6" i="4" s="1"/>
  <c r="BZ4" i="4"/>
  <c r="BY4" i="4"/>
  <c r="BW4" i="4"/>
  <c r="BV4" i="4"/>
  <c r="BU4" i="4"/>
  <c r="BT4" i="4"/>
  <c r="BS4" i="4"/>
  <c r="AV14" i="4"/>
  <c r="AU14" i="4"/>
  <c r="AS14" i="4"/>
  <c r="AR14" i="4"/>
  <c r="AQ14" i="4"/>
  <c r="AP14" i="4"/>
  <c r="AO14" i="4"/>
  <c r="AT14" i="4" s="1"/>
  <c r="AW14" i="4" s="1"/>
  <c r="AV11" i="4"/>
  <c r="AU11" i="4"/>
  <c r="AS11" i="4"/>
  <c r="AR11" i="4"/>
  <c r="AQ11" i="4"/>
  <c r="AP11" i="4"/>
  <c r="AO11" i="4"/>
  <c r="AV9" i="4"/>
  <c r="AU9" i="4"/>
  <c r="AS9" i="4"/>
  <c r="AR9" i="4"/>
  <c r="AQ9" i="4"/>
  <c r="AP9" i="4"/>
  <c r="AO9" i="4"/>
  <c r="AT9" i="4" s="1"/>
  <c r="AW9" i="4" s="1"/>
  <c r="AV13" i="4"/>
  <c r="AU13" i="4"/>
  <c r="AS13" i="4"/>
  <c r="AR13" i="4"/>
  <c r="AQ13" i="4"/>
  <c r="AP13" i="4"/>
  <c r="AO13" i="4"/>
  <c r="AV8" i="4"/>
  <c r="AU8" i="4"/>
  <c r="AS8" i="4"/>
  <c r="AR8" i="4"/>
  <c r="AQ8" i="4"/>
  <c r="AP8" i="4"/>
  <c r="AO8" i="4"/>
  <c r="AV5" i="4"/>
  <c r="AU5" i="4"/>
  <c r="AS5" i="4"/>
  <c r="AR5" i="4"/>
  <c r="AQ5" i="4"/>
  <c r="AP5" i="4"/>
  <c r="AO5" i="4"/>
  <c r="AV12" i="4"/>
  <c r="AU12" i="4"/>
  <c r="AS12" i="4"/>
  <c r="AR12" i="4"/>
  <c r="AQ12" i="4"/>
  <c r="AP12" i="4"/>
  <c r="AO12" i="4"/>
  <c r="AT12" i="4" s="1"/>
  <c r="AW12" i="4" s="1"/>
  <c r="AV10" i="4"/>
  <c r="AU10" i="4"/>
  <c r="AS10" i="4"/>
  <c r="AR10" i="4"/>
  <c r="AQ10" i="4"/>
  <c r="AP10" i="4"/>
  <c r="AO10" i="4"/>
  <c r="AV7" i="4"/>
  <c r="AU7" i="4"/>
  <c r="AS7" i="4"/>
  <c r="AR7" i="4"/>
  <c r="AQ7" i="4"/>
  <c r="AP7" i="4"/>
  <c r="AO7" i="4"/>
  <c r="AT7" i="4" s="1"/>
  <c r="AW7" i="4" s="1"/>
  <c r="AV6" i="4"/>
  <c r="AU6" i="4"/>
  <c r="AS6" i="4"/>
  <c r="AR6" i="4"/>
  <c r="AQ6" i="4"/>
  <c r="AP6" i="4"/>
  <c r="AO6" i="4"/>
  <c r="AV4" i="4"/>
  <c r="AU4" i="4"/>
  <c r="AS4" i="4"/>
  <c r="AR4" i="4"/>
  <c r="AQ4" i="4"/>
  <c r="AP4" i="4"/>
  <c r="AO4" i="4"/>
  <c r="CO9" i="15"/>
  <c r="CP9" i="15"/>
  <c r="CQ9" i="15"/>
  <c r="CR9" i="15"/>
  <c r="CS9" i="15"/>
  <c r="DQ9" i="15"/>
  <c r="DR9" i="15"/>
  <c r="DS9" i="15"/>
  <c r="DT9" i="15"/>
  <c r="DU9" i="15"/>
  <c r="EQ9" i="15"/>
  <c r="ER9" i="15"/>
  <c r="ES9" i="15"/>
  <c r="ET9" i="15"/>
  <c r="EU9" i="15"/>
  <c r="FQ9" i="15"/>
  <c r="FR9" i="15"/>
  <c r="FS9" i="15"/>
  <c r="FT9" i="15"/>
  <c r="FU9" i="15"/>
  <c r="GQ9" i="15"/>
  <c r="GR9" i="15"/>
  <c r="GS9" i="15"/>
  <c r="GT9" i="15"/>
  <c r="GU9" i="15"/>
  <c r="HQ9" i="15"/>
  <c r="HR9" i="15"/>
  <c r="HS9" i="15"/>
  <c r="HT9" i="15"/>
  <c r="HU9" i="15"/>
  <c r="IQ9" i="15"/>
  <c r="IR9" i="15"/>
  <c r="IS9" i="15"/>
  <c r="IT9" i="15"/>
  <c r="IU9" i="15"/>
  <c r="JQ9" i="15"/>
  <c r="JR9" i="15"/>
  <c r="JS9" i="15"/>
  <c r="JT9" i="15"/>
  <c r="JU9" i="15"/>
  <c r="KQ9" i="15"/>
  <c r="KR9" i="15"/>
  <c r="KS9" i="15"/>
  <c r="KT9" i="15"/>
  <c r="KU9" i="15"/>
  <c r="LQ9" i="15"/>
  <c r="LR9" i="15"/>
  <c r="LS9" i="15"/>
  <c r="LT9" i="15"/>
  <c r="LU9" i="15"/>
  <c r="MQ9" i="15"/>
  <c r="MR9" i="15"/>
  <c r="MS9" i="15"/>
  <c r="MT9" i="15"/>
  <c r="MU9" i="15"/>
  <c r="MV9" i="15" s="1"/>
  <c r="NQ9" i="15"/>
  <c r="NR9" i="15"/>
  <c r="NS9" i="15"/>
  <c r="NT9" i="15"/>
  <c r="NU9" i="15"/>
  <c r="OQ9" i="15"/>
  <c r="OR9" i="15"/>
  <c r="OS9" i="15"/>
  <c r="OT9" i="15"/>
  <c r="OU9" i="15"/>
  <c r="OW9" i="15"/>
  <c r="OX9" i="15"/>
  <c r="OY9" i="15"/>
  <c r="OZ9" i="15"/>
  <c r="PA9" i="15"/>
  <c r="PB9" i="15"/>
  <c r="PC9" i="15"/>
  <c r="PD9" i="15"/>
  <c r="PE9" i="15"/>
  <c r="PF9" i="15"/>
  <c r="PG9" i="15"/>
  <c r="PH9" i="15"/>
  <c r="PI9" i="15"/>
  <c r="PJ9" i="15"/>
  <c r="PK9" i="15"/>
  <c r="PL9" i="15"/>
  <c r="PM9" i="15"/>
  <c r="PN9" i="15"/>
  <c r="PO9" i="15"/>
  <c r="PP9" i="15"/>
  <c r="CO15" i="16"/>
  <c r="CP15" i="16"/>
  <c r="CQ15" i="16"/>
  <c r="CR15" i="16"/>
  <c r="CS15" i="16"/>
  <c r="DQ15" i="16"/>
  <c r="DR15" i="16"/>
  <c r="DS15" i="16"/>
  <c r="DT15" i="16"/>
  <c r="DU15" i="16"/>
  <c r="EQ15" i="16"/>
  <c r="ER15" i="16"/>
  <c r="ES15" i="16"/>
  <c r="ET15" i="16"/>
  <c r="EU15" i="16"/>
  <c r="FQ15" i="16"/>
  <c r="FR15" i="16"/>
  <c r="FS15" i="16"/>
  <c r="FT15" i="16"/>
  <c r="FU15" i="16"/>
  <c r="GQ15" i="16"/>
  <c r="GR15" i="16"/>
  <c r="GS15" i="16"/>
  <c r="GT15" i="16"/>
  <c r="GU15" i="16"/>
  <c r="HQ15" i="16"/>
  <c r="HR15" i="16"/>
  <c r="HS15" i="16"/>
  <c r="HT15" i="16"/>
  <c r="HU15" i="16"/>
  <c r="IQ15" i="16"/>
  <c r="IR15" i="16"/>
  <c r="IS15" i="16"/>
  <c r="IT15" i="16"/>
  <c r="IU15" i="16"/>
  <c r="JQ15" i="16"/>
  <c r="JR15" i="16"/>
  <c r="JV15" i="16" s="1"/>
  <c r="JS15" i="16"/>
  <c r="JT15" i="16"/>
  <c r="JU15" i="16"/>
  <c r="KQ15" i="16"/>
  <c r="KR15" i="16"/>
  <c r="KS15" i="16"/>
  <c r="KT15" i="16"/>
  <c r="KU15" i="16"/>
  <c r="LQ15" i="16"/>
  <c r="LR15" i="16"/>
  <c r="LS15" i="16"/>
  <c r="LT15" i="16"/>
  <c r="LU15" i="16"/>
  <c r="MQ15" i="16"/>
  <c r="MR15" i="16"/>
  <c r="MS15" i="16"/>
  <c r="MT15" i="16"/>
  <c r="MU15" i="16"/>
  <c r="NQ15" i="16"/>
  <c r="NR15" i="16"/>
  <c r="NS15" i="16"/>
  <c r="NT15" i="16"/>
  <c r="NU15" i="16"/>
  <c r="OQ15" i="16"/>
  <c r="OR15" i="16"/>
  <c r="OS15" i="16"/>
  <c r="OT15" i="16"/>
  <c r="OU15" i="16"/>
  <c r="OW15" i="16"/>
  <c r="OX15" i="16"/>
  <c r="OY15" i="16"/>
  <c r="OZ15" i="16"/>
  <c r="PA15" i="16"/>
  <c r="PB15" i="16"/>
  <c r="PC15" i="16"/>
  <c r="PD15" i="16"/>
  <c r="PE15" i="16"/>
  <c r="PF15" i="16"/>
  <c r="PG15" i="16"/>
  <c r="PH15" i="16"/>
  <c r="PI15" i="16"/>
  <c r="PJ15" i="16"/>
  <c r="PK15" i="16"/>
  <c r="PL15" i="16"/>
  <c r="PM15" i="16"/>
  <c r="PN15" i="16"/>
  <c r="PO15" i="16"/>
  <c r="PP15" i="16"/>
  <c r="NU16" i="17"/>
  <c r="NT16" i="17"/>
  <c r="NS16" i="17"/>
  <c r="NR16" i="17"/>
  <c r="NQ16" i="17"/>
  <c r="NU15" i="17"/>
  <c r="NT15" i="17"/>
  <c r="NS15" i="17"/>
  <c r="NR15" i="17"/>
  <c r="NV15" i="17" s="1"/>
  <c r="NQ15" i="17"/>
  <c r="NU11" i="17"/>
  <c r="NT11" i="17"/>
  <c r="NS11" i="17"/>
  <c r="NR11" i="17"/>
  <c r="NQ11" i="17"/>
  <c r="NU14" i="17"/>
  <c r="NT14" i="17"/>
  <c r="NS14" i="17"/>
  <c r="NR14" i="17"/>
  <c r="NQ14" i="17"/>
  <c r="NU13" i="17"/>
  <c r="NT13" i="17"/>
  <c r="NS13" i="17"/>
  <c r="NR13" i="17"/>
  <c r="NQ13" i="17"/>
  <c r="NU12" i="17"/>
  <c r="NT12" i="17"/>
  <c r="NS12" i="17"/>
  <c r="NR12" i="17"/>
  <c r="NQ12" i="17"/>
  <c r="NU10" i="17"/>
  <c r="NT10" i="17"/>
  <c r="NS10" i="17"/>
  <c r="NR10" i="17"/>
  <c r="NQ10" i="17"/>
  <c r="NU8" i="17"/>
  <c r="NT8" i="17"/>
  <c r="NS8" i="17"/>
  <c r="NR8" i="17"/>
  <c r="NV8" i="17" s="1"/>
  <c r="NQ8" i="17"/>
  <c r="NU9" i="17"/>
  <c r="NT9" i="17"/>
  <c r="NS9" i="17"/>
  <c r="NR9" i="17"/>
  <c r="NQ9" i="17"/>
  <c r="NU7" i="17"/>
  <c r="NT7" i="17"/>
  <c r="NS7" i="17"/>
  <c r="NR7" i="17"/>
  <c r="NQ7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U16" i="17"/>
  <c r="MT16" i="17"/>
  <c r="MS16" i="17"/>
  <c r="MR16" i="17"/>
  <c r="MQ16" i="17"/>
  <c r="MU15" i="17"/>
  <c r="MT15" i="17"/>
  <c r="MS15" i="17"/>
  <c r="MR15" i="17"/>
  <c r="MQ15" i="17"/>
  <c r="MU11" i="17"/>
  <c r="MT11" i="17"/>
  <c r="MS11" i="17"/>
  <c r="MR11" i="17"/>
  <c r="MQ11" i="17"/>
  <c r="MU14" i="17"/>
  <c r="MT14" i="17"/>
  <c r="MS14" i="17"/>
  <c r="MR14" i="17"/>
  <c r="MQ14" i="17"/>
  <c r="MU13" i="17"/>
  <c r="MT13" i="17"/>
  <c r="MS13" i="17"/>
  <c r="MR13" i="17"/>
  <c r="MQ13" i="17"/>
  <c r="MU12" i="17"/>
  <c r="MT12" i="17"/>
  <c r="MS12" i="17"/>
  <c r="MR12" i="17"/>
  <c r="MQ12" i="17"/>
  <c r="MU10" i="17"/>
  <c r="MT10" i="17"/>
  <c r="MS10" i="17"/>
  <c r="MR10" i="17"/>
  <c r="MQ10" i="17"/>
  <c r="MU8" i="17"/>
  <c r="MT8" i="17"/>
  <c r="MS8" i="17"/>
  <c r="MR8" i="17"/>
  <c r="MQ8" i="17"/>
  <c r="MU9" i="17"/>
  <c r="MT9" i="17"/>
  <c r="MS9" i="17"/>
  <c r="MR9" i="17"/>
  <c r="MQ9" i="17"/>
  <c r="MU7" i="17"/>
  <c r="MT7" i="17"/>
  <c r="MS7" i="17"/>
  <c r="MR7" i="17"/>
  <c r="MQ7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Q4" i="17"/>
  <c r="LU16" i="17"/>
  <c r="LT16" i="17"/>
  <c r="LS16" i="17"/>
  <c r="LR16" i="17"/>
  <c r="LQ16" i="17"/>
  <c r="LU15" i="17"/>
  <c r="LT15" i="17"/>
  <c r="LS15" i="17"/>
  <c r="LR15" i="17"/>
  <c r="LQ15" i="17"/>
  <c r="LU11" i="17"/>
  <c r="LT11" i="17"/>
  <c r="LS11" i="17"/>
  <c r="LR11" i="17"/>
  <c r="LQ11" i="17"/>
  <c r="LU14" i="17"/>
  <c r="LT14" i="17"/>
  <c r="LS14" i="17"/>
  <c r="LR14" i="17"/>
  <c r="LV14" i="17" s="1"/>
  <c r="LQ14" i="17"/>
  <c r="LU13" i="17"/>
  <c r="LT13" i="17"/>
  <c r="LS13" i="17"/>
  <c r="LR13" i="17"/>
  <c r="LQ13" i="17"/>
  <c r="LU12" i="17"/>
  <c r="LT12" i="17"/>
  <c r="LS12" i="17"/>
  <c r="LR12" i="17"/>
  <c r="LQ12" i="17"/>
  <c r="LU10" i="17"/>
  <c r="LT10" i="17"/>
  <c r="LS10" i="17"/>
  <c r="LR10" i="17"/>
  <c r="LQ10" i="17"/>
  <c r="LU8" i="17"/>
  <c r="LT8" i="17"/>
  <c r="LS8" i="17"/>
  <c r="LR8" i="17"/>
  <c r="LQ8" i="17"/>
  <c r="LU9" i="17"/>
  <c r="LT9" i="17"/>
  <c r="LS9" i="17"/>
  <c r="LR9" i="17"/>
  <c r="LQ9" i="17"/>
  <c r="LU7" i="17"/>
  <c r="LT7" i="17"/>
  <c r="LS7" i="17"/>
  <c r="LR7" i="17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U16" i="17"/>
  <c r="KT16" i="17"/>
  <c r="KS16" i="17"/>
  <c r="KR16" i="17"/>
  <c r="KQ16" i="17"/>
  <c r="KU15" i="17"/>
  <c r="KT15" i="17"/>
  <c r="KS15" i="17"/>
  <c r="KR15" i="17"/>
  <c r="KQ15" i="17"/>
  <c r="KU11" i="17"/>
  <c r="KT11" i="17"/>
  <c r="KS11" i="17"/>
  <c r="KR11" i="17"/>
  <c r="KQ11" i="17"/>
  <c r="KU14" i="17"/>
  <c r="KT14" i="17"/>
  <c r="KS14" i="17"/>
  <c r="KR14" i="17"/>
  <c r="KQ14" i="17"/>
  <c r="KU13" i="17"/>
  <c r="KT13" i="17"/>
  <c r="KS13" i="17"/>
  <c r="KR13" i="17"/>
  <c r="KQ13" i="17"/>
  <c r="KU12" i="17"/>
  <c r="KT12" i="17"/>
  <c r="KS12" i="17"/>
  <c r="KR12" i="17"/>
  <c r="KQ12" i="17"/>
  <c r="KU10" i="17"/>
  <c r="KT10" i="17"/>
  <c r="KS10" i="17"/>
  <c r="KR10" i="17"/>
  <c r="KQ10" i="17"/>
  <c r="KU8" i="17"/>
  <c r="KT8" i="17"/>
  <c r="KS8" i="17"/>
  <c r="KR8" i="17"/>
  <c r="KQ8" i="17"/>
  <c r="KU9" i="17"/>
  <c r="KT9" i="17"/>
  <c r="KS9" i="17"/>
  <c r="KR9" i="17"/>
  <c r="KQ9" i="17"/>
  <c r="KU7" i="17"/>
  <c r="KT7" i="17"/>
  <c r="KS7" i="17"/>
  <c r="KR7" i="17"/>
  <c r="KQ7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U16" i="17"/>
  <c r="JT16" i="17"/>
  <c r="JS16" i="17"/>
  <c r="JR16" i="17"/>
  <c r="JQ16" i="17"/>
  <c r="JU15" i="17"/>
  <c r="JT15" i="17"/>
  <c r="JS15" i="17"/>
  <c r="JR15" i="17"/>
  <c r="JQ15" i="17"/>
  <c r="JU11" i="17"/>
  <c r="JT11" i="17"/>
  <c r="JS11" i="17"/>
  <c r="JR11" i="17"/>
  <c r="JQ11" i="17"/>
  <c r="JU14" i="17"/>
  <c r="JT14" i="17"/>
  <c r="JS14" i="17"/>
  <c r="JR14" i="17"/>
  <c r="JQ14" i="17"/>
  <c r="JU13" i="17"/>
  <c r="JT13" i="17"/>
  <c r="JS13" i="17"/>
  <c r="JR13" i="17"/>
  <c r="JQ13" i="17"/>
  <c r="JU12" i="17"/>
  <c r="JT12" i="17"/>
  <c r="JS12" i="17"/>
  <c r="JR12" i="17"/>
  <c r="JV12" i="17" s="1"/>
  <c r="JQ12" i="17"/>
  <c r="JU10" i="17"/>
  <c r="JT10" i="17"/>
  <c r="JS10" i="17"/>
  <c r="JR10" i="17"/>
  <c r="JQ10" i="17"/>
  <c r="JU8" i="17"/>
  <c r="JT8" i="17"/>
  <c r="JS8" i="17"/>
  <c r="JR8" i="17"/>
  <c r="JQ8" i="17"/>
  <c r="JU9" i="17"/>
  <c r="JT9" i="17"/>
  <c r="JS9" i="17"/>
  <c r="JR9" i="17"/>
  <c r="JQ9" i="17"/>
  <c r="JU7" i="17"/>
  <c r="JT7" i="17"/>
  <c r="JS7" i="17"/>
  <c r="JR7" i="17"/>
  <c r="JQ7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R4" i="17"/>
  <c r="JQ4" i="17"/>
  <c r="IU16" i="17"/>
  <c r="IT16" i="17"/>
  <c r="IS16" i="17"/>
  <c r="IR16" i="17"/>
  <c r="IV16" i="17" s="1"/>
  <c r="IQ16" i="17"/>
  <c r="IU15" i="17"/>
  <c r="IT15" i="17"/>
  <c r="IS15" i="17"/>
  <c r="IR15" i="17"/>
  <c r="IQ15" i="17"/>
  <c r="IU11" i="17"/>
  <c r="IT11" i="17"/>
  <c r="IS11" i="17"/>
  <c r="IR11" i="17"/>
  <c r="IQ11" i="17"/>
  <c r="IU14" i="17"/>
  <c r="IT14" i="17"/>
  <c r="IS14" i="17"/>
  <c r="IR14" i="17"/>
  <c r="IQ14" i="17"/>
  <c r="IU13" i="17"/>
  <c r="IT13" i="17"/>
  <c r="IS13" i="17"/>
  <c r="IR13" i="17"/>
  <c r="IQ13" i="17"/>
  <c r="IU12" i="17"/>
  <c r="IT12" i="17"/>
  <c r="IS12" i="17"/>
  <c r="IR12" i="17"/>
  <c r="IQ12" i="17"/>
  <c r="IU10" i="17"/>
  <c r="IT10" i="17"/>
  <c r="IS10" i="17"/>
  <c r="IR10" i="17"/>
  <c r="IV10" i="17" s="1"/>
  <c r="IQ10" i="17"/>
  <c r="IU8" i="17"/>
  <c r="IT8" i="17"/>
  <c r="IS8" i="17"/>
  <c r="IR8" i="17"/>
  <c r="IQ8" i="17"/>
  <c r="IU9" i="17"/>
  <c r="IT9" i="17"/>
  <c r="IS9" i="17"/>
  <c r="IR9" i="17"/>
  <c r="IQ9" i="17"/>
  <c r="IU7" i="17"/>
  <c r="IT7" i="17"/>
  <c r="IS7" i="17"/>
  <c r="IR7" i="17"/>
  <c r="IQ7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U16" i="17"/>
  <c r="HT16" i="17"/>
  <c r="HS16" i="17"/>
  <c r="HR16" i="17"/>
  <c r="HQ16" i="17"/>
  <c r="HU15" i="17"/>
  <c r="HT15" i="17"/>
  <c r="HS15" i="17"/>
  <c r="HR15" i="17"/>
  <c r="HV15" i="17" s="1"/>
  <c r="HQ15" i="17"/>
  <c r="HU11" i="17"/>
  <c r="HT11" i="17"/>
  <c r="HS11" i="17"/>
  <c r="HR11" i="17"/>
  <c r="HQ11" i="17"/>
  <c r="HU14" i="17"/>
  <c r="HT14" i="17"/>
  <c r="HS14" i="17"/>
  <c r="HR14" i="17"/>
  <c r="HQ14" i="17"/>
  <c r="HU13" i="17"/>
  <c r="HT13" i="17"/>
  <c r="HS13" i="17"/>
  <c r="HR13" i="17"/>
  <c r="HQ13" i="17"/>
  <c r="HU12" i="17"/>
  <c r="HT12" i="17"/>
  <c r="HS12" i="17"/>
  <c r="HR12" i="17"/>
  <c r="HQ12" i="17"/>
  <c r="HU10" i="17"/>
  <c r="HT10" i="17"/>
  <c r="HS10" i="17"/>
  <c r="HR10" i="17"/>
  <c r="HQ10" i="17"/>
  <c r="HU8" i="17"/>
  <c r="HT8" i="17"/>
  <c r="HS8" i="17"/>
  <c r="HR8" i="17"/>
  <c r="HQ8" i="17"/>
  <c r="HU9" i="17"/>
  <c r="HT9" i="17"/>
  <c r="HS9" i="17"/>
  <c r="HR9" i="17"/>
  <c r="HQ9" i="17"/>
  <c r="HU7" i="17"/>
  <c r="HT7" i="17"/>
  <c r="HS7" i="17"/>
  <c r="HR7" i="17"/>
  <c r="HQ7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U16" i="17"/>
  <c r="GT16" i="17"/>
  <c r="GS16" i="17"/>
  <c r="GR16" i="17"/>
  <c r="GQ16" i="17"/>
  <c r="GU15" i="17"/>
  <c r="GT15" i="17"/>
  <c r="GS15" i="17"/>
  <c r="GR15" i="17"/>
  <c r="GQ15" i="17"/>
  <c r="GU11" i="17"/>
  <c r="GT11" i="17"/>
  <c r="GS11" i="17"/>
  <c r="GR11" i="17"/>
  <c r="GQ11" i="17"/>
  <c r="GU14" i="17"/>
  <c r="GT14" i="17"/>
  <c r="GS14" i="17"/>
  <c r="GR14" i="17"/>
  <c r="GQ14" i="17"/>
  <c r="GU13" i="17"/>
  <c r="GT13" i="17"/>
  <c r="GS13" i="17"/>
  <c r="GR13" i="17"/>
  <c r="GQ13" i="17"/>
  <c r="GU12" i="17"/>
  <c r="GT12" i="17"/>
  <c r="GS12" i="17"/>
  <c r="GR12" i="17"/>
  <c r="GV12" i="17" s="1"/>
  <c r="GQ12" i="17"/>
  <c r="GU10" i="17"/>
  <c r="GT10" i="17"/>
  <c r="GS10" i="17"/>
  <c r="GR10" i="17"/>
  <c r="GQ10" i="17"/>
  <c r="GU8" i="17"/>
  <c r="GT8" i="17"/>
  <c r="GS8" i="17"/>
  <c r="GR8" i="17"/>
  <c r="GQ8" i="17"/>
  <c r="GU9" i="17"/>
  <c r="GT9" i="17"/>
  <c r="GS9" i="17"/>
  <c r="GR9" i="17"/>
  <c r="GQ9" i="17"/>
  <c r="GU7" i="17"/>
  <c r="GT7" i="17"/>
  <c r="GS7" i="17"/>
  <c r="GR7" i="17"/>
  <c r="GQ7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U16" i="17"/>
  <c r="FT16" i="17"/>
  <c r="FS16" i="17"/>
  <c r="FR16" i="17"/>
  <c r="FQ16" i="17"/>
  <c r="FU15" i="17"/>
  <c r="FT15" i="17"/>
  <c r="FS15" i="17"/>
  <c r="FR15" i="17"/>
  <c r="FQ15" i="17"/>
  <c r="FU11" i="17"/>
  <c r="FT11" i="17"/>
  <c r="FS11" i="17"/>
  <c r="FR11" i="17"/>
  <c r="FQ11" i="17"/>
  <c r="FU14" i="17"/>
  <c r="FT14" i="17"/>
  <c r="FS14" i="17"/>
  <c r="FR14" i="17"/>
  <c r="FQ14" i="17"/>
  <c r="FU13" i="17"/>
  <c r="FT13" i="17"/>
  <c r="FS13" i="17"/>
  <c r="FR13" i="17"/>
  <c r="FQ13" i="17"/>
  <c r="FU12" i="17"/>
  <c r="FT12" i="17"/>
  <c r="FS12" i="17"/>
  <c r="FR12" i="17"/>
  <c r="FQ12" i="17"/>
  <c r="FU10" i="17"/>
  <c r="FT10" i="17"/>
  <c r="FS10" i="17"/>
  <c r="FR10" i="17"/>
  <c r="FV10" i="17" s="1"/>
  <c r="FQ10" i="17"/>
  <c r="FU8" i="17"/>
  <c r="FT8" i="17"/>
  <c r="FS8" i="17"/>
  <c r="FR8" i="17"/>
  <c r="FQ8" i="17"/>
  <c r="FU9" i="17"/>
  <c r="FT9" i="17"/>
  <c r="FS9" i="17"/>
  <c r="FR9" i="17"/>
  <c r="FQ9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U16" i="17"/>
  <c r="ET16" i="17"/>
  <c r="ES16" i="17"/>
  <c r="ER16" i="17"/>
  <c r="EQ16" i="17"/>
  <c r="EU15" i="17"/>
  <c r="ET15" i="17"/>
  <c r="ES15" i="17"/>
  <c r="ER15" i="17"/>
  <c r="EQ15" i="17"/>
  <c r="EU11" i="17"/>
  <c r="ET11" i="17"/>
  <c r="ES11" i="17"/>
  <c r="ER11" i="17"/>
  <c r="EQ11" i="17"/>
  <c r="EU14" i="17"/>
  <c r="ET14" i="17"/>
  <c r="ES14" i="17"/>
  <c r="ER14" i="17"/>
  <c r="EQ14" i="17"/>
  <c r="EU13" i="17"/>
  <c r="ET13" i="17"/>
  <c r="ES13" i="17"/>
  <c r="ER13" i="17"/>
  <c r="EQ13" i="17"/>
  <c r="EU12" i="17"/>
  <c r="ET12" i="17"/>
  <c r="ES12" i="17"/>
  <c r="ER12" i="17"/>
  <c r="EQ12" i="17"/>
  <c r="EU10" i="17"/>
  <c r="ET10" i="17"/>
  <c r="ES10" i="17"/>
  <c r="ER10" i="17"/>
  <c r="EQ10" i="17"/>
  <c r="EU8" i="17"/>
  <c r="ET8" i="17"/>
  <c r="ES8" i="17"/>
  <c r="ER8" i="17"/>
  <c r="EV8" i="17" s="1"/>
  <c r="EQ8" i="17"/>
  <c r="EU9" i="17"/>
  <c r="ET9" i="17"/>
  <c r="ES9" i="17"/>
  <c r="ER9" i="17"/>
  <c r="EQ9" i="17"/>
  <c r="EU7" i="17"/>
  <c r="ET7" i="17"/>
  <c r="ES7" i="17"/>
  <c r="ER7" i="17"/>
  <c r="EQ7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Q4" i="17"/>
  <c r="DU16" i="17"/>
  <c r="DT16" i="17"/>
  <c r="DS16" i="17"/>
  <c r="DR16" i="17"/>
  <c r="DQ16" i="17"/>
  <c r="DU15" i="17"/>
  <c r="DT15" i="17"/>
  <c r="DS15" i="17"/>
  <c r="DR15" i="17"/>
  <c r="DQ15" i="17"/>
  <c r="DU11" i="17"/>
  <c r="DT11" i="17"/>
  <c r="DS11" i="17"/>
  <c r="DR11" i="17"/>
  <c r="DQ11" i="17"/>
  <c r="DU14" i="17"/>
  <c r="DT14" i="17"/>
  <c r="DS14" i="17"/>
  <c r="DR14" i="17"/>
  <c r="DQ14" i="17"/>
  <c r="DU13" i="17"/>
  <c r="DT13" i="17"/>
  <c r="DS13" i="17"/>
  <c r="DR13" i="17"/>
  <c r="DQ13" i="17"/>
  <c r="DU12" i="17"/>
  <c r="DT12" i="17"/>
  <c r="DS12" i="17"/>
  <c r="DR12" i="17"/>
  <c r="DQ12" i="17"/>
  <c r="DU10" i="17"/>
  <c r="DT10" i="17"/>
  <c r="DS10" i="17"/>
  <c r="DR10" i="17"/>
  <c r="DQ10" i="17"/>
  <c r="DU8" i="17"/>
  <c r="DT8" i="17"/>
  <c r="DS8" i="17"/>
  <c r="DR8" i="17"/>
  <c r="DQ8" i="17"/>
  <c r="DU9" i="17"/>
  <c r="DT9" i="17"/>
  <c r="DS9" i="17"/>
  <c r="DR9" i="17"/>
  <c r="DV9" i="17" s="1"/>
  <c r="DQ9" i="17"/>
  <c r="DU7" i="17"/>
  <c r="DT7" i="17"/>
  <c r="DS7" i="17"/>
  <c r="DR7" i="17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U14" i="16"/>
  <c r="NT14" i="16"/>
  <c r="NS14" i="16"/>
  <c r="NR14" i="16"/>
  <c r="NQ14" i="16"/>
  <c r="NU12" i="16"/>
  <c r="NT12" i="16"/>
  <c r="NS12" i="16"/>
  <c r="NR12" i="16"/>
  <c r="NQ12" i="16"/>
  <c r="NU13" i="16"/>
  <c r="NT13" i="16"/>
  <c r="NS13" i="16"/>
  <c r="NR13" i="16"/>
  <c r="NQ13" i="16"/>
  <c r="NU10" i="16"/>
  <c r="NT10" i="16"/>
  <c r="NS10" i="16"/>
  <c r="NR10" i="16"/>
  <c r="NQ10" i="16"/>
  <c r="NU9" i="16"/>
  <c r="NT9" i="16"/>
  <c r="NS9" i="16"/>
  <c r="NR9" i="16"/>
  <c r="NQ9" i="16"/>
  <c r="NU11" i="16"/>
  <c r="NT11" i="16"/>
  <c r="NS11" i="16"/>
  <c r="NR11" i="16"/>
  <c r="NQ11" i="16"/>
  <c r="NU8" i="16"/>
  <c r="NT8" i="16"/>
  <c r="NS8" i="16"/>
  <c r="NR8" i="16"/>
  <c r="NQ8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U14" i="16"/>
  <c r="MT14" i="16"/>
  <c r="MS14" i="16"/>
  <c r="MR14" i="16"/>
  <c r="MQ14" i="16"/>
  <c r="MU12" i="16"/>
  <c r="MT12" i="16"/>
  <c r="MS12" i="16"/>
  <c r="MR12" i="16"/>
  <c r="MQ12" i="16"/>
  <c r="MU13" i="16"/>
  <c r="MT13" i="16"/>
  <c r="MS13" i="16"/>
  <c r="MR13" i="16"/>
  <c r="MQ13" i="16"/>
  <c r="MU10" i="16"/>
  <c r="MT10" i="16"/>
  <c r="MS10" i="16"/>
  <c r="MR10" i="16"/>
  <c r="MQ10" i="16"/>
  <c r="MU9" i="16"/>
  <c r="MT9" i="16"/>
  <c r="MS9" i="16"/>
  <c r="MR9" i="16"/>
  <c r="MQ9" i="16"/>
  <c r="MU11" i="16"/>
  <c r="MT11" i="16"/>
  <c r="MS11" i="16"/>
  <c r="MR11" i="16"/>
  <c r="MQ11" i="16"/>
  <c r="MU8" i="16"/>
  <c r="MT8" i="16"/>
  <c r="MS8" i="16"/>
  <c r="MR8" i="16"/>
  <c r="MQ8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R5" i="16"/>
  <c r="MQ5" i="16"/>
  <c r="MU4" i="16"/>
  <c r="MT4" i="16"/>
  <c r="MS4" i="16"/>
  <c r="MR4" i="16"/>
  <c r="MQ4" i="16"/>
  <c r="LU14" i="16"/>
  <c r="LT14" i="16"/>
  <c r="LS14" i="16"/>
  <c r="LR14" i="16"/>
  <c r="LQ14" i="16"/>
  <c r="LU12" i="16"/>
  <c r="LT12" i="16"/>
  <c r="LS12" i="16"/>
  <c r="LR12" i="16"/>
  <c r="LQ12" i="16"/>
  <c r="LU13" i="16"/>
  <c r="LT13" i="16"/>
  <c r="LS13" i="16"/>
  <c r="LR13" i="16"/>
  <c r="LQ13" i="16"/>
  <c r="LU10" i="16"/>
  <c r="LT10" i="16"/>
  <c r="LS10" i="16"/>
  <c r="LR10" i="16"/>
  <c r="LQ10" i="16"/>
  <c r="LU9" i="16"/>
  <c r="LT9" i="16"/>
  <c r="LS9" i="16"/>
  <c r="LR9" i="16"/>
  <c r="LQ9" i="16"/>
  <c r="LU11" i="16"/>
  <c r="LT11" i="16"/>
  <c r="LS11" i="16"/>
  <c r="LR11" i="16"/>
  <c r="LQ11" i="16"/>
  <c r="LU8" i="16"/>
  <c r="LT8" i="16"/>
  <c r="LS8" i="16"/>
  <c r="LR8" i="16"/>
  <c r="LQ8" i="16"/>
  <c r="LU7" i="16"/>
  <c r="LT7" i="16"/>
  <c r="LS7" i="16"/>
  <c r="LR7" i="16"/>
  <c r="LQ7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U14" i="16"/>
  <c r="KT14" i="16"/>
  <c r="KS14" i="16"/>
  <c r="KR14" i="16"/>
  <c r="KQ14" i="16"/>
  <c r="KU12" i="16"/>
  <c r="KT12" i="16"/>
  <c r="KS12" i="16"/>
  <c r="KR12" i="16"/>
  <c r="KQ12" i="16"/>
  <c r="KU13" i="16"/>
  <c r="KT13" i="16"/>
  <c r="KS13" i="16"/>
  <c r="KR13" i="16"/>
  <c r="KQ13" i="16"/>
  <c r="KU10" i="16"/>
  <c r="KT10" i="16"/>
  <c r="KS10" i="16"/>
  <c r="KR10" i="16"/>
  <c r="KQ10" i="16"/>
  <c r="KU9" i="16"/>
  <c r="KT9" i="16"/>
  <c r="KS9" i="16"/>
  <c r="KR9" i="16"/>
  <c r="KQ9" i="16"/>
  <c r="KU11" i="16"/>
  <c r="KT11" i="16"/>
  <c r="KS11" i="16"/>
  <c r="KR11" i="16"/>
  <c r="KQ11" i="16"/>
  <c r="KU8" i="16"/>
  <c r="KT8" i="16"/>
  <c r="KS8" i="16"/>
  <c r="KR8" i="16"/>
  <c r="KQ8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Q5" i="16"/>
  <c r="KU4" i="16"/>
  <c r="KT4" i="16"/>
  <c r="KS4" i="16"/>
  <c r="KR4" i="16"/>
  <c r="KQ4" i="16"/>
  <c r="JU14" i="16"/>
  <c r="JT14" i="16"/>
  <c r="JS14" i="16"/>
  <c r="JR14" i="16"/>
  <c r="JQ14" i="16"/>
  <c r="JU12" i="16"/>
  <c r="JT12" i="16"/>
  <c r="JS12" i="16"/>
  <c r="JR12" i="16"/>
  <c r="JQ12" i="16"/>
  <c r="JU13" i="16"/>
  <c r="JT13" i="16"/>
  <c r="JS13" i="16"/>
  <c r="JR13" i="16"/>
  <c r="JQ13" i="16"/>
  <c r="JU10" i="16"/>
  <c r="JT10" i="16"/>
  <c r="JS10" i="16"/>
  <c r="JR10" i="16"/>
  <c r="JQ10" i="16"/>
  <c r="JU9" i="16"/>
  <c r="JT9" i="16"/>
  <c r="JS9" i="16"/>
  <c r="JR9" i="16"/>
  <c r="JQ9" i="16"/>
  <c r="JU11" i="16"/>
  <c r="JT11" i="16"/>
  <c r="JS11" i="16"/>
  <c r="JR11" i="16"/>
  <c r="JQ11" i="16"/>
  <c r="JU8" i="16"/>
  <c r="JT8" i="16"/>
  <c r="JS8" i="16"/>
  <c r="JR8" i="16"/>
  <c r="JQ8" i="16"/>
  <c r="JU7" i="16"/>
  <c r="JT7" i="16"/>
  <c r="JS7" i="16"/>
  <c r="JR7" i="16"/>
  <c r="JQ7" i="16"/>
  <c r="JU6" i="16"/>
  <c r="JT6" i="16"/>
  <c r="JS6" i="16"/>
  <c r="JR6" i="16"/>
  <c r="JQ6" i="16"/>
  <c r="JU5" i="16"/>
  <c r="JT5" i="16"/>
  <c r="JS5" i="16"/>
  <c r="JR5" i="16"/>
  <c r="JQ5" i="16"/>
  <c r="JU4" i="16"/>
  <c r="JT4" i="16"/>
  <c r="JS4" i="16"/>
  <c r="JR4" i="16"/>
  <c r="JQ4" i="16"/>
  <c r="IU14" i="16"/>
  <c r="IT14" i="16"/>
  <c r="IS14" i="16"/>
  <c r="IR14" i="16"/>
  <c r="IQ14" i="16"/>
  <c r="IU12" i="16"/>
  <c r="IT12" i="16"/>
  <c r="IS12" i="16"/>
  <c r="IR12" i="16"/>
  <c r="IQ12" i="16"/>
  <c r="IU13" i="16"/>
  <c r="IT13" i="16"/>
  <c r="IS13" i="16"/>
  <c r="IR13" i="16"/>
  <c r="IQ13" i="16"/>
  <c r="IU10" i="16"/>
  <c r="IT10" i="16"/>
  <c r="IS10" i="16"/>
  <c r="IR10" i="16"/>
  <c r="IQ10" i="16"/>
  <c r="IU9" i="16"/>
  <c r="IT9" i="16"/>
  <c r="IS9" i="16"/>
  <c r="IR9" i="16"/>
  <c r="IQ9" i="16"/>
  <c r="IU11" i="16"/>
  <c r="IT11" i="16"/>
  <c r="IS11" i="16"/>
  <c r="IR11" i="16"/>
  <c r="IQ11" i="16"/>
  <c r="IU8" i="16"/>
  <c r="IT8" i="16"/>
  <c r="IS8" i="16"/>
  <c r="IR8" i="16"/>
  <c r="IQ8" i="16"/>
  <c r="IU7" i="16"/>
  <c r="IT7" i="16"/>
  <c r="IS7" i="16"/>
  <c r="IR7" i="16"/>
  <c r="IV7" i="16" s="1"/>
  <c r="IQ7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U14" i="16"/>
  <c r="HT14" i="16"/>
  <c r="HS14" i="16"/>
  <c r="HR14" i="16"/>
  <c r="HQ14" i="16"/>
  <c r="HU12" i="16"/>
  <c r="HT12" i="16"/>
  <c r="HS12" i="16"/>
  <c r="HR12" i="16"/>
  <c r="HQ12" i="16"/>
  <c r="HU13" i="16"/>
  <c r="HT13" i="16"/>
  <c r="HS13" i="16"/>
  <c r="HR13" i="16"/>
  <c r="HQ13" i="16"/>
  <c r="HU10" i="16"/>
  <c r="HT10" i="16"/>
  <c r="HS10" i="16"/>
  <c r="HR10" i="16"/>
  <c r="HQ10" i="16"/>
  <c r="HU9" i="16"/>
  <c r="HT9" i="16"/>
  <c r="HS9" i="16"/>
  <c r="HR9" i="16"/>
  <c r="HQ9" i="16"/>
  <c r="HU11" i="16"/>
  <c r="HT11" i="16"/>
  <c r="HS11" i="16"/>
  <c r="HR11" i="16"/>
  <c r="HQ11" i="16"/>
  <c r="HU8" i="16"/>
  <c r="HT8" i="16"/>
  <c r="HS8" i="16"/>
  <c r="HR8" i="16"/>
  <c r="HQ8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4" i="16"/>
  <c r="HT4" i="16"/>
  <c r="HS4" i="16"/>
  <c r="HR4" i="16"/>
  <c r="HQ4" i="16"/>
  <c r="GU14" i="16"/>
  <c r="GT14" i="16"/>
  <c r="GS14" i="16"/>
  <c r="GR14" i="16"/>
  <c r="GQ14" i="16"/>
  <c r="GU12" i="16"/>
  <c r="GT12" i="16"/>
  <c r="GS12" i="16"/>
  <c r="GR12" i="16"/>
  <c r="GQ12" i="16"/>
  <c r="GU13" i="16"/>
  <c r="GT13" i="16"/>
  <c r="GS13" i="16"/>
  <c r="GR13" i="16"/>
  <c r="GQ13" i="16"/>
  <c r="GU10" i="16"/>
  <c r="GT10" i="16"/>
  <c r="GS10" i="16"/>
  <c r="GR10" i="16"/>
  <c r="GQ10" i="16"/>
  <c r="GU9" i="16"/>
  <c r="GT9" i="16"/>
  <c r="GS9" i="16"/>
  <c r="GR9" i="16"/>
  <c r="GQ9" i="16"/>
  <c r="GU11" i="16"/>
  <c r="GT11" i="16"/>
  <c r="GS11" i="16"/>
  <c r="GR11" i="16"/>
  <c r="GQ11" i="16"/>
  <c r="GU8" i="16"/>
  <c r="GT8" i="16"/>
  <c r="GS8" i="16"/>
  <c r="GR8" i="16"/>
  <c r="GQ8" i="16"/>
  <c r="GU7" i="16"/>
  <c r="GT7" i="16"/>
  <c r="GS7" i="16"/>
  <c r="GR7" i="16"/>
  <c r="GQ7" i="16"/>
  <c r="GU6" i="16"/>
  <c r="GT6" i="16"/>
  <c r="GS6" i="16"/>
  <c r="GR6" i="16"/>
  <c r="GQ6" i="16"/>
  <c r="GU5" i="16"/>
  <c r="GT5" i="16"/>
  <c r="GS5" i="16"/>
  <c r="GR5" i="16"/>
  <c r="GQ5" i="16"/>
  <c r="GU4" i="16"/>
  <c r="GT4" i="16"/>
  <c r="GS4" i="16"/>
  <c r="GR4" i="16"/>
  <c r="GQ4" i="16"/>
  <c r="FU14" i="16"/>
  <c r="FT14" i="16"/>
  <c r="FS14" i="16"/>
  <c r="FR14" i="16"/>
  <c r="FQ14" i="16"/>
  <c r="FU12" i="16"/>
  <c r="FT12" i="16"/>
  <c r="FS12" i="16"/>
  <c r="FR12" i="16"/>
  <c r="FQ12" i="16"/>
  <c r="FU13" i="16"/>
  <c r="FT13" i="16"/>
  <c r="FS13" i="16"/>
  <c r="FR13" i="16"/>
  <c r="FQ13" i="16"/>
  <c r="FU10" i="16"/>
  <c r="FT10" i="16"/>
  <c r="FS10" i="16"/>
  <c r="FR10" i="16"/>
  <c r="FQ10" i="16"/>
  <c r="FU9" i="16"/>
  <c r="FT9" i="16"/>
  <c r="FS9" i="16"/>
  <c r="FR9" i="16"/>
  <c r="FQ9" i="16"/>
  <c r="FU11" i="16"/>
  <c r="FT11" i="16"/>
  <c r="FS11" i="16"/>
  <c r="FR11" i="16"/>
  <c r="FQ11" i="16"/>
  <c r="FU8" i="16"/>
  <c r="FT8" i="16"/>
  <c r="FS8" i="16"/>
  <c r="FR8" i="16"/>
  <c r="FQ8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4" i="16"/>
  <c r="FT4" i="16"/>
  <c r="FS4" i="16"/>
  <c r="FR4" i="16"/>
  <c r="FQ4" i="16"/>
  <c r="EU14" i="16"/>
  <c r="ET14" i="16"/>
  <c r="ES14" i="16"/>
  <c r="ER14" i="16"/>
  <c r="EQ14" i="16"/>
  <c r="EU12" i="16"/>
  <c r="ET12" i="16"/>
  <c r="ES12" i="16"/>
  <c r="ER12" i="16"/>
  <c r="EQ12" i="16"/>
  <c r="EU13" i="16"/>
  <c r="ET13" i="16"/>
  <c r="ES13" i="16"/>
  <c r="ER13" i="16"/>
  <c r="EQ13" i="16"/>
  <c r="EU10" i="16"/>
  <c r="ET10" i="16"/>
  <c r="ES10" i="16"/>
  <c r="ER10" i="16"/>
  <c r="EQ10" i="16"/>
  <c r="EU9" i="16"/>
  <c r="ET9" i="16"/>
  <c r="ES9" i="16"/>
  <c r="ER9" i="16"/>
  <c r="EQ9" i="16"/>
  <c r="EU11" i="16"/>
  <c r="ET11" i="16"/>
  <c r="ES11" i="16"/>
  <c r="ER11" i="16"/>
  <c r="EV11" i="16" s="1"/>
  <c r="EQ11" i="16"/>
  <c r="EU8" i="16"/>
  <c r="ET8" i="16"/>
  <c r="ES8" i="16"/>
  <c r="ER8" i="16"/>
  <c r="EQ8" i="16"/>
  <c r="EU7" i="16"/>
  <c r="ET7" i="16"/>
  <c r="ES7" i="16"/>
  <c r="ER7" i="16"/>
  <c r="EQ7" i="16"/>
  <c r="EU6" i="16"/>
  <c r="ET6" i="16"/>
  <c r="ES6" i="16"/>
  <c r="ER6" i="16"/>
  <c r="EQ6" i="16"/>
  <c r="EU5" i="16"/>
  <c r="ET5" i="16"/>
  <c r="ES5" i="16"/>
  <c r="ER5" i="16"/>
  <c r="EQ5" i="16"/>
  <c r="EU4" i="16"/>
  <c r="ET4" i="16"/>
  <c r="ES4" i="16"/>
  <c r="ER4" i="16"/>
  <c r="EQ4" i="16"/>
  <c r="DU14" i="16"/>
  <c r="DT14" i="16"/>
  <c r="DS14" i="16"/>
  <c r="DR14" i="16"/>
  <c r="DQ14" i="16"/>
  <c r="DU12" i="16"/>
  <c r="DT12" i="16"/>
  <c r="DS12" i="16"/>
  <c r="DR12" i="16"/>
  <c r="DQ12" i="16"/>
  <c r="DU13" i="16"/>
  <c r="DT13" i="16"/>
  <c r="DS13" i="16"/>
  <c r="DR13" i="16"/>
  <c r="DQ13" i="16"/>
  <c r="DU10" i="16"/>
  <c r="DT10" i="16"/>
  <c r="DS10" i="16"/>
  <c r="DR10" i="16"/>
  <c r="DQ10" i="16"/>
  <c r="DU9" i="16"/>
  <c r="DT9" i="16"/>
  <c r="DS9" i="16"/>
  <c r="DR9" i="16"/>
  <c r="DQ9" i="16"/>
  <c r="DU11" i="16"/>
  <c r="DT11" i="16"/>
  <c r="DS11" i="16"/>
  <c r="DR11" i="16"/>
  <c r="DQ11" i="16"/>
  <c r="DU8" i="16"/>
  <c r="DT8" i="16"/>
  <c r="DS8" i="16"/>
  <c r="DR8" i="16"/>
  <c r="DQ8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R5" i="16"/>
  <c r="DQ5" i="16"/>
  <c r="DU4" i="16"/>
  <c r="DT4" i="16"/>
  <c r="DS4" i="16"/>
  <c r="DR4" i="16"/>
  <c r="DQ4" i="16"/>
  <c r="NU8" i="15"/>
  <c r="NT8" i="15"/>
  <c r="NS8" i="15"/>
  <c r="NR8" i="15"/>
  <c r="NQ8" i="15"/>
  <c r="NU7" i="15"/>
  <c r="NT7" i="15"/>
  <c r="NS7" i="15"/>
  <c r="NR7" i="15"/>
  <c r="NQ7" i="15"/>
  <c r="NU6" i="15"/>
  <c r="NT6" i="15"/>
  <c r="NS6" i="15"/>
  <c r="NR6" i="15"/>
  <c r="NQ6" i="15"/>
  <c r="NU5" i="15"/>
  <c r="NT5" i="15"/>
  <c r="NS5" i="15"/>
  <c r="NR5" i="15"/>
  <c r="NQ5" i="15"/>
  <c r="NU4" i="15"/>
  <c r="NT4" i="15"/>
  <c r="NS4" i="15"/>
  <c r="NR4" i="15"/>
  <c r="NQ4" i="15"/>
  <c r="MU8" i="15"/>
  <c r="MT8" i="15"/>
  <c r="MS8" i="15"/>
  <c r="MR8" i="15"/>
  <c r="MQ8" i="15"/>
  <c r="MU7" i="15"/>
  <c r="MT7" i="15"/>
  <c r="MS7" i="15"/>
  <c r="MR7" i="15"/>
  <c r="MQ7" i="15"/>
  <c r="MU6" i="15"/>
  <c r="MT6" i="15"/>
  <c r="MS6" i="15"/>
  <c r="MR6" i="15"/>
  <c r="MQ6" i="15"/>
  <c r="MU5" i="15"/>
  <c r="MT5" i="15"/>
  <c r="MS5" i="15"/>
  <c r="MR5" i="15"/>
  <c r="MQ5" i="15"/>
  <c r="MU4" i="15"/>
  <c r="MT4" i="15"/>
  <c r="MS4" i="15"/>
  <c r="MR4" i="15"/>
  <c r="MQ4" i="15"/>
  <c r="LU8" i="15"/>
  <c r="LT8" i="15"/>
  <c r="LS8" i="15"/>
  <c r="LR8" i="15"/>
  <c r="LQ8" i="15"/>
  <c r="LU7" i="15"/>
  <c r="LT7" i="15"/>
  <c r="LS7" i="15"/>
  <c r="LR7" i="15"/>
  <c r="LQ7" i="15"/>
  <c r="LU6" i="15"/>
  <c r="LT6" i="15"/>
  <c r="LS6" i="15"/>
  <c r="LR6" i="15"/>
  <c r="LQ6" i="15"/>
  <c r="LU5" i="15"/>
  <c r="LT5" i="15"/>
  <c r="LS5" i="15"/>
  <c r="LR5" i="15"/>
  <c r="LQ5" i="15"/>
  <c r="LU4" i="15"/>
  <c r="LT4" i="15"/>
  <c r="LS4" i="15"/>
  <c r="LR4" i="15"/>
  <c r="LQ4" i="15"/>
  <c r="KU8" i="15"/>
  <c r="KT8" i="15"/>
  <c r="KS8" i="15"/>
  <c r="KR8" i="15"/>
  <c r="KQ8" i="15"/>
  <c r="KU7" i="15"/>
  <c r="KT7" i="15"/>
  <c r="KS7" i="15"/>
  <c r="KR7" i="15"/>
  <c r="KQ7" i="15"/>
  <c r="KU6" i="15"/>
  <c r="KT6" i="15"/>
  <c r="KS6" i="15"/>
  <c r="KR6" i="15"/>
  <c r="KQ6" i="15"/>
  <c r="KU5" i="15"/>
  <c r="KT5" i="15"/>
  <c r="KS5" i="15"/>
  <c r="KR5" i="15"/>
  <c r="KQ5" i="15"/>
  <c r="KU4" i="15"/>
  <c r="KT4" i="15"/>
  <c r="KS4" i="15"/>
  <c r="KR4" i="15"/>
  <c r="KQ4" i="15"/>
  <c r="JU8" i="15"/>
  <c r="JT8" i="15"/>
  <c r="JS8" i="15"/>
  <c r="JR8" i="15"/>
  <c r="JQ8" i="15"/>
  <c r="JU7" i="15"/>
  <c r="JT7" i="15"/>
  <c r="JS7" i="15"/>
  <c r="JR7" i="15"/>
  <c r="JQ7" i="15"/>
  <c r="JU6" i="15"/>
  <c r="JT6" i="15"/>
  <c r="JS6" i="15"/>
  <c r="JR6" i="15"/>
  <c r="JQ6" i="15"/>
  <c r="JU5" i="15"/>
  <c r="JT5" i="15"/>
  <c r="JS5" i="15"/>
  <c r="JR5" i="15"/>
  <c r="JV5" i="15" s="1"/>
  <c r="JQ5" i="15"/>
  <c r="JU4" i="15"/>
  <c r="JT4" i="15"/>
  <c r="JS4" i="15"/>
  <c r="JR4" i="15"/>
  <c r="JQ4" i="15"/>
  <c r="IU8" i="15"/>
  <c r="IT8" i="15"/>
  <c r="IS8" i="15"/>
  <c r="IR8" i="15"/>
  <c r="IQ8" i="15"/>
  <c r="IU7" i="15"/>
  <c r="IT7" i="15"/>
  <c r="IS7" i="15"/>
  <c r="IR7" i="15"/>
  <c r="IQ7" i="15"/>
  <c r="IU6" i="15"/>
  <c r="IT6" i="15"/>
  <c r="IS6" i="15"/>
  <c r="IR6" i="15"/>
  <c r="IQ6" i="15"/>
  <c r="IU5" i="15"/>
  <c r="IT5" i="15"/>
  <c r="IS5" i="15"/>
  <c r="IR5" i="15"/>
  <c r="IQ5" i="15"/>
  <c r="IU4" i="15"/>
  <c r="IT4" i="15"/>
  <c r="IS4" i="15"/>
  <c r="IR4" i="15"/>
  <c r="IQ4" i="15"/>
  <c r="HU8" i="15"/>
  <c r="HT8" i="15"/>
  <c r="HS8" i="15"/>
  <c r="HR8" i="15"/>
  <c r="HQ8" i="15"/>
  <c r="HU7" i="15"/>
  <c r="HT7" i="15"/>
  <c r="HS7" i="15"/>
  <c r="HR7" i="15"/>
  <c r="HQ7" i="15"/>
  <c r="HU6" i="15"/>
  <c r="HT6" i="15"/>
  <c r="HS6" i="15"/>
  <c r="HR6" i="15"/>
  <c r="HQ6" i="15"/>
  <c r="HU5" i="15"/>
  <c r="HT5" i="15"/>
  <c r="HS5" i="15"/>
  <c r="HR5" i="15"/>
  <c r="HQ5" i="15"/>
  <c r="HU4" i="15"/>
  <c r="HT4" i="15"/>
  <c r="HS4" i="15"/>
  <c r="HR4" i="15"/>
  <c r="HQ4" i="15"/>
  <c r="GU8" i="15"/>
  <c r="GT8" i="15"/>
  <c r="GS8" i="15"/>
  <c r="GR8" i="15"/>
  <c r="GQ8" i="15"/>
  <c r="GU7" i="15"/>
  <c r="GT7" i="15"/>
  <c r="GS7" i="15"/>
  <c r="GR7" i="15"/>
  <c r="GQ7" i="15"/>
  <c r="GU6" i="15"/>
  <c r="GT6" i="15"/>
  <c r="GS6" i="15"/>
  <c r="GR6" i="15"/>
  <c r="GQ6" i="15"/>
  <c r="GU5" i="15"/>
  <c r="GT5" i="15"/>
  <c r="GS5" i="15"/>
  <c r="GR5" i="15"/>
  <c r="GQ5" i="15"/>
  <c r="GU4" i="15"/>
  <c r="GT4" i="15"/>
  <c r="GS4" i="15"/>
  <c r="GR4" i="15"/>
  <c r="GQ4" i="15"/>
  <c r="FU8" i="15"/>
  <c r="FT8" i="15"/>
  <c r="FS8" i="15"/>
  <c r="FR8" i="15"/>
  <c r="FQ8" i="15"/>
  <c r="FU7" i="15"/>
  <c r="FT7" i="15"/>
  <c r="FS7" i="15"/>
  <c r="FR7" i="15"/>
  <c r="FQ7" i="15"/>
  <c r="FU6" i="15"/>
  <c r="FT6" i="15"/>
  <c r="FS6" i="15"/>
  <c r="FR6" i="15"/>
  <c r="FQ6" i="15"/>
  <c r="FU5" i="15"/>
  <c r="FT5" i="15"/>
  <c r="FS5" i="15"/>
  <c r="FR5" i="15"/>
  <c r="FQ5" i="15"/>
  <c r="FU4" i="15"/>
  <c r="FT4" i="15"/>
  <c r="FS4" i="15"/>
  <c r="FR4" i="15"/>
  <c r="FQ4" i="15"/>
  <c r="EU8" i="15"/>
  <c r="ET8" i="15"/>
  <c r="ES8" i="15"/>
  <c r="ER8" i="15"/>
  <c r="EQ8" i="15"/>
  <c r="EU7" i="15"/>
  <c r="ET7" i="15"/>
  <c r="ES7" i="15"/>
  <c r="ER7" i="15"/>
  <c r="EQ7" i="15"/>
  <c r="EU6" i="15"/>
  <c r="ET6" i="15"/>
  <c r="ES6" i="15"/>
  <c r="ER6" i="15"/>
  <c r="EQ6" i="15"/>
  <c r="EU5" i="15"/>
  <c r="ET5" i="15"/>
  <c r="ES5" i="15"/>
  <c r="ER5" i="15"/>
  <c r="EQ5" i="15"/>
  <c r="EU4" i="15"/>
  <c r="ET4" i="15"/>
  <c r="ES4" i="15"/>
  <c r="ER4" i="15"/>
  <c r="EQ4" i="15"/>
  <c r="DU8" i="15"/>
  <c r="DT8" i="15"/>
  <c r="DS8" i="15"/>
  <c r="DR8" i="15"/>
  <c r="DQ8" i="15"/>
  <c r="DU7" i="15"/>
  <c r="DT7" i="15"/>
  <c r="DS7" i="15"/>
  <c r="DR7" i="15"/>
  <c r="DV7" i="15" s="1"/>
  <c r="DQ7" i="15"/>
  <c r="DU6" i="15"/>
  <c r="DT6" i="15"/>
  <c r="DS6" i="15"/>
  <c r="DR6" i="15"/>
  <c r="DQ6" i="15"/>
  <c r="DU5" i="15"/>
  <c r="DT5" i="15"/>
  <c r="DS5" i="15"/>
  <c r="DR5" i="15"/>
  <c r="DQ5" i="15"/>
  <c r="DU4" i="15"/>
  <c r="DT4" i="15"/>
  <c r="DS4" i="15"/>
  <c r="DR4" i="15"/>
  <c r="DQ4" i="15"/>
  <c r="NU4" i="14"/>
  <c r="NT4" i="14"/>
  <c r="NS4" i="14"/>
  <c r="NR4" i="14"/>
  <c r="NQ4" i="14"/>
  <c r="NU5" i="14"/>
  <c r="NT5" i="14"/>
  <c r="NS5" i="14"/>
  <c r="NR5" i="14"/>
  <c r="NQ5" i="14"/>
  <c r="MU4" i="14"/>
  <c r="MT4" i="14"/>
  <c r="MS4" i="14"/>
  <c r="MR4" i="14"/>
  <c r="MQ4" i="14"/>
  <c r="MU5" i="14"/>
  <c r="MT5" i="14"/>
  <c r="MS5" i="14"/>
  <c r="MR5" i="14"/>
  <c r="MQ5" i="14"/>
  <c r="LU4" i="14"/>
  <c r="LT4" i="14"/>
  <c r="LS4" i="14"/>
  <c r="LR4" i="14"/>
  <c r="LV4" i="14" s="1"/>
  <c r="LQ4" i="14"/>
  <c r="LU5" i="14"/>
  <c r="LT5" i="14"/>
  <c r="LS5" i="14"/>
  <c r="LR5" i="14"/>
  <c r="LQ5" i="14"/>
  <c r="KU4" i="14"/>
  <c r="KT4" i="14"/>
  <c r="KS4" i="14"/>
  <c r="KR4" i="14"/>
  <c r="KQ4" i="14"/>
  <c r="KU5" i="14"/>
  <c r="KT5" i="14"/>
  <c r="KS5" i="14"/>
  <c r="KR5" i="14"/>
  <c r="KQ5" i="14"/>
  <c r="JU4" i="14"/>
  <c r="JT4" i="14"/>
  <c r="JS4" i="14"/>
  <c r="JR4" i="14"/>
  <c r="JQ4" i="14"/>
  <c r="JU5" i="14"/>
  <c r="JT5" i="14"/>
  <c r="JS5" i="14"/>
  <c r="JR5" i="14"/>
  <c r="JQ5" i="14"/>
  <c r="IU4" i="14"/>
  <c r="IT4" i="14"/>
  <c r="IS4" i="14"/>
  <c r="IR4" i="14"/>
  <c r="IQ4" i="14"/>
  <c r="IU5" i="14"/>
  <c r="IT5" i="14"/>
  <c r="IS5" i="14"/>
  <c r="IR5" i="14"/>
  <c r="IQ5" i="14"/>
  <c r="HU4" i="14"/>
  <c r="HT4" i="14"/>
  <c r="HS4" i="14"/>
  <c r="HR4" i="14"/>
  <c r="HQ4" i="14"/>
  <c r="HU5" i="14"/>
  <c r="HT5" i="14"/>
  <c r="HS5" i="14"/>
  <c r="HR5" i="14"/>
  <c r="HQ5" i="14"/>
  <c r="GU4" i="14"/>
  <c r="GT4" i="14"/>
  <c r="GS4" i="14"/>
  <c r="GR4" i="14"/>
  <c r="GQ4" i="14"/>
  <c r="GU5" i="14"/>
  <c r="GT5" i="14"/>
  <c r="GS5" i="14"/>
  <c r="GR5" i="14"/>
  <c r="GQ5" i="14"/>
  <c r="FU4" i="14"/>
  <c r="FT4" i="14"/>
  <c r="FS4" i="14"/>
  <c r="FR4" i="14"/>
  <c r="FQ4" i="14"/>
  <c r="FU5" i="14"/>
  <c r="FT5" i="14"/>
  <c r="FS5" i="14"/>
  <c r="FR5" i="14"/>
  <c r="FQ5" i="14"/>
  <c r="EU4" i="14"/>
  <c r="ET4" i="14"/>
  <c r="ES4" i="14"/>
  <c r="ER4" i="14"/>
  <c r="EV4" i="14" s="1"/>
  <c r="EQ4" i="14"/>
  <c r="EU5" i="14"/>
  <c r="ET5" i="14"/>
  <c r="ES5" i="14"/>
  <c r="ER5" i="14"/>
  <c r="EQ5" i="14"/>
  <c r="DU4" i="14"/>
  <c r="DT4" i="14"/>
  <c r="DS4" i="14"/>
  <c r="DR4" i="14"/>
  <c r="DQ4" i="14"/>
  <c r="DU5" i="14"/>
  <c r="DT5" i="14"/>
  <c r="DS5" i="14"/>
  <c r="DR5" i="14"/>
  <c r="DQ5" i="14"/>
  <c r="MP11" i="13"/>
  <c r="MO11" i="13"/>
  <c r="MM11" i="13"/>
  <c r="ML11" i="13"/>
  <c r="MK11" i="13"/>
  <c r="MP10" i="13"/>
  <c r="MO10" i="13"/>
  <c r="MM10" i="13"/>
  <c r="ML10" i="13"/>
  <c r="MN10" i="13" s="1"/>
  <c r="MQ10" i="13" s="1"/>
  <c r="MK10" i="13"/>
  <c r="MP9" i="13"/>
  <c r="MO9" i="13"/>
  <c r="MM9" i="13"/>
  <c r="ML9" i="13"/>
  <c r="MK9" i="13"/>
  <c r="MP8" i="13"/>
  <c r="MO8" i="13"/>
  <c r="MM8" i="13"/>
  <c r="ML8" i="13"/>
  <c r="MK8" i="13"/>
  <c r="MP5" i="13"/>
  <c r="MO5" i="13"/>
  <c r="MM5" i="13"/>
  <c r="ML5" i="13"/>
  <c r="MK5" i="13"/>
  <c r="MP4" i="13"/>
  <c r="MO4" i="13"/>
  <c r="MM4" i="13"/>
  <c r="ML4" i="13"/>
  <c r="MN4" i="13" s="1"/>
  <c r="MK4" i="13"/>
  <c r="MP6" i="13"/>
  <c r="MO6" i="13"/>
  <c r="MM6" i="13"/>
  <c r="ML6" i="13"/>
  <c r="MK6" i="13"/>
  <c r="MP7" i="13"/>
  <c r="MO7" i="13"/>
  <c r="MM7" i="13"/>
  <c r="ML7" i="13"/>
  <c r="MK7" i="13"/>
  <c r="LT11" i="13"/>
  <c r="LS11" i="13"/>
  <c r="LQ11" i="13"/>
  <c r="LP11" i="13"/>
  <c r="LO11" i="13"/>
  <c r="LT10" i="13"/>
  <c r="LS10" i="13"/>
  <c r="LQ10" i="13"/>
  <c r="LP10" i="13"/>
  <c r="LO10" i="13"/>
  <c r="LT9" i="13"/>
  <c r="LS9" i="13"/>
  <c r="LQ9" i="13"/>
  <c r="LP9" i="13"/>
  <c r="LO9" i="13"/>
  <c r="LT8" i="13"/>
  <c r="LS8" i="13"/>
  <c r="LQ8" i="13"/>
  <c r="LP8" i="13"/>
  <c r="LO8" i="13"/>
  <c r="LT5" i="13"/>
  <c r="LS5" i="13"/>
  <c r="LQ5" i="13"/>
  <c r="LP5" i="13"/>
  <c r="LR5" i="13" s="1"/>
  <c r="LO5" i="13"/>
  <c r="LT4" i="13"/>
  <c r="LS4" i="13"/>
  <c r="LQ4" i="13"/>
  <c r="LP4" i="13"/>
  <c r="LR4" i="13" s="1"/>
  <c r="LU4" i="13" s="1"/>
  <c r="LO4" i="13"/>
  <c r="LT6" i="13"/>
  <c r="LS6" i="13"/>
  <c r="LQ6" i="13"/>
  <c r="LP6" i="13"/>
  <c r="LO6" i="13"/>
  <c r="LT7" i="13"/>
  <c r="LS7" i="13"/>
  <c r="LQ7" i="13"/>
  <c r="LP7" i="13"/>
  <c r="LR7" i="13" s="1"/>
  <c r="LU7" i="13" s="1"/>
  <c r="LO7" i="13"/>
  <c r="KX11" i="13"/>
  <c r="KW11" i="13"/>
  <c r="KU11" i="13"/>
  <c r="KT11" i="13"/>
  <c r="KS11" i="13"/>
  <c r="KX10" i="13"/>
  <c r="KW10" i="13"/>
  <c r="KU10" i="13"/>
  <c r="KT10" i="13"/>
  <c r="KS10" i="13"/>
  <c r="KX9" i="13"/>
  <c r="KW9" i="13"/>
  <c r="KU9" i="13"/>
  <c r="KT9" i="13"/>
  <c r="KS9" i="13"/>
  <c r="KX8" i="13"/>
  <c r="KW8" i="13"/>
  <c r="KU8" i="13"/>
  <c r="KT8" i="13"/>
  <c r="KV8" i="13" s="1"/>
  <c r="KS8" i="13"/>
  <c r="KX5" i="13"/>
  <c r="KW5" i="13"/>
  <c r="KU5" i="13"/>
  <c r="KT5" i="13"/>
  <c r="KV5" i="13" s="1"/>
  <c r="KS5" i="13"/>
  <c r="KX4" i="13"/>
  <c r="KW4" i="13"/>
  <c r="KU4" i="13"/>
  <c r="KT4" i="13"/>
  <c r="KV4" i="13" s="1"/>
  <c r="KY4" i="13" s="1"/>
  <c r="KS4" i="13"/>
  <c r="KX6" i="13"/>
  <c r="KW6" i="13"/>
  <c r="KU6" i="13"/>
  <c r="KT6" i="13"/>
  <c r="KS6" i="13"/>
  <c r="KX7" i="13"/>
  <c r="KW7" i="13"/>
  <c r="KU7" i="13"/>
  <c r="KT7" i="13"/>
  <c r="KS7" i="13"/>
  <c r="KB11" i="13"/>
  <c r="KA11" i="13"/>
  <c r="JY11" i="13"/>
  <c r="JX11" i="13"/>
  <c r="JW11" i="13"/>
  <c r="KB10" i="13"/>
  <c r="KA10" i="13"/>
  <c r="JY10" i="13"/>
  <c r="JX10" i="13"/>
  <c r="JW10" i="13"/>
  <c r="KB9" i="13"/>
  <c r="KA9" i="13"/>
  <c r="JY9" i="13"/>
  <c r="JX9" i="13"/>
  <c r="JZ9" i="13" s="1"/>
  <c r="JW9" i="13"/>
  <c r="KB8" i="13"/>
  <c r="KA8" i="13"/>
  <c r="JY8" i="13"/>
  <c r="JX8" i="13"/>
  <c r="JZ8" i="13" s="1"/>
  <c r="KC8" i="13" s="1"/>
  <c r="JW8" i="13"/>
  <c r="KB5" i="13"/>
  <c r="KA5" i="13"/>
  <c r="JY5" i="13"/>
  <c r="JX5" i="13"/>
  <c r="JW5" i="13"/>
  <c r="KB4" i="13"/>
  <c r="KA4" i="13"/>
  <c r="JY4" i="13"/>
  <c r="JX4" i="13"/>
  <c r="JW4" i="13"/>
  <c r="KB6" i="13"/>
  <c r="KA6" i="13"/>
  <c r="JY6" i="13"/>
  <c r="JX6" i="13"/>
  <c r="JW6" i="13"/>
  <c r="KB7" i="13"/>
  <c r="KA7" i="13"/>
  <c r="JY7" i="13"/>
  <c r="JX7" i="13"/>
  <c r="JW7" i="13"/>
  <c r="JF11" i="13"/>
  <c r="JE11" i="13"/>
  <c r="JC11" i="13"/>
  <c r="JB11" i="13"/>
  <c r="JA11" i="13"/>
  <c r="JF10" i="13"/>
  <c r="JE10" i="13"/>
  <c r="JC10" i="13"/>
  <c r="JB10" i="13"/>
  <c r="JD10" i="13" s="1"/>
  <c r="JA10" i="13"/>
  <c r="JF9" i="13"/>
  <c r="JE9" i="13"/>
  <c r="JC9" i="13"/>
  <c r="JB9" i="13"/>
  <c r="JA9" i="13"/>
  <c r="JF8" i="13"/>
  <c r="JE8" i="13"/>
  <c r="JC8" i="13"/>
  <c r="JB8" i="13"/>
  <c r="JD8" i="13" s="1"/>
  <c r="JA8" i="13"/>
  <c r="JF5" i="13"/>
  <c r="JE5" i="13"/>
  <c r="JC5" i="13"/>
  <c r="JB5" i="13"/>
  <c r="JA5" i="13"/>
  <c r="JF4" i="13"/>
  <c r="JE4" i="13"/>
  <c r="JC4" i="13"/>
  <c r="JB4" i="13"/>
  <c r="JA4" i="13"/>
  <c r="JF6" i="13"/>
  <c r="JE6" i="13"/>
  <c r="JC6" i="13"/>
  <c r="JB6" i="13"/>
  <c r="JA6" i="13"/>
  <c r="JF7" i="13"/>
  <c r="JE7" i="13"/>
  <c r="JC7" i="13"/>
  <c r="JB7" i="13"/>
  <c r="JA7" i="13"/>
  <c r="IJ11" i="13"/>
  <c r="II11" i="13"/>
  <c r="IG11" i="13"/>
  <c r="IF11" i="13"/>
  <c r="IH11" i="13" s="1"/>
  <c r="IE11" i="13"/>
  <c r="IJ10" i="13"/>
  <c r="II10" i="13"/>
  <c r="IG10" i="13"/>
  <c r="IF10" i="13"/>
  <c r="IH10" i="13" s="1"/>
  <c r="IK10" i="13" s="1"/>
  <c r="IE10" i="13"/>
  <c r="IJ9" i="13"/>
  <c r="II9" i="13"/>
  <c r="IG9" i="13"/>
  <c r="IF9" i="13"/>
  <c r="IE9" i="13"/>
  <c r="IJ8" i="13"/>
  <c r="II8" i="13"/>
  <c r="IG8" i="13"/>
  <c r="IF8" i="13"/>
  <c r="IH8" i="13" s="1"/>
  <c r="IK8" i="13" s="1"/>
  <c r="IE8" i="13"/>
  <c r="IJ5" i="13"/>
  <c r="II5" i="13"/>
  <c r="IG5" i="13"/>
  <c r="IF5" i="13"/>
  <c r="IE5" i="13"/>
  <c r="IJ4" i="13"/>
  <c r="II4" i="13"/>
  <c r="IG4" i="13"/>
  <c r="IF4" i="13"/>
  <c r="IE4" i="13"/>
  <c r="IJ6" i="13"/>
  <c r="II6" i="13"/>
  <c r="IG6" i="13"/>
  <c r="IF6" i="13"/>
  <c r="IE6" i="13"/>
  <c r="IJ7" i="13"/>
  <c r="II7" i="13"/>
  <c r="IG7" i="13"/>
  <c r="IF7" i="13"/>
  <c r="IH7" i="13" s="1"/>
  <c r="IE7" i="13"/>
  <c r="HN11" i="13"/>
  <c r="HM11" i="13"/>
  <c r="HK11" i="13"/>
  <c r="HJ11" i="13"/>
  <c r="HI11" i="13"/>
  <c r="HN10" i="13"/>
  <c r="HM10" i="13"/>
  <c r="HK10" i="13"/>
  <c r="HJ10" i="13"/>
  <c r="HL10" i="13" s="1"/>
  <c r="HO10" i="13" s="1"/>
  <c r="HI10" i="13"/>
  <c r="HN9" i="13"/>
  <c r="HM9" i="13"/>
  <c r="HK9" i="13"/>
  <c r="HJ9" i="13"/>
  <c r="HI9" i="13"/>
  <c r="HN8" i="13"/>
  <c r="HM8" i="13"/>
  <c r="HK8" i="13"/>
  <c r="HJ8" i="13"/>
  <c r="HI8" i="13"/>
  <c r="HN5" i="13"/>
  <c r="HM5" i="13"/>
  <c r="HK5" i="13"/>
  <c r="HJ5" i="13"/>
  <c r="HI5" i="13"/>
  <c r="HN4" i="13"/>
  <c r="HM4" i="13"/>
  <c r="HK4" i="13"/>
  <c r="HJ4" i="13"/>
  <c r="HI4" i="13"/>
  <c r="HN6" i="13"/>
  <c r="HM6" i="13"/>
  <c r="HK6" i="13"/>
  <c r="HJ6" i="13"/>
  <c r="HL6" i="13" s="1"/>
  <c r="HI6" i="13"/>
  <c r="HN7" i="13"/>
  <c r="HM7" i="13"/>
  <c r="HK7" i="13"/>
  <c r="HJ7" i="13"/>
  <c r="HL7" i="13" s="1"/>
  <c r="HO7" i="13" s="1"/>
  <c r="HI7" i="13"/>
  <c r="GR11" i="13"/>
  <c r="GQ11" i="13"/>
  <c r="GO11" i="13"/>
  <c r="GN11" i="13"/>
  <c r="GM11" i="13"/>
  <c r="GR10" i="13"/>
  <c r="GQ10" i="13"/>
  <c r="GO10" i="13"/>
  <c r="GN10" i="13"/>
  <c r="GP10" i="13" s="1"/>
  <c r="GS10" i="13" s="1"/>
  <c r="GM10" i="13"/>
  <c r="GR9" i="13"/>
  <c r="GQ9" i="13"/>
  <c r="GO9" i="13"/>
  <c r="GN9" i="13"/>
  <c r="GM9" i="13"/>
  <c r="GR8" i="13"/>
  <c r="GQ8" i="13"/>
  <c r="GO8" i="13"/>
  <c r="GN8" i="13"/>
  <c r="GM8" i="13"/>
  <c r="GR5" i="13"/>
  <c r="GQ5" i="13"/>
  <c r="GO5" i="13"/>
  <c r="GN5" i="13"/>
  <c r="GM5" i="13"/>
  <c r="GR4" i="13"/>
  <c r="GQ4" i="13"/>
  <c r="GO4" i="13"/>
  <c r="GN4" i="13"/>
  <c r="GP4" i="13" s="1"/>
  <c r="GM4" i="13"/>
  <c r="GR6" i="13"/>
  <c r="GQ6" i="13"/>
  <c r="GO6" i="13"/>
  <c r="GN6" i="13"/>
  <c r="GP6" i="13" s="1"/>
  <c r="GM6" i="13"/>
  <c r="GR7" i="13"/>
  <c r="GQ7" i="13"/>
  <c r="GO7" i="13"/>
  <c r="GN7" i="13"/>
  <c r="GP7" i="13" s="1"/>
  <c r="GS7" i="13" s="1"/>
  <c r="GM7" i="13"/>
  <c r="FV11" i="13"/>
  <c r="FU11" i="13"/>
  <c r="FS11" i="13"/>
  <c r="FR11" i="13"/>
  <c r="FQ11" i="13"/>
  <c r="FV10" i="13"/>
  <c r="FU10" i="13"/>
  <c r="FS10" i="13"/>
  <c r="FR10" i="13"/>
  <c r="FQ10" i="13"/>
  <c r="FV9" i="13"/>
  <c r="FU9" i="13"/>
  <c r="FS9" i="13"/>
  <c r="FR9" i="13"/>
  <c r="FQ9" i="13"/>
  <c r="FV8" i="13"/>
  <c r="FU8" i="13"/>
  <c r="FS8" i="13"/>
  <c r="FR8" i="13"/>
  <c r="FQ8" i="13"/>
  <c r="FV5" i="13"/>
  <c r="FU5" i="13"/>
  <c r="FS5" i="13"/>
  <c r="FR5" i="13"/>
  <c r="FT5" i="13" s="1"/>
  <c r="FQ5" i="13"/>
  <c r="FV4" i="13"/>
  <c r="FU4" i="13"/>
  <c r="FS4" i="13"/>
  <c r="FR4" i="13"/>
  <c r="FT4" i="13" s="1"/>
  <c r="FW4" i="13" s="1"/>
  <c r="FQ4" i="13"/>
  <c r="FV6" i="13"/>
  <c r="FU6" i="13"/>
  <c r="FS6" i="13"/>
  <c r="FR6" i="13"/>
  <c r="FQ6" i="13"/>
  <c r="FV7" i="13"/>
  <c r="FU7" i="13"/>
  <c r="FS7" i="13"/>
  <c r="FR7" i="13"/>
  <c r="FT7" i="13" s="1"/>
  <c r="FW7" i="13" s="1"/>
  <c r="FQ7" i="13"/>
  <c r="EZ11" i="13"/>
  <c r="EY11" i="13"/>
  <c r="EW11" i="13"/>
  <c r="EV11" i="13"/>
  <c r="EU11" i="13"/>
  <c r="EZ10" i="13"/>
  <c r="EY10" i="13"/>
  <c r="EW10" i="13"/>
  <c r="EV10" i="13"/>
  <c r="EX10" i="13" s="1"/>
  <c r="EU10" i="13"/>
  <c r="EZ9" i="13"/>
  <c r="EY9" i="13"/>
  <c r="EW9" i="13"/>
  <c r="EV9" i="13"/>
  <c r="EU9" i="13"/>
  <c r="EZ8" i="13"/>
  <c r="EY8" i="13"/>
  <c r="EW8" i="13"/>
  <c r="EV8" i="13"/>
  <c r="EU8" i="13"/>
  <c r="EZ5" i="13"/>
  <c r="EY5" i="13"/>
  <c r="EW5" i="13"/>
  <c r="EV5" i="13"/>
  <c r="EX5" i="13" s="1"/>
  <c r="EU5" i="13"/>
  <c r="EZ4" i="13"/>
  <c r="EY4" i="13"/>
  <c r="EW4" i="13"/>
  <c r="EV4" i="13"/>
  <c r="EX4" i="13" s="1"/>
  <c r="FA4" i="13" s="1"/>
  <c r="EU4" i="13"/>
  <c r="EZ6" i="13"/>
  <c r="EY6" i="13"/>
  <c r="EW6" i="13"/>
  <c r="EV6" i="13"/>
  <c r="EU6" i="13"/>
  <c r="EZ7" i="13"/>
  <c r="EY7" i="13"/>
  <c r="EW7" i="13"/>
  <c r="EV7" i="13"/>
  <c r="EU7" i="13"/>
  <c r="ED11" i="13"/>
  <c r="EC11" i="13"/>
  <c r="EA11" i="13"/>
  <c r="DZ11" i="13"/>
  <c r="DY11" i="13"/>
  <c r="ED10" i="13"/>
  <c r="EC10" i="13"/>
  <c r="EA10" i="13"/>
  <c r="DZ10" i="13"/>
  <c r="DY10" i="13"/>
  <c r="ED9" i="13"/>
  <c r="EC9" i="13"/>
  <c r="EA9" i="13"/>
  <c r="DZ9" i="13"/>
  <c r="EB9" i="13" s="1"/>
  <c r="DY9" i="13"/>
  <c r="ED8" i="13"/>
  <c r="EC8" i="13"/>
  <c r="EA8" i="13"/>
  <c r="DZ8" i="13"/>
  <c r="EB8" i="13" s="1"/>
  <c r="EE8" i="13" s="1"/>
  <c r="DY8" i="13"/>
  <c r="ED5" i="13"/>
  <c r="EC5" i="13"/>
  <c r="EA5" i="13"/>
  <c r="DZ5" i="13"/>
  <c r="DY5" i="13"/>
  <c r="ED4" i="13"/>
  <c r="EC4" i="13"/>
  <c r="EA4" i="13"/>
  <c r="DZ4" i="13"/>
  <c r="EB4" i="13" s="1"/>
  <c r="EE4" i="13" s="1"/>
  <c r="DY4" i="13"/>
  <c r="ED6" i="13"/>
  <c r="EC6" i="13"/>
  <c r="EA6" i="13"/>
  <c r="DZ6" i="13"/>
  <c r="DY6" i="13"/>
  <c r="ED7" i="13"/>
  <c r="EC7" i="13"/>
  <c r="EA7" i="13"/>
  <c r="DZ7" i="13"/>
  <c r="EB7" i="13" s="1"/>
  <c r="DY7" i="13"/>
  <c r="MP14" i="4"/>
  <c r="MO14" i="4"/>
  <c r="MM14" i="4"/>
  <c r="ML14" i="4"/>
  <c r="MN14" i="4" s="1"/>
  <c r="MQ14" i="4" s="1"/>
  <c r="MK14" i="4"/>
  <c r="MP11" i="4"/>
  <c r="MO11" i="4"/>
  <c r="MM11" i="4"/>
  <c r="ML11" i="4"/>
  <c r="MN11" i="4" s="1"/>
  <c r="MK11" i="4"/>
  <c r="MP9" i="4"/>
  <c r="MO9" i="4"/>
  <c r="MM9" i="4"/>
  <c r="ML9" i="4"/>
  <c r="MK9" i="4"/>
  <c r="MP13" i="4"/>
  <c r="MO13" i="4"/>
  <c r="MM13" i="4"/>
  <c r="ML13" i="4"/>
  <c r="MK13" i="4"/>
  <c r="MP5" i="4"/>
  <c r="MO5" i="4"/>
  <c r="MM5" i="4"/>
  <c r="ML5" i="4"/>
  <c r="MK5" i="4"/>
  <c r="MP12" i="4"/>
  <c r="MO12" i="4"/>
  <c r="MM12" i="4"/>
  <c r="ML12" i="4"/>
  <c r="MK12" i="4"/>
  <c r="MP10" i="4"/>
  <c r="MO10" i="4"/>
  <c r="MM10" i="4"/>
  <c r="ML10" i="4"/>
  <c r="MK10" i="4"/>
  <c r="MP8" i="4"/>
  <c r="MO8" i="4"/>
  <c r="MM8" i="4"/>
  <c r="ML8" i="4"/>
  <c r="MK8" i="4"/>
  <c r="MP7" i="4"/>
  <c r="MO7" i="4"/>
  <c r="MM7" i="4"/>
  <c r="ML7" i="4"/>
  <c r="MN7" i="4" s="1"/>
  <c r="MK7" i="4"/>
  <c r="MP6" i="4"/>
  <c r="MO6" i="4"/>
  <c r="MM6" i="4"/>
  <c r="ML6" i="4"/>
  <c r="MK6" i="4"/>
  <c r="MP4" i="4"/>
  <c r="MO4" i="4"/>
  <c r="MM4" i="4"/>
  <c r="ML4" i="4"/>
  <c r="MK4" i="4"/>
  <c r="LT14" i="4"/>
  <c r="LS14" i="4"/>
  <c r="LQ14" i="4"/>
  <c r="LP14" i="4"/>
  <c r="LO14" i="4"/>
  <c r="LT11" i="4"/>
  <c r="LS11" i="4"/>
  <c r="LQ11" i="4"/>
  <c r="LP11" i="4"/>
  <c r="LO11" i="4"/>
  <c r="LT9" i="4"/>
  <c r="LS9" i="4"/>
  <c r="LQ9" i="4"/>
  <c r="LP9" i="4"/>
  <c r="LO9" i="4"/>
  <c r="LT13" i="4"/>
  <c r="LS13" i="4"/>
  <c r="LQ13" i="4"/>
  <c r="LP13" i="4"/>
  <c r="LR13" i="4" s="1"/>
  <c r="LU13" i="4" s="1"/>
  <c r="LO13" i="4"/>
  <c r="LT5" i="4"/>
  <c r="LS5" i="4"/>
  <c r="LQ5" i="4"/>
  <c r="LP5" i="4"/>
  <c r="LR5" i="4" s="1"/>
  <c r="LO5" i="4"/>
  <c r="LT12" i="4"/>
  <c r="LS12" i="4"/>
  <c r="LQ12" i="4"/>
  <c r="LP12" i="4"/>
  <c r="LO12" i="4"/>
  <c r="LT10" i="4"/>
  <c r="LS10" i="4"/>
  <c r="LQ10" i="4"/>
  <c r="LP10" i="4"/>
  <c r="LO10" i="4"/>
  <c r="LT8" i="4"/>
  <c r="LS8" i="4"/>
  <c r="LQ8" i="4"/>
  <c r="LP8" i="4"/>
  <c r="LR8" i="4" s="1"/>
  <c r="LU8" i="4" s="1"/>
  <c r="LO8" i="4"/>
  <c r="LT7" i="4"/>
  <c r="LS7" i="4"/>
  <c r="LQ7" i="4"/>
  <c r="LP7" i="4"/>
  <c r="LO7" i="4"/>
  <c r="LT6" i="4"/>
  <c r="LS6" i="4"/>
  <c r="LQ6" i="4"/>
  <c r="LP6" i="4"/>
  <c r="LO6" i="4"/>
  <c r="LT4" i="4"/>
  <c r="LS4" i="4"/>
  <c r="LQ4" i="4"/>
  <c r="LP4" i="4"/>
  <c r="LO4" i="4"/>
  <c r="KX14" i="4"/>
  <c r="KW14" i="4"/>
  <c r="KU14" i="4"/>
  <c r="KT14" i="4"/>
  <c r="KV14" i="4" s="1"/>
  <c r="KS14" i="4"/>
  <c r="KX11" i="4"/>
  <c r="KW11" i="4"/>
  <c r="KU11" i="4"/>
  <c r="KT11" i="4"/>
  <c r="KS11" i="4"/>
  <c r="KX9" i="4"/>
  <c r="KW9" i="4"/>
  <c r="KU9" i="4"/>
  <c r="KT9" i="4"/>
  <c r="KS9" i="4"/>
  <c r="KX13" i="4"/>
  <c r="KW13" i="4"/>
  <c r="KU13" i="4"/>
  <c r="KT13" i="4"/>
  <c r="KS13" i="4"/>
  <c r="KX5" i="4"/>
  <c r="KW5" i="4"/>
  <c r="KU5" i="4"/>
  <c r="KT5" i="4"/>
  <c r="KS5" i="4"/>
  <c r="KX12" i="4"/>
  <c r="KW12" i="4"/>
  <c r="KU12" i="4"/>
  <c r="KT12" i="4"/>
  <c r="KS12" i="4"/>
  <c r="KX10" i="4"/>
  <c r="KW10" i="4"/>
  <c r="KU10" i="4"/>
  <c r="KT10" i="4"/>
  <c r="KV10" i="4" s="1"/>
  <c r="KY10" i="4" s="1"/>
  <c r="KS10" i="4"/>
  <c r="KX8" i="4"/>
  <c r="KW8" i="4"/>
  <c r="KU8" i="4"/>
  <c r="KT8" i="4"/>
  <c r="KS8" i="4"/>
  <c r="KX7" i="4"/>
  <c r="KW7" i="4"/>
  <c r="KU7" i="4"/>
  <c r="KT7" i="4"/>
  <c r="KS7" i="4"/>
  <c r="KX6" i="4"/>
  <c r="KW6" i="4"/>
  <c r="KU6" i="4"/>
  <c r="KT6" i="4"/>
  <c r="KS6" i="4"/>
  <c r="KX4" i="4"/>
  <c r="KW4" i="4"/>
  <c r="KU4" i="4"/>
  <c r="KT4" i="4"/>
  <c r="KV4" i="4" s="1"/>
  <c r="KY4" i="4" s="1"/>
  <c r="KS4" i="4"/>
  <c r="KB14" i="4"/>
  <c r="KA14" i="4"/>
  <c r="JY14" i="4"/>
  <c r="JX14" i="4"/>
  <c r="JW14" i="4"/>
  <c r="KB11" i="4"/>
  <c r="KA11" i="4"/>
  <c r="JY11" i="4"/>
  <c r="JX11" i="4"/>
  <c r="JW11" i="4"/>
  <c r="KB9" i="4"/>
  <c r="KA9" i="4"/>
  <c r="JY9" i="4"/>
  <c r="JX9" i="4"/>
  <c r="JZ9" i="4" s="1"/>
  <c r="KC9" i="4" s="1"/>
  <c r="JW9" i="4"/>
  <c r="KB13" i="4"/>
  <c r="KA13" i="4"/>
  <c r="JY13" i="4"/>
  <c r="JX13" i="4"/>
  <c r="JZ13" i="4" s="1"/>
  <c r="JW13" i="4"/>
  <c r="KB5" i="4"/>
  <c r="KA5" i="4"/>
  <c r="JY5" i="4"/>
  <c r="JX5" i="4"/>
  <c r="JW5" i="4"/>
  <c r="KB12" i="4"/>
  <c r="KA12" i="4"/>
  <c r="JY12" i="4"/>
  <c r="JX12" i="4"/>
  <c r="JW12" i="4"/>
  <c r="KB10" i="4"/>
  <c r="KA10" i="4"/>
  <c r="JY10" i="4"/>
  <c r="JX10" i="4"/>
  <c r="JW10" i="4"/>
  <c r="KB8" i="4"/>
  <c r="KA8" i="4"/>
  <c r="JY8" i="4"/>
  <c r="JX8" i="4"/>
  <c r="JW8" i="4"/>
  <c r="KB7" i="4"/>
  <c r="KA7" i="4"/>
  <c r="JY7" i="4"/>
  <c r="JX7" i="4"/>
  <c r="JW7" i="4"/>
  <c r="KB6" i="4"/>
  <c r="KA6" i="4"/>
  <c r="JY6" i="4"/>
  <c r="JX6" i="4"/>
  <c r="JZ6" i="4" s="1"/>
  <c r="KC6" i="4" s="1"/>
  <c r="JW6" i="4"/>
  <c r="KB4" i="4"/>
  <c r="KA4" i="4"/>
  <c r="JY4" i="4"/>
  <c r="JX4" i="4"/>
  <c r="JZ4" i="4" s="1"/>
  <c r="JW4" i="4"/>
  <c r="JF14" i="4"/>
  <c r="JE14" i="4"/>
  <c r="JC14" i="4"/>
  <c r="JB14" i="4"/>
  <c r="JA14" i="4"/>
  <c r="JF11" i="4"/>
  <c r="JE11" i="4"/>
  <c r="JC11" i="4"/>
  <c r="JB11" i="4"/>
  <c r="JA11" i="4"/>
  <c r="JF9" i="4"/>
  <c r="JE9" i="4"/>
  <c r="JC9" i="4"/>
  <c r="JB9" i="4"/>
  <c r="JD9" i="4" s="1"/>
  <c r="JG9" i="4" s="1"/>
  <c r="JA9" i="4"/>
  <c r="JF13" i="4"/>
  <c r="JE13" i="4"/>
  <c r="JC13" i="4"/>
  <c r="JB13" i="4"/>
  <c r="JA13" i="4"/>
  <c r="JF5" i="4"/>
  <c r="JE5" i="4"/>
  <c r="JC5" i="4"/>
  <c r="JB5" i="4"/>
  <c r="JA5" i="4"/>
  <c r="JF12" i="4"/>
  <c r="JE12" i="4"/>
  <c r="JC12" i="4"/>
  <c r="JB12" i="4"/>
  <c r="JD12" i="4" s="1"/>
  <c r="JG12" i="4" s="1"/>
  <c r="JA12" i="4"/>
  <c r="JF10" i="4"/>
  <c r="JE10" i="4"/>
  <c r="JC10" i="4"/>
  <c r="JB10" i="4"/>
  <c r="JD10" i="4" s="1"/>
  <c r="JA10" i="4"/>
  <c r="JF8" i="4"/>
  <c r="JE8" i="4"/>
  <c r="JC8" i="4"/>
  <c r="JB8" i="4"/>
  <c r="JA8" i="4"/>
  <c r="JF7" i="4"/>
  <c r="JE7" i="4"/>
  <c r="JC7" i="4"/>
  <c r="JB7" i="4"/>
  <c r="JA7" i="4"/>
  <c r="JF6" i="4"/>
  <c r="JE6" i="4"/>
  <c r="JC6" i="4"/>
  <c r="JB6" i="4"/>
  <c r="JA6" i="4"/>
  <c r="JF4" i="4"/>
  <c r="JE4" i="4"/>
  <c r="JC4" i="4"/>
  <c r="JB4" i="4"/>
  <c r="JA4" i="4"/>
  <c r="IJ14" i="4"/>
  <c r="II14" i="4"/>
  <c r="IG14" i="4"/>
  <c r="IF14" i="4"/>
  <c r="IE14" i="4"/>
  <c r="IJ11" i="4"/>
  <c r="II11" i="4"/>
  <c r="IG11" i="4"/>
  <c r="IF11" i="4"/>
  <c r="IH11" i="4" s="1"/>
  <c r="IK11" i="4" s="1"/>
  <c r="IE11" i="4"/>
  <c r="IJ9" i="4"/>
  <c r="II9" i="4"/>
  <c r="IG9" i="4"/>
  <c r="IF9" i="4"/>
  <c r="IH9" i="4" s="1"/>
  <c r="IE9" i="4"/>
  <c r="IJ13" i="4"/>
  <c r="II13" i="4"/>
  <c r="IG13" i="4"/>
  <c r="IF13" i="4"/>
  <c r="IE13" i="4"/>
  <c r="IJ5" i="4"/>
  <c r="II5" i="4"/>
  <c r="IG5" i="4"/>
  <c r="IF5" i="4"/>
  <c r="IE5" i="4"/>
  <c r="IJ12" i="4"/>
  <c r="II12" i="4"/>
  <c r="IG12" i="4"/>
  <c r="IF12" i="4"/>
  <c r="IH12" i="4" s="1"/>
  <c r="IK12" i="4" s="1"/>
  <c r="IE12" i="4"/>
  <c r="IJ10" i="4"/>
  <c r="II10" i="4"/>
  <c r="IG10" i="4"/>
  <c r="IF10" i="4"/>
  <c r="IE10" i="4"/>
  <c r="IJ8" i="4"/>
  <c r="II8" i="4"/>
  <c r="IG8" i="4"/>
  <c r="IF8" i="4"/>
  <c r="IE8" i="4"/>
  <c r="IJ7" i="4"/>
  <c r="II7" i="4"/>
  <c r="IG7" i="4"/>
  <c r="IF7" i="4"/>
  <c r="IH7" i="4" s="1"/>
  <c r="IK7" i="4" s="1"/>
  <c r="IE7" i="4"/>
  <c r="IJ6" i="4"/>
  <c r="II6" i="4"/>
  <c r="IG6" i="4"/>
  <c r="IF6" i="4"/>
  <c r="IH6" i="4" s="1"/>
  <c r="IE6" i="4"/>
  <c r="IJ4" i="4"/>
  <c r="II4" i="4"/>
  <c r="IG4" i="4"/>
  <c r="IF4" i="4"/>
  <c r="IE4" i="4"/>
  <c r="HN14" i="4"/>
  <c r="HM14" i="4"/>
  <c r="HK14" i="4"/>
  <c r="HJ14" i="4"/>
  <c r="HI14" i="4"/>
  <c r="HN11" i="4"/>
  <c r="HM11" i="4"/>
  <c r="HK11" i="4"/>
  <c r="HJ11" i="4"/>
  <c r="HI11" i="4"/>
  <c r="HN9" i="4"/>
  <c r="HM9" i="4"/>
  <c r="HK9" i="4"/>
  <c r="HJ9" i="4"/>
  <c r="HI9" i="4"/>
  <c r="HN13" i="4"/>
  <c r="HM13" i="4"/>
  <c r="HK13" i="4"/>
  <c r="HJ13" i="4"/>
  <c r="HI13" i="4"/>
  <c r="HN5" i="4"/>
  <c r="HM5" i="4"/>
  <c r="HK5" i="4"/>
  <c r="HJ5" i="4"/>
  <c r="HL5" i="4" s="1"/>
  <c r="HO5" i="4" s="1"/>
  <c r="HI5" i="4"/>
  <c r="HN12" i="4"/>
  <c r="HM12" i="4"/>
  <c r="HK12" i="4"/>
  <c r="HJ12" i="4"/>
  <c r="HL12" i="4" s="1"/>
  <c r="HI12" i="4"/>
  <c r="HN10" i="4"/>
  <c r="HM10" i="4"/>
  <c r="HK10" i="4"/>
  <c r="HJ10" i="4"/>
  <c r="HI10" i="4"/>
  <c r="HN8" i="4"/>
  <c r="HM8" i="4"/>
  <c r="HK8" i="4"/>
  <c r="HJ8" i="4"/>
  <c r="HI8" i="4"/>
  <c r="HN7" i="4"/>
  <c r="HM7" i="4"/>
  <c r="HK7" i="4"/>
  <c r="HJ7" i="4"/>
  <c r="HL7" i="4" s="1"/>
  <c r="HO7" i="4" s="1"/>
  <c r="HI7" i="4"/>
  <c r="HN6" i="4"/>
  <c r="HM6" i="4"/>
  <c r="HK6" i="4"/>
  <c r="HJ6" i="4"/>
  <c r="HI6" i="4"/>
  <c r="HN4" i="4"/>
  <c r="HM4" i="4"/>
  <c r="HK4" i="4"/>
  <c r="HJ4" i="4"/>
  <c r="HI4" i="4"/>
  <c r="GR14" i="4"/>
  <c r="GQ14" i="4"/>
  <c r="GO14" i="4"/>
  <c r="GN14" i="4"/>
  <c r="GP14" i="4" s="1"/>
  <c r="GS14" i="4" s="1"/>
  <c r="GM14" i="4"/>
  <c r="GR11" i="4"/>
  <c r="GQ11" i="4"/>
  <c r="GO11" i="4"/>
  <c r="GN11" i="4"/>
  <c r="GP11" i="4" s="1"/>
  <c r="GS11" i="4" s="1"/>
  <c r="GM11" i="4"/>
  <c r="GR9" i="4"/>
  <c r="GQ9" i="4"/>
  <c r="GO9" i="4"/>
  <c r="GN9" i="4"/>
  <c r="GM9" i="4"/>
  <c r="GR13" i="4"/>
  <c r="GQ13" i="4"/>
  <c r="GO13" i="4"/>
  <c r="GN13" i="4"/>
  <c r="GM13" i="4"/>
  <c r="GR5" i="4"/>
  <c r="GQ5" i="4"/>
  <c r="GO5" i="4"/>
  <c r="GN5" i="4"/>
  <c r="GM5" i="4"/>
  <c r="GR12" i="4"/>
  <c r="GQ12" i="4"/>
  <c r="GO12" i="4"/>
  <c r="GN12" i="4"/>
  <c r="GM12" i="4"/>
  <c r="GR10" i="4"/>
  <c r="GQ10" i="4"/>
  <c r="GO10" i="4"/>
  <c r="GN10" i="4"/>
  <c r="GM10" i="4"/>
  <c r="GR8" i="4"/>
  <c r="GQ8" i="4"/>
  <c r="GO8" i="4"/>
  <c r="GN8" i="4"/>
  <c r="GP8" i="4" s="1"/>
  <c r="GS8" i="4" s="1"/>
  <c r="GM8" i="4"/>
  <c r="GR7" i="4"/>
  <c r="GQ7" i="4"/>
  <c r="GO7" i="4"/>
  <c r="GN7" i="4"/>
  <c r="GP7" i="4" s="1"/>
  <c r="GM7" i="4"/>
  <c r="GR6" i="4"/>
  <c r="GQ6" i="4"/>
  <c r="GO6" i="4"/>
  <c r="GN6" i="4"/>
  <c r="GM6" i="4"/>
  <c r="GR4" i="4"/>
  <c r="GQ4" i="4"/>
  <c r="GO4" i="4"/>
  <c r="GN4" i="4"/>
  <c r="GM4" i="4"/>
  <c r="FV14" i="4"/>
  <c r="FU14" i="4"/>
  <c r="FS14" i="4"/>
  <c r="FR14" i="4"/>
  <c r="FT14" i="4" s="1"/>
  <c r="FW14" i="4" s="1"/>
  <c r="FQ14" i="4"/>
  <c r="FV11" i="4"/>
  <c r="FU11" i="4"/>
  <c r="FS11" i="4"/>
  <c r="FR11" i="4"/>
  <c r="FQ11" i="4"/>
  <c r="FV9" i="4"/>
  <c r="FU9" i="4"/>
  <c r="FS9" i="4"/>
  <c r="FR9" i="4"/>
  <c r="FQ9" i="4"/>
  <c r="FV13" i="4"/>
  <c r="FU13" i="4"/>
  <c r="FS13" i="4"/>
  <c r="FR13" i="4"/>
  <c r="FT13" i="4" s="1"/>
  <c r="FW13" i="4" s="1"/>
  <c r="FQ13" i="4"/>
  <c r="FV5" i="4"/>
  <c r="FU5" i="4"/>
  <c r="FS5" i="4"/>
  <c r="FR5" i="4"/>
  <c r="FT5" i="4" s="1"/>
  <c r="FW5" i="4" s="1"/>
  <c r="FQ5" i="4"/>
  <c r="FV12" i="4"/>
  <c r="FU12" i="4"/>
  <c r="FS12" i="4"/>
  <c r="FR12" i="4"/>
  <c r="FQ12" i="4"/>
  <c r="FV10" i="4"/>
  <c r="FU10" i="4"/>
  <c r="FS10" i="4"/>
  <c r="FR10" i="4"/>
  <c r="FQ10" i="4"/>
  <c r="FV8" i="4"/>
  <c r="FU8" i="4"/>
  <c r="FS8" i="4"/>
  <c r="FR8" i="4"/>
  <c r="FQ8" i="4"/>
  <c r="FV7" i="4"/>
  <c r="FU7" i="4"/>
  <c r="FS7" i="4"/>
  <c r="FR7" i="4"/>
  <c r="FQ7" i="4"/>
  <c r="FV6" i="4"/>
  <c r="FU6" i="4"/>
  <c r="FS6" i="4"/>
  <c r="FR6" i="4"/>
  <c r="FQ6" i="4"/>
  <c r="FV4" i="4"/>
  <c r="FU4" i="4"/>
  <c r="FS4" i="4"/>
  <c r="FR4" i="4"/>
  <c r="FT4" i="4" s="1"/>
  <c r="FW4" i="4" s="1"/>
  <c r="FQ4" i="4"/>
  <c r="EZ14" i="4"/>
  <c r="EY14" i="4"/>
  <c r="EW14" i="4"/>
  <c r="EV14" i="4"/>
  <c r="EX14" i="4" s="1"/>
  <c r="EU14" i="4"/>
  <c r="EZ11" i="4"/>
  <c r="EY11" i="4"/>
  <c r="EW11" i="4"/>
  <c r="EV11" i="4"/>
  <c r="EX11" i="4" s="1"/>
  <c r="EU11" i="4"/>
  <c r="EZ9" i="4"/>
  <c r="EY9" i="4"/>
  <c r="EW9" i="4"/>
  <c r="EV9" i="4"/>
  <c r="EU9" i="4"/>
  <c r="EZ13" i="4"/>
  <c r="EY13" i="4"/>
  <c r="EW13" i="4"/>
  <c r="EV13" i="4"/>
  <c r="EX13" i="4" s="1"/>
  <c r="FA13" i="4" s="1"/>
  <c r="EU13" i="4"/>
  <c r="EZ5" i="4"/>
  <c r="EY5" i="4"/>
  <c r="EW5" i="4"/>
  <c r="EV5" i="4"/>
  <c r="EU5" i="4"/>
  <c r="EZ12" i="4"/>
  <c r="EY12" i="4"/>
  <c r="EW12" i="4"/>
  <c r="EV12" i="4"/>
  <c r="EU12" i="4"/>
  <c r="EZ10" i="4"/>
  <c r="EY10" i="4"/>
  <c r="EW10" i="4"/>
  <c r="EV10" i="4"/>
  <c r="EX10" i="4" s="1"/>
  <c r="FA10" i="4" s="1"/>
  <c r="EU10" i="4"/>
  <c r="EZ8" i="4"/>
  <c r="EY8" i="4"/>
  <c r="EW8" i="4"/>
  <c r="EV8" i="4"/>
  <c r="EX8" i="4" s="1"/>
  <c r="FA8" i="4" s="1"/>
  <c r="EU8" i="4"/>
  <c r="EZ7" i="4"/>
  <c r="EY7" i="4"/>
  <c r="EW7" i="4"/>
  <c r="EV7" i="4"/>
  <c r="EU7" i="4"/>
  <c r="EZ6" i="4"/>
  <c r="EY6" i="4"/>
  <c r="EW6" i="4"/>
  <c r="EV6" i="4"/>
  <c r="EU6" i="4"/>
  <c r="EZ4" i="4"/>
  <c r="EY4" i="4"/>
  <c r="EW4" i="4"/>
  <c r="EV4" i="4"/>
  <c r="EU4" i="4"/>
  <c r="ED14" i="4"/>
  <c r="EC14" i="4"/>
  <c r="EA14" i="4"/>
  <c r="DZ14" i="4"/>
  <c r="DY14" i="4"/>
  <c r="ED11" i="4"/>
  <c r="EC11" i="4"/>
  <c r="EA11" i="4"/>
  <c r="DZ11" i="4"/>
  <c r="DY11" i="4"/>
  <c r="ED9" i="4"/>
  <c r="EC9" i="4"/>
  <c r="EA9" i="4"/>
  <c r="DZ9" i="4"/>
  <c r="EB9" i="4" s="1"/>
  <c r="EE9" i="4" s="1"/>
  <c r="DY9" i="4"/>
  <c r="ED13" i="4"/>
  <c r="EC13" i="4"/>
  <c r="EA13" i="4"/>
  <c r="DZ13" i="4"/>
  <c r="EB13" i="4" s="1"/>
  <c r="DY13" i="4"/>
  <c r="ED5" i="4"/>
  <c r="EC5" i="4"/>
  <c r="EA5" i="4"/>
  <c r="DZ5" i="4"/>
  <c r="EB5" i="4" s="1"/>
  <c r="DY5" i="4"/>
  <c r="ED12" i="4"/>
  <c r="EC12" i="4"/>
  <c r="EA12" i="4"/>
  <c r="DZ12" i="4"/>
  <c r="DY12" i="4"/>
  <c r="ED10" i="4"/>
  <c r="EC10" i="4"/>
  <c r="EA10" i="4"/>
  <c r="DZ10" i="4"/>
  <c r="EB10" i="4" s="1"/>
  <c r="EE10" i="4" s="1"/>
  <c r="DY10" i="4"/>
  <c r="ED8" i="4"/>
  <c r="EC8" i="4"/>
  <c r="EA8" i="4"/>
  <c r="DZ8" i="4"/>
  <c r="DY8" i="4"/>
  <c r="ED7" i="4"/>
  <c r="EC7" i="4"/>
  <c r="EA7" i="4"/>
  <c r="DZ7" i="4"/>
  <c r="DY7" i="4"/>
  <c r="ED6" i="4"/>
  <c r="EC6" i="4"/>
  <c r="EA6" i="4"/>
  <c r="DZ6" i="4"/>
  <c r="EB6" i="4" s="1"/>
  <c r="EE6" i="4" s="1"/>
  <c r="DY6" i="4"/>
  <c r="ED4" i="4"/>
  <c r="EC4" i="4"/>
  <c r="EA4" i="4"/>
  <c r="DZ4" i="4"/>
  <c r="EB4" i="4" s="1"/>
  <c r="EE4" i="4" s="1"/>
  <c r="DY4" i="4"/>
  <c r="CO16" i="17"/>
  <c r="CP16" i="17"/>
  <c r="CQ16" i="17"/>
  <c r="CR16" i="17"/>
  <c r="CS16" i="17"/>
  <c r="OQ16" i="17"/>
  <c r="OR16" i="17"/>
  <c r="OS16" i="17"/>
  <c r="OT16" i="17"/>
  <c r="OU16" i="17"/>
  <c r="OW16" i="17"/>
  <c r="OX16" i="17"/>
  <c r="OY16" i="17"/>
  <c r="OZ16" i="17"/>
  <c r="PA16" i="17"/>
  <c r="PB16" i="17"/>
  <c r="PC16" i="17"/>
  <c r="PD16" i="17"/>
  <c r="PE16" i="17"/>
  <c r="PF16" i="17"/>
  <c r="PG16" i="17"/>
  <c r="PH16" i="17"/>
  <c r="PI16" i="17"/>
  <c r="PJ16" i="17"/>
  <c r="PK16" i="17"/>
  <c r="PL16" i="17"/>
  <c r="PM16" i="17"/>
  <c r="PN16" i="17"/>
  <c r="PO16" i="17"/>
  <c r="PP16" i="17"/>
  <c r="CO15" i="17"/>
  <c r="CP15" i="17"/>
  <c r="CQ15" i="17"/>
  <c r="CR15" i="17"/>
  <c r="CS15" i="17"/>
  <c r="OQ15" i="17"/>
  <c r="OR15" i="17"/>
  <c r="OS15" i="17"/>
  <c r="OT15" i="17"/>
  <c r="OU15" i="17"/>
  <c r="OW15" i="17"/>
  <c r="OX15" i="17"/>
  <c r="OY15" i="17"/>
  <c r="OZ15" i="17"/>
  <c r="PA15" i="17"/>
  <c r="PB15" i="17"/>
  <c r="PC15" i="17"/>
  <c r="PD15" i="17"/>
  <c r="PE15" i="17"/>
  <c r="PF15" i="17"/>
  <c r="PG15" i="17"/>
  <c r="PH15" i="17"/>
  <c r="PI15" i="17"/>
  <c r="PJ15" i="17"/>
  <c r="PK15" i="17"/>
  <c r="PL15" i="17"/>
  <c r="PM15" i="17"/>
  <c r="PN15" i="17"/>
  <c r="PO15" i="17"/>
  <c r="PP15" i="17"/>
  <c r="CO11" i="17"/>
  <c r="CP11" i="17"/>
  <c r="CQ11" i="17"/>
  <c r="CR11" i="17"/>
  <c r="CS11" i="17"/>
  <c r="OQ11" i="17"/>
  <c r="OR11" i="17"/>
  <c r="OS11" i="17"/>
  <c r="OT11" i="17"/>
  <c r="OU11" i="17"/>
  <c r="OW11" i="17"/>
  <c r="OX11" i="17"/>
  <c r="OY11" i="17"/>
  <c r="OZ11" i="17"/>
  <c r="PA11" i="17"/>
  <c r="PB11" i="17"/>
  <c r="PC11" i="17"/>
  <c r="PD11" i="17"/>
  <c r="PE11" i="17"/>
  <c r="PF11" i="17"/>
  <c r="PG11" i="17"/>
  <c r="PH11" i="17"/>
  <c r="PI11" i="17"/>
  <c r="PJ11" i="17"/>
  <c r="PK11" i="17"/>
  <c r="PL11" i="17"/>
  <c r="PM11" i="17"/>
  <c r="PN11" i="17"/>
  <c r="PO11" i="17"/>
  <c r="PP11" i="17"/>
  <c r="CO14" i="17"/>
  <c r="CP14" i="17"/>
  <c r="CQ14" i="17"/>
  <c r="CR14" i="17"/>
  <c r="CS14" i="17"/>
  <c r="OQ14" i="17"/>
  <c r="OR14" i="17"/>
  <c r="OS14" i="17"/>
  <c r="OT14" i="17"/>
  <c r="OU14" i="17"/>
  <c r="OW14" i="17"/>
  <c r="OX14" i="17"/>
  <c r="OY14" i="17"/>
  <c r="OZ14" i="17"/>
  <c r="PA14" i="17"/>
  <c r="PB14" i="17"/>
  <c r="PC14" i="17"/>
  <c r="PD14" i="17"/>
  <c r="PE14" i="17"/>
  <c r="PF14" i="17"/>
  <c r="PG14" i="17"/>
  <c r="PH14" i="17"/>
  <c r="PI14" i="17"/>
  <c r="PJ14" i="17"/>
  <c r="PK14" i="17"/>
  <c r="PL14" i="17"/>
  <c r="PM14" i="17"/>
  <c r="PN14" i="17"/>
  <c r="PO14" i="17"/>
  <c r="PP14" i="17"/>
  <c r="CO12" i="16"/>
  <c r="CP12" i="16"/>
  <c r="CQ12" i="16"/>
  <c r="CR12" i="16"/>
  <c r="CS12" i="16"/>
  <c r="OQ12" i="16"/>
  <c r="OR12" i="16"/>
  <c r="OS12" i="16"/>
  <c r="OT12" i="16"/>
  <c r="OU12" i="16"/>
  <c r="OW12" i="16"/>
  <c r="OX12" i="16"/>
  <c r="OY12" i="16"/>
  <c r="OZ12" i="16"/>
  <c r="PA12" i="16"/>
  <c r="PB12" i="16"/>
  <c r="PC12" i="16"/>
  <c r="PD12" i="16"/>
  <c r="PE12" i="16"/>
  <c r="PF12" i="16"/>
  <c r="PG12" i="16"/>
  <c r="PH12" i="16"/>
  <c r="PI12" i="16"/>
  <c r="PJ12" i="16"/>
  <c r="PK12" i="16"/>
  <c r="PL12" i="16"/>
  <c r="PM12" i="16"/>
  <c r="PN12" i="16"/>
  <c r="PO12" i="16"/>
  <c r="PP12" i="16"/>
  <c r="CO13" i="16"/>
  <c r="CP13" i="16"/>
  <c r="CQ13" i="16"/>
  <c r="CR13" i="16"/>
  <c r="CS13" i="16"/>
  <c r="OQ13" i="16"/>
  <c r="OR13" i="16"/>
  <c r="OS13" i="16"/>
  <c r="OT13" i="16"/>
  <c r="OU13" i="16"/>
  <c r="OW13" i="16"/>
  <c r="OX13" i="16"/>
  <c r="OY13" i="16"/>
  <c r="OZ13" i="16"/>
  <c r="PA13" i="16"/>
  <c r="PB13" i="16"/>
  <c r="PC13" i="16"/>
  <c r="PD13" i="16"/>
  <c r="PE13" i="16"/>
  <c r="PF13" i="16"/>
  <c r="PG13" i="16"/>
  <c r="PH13" i="16"/>
  <c r="PI13" i="16"/>
  <c r="PJ13" i="16"/>
  <c r="PK13" i="16"/>
  <c r="PL13" i="16"/>
  <c r="PM13" i="16"/>
  <c r="PN13" i="16"/>
  <c r="PO13" i="16"/>
  <c r="PP13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8" i="15"/>
  <c r="CP8" i="15"/>
  <c r="CQ8" i="15"/>
  <c r="CR8" i="15"/>
  <c r="CS8" i="15"/>
  <c r="OQ8" i="15"/>
  <c r="OR8" i="15"/>
  <c r="OS8" i="15"/>
  <c r="OT8" i="15"/>
  <c r="OU8" i="15"/>
  <c r="OW8" i="15"/>
  <c r="OX8" i="15"/>
  <c r="OY8" i="15"/>
  <c r="OZ8" i="15"/>
  <c r="PA8" i="15"/>
  <c r="PB8" i="15"/>
  <c r="PC8" i="15"/>
  <c r="PD8" i="15"/>
  <c r="PE8" i="15"/>
  <c r="PF8" i="15"/>
  <c r="PG8" i="15"/>
  <c r="PH8" i="15"/>
  <c r="PI8" i="15"/>
  <c r="PJ8" i="15"/>
  <c r="PK8" i="15"/>
  <c r="PL8" i="15"/>
  <c r="PM8" i="15"/>
  <c r="PN8" i="15"/>
  <c r="PO8" i="15"/>
  <c r="PP8" i="15"/>
  <c r="CO7" i="15"/>
  <c r="CP7" i="15"/>
  <c r="CQ7" i="15"/>
  <c r="CR7" i="15"/>
  <c r="CS7" i="15"/>
  <c r="OQ7" i="15"/>
  <c r="OR7" i="15"/>
  <c r="OS7" i="15"/>
  <c r="OT7" i="15"/>
  <c r="OU7" i="15"/>
  <c r="OW7" i="15"/>
  <c r="OX7" i="15"/>
  <c r="OY7" i="15"/>
  <c r="OZ7" i="15"/>
  <c r="PA7" i="15"/>
  <c r="PB7" i="15"/>
  <c r="PC7" i="15"/>
  <c r="PD7" i="15"/>
  <c r="PE7" i="15"/>
  <c r="PF7" i="15"/>
  <c r="PG7" i="15"/>
  <c r="PH7" i="15"/>
  <c r="PI7" i="15"/>
  <c r="PJ7" i="15"/>
  <c r="PK7" i="15"/>
  <c r="PL7" i="15"/>
  <c r="PM7" i="15"/>
  <c r="PN7" i="15"/>
  <c r="PO7" i="15"/>
  <c r="PP7" i="15"/>
  <c r="CO5" i="14"/>
  <c r="CP5" i="14"/>
  <c r="CQ5" i="14"/>
  <c r="CR5" i="14"/>
  <c r="CS5" i="14"/>
  <c r="OQ5" i="14"/>
  <c r="OR5" i="14"/>
  <c r="OS5" i="14"/>
  <c r="OT5" i="14"/>
  <c r="OU5" i="14"/>
  <c r="OV5" i="14"/>
  <c r="OW5" i="14"/>
  <c r="OX5" i="14"/>
  <c r="OY5" i="14"/>
  <c r="OZ5" i="14"/>
  <c r="PA5" i="14"/>
  <c r="PB5" i="14"/>
  <c r="PC5" i="14"/>
  <c r="PD5" i="14"/>
  <c r="PE5" i="14"/>
  <c r="PF5" i="14"/>
  <c r="PG5" i="14"/>
  <c r="PH5" i="14"/>
  <c r="PI5" i="14"/>
  <c r="PJ5" i="14"/>
  <c r="PK5" i="14"/>
  <c r="PL5" i="14"/>
  <c r="PM5" i="14"/>
  <c r="PN5" i="14"/>
  <c r="PO5" i="14"/>
  <c r="PP5" i="14"/>
  <c r="CW11" i="13"/>
  <c r="CX11" i="13"/>
  <c r="CY11" i="13"/>
  <c r="CZ11" i="13"/>
  <c r="DA11" i="13"/>
  <c r="DC11" i="13"/>
  <c r="DD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DC12" i="4"/>
  <c r="DD12" i="4"/>
  <c r="NG12" i="4"/>
  <c r="NH12" i="4"/>
  <c r="NI12" i="4"/>
  <c r="NK12" i="4"/>
  <c r="NL12" i="4"/>
  <c r="OC12" i="4"/>
  <c r="OD12" i="4"/>
  <c r="OE12" i="4"/>
  <c r="OO12" i="4" s="1"/>
  <c r="OF12" i="4"/>
  <c r="OG12" i="4"/>
  <c r="DC5" i="4"/>
  <c r="DD5" i="4"/>
  <c r="NG5" i="4"/>
  <c r="NH5" i="4"/>
  <c r="NI5" i="4"/>
  <c r="NK5" i="4"/>
  <c r="NL5" i="4"/>
  <c r="OC5" i="4"/>
  <c r="OD5" i="4"/>
  <c r="OE5" i="4"/>
  <c r="OO5" i="4" s="1"/>
  <c r="OF5" i="4"/>
  <c r="OG5" i="4"/>
  <c r="DC8" i="4"/>
  <c r="DD8" i="4"/>
  <c r="NG8" i="4"/>
  <c r="NH8" i="4"/>
  <c r="NI8" i="4"/>
  <c r="NK8" i="4"/>
  <c r="NL8" i="4"/>
  <c r="OC8" i="4"/>
  <c r="OD8" i="4"/>
  <c r="OE8" i="4"/>
  <c r="OO8" i="4" s="1"/>
  <c r="OF8" i="4"/>
  <c r="OG8" i="4"/>
  <c r="DC9" i="4"/>
  <c r="DD9" i="4"/>
  <c r="NG9" i="4"/>
  <c r="NH9" i="4"/>
  <c r="NI9" i="4"/>
  <c r="NK9" i="4"/>
  <c r="NL9" i="4"/>
  <c r="OC9" i="4"/>
  <c r="OD9" i="4"/>
  <c r="OE9" i="4"/>
  <c r="OO9" i="4" s="1"/>
  <c r="OF9" i="4"/>
  <c r="OG9" i="4"/>
  <c r="DC11" i="4"/>
  <c r="DD11" i="4"/>
  <c r="NG11" i="4"/>
  <c r="NH11" i="4"/>
  <c r="NI11" i="4"/>
  <c r="NK11" i="4"/>
  <c r="NL11" i="4"/>
  <c r="OC11" i="4"/>
  <c r="OD11" i="4"/>
  <c r="OE11" i="4"/>
  <c r="OO11" i="4" s="1"/>
  <c r="OF11" i="4"/>
  <c r="OG11" i="4"/>
  <c r="CW14" i="4"/>
  <c r="CX14" i="4"/>
  <c r="CY14" i="4"/>
  <c r="CZ14" i="4"/>
  <c r="DA14" i="4"/>
  <c r="DC14" i="4"/>
  <c r="DD14" i="4"/>
  <c r="NG14" i="4"/>
  <c r="NH14" i="4"/>
  <c r="NI14" i="4"/>
  <c r="NK14" i="4"/>
  <c r="NL14" i="4"/>
  <c r="NN14" i="4"/>
  <c r="NO14" i="4"/>
  <c r="NP14" i="4"/>
  <c r="NQ14" i="4"/>
  <c r="NR14" i="4"/>
  <c r="NS14" i="4"/>
  <c r="NT14" i="4"/>
  <c r="NU14" i="4"/>
  <c r="OJ14" i="4" s="1"/>
  <c r="NV14" i="4"/>
  <c r="NW14" i="4"/>
  <c r="NX14" i="4"/>
  <c r="NY14" i="4"/>
  <c r="NZ14" i="4"/>
  <c r="OL14" i="4" s="1"/>
  <c r="OA14" i="4"/>
  <c r="OB14" i="4"/>
  <c r="OC14" i="4"/>
  <c r="OD14" i="4"/>
  <c r="OE14" i="4"/>
  <c r="OO14" i="4" s="1"/>
  <c r="OF14" i="4"/>
  <c r="OG14" i="4"/>
  <c r="CO13" i="17"/>
  <c r="CP13" i="17"/>
  <c r="CQ13" i="17"/>
  <c r="CR13" i="17"/>
  <c r="CS13" i="17"/>
  <c r="OQ13" i="17"/>
  <c r="OR13" i="17"/>
  <c r="OS13" i="17"/>
  <c r="OT13" i="17"/>
  <c r="OU13" i="17"/>
  <c r="OW13" i="17"/>
  <c r="OX13" i="17"/>
  <c r="OY13" i="17"/>
  <c r="OZ13" i="17"/>
  <c r="PA13" i="17"/>
  <c r="PB13" i="17"/>
  <c r="PC13" i="17"/>
  <c r="PD13" i="17"/>
  <c r="PE13" i="17"/>
  <c r="PF13" i="17"/>
  <c r="PG13" i="17"/>
  <c r="PH13" i="17"/>
  <c r="PI13" i="17"/>
  <c r="PJ13" i="17"/>
  <c r="PK13" i="17"/>
  <c r="PL13" i="17"/>
  <c r="PM13" i="17"/>
  <c r="PN13" i="17"/>
  <c r="PO13" i="17"/>
  <c r="PP13" i="17"/>
  <c r="CO10" i="17"/>
  <c r="CP10" i="17"/>
  <c r="CQ10" i="17"/>
  <c r="CR10" i="17"/>
  <c r="CS10" i="17"/>
  <c r="OQ10" i="17"/>
  <c r="OR10" i="17"/>
  <c r="OS10" i="17"/>
  <c r="OT10" i="17"/>
  <c r="OU10" i="17"/>
  <c r="OW10" i="17"/>
  <c r="OX10" i="17"/>
  <c r="OY10" i="17"/>
  <c r="OZ10" i="17"/>
  <c r="PA10" i="17"/>
  <c r="PB10" i="17"/>
  <c r="PC10" i="17"/>
  <c r="PD10" i="17"/>
  <c r="PE10" i="17"/>
  <c r="PF10" i="17"/>
  <c r="PG10" i="17"/>
  <c r="PH10" i="17"/>
  <c r="PI10" i="17"/>
  <c r="PJ10" i="17"/>
  <c r="PK10" i="17"/>
  <c r="PL10" i="17"/>
  <c r="PM10" i="17"/>
  <c r="PN10" i="17"/>
  <c r="PO10" i="17"/>
  <c r="PP10" i="17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12" i="17"/>
  <c r="CP12" i="17"/>
  <c r="CQ12" i="17"/>
  <c r="CR12" i="17"/>
  <c r="CS12" i="17"/>
  <c r="OQ12" i="17"/>
  <c r="OR12" i="17"/>
  <c r="OS12" i="17"/>
  <c r="OT12" i="17"/>
  <c r="OU12" i="17"/>
  <c r="OW12" i="17"/>
  <c r="OX12" i="17"/>
  <c r="OY12" i="17"/>
  <c r="OZ12" i="17"/>
  <c r="PA12" i="17"/>
  <c r="PB12" i="17"/>
  <c r="PC12" i="17"/>
  <c r="PD12" i="17"/>
  <c r="PE12" i="17"/>
  <c r="PF12" i="17"/>
  <c r="PG12" i="17"/>
  <c r="PH12" i="17"/>
  <c r="PI12" i="17"/>
  <c r="PJ12" i="17"/>
  <c r="PK12" i="17"/>
  <c r="PL12" i="17"/>
  <c r="PM12" i="17"/>
  <c r="PN12" i="17"/>
  <c r="PO12" i="17"/>
  <c r="PP12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11" i="16"/>
  <c r="CP11" i="16"/>
  <c r="CQ11" i="16"/>
  <c r="CR11" i="16"/>
  <c r="CS11" i="16"/>
  <c r="OQ11" i="16"/>
  <c r="OR11" i="16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CO14" i="16"/>
  <c r="CP14" i="16"/>
  <c r="CQ14" i="16"/>
  <c r="CR14" i="16"/>
  <c r="CS14" i="16"/>
  <c r="OQ14" i="16"/>
  <c r="OR14" i="16"/>
  <c r="OS14" i="16"/>
  <c r="OT14" i="16"/>
  <c r="OU14" i="16"/>
  <c r="OW14" i="16"/>
  <c r="OX14" i="16"/>
  <c r="OY14" i="16"/>
  <c r="OZ14" i="16"/>
  <c r="PA14" i="16"/>
  <c r="PB14" i="16"/>
  <c r="PC14" i="16"/>
  <c r="PD14" i="16"/>
  <c r="PE14" i="16"/>
  <c r="PF14" i="16"/>
  <c r="PG14" i="16"/>
  <c r="PH14" i="16"/>
  <c r="PI14" i="16"/>
  <c r="PJ14" i="16"/>
  <c r="PK14" i="16"/>
  <c r="PL14" i="16"/>
  <c r="PM14" i="16"/>
  <c r="PN14" i="16"/>
  <c r="PO14" i="16"/>
  <c r="PP14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5"/>
  <c r="CP5" i="15"/>
  <c r="CQ5" i="15"/>
  <c r="CR5" i="15"/>
  <c r="CS5" i="15"/>
  <c r="OQ5" i="15"/>
  <c r="OR5" i="15"/>
  <c r="OS5" i="15"/>
  <c r="OT5" i="15"/>
  <c r="OU5" i="15"/>
  <c r="OW5" i="15"/>
  <c r="OX5" i="15"/>
  <c r="OY5" i="15"/>
  <c r="OZ5" i="15"/>
  <c r="PA5" i="15"/>
  <c r="PB5" i="15"/>
  <c r="PC5" i="15"/>
  <c r="PD5" i="15"/>
  <c r="PE5" i="15"/>
  <c r="PF5" i="15"/>
  <c r="PG5" i="15"/>
  <c r="PH5" i="15"/>
  <c r="PI5" i="15"/>
  <c r="PJ5" i="15"/>
  <c r="PK5" i="15"/>
  <c r="PL5" i="15"/>
  <c r="PM5" i="15"/>
  <c r="PN5" i="15"/>
  <c r="PO5" i="15"/>
  <c r="PP5" i="15"/>
  <c r="CO6" i="15"/>
  <c r="CP6" i="15"/>
  <c r="CQ6" i="15"/>
  <c r="CR6" i="15"/>
  <c r="CS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DC13" i="4"/>
  <c r="DD13" i="4"/>
  <c r="NG13" i="4"/>
  <c r="NH13" i="4"/>
  <c r="NI13" i="4"/>
  <c r="NK13" i="4"/>
  <c r="NL13" i="4"/>
  <c r="OC13" i="4"/>
  <c r="OD13" i="4"/>
  <c r="OE13" i="4"/>
  <c r="OO13" i="4" s="1"/>
  <c r="OF13" i="4"/>
  <c r="OG13" i="4"/>
  <c r="DC6" i="4"/>
  <c r="DD6" i="4"/>
  <c r="NG6" i="4"/>
  <c r="NH6" i="4"/>
  <c r="NI6" i="4"/>
  <c r="NK6" i="4"/>
  <c r="NL6" i="4"/>
  <c r="OC6" i="4"/>
  <c r="OD6" i="4"/>
  <c r="OE6" i="4"/>
  <c r="OO6" i="4" s="1"/>
  <c r="OF6" i="4"/>
  <c r="OG6" i="4"/>
  <c r="DC7" i="4"/>
  <c r="DD7" i="4"/>
  <c r="NG7" i="4"/>
  <c r="NH7" i="4"/>
  <c r="NI7" i="4"/>
  <c r="NK7" i="4"/>
  <c r="NL7" i="4"/>
  <c r="OC7" i="4"/>
  <c r="OD7" i="4"/>
  <c r="OE7" i="4"/>
  <c r="OO7" i="4" s="1"/>
  <c r="OF7" i="4"/>
  <c r="OG7" i="4"/>
  <c r="DC10" i="4"/>
  <c r="DD10" i="4"/>
  <c r="NG10" i="4"/>
  <c r="NH10" i="4"/>
  <c r="NI10" i="4"/>
  <c r="NK10" i="4"/>
  <c r="NL10" i="4"/>
  <c r="OC10" i="4"/>
  <c r="OD10" i="4"/>
  <c r="OE10" i="4"/>
  <c r="OO10" i="4" s="1"/>
  <c r="OF10" i="4"/>
  <c r="OG10" i="4"/>
  <c r="MV7" i="17" l="1"/>
  <c r="BS6" i="17"/>
  <c r="BS15" i="17"/>
  <c r="DV14" i="17"/>
  <c r="FV15" i="17"/>
  <c r="GV16" i="17"/>
  <c r="IV4" i="17"/>
  <c r="KV6" i="17"/>
  <c r="MV9" i="17"/>
  <c r="AR11" i="17"/>
  <c r="BS12" i="17"/>
  <c r="EV15" i="17"/>
  <c r="HV4" i="17"/>
  <c r="LV9" i="17"/>
  <c r="MV8" i="17"/>
  <c r="NV10" i="17"/>
  <c r="AR7" i="17"/>
  <c r="BS8" i="17"/>
  <c r="EV4" i="17"/>
  <c r="GV6" i="17"/>
  <c r="IV9" i="17"/>
  <c r="JV8" i="17"/>
  <c r="KV10" i="17"/>
  <c r="LV12" i="17"/>
  <c r="NV14" i="17"/>
  <c r="OV15" i="17"/>
  <c r="AR9" i="17"/>
  <c r="DV10" i="17"/>
  <c r="EV12" i="17"/>
  <c r="GV14" i="17"/>
  <c r="HV11" i="17"/>
  <c r="IV15" i="17"/>
  <c r="JV16" i="17"/>
  <c r="LV4" i="17"/>
  <c r="NV6" i="17"/>
  <c r="AR6" i="17"/>
  <c r="BS10" i="17"/>
  <c r="DV16" i="17"/>
  <c r="FV4" i="17"/>
  <c r="HV6" i="17"/>
  <c r="BS4" i="17"/>
  <c r="AR10" i="17"/>
  <c r="KV4" i="17"/>
  <c r="MV6" i="17"/>
  <c r="FV16" i="17"/>
  <c r="JV6" i="17"/>
  <c r="AR14" i="17"/>
  <c r="OV16" i="17"/>
  <c r="AR12" i="17"/>
  <c r="AR16" i="17"/>
  <c r="BS13" i="17"/>
  <c r="BS9" i="17"/>
  <c r="IV8" i="17"/>
  <c r="IV11" i="17"/>
  <c r="JV10" i="17"/>
  <c r="KV12" i="17"/>
  <c r="MV14" i="17"/>
  <c r="AR8" i="17"/>
  <c r="EV9" i="17"/>
  <c r="FV8" i="17"/>
  <c r="FV11" i="17"/>
  <c r="GV10" i="17"/>
  <c r="HV12" i="17"/>
  <c r="JV14" i="17"/>
  <c r="LV15" i="17"/>
  <c r="MV16" i="17"/>
  <c r="AR5" i="17"/>
  <c r="AR13" i="17"/>
  <c r="LV12" i="16"/>
  <c r="OV15" i="16"/>
  <c r="BS7" i="16"/>
  <c r="AR10" i="16"/>
  <c r="DV15" i="16"/>
  <c r="LV15" i="16"/>
  <c r="FV15" i="16"/>
  <c r="M15" i="16"/>
  <c r="BS12" i="16"/>
  <c r="EV15" i="16"/>
  <c r="AR8" i="16"/>
  <c r="BS9" i="16"/>
  <c r="AR7" i="16"/>
  <c r="DV8" i="16"/>
  <c r="HV6" i="16"/>
  <c r="BS8" i="16"/>
  <c r="BS15" i="16"/>
  <c r="GV8" i="16"/>
  <c r="IV14" i="16"/>
  <c r="LV11" i="16"/>
  <c r="FV8" i="16"/>
  <c r="GV10" i="16"/>
  <c r="JV6" i="16"/>
  <c r="AR9" i="16"/>
  <c r="FV10" i="16"/>
  <c r="GV14" i="16"/>
  <c r="JV11" i="16"/>
  <c r="NV7" i="16"/>
  <c r="KV15" i="16"/>
  <c r="AR6" i="16"/>
  <c r="AR13" i="16"/>
  <c r="BS11" i="16"/>
  <c r="HV15" i="16"/>
  <c r="AR4" i="16"/>
  <c r="BS10" i="16"/>
  <c r="MV15" i="16"/>
  <c r="JV12" i="16"/>
  <c r="MV8" i="16"/>
  <c r="NV10" i="16"/>
  <c r="AR5" i="16"/>
  <c r="BS4" i="16"/>
  <c r="AR11" i="16"/>
  <c r="AR12" i="16"/>
  <c r="BS9" i="15"/>
  <c r="BS6" i="15"/>
  <c r="DV6" i="15"/>
  <c r="LV9" i="15"/>
  <c r="M9" i="15"/>
  <c r="FV8" i="15"/>
  <c r="IV7" i="15"/>
  <c r="EV5" i="15"/>
  <c r="JV8" i="15"/>
  <c r="MV7" i="15"/>
  <c r="BS7" i="15"/>
  <c r="KV9" i="15"/>
  <c r="AR8" i="15"/>
  <c r="EV9" i="15"/>
  <c r="HV5" i="15"/>
  <c r="MV8" i="15"/>
  <c r="AR4" i="15"/>
  <c r="EV8" i="15"/>
  <c r="HV7" i="15"/>
  <c r="NV5" i="15"/>
  <c r="NV9" i="15"/>
  <c r="FV9" i="15"/>
  <c r="AR7" i="15"/>
  <c r="IV5" i="15"/>
  <c r="NV8" i="15"/>
  <c r="HV9" i="15"/>
  <c r="LV7" i="15"/>
  <c r="AR5" i="15"/>
  <c r="AR9" i="15"/>
  <c r="OV9" i="15"/>
  <c r="DV9" i="15"/>
  <c r="AR6" i="15"/>
  <c r="GV5" i="14"/>
  <c r="NV5" i="14"/>
  <c r="FV4" i="14"/>
  <c r="MV4" i="14"/>
  <c r="HV5" i="14"/>
  <c r="IV4" i="14"/>
  <c r="DV5" i="14"/>
  <c r="KV5" i="14"/>
  <c r="HV4" i="14"/>
  <c r="JV5" i="14"/>
  <c r="DV4" i="14"/>
  <c r="KV4" i="14"/>
  <c r="AR4" i="14"/>
  <c r="EV5" i="14"/>
  <c r="LV5" i="14"/>
  <c r="AR5" i="14"/>
  <c r="BX9" i="13"/>
  <c r="CA9" i="13" s="1"/>
  <c r="BX11" i="13"/>
  <c r="CA11" i="13" s="1"/>
  <c r="EX8" i="13"/>
  <c r="JG8" i="13"/>
  <c r="JZ4" i="13"/>
  <c r="KC4" i="13" s="1"/>
  <c r="AT7" i="13"/>
  <c r="AW7" i="13" s="1"/>
  <c r="AT4" i="13"/>
  <c r="AW4" i="13" s="1"/>
  <c r="BX8" i="13"/>
  <c r="CA8" i="13" s="1"/>
  <c r="HL11" i="13"/>
  <c r="JD9" i="13"/>
  <c r="JG9" i="13" s="1"/>
  <c r="MN6" i="13"/>
  <c r="MQ6" i="13" s="1"/>
  <c r="GP8" i="13"/>
  <c r="IH4" i="13"/>
  <c r="JZ7" i="13"/>
  <c r="KV10" i="13"/>
  <c r="MN8" i="13"/>
  <c r="EB10" i="13"/>
  <c r="EE10" i="13" s="1"/>
  <c r="FT8" i="13"/>
  <c r="FW8" i="13" s="1"/>
  <c r="HL4" i="13"/>
  <c r="HO4" i="13" s="1"/>
  <c r="JD7" i="13"/>
  <c r="JG7" i="13" s="1"/>
  <c r="EE9" i="13"/>
  <c r="FW5" i="13"/>
  <c r="HO6" i="13"/>
  <c r="IK11" i="13"/>
  <c r="KC9" i="13"/>
  <c r="LU5" i="13"/>
  <c r="AT8" i="13"/>
  <c r="AW8" i="13" s="1"/>
  <c r="BX4" i="13"/>
  <c r="CA4" i="13" s="1"/>
  <c r="JZ10" i="13"/>
  <c r="KC10" i="13" s="1"/>
  <c r="LR8" i="13"/>
  <c r="LU8" i="13" s="1"/>
  <c r="AT10" i="13"/>
  <c r="AW10" i="13" s="1"/>
  <c r="EX6" i="13"/>
  <c r="FA6" i="13" s="1"/>
  <c r="FT11" i="13"/>
  <c r="FW11" i="13" s="1"/>
  <c r="HL9" i="13"/>
  <c r="HO9" i="13" s="1"/>
  <c r="JD5" i="13"/>
  <c r="JG5" i="13" s="1"/>
  <c r="KV6" i="13"/>
  <c r="KY6" i="13" s="1"/>
  <c r="LR11" i="13"/>
  <c r="LU11" i="13" s="1"/>
  <c r="BX10" i="13"/>
  <c r="CA10" i="13" s="1"/>
  <c r="FA8" i="13"/>
  <c r="GS4" i="13"/>
  <c r="IK7" i="13"/>
  <c r="JG10" i="13"/>
  <c r="KY8" i="13"/>
  <c r="MQ4" i="13"/>
  <c r="AT6" i="13"/>
  <c r="AW6" i="13" s="1"/>
  <c r="EB6" i="13"/>
  <c r="EE6" i="13" s="1"/>
  <c r="EX11" i="13"/>
  <c r="FA11" i="13" s="1"/>
  <c r="GP9" i="13"/>
  <c r="GS9" i="13" s="1"/>
  <c r="IH5" i="13"/>
  <c r="IK5" i="13" s="1"/>
  <c r="JZ6" i="13"/>
  <c r="KC6" i="13" s="1"/>
  <c r="KV11" i="13"/>
  <c r="KY11" i="13" s="1"/>
  <c r="MN9" i="13"/>
  <c r="MQ9" i="13" s="1"/>
  <c r="AT9" i="13"/>
  <c r="AW9" i="13" s="1"/>
  <c r="AT11" i="13"/>
  <c r="AW11" i="13" s="1"/>
  <c r="BX6" i="13"/>
  <c r="CA6" i="13" s="1"/>
  <c r="BX5" i="13"/>
  <c r="CA5" i="13" s="1"/>
  <c r="IK6" i="4"/>
  <c r="JG10" i="4"/>
  <c r="KC13" i="4"/>
  <c r="KY14" i="4"/>
  <c r="MQ7" i="4"/>
  <c r="BX5" i="4"/>
  <c r="CA5" i="4" s="1"/>
  <c r="BX13" i="4"/>
  <c r="CA13" i="4" s="1"/>
  <c r="BX11" i="4"/>
  <c r="CA11" i="4" s="1"/>
  <c r="GP6" i="4"/>
  <c r="GS6" i="4" s="1"/>
  <c r="HL10" i="4"/>
  <c r="HO10" i="4" s="1"/>
  <c r="IH13" i="4"/>
  <c r="IK13" i="4" s="1"/>
  <c r="JD14" i="4"/>
  <c r="JG14" i="4" s="1"/>
  <c r="KV7" i="4"/>
  <c r="KY7" i="4" s="1"/>
  <c r="LR12" i="4"/>
  <c r="LU12" i="4" s="1"/>
  <c r="MN9" i="4"/>
  <c r="AT6" i="4"/>
  <c r="AT5" i="4"/>
  <c r="AT13" i="4"/>
  <c r="AT11" i="4"/>
  <c r="AW11" i="4" s="1"/>
  <c r="EE13" i="4"/>
  <c r="FA14" i="4"/>
  <c r="GS7" i="4"/>
  <c r="HO12" i="4"/>
  <c r="IK9" i="4"/>
  <c r="KC4" i="4"/>
  <c r="KV8" i="4"/>
  <c r="KY8" i="4" s="1"/>
  <c r="LU5" i="4"/>
  <c r="MQ11" i="4"/>
  <c r="EX7" i="4"/>
  <c r="FT12" i="4"/>
  <c r="GP9" i="4"/>
  <c r="IH4" i="4"/>
  <c r="JD8" i="4"/>
  <c r="JZ5" i="4"/>
  <c r="KV11" i="4"/>
  <c r="MN6" i="4"/>
  <c r="AT4" i="4"/>
  <c r="AW4" i="4" s="1"/>
  <c r="EB11" i="4"/>
  <c r="EE11" i="4" s="1"/>
  <c r="FT6" i="4"/>
  <c r="FW6" i="4" s="1"/>
  <c r="GP10" i="4"/>
  <c r="GS10" i="4" s="1"/>
  <c r="HL13" i="4"/>
  <c r="HO13" i="4" s="1"/>
  <c r="IH14" i="4"/>
  <c r="IK14" i="4" s="1"/>
  <c r="JZ7" i="4"/>
  <c r="KV12" i="4"/>
  <c r="LR9" i="4"/>
  <c r="LU9" i="4" s="1"/>
  <c r="AT8" i="4"/>
  <c r="AW8" i="4" s="1"/>
  <c r="BX10" i="4"/>
  <c r="CA10" i="4" s="1"/>
  <c r="LR4" i="4"/>
  <c r="LU4" i="4" s="1"/>
  <c r="MN8" i="4"/>
  <c r="MQ8" i="4" s="1"/>
  <c r="MN5" i="4"/>
  <c r="MQ5" i="4" s="1"/>
  <c r="AW13" i="4"/>
  <c r="AW5" i="4"/>
  <c r="EB14" i="4"/>
  <c r="EE14" i="4" s="1"/>
  <c r="FT7" i="4"/>
  <c r="FW7" i="4" s="1"/>
  <c r="GP12" i="4"/>
  <c r="GS12" i="4" s="1"/>
  <c r="HL9" i="4"/>
  <c r="HO9" i="4" s="1"/>
  <c r="JD4" i="4"/>
  <c r="JG4" i="4" s="1"/>
  <c r="JZ8" i="4"/>
  <c r="KC8" i="4" s="1"/>
  <c r="KV5" i="4"/>
  <c r="KY5" i="4" s="1"/>
  <c r="LR11" i="4"/>
  <c r="LU11" i="4" s="1"/>
  <c r="BX12" i="4"/>
  <c r="CA12" i="4" s="1"/>
  <c r="BX9" i="4"/>
  <c r="CA9" i="4" s="1"/>
  <c r="FA7" i="4"/>
  <c r="FW12" i="4"/>
  <c r="GS9" i="4"/>
  <c r="IK4" i="4"/>
  <c r="JG8" i="4"/>
  <c r="KC5" i="4"/>
  <c r="KY11" i="4"/>
  <c r="MQ6" i="4"/>
  <c r="BX4" i="4"/>
  <c r="CA4" i="4" s="1"/>
  <c r="BX14" i="4"/>
  <c r="CA14" i="4" s="1"/>
  <c r="AT10" i="4"/>
  <c r="AW10" i="4" s="1"/>
  <c r="AW6" i="4"/>
  <c r="EB12" i="4"/>
  <c r="EE12" i="4" s="1"/>
  <c r="EX9" i="4"/>
  <c r="FA9" i="4" s="1"/>
  <c r="GP4" i="4"/>
  <c r="GS4" i="4" s="1"/>
  <c r="CT15" i="16"/>
  <c r="CT9" i="15"/>
  <c r="PV9" i="15"/>
  <c r="I9" i="15"/>
  <c r="J9" i="15" s="1"/>
  <c r="JV9" i="15"/>
  <c r="IV9" i="15"/>
  <c r="GV9" i="15"/>
  <c r="PT9" i="15"/>
  <c r="G9" i="15"/>
  <c r="PS9" i="15"/>
  <c r="PR9" i="15"/>
  <c r="PU9" i="15"/>
  <c r="F9" i="15"/>
  <c r="H9" i="15" s="1"/>
  <c r="A9" i="15" s="1" a="1"/>
  <c r="A9" i="15" s="1"/>
  <c r="N9" i="15"/>
  <c r="CV9" i="15"/>
  <c r="K9" i="15"/>
  <c r="DV8" i="15"/>
  <c r="GV7" i="15"/>
  <c r="MV5" i="15"/>
  <c r="EV4" i="15"/>
  <c r="EV7" i="15"/>
  <c r="IV6" i="15"/>
  <c r="KV5" i="15"/>
  <c r="FV5" i="15"/>
  <c r="KV8" i="15"/>
  <c r="NV7" i="15"/>
  <c r="NV15" i="16"/>
  <c r="IV15" i="16"/>
  <c r="GV15" i="16"/>
  <c r="K15" i="16"/>
  <c r="PT15" i="16"/>
  <c r="PS15" i="16"/>
  <c r="PR15" i="16"/>
  <c r="PU15" i="16"/>
  <c r="PV15" i="16"/>
  <c r="F15" i="16"/>
  <c r="N15" i="16"/>
  <c r="CV15" i="16"/>
  <c r="L15" i="16"/>
  <c r="CU15" i="16"/>
  <c r="I15" i="16"/>
  <c r="G15" i="16"/>
  <c r="DV10" i="16"/>
  <c r="EV14" i="16"/>
  <c r="GV6" i="16"/>
  <c r="HV11" i="16"/>
  <c r="LV7" i="16"/>
  <c r="NV12" i="16"/>
  <c r="DV14" i="16"/>
  <c r="FV6" i="16"/>
  <c r="KV7" i="16"/>
  <c r="EV6" i="16"/>
  <c r="NV8" i="16"/>
  <c r="DV6" i="17"/>
  <c r="FV9" i="17"/>
  <c r="GV8" i="17"/>
  <c r="HV10" i="17"/>
  <c r="IV12" i="17"/>
  <c r="KV14" i="17"/>
  <c r="MV15" i="17"/>
  <c r="NV16" i="17"/>
  <c r="GV7" i="16"/>
  <c r="MV10" i="16"/>
  <c r="NV14" i="16"/>
  <c r="HV8" i="15"/>
  <c r="KV7" i="15"/>
  <c r="MN7" i="13"/>
  <c r="MQ7" i="13" s="1"/>
  <c r="EX7" i="13"/>
  <c r="FA7" i="13" s="1"/>
  <c r="FT10" i="13"/>
  <c r="FW10" i="13" s="1"/>
  <c r="HL8" i="13"/>
  <c r="HO8" i="13" s="1"/>
  <c r="JD4" i="13"/>
  <c r="JG4" i="13" s="1"/>
  <c r="KV7" i="13"/>
  <c r="KY7" i="13" s="1"/>
  <c r="LR10" i="13"/>
  <c r="LU10" i="13" s="1"/>
  <c r="HL8" i="4"/>
  <c r="HO8" i="4" s="1"/>
  <c r="IH5" i="4"/>
  <c r="IK5" i="4" s="1"/>
  <c r="JD11" i="4"/>
  <c r="JG11" i="4" s="1"/>
  <c r="KV6" i="4"/>
  <c r="KY6" i="4" s="1"/>
  <c r="LR10" i="4"/>
  <c r="LU10" i="4" s="1"/>
  <c r="MN13" i="4"/>
  <c r="MQ13" i="4" s="1"/>
  <c r="HV12" i="16"/>
  <c r="KV8" i="16"/>
  <c r="FV5" i="14"/>
  <c r="MV5" i="14"/>
  <c r="EB8" i="4"/>
  <c r="EE8" i="4" s="1"/>
  <c r="EX5" i="4"/>
  <c r="FA5" i="4" s="1"/>
  <c r="FT11" i="4"/>
  <c r="FW11" i="4" s="1"/>
  <c r="HL6" i="4"/>
  <c r="HO6" i="4" s="1"/>
  <c r="IH10" i="4"/>
  <c r="IK10" i="4" s="1"/>
  <c r="JD13" i="4"/>
  <c r="JG13" i="4" s="1"/>
  <c r="JZ14" i="4"/>
  <c r="KC14" i="4" s="1"/>
  <c r="LR7" i="4"/>
  <c r="LU7" i="4" s="1"/>
  <c r="MN12" i="4"/>
  <c r="MQ12" i="4" s="1"/>
  <c r="GV13" i="16"/>
  <c r="EV5" i="16"/>
  <c r="EV7" i="16"/>
  <c r="GV12" i="16"/>
  <c r="KV10" i="16"/>
  <c r="LV5" i="16"/>
  <c r="LV14" i="16"/>
  <c r="NV6" i="16"/>
  <c r="NV13" i="16"/>
  <c r="HV4" i="16"/>
  <c r="DV7" i="16"/>
  <c r="IV8" i="16"/>
  <c r="KV14" i="16"/>
  <c r="MV6" i="16"/>
  <c r="EV12" i="16"/>
  <c r="HV8" i="16"/>
  <c r="IV10" i="16"/>
  <c r="JV14" i="16"/>
  <c r="LV6" i="16"/>
  <c r="MV11" i="16"/>
  <c r="EV13" i="17"/>
  <c r="FV7" i="17"/>
  <c r="IV7" i="17"/>
  <c r="DV8" i="17"/>
  <c r="EV10" i="17"/>
  <c r="FV12" i="17"/>
  <c r="HV14" i="17"/>
  <c r="EV5" i="17"/>
  <c r="EV6" i="17"/>
  <c r="GV5" i="17"/>
  <c r="GV9" i="17"/>
  <c r="HV8" i="17"/>
  <c r="JV5" i="17"/>
  <c r="JV9" i="17"/>
  <c r="KV8" i="17"/>
  <c r="KV11" i="17"/>
  <c r="LV10" i="17"/>
  <c r="MV12" i="17"/>
  <c r="DV5" i="17"/>
  <c r="EV11" i="17"/>
  <c r="NV13" i="17"/>
  <c r="NV11" i="17"/>
  <c r="DV12" i="17"/>
  <c r="FV14" i="17"/>
  <c r="HV13" i="17"/>
  <c r="IV14" i="17"/>
  <c r="KV13" i="17"/>
  <c r="KV15" i="17"/>
  <c r="LV7" i="17"/>
  <c r="LV16" i="17"/>
  <c r="NV4" i="17"/>
  <c r="FV13" i="17"/>
  <c r="DV7" i="17"/>
  <c r="CT16" i="17"/>
  <c r="LV5" i="17"/>
  <c r="MV11" i="17"/>
  <c r="JV7" i="17"/>
  <c r="MV5" i="17"/>
  <c r="FV5" i="17"/>
  <c r="GV11" i="17"/>
  <c r="IV5" i="17"/>
  <c r="JV11" i="17"/>
  <c r="DV11" i="17"/>
  <c r="MV13" i="17"/>
  <c r="NV7" i="17"/>
  <c r="GV7" i="17"/>
  <c r="M16" i="17"/>
  <c r="CV16" i="17" s="1"/>
  <c r="EV14" i="17"/>
  <c r="GV13" i="17"/>
  <c r="GV15" i="17"/>
  <c r="HV7" i="17"/>
  <c r="JV13" i="17"/>
  <c r="JV15" i="17"/>
  <c r="KV7" i="17"/>
  <c r="KV16" i="17"/>
  <c r="MV4" i="17"/>
  <c r="M15" i="17"/>
  <c r="CV15" i="17" s="1"/>
  <c r="DV13" i="17"/>
  <c r="DV15" i="17"/>
  <c r="EV7" i="17"/>
  <c r="EV16" i="17"/>
  <c r="GV4" i="17"/>
  <c r="HV16" i="17"/>
  <c r="JV4" i="17"/>
  <c r="LV6" i="17"/>
  <c r="NV5" i="17"/>
  <c r="NV9" i="17"/>
  <c r="LV13" i="17"/>
  <c r="IV13" i="17"/>
  <c r="DV4" i="17"/>
  <c r="FV6" i="17"/>
  <c r="HV5" i="17"/>
  <c r="HV9" i="17"/>
  <c r="IV6" i="17"/>
  <c r="KV5" i="17"/>
  <c r="KV9" i="17"/>
  <c r="LV8" i="17"/>
  <c r="LV11" i="17"/>
  <c r="MV10" i="17"/>
  <c r="NV12" i="17"/>
  <c r="FV14" i="16"/>
  <c r="IV6" i="16"/>
  <c r="JV8" i="16"/>
  <c r="MV14" i="16"/>
  <c r="DV12" i="16"/>
  <c r="HV7" i="16"/>
  <c r="IV11" i="16"/>
  <c r="JV10" i="16"/>
  <c r="KV12" i="16"/>
  <c r="FV11" i="16"/>
  <c r="IV5" i="16"/>
  <c r="FV5" i="16"/>
  <c r="IV4" i="16"/>
  <c r="MV5" i="16"/>
  <c r="LV4" i="16"/>
  <c r="KV13" i="16"/>
  <c r="DV9" i="16"/>
  <c r="HV13" i="16"/>
  <c r="KV9" i="16"/>
  <c r="FV4" i="16"/>
  <c r="JV5" i="16"/>
  <c r="MV4" i="16"/>
  <c r="NV9" i="16"/>
  <c r="EV13" i="16"/>
  <c r="HV9" i="16"/>
  <c r="LV13" i="16"/>
  <c r="DV13" i="16"/>
  <c r="GV5" i="16"/>
  <c r="JV4" i="16"/>
  <c r="NV5" i="16"/>
  <c r="JV9" i="16"/>
  <c r="EV4" i="16"/>
  <c r="GV9" i="16"/>
  <c r="EV9" i="16"/>
  <c r="IV13" i="16"/>
  <c r="LV9" i="16"/>
  <c r="DV5" i="16"/>
  <c r="GV4" i="16"/>
  <c r="KV5" i="16"/>
  <c r="NV4" i="16"/>
  <c r="FV7" i="16"/>
  <c r="FV13" i="16"/>
  <c r="GV11" i="16"/>
  <c r="HV10" i="16"/>
  <c r="IV9" i="16"/>
  <c r="IV12" i="16"/>
  <c r="MV7" i="16"/>
  <c r="MV13" i="16"/>
  <c r="NV11" i="16"/>
  <c r="DV4" i="16"/>
  <c r="DV6" i="16"/>
  <c r="EV8" i="16"/>
  <c r="HV5" i="16"/>
  <c r="HV14" i="16"/>
  <c r="KV4" i="16"/>
  <c r="KV6" i="16"/>
  <c r="LV8" i="16"/>
  <c r="DV11" i="16"/>
  <c r="EV10" i="16"/>
  <c r="FV9" i="16"/>
  <c r="FV12" i="16"/>
  <c r="JV7" i="16"/>
  <c r="JV13" i="16"/>
  <c r="KV11" i="16"/>
  <c r="LV10" i="16"/>
  <c r="MV9" i="16"/>
  <c r="MV12" i="16"/>
  <c r="IV4" i="15"/>
  <c r="MV4" i="15"/>
  <c r="HV4" i="15"/>
  <c r="LV6" i="15"/>
  <c r="MV6" i="15"/>
  <c r="GV6" i="15"/>
  <c r="HV6" i="15"/>
  <c r="DV5" i="15"/>
  <c r="IV8" i="15"/>
  <c r="LV4" i="15"/>
  <c r="GV4" i="15"/>
  <c r="KV6" i="15"/>
  <c r="FV6" i="15"/>
  <c r="KV4" i="15"/>
  <c r="FV4" i="15"/>
  <c r="FV7" i="15"/>
  <c r="JV6" i="15"/>
  <c r="LV5" i="15"/>
  <c r="EV6" i="15"/>
  <c r="GV5" i="15"/>
  <c r="LV8" i="15"/>
  <c r="NV4" i="15"/>
  <c r="DV4" i="15"/>
  <c r="OV8" i="15"/>
  <c r="GV8" i="15"/>
  <c r="JV4" i="15"/>
  <c r="JV7" i="15"/>
  <c r="NV6" i="15"/>
  <c r="GV4" i="14"/>
  <c r="NV4" i="14"/>
  <c r="IV5" i="14"/>
  <c r="JV4" i="14"/>
  <c r="EB11" i="13"/>
  <c r="EE11" i="13" s="1"/>
  <c r="FT9" i="13"/>
  <c r="FW9" i="13" s="1"/>
  <c r="HL5" i="13"/>
  <c r="HO5" i="13" s="1"/>
  <c r="JD6" i="13"/>
  <c r="JG6" i="13" s="1"/>
  <c r="JZ11" i="13"/>
  <c r="KC11" i="13" s="1"/>
  <c r="LR9" i="13"/>
  <c r="LU9" i="13" s="1"/>
  <c r="EX9" i="13"/>
  <c r="FA9" i="13" s="1"/>
  <c r="GP5" i="13"/>
  <c r="GS5" i="13" s="1"/>
  <c r="IH6" i="13"/>
  <c r="IK6" i="13" s="1"/>
  <c r="JD11" i="13"/>
  <c r="JG11" i="13" s="1"/>
  <c r="KV9" i="13"/>
  <c r="KY9" i="13" s="1"/>
  <c r="MN5" i="13"/>
  <c r="MQ5" i="13" s="1"/>
  <c r="FA5" i="13"/>
  <c r="GS6" i="13"/>
  <c r="HO11" i="13"/>
  <c r="KY5" i="13"/>
  <c r="EE7" i="13"/>
  <c r="FA10" i="13"/>
  <c r="GS8" i="13"/>
  <c r="IK4" i="13"/>
  <c r="KC7" i="13"/>
  <c r="KY10" i="13"/>
  <c r="MQ8" i="13"/>
  <c r="NJ11" i="13"/>
  <c r="NM11" i="13" s="1"/>
  <c r="EB5" i="13"/>
  <c r="EE5" i="13" s="1"/>
  <c r="FT6" i="13"/>
  <c r="FW6" i="13" s="1"/>
  <c r="GP11" i="13"/>
  <c r="GS11" i="13" s="1"/>
  <c r="IH9" i="13"/>
  <c r="IK9" i="13" s="1"/>
  <c r="JZ5" i="13"/>
  <c r="KC5" i="13" s="1"/>
  <c r="LR6" i="13"/>
  <c r="LU6" i="13" s="1"/>
  <c r="MN11" i="13"/>
  <c r="MQ11" i="13" s="1"/>
  <c r="EB7" i="4"/>
  <c r="EE7" i="4" s="1"/>
  <c r="EX12" i="4"/>
  <c r="FA12" i="4" s="1"/>
  <c r="FT9" i="4"/>
  <c r="FW9" i="4" s="1"/>
  <c r="HL4" i="4"/>
  <c r="HO4" i="4" s="1"/>
  <c r="IH8" i="4"/>
  <c r="IK8" i="4" s="1"/>
  <c r="JD5" i="4"/>
  <c r="JG5" i="4" s="1"/>
  <c r="JZ11" i="4"/>
  <c r="KC11" i="4" s="1"/>
  <c r="LR6" i="4"/>
  <c r="LU6" i="4" s="1"/>
  <c r="MN10" i="4"/>
  <c r="MQ10" i="4" s="1"/>
  <c r="EX4" i="4"/>
  <c r="FA4" i="4" s="1"/>
  <c r="FT8" i="4"/>
  <c r="FW8" i="4" s="1"/>
  <c r="GP5" i="4"/>
  <c r="GS5" i="4" s="1"/>
  <c r="HL11" i="4"/>
  <c r="HO11" i="4" s="1"/>
  <c r="JD6" i="4"/>
  <c r="JG6" i="4" s="1"/>
  <c r="JZ10" i="4"/>
  <c r="KC10" i="4" s="1"/>
  <c r="KV13" i="4"/>
  <c r="KY13" i="4" s="1"/>
  <c r="LR14" i="4"/>
  <c r="LU14" i="4" s="1"/>
  <c r="NJ12" i="4"/>
  <c r="NM12" i="4" s="1"/>
  <c r="EE5" i="4"/>
  <c r="FA11" i="4"/>
  <c r="MQ9" i="4"/>
  <c r="KC7" i="4"/>
  <c r="KY12" i="4"/>
  <c r="EX6" i="4"/>
  <c r="FA6" i="4" s="1"/>
  <c r="FT10" i="4"/>
  <c r="FW10" i="4" s="1"/>
  <c r="GP13" i="4"/>
  <c r="GS13" i="4" s="1"/>
  <c r="HL14" i="4"/>
  <c r="HO14" i="4" s="1"/>
  <c r="JD7" i="4"/>
  <c r="JG7" i="4" s="1"/>
  <c r="JZ12" i="4"/>
  <c r="KC12" i="4" s="1"/>
  <c r="KV9" i="4"/>
  <c r="KY9" i="4" s="1"/>
  <c r="MN4" i="4"/>
  <c r="MQ4" i="4" s="1"/>
  <c r="M8" i="15"/>
  <c r="CV8" i="15" s="1"/>
  <c r="O11" i="4"/>
  <c r="DI11" i="4" s="1"/>
  <c r="NJ11" i="4"/>
  <c r="NM11" i="4" s="1"/>
  <c r="PU15" i="17"/>
  <c r="OV10" i="16"/>
  <c r="CT8" i="15"/>
  <c r="DB11" i="13"/>
  <c r="DE11" i="13" s="1"/>
  <c r="NJ4" i="13"/>
  <c r="NM4" i="13" s="1"/>
  <c r="OK11" i="13"/>
  <c r="NJ5" i="4"/>
  <c r="NM5" i="4" s="1"/>
  <c r="NJ9" i="4"/>
  <c r="NM9" i="4" s="1"/>
  <c r="O8" i="4"/>
  <c r="DI8" i="4" s="1"/>
  <c r="OP13" i="4"/>
  <c r="NJ8" i="4"/>
  <c r="NM8" i="4" s="1"/>
  <c r="NJ14" i="4"/>
  <c r="NM14" i="4" s="1"/>
  <c r="OV14" i="17"/>
  <c r="OV11" i="17"/>
  <c r="OV12" i="16"/>
  <c r="M10" i="16"/>
  <c r="CV10" i="16" s="1"/>
  <c r="M13" i="16"/>
  <c r="CV13" i="16" s="1"/>
  <c r="PU12" i="16"/>
  <c r="M12" i="16"/>
  <c r="CV12" i="16" s="1"/>
  <c r="OV7" i="15"/>
  <c r="OV5" i="15"/>
  <c r="OM11" i="13"/>
  <c r="DB14" i="4"/>
  <c r="DE14" i="4" s="1"/>
  <c r="OP10" i="4"/>
  <c r="O5" i="4"/>
  <c r="DI5" i="4" s="1"/>
  <c r="O9" i="4"/>
  <c r="P9" i="4" s="1"/>
  <c r="OP11" i="4"/>
  <c r="OK14" i="4"/>
  <c r="OP12" i="4"/>
  <c r="O12" i="4"/>
  <c r="P12" i="4" s="1"/>
  <c r="M11" i="17"/>
  <c r="CV11" i="17" s="1"/>
  <c r="PT16" i="17"/>
  <c r="I16" i="17"/>
  <c r="J16" i="17" s="1"/>
  <c r="PR16" i="17"/>
  <c r="G16" i="17"/>
  <c r="PU16" i="17"/>
  <c r="PV16" i="17"/>
  <c r="PS16" i="17"/>
  <c r="F16" i="17"/>
  <c r="K16" i="17"/>
  <c r="M14" i="17"/>
  <c r="CV14" i="17" s="1"/>
  <c r="CT15" i="17"/>
  <c r="K15" i="17"/>
  <c r="L15" i="17" s="1"/>
  <c r="PV15" i="17"/>
  <c r="PT15" i="17"/>
  <c r="G15" i="17"/>
  <c r="PR15" i="17"/>
  <c r="PS15" i="17"/>
  <c r="I15" i="17"/>
  <c r="J15" i="17" s="1"/>
  <c r="F15" i="17"/>
  <c r="PV11" i="17"/>
  <c r="CT11" i="17"/>
  <c r="CT14" i="17"/>
  <c r="I11" i="17"/>
  <c r="J11" i="17" s="1"/>
  <c r="PT11" i="17"/>
  <c r="G11" i="17"/>
  <c r="PS11" i="17"/>
  <c r="PR11" i="17"/>
  <c r="PU11" i="17"/>
  <c r="F11" i="17"/>
  <c r="K11" i="17"/>
  <c r="PT14" i="17"/>
  <c r="I14" i="17"/>
  <c r="J14" i="17" s="1"/>
  <c r="PS14" i="17"/>
  <c r="PR14" i="17"/>
  <c r="G14" i="17"/>
  <c r="PU14" i="17"/>
  <c r="PV14" i="17"/>
  <c r="F14" i="17"/>
  <c r="K14" i="17"/>
  <c r="I12" i="16"/>
  <c r="J12" i="16" s="1"/>
  <c r="CT12" i="16"/>
  <c r="PV12" i="16"/>
  <c r="F12" i="16"/>
  <c r="PS12" i="16"/>
  <c r="PT12" i="16"/>
  <c r="PR12" i="16"/>
  <c r="K12" i="16"/>
  <c r="G12" i="16"/>
  <c r="CT13" i="16"/>
  <c r="PU13" i="16"/>
  <c r="OV13" i="16"/>
  <c r="OV7" i="16"/>
  <c r="CT10" i="16"/>
  <c r="K13" i="16"/>
  <c r="CU13" i="16" s="1"/>
  <c r="PV13" i="16"/>
  <c r="PT13" i="16"/>
  <c r="G13" i="16"/>
  <c r="PS13" i="16"/>
  <c r="PR13" i="16"/>
  <c r="F13" i="16"/>
  <c r="I13" i="16"/>
  <c r="J13" i="16" s="1"/>
  <c r="PT10" i="16"/>
  <c r="CT7" i="16"/>
  <c r="M7" i="16"/>
  <c r="CV7" i="16" s="1"/>
  <c r="I10" i="16"/>
  <c r="J10" i="16" s="1"/>
  <c r="PS10" i="16"/>
  <c r="PR10" i="16"/>
  <c r="G10" i="16"/>
  <c r="PU10" i="16"/>
  <c r="PV10" i="16"/>
  <c r="F10" i="16"/>
  <c r="K10" i="16"/>
  <c r="PT7" i="16"/>
  <c r="OV11" i="16"/>
  <c r="I7" i="16"/>
  <c r="J7" i="16" s="1"/>
  <c r="PS7" i="16"/>
  <c r="PR7" i="16"/>
  <c r="G7" i="16"/>
  <c r="PU7" i="16"/>
  <c r="PV7" i="16"/>
  <c r="F7" i="16"/>
  <c r="K7" i="16"/>
  <c r="PT8" i="15"/>
  <c r="M7" i="15"/>
  <c r="CV7" i="15" s="1"/>
  <c r="I8" i="15"/>
  <c r="J8" i="15" s="1"/>
  <c r="PR8" i="15"/>
  <c r="G8" i="15"/>
  <c r="PU8" i="15"/>
  <c r="PS8" i="15"/>
  <c r="PV8" i="15"/>
  <c r="K8" i="15"/>
  <c r="CU8" i="15" s="1"/>
  <c r="F8" i="15"/>
  <c r="CT7" i="15"/>
  <c r="PT7" i="15"/>
  <c r="I7" i="15"/>
  <c r="J7" i="15" s="1"/>
  <c r="PR7" i="15"/>
  <c r="G7" i="15"/>
  <c r="F7" i="15"/>
  <c r="PU7" i="15"/>
  <c r="PV7" i="15"/>
  <c r="PS7" i="15"/>
  <c r="K7" i="15"/>
  <c r="CT5" i="14"/>
  <c r="I5" i="14"/>
  <c r="J5" i="14" s="1"/>
  <c r="PT5" i="14"/>
  <c r="PS5" i="14"/>
  <c r="G5" i="14"/>
  <c r="PR5" i="14"/>
  <c r="PV5" i="14"/>
  <c r="F5" i="14"/>
  <c r="M5" i="14"/>
  <c r="CV5" i="14" s="1"/>
  <c r="K5" i="14"/>
  <c r="PU5" i="14"/>
  <c r="OI11" i="13"/>
  <c r="O11" i="13"/>
  <c r="P11" i="13" s="1"/>
  <c r="OP11" i="13"/>
  <c r="OM14" i="4"/>
  <c r="OP9" i="4"/>
  <c r="OI14" i="4"/>
  <c r="O14" i="4"/>
  <c r="DI14" i="4" s="1"/>
  <c r="OP14" i="4"/>
  <c r="OV12" i="17"/>
  <c r="OV13" i="17"/>
  <c r="OV9" i="17"/>
  <c r="M6" i="16"/>
  <c r="N6" i="16" s="1"/>
  <c r="OV6" i="16"/>
  <c r="NJ13" i="4"/>
  <c r="NM13" i="4" s="1"/>
  <c r="NJ6" i="4"/>
  <c r="NM6" i="4" s="1"/>
  <c r="M12" i="17"/>
  <c r="CV12" i="17" s="1"/>
  <c r="M9" i="17"/>
  <c r="N9" i="17" s="1"/>
  <c r="OV10" i="17"/>
  <c r="OV8" i="17"/>
  <c r="CT9" i="17"/>
  <c r="CT10" i="17"/>
  <c r="CT14" i="16"/>
  <c r="OV9" i="16"/>
  <c r="CT6" i="16"/>
  <c r="M9" i="16"/>
  <c r="CV9" i="16" s="1"/>
  <c r="OV14" i="16"/>
  <c r="CT11" i="16"/>
  <c r="OV5" i="16"/>
  <c r="OV4" i="16"/>
  <c r="M11" i="16"/>
  <c r="N11" i="16" s="1"/>
  <c r="K4" i="16"/>
  <c r="OV8" i="16"/>
  <c r="OV6" i="15"/>
  <c r="NJ10" i="13"/>
  <c r="NM10" i="13" s="1"/>
  <c r="OM10" i="13"/>
  <c r="NJ8" i="13"/>
  <c r="NM8" i="13" s="1"/>
  <c r="OM4" i="13"/>
  <c r="NJ9" i="13"/>
  <c r="NM9" i="13" s="1"/>
  <c r="DB8" i="13"/>
  <c r="DE8" i="13" s="1"/>
  <c r="NJ7" i="4"/>
  <c r="NM7" i="4" s="1"/>
  <c r="PR8" i="17"/>
  <c r="OP6" i="4"/>
  <c r="DB10" i="13"/>
  <c r="DE10" i="13" s="1"/>
  <c r="PR5" i="16"/>
  <c r="CT8" i="17"/>
  <c r="PU8" i="17"/>
  <c r="PV8" i="17"/>
  <c r="CT13" i="17"/>
  <c r="PR10" i="17"/>
  <c r="PU10" i="17"/>
  <c r="PR9" i="17"/>
  <c r="G9" i="17"/>
  <c r="PS8" i="17"/>
  <c r="I13" i="17"/>
  <c r="J13" i="17" s="1"/>
  <c r="F13" i="17"/>
  <c r="PV10" i="17"/>
  <c r="PT10" i="17"/>
  <c r="K9" i="17"/>
  <c r="PR13" i="17"/>
  <c r="M10" i="17"/>
  <c r="CV10" i="17" s="1"/>
  <c r="CT12" i="17"/>
  <c r="F9" i="17"/>
  <c r="PU13" i="17"/>
  <c r="I8" i="17"/>
  <c r="J8" i="17" s="1"/>
  <c r="PS9" i="17"/>
  <c r="PS10" i="17"/>
  <c r="G13" i="17"/>
  <c r="F8" i="17"/>
  <c r="PV13" i="17"/>
  <c r="PU9" i="17"/>
  <c r="PV9" i="17"/>
  <c r="PT13" i="17"/>
  <c r="F10" i="17"/>
  <c r="M8" i="17"/>
  <c r="CV8" i="17" s="1"/>
  <c r="PT9" i="17"/>
  <c r="I10" i="17"/>
  <c r="J10" i="17" s="1"/>
  <c r="PT8" i="17"/>
  <c r="PS13" i="17"/>
  <c r="K10" i="17"/>
  <c r="M13" i="17"/>
  <c r="N13" i="17" s="1"/>
  <c r="K8" i="17"/>
  <c r="CT5" i="16"/>
  <c r="PU5" i="16"/>
  <c r="PV5" i="16"/>
  <c r="PR8" i="16"/>
  <c r="PR4" i="16"/>
  <c r="CT4" i="16"/>
  <c r="CT8" i="16"/>
  <c r="PS4" i="16"/>
  <c r="K8" i="16"/>
  <c r="PU4" i="16"/>
  <c r="PV4" i="16"/>
  <c r="PU6" i="16"/>
  <c r="PS8" i="16"/>
  <c r="M4" i="16"/>
  <c r="CV4" i="16" s="1"/>
  <c r="PU8" i="16"/>
  <c r="PR14" i="16"/>
  <c r="PV8" i="16"/>
  <c r="M5" i="16"/>
  <c r="N5" i="16" s="1"/>
  <c r="PT11" i="16"/>
  <c r="I11" i="16"/>
  <c r="J11" i="16" s="1"/>
  <c r="M14" i="16"/>
  <c r="N14" i="16" s="1"/>
  <c r="I6" i="16"/>
  <c r="J6" i="16" s="1"/>
  <c r="M6" i="15"/>
  <c r="CV6" i="15" s="1"/>
  <c r="CT5" i="15"/>
  <c r="PV5" i="15"/>
  <c r="M5" i="15"/>
  <c r="N5" i="15" s="1"/>
  <c r="OK10" i="13"/>
  <c r="OK8" i="13"/>
  <c r="OK9" i="13"/>
  <c r="DB9" i="13"/>
  <c r="DE9" i="13" s="1"/>
  <c r="DB4" i="13"/>
  <c r="DE4" i="13" s="1"/>
  <c r="OI10" i="13"/>
  <c r="OP9" i="13"/>
  <c r="OP7" i="4"/>
  <c r="O7" i="4"/>
  <c r="P7" i="4" s="1"/>
  <c r="G10" i="17"/>
  <c r="G8" i="17"/>
  <c r="K13" i="17"/>
  <c r="I9" i="17"/>
  <c r="PT12" i="17"/>
  <c r="OV6" i="17"/>
  <c r="M6" i="17"/>
  <c r="CV6" i="17" s="1"/>
  <c r="I12" i="17"/>
  <c r="J12" i="17" s="1"/>
  <c r="PS12" i="17"/>
  <c r="PR12" i="17"/>
  <c r="PU12" i="17"/>
  <c r="PV12" i="17"/>
  <c r="F12" i="17"/>
  <c r="K12" i="17"/>
  <c r="G12" i="17"/>
  <c r="CT6" i="17"/>
  <c r="PT6" i="17"/>
  <c r="I6" i="17"/>
  <c r="J6" i="17" s="1"/>
  <c r="PS6" i="17"/>
  <c r="PR6" i="17"/>
  <c r="G6" i="17"/>
  <c r="PU6" i="17"/>
  <c r="PV6" i="17"/>
  <c r="F6" i="17"/>
  <c r="K6" i="17"/>
  <c r="PS5" i="16"/>
  <c r="PT6" i="16"/>
  <c r="PV14" i="16"/>
  <c r="PT8" i="16"/>
  <c r="K5" i="16"/>
  <c r="PS14" i="16"/>
  <c r="PU14" i="16"/>
  <c r="PT14" i="16"/>
  <c r="PS11" i="16"/>
  <c r="PR11" i="16"/>
  <c r="G11" i="16"/>
  <c r="G6" i="16"/>
  <c r="PT4" i="16"/>
  <c r="F11" i="16"/>
  <c r="PV6" i="16"/>
  <c r="PU11" i="16"/>
  <c r="PS6" i="16"/>
  <c r="M8" i="16"/>
  <c r="N8" i="16" s="1"/>
  <c r="PV11" i="16"/>
  <c r="PT5" i="16"/>
  <c r="PR6" i="16"/>
  <c r="F5" i="16"/>
  <c r="I4" i="16"/>
  <c r="J4" i="16" s="1"/>
  <c r="I5" i="16"/>
  <c r="J5" i="16" s="1"/>
  <c r="I14" i="16"/>
  <c r="J14" i="16" s="1"/>
  <c r="F8" i="16"/>
  <c r="F6" i="16"/>
  <c r="G14" i="16"/>
  <c r="F14" i="16"/>
  <c r="I8" i="16"/>
  <c r="J8" i="16" s="1"/>
  <c r="F4" i="16"/>
  <c r="G4" i="16"/>
  <c r="G5" i="16"/>
  <c r="K14" i="16"/>
  <c r="K11" i="16"/>
  <c r="K6" i="16"/>
  <c r="G8" i="16"/>
  <c r="PU9" i="16"/>
  <c r="CT9" i="16"/>
  <c r="I9" i="16"/>
  <c r="J9" i="16" s="1"/>
  <c r="PV9" i="16"/>
  <c r="PT9" i="16"/>
  <c r="G9" i="16"/>
  <c r="PS9" i="16"/>
  <c r="PR9" i="16"/>
  <c r="F9" i="16"/>
  <c r="K9" i="16"/>
  <c r="I5" i="15"/>
  <c r="J5" i="15" s="1"/>
  <c r="PT5" i="15"/>
  <c r="G5" i="15"/>
  <c r="PS5" i="15"/>
  <c r="PR5" i="15"/>
  <c r="PU5" i="15"/>
  <c r="F5" i="15"/>
  <c r="K5" i="15"/>
  <c r="PV6" i="15"/>
  <c r="CT6" i="15"/>
  <c r="I6" i="15"/>
  <c r="J6" i="15" s="1"/>
  <c r="PT6" i="15"/>
  <c r="G6" i="15"/>
  <c r="PS6" i="15"/>
  <c r="PR6" i="15"/>
  <c r="PU6" i="15"/>
  <c r="F6" i="15"/>
  <c r="K6" i="15"/>
  <c r="OI4" i="13"/>
  <c r="O10" i="13"/>
  <c r="P10" i="13" s="1"/>
  <c r="OK4" i="13"/>
  <c r="O4" i="13"/>
  <c r="DI4" i="13" s="1"/>
  <c r="OM8" i="13"/>
  <c r="OI8" i="13"/>
  <c r="OM9" i="13"/>
  <c r="OI9" i="13"/>
  <c r="OP8" i="13"/>
  <c r="O8" i="13"/>
  <c r="P8" i="13" s="1"/>
  <c r="O9" i="13"/>
  <c r="O13" i="4"/>
  <c r="DI13" i="4" s="1"/>
  <c r="NJ10" i="4"/>
  <c r="NM10" i="4" s="1"/>
  <c r="O6" i="4"/>
  <c r="P6" i="4" s="1"/>
  <c r="OP5" i="4"/>
  <c r="O10" i="4"/>
  <c r="DI10" i="4" s="1"/>
  <c r="OP8" i="4"/>
  <c r="PW9" i="15" l="1"/>
  <c r="L9" i="15"/>
  <c r="CU9" i="15"/>
  <c r="O9" i="15" s="1"/>
  <c r="O15" i="16"/>
  <c r="H15" i="16"/>
  <c r="A15" i="16" s="1" a="1"/>
  <c r="A15" i="16" s="1"/>
  <c r="PW15" i="16"/>
  <c r="Q15" i="16"/>
  <c r="P15" i="16"/>
  <c r="J15" i="16"/>
  <c r="E15" i="16" s="1"/>
  <c r="N15" i="17"/>
  <c r="P8" i="4"/>
  <c r="N16" i="17"/>
  <c r="N14" i="17"/>
  <c r="N8" i="15"/>
  <c r="P11" i="4"/>
  <c r="N11" i="17"/>
  <c r="H11" i="17"/>
  <c r="A11" i="17" s="1" a="1"/>
  <c r="A11" i="17" s="1"/>
  <c r="L10" i="17"/>
  <c r="DI12" i="4"/>
  <c r="P5" i="4"/>
  <c r="H13" i="16"/>
  <c r="A13" i="16" s="1" a="1"/>
  <c r="A13" i="16" s="1"/>
  <c r="L8" i="17"/>
  <c r="N12" i="16"/>
  <c r="N5" i="14"/>
  <c r="ON11" i="13"/>
  <c r="OQ11" i="13" s="1"/>
  <c r="DI11" i="13"/>
  <c r="H16" i="17"/>
  <c r="A16" i="17" s="1" a="1"/>
  <c r="A16" i="17" s="1"/>
  <c r="PW15" i="17"/>
  <c r="PW16" i="17"/>
  <c r="N13" i="16"/>
  <c r="L8" i="16"/>
  <c r="PW12" i="16"/>
  <c r="N10" i="16"/>
  <c r="N7" i="15"/>
  <c r="L8" i="15"/>
  <c r="I11" i="13"/>
  <c r="J11" i="13" s="1"/>
  <c r="F11" i="13"/>
  <c r="G11" i="13"/>
  <c r="H11" i="13" s="1"/>
  <c r="A11" i="13" s="1" a="1"/>
  <c r="A11" i="13" s="1"/>
  <c r="DI9" i="4"/>
  <c r="ON14" i="4"/>
  <c r="OQ14" i="4" s="1"/>
  <c r="I14" i="4"/>
  <c r="M14" i="4" s="1"/>
  <c r="PW14" i="17"/>
  <c r="CU15" i="17"/>
  <c r="O15" i="17" s="1"/>
  <c r="CU16" i="17"/>
  <c r="O16" i="17" s="1"/>
  <c r="L16" i="17"/>
  <c r="PW11" i="17"/>
  <c r="H15" i="17"/>
  <c r="A15" i="17" s="1" a="1"/>
  <c r="A15" i="17" s="1"/>
  <c r="H14" i="17"/>
  <c r="A14" i="17" s="1" a="1"/>
  <c r="A14" i="17" s="1"/>
  <c r="CU11" i="17"/>
  <c r="O11" i="17" s="1"/>
  <c r="L11" i="17"/>
  <c r="CV9" i="17"/>
  <c r="CU14" i="17"/>
  <c r="O14" i="17" s="1"/>
  <c r="L14" i="17"/>
  <c r="PW10" i="16"/>
  <c r="PW13" i="16"/>
  <c r="L5" i="16"/>
  <c r="N7" i="16"/>
  <c r="L13" i="16"/>
  <c r="H7" i="16"/>
  <c r="A7" i="16" s="1" a="1"/>
  <c r="A7" i="16" s="1"/>
  <c r="H12" i="16"/>
  <c r="A12" i="16" s="1" a="1"/>
  <c r="A12" i="16" s="1"/>
  <c r="CU12" i="16"/>
  <c r="O12" i="16" s="1"/>
  <c r="L12" i="16"/>
  <c r="O13" i="16"/>
  <c r="PW7" i="16"/>
  <c r="H10" i="16"/>
  <c r="A10" i="16" s="1" a="1"/>
  <c r="A10" i="16" s="1"/>
  <c r="CU10" i="16"/>
  <c r="O10" i="16" s="1"/>
  <c r="L10" i="16"/>
  <c r="CU7" i="16"/>
  <c r="O7" i="16" s="1"/>
  <c r="L7" i="16"/>
  <c r="PW7" i="15"/>
  <c r="H8" i="15"/>
  <c r="A8" i="15" s="1" a="1"/>
  <c r="A8" i="15" s="1"/>
  <c r="O8" i="15"/>
  <c r="PW8" i="15"/>
  <c r="H7" i="15"/>
  <c r="A7" i="15" s="1" a="1"/>
  <c r="A7" i="15" s="1"/>
  <c r="CU7" i="15"/>
  <c r="O7" i="15" s="1"/>
  <c r="L7" i="15"/>
  <c r="PW5" i="14"/>
  <c r="H5" i="14"/>
  <c r="A5" i="14" s="1" a="1"/>
  <c r="A5" i="14" s="1"/>
  <c r="CU5" i="14"/>
  <c r="O5" i="14" s="1"/>
  <c r="L5" i="14"/>
  <c r="P14" i="4"/>
  <c r="F14" i="4"/>
  <c r="G14" i="4"/>
  <c r="H14" i="4" s="1"/>
  <c r="A14" i="4" s="1" a="1"/>
  <c r="A14" i="4" s="1"/>
  <c r="L9" i="17"/>
  <c r="H9" i="17"/>
  <c r="A9" i="17" s="1" a="1"/>
  <c r="A9" i="17" s="1"/>
  <c r="L4" i="16"/>
  <c r="CV6" i="16"/>
  <c r="DI7" i="4"/>
  <c r="CU9" i="17"/>
  <c r="CU4" i="16"/>
  <c r="O4" i="16" s="1"/>
  <c r="N12" i="17"/>
  <c r="CV11" i="16"/>
  <c r="N9" i="16"/>
  <c r="CU8" i="16"/>
  <c r="G10" i="13"/>
  <c r="H10" i="13" s="1"/>
  <c r="I9" i="13"/>
  <c r="K9" i="13" s="1"/>
  <c r="ON10" i="13"/>
  <c r="F8" i="13"/>
  <c r="I8" i="13"/>
  <c r="K8" i="13" s="1"/>
  <c r="I10" i="13"/>
  <c r="J10" i="13" s="1"/>
  <c r="F10" i="13"/>
  <c r="F9" i="13"/>
  <c r="H5" i="15"/>
  <c r="A5" i="15" s="1" a="1"/>
  <c r="A5" i="15" s="1"/>
  <c r="I4" i="13"/>
  <c r="K4" i="13" s="1"/>
  <c r="F4" i="13"/>
  <c r="PW5" i="15"/>
  <c r="N6" i="15"/>
  <c r="N4" i="16"/>
  <c r="PW10" i="17"/>
  <c r="PW12" i="17"/>
  <c r="H8" i="17"/>
  <c r="A8" i="17" s="1" a="1"/>
  <c r="A8" i="17" s="1"/>
  <c r="CV13" i="17"/>
  <c r="N10" i="17"/>
  <c r="PW13" i="17"/>
  <c r="CU10" i="17"/>
  <c r="O10" i="17" s="1"/>
  <c r="PW8" i="17"/>
  <c r="N6" i="17"/>
  <c r="H13" i="17"/>
  <c r="A13" i="17" s="1" a="1"/>
  <c r="A13" i="17" s="1"/>
  <c r="H10" i="17"/>
  <c r="A10" i="17" s="1" a="1"/>
  <c r="A10" i="17" s="1"/>
  <c r="CU8" i="17"/>
  <c r="O8" i="17" s="1"/>
  <c r="Q8" i="17" s="1"/>
  <c r="N8" i="17"/>
  <c r="PW9" i="17"/>
  <c r="CU5" i="16"/>
  <c r="CV5" i="16"/>
  <c r="PW14" i="16"/>
  <c r="H6" i="16"/>
  <c r="PW6" i="16"/>
  <c r="H11" i="16"/>
  <c r="PW9" i="16"/>
  <c r="PW4" i="16"/>
  <c r="PW8" i="16"/>
  <c r="CV14" i="16"/>
  <c r="PW11" i="16"/>
  <c r="H5" i="16"/>
  <c r="CV5" i="15"/>
  <c r="PW6" i="15"/>
  <c r="ON8" i="13"/>
  <c r="G4" i="13"/>
  <c r="H4" i="13" s="1"/>
  <c r="G9" i="13"/>
  <c r="H9" i="13" s="1"/>
  <c r="ON4" i="13"/>
  <c r="DI10" i="13"/>
  <c r="P13" i="4"/>
  <c r="J9" i="17"/>
  <c r="CU13" i="17"/>
  <c r="L13" i="17"/>
  <c r="PW6" i="17"/>
  <c r="H12" i="17"/>
  <c r="A12" i="17" s="1" a="1"/>
  <c r="A12" i="17" s="1"/>
  <c r="CU12" i="17"/>
  <c r="O12" i="17" s="1"/>
  <c r="L12" i="17"/>
  <c r="H6" i="17"/>
  <c r="CU6" i="17"/>
  <c r="O6" i="17" s="1"/>
  <c r="L6" i="17"/>
  <c r="H8" i="16"/>
  <c r="CV8" i="16"/>
  <c r="PW5" i="16"/>
  <c r="H14" i="16"/>
  <c r="H4" i="16"/>
  <c r="CU14" i="16"/>
  <c r="L14" i="16"/>
  <c r="CU6" i="16"/>
  <c r="L6" i="16"/>
  <c r="CU11" i="16"/>
  <c r="L11" i="16"/>
  <c r="H9" i="16"/>
  <c r="CU9" i="16"/>
  <c r="O9" i="16" s="1"/>
  <c r="L9" i="16"/>
  <c r="CU5" i="15"/>
  <c r="L5" i="15"/>
  <c r="H6" i="15"/>
  <c r="CU6" i="15"/>
  <c r="O6" i="15" s="1"/>
  <c r="L6" i="15"/>
  <c r="ON9" i="13"/>
  <c r="P4" i="13"/>
  <c r="G8" i="13"/>
  <c r="H8" i="13" s="1"/>
  <c r="DI8" i="13"/>
  <c r="DI9" i="13"/>
  <c r="P9" i="13"/>
  <c r="DI6" i="4"/>
  <c r="P10" i="4"/>
  <c r="E15" i="17" l="1"/>
  <c r="E9" i="15"/>
  <c r="Q9" i="15"/>
  <c r="P9" i="15"/>
  <c r="P15" i="17"/>
  <c r="Q15" i="17"/>
  <c r="E8" i="15"/>
  <c r="DH11" i="13"/>
  <c r="M11" i="13"/>
  <c r="DG11" i="13" s="1"/>
  <c r="K11" i="13"/>
  <c r="DF11" i="13" s="1"/>
  <c r="K14" i="4"/>
  <c r="DF14" i="4" s="1"/>
  <c r="J14" i="4"/>
  <c r="N14" i="4" s="1"/>
  <c r="DH14" i="4"/>
  <c r="E13" i="16"/>
  <c r="O8" i="16"/>
  <c r="E8" i="16" s="1"/>
  <c r="P8" i="15"/>
  <c r="Q8" i="15"/>
  <c r="O9" i="17"/>
  <c r="Q9" i="17" s="1"/>
  <c r="E16" i="17"/>
  <c r="Q16" i="17"/>
  <c r="P16" i="17"/>
  <c r="E11" i="17"/>
  <c r="Q11" i="17"/>
  <c r="P11" i="17"/>
  <c r="E14" i="17"/>
  <c r="Q14" i="17"/>
  <c r="P14" i="17"/>
  <c r="E12" i="16"/>
  <c r="Q12" i="16"/>
  <c r="P12" i="16"/>
  <c r="P13" i="16"/>
  <c r="Q13" i="16"/>
  <c r="O6" i="16"/>
  <c r="Q6" i="16" s="1"/>
  <c r="E10" i="16"/>
  <c r="Q10" i="16"/>
  <c r="P10" i="16"/>
  <c r="E7" i="16"/>
  <c r="Q7" i="16"/>
  <c r="P7" i="16"/>
  <c r="E7" i="15"/>
  <c r="Q7" i="15"/>
  <c r="P7" i="15"/>
  <c r="E5" i="14"/>
  <c r="Q5" i="14"/>
  <c r="P5" i="14"/>
  <c r="OQ8" i="13"/>
  <c r="DG14" i="4"/>
  <c r="O11" i="16"/>
  <c r="E11" i="16" s="1"/>
  <c r="O13" i="17"/>
  <c r="E13" i="17" s="1"/>
  <c r="O5" i="16"/>
  <c r="P5" i="16" s="1"/>
  <c r="M9" i="13"/>
  <c r="DG9" i="13" s="1"/>
  <c r="DH9" i="13"/>
  <c r="J9" i="13"/>
  <c r="L9" i="13" s="1"/>
  <c r="DH8" i="13"/>
  <c r="M8" i="13"/>
  <c r="DG8" i="13" s="1"/>
  <c r="J8" i="13"/>
  <c r="L8" i="13" s="1"/>
  <c r="E4" i="16"/>
  <c r="M10" i="13"/>
  <c r="N10" i="13" s="1"/>
  <c r="J4" i="13"/>
  <c r="L4" i="13" s="1"/>
  <c r="K10" i="13"/>
  <c r="L10" i="13" s="1"/>
  <c r="DH4" i="13"/>
  <c r="DH10" i="13"/>
  <c r="M4" i="13"/>
  <c r="DG4" i="13" s="1"/>
  <c r="OQ9" i="13"/>
  <c r="O5" i="15"/>
  <c r="E5" i="15" s="1"/>
  <c r="Q4" i="16"/>
  <c r="P4" i="16"/>
  <c r="P8" i="17"/>
  <c r="E8" i="17"/>
  <c r="O14" i="16"/>
  <c r="Q14" i="16" s="1"/>
  <c r="P10" i="17"/>
  <c r="Q10" i="17"/>
  <c r="E10" i="17"/>
  <c r="E12" i="17"/>
  <c r="Q12" i="17"/>
  <c r="P12" i="17"/>
  <c r="E6" i="17"/>
  <c r="Q6" i="17"/>
  <c r="P6" i="17"/>
  <c r="E9" i="16"/>
  <c r="A9" i="16" s="1" a="1"/>
  <c r="A9" i="16" s="1"/>
  <c r="Q9" i="16"/>
  <c r="P9" i="16"/>
  <c r="E6" i="15"/>
  <c r="A6" i="15" s="1" a="1"/>
  <c r="A6" i="15" s="1"/>
  <c r="Q6" i="15"/>
  <c r="P6" i="15"/>
  <c r="DF4" i="13"/>
  <c r="DF8" i="13"/>
  <c r="DF9" i="13"/>
  <c r="N11" i="13" l="1"/>
  <c r="L11" i="13"/>
  <c r="Q11" i="13"/>
  <c r="S11" i="13" s="1"/>
  <c r="L14" i="4"/>
  <c r="Q8" i="16"/>
  <c r="P8" i="16"/>
  <c r="N8" i="13"/>
  <c r="E9" i="17"/>
  <c r="P9" i="17"/>
  <c r="E6" i="16"/>
  <c r="Q13" i="17"/>
  <c r="P13" i="17"/>
  <c r="P6" i="16"/>
  <c r="P11" i="16"/>
  <c r="Q11" i="16"/>
  <c r="E5" i="16"/>
  <c r="Q5" i="16"/>
  <c r="E11" i="13"/>
  <c r="R11" i="13"/>
  <c r="N9" i="13"/>
  <c r="DG10" i="13"/>
  <c r="Q14" i="4"/>
  <c r="P5" i="15"/>
  <c r="Q5" i="15"/>
  <c r="DF10" i="13"/>
  <c r="E14" i="16"/>
  <c r="Q4" i="13"/>
  <c r="R4" i="13" s="1"/>
  <c r="N4" i="13"/>
  <c r="P14" i="16"/>
  <c r="A8" i="16" a="1"/>
  <c r="A8" i="16" s="1"/>
  <c r="A14" i="16" a="1"/>
  <c r="A14" i="16" s="1"/>
  <c r="Q9" i="13"/>
  <c r="Q8" i="13"/>
  <c r="Q10" i="13" l="1"/>
  <c r="E8" i="13"/>
  <c r="E9" i="13"/>
  <c r="R14" i="4"/>
  <c r="S14" i="4"/>
  <c r="E14" i="4"/>
  <c r="E4" i="13"/>
  <c r="S4" i="13"/>
  <c r="S9" i="13"/>
  <c r="R9" i="13"/>
  <c r="R8" i="13"/>
  <c r="S8" i="13"/>
  <c r="R10" i="13"/>
  <c r="S10" i="13"/>
  <c r="E10" i="13"/>
  <c r="A10" i="13" l="1" a="1"/>
  <c r="A10" i="13" s="1"/>
  <c r="A4" i="13" a="1"/>
  <c r="A4" i="13" s="1"/>
  <c r="A9" i="13" a="1"/>
  <c r="A9" i="13" s="1"/>
  <c r="A8" i="13" a="1"/>
  <c r="A8" i="13" s="1"/>
  <c r="CO7" i="17" l="1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I7" i="17" l="1"/>
  <c r="J7" i="17" s="1"/>
  <c r="M4" i="15"/>
  <c r="N4" i="15" s="1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PV4" i="15"/>
  <c r="PU4" i="15"/>
  <c r="PR4" i="15"/>
  <c r="PT4" i="15"/>
  <c r="PS4" i="15"/>
  <c r="F4" i="15"/>
  <c r="I4" i="15"/>
  <c r="J4" i="15" s="1"/>
  <c r="G4" i="15"/>
  <c r="K4" i="15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L4" i="15" l="1"/>
  <c r="PW7" i="17"/>
  <c r="CV4" i="15"/>
  <c r="CU7" i="17"/>
  <c r="L7" i="17"/>
  <c r="CV7" i="17"/>
  <c r="H7" i="17"/>
  <c r="PW4" i="15"/>
  <c r="H4" i="15"/>
  <c r="CU4" i="15"/>
  <c r="CT5" i="17"/>
  <c r="PR5" i="17"/>
  <c r="OV5" i="17"/>
  <c r="PU5" i="17"/>
  <c r="M5" i="17"/>
  <c r="N5" i="17" s="1"/>
  <c r="PV5" i="17"/>
  <c r="PT5" i="17"/>
  <c r="PS5" i="17"/>
  <c r="K5" i="17"/>
  <c r="F5" i="17"/>
  <c r="I5" i="17"/>
  <c r="G5" i="17"/>
  <c r="CT4" i="14"/>
  <c r="OV4" i="14"/>
  <c r="DB7" i="13"/>
  <c r="DE7" i="13" s="1"/>
  <c r="DB6" i="13"/>
  <c r="DE6" i="13" s="1"/>
  <c r="OK7" i="13"/>
  <c r="NJ6" i="13"/>
  <c r="NM6" i="13" s="1"/>
  <c r="O7" i="13"/>
  <c r="DI7" i="13" s="1"/>
  <c r="NJ7" i="13"/>
  <c r="NM7" i="13" s="1"/>
  <c r="OM7" i="13"/>
  <c r="OI7" i="13"/>
  <c r="OM6" i="13"/>
  <c r="OK6" i="13"/>
  <c r="OI6" i="13"/>
  <c r="O6" i="13"/>
  <c r="P6" i="13" s="1"/>
  <c r="O4" i="4"/>
  <c r="P4" i="4" s="1"/>
  <c r="OP4" i="4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O4" i="15" l="1"/>
  <c r="E4" i="15" s="1"/>
  <c r="O7" i="17"/>
  <c r="E7" i="17" s="1"/>
  <c r="L5" i="17"/>
  <c r="L4" i="14"/>
  <c r="CV5" i="17"/>
  <c r="PW5" i="17"/>
  <c r="CU5" i="17"/>
  <c r="H5" i="17"/>
  <c r="J5" i="17"/>
  <c r="PW4" i="14"/>
  <c r="I4" i="4"/>
  <c r="J4" i="4" s="1"/>
  <c r="ON6" i="13"/>
  <c r="I7" i="13"/>
  <c r="DH7" i="13" s="1"/>
  <c r="F7" i="13"/>
  <c r="I6" i="13"/>
  <c r="M6" i="13" s="1"/>
  <c r="G6" i="13"/>
  <c r="H6" i="13" s="1"/>
  <c r="A6" i="13" s="1" a="1"/>
  <c r="A6" i="13" s="1"/>
  <c r="G7" i="13"/>
  <c r="H7" i="13" s="1"/>
  <c r="P7" i="13"/>
  <c r="ON7" i="13"/>
  <c r="F6" i="13"/>
  <c r="DI6" i="13"/>
  <c r="ON4" i="4"/>
  <c r="OQ4" i="4" s="1"/>
  <c r="DI4" i="4"/>
  <c r="F4" i="4"/>
  <c r="DE4" i="4"/>
  <c r="G4" i="4"/>
  <c r="H4" i="4" s="1"/>
  <c r="CV4" i="14"/>
  <c r="H4" i="14"/>
  <c r="J4" i="14"/>
  <c r="CU4" i="14"/>
  <c r="A5" i="16" l="1" a="1"/>
  <c r="A5" i="16" s="1"/>
  <c r="A11" i="16" a="1"/>
  <c r="A11" i="16" s="1"/>
  <c r="A6" i="16" a="1"/>
  <c r="A6" i="16" s="1"/>
  <c r="P4" i="15"/>
  <c r="Q4" i="15"/>
  <c r="Q7" i="17"/>
  <c r="P7" i="17"/>
  <c r="O5" i="17"/>
  <c r="P5" i="17" s="1"/>
  <c r="K4" i="4"/>
  <c r="DF4" i="4" s="1"/>
  <c r="DH4" i="4"/>
  <c r="M4" i="4"/>
  <c r="N4" i="4" s="1"/>
  <c r="K6" i="13"/>
  <c r="DF6" i="13" s="1"/>
  <c r="A4" i="16" a="1"/>
  <c r="A4" i="16" s="1"/>
  <c r="K7" i="13"/>
  <c r="DF7" i="13" s="1"/>
  <c r="M7" i="13"/>
  <c r="DG7" i="13" s="1"/>
  <c r="J7" i="13"/>
  <c r="DH6" i="13"/>
  <c r="J6" i="13"/>
  <c r="N6" i="13" s="1"/>
  <c r="DG6" i="13"/>
  <c r="O4" i="14"/>
  <c r="E4" i="14" s="1"/>
  <c r="Q5" i="17" l="1"/>
  <c r="E5" i="17"/>
  <c r="L4" i="4"/>
  <c r="DG4" i="4"/>
  <c r="Q4" i="4" s="1"/>
  <c r="L7" i="13"/>
  <c r="L6" i="13"/>
  <c r="Q4" i="14"/>
  <c r="P4" i="14"/>
  <c r="N7" i="13"/>
  <c r="Q7" i="13"/>
  <c r="S7" i="13" s="1"/>
  <c r="Q6" i="13"/>
  <c r="E4" i="4" l="1"/>
  <c r="E6" i="13"/>
  <c r="R7" i="13"/>
  <c r="E7" i="13"/>
  <c r="S6" i="13"/>
  <c r="R6" i="13"/>
  <c r="S4" i="4"/>
  <c r="R4" i="4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7" i="13" l="1"/>
  <c r="OP6" i="13"/>
  <c r="OP10" i="13"/>
  <c r="OP5" i="13"/>
  <c r="OM5" i="13"/>
  <c r="NJ5" i="13"/>
  <c r="NM5" i="13" s="1"/>
  <c r="O5" i="13"/>
  <c r="DI5" i="13" s="1"/>
  <c r="DB5" i="13"/>
  <c r="DE5" i="13" s="1"/>
  <c r="OK5" i="13"/>
  <c r="OI5" i="13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4" i="17" l="1"/>
  <c r="OV4" i="17"/>
  <c r="A4" i="4" a="1"/>
  <c r="A4" i="4" s="1"/>
  <c r="P5" i="13"/>
  <c r="I5" i="13"/>
  <c r="ON5" i="13"/>
  <c r="F5" i="13"/>
  <c r="G5" i="13"/>
  <c r="H5" i="13" s="1"/>
  <c r="M4" i="17"/>
  <c r="CV4" i="17" s="1"/>
  <c r="G4" i="17"/>
  <c r="PT4" i="17"/>
  <c r="PR4" i="17"/>
  <c r="PV4" i="17"/>
  <c r="PU4" i="17"/>
  <c r="PS4" i="17"/>
  <c r="I4" i="17"/>
  <c r="K4" i="17"/>
  <c r="F4" i="17"/>
  <c r="OQ6" i="13" l="1"/>
  <c r="OQ7" i="13"/>
  <c r="CU4" i="17"/>
  <c r="L4" i="17"/>
  <c r="OQ5" i="13"/>
  <c r="OQ10" i="13"/>
  <c r="PW4" i="17"/>
  <c r="K5" i="13"/>
  <c r="DF5" i="13" s="1"/>
  <c r="DH5" i="13"/>
  <c r="J5" i="13"/>
  <c r="M5" i="13"/>
  <c r="DG5" i="13" s="1"/>
  <c r="N4" i="17"/>
  <c r="H4" i="17"/>
  <c r="J4" i="17"/>
  <c r="L5" i="13" l="1"/>
  <c r="N5" i="13"/>
  <c r="Q5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4" i="14" a="1"/>
  <c r="A4" i="14" s="1"/>
  <c r="E5" i="13"/>
  <c r="A7" i="13" s="1" a="1"/>
  <c r="A7" i="13" s="1"/>
  <c r="R5" i="13"/>
  <c r="S5" i="13"/>
  <c r="Q4" i="17"/>
  <c r="P4" i="17"/>
  <c r="A5" i="13" l="1" a="1"/>
  <c r="A5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8" i="11" l="1"/>
  <c r="D7" i="11"/>
  <c r="C9" i="11"/>
  <c r="C8" i="11"/>
  <c r="C6" i="11"/>
  <c r="D9" i="11"/>
  <c r="C7" i="11"/>
  <c r="D6" i="11"/>
  <c r="NN5" i="4" l="1"/>
  <c r="NN6" i="4"/>
  <c r="NN12" i="4"/>
  <c r="NN10" i="4"/>
  <c r="OI10" i="4" s="1"/>
  <c r="NN7" i="4"/>
  <c r="NN9" i="4"/>
  <c r="CW6" i="4"/>
  <c r="NN13" i="4"/>
  <c r="CW5" i="4"/>
  <c r="NN8" i="4"/>
  <c r="CW7" i="4"/>
  <c r="CW13" i="4"/>
  <c r="CW11" i="4"/>
  <c r="NN11" i="4"/>
  <c r="CW8" i="4"/>
  <c r="CW10" i="4"/>
  <c r="CW9" i="4"/>
  <c r="CW12" i="4"/>
  <c r="NX6" i="4"/>
  <c r="NS5" i="4"/>
  <c r="NS11" i="4"/>
  <c r="NX13" i="4"/>
  <c r="NS10" i="4"/>
  <c r="NX7" i="4"/>
  <c r="NS8" i="4"/>
  <c r="NS7" i="4"/>
  <c r="NX8" i="4"/>
  <c r="NX12" i="4"/>
  <c r="NX10" i="4"/>
  <c r="NX11" i="4"/>
  <c r="NS13" i="4"/>
  <c r="NX9" i="4"/>
  <c r="NS9" i="4"/>
  <c r="NS12" i="4"/>
  <c r="NX5" i="4"/>
  <c r="NS6" i="4"/>
  <c r="NO10" i="4"/>
  <c r="OA10" i="4"/>
  <c r="NP7" i="4"/>
  <c r="NY9" i="4"/>
  <c r="NO8" i="4"/>
  <c r="NW12" i="4"/>
  <c r="OB7" i="4"/>
  <c r="NR6" i="4"/>
  <c r="NV13" i="4"/>
  <c r="NT11" i="4"/>
  <c r="OB8" i="4"/>
  <c r="NR5" i="4"/>
  <c r="CY5" i="4"/>
  <c r="NV12" i="4"/>
  <c r="OA12" i="4"/>
  <c r="NY13" i="4"/>
  <c r="OA9" i="4"/>
  <c r="NW9" i="4"/>
  <c r="OA8" i="4"/>
  <c r="NQ5" i="4"/>
  <c r="NU5" i="4"/>
  <c r="OJ5" i="4" s="1"/>
  <c r="NV5" i="4"/>
  <c r="NU6" i="4"/>
  <c r="OJ6" i="4" s="1"/>
  <c r="NQ8" i="4"/>
  <c r="NP8" i="4"/>
  <c r="NR11" i="4"/>
  <c r="CY11" i="4"/>
  <c r="NV9" i="4"/>
  <c r="NT12" i="4"/>
  <c r="OA13" i="4"/>
  <c r="NO9" i="4"/>
  <c r="NO5" i="4"/>
  <c r="NZ12" i="4"/>
  <c r="OL12" i="4" s="1"/>
  <c r="CZ12" i="4"/>
  <c r="CY8" i="4"/>
  <c r="NR7" i="4"/>
  <c r="DA11" i="4"/>
  <c r="NQ7" i="4"/>
  <c r="NY12" i="4"/>
  <c r="NR12" i="4"/>
  <c r="NW6" i="4"/>
  <c r="NV6" i="4"/>
  <c r="NR8" i="4"/>
  <c r="CY6" i="4"/>
  <c r="NO6" i="4"/>
  <c r="NR13" i="4"/>
  <c r="NT9" i="4"/>
  <c r="NW7" i="4"/>
  <c r="OA6" i="4"/>
  <c r="NQ13" i="4"/>
  <c r="NO11" i="4"/>
  <c r="NZ9" i="4"/>
  <c r="OL9" i="4" s="1"/>
  <c r="CZ9" i="4"/>
  <c r="NW8" i="4"/>
  <c r="OA5" i="4"/>
  <c r="NQ12" i="4"/>
  <c r="NU12" i="4"/>
  <c r="OJ12" i="4" s="1"/>
  <c r="OB10" i="4"/>
  <c r="OB9" i="4"/>
  <c r="DA12" i="4"/>
  <c r="NO7" i="4"/>
  <c r="NW10" i="4"/>
  <c r="NT13" i="4"/>
  <c r="CZ8" i="4"/>
  <c r="NZ8" i="4"/>
  <c r="OL8" i="4" s="1"/>
  <c r="NQ11" i="4"/>
  <c r="NU11" i="4"/>
  <c r="OJ11" i="4" s="1"/>
  <c r="NY8" i="4"/>
  <c r="NT10" i="4"/>
  <c r="DA10" i="4"/>
  <c r="OB6" i="4"/>
  <c r="CY13" i="4"/>
  <c r="DA9" i="4"/>
  <c r="CY12" i="4"/>
  <c r="NR10" i="4"/>
  <c r="NP13" i="4"/>
  <c r="OB11" i="4"/>
  <c r="NR9" i="4"/>
  <c r="CY9" i="4"/>
  <c r="NV8" i="4"/>
  <c r="CZ5" i="4"/>
  <c r="NZ5" i="4"/>
  <c r="OL5" i="4" s="1"/>
  <c r="NP12" i="4"/>
  <c r="NW5" i="4"/>
  <c r="CY7" i="4"/>
  <c r="NY10" i="4"/>
  <c r="OA7" i="4"/>
  <c r="NU13" i="4"/>
  <c r="OJ13" i="4" s="1"/>
  <c r="CZ7" i="4"/>
  <c r="NZ7" i="4"/>
  <c r="OL7" i="4" s="1"/>
  <c r="NP6" i="4"/>
  <c r="NP5" i="4"/>
  <c r="NZ13" i="4"/>
  <c r="OL13" i="4" s="1"/>
  <c r="CZ13" i="4"/>
  <c r="NP11" i="4"/>
  <c r="NZ10" i="4"/>
  <c r="OL10" i="4" s="1"/>
  <c r="CZ10" i="4"/>
  <c r="CY10" i="4"/>
  <c r="NV7" i="4"/>
  <c r="CZ6" i="4"/>
  <c r="NZ6" i="4"/>
  <c r="OL6" i="4" s="1"/>
  <c r="NQ10" i="4"/>
  <c r="NU10" i="4"/>
  <c r="OJ10" i="4" s="1"/>
  <c r="NU7" i="4"/>
  <c r="OJ7" i="4" s="1"/>
  <c r="NY6" i="4"/>
  <c r="NO13" i="4"/>
  <c r="OA11" i="4"/>
  <c r="NQ9" i="4"/>
  <c r="NU9" i="4"/>
  <c r="OJ9" i="4" s="1"/>
  <c r="NU8" i="4"/>
  <c r="OJ8" i="4" s="1"/>
  <c r="NY5" i="4"/>
  <c r="NO12" i="4"/>
  <c r="NY11" i="4"/>
  <c r="NW11" i="4"/>
  <c r="NT6" i="4"/>
  <c r="NV11" i="4"/>
  <c r="NT5" i="4"/>
  <c r="NW13" i="4"/>
  <c r="NQ6" i="4"/>
  <c r="NV10" i="4"/>
  <c r="DA13" i="4"/>
  <c r="NY7" i="4"/>
  <c r="OB5" i="4"/>
  <c r="CX10" i="4"/>
  <c r="NP10" i="4"/>
  <c r="NT7" i="4"/>
  <c r="CX7" i="4"/>
  <c r="DA7" i="4"/>
  <c r="CX6" i="4"/>
  <c r="DA6" i="4"/>
  <c r="CX13" i="4"/>
  <c r="OB13" i="4"/>
  <c r="CZ11" i="4"/>
  <c r="CX11" i="4"/>
  <c r="NZ11" i="4"/>
  <c r="OL11" i="4" s="1"/>
  <c r="CX9" i="4"/>
  <c r="NP9" i="4"/>
  <c r="NT8" i="4"/>
  <c r="CX8" i="4"/>
  <c r="DA8" i="4"/>
  <c r="CX5" i="4"/>
  <c r="DA5" i="4"/>
  <c r="CX12" i="4"/>
  <c r="OB12" i="4"/>
  <c r="OI5" i="4" l="1"/>
  <c r="OM10" i="4"/>
  <c r="OI11" i="4"/>
  <c r="OM11" i="4"/>
  <c r="OK10" i="4"/>
  <c r="ON10" i="4" s="1"/>
  <c r="DB9" i="4"/>
  <c r="G9" i="4" s="1"/>
  <c r="H9" i="4" s="1"/>
  <c r="A9" i="4" s="1" a="1"/>
  <c r="A9" i="4" s="1"/>
  <c r="DB7" i="4"/>
  <c r="F7" i="4" s="1"/>
  <c r="OM5" i="4"/>
  <c r="DB11" i="4"/>
  <c r="F11" i="4" s="1"/>
  <c r="DB13" i="4"/>
  <c r="I13" i="4" s="1"/>
  <c r="OM13" i="4"/>
  <c r="DB12" i="4"/>
  <c r="I12" i="4" s="1"/>
  <c r="OI12" i="4"/>
  <c r="F12" i="4"/>
  <c r="OI7" i="4"/>
  <c r="OM8" i="4"/>
  <c r="OK7" i="4"/>
  <c r="OK8" i="4"/>
  <c r="OI6" i="4"/>
  <c r="DB10" i="4"/>
  <c r="DE10" i="4" s="1"/>
  <c r="OI8" i="4"/>
  <c r="DB5" i="4"/>
  <c r="F5" i="4" s="1"/>
  <c r="OM7" i="4"/>
  <c r="OM12" i="4"/>
  <c r="OK9" i="4"/>
  <c r="OI9" i="4"/>
  <c r="OM9" i="4"/>
  <c r="OK5" i="4"/>
  <c r="OI13" i="4"/>
  <c r="OK6" i="4"/>
  <c r="DB6" i="4"/>
  <c r="G6" i="4" s="1"/>
  <c r="H6" i="4" s="1"/>
  <c r="A6" i="4" s="1" a="1"/>
  <c r="A6" i="4" s="1"/>
  <c r="OK11" i="4"/>
  <c r="OM6" i="4"/>
  <c r="OK12" i="4"/>
  <c r="OK13" i="4"/>
  <c r="DB8" i="4"/>
  <c r="G8" i="4" s="1"/>
  <c r="H8" i="4" s="1"/>
  <c r="A8" i="4" s="1" a="1"/>
  <c r="A8" i="4" s="1"/>
  <c r="DE6" i="4"/>
  <c r="F6" i="4"/>
  <c r="I6" i="4"/>
  <c r="I8" i="4"/>
  <c r="F9" i="4"/>
  <c r="G7" i="4"/>
  <c r="H7" i="4" s="1"/>
  <c r="A7" i="4" s="1" a="1"/>
  <c r="A7" i="4" s="1"/>
  <c r="I9" i="4"/>
  <c r="G13" i="4" l="1"/>
  <c r="H13" i="4" s="1"/>
  <c r="A13" i="4" s="1" a="1"/>
  <c r="A13" i="4" s="1"/>
  <c r="ON11" i="4"/>
  <c r="I7" i="4"/>
  <c r="DE8" i="4"/>
  <c r="F13" i="4"/>
  <c r="I11" i="4"/>
  <c r="DE9" i="4"/>
  <c r="G11" i="4"/>
  <c r="H11" i="4" s="1"/>
  <c r="A11" i="4" s="1" a="1"/>
  <c r="A11" i="4" s="1"/>
  <c r="ON5" i="4"/>
  <c r="F8" i="4"/>
  <c r="F10" i="4"/>
  <c r="DE11" i="4"/>
  <c r="DE7" i="4"/>
  <c r="ON7" i="4"/>
  <c r="OQ6" i="4" s="1"/>
  <c r="DE12" i="4"/>
  <c r="G12" i="4"/>
  <c r="H12" i="4" s="1"/>
  <c r="A12" i="4" s="1" a="1"/>
  <c r="A12" i="4" s="1"/>
  <c r="DE13" i="4"/>
  <c r="G5" i="4"/>
  <c r="H5" i="4" s="1"/>
  <c r="A5" i="4" s="1" a="1"/>
  <c r="A5" i="4" s="1"/>
  <c r="ON12" i="4"/>
  <c r="ON8" i="4"/>
  <c r="OQ10" i="4" s="1"/>
  <c r="I5" i="4"/>
  <c r="J5" i="4" s="1"/>
  <c r="DE5" i="4"/>
  <c r="ON13" i="4"/>
  <c r="OQ11" i="4" s="1"/>
  <c r="I10" i="4"/>
  <c r="K10" i="4" s="1"/>
  <c r="G10" i="4"/>
  <c r="H10" i="4" s="1"/>
  <c r="A10" i="4" s="1" a="1"/>
  <c r="A10" i="4" s="1"/>
  <c r="ON9" i="4"/>
  <c r="OQ12" i="4" s="1"/>
  <c r="ON6" i="4"/>
  <c r="OQ5" i="4" s="1"/>
  <c r="J6" i="4"/>
  <c r="DH6" i="4"/>
  <c r="M6" i="4"/>
  <c r="K6" i="4"/>
  <c r="K13" i="4"/>
  <c r="DH13" i="4"/>
  <c r="M13" i="4"/>
  <c r="J13" i="4"/>
  <c r="M12" i="4"/>
  <c r="DH12" i="4"/>
  <c r="J12" i="4"/>
  <c r="K12" i="4"/>
  <c r="K5" i="4"/>
  <c r="M5" i="4"/>
  <c r="DH5" i="4"/>
  <c r="J7" i="4"/>
  <c r="M7" i="4"/>
  <c r="K7" i="4"/>
  <c r="DH7" i="4"/>
  <c r="DH9" i="4"/>
  <c r="M9" i="4"/>
  <c r="K9" i="4"/>
  <c r="J9" i="4"/>
  <c r="M8" i="4"/>
  <c r="J8" i="4"/>
  <c r="DH8" i="4"/>
  <c r="K8" i="4"/>
  <c r="M11" i="4"/>
  <c r="J11" i="4"/>
  <c r="DH11" i="4"/>
  <c r="K11" i="4"/>
  <c r="OQ9" i="4" l="1"/>
  <c r="D2" i="11"/>
  <c r="OQ8" i="4"/>
  <c r="J10" i="4"/>
  <c r="OQ13" i="4"/>
  <c r="OQ7" i="4"/>
  <c r="M10" i="4"/>
  <c r="N10" i="4" s="1"/>
  <c r="DH10" i="4"/>
  <c r="C2" i="11"/>
  <c r="C5" i="11"/>
  <c r="C4" i="11"/>
  <c r="D3" i="11"/>
  <c r="D4" i="11"/>
  <c r="D5" i="11"/>
  <c r="C3" i="11"/>
  <c r="L11" i="4"/>
  <c r="DF11" i="4"/>
  <c r="L12" i="4"/>
  <c r="DF12" i="4"/>
  <c r="Q12" i="4" s="1"/>
  <c r="DG13" i="4"/>
  <c r="N13" i="4"/>
  <c r="DF13" i="4"/>
  <c r="L13" i="4"/>
  <c r="DF6" i="4"/>
  <c r="L6" i="4"/>
  <c r="N9" i="4"/>
  <c r="DG9" i="4"/>
  <c r="N12" i="4"/>
  <c r="DG12" i="4"/>
  <c r="DF7" i="4"/>
  <c r="L7" i="4"/>
  <c r="L8" i="4"/>
  <c r="DF8" i="4"/>
  <c r="DG5" i="4"/>
  <c r="N5" i="4"/>
  <c r="N6" i="4"/>
  <c r="DG6" i="4"/>
  <c r="N11" i="4"/>
  <c r="DG11" i="4"/>
  <c r="L10" i="4"/>
  <c r="DF10" i="4"/>
  <c r="N8" i="4"/>
  <c r="DG8" i="4"/>
  <c r="L9" i="4"/>
  <c r="DF9" i="4"/>
  <c r="DG7" i="4"/>
  <c r="N7" i="4"/>
  <c r="DF5" i="4"/>
  <c r="Q5" i="4" s="1"/>
  <c r="L5" i="4"/>
  <c r="DG10" i="4" l="1"/>
  <c r="Q11" i="4"/>
  <c r="E11" i="4" s="1"/>
  <c r="Q9" i="4"/>
  <c r="Q8" i="4"/>
  <c r="Q13" i="4"/>
  <c r="E13" i="4" s="1"/>
  <c r="E12" i="4"/>
  <c r="E9" i="4"/>
  <c r="Q6" i="4"/>
  <c r="R6" i="4" s="1"/>
  <c r="E5" i="4"/>
  <c r="R8" i="4"/>
  <c r="S8" i="4"/>
  <c r="E8" i="4"/>
  <c r="R5" i="4"/>
  <c r="S5" i="4"/>
  <c r="Q10" i="4"/>
  <c r="E10" i="4" s="1"/>
  <c r="Q7" i="4"/>
  <c r="S9" i="4"/>
  <c r="R9" i="4"/>
  <c r="S12" i="4"/>
  <c r="R12" i="4"/>
  <c r="S11" i="4"/>
  <c r="R11" i="4"/>
  <c r="E6" i="4"/>
  <c r="S13" i="4" l="1"/>
  <c r="R13" i="4"/>
  <c r="S6" i="4"/>
  <c r="S7" i="4"/>
  <c r="R7" i="4"/>
  <c r="R10" i="4"/>
  <c r="S10" i="4"/>
  <c r="E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<sst xmlns="http://schemas.openxmlformats.org/spreadsheetml/2006/main" count="3257" uniqueCount="123">
  <si>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</si>
  <si>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</si>
  <si>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</si>
  <si>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</si>
  <si>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</si>
  <si>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</si>
  <si>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</si>
  <si>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</si>
  <si>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</si>
  <si>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</si>
  <si>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</si>
  <si>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</si>
  <si>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</si>
  <si>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</si>
  <si>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</si>
  <si>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</si>
  <si>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</si>
  <si>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</si>
  <si>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</si>
  <si>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</si>
  <si>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</si>
  <si>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</si>
  <si>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</si>
  <si>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</si>
  <si>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</si>
  <si>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</si>
  <si>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</si>
  <si>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</si>
  <si>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</si>
  <si>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</si>
  <si>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</si>
  <si>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</si>
  <si>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</si>
  <si>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</si>
  <si>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</si>
  <si>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</si>
  <si>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</si>
  <si>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</si>
  <si>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</si>
  <si>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</si>
  <si>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</si>
  <si>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</si>
  <si>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</si>
  <si>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</si>
  <si>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</si>
  <si>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</si>
  <si>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</si>
  <si>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</si>
  <si>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</si>
  <si>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</si>
  <si>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</si>
  <si>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</si>
  <si>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</si>
  <si>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</si>
  <si>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</si>
  <si>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</si>
  <si>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</si>
  <si>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</si>
  <si>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</si>
  <si>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</si>
  <si>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</si>
  <si>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</si>
  <si>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</si>
  <si>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</si>
  <si>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</si>
  <si>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</si>
  <si>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</si>
  <si>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</si>
  <si>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</si>
  <si>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</si>
  <si>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</si>
  <si>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</si>
  <si>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</si>
  <si>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</si>
  <si>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</si>
  <si>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</si>
  <si>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</si>
  <si>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</si>
  <si>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</si>
  <si>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</si>
  <si>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</si>
  <si>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HUGHES, Arya</t>
  </si>
  <si>
    <t>JEAN-LOUIS, Jayda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</si>
  <si>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</si>
  <si>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</si>
  <si>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</si>
  <si>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</si>
  <si>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</si>
  <si>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</si>
  <si>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</si>
  <si>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</si>
  <si>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</si>
  <si>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</si>
  <si>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</si>
  <si>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</si>
  <si>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</si>
  <si>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</si>
  <si>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</si>
  <si>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</si>
  <si>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</si>
  <si>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</si>
  <si>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</si>
  <si>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</si>
  <si>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</si>
  <si>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</si>
  <si>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</si>
  <si>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</si>
  <si>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</si>
  <si>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</si>
  <si>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</si>
  <si>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</si>
  <si>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</si>
  <si>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</si>
  <si>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</si>
  <si>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</si>
  <si>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</si>
  <si>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</si>
  <si>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</si>
  <si>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</si>
  <si>
    <t>2025 Coimbra Gym Fest (July 6)</t>
  </si>
  <si>
    <t>TOLOSA, Kaizen</t>
  </si>
  <si>
    <t>EVITA, Beiram</t>
  </si>
  <si>
    <t>2025 3rd Domestic 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</si>
</sst>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hidden="1" x14ac:dyDescent="0.2">
      <c r="A19" s="6"/>
      <c r="B19" s="6">
        <v>2</v>
      </c>
      <c r="C19" s="6" t="str">
        <f>IF(B3&gt;MAX('DMT-M'!A:A),"",INDEX('DMT-M'!B:B,MATCH(B3,'DMT-M'!A:A,0)))</f>
        <v/>
      </c>
      <c r="D19" s="16" t="str">
        <f>IF(B3&gt;MAX('DMT-M'!A:A),"",INDEX('DMT-M'!H:H,MATCH(B3,'DMT-M'!A:A,0)))</f>
        <v/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45918</v>
      </c>
      <c r="C34" s="68"/>
    </row>
    <row r="35" spans="1:3" x14ac:dyDescent="0.2">
      <c r="B35" t="s">
        <v>122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103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122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84</v>
      </c>
      <c r="C4" s="4" t="s">
        <v>67</v>
      </c>
      <c r="D4" s="4">
        <v>2012</v>
      </c>
      <c r="E4" s="10">
        <f>SUM(I4:Q4)</f>
        <v>228.08</v>
      </c>
      <c r="F4" s="3" t="str">
        <f>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P","")</f>
        <v/>
      </c>
      <c r="G4" s="3" t="str">
        <f>IF(OR(AND(AT4&gt;=AW$21,AO4&lt;&gt;"",AN4=""),AND(BX4&gt;=CA$21,BS4&lt;&gt;"",BR4=""),AND(DB4&gt;=DE$21,CW4&lt;&gt;"",CV4=""),AND(EB4&gt;=EE$21,DY4&lt;&gt;""),AND(EX4&gt;=FA$21,EU4&lt;&gt;""),AND(FT4&gt;=FW$21,FQ4&lt;&gt;""),AND(GP4&gt;=GS$21,GM4&lt;&gt;""),AND(HL4&gt;=HO$21,HI4&lt;&gt;""),AND(IH4&gt;=IK$21,IE4&lt;&gt;""),AND(JD4&gt;=JG$21,JA4&lt;&gt;""),AND(JZ4&gt;=KC$21,JW4&lt;&gt;""),AND(KV4&gt;=KY$21,KS4&lt;&gt;""),AND(LR4&gt;=LU$21,LO4&lt;&gt;""),AND(MN4&gt;=MQ$21,MK4&lt;&gt;""),AND(NJ4&gt;=NM$21,NG4&lt;&gt;"")),"P","")</f>
        <v/>
      </c>
      <c r="H4" s="47" t="str">
        <f>IF(OR(AND(AP4&gt;=AW$20,AQ4&gt;=AW$24,AP4&lt;&gt;"",AN4=""),AND(AU4&gt;=AW$20,AV4&gt;=AW$24,AU4&lt;&gt;"",AN4=""),AND(BT4&gt;=CA$20,BU4&gt;=CA$24,BT4&lt;&gt;"",BR4=""),AND(BY4&gt;=CA$20,BZ4&gt;=CA$24,BY4&lt;&gt;"",BR4=""),AND(CX4&gt;=DE$20,CY4&gt;=DE$24,CX4&lt;&gt;"",CV4=""),AND(DC4&gt;=DE$20,DD4&gt;=DE$24,DC4&lt;&gt;"",CV4=""),AND(DY4&gt;=EE$20,EA4&gt;=EE$24,DY4&lt;&gt;""),AND(EC4&gt;=EE$20,ED4&gt;=EE$24,EC4&lt;&gt;""),AND(EU4&gt;=FA$20,EW4&gt;=FA$24,EU4&lt;&gt;""),AND(EY4&gt;=FA$20,EZ4&gt;=FA$24,EY4&lt;&gt;""),AND(FQ4&gt;=FW$20,FS4&gt;=FW$24,FQ4&lt;&gt;""),AND(FU4&gt;=FW$20,FV4&gt;=FW$24,FU4&lt;&gt;""),AND(GM4&gt;=GS$20,GO4&gt;=GS$24,GM4&lt;&gt;""),AND(GQ4&gt;=GS$20,GR4&gt;=GS$24,GQ4&lt;&gt;""),AND(HI4&gt;=HO$20,HK4&gt;=HO$24,HI4&lt;&gt;""),AND(HM4&gt;=HO$20,HN4&gt;=HO$24,HM4&lt;&gt;""),AND(IE4&gt;=IK$20,IG4&gt;=IK$24,IE4&lt;&gt;""),AND(II4&gt;=IK$20,IJ4&gt;=IK$24,II4&lt;&gt;""),AND(JA4&gt;=JG$20,JC4&gt;=JG$24,JA4&lt;&gt;""),AND(JE4&gt;=JG$20,JF4&gt;=JG$24,JE4&lt;&gt;""),AND(JW4&gt;=KC$20,JY4&gt;=KC$24,JW4&lt;&gt;""),AND(KA4&gt;=KC$20,KB4&gt;=KC$24,KA4&lt;&gt;""),AND(KS4&gt;=KY$20,KU4&gt;=KY$24,KS4&lt;&gt;""),AND(KW4&gt;=KY$20,KX4&gt;=KY$24,KW4&lt;&gt;""),AND(LO4&gt;=LU$20,LQ4&gt;=LU$24,LO4&lt;&gt;""),AND(LS4&gt;=LU$20,LT4&gt;=LU$24,LS4&lt;&gt;""),AND(MK4&gt;=MQ$20,MM4&gt;=MQ$24,MK4&lt;&gt;""),AND(MO4&gt;=MQ$20,MP4&gt;=MQ$24,MO4&lt;&gt;""),AND(NG4&gt;=NM$20,NI4&gt;=NM$24,NG4&lt;&gt;""),AND(NK4&gt;=NM$20,NL4&gt;=NM$24,NK4&lt;&gt;"")),"Merit",IF(OR(AND(AP4&gt;=AW$19,AT4&gt;=AW$23,AO4&lt;&gt;"",AN4=""),AND(BT4&gt;=CA$19,BX4&gt;=CA$23,BS4&lt;&gt;"",BR4=""),AND(CX4&gt;=DE$19,DB4&gt;=DE$23,CW4&lt;&gt;"",CV4=""),AND(DY4&gt;=EE$19,EB4&gt;=EE$23,DY4&lt;&gt;""),AND(EU4&gt;=FA$19,EX4&gt;=FA$23,EU4&lt;&gt;""),AND(FQ4&gt;=FW$19,FT4&gt;=FW$23,FQ4&lt;&gt;""),AND(GM4&gt;=GS$19,GP4&gt;=GS$23,GM4&lt;&gt;""),AND(HI4&gt;=HO$19,HL4&gt;=HO$23,HI4&lt;&gt;""),AND(IE4&gt;=IK$19,IH4&gt;=IK$23,IE4&lt;&gt;""),AND(JA4&gt;=JG$19,JD4&gt;=JG$23,JA4&lt;&gt;""),AND(JW4&gt;=KC$19,JZ4&gt;=KC$23,JW4&lt;&gt;""),AND(KS4&gt;=KY$19,KV4&gt;=KY$23,KS4&lt;&gt;""),AND(LO4&gt;=LU$19,LR4&gt;=LU$23,LO4&lt;&gt;""),AND(MK4&gt;=MQ$19,MN4&gt;=MQ$23,MK4&lt;&gt;""),AND(NG4&gt;=NM$19,NJ4&gt;=NM$23,NG4&lt;&gt;"")),"Excellence",IF(OR(AND(AP4&gt;=AW$17,AT4&gt;=AW$21,AO4&lt;&gt;"",AN4=""),AND(BT4&gt;=CA$17,BX4&gt;=CA$21,BS4&lt;&gt;"",BR4=""),AND(CX4&gt;=DE$17,DB4&gt;=DE$21,CW4&lt;&gt;"",CV4=""),AND(DY4&gt;=EE$17,EB4&gt;=EE$21,DY4&lt;&gt;""),AND(EU4&gt;=FA$17,EX4&gt;=FA$21,EU4&lt;&gt;""),AND(FQ4&gt;=FW$17,FT4&gt;=FW$21,FQ4&lt;&gt;""),AND(GM4&gt;=GS$17,GP4&gt;=GS$21,GM4&lt;&gt;""),AND(HI4&gt;=HO$17,HL4&gt;=HO$21,HI4&lt;&gt;""),AND(IE4&gt;=IK$17,IH4&gt;=IK$21,IE4&lt;&gt;""),AND(JA4&gt;=JG$17,JD4&gt;=JG$21,JA4&lt;&gt;""),AND(JW4&gt;=KC$17,JZ4&gt;=KC$21,JW4&lt;&gt;""),AND(KS4&gt;=KY$17,KV4&gt;=KY$21,KS4&lt;&gt;""),AND(LO4&gt;=LU$17,LR4&gt;=LU$21,LO4&lt;&gt;""),AND(MK4&gt;=MQ$17,MN4&gt;=MQ$21,MK4&lt;&gt;""),AND(NG4&gt;=NM$17,NJ4&gt;=NM$21,NG4&lt;&gt;"")),"National Team",IF(G4="P","No DD",""))))</f>
        <v/>
      </c>
      <c r="I4" s="9">
        <f>IF(MAX(AT4,BX4,DB4)&gt;0,MAX(AT4,BX4,DB4),0)</f>
        <v>90.070000000000007</v>
      </c>
      <c r="J4" s="9" t="str">
        <f>IF(I4=0,"",IF(I4=DB4,$CB$1,IF(I4=BX4,$AX$1,IF(I4=AT4,$T$1,""))))</f>
        <v>2025 Nationals</v>
      </c>
      <c r="K4" s="9">
        <f>IF($I4=$AT4,MAX(BS4,CW4),IF($I4=$BX4,MAX(AO4,CW4),IF($I4=$DB4,MAX(AO4,BS4),MAX(AO4,BS4,CW4))))</f>
        <v>40.130000000000003</v>
      </c>
      <c r="L4" s="9" t="str">
        <f>IF(K4=0,"",IF(AND(K4=CW4,$J4&lt;&gt;$CB$1),$CB$1,IF(AND(K4=BS4,$J4&lt;&gt;$AX$1),$AX$1,IF(AND(K4=AO4,$J4&lt;&gt;$T$1),$T$1,""))))</f>
        <v>2025 Elite Canada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48.19</v>
      </c>
      <c r="N4" s="9" t="str">
        <f>IF(M4=0,"",IF(AND(OR(M4=DA4,M4=CY4),$J4&lt;&gt;$CB$1),$CB$1,IF(AND(OR(M4=BW4,M4=BU4),$J4&lt;&gt;$AX$1),$AX$1,IF(AND(OR(M4=AS4,M4=AQ4),$J4&lt;&gt;$T$1),$T$1,""))))</f>
        <v>2025 Elite Canada</v>
      </c>
      <c r="O4" s="9">
        <f>MAX(AV4,BZ4,DD4)</f>
        <v>49.69</v>
      </c>
      <c r="P4" s="9" t="str">
        <f>IF(O4=0,"",IF(O4=DD4,$CB$1,IF(O4=BZ4,$AX$1,IF(O4=AV4,$T$1,""))))</f>
        <v>2025 Nationals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16.899999999999999</v>
      </c>
      <c r="U4" s="27">
        <v>9.6</v>
      </c>
      <c r="V4" s="27">
        <v>0</v>
      </c>
      <c r="W4" s="27">
        <v>13.63</v>
      </c>
      <c r="X4" s="27">
        <v>0</v>
      </c>
      <c r="Y4" s="27">
        <v>14.4</v>
      </c>
      <c r="Z4" s="27">
        <v>9.6999999999999993</v>
      </c>
      <c r="AA4" s="27">
        <v>10.9</v>
      </c>
      <c r="AB4" s="27">
        <v>13.19</v>
      </c>
      <c r="AC4" s="27">
        <v>0</v>
      </c>
      <c r="AD4" s="27"/>
      <c r="AE4" s="27"/>
      <c r="AF4" s="27"/>
      <c r="AG4" s="27"/>
      <c r="AH4" s="27"/>
      <c r="AI4" s="27">
        <v>15</v>
      </c>
      <c r="AJ4" s="27">
        <v>9.6999999999999993</v>
      </c>
      <c r="AK4" s="27">
        <v>10.9</v>
      </c>
      <c r="AL4" s="27">
        <v>13.02</v>
      </c>
      <c r="AM4" s="27">
        <v>0</v>
      </c>
      <c r="AN4" s="32"/>
      <c r="AO4" s="7">
        <f>IF(SUM(T4:W4)-X4&gt;0,SUM(T4:W4)-X4,"")</f>
        <v>40.130000000000003</v>
      </c>
      <c r="AP4" s="7">
        <f>IF(AA4&gt;0,AA4,"")</f>
        <v>10.9</v>
      </c>
      <c r="AQ4" s="7">
        <f>IF(SUM(Y4:AB4)-AC4&gt;0,SUM(Y4:AB4)-AC4,"")</f>
        <v>48.19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88.32</v>
      </c>
      <c r="AU4" s="7">
        <f>IF(AK4&gt;0,AK4,"")</f>
        <v>10.9</v>
      </c>
      <c r="AV4" s="7">
        <f>IF(SUM(AI4:AL4)-AM4&gt;0,SUM(AI4:AL4)-AM4,"")</f>
        <v>48.620000000000005</v>
      </c>
      <c r="AW4" s="7">
        <f>IF(SUM(AT4,AV4)&gt;0,SUM(AT4,AV4),"")</f>
        <v>136.94</v>
      </c>
      <c r="AX4" s="23">
        <v>17.8</v>
      </c>
      <c r="AY4" s="23">
        <v>9.1</v>
      </c>
      <c r="AZ4" s="23">
        <v>0</v>
      </c>
      <c r="BA4" s="23">
        <v>13.99</v>
      </c>
      <c r="BB4" s="23">
        <v>0</v>
      </c>
      <c r="BC4" s="23">
        <v>15.5</v>
      </c>
      <c r="BD4" s="23">
        <v>9.3000000000000007</v>
      </c>
      <c r="BE4" s="23">
        <v>10.9</v>
      </c>
      <c r="BF4" s="23">
        <v>13.48</v>
      </c>
      <c r="BG4" s="23">
        <v>0</v>
      </c>
      <c r="BH4" s="23"/>
      <c r="BI4" s="23"/>
      <c r="BJ4" s="23"/>
      <c r="BK4" s="23"/>
      <c r="BL4" s="23"/>
      <c r="BM4" s="23">
        <v>15.8</v>
      </c>
      <c r="BN4" s="23">
        <v>9.6</v>
      </c>
      <c r="BO4" s="23">
        <v>10.9</v>
      </c>
      <c r="BP4" s="23">
        <v>13.39</v>
      </c>
      <c r="BQ4" s="23">
        <v>0</v>
      </c>
      <c r="BR4" s="33"/>
      <c r="BS4" s="9">
        <f>IF(SUM(AX4:BA4)-BB4&gt;0,SUM(AX4:BA4)-BB4,"")</f>
        <v>40.89</v>
      </c>
      <c r="BT4" s="9">
        <f>IF(BE4&gt;0,BE4,"")</f>
        <v>10.9</v>
      </c>
      <c r="BU4" s="9">
        <f>IF(SUM(BC4:BF4)-BG4&gt;0,SUM(BC4:BF4)-BG4,"")</f>
        <v>49.180000000000007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90.070000000000007</v>
      </c>
      <c r="BY4" s="9">
        <f>IF(BO4&gt;0,BO4,"")</f>
        <v>10.9</v>
      </c>
      <c r="BZ4" s="9">
        <f>IF(SUM(BM4:BP4)-BQ4&gt;0,SUM(BM4:BP4)-BQ4,"")</f>
        <v>49.69</v>
      </c>
      <c r="CA4" s="9">
        <f>IF(SUM(BX4,BZ4)&gt;0,SUM(BX4,BZ4),"")</f>
        <v>139.76</v>
      </c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 t="str">
        <f>IF(SUM(CB4:CE4)-CF4&gt;0,SUM(CB4:CE4)-CF4,"")</f>
        <v/>
      </c>
      <c r="CX4" s="7" t="str">
        <f>IF(CI4&gt;0,CI4,"")</f>
        <v/>
      </c>
      <c r="CY4" s="7" t="str">
        <f>IF(SUM(CG4:CJ4)-CK4&gt;0,SUM(CG4:CJ4)-CK4,"")</f>
        <v/>
      </c>
      <c r="CZ4" s="7" t="str">
        <f>IF(CN4&gt;0,CN4,"")</f>
        <v/>
      </c>
      <c r="DA4" s="7" t="str">
        <f>IF(SUM(CL4:CO4)-CP4&gt;0,SUM(CL4:CO4)-CP4,"")</f>
        <v/>
      </c>
      <c r="DB4" s="7" t="str">
        <f>IF(CW4="",IF(MAX(CY4,DA4)&gt;0,MAX(CY4,DA4),""),MAX(CY4,DA4)+CW4)</f>
        <v/>
      </c>
      <c r="DC4" s="7" t="str">
        <f>IF(CS4&gt;0,CS4,"")</f>
        <v/>
      </c>
      <c r="DD4" s="7" t="str">
        <f>IF(SUM(CQ4:CT4)-CU4&gt;0,SUM(CQ4:CT4)-CU4,"")</f>
        <v/>
      </c>
      <c r="DE4" s="7" t="str">
        <f>IF(SUM(DB4,DD4)&gt;0,SUM(DB4,DD4),"")</f>
        <v/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8.9</v>
      </c>
      <c r="NO4" s="27">
        <f>IF($CV4="P",CC4,(CC4+AY4)/2)</f>
        <v>4.55</v>
      </c>
      <c r="NP4" s="27">
        <f>IF($CV4="P",CD4,(CD4+AZ4)/2)</f>
        <v>0</v>
      </c>
      <c r="NQ4" s="27">
        <f>IF($CV4="P",CE4,(CE4+BA4)/2)</f>
        <v>6.9950000000000001</v>
      </c>
      <c r="NR4" s="27">
        <f>IF($CV4="P",CF4,(CF4+BB4)/2)</f>
        <v>0</v>
      </c>
      <c r="NS4" s="27">
        <f>IF($CV4="P",CG4,(CG4+BC4)/2)</f>
        <v>7.75</v>
      </c>
      <c r="NT4" s="27">
        <f>IF($CV4="P",CH4,(CH4+BD4)/2)</f>
        <v>4.6500000000000004</v>
      </c>
      <c r="NU4" s="27">
        <f>IF($CV4="P",CI4,(CI4+BE4)/2)</f>
        <v>5.45</v>
      </c>
      <c r="NV4" s="27">
        <f>IF($CV4="P",CJ4,(CJ4+BF4)/2)</f>
        <v>6.74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7.9</v>
      </c>
      <c r="OD4" s="27">
        <f>IF($CV4="P",CR4,(CR4+BN4)/2)</f>
        <v>4.8</v>
      </c>
      <c r="OE4" s="27">
        <f>IF($CV4="P",CS4,(CS4+BO4)/2)</f>
        <v>5.45</v>
      </c>
      <c r="OF4" s="27">
        <f>IF($CV4="P",CT4,(CT4+BP4)/2)</f>
        <v>6.6950000000000003</v>
      </c>
      <c r="OG4" s="27">
        <f>IF($CV4="P",CU4,(CU4+BQ4)/2)</f>
        <v>0</v>
      </c>
      <c r="OH4" s="32" t="s">
        <v>44</v>
      </c>
      <c r="OI4" s="7">
        <f>IF(SUM(NN4:NQ4)-NR4&gt;0,SUM(NN4:NQ4)-NR4,"")</f>
        <v>20.445</v>
      </c>
      <c r="OJ4" s="7">
        <f>IF(NU4&gt;0,NU4,"")</f>
        <v>5.45</v>
      </c>
      <c r="OK4" s="7">
        <f>IF(SUM(NS4:NV4)-NW4&gt;0,SUM(NS4:NV4)-NW4,"")</f>
        <v>24.590000000000003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45.035000000000004</v>
      </c>
      <c r="OO4" s="7">
        <f>IF(OE4&gt;0,OE4,"")</f>
        <v>5.45</v>
      </c>
      <c r="OP4" s="7">
        <f t="shared" ref="OP4" si="0">IF(SUM(OC4:OF4)-OG4&gt;0,SUM(OC4:OF4)-OG4,"")</f>
        <v>24.844999999999999</v>
      </c>
      <c r="OQ4" s="7">
        <f t="shared" ref="OQ4" si="1">IF(SUM(ON4,OP4)&gt;0,SUM(ON4,OP4),"")</f>
        <v>69.88</v>
      </c>
    </row>
    <row r="5" spans="1:407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105</v>
      </c>
      <c r="C5" s="4" t="s">
        <v>3</v>
      </c>
      <c r="D5" s="4">
        <v>2010</v>
      </c>
      <c r="E5" s="10">
        <f>SUM(I5:Q5)</f>
        <v>227.89</v>
      </c>
      <c r="F5" s="3" t="str">
        <f>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P","")</f>
        <v/>
      </c>
      <c r="G5" s="3" t="str">
        <f>IF(OR(AND(AT5&gt;=AW$21,AO5&lt;&gt;"",AN5=""),AND(BX5&gt;=CA$21,BS5&lt;&gt;"",BR5=""),AND(DB5&gt;=DE$21,CW5&lt;&gt;"",CV5=""),AND(EB5&gt;=EE$21,DY5&lt;&gt;""),AND(EX5&gt;=FA$21,EU5&lt;&gt;""),AND(FT5&gt;=FW$21,FQ5&lt;&gt;""),AND(GP5&gt;=GS$21,GM5&lt;&gt;""),AND(HL5&gt;=HO$21,HI5&lt;&gt;""),AND(IH5&gt;=IK$21,IE5&lt;&gt;""),AND(JD5&gt;=JG$21,JA5&lt;&gt;""),AND(JZ5&gt;=KC$21,JW5&lt;&gt;""),AND(KV5&gt;=KY$21,KS5&lt;&gt;""),AND(LR5&gt;=LU$21,LO5&lt;&gt;""),AND(MN5&gt;=MQ$21,MK5&lt;&gt;""),AND(NJ5&gt;=NM$21,NG5&lt;&gt;"")),"P","")</f>
        <v/>
      </c>
      <c r="H5" s="47" t="str">
        <f>IF(OR(AND(AP5&gt;=AW$20,AQ5&gt;=AW$24,AP5&lt;&gt;"",AN5=""),AND(AU5&gt;=AW$20,AV5&gt;=AW$24,AU5&lt;&gt;"",AN5=""),AND(BT5&gt;=CA$20,BU5&gt;=CA$24,BT5&lt;&gt;"",BR5=""),AND(BY5&gt;=CA$20,BZ5&gt;=CA$24,BY5&lt;&gt;"",BR5=""),AND(CX5&gt;=DE$20,CY5&gt;=DE$24,CX5&lt;&gt;"",CV5=""),AND(DC5&gt;=DE$20,DD5&gt;=DE$24,DC5&lt;&gt;"",CV5=""),AND(DY5&gt;=EE$20,EA5&gt;=EE$24,DY5&lt;&gt;""),AND(EC5&gt;=EE$20,ED5&gt;=EE$24,EC5&lt;&gt;""),AND(EU5&gt;=FA$20,EW5&gt;=FA$24,EU5&lt;&gt;""),AND(EY5&gt;=FA$20,EZ5&gt;=FA$24,EY5&lt;&gt;""),AND(FQ5&gt;=FW$20,FS5&gt;=FW$24,FQ5&lt;&gt;""),AND(FU5&gt;=FW$20,FV5&gt;=FW$24,FU5&lt;&gt;""),AND(GM5&gt;=GS$20,GO5&gt;=GS$24,GM5&lt;&gt;""),AND(GQ5&gt;=GS$20,GR5&gt;=GS$24,GQ5&lt;&gt;""),AND(HI5&gt;=HO$20,HK5&gt;=HO$24,HI5&lt;&gt;""),AND(HM5&gt;=HO$20,HN5&gt;=HO$24,HM5&lt;&gt;""),AND(IE5&gt;=IK$20,IG5&gt;=IK$24,IE5&lt;&gt;""),AND(II5&gt;=IK$20,IJ5&gt;=IK$24,II5&lt;&gt;""),AND(JA5&gt;=JG$20,JC5&gt;=JG$24,JA5&lt;&gt;""),AND(JE5&gt;=JG$20,JF5&gt;=JG$24,JE5&lt;&gt;""),AND(JW5&gt;=KC$20,JY5&gt;=KC$24,JW5&lt;&gt;""),AND(KA5&gt;=KC$20,KB5&gt;=KC$24,KA5&lt;&gt;""),AND(KS5&gt;=KY$20,KU5&gt;=KY$24,KS5&lt;&gt;""),AND(KW5&gt;=KY$20,KX5&gt;=KY$24,KW5&lt;&gt;""),AND(LO5&gt;=LU$20,LQ5&gt;=LU$24,LO5&lt;&gt;""),AND(LS5&gt;=LU$20,LT5&gt;=LU$24,LS5&lt;&gt;""),AND(MK5&gt;=MQ$20,MM5&gt;=MQ$24,MK5&lt;&gt;""),AND(MO5&gt;=MQ$20,MP5&gt;=MQ$24,MO5&lt;&gt;""),AND(NG5&gt;=NM$20,NI5&gt;=NM$24,NG5&lt;&gt;""),AND(NK5&gt;=NM$20,NL5&gt;=NM$24,NK5&lt;&gt;"")),"Merit",IF(OR(AND(AP5&gt;=AW$19,AT5&gt;=AW$23,AO5&lt;&gt;"",AN5=""),AND(BT5&gt;=CA$19,BX5&gt;=CA$23,BS5&lt;&gt;"",BR5=""),AND(CX5&gt;=DE$19,DB5&gt;=DE$23,CW5&lt;&gt;"",CV5=""),AND(DY5&gt;=EE$19,EB5&gt;=EE$23,DY5&lt;&gt;""),AND(EU5&gt;=FA$19,EX5&gt;=FA$23,EU5&lt;&gt;""),AND(FQ5&gt;=FW$19,FT5&gt;=FW$23,FQ5&lt;&gt;""),AND(GM5&gt;=GS$19,GP5&gt;=GS$23,GM5&lt;&gt;""),AND(HI5&gt;=HO$19,HL5&gt;=HO$23,HI5&lt;&gt;""),AND(IE5&gt;=IK$19,IH5&gt;=IK$23,IE5&lt;&gt;""),AND(JA5&gt;=JG$19,JD5&gt;=JG$23,JA5&lt;&gt;""),AND(JW5&gt;=KC$19,JZ5&gt;=KC$23,JW5&lt;&gt;""),AND(KS5&gt;=KY$19,KV5&gt;=KY$23,KS5&lt;&gt;""),AND(LO5&gt;=LU$19,LR5&gt;=LU$23,LO5&lt;&gt;""),AND(MK5&gt;=MQ$19,MN5&gt;=MQ$23,MK5&lt;&gt;""),AND(NG5&gt;=NM$19,NJ5&gt;=NM$23,NG5&lt;&gt;"")),"Excellence",IF(OR(AND(AP5&gt;=AW$17,AT5&gt;=AW$21,AO5&lt;&gt;"",AN5=""),AND(BT5&gt;=CA$17,BX5&gt;=CA$21,BS5&lt;&gt;"",BR5=""),AND(CX5&gt;=DE$17,DB5&gt;=DE$21,CW5&lt;&gt;"",CV5=""),AND(DY5&gt;=EE$17,EB5&gt;=EE$21,DY5&lt;&gt;""),AND(EU5&gt;=FA$17,EX5&gt;=FA$21,EU5&lt;&gt;""),AND(FQ5&gt;=FW$17,FT5&gt;=FW$21,FQ5&lt;&gt;""),AND(GM5&gt;=GS$17,GP5&gt;=GS$21,GM5&lt;&gt;""),AND(HI5&gt;=HO$17,HL5&gt;=HO$21,HI5&lt;&gt;""),AND(IE5&gt;=IK$17,IH5&gt;=IK$21,IE5&lt;&gt;""),AND(JA5&gt;=JG$17,JD5&gt;=JG$21,JA5&lt;&gt;""),AND(JW5&gt;=KC$17,JZ5&gt;=KC$21,JW5&lt;&gt;""),AND(KS5&gt;=KY$17,KV5&gt;=KY$21,KS5&lt;&gt;""),AND(LO5&gt;=LU$17,LR5&gt;=LU$21,LO5&lt;&gt;""),AND(MK5&gt;=MQ$17,MN5&gt;=MQ$21,MK5&lt;&gt;""),AND(NG5&gt;=NM$17,NJ5&gt;=NM$21,NG5&lt;&gt;"")),"National Team",IF(G5="P","No DD",""))))</f>
        <v/>
      </c>
      <c r="I5" s="9">
        <f>IF(MAX(AT5,BX5,DB5)&gt;0,MAX(AT5,BX5,DB5),0)</f>
        <v>91.210000000000008</v>
      </c>
      <c r="J5" s="9" t="str">
        <f>IF(I5=0,"",IF(I5=DB5,$CB$1,IF(I5=BX5,$AX$1,IF(I5=AT5,$T$1,""))))</f>
        <v>2025 3rd Domestic Trial</v>
      </c>
      <c r="K5" s="9">
        <f>IF($I5=$AT5,MAX(BS5,CW5),IF($I5=$BX5,MAX(AO5,CW5),IF($I5=$DB5,MAX(AO5,BS5),MAX(AO5,BS5,CW5))))</f>
        <v>41.48</v>
      </c>
      <c r="L5" s="9" t="str">
        <f>IF(K5=0,"",IF(AND(K5=CW5,$J5&lt;&gt;$CB$1),$CB$1,IF(AND(K5=BS5,$J5&lt;&gt;$AX$1),$AX$1,IF(AND(K5=AO5,$J5&lt;&gt;$T$1),$T$1,""))))</f>
        <v>2025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47.69</v>
      </c>
      <c r="N5" s="9" t="str">
        <f>IF(M5=0,"",IF(AND(OR(M5=DA5,M5=CY5),$J5&lt;&gt;$CB$1),$CB$1,IF(AND(OR(M5=BW5,M5=BU5),$J5&lt;&gt;$AX$1),$AX$1,IF(AND(OR(M5=AS5,M5=AQ5),$J5&lt;&gt;$T$1),$T$1,""))))</f>
        <v>2025 Nationals</v>
      </c>
      <c r="O5" s="9">
        <f>MAX(AV5,BZ5,DD5)</f>
        <v>47.51</v>
      </c>
      <c r="P5" s="9" t="str">
        <f>IF(O5=0,"",IF(O5=DD5,$CB$1,IF(O5=BZ5,$AX$1,IF(O5=AV5,$T$1,""))))</f>
        <v>2025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32"/>
      <c r="AO5" s="7" t="str">
        <f>IF(SUM(T5:W5)-X5&gt;0,SUM(T5:W5)-X5,"")</f>
        <v/>
      </c>
      <c r="AP5" s="7" t="str">
        <f>IF(AA5&gt;0,AA5,"")</f>
        <v/>
      </c>
      <c r="AQ5" s="7" t="str">
        <f>IF(SUM(Y5:AB5)-AC5&gt;0,SUM(Y5:AB5)-AC5,"")</f>
        <v/>
      </c>
      <c r="AR5" s="7" t="str">
        <f>IF(AF5&gt;0,AF5,"")</f>
        <v/>
      </c>
      <c r="AS5" s="7" t="str">
        <f>IF(SUM(AD5:AG5)-AH5&gt;0,SUM(AD5:AG5)-AH5,"")</f>
        <v/>
      </c>
      <c r="AT5" s="7" t="str">
        <f>IF(AO5="",IF(MAX(AQ5,AS5)&gt;0,MAX(AQ5,AS5),""),MAX(AQ5,AS5)+AO5)</f>
        <v/>
      </c>
      <c r="AU5" s="7" t="str">
        <f>IF(AK5&gt;0,AK5,"")</f>
        <v/>
      </c>
      <c r="AV5" s="7" t="str">
        <f>IF(SUM(AI5:AL5)-AM5&gt;0,SUM(AI5:AL5)-AM5,"")</f>
        <v/>
      </c>
      <c r="AW5" s="7" t="str">
        <f>IF(SUM(AT5,AV5)&gt;0,SUM(AT5,AV5),"")</f>
        <v/>
      </c>
      <c r="AX5" s="23">
        <v>17.399999999999999</v>
      </c>
      <c r="AY5" s="23">
        <v>9.4</v>
      </c>
      <c r="AZ5" s="23">
        <v>0</v>
      </c>
      <c r="BA5" s="23">
        <v>14.68</v>
      </c>
      <c r="BB5" s="23">
        <v>0</v>
      </c>
      <c r="BC5" s="23">
        <v>14.4</v>
      </c>
      <c r="BD5" s="23">
        <v>8.9</v>
      </c>
      <c r="BE5" s="23">
        <v>10.1</v>
      </c>
      <c r="BF5" s="23">
        <v>14.29</v>
      </c>
      <c r="BG5" s="23">
        <v>0</v>
      </c>
      <c r="BH5" s="23"/>
      <c r="BI5" s="23"/>
      <c r="BJ5" s="23"/>
      <c r="BK5" s="23"/>
      <c r="BL5" s="23"/>
      <c r="BM5" s="23">
        <v>13.7</v>
      </c>
      <c r="BN5" s="23">
        <v>8.9</v>
      </c>
      <c r="BO5" s="23">
        <v>10.1</v>
      </c>
      <c r="BP5" s="23">
        <v>13.69</v>
      </c>
      <c r="BQ5" s="23">
        <v>0.2</v>
      </c>
      <c r="BR5" s="33"/>
      <c r="BS5" s="9">
        <f>IF(SUM(AX5:BA5)-BB5&gt;0,SUM(AX5:BA5)-BB5,"")</f>
        <v>41.48</v>
      </c>
      <c r="BT5" s="9">
        <f>IF(BE5&gt;0,BE5,"")</f>
        <v>10.1</v>
      </c>
      <c r="BU5" s="9">
        <f>IF(SUM(BC5:BF5)-BG5&gt;0,SUM(BC5:BF5)-BG5,"")</f>
        <v>47.69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89.169999999999987</v>
      </c>
      <c r="BY5" s="9">
        <f>IF(BO5&gt;0,BO5,"")</f>
        <v>10.1</v>
      </c>
      <c r="BZ5" s="9">
        <f>IF(SUM(BM5:BP5)-BQ5&gt;0,SUM(BM5:BP5)-BQ5,"")</f>
        <v>46.19</v>
      </c>
      <c r="CA5" s="9">
        <f>IF(SUM(BX5,BZ5)&gt;0,SUM(BX5,BZ5),"")</f>
        <v>135.35999999999999</v>
      </c>
      <c r="CB5" s="27">
        <v>17.2</v>
      </c>
      <c r="CC5" s="27">
        <v>9.3000000000000007</v>
      </c>
      <c r="CD5" s="27">
        <v>0</v>
      </c>
      <c r="CE5" s="27">
        <v>15.36</v>
      </c>
      <c r="CF5" s="27">
        <v>0</v>
      </c>
      <c r="CG5" s="27">
        <v>14.8</v>
      </c>
      <c r="CH5" s="27">
        <v>9.6999999999999993</v>
      </c>
      <c r="CI5" s="27">
        <v>10.1</v>
      </c>
      <c r="CJ5" s="27">
        <v>14.75</v>
      </c>
      <c r="CK5" s="27">
        <v>0</v>
      </c>
      <c r="CL5" s="27"/>
      <c r="CM5" s="27"/>
      <c r="CN5" s="27"/>
      <c r="CO5" s="27"/>
      <c r="CP5" s="27"/>
      <c r="CQ5" s="27">
        <v>14.5</v>
      </c>
      <c r="CR5" s="27">
        <v>8.6</v>
      </c>
      <c r="CS5" s="27">
        <v>10.1</v>
      </c>
      <c r="CT5" s="27">
        <v>14.51</v>
      </c>
      <c r="CU5" s="27">
        <v>0.2</v>
      </c>
      <c r="CV5" s="32"/>
      <c r="CW5" s="7">
        <f>IF(SUM(CB5:CE5)-CF5&gt;0,SUM(CB5:CE5)-CF5,"")</f>
        <v>41.86</v>
      </c>
      <c r="CX5" s="7">
        <f>IF(CI5&gt;0,CI5,"")</f>
        <v>10.1</v>
      </c>
      <c r="CY5" s="7">
        <f>IF(SUM(CG5:CJ5)-CK5&gt;0,SUM(CG5:CJ5)-CK5,"")</f>
        <v>49.35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91.210000000000008</v>
      </c>
      <c r="DC5" s="7">
        <f>IF(CS5&gt;0,CS5,"")</f>
        <v>10.1</v>
      </c>
      <c r="DD5" s="7">
        <f>IF(SUM(CQ5:CT5)-CU5&gt;0,SUM(CQ5:CT5)-CU5,"")</f>
        <v>47.51</v>
      </c>
      <c r="DE5" s="7">
        <f>IF(SUM(DB5,DD5)&gt;0,SUM(DB5,DD5),"")</f>
        <v>138.72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17.299999999999997</v>
      </c>
      <c r="NO5" s="27">
        <f>IF($CV5="P",CC5,(CC5+AY5)/2)</f>
        <v>9.3500000000000014</v>
      </c>
      <c r="NP5" s="27">
        <f>IF($CV5="P",CD5,(CD5+AZ5)/2)</f>
        <v>0</v>
      </c>
      <c r="NQ5" s="27">
        <f>IF($CV5="P",CE5,(CE5+BA5)/2)</f>
        <v>15.02</v>
      </c>
      <c r="NR5" s="27">
        <f>IF($CV5="P",CF5,(CF5+BB5)/2)</f>
        <v>0</v>
      </c>
      <c r="NS5" s="27">
        <f>IF($CV5="P",CG5,(CG5+BC5)/2)</f>
        <v>14.600000000000001</v>
      </c>
      <c r="NT5" s="27">
        <f>IF($CV5="P",CH5,(CH5+BD5)/2)</f>
        <v>9.3000000000000007</v>
      </c>
      <c r="NU5" s="27">
        <f>IF($CV5="P",CI5,(CI5+BE5)/2)</f>
        <v>10.1</v>
      </c>
      <c r="NV5" s="27">
        <f>IF($CV5="P",CJ5,(CJ5+BF5)/2)</f>
        <v>14.52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14.1</v>
      </c>
      <c r="OD5" s="27">
        <f>IF($CV5="P",CR5,(CR5+BN5)/2)</f>
        <v>8.75</v>
      </c>
      <c r="OE5" s="27">
        <f>IF($CV5="P",CS5,(CS5+BO5)/2)</f>
        <v>10.1</v>
      </c>
      <c r="OF5" s="27">
        <f>IF($CV5="P",CT5,(CT5+BP5)/2)</f>
        <v>14.1</v>
      </c>
      <c r="OG5" s="27">
        <f>IF($CV5="P",CU5,(CU5+BQ5)/2)</f>
        <v>0.2</v>
      </c>
      <c r="OH5" s="32" t="s">
        <v>44</v>
      </c>
      <c r="OI5" s="7">
        <f>IF(SUM(NN5:NQ5)-NR5&gt;0,SUM(NN5:NQ5)-NR5,"")</f>
        <v>41.67</v>
      </c>
      <c r="OJ5" s="7">
        <f>IF(NU5&gt;0,NU5,"")</f>
        <v>10.1</v>
      </c>
      <c r="OK5" s="7">
        <f>IF(SUM(NS5:NV5)-NW5&gt;0,SUM(NS5:NV5)-NW5,"")</f>
        <v>48.519999999999996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90.19</v>
      </c>
      <c r="OO5" s="7">
        <f>IF(OE5&gt;0,OE5,"")</f>
        <v>10.1</v>
      </c>
      <c r="OP5" s="7">
        <f t="shared" ref="OP5:OP7" si="2">IF(SUM(OC5:OF5)-OG5&gt;0,SUM(OC5:OF5)-OG5,"")</f>
        <v>46.85</v>
      </c>
      <c r="OQ5" s="7">
        <f t="shared" ref="OQ5:OQ7" si="3">IF(SUM(ON5,OP5)&gt;0,SUM(ON5,OP5),"")</f>
        <v>137.04</v>
      </c>
    </row>
    <row r="6" spans="1:407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86</v>
      </c>
      <c r="C6" s="4" t="s">
        <v>3</v>
      </c>
      <c r="D6" s="4">
        <v>2010</v>
      </c>
      <c r="E6" s="10">
        <f>SUM(I6:Q6)</f>
        <v>225.67000000000002</v>
      </c>
      <c r="F6" s="3" t="str">
        <f>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P","")</f>
        <v/>
      </c>
      <c r="G6" s="3" t="str">
        <f>IF(OR(AND(AT6&gt;=AW$21,AO6&lt;&gt;"",AN6=""),AND(BX6&gt;=CA$21,BS6&lt;&gt;"",BR6=""),AND(DB6&gt;=DE$21,CW6&lt;&gt;"",CV6=""),AND(EB6&gt;=EE$21,DY6&lt;&gt;""),AND(EX6&gt;=FA$21,EU6&lt;&gt;""),AND(FT6&gt;=FW$21,FQ6&lt;&gt;""),AND(GP6&gt;=GS$21,GM6&lt;&gt;""),AND(HL6&gt;=HO$21,HI6&lt;&gt;""),AND(IH6&gt;=IK$21,IE6&lt;&gt;""),AND(JD6&gt;=JG$21,JA6&lt;&gt;""),AND(JZ6&gt;=KC$21,JW6&lt;&gt;""),AND(KV6&gt;=KY$21,KS6&lt;&gt;""),AND(LR6&gt;=LU$21,LO6&lt;&gt;""),AND(MN6&gt;=MQ$21,MK6&lt;&gt;""),AND(NJ6&gt;=NM$21,NG6&lt;&gt;"")),"P","")</f>
        <v/>
      </c>
      <c r="H6" s="47" t="str">
        <f>IF(OR(AND(AP6&gt;=AW$20,AQ6&gt;=AW$24,AP6&lt;&gt;"",AN6=""),AND(AU6&gt;=AW$20,AV6&gt;=AW$24,AU6&lt;&gt;"",AN6=""),AND(BT6&gt;=CA$20,BU6&gt;=CA$24,BT6&lt;&gt;"",BR6=""),AND(BY6&gt;=CA$20,BZ6&gt;=CA$24,BY6&lt;&gt;"",BR6=""),AND(CX6&gt;=DE$20,CY6&gt;=DE$24,CX6&lt;&gt;"",CV6=""),AND(DC6&gt;=DE$20,DD6&gt;=DE$24,DC6&lt;&gt;"",CV6=""),AND(DY6&gt;=EE$20,EA6&gt;=EE$24,DY6&lt;&gt;""),AND(EC6&gt;=EE$20,ED6&gt;=EE$24,EC6&lt;&gt;""),AND(EU6&gt;=FA$20,EW6&gt;=FA$24,EU6&lt;&gt;""),AND(EY6&gt;=FA$20,EZ6&gt;=FA$24,EY6&lt;&gt;""),AND(FQ6&gt;=FW$20,FS6&gt;=FW$24,FQ6&lt;&gt;""),AND(FU6&gt;=FW$20,FV6&gt;=FW$24,FU6&lt;&gt;""),AND(GM6&gt;=GS$20,GO6&gt;=GS$24,GM6&lt;&gt;""),AND(GQ6&gt;=GS$20,GR6&gt;=GS$24,GQ6&lt;&gt;""),AND(HI6&gt;=HO$20,HK6&gt;=HO$24,HI6&lt;&gt;""),AND(HM6&gt;=HO$20,HN6&gt;=HO$24,HM6&lt;&gt;""),AND(IE6&gt;=IK$20,IG6&gt;=IK$24,IE6&lt;&gt;""),AND(II6&gt;=IK$20,IJ6&gt;=IK$24,II6&lt;&gt;""),AND(JA6&gt;=JG$20,JC6&gt;=JG$24,JA6&lt;&gt;""),AND(JE6&gt;=JG$20,JF6&gt;=JG$24,JE6&lt;&gt;""),AND(JW6&gt;=KC$20,JY6&gt;=KC$24,JW6&lt;&gt;""),AND(KA6&gt;=KC$20,KB6&gt;=KC$24,KA6&lt;&gt;""),AND(KS6&gt;=KY$20,KU6&gt;=KY$24,KS6&lt;&gt;""),AND(KW6&gt;=KY$20,KX6&gt;=KY$24,KW6&lt;&gt;""),AND(LO6&gt;=LU$20,LQ6&gt;=LU$24,LO6&lt;&gt;""),AND(LS6&gt;=LU$20,LT6&gt;=LU$24,LS6&lt;&gt;""),AND(MK6&gt;=MQ$20,MM6&gt;=MQ$24,MK6&lt;&gt;""),AND(MO6&gt;=MQ$20,MP6&gt;=MQ$24,MO6&lt;&gt;""),AND(NG6&gt;=NM$20,NI6&gt;=NM$24,NG6&lt;&gt;""),AND(NK6&gt;=NM$20,NL6&gt;=NM$24,NK6&lt;&gt;"")),"Merit",IF(OR(AND(AP6&gt;=AW$19,AT6&gt;=AW$23,AO6&lt;&gt;"",AN6=""),AND(BT6&gt;=CA$19,BX6&gt;=CA$23,BS6&lt;&gt;"",BR6=""),AND(CX6&gt;=DE$19,DB6&gt;=DE$23,CW6&lt;&gt;"",CV6=""),AND(DY6&gt;=EE$19,EB6&gt;=EE$23,DY6&lt;&gt;""),AND(EU6&gt;=FA$19,EX6&gt;=FA$23,EU6&lt;&gt;""),AND(FQ6&gt;=FW$19,FT6&gt;=FW$23,FQ6&lt;&gt;""),AND(GM6&gt;=GS$19,GP6&gt;=GS$23,GM6&lt;&gt;""),AND(HI6&gt;=HO$19,HL6&gt;=HO$23,HI6&lt;&gt;""),AND(IE6&gt;=IK$19,IH6&gt;=IK$23,IE6&lt;&gt;""),AND(JA6&gt;=JG$19,JD6&gt;=JG$23,JA6&lt;&gt;""),AND(JW6&gt;=KC$19,JZ6&gt;=KC$23,JW6&lt;&gt;""),AND(KS6&gt;=KY$19,KV6&gt;=KY$23,KS6&lt;&gt;""),AND(LO6&gt;=LU$19,LR6&gt;=LU$23,LO6&lt;&gt;""),AND(MK6&gt;=MQ$19,MN6&gt;=MQ$23,MK6&lt;&gt;""),AND(NG6&gt;=NM$19,NJ6&gt;=NM$23,NG6&lt;&gt;"")),"Excellence",IF(OR(AND(AP6&gt;=AW$17,AT6&gt;=AW$21,AO6&lt;&gt;"",AN6=""),AND(BT6&gt;=CA$17,BX6&gt;=CA$21,BS6&lt;&gt;"",BR6=""),AND(CX6&gt;=DE$17,DB6&gt;=DE$21,CW6&lt;&gt;"",CV6=""),AND(DY6&gt;=EE$17,EB6&gt;=EE$21,DY6&lt;&gt;""),AND(EU6&gt;=FA$17,EX6&gt;=FA$21,EU6&lt;&gt;""),AND(FQ6&gt;=FW$17,FT6&gt;=FW$21,FQ6&lt;&gt;""),AND(GM6&gt;=GS$17,GP6&gt;=GS$21,GM6&lt;&gt;""),AND(HI6&gt;=HO$17,HL6&gt;=HO$21,HI6&lt;&gt;""),AND(IE6&gt;=IK$17,IH6&gt;=IK$21,IE6&lt;&gt;""),AND(JA6&gt;=JG$17,JD6&gt;=JG$21,JA6&lt;&gt;""),AND(JW6&gt;=KC$17,JZ6&gt;=KC$21,JW6&lt;&gt;""),AND(KS6&gt;=KY$17,KV6&gt;=KY$21,KS6&lt;&gt;""),AND(LO6&gt;=LU$17,LR6&gt;=LU$21,LO6&lt;&gt;""),AND(MK6&gt;=MQ$17,MN6&gt;=MQ$21,MK6&lt;&gt;""),AND(NG6&gt;=NM$17,NJ6&gt;=NM$21,NG6&lt;&gt;"")),"National Team",IF(G6="P","No DD",""))))</f>
        <v/>
      </c>
      <c r="I6" s="9">
        <f>IF(MAX(AT6,BX6,DB6)&gt;0,MAX(AT6,BX6,DB6),0)</f>
        <v>87.75</v>
      </c>
      <c r="J6" s="9" t="str">
        <f>IF(I6=0,"",IF(I6=DB6,$CB$1,IF(I6=BX6,$AX$1,IF(I6=AT6,$T$1,""))))</f>
        <v>2025 3rd Domestic Trial</v>
      </c>
      <c r="K6" s="9">
        <f>IF($I6=$AT6,MAX(BS6,CW6),IF($I6=$BX6,MAX(AO6,CW6),IF($I6=$DB6,MAX(AO6,BS6),MAX(AO6,BS6,CW6))))</f>
        <v>39.83</v>
      </c>
      <c r="L6" s="9" t="str">
        <f>IF(K6=0,"",IF(AND(K6=CW6,$J6&lt;&gt;$CB$1),$CB$1,IF(AND(K6=BS6,$J6&lt;&gt;$AX$1),$AX$1,IF(AND(K6=AO6,$J6&lt;&gt;$T$1),$T$1,""))))</f>
        <v>2025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47.730000000000004</v>
      </c>
      <c r="N6" s="9" t="str">
        <f>IF(M6=0,"",IF(AND(OR(M6=DA6,M6=CY6),$J6&lt;&gt;$CB$1),$CB$1,IF(AND(OR(M6=BW6,M6=BU6),$J6&lt;&gt;$AX$1),$AX$1,IF(AND(OR(M6=AS6,M6=AQ6),$J6&lt;&gt;$T$1),$T$1,""))))</f>
        <v>2025 Nationals</v>
      </c>
      <c r="O6" s="9">
        <f>MAX(AV6,BZ6,DD6)</f>
        <v>50.36</v>
      </c>
      <c r="P6" s="9" t="str">
        <f>IF(O6=0,"",IF(O6=DD6,$CB$1,IF(O6=BZ6,$AX$1,IF(O6=AV6,$T$1,""))))</f>
        <v>2025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15.3</v>
      </c>
      <c r="U6" s="27">
        <v>9.5</v>
      </c>
      <c r="V6" s="27">
        <v>0</v>
      </c>
      <c r="W6" s="27">
        <v>14.54</v>
      </c>
      <c r="X6" s="27">
        <v>0</v>
      </c>
      <c r="Y6" s="27">
        <v>13.1</v>
      </c>
      <c r="Z6" s="27">
        <v>9.3000000000000007</v>
      </c>
      <c r="AA6" s="27">
        <v>10.1</v>
      </c>
      <c r="AB6" s="27">
        <v>14.32</v>
      </c>
      <c r="AC6" s="27">
        <v>0</v>
      </c>
      <c r="AD6" s="27"/>
      <c r="AE6" s="27"/>
      <c r="AF6" s="27"/>
      <c r="AG6" s="27"/>
      <c r="AH6" s="27"/>
      <c r="AI6" s="27">
        <v>11.3</v>
      </c>
      <c r="AJ6" s="27">
        <v>8.1</v>
      </c>
      <c r="AK6" s="27">
        <v>8.8000000000000007</v>
      </c>
      <c r="AL6" s="27">
        <v>12.91</v>
      </c>
      <c r="AM6" s="27">
        <v>0</v>
      </c>
      <c r="AN6" s="32"/>
      <c r="AO6" s="7">
        <f>IF(SUM(T6:W6)-X6&gt;0,SUM(T6:W6)-X6,"")</f>
        <v>39.340000000000003</v>
      </c>
      <c r="AP6" s="7">
        <f>IF(AA6&gt;0,AA6,"")</f>
        <v>10.1</v>
      </c>
      <c r="AQ6" s="7">
        <f>IF(SUM(Y6:AB6)-AC6&gt;0,SUM(Y6:AB6)-AC6,"")</f>
        <v>46.82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86.16</v>
      </c>
      <c r="AU6" s="7">
        <f>IF(AK6&gt;0,AK6,"")</f>
        <v>8.8000000000000007</v>
      </c>
      <c r="AV6" s="7">
        <f>IF(SUM(AI6:AL6)-AM6&gt;0,SUM(AI6:AL6)-AM6,"")</f>
        <v>41.11</v>
      </c>
      <c r="AW6" s="7">
        <f>IF(SUM(AT6,AV6)&gt;0,SUM(AT6,AV6),"")</f>
        <v>127.27</v>
      </c>
      <c r="AX6" s="23">
        <v>16.100000000000001</v>
      </c>
      <c r="AY6" s="23">
        <v>9.3000000000000007</v>
      </c>
      <c r="AZ6" s="23">
        <v>0</v>
      </c>
      <c r="BA6" s="23">
        <v>14.43</v>
      </c>
      <c r="BB6" s="23">
        <v>0</v>
      </c>
      <c r="BC6" s="23">
        <v>12.9</v>
      </c>
      <c r="BD6" s="23">
        <v>9.1999999999999993</v>
      </c>
      <c r="BE6" s="23">
        <v>11.6</v>
      </c>
      <c r="BF6" s="23">
        <v>14.03</v>
      </c>
      <c r="BG6" s="23">
        <v>0</v>
      </c>
      <c r="BH6" s="23"/>
      <c r="BI6" s="23"/>
      <c r="BJ6" s="23"/>
      <c r="BK6" s="23"/>
      <c r="BL6" s="23"/>
      <c r="BM6" s="23">
        <v>15.2</v>
      </c>
      <c r="BN6" s="23">
        <v>9.1</v>
      </c>
      <c r="BO6" s="23">
        <v>11.6</v>
      </c>
      <c r="BP6" s="23">
        <v>14.46</v>
      </c>
      <c r="BQ6" s="23">
        <v>0</v>
      </c>
      <c r="BR6" s="33"/>
      <c r="BS6" s="9">
        <f>IF(SUM(AX6:BA6)-BB6&gt;0,SUM(AX6:BA6)-BB6,"")</f>
        <v>39.83</v>
      </c>
      <c r="BT6" s="9">
        <f>IF(BE6&gt;0,BE6,"")</f>
        <v>11.6</v>
      </c>
      <c r="BU6" s="9">
        <f>IF(SUM(BC6:BF6)-BG6&gt;0,SUM(BC6:BF6)-BG6,"")</f>
        <v>47.730000000000004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87.56</v>
      </c>
      <c r="BY6" s="9">
        <f>IF(BO6&gt;0,BO6,"")</f>
        <v>11.6</v>
      </c>
      <c r="BZ6" s="9">
        <f>IF(SUM(BM6:BP6)-BQ6&gt;0,SUM(BM6:BP6)-BQ6,"")</f>
        <v>50.36</v>
      </c>
      <c r="CA6" s="9">
        <f>IF(SUM(BX6,BZ6)&gt;0,SUM(BX6,BZ6),"")</f>
        <v>137.92000000000002</v>
      </c>
      <c r="CB6" s="27">
        <v>16.2</v>
      </c>
      <c r="CC6" s="27">
        <v>9.3000000000000007</v>
      </c>
      <c r="CD6" s="27">
        <v>0</v>
      </c>
      <c r="CE6" s="27">
        <v>14.41</v>
      </c>
      <c r="CF6" s="27">
        <v>0</v>
      </c>
      <c r="CG6" s="27">
        <v>13.7</v>
      </c>
      <c r="CH6" s="27">
        <v>8.8000000000000007</v>
      </c>
      <c r="CI6" s="27">
        <v>10.9</v>
      </c>
      <c r="CJ6" s="27">
        <v>14.44</v>
      </c>
      <c r="CK6" s="27">
        <v>0</v>
      </c>
      <c r="CL6" s="27"/>
      <c r="CM6" s="27"/>
      <c r="CN6" s="27"/>
      <c r="CO6" s="27"/>
      <c r="CP6" s="27"/>
      <c r="CQ6" s="27">
        <v>15</v>
      </c>
      <c r="CR6" s="27">
        <v>9.1999999999999993</v>
      </c>
      <c r="CS6" s="27">
        <v>10.9</v>
      </c>
      <c r="CT6" s="27">
        <v>14.45</v>
      </c>
      <c r="CU6" s="27">
        <v>0</v>
      </c>
      <c r="CV6" s="32"/>
      <c r="CW6" s="7">
        <f>IF(SUM(CB6:CE6)-CF6&gt;0,SUM(CB6:CE6)-CF6,"")</f>
        <v>39.909999999999997</v>
      </c>
      <c r="CX6" s="7">
        <f>IF(CI6&gt;0,CI6,"")</f>
        <v>10.9</v>
      </c>
      <c r="CY6" s="7">
        <f>IF(SUM(CG6:CJ6)-CK6&gt;0,SUM(CG6:CJ6)-CK6,"")</f>
        <v>47.839999999999996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87.75</v>
      </c>
      <c r="DC6" s="7">
        <f>IF(CS6&gt;0,CS6,"")</f>
        <v>10.9</v>
      </c>
      <c r="DD6" s="7">
        <f>IF(SUM(CQ6:CT6)-CU6&gt;0,SUM(CQ6:CT6)-CU6,"")</f>
        <v>49.55</v>
      </c>
      <c r="DE6" s="7">
        <f>IF(SUM(DB6,DD6)&gt;0,SUM(DB6,DD6),"")</f>
        <v>137.30000000000001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16.149999999999999</v>
      </c>
      <c r="NO6" s="27">
        <f>IF($CV6="P",CC6,(CC6+AY6)/2)</f>
        <v>9.3000000000000007</v>
      </c>
      <c r="NP6" s="27">
        <f>IF($CV6="P",CD6,(CD6+AZ6)/2)</f>
        <v>0</v>
      </c>
      <c r="NQ6" s="27">
        <f>IF($CV6="P",CE6,(CE6+BA6)/2)</f>
        <v>14.42</v>
      </c>
      <c r="NR6" s="27">
        <f>IF($CV6="P",CF6,(CF6+BB6)/2)</f>
        <v>0</v>
      </c>
      <c r="NS6" s="27">
        <f>IF($CV6="P",CG6,(CG6+BC6)/2)</f>
        <v>13.3</v>
      </c>
      <c r="NT6" s="27">
        <f>IF($CV6="P",CH6,(CH6+BD6)/2)</f>
        <v>9</v>
      </c>
      <c r="NU6" s="27">
        <f>IF($CV6="P",CI6,(CI6+BE6)/2)</f>
        <v>11.25</v>
      </c>
      <c r="NV6" s="27">
        <f>IF($CV6="P",CJ6,(CJ6+BF6)/2)</f>
        <v>14.234999999999999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15.1</v>
      </c>
      <c r="OD6" s="27">
        <f>IF($CV6="P",CR6,(CR6+BN6)/2)</f>
        <v>9.1499999999999986</v>
      </c>
      <c r="OE6" s="27">
        <f>IF($CV6="P",CS6,(CS6+BO6)/2)</f>
        <v>11.25</v>
      </c>
      <c r="OF6" s="27">
        <f>IF($CV6="P",CT6,(CT6+BP6)/2)</f>
        <v>14.455</v>
      </c>
      <c r="OG6" s="27">
        <f>IF($CV6="P",CU6,(CU6+BQ6)/2)</f>
        <v>0</v>
      </c>
      <c r="OH6" s="32" t="s">
        <v>44</v>
      </c>
      <c r="OI6" s="7">
        <f>IF(SUM(NN6:NQ6)-NR6&gt;0,SUM(NN6:NQ6)-NR6,"")</f>
        <v>39.869999999999997</v>
      </c>
      <c r="OJ6" s="7">
        <f>IF(NU6&gt;0,NU6,"")</f>
        <v>11.25</v>
      </c>
      <c r="OK6" s="7">
        <f>IF(SUM(NS6:NV6)-NW6&gt;0,SUM(NS6:NV6)-NW6,"")</f>
        <v>47.784999999999997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87.655000000000001</v>
      </c>
      <c r="OO6" s="7">
        <f>IF(OE6&gt;0,OE6,"")</f>
        <v>11.25</v>
      </c>
      <c r="OP6" s="7">
        <f t="shared" si="2"/>
        <v>49.954999999999998</v>
      </c>
      <c r="OQ6" s="7">
        <f t="shared" si="3"/>
        <v>137.61000000000001</v>
      </c>
    </row>
    <row r="7" spans="1:407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87</v>
      </c>
      <c r="C7" s="4" t="s">
        <v>67</v>
      </c>
      <c r="D7" s="4">
        <v>2009</v>
      </c>
      <c r="E7" s="10">
        <f>SUM(I7:Q7)</f>
        <v>214.68</v>
      </c>
      <c r="F7" s="3" t="str">
        <f>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P","")</f>
        <v/>
      </c>
      <c r="G7" s="3" t="str">
        <f>IF(OR(AND(AT7&gt;=AW$21,AO7&lt;&gt;"",AN7=""),AND(BX7&gt;=CA$21,BS7&lt;&gt;"",BR7=""),AND(DB7&gt;=DE$21,CW7&lt;&gt;"",CV7=""),AND(EB7&gt;=EE$21,DY7&lt;&gt;""),AND(EX7&gt;=FA$21,EU7&lt;&gt;""),AND(FT7&gt;=FW$21,FQ7&lt;&gt;""),AND(GP7&gt;=GS$21,GM7&lt;&gt;""),AND(HL7&gt;=HO$21,HI7&lt;&gt;""),AND(IH7&gt;=IK$21,IE7&lt;&gt;""),AND(JD7&gt;=JG$21,JA7&lt;&gt;""),AND(JZ7&gt;=KC$21,JW7&lt;&gt;""),AND(KV7&gt;=KY$21,KS7&lt;&gt;""),AND(LR7&gt;=LU$21,LO7&lt;&gt;""),AND(MN7&gt;=MQ$21,MK7&lt;&gt;""),AND(NJ7&gt;=NM$21,NG7&lt;&gt;"")),"P","")</f>
        <v/>
      </c>
      <c r="H7" s="47" t="str">
        <f>IF(OR(AND(AP7&gt;=AW$20,AQ7&gt;=AW$24,AP7&lt;&gt;"",AN7=""),AND(AU7&gt;=AW$20,AV7&gt;=AW$24,AU7&lt;&gt;"",AN7=""),AND(BT7&gt;=CA$20,BU7&gt;=CA$24,BT7&lt;&gt;"",BR7=""),AND(BY7&gt;=CA$20,BZ7&gt;=CA$24,BY7&lt;&gt;"",BR7=""),AND(CX7&gt;=DE$20,CY7&gt;=DE$24,CX7&lt;&gt;"",CV7=""),AND(DC7&gt;=DE$20,DD7&gt;=DE$24,DC7&lt;&gt;"",CV7=""),AND(DY7&gt;=EE$20,EA7&gt;=EE$24,DY7&lt;&gt;""),AND(EC7&gt;=EE$20,ED7&gt;=EE$24,EC7&lt;&gt;""),AND(EU7&gt;=FA$20,EW7&gt;=FA$24,EU7&lt;&gt;""),AND(EY7&gt;=FA$20,EZ7&gt;=FA$24,EY7&lt;&gt;""),AND(FQ7&gt;=FW$20,FS7&gt;=FW$24,FQ7&lt;&gt;""),AND(FU7&gt;=FW$20,FV7&gt;=FW$24,FU7&lt;&gt;""),AND(GM7&gt;=GS$20,GO7&gt;=GS$24,GM7&lt;&gt;""),AND(GQ7&gt;=GS$20,GR7&gt;=GS$24,GQ7&lt;&gt;""),AND(HI7&gt;=HO$20,HK7&gt;=HO$24,HI7&lt;&gt;""),AND(HM7&gt;=HO$20,HN7&gt;=HO$24,HM7&lt;&gt;""),AND(IE7&gt;=IK$20,IG7&gt;=IK$24,IE7&lt;&gt;""),AND(II7&gt;=IK$20,IJ7&gt;=IK$24,II7&lt;&gt;""),AND(JA7&gt;=JG$20,JC7&gt;=JG$24,JA7&lt;&gt;""),AND(JE7&gt;=JG$20,JF7&gt;=JG$24,JE7&lt;&gt;""),AND(JW7&gt;=KC$20,JY7&gt;=KC$24,JW7&lt;&gt;""),AND(KA7&gt;=KC$20,KB7&gt;=KC$24,KA7&lt;&gt;""),AND(KS7&gt;=KY$20,KU7&gt;=KY$24,KS7&lt;&gt;""),AND(KW7&gt;=KY$20,KX7&gt;=KY$24,KW7&lt;&gt;""),AND(LO7&gt;=LU$20,LQ7&gt;=LU$24,LO7&lt;&gt;""),AND(LS7&gt;=LU$20,LT7&gt;=LU$24,LS7&lt;&gt;""),AND(MK7&gt;=MQ$20,MM7&gt;=MQ$24,MK7&lt;&gt;""),AND(MO7&gt;=MQ$20,MP7&gt;=MQ$24,MO7&lt;&gt;""),AND(NG7&gt;=NM$20,NI7&gt;=NM$24,NG7&lt;&gt;""),AND(NK7&gt;=NM$20,NL7&gt;=NM$24,NK7&lt;&gt;"")),"Merit",IF(OR(AND(AP7&gt;=AW$19,AT7&gt;=AW$23,AO7&lt;&gt;"",AN7=""),AND(BT7&gt;=CA$19,BX7&gt;=CA$23,BS7&lt;&gt;"",BR7=""),AND(CX7&gt;=DE$19,DB7&gt;=DE$23,CW7&lt;&gt;"",CV7=""),AND(DY7&gt;=EE$19,EB7&gt;=EE$23,DY7&lt;&gt;""),AND(EU7&gt;=FA$19,EX7&gt;=FA$23,EU7&lt;&gt;""),AND(FQ7&gt;=FW$19,FT7&gt;=FW$23,FQ7&lt;&gt;""),AND(GM7&gt;=GS$19,GP7&gt;=GS$23,GM7&lt;&gt;""),AND(HI7&gt;=HO$19,HL7&gt;=HO$23,HI7&lt;&gt;""),AND(IE7&gt;=IK$19,IH7&gt;=IK$23,IE7&lt;&gt;""),AND(JA7&gt;=JG$19,JD7&gt;=JG$23,JA7&lt;&gt;""),AND(JW7&gt;=KC$19,JZ7&gt;=KC$23,JW7&lt;&gt;""),AND(KS7&gt;=KY$19,KV7&gt;=KY$23,KS7&lt;&gt;""),AND(LO7&gt;=LU$19,LR7&gt;=LU$23,LO7&lt;&gt;""),AND(MK7&gt;=MQ$19,MN7&gt;=MQ$23,MK7&lt;&gt;""),AND(NG7&gt;=NM$19,NJ7&gt;=NM$23,NG7&lt;&gt;"")),"Excellence",IF(OR(AND(AP7&gt;=AW$17,AT7&gt;=AW$21,AO7&lt;&gt;"",AN7=""),AND(BT7&gt;=CA$17,BX7&gt;=CA$21,BS7&lt;&gt;"",BR7=""),AND(CX7&gt;=DE$17,DB7&gt;=DE$21,CW7&lt;&gt;"",CV7=""),AND(DY7&gt;=EE$17,EB7&gt;=EE$21,DY7&lt;&gt;""),AND(EU7&gt;=FA$17,EX7&gt;=FA$21,EU7&lt;&gt;""),AND(FQ7&gt;=FW$17,FT7&gt;=FW$21,FQ7&lt;&gt;""),AND(GM7&gt;=GS$17,GP7&gt;=GS$21,GM7&lt;&gt;""),AND(HI7&gt;=HO$17,HL7&gt;=HO$21,HI7&lt;&gt;""),AND(IE7&gt;=IK$17,IH7&gt;=IK$21,IE7&lt;&gt;""),AND(JA7&gt;=JG$17,JD7&gt;=JG$21,JA7&lt;&gt;""),AND(JW7&gt;=KC$17,JZ7&gt;=KC$21,JW7&lt;&gt;""),AND(KS7&gt;=KY$17,KV7&gt;=KY$21,KS7&lt;&gt;""),AND(LO7&gt;=LU$17,LR7&gt;=LU$21,LO7&lt;&gt;""),AND(MK7&gt;=MQ$17,MN7&gt;=MQ$21,MK7&lt;&gt;""),AND(NG7&gt;=NM$17,NJ7&gt;=NM$21,NG7&lt;&gt;"")),"National Team",IF(G7="P","No DD",""))))</f>
        <v/>
      </c>
      <c r="I7" s="9">
        <f>IF(MAX(AT7,BX7,DB7)&gt;0,MAX(AT7,BX7,DB7),0)</f>
        <v>90.22</v>
      </c>
      <c r="J7" s="9" t="str">
        <f>IF(I7=0,"",IF(I7=DB7,$CB$1,IF(I7=BX7,$AX$1,IF(I7=AT7,$T$1,""))))</f>
        <v>2025 Nationals</v>
      </c>
      <c r="K7" s="9">
        <f>IF($I7=$AT7,MAX(BS7,CW7),IF($I7=$BX7,MAX(AO7,CW7),IF($I7=$DB7,MAX(AO7,BS7),MAX(AO7,BS7,CW7))))</f>
        <v>40.97</v>
      </c>
      <c r="L7" s="9" t="str">
        <f>IF(K7=0,"",IF(AND(K7=CW7,$J7&lt;&gt;$CB$1),$CB$1,IF(AND(K7=BS7,$J7&lt;&gt;$AX$1),$AX$1,IF(AND(K7=AO7,$J7&lt;&gt;$T$1),$T$1,""))))</f>
        <v>2025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48.42</v>
      </c>
      <c r="N7" s="9" t="str">
        <f>IF(M7=0,"",IF(AND(OR(M7=DA7,M7=CY7),$J7&lt;&gt;$CB$1),$CB$1,IF(AND(OR(M7=BW7,M7=BU7),$J7&lt;&gt;$AX$1),$AX$1,IF(AND(OR(M7=AS7,M7=AQ7),$J7&lt;&gt;$T$1),$T$1,""))))</f>
        <v>2025 Elite Canada</v>
      </c>
      <c r="O7" s="9">
        <f>MAX(AV7,BZ7,DD7)</f>
        <v>35.07</v>
      </c>
      <c r="P7" s="9" t="str">
        <f>IF(O7=0,"",IF(O7=DD7,$CB$1,IF(O7=BZ7,$AX$1,IF(O7=AV7,$T$1,""))))</f>
        <v>2025 3rd Domestic Trial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15.8</v>
      </c>
      <c r="U7" s="27">
        <v>9.4</v>
      </c>
      <c r="V7" s="27">
        <v>0</v>
      </c>
      <c r="W7" s="27">
        <v>14.76</v>
      </c>
      <c r="X7" s="27">
        <v>0</v>
      </c>
      <c r="Y7" s="27">
        <v>13.4</v>
      </c>
      <c r="Z7" s="27">
        <v>9.1999999999999993</v>
      </c>
      <c r="AA7" s="27">
        <v>11</v>
      </c>
      <c r="AB7" s="27">
        <v>14.82</v>
      </c>
      <c r="AC7" s="27">
        <v>0</v>
      </c>
      <c r="AD7" s="27"/>
      <c r="AE7" s="27"/>
      <c r="AF7" s="27"/>
      <c r="AG7" s="27"/>
      <c r="AH7" s="27"/>
      <c r="AI7" s="27">
        <v>5</v>
      </c>
      <c r="AJ7" s="27">
        <v>3.5</v>
      </c>
      <c r="AK7" s="27">
        <v>4.8</v>
      </c>
      <c r="AL7" s="27">
        <v>6.44</v>
      </c>
      <c r="AM7" s="27">
        <v>0</v>
      </c>
      <c r="AN7" s="32"/>
      <c r="AO7" s="7">
        <f>IF(SUM(T7:W7)-X7&gt;0,SUM(T7:W7)-X7,"")</f>
        <v>39.96</v>
      </c>
      <c r="AP7" s="7">
        <f>IF(AA7&gt;0,AA7,"")</f>
        <v>11</v>
      </c>
      <c r="AQ7" s="7">
        <f>IF(SUM(Y7:AB7)-AC7&gt;0,SUM(Y7:AB7)-AC7,"")</f>
        <v>48.42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88.38</v>
      </c>
      <c r="AU7" s="7">
        <f>IF(AK7&gt;0,AK7,"")</f>
        <v>4.8</v>
      </c>
      <c r="AV7" s="7">
        <f>IF(SUM(AI7:AL7)-AM7&gt;0,SUM(AI7:AL7)-AM7,"")</f>
        <v>19.740000000000002</v>
      </c>
      <c r="AW7" s="7">
        <f>IF(SUM(AT7,AV7)&gt;0,SUM(AT7,AV7),"")</f>
        <v>108.12</v>
      </c>
      <c r="AX7" s="23">
        <v>17</v>
      </c>
      <c r="AY7" s="23">
        <v>9.5</v>
      </c>
      <c r="AZ7" s="23">
        <v>0</v>
      </c>
      <c r="BA7" s="23">
        <v>15.02</v>
      </c>
      <c r="BB7" s="23">
        <v>0</v>
      </c>
      <c r="BC7" s="23">
        <v>13</v>
      </c>
      <c r="BD7" s="23">
        <v>9.1</v>
      </c>
      <c r="BE7" s="23">
        <v>11.2</v>
      </c>
      <c r="BF7" s="23">
        <v>15.4</v>
      </c>
      <c r="BG7" s="23">
        <v>0</v>
      </c>
      <c r="BH7" s="23"/>
      <c r="BI7" s="23"/>
      <c r="BJ7" s="23"/>
      <c r="BK7" s="23"/>
      <c r="BL7" s="23"/>
      <c r="BM7" s="23">
        <v>1.6</v>
      </c>
      <c r="BN7" s="23">
        <v>1</v>
      </c>
      <c r="BO7" s="23">
        <v>1.7</v>
      </c>
      <c r="BP7" s="23">
        <v>1.69</v>
      </c>
      <c r="BQ7" s="23">
        <v>0</v>
      </c>
      <c r="BR7" s="33"/>
      <c r="BS7" s="9">
        <f>IF(SUM(AX7:BA7)-BB7&gt;0,SUM(AX7:BA7)-BB7,"")</f>
        <v>41.519999999999996</v>
      </c>
      <c r="BT7" s="9">
        <f>IF(BE7&gt;0,BE7,"")</f>
        <v>11.2</v>
      </c>
      <c r="BU7" s="9">
        <f>IF(SUM(BC7:BF7)-BG7&gt;0,SUM(BC7:BF7)-BG7,"")</f>
        <v>48.699999999999996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90.22</v>
      </c>
      <c r="BY7" s="9">
        <f>IF(BO7&gt;0,BO7,"")</f>
        <v>1.7</v>
      </c>
      <c r="BZ7" s="9">
        <f>IF(SUM(BM7:BP7)-BQ7&gt;0,SUM(BM7:BP7)-BQ7,"")</f>
        <v>5.99</v>
      </c>
      <c r="CA7" s="9">
        <f>IF(SUM(BX7,BZ7)&gt;0,SUM(BX7,BZ7),"")</f>
        <v>96.21</v>
      </c>
      <c r="CB7" s="27">
        <v>16.8</v>
      </c>
      <c r="CC7" s="27">
        <v>8.9</v>
      </c>
      <c r="CD7" s="27">
        <v>0</v>
      </c>
      <c r="CE7" s="27">
        <v>15.27</v>
      </c>
      <c r="CF7" s="27">
        <v>0</v>
      </c>
      <c r="CG7" s="27">
        <v>12.7</v>
      </c>
      <c r="CH7" s="27">
        <v>8.3000000000000007</v>
      </c>
      <c r="CI7" s="27">
        <v>12.5</v>
      </c>
      <c r="CJ7" s="27">
        <v>14.75</v>
      </c>
      <c r="CK7" s="27">
        <v>0</v>
      </c>
      <c r="CL7" s="27"/>
      <c r="CM7" s="27"/>
      <c r="CN7" s="27"/>
      <c r="CO7" s="27"/>
      <c r="CP7" s="27"/>
      <c r="CQ7" s="27">
        <v>9.3000000000000007</v>
      </c>
      <c r="CR7" s="27">
        <v>5.6</v>
      </c>
      <c r="CS7" s="27">
        <v>8.8000000000000007</v>
      </c>
      <c r="CT7" s="27">
        <v>11.37</v>
      </c>
      <c r="CU7" s="27">
        <v>0</v>
      </c>
      <c r="CV7" s="32"/>
      <c r="CW7" s="7">
        <f>IF(SUM(CB7:CE7)-CF7&gt;0,SUM(CB7:CE7)-CF7,"")</f>
        <v>40.97</v>
      </c>
      <c r="CX7" s="7">
        <f>IF(CI7&gt;0,CI7,"")</f>
        <v>12.5</v>
      </c>
      <c r="CY7" s="7">
        <f>IF(SUM(CG7:CJ7)-CK7&gt;0,SUM(CG7:CJ7)-CK7,"")</f>
        <v>48.25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89.22</v>
      </c>
      <c r="DC7" s="7">
        <f>IF(CS7&gt;0,CS7,"")</f>
        <v>8.8000000000000007</v>
      </c>
      <c r="DD7" s="7">
        <f>IF(SUM(CQ7:CT7)-CU7&gt;0,SUM(CQ7:CT7)-CU7,"")</f>
        <v>35.07</v>
      </c>
      <c r="DE7" s="7">
        <f>IF(SUM(DB7,DD7)&gt;0,SUM(DB7,DD7),"")</f>
        <v>124.28999999999999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16.899999999999999</v>
      </c>
      <c r="NO7" s="27">
        <f>IF($CV7="P",CC7,(CC7+AY7)/2)</f>
        <v>9.1999999999999993</v>
      </c>
      <c r="NP7" s="27">
        <f>IF($CV7="P",CD7,(CD7+AZ7)/2)</f>
        <v>0</v>
      </c>
      <c r="NQ7" s="27">
        <f>IF($CV7="P",CE7,(CE7+BA7)/2)</f>
        <v>15.145</v>
      </c>
      <c r="NR7" s="27">
        <f>IF($CV7="P",CF7,(CF7+BB7)/2)</f>
        <v>0</v>
      </c>
      <c r="NS7" s="27">
        <f>IF($CV7="P",CG7,(CG7+BC7)/2)</f>
        <v>12.85</v>
      </c>
      <c r="NT7" s="27">
        <f>IF($CV7="P",CH7,(CH7+BD7)/2)</f>
        <v>8.6999999999999993</v>
      </c>
      <c r="NU7" s="27">
        <f>IF($CV7="P",CI7,(CI7+BE7)/2)</f>
        <v>11.85</v>
      </c>
      <c r="NV7" s="27">
        <f>IF($CV7="P",CJ7,(CJ7+BF7)/2)</f>
        <v>15.074999999999999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5.45</v>
      </c>
      <c r="OD7" s="27">
        <f>IF($CV7="P",CR7,(CR7+BN7)/2)</f>
        <v>3.3</v>
      </c>
      <c r="OE7" s="27">
        <f>IF($CV7="P",CS7,(CS7+BO7)/2)</f>
        <v>5.25</v>
      </c>
      <c r="OF7" s="27">
        <f>IF($CV7="P",CT7,(CT7+BP7)/2)</f>
        <v>6.5299999999999994</v>
      </c>
      <c r="OG7" s="27">
        <f>IF($CV7="P",CU7,(CU7+BQ7)/2)</f>
        <v>0</v>
      </c>
      <c r="OH7" s="32" t="s">
        <v>44</v>
      </c>
      <c r="OI7" s="7">
        <f>IF(SUM(NN7:NQ7)-NR7&gt;0,SUM(NN7:NQ7)-NR7,"")</f>
        <v>41.244999999999997</v>
      </c>
      <c r="OJ7" s="7">
        <f>IF(NU7&gt;0,NU7,"")</f>
        <v>11.85</v>
      </c>
      <c r="OK7" s="7">
        <f>IF(SUM(NS7:NV7)-NW7&gt;0,SUM(NS7:NV7)-NW7,"")</f>
        <v>48.474999999999994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89.72</v>
      </c>
      <c r="OO7" s="7">
        <f>IF(OE7&gt;0,OE7,"")</f>
        <v>5.25</v>
      </c>
      <c r="OP7" s="7">
        <f t="shared" si="2"/>
        <v>20.53</v>
      </c>
      <c r="OQ7" s="7">
        <f t="shared" si="3"/>
        <v>110.25</v>
      </c>
    </row>
    <row r="8" spans="1:407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106</v>
      </c>
      <c r="C8" s="4" t="s">
        <v>108</v>
      </c>
      <c r="D8" s="4">
        <v>2010</v>
      </c>
      <c r="E8" s="10">
        <f>SUM(I8:Q8)</f>
        <v>210.22</v>
      </c>
      <c r="F8" s="3" t="str">
        <f>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P","")</f>
        <v/>
      </c>
      <c r="G8" s="3" t="str">
        <f>IF(OR(AND(AT8&gt;=AW$21,AO8&lt;&gt;"",AN8=""),AND(BX8&gt;=CA$21,BS8&lt;&gt;"",BR8=""),AND(DB8&gt;=DE$21,CW8&lt;&gt;"",CV8=""),AND(EB8&gt;=EE$21,DY8&lt;&gt;""),AND(EX8&gt;=FA$21,EU8&lt;&gt;""),AND(FT8&gt;=FW$21,FQ8&lt;&gt;""),AND(GP8&gt;=GS$21,GM8&lt;&gt;""),AND(HL8&gt;=HO$21,HI8&lt;&gt;""),AND(IH8&gt;=IK$21,IE8&lt;&gt;""),AND(JD8&gt;=JG$21,JA8&lt;&gt;""),AND(JZ8&gt;=KC$21,JW8&lt;&gt;""),AND(KV8&gt;=KY$21,KS8&lt;&gt;""),AND(LR8&gt;=LU$21,LO8&lt;&gt;""),AND(MN8&gt;=MQ$21,MK8&lt;&gt;""),AND(NJ8&gt;=NM$21,NG8&lt;&gt;"")),"P","")</f>
        <v/>
      </c>
      <c r="H8" s="47" t="str">
        <f>IF(OR(AND(AP8&gt;=AW$20,AQ8&gt;=AW$24,AP8&lt;&gt;"",AN8=""),AND(AU8&gt;=AW$20,AV8&gt;=AW$24,AU8&lt;&gt;"",AN8=""),AND(BT8&gt;=CA$20,BU8&gt;=CA$24,BT8&lt;&gt;"",BR8=""),AND(BY8&gt;=CA$20,BZ8&gt;=CA$24,BY8&lt;&gt;"",BR8=""),AND(CX8&gt;=DE$20,CY8&gt;=DE$24,CX8&lt;&gt;"",CV8=""),AND(DC8&gt;=DE$20,DD8&gt;=DE$24,DC8&lt;&gt;"",CV8=""),AND(DY8&gt;=EE$20,EA8&gt;=EE$24,DY8&lt;&gt;""),AND(EC8&gt;=EE$20,ED8&gt;=EE$24,EC8&lt;&gt;""),AND(EU8&gt;=FA$20,EW8&gt;=FA$24,EU8&lt;&gt;""),AND(EY8&gt;=FA$20,EZ8&gt;=FA$24,EY8&lt;&gt;""),AND(FQ8&gt;=FW$20,FS8&gt;=FW$24,FQ8&lt;&gt;""),AND(FU8&gt;=FW$20,FV8&gt;=FW$24,FU8&lt;&gt;""),AND(GM8&gt;=GS$20,GO8&gt;=GS$24,GM8&lt;&gt;""),AND(GQ8&gt;=GS$20,GR8&gt;=GS$24,GQ8&lt;&gt;""),AND(HI8&gt;=HO$20,HK8&gt;=HO$24,HI8&lt;&gt;""),AND(HM8&gt;=HO$20,HN8&gt;=HO$24,HM8&lt;&gt;""),AND(IE8&gt;=IK$20,IG8&gt;=IK$24,IE8&lt;&gt;""),AND(II8&gt;=IK$20,IJ8&gt;=IK$24,II8&lt;&gt;""),AND(JA8&gt;=JG$20,JC8&gt;=JG$24,JA8&lt;&gt;""),AND(JE8&gt;=JG$20,JF8&gt;=JG$24,JE8&lt;&gt;""),AND(JW8&gt;=KC$20,JY8&gt;=KC$24,JW8&lt;&gt;""),AND(KA8&gt;=KC$20,KB8&gt;=KC$24,KA8&lt;&gt;""),AND(KS8&gt;=KY$20,KU8&gt;=KY$24,KS8&lt;&gt;""),AND(KW8&gt;=KY$20,KX8&gt;=KY$24,KW8&lt;&gt;""),AND(LO8&gt;=LU$20,LQ8&gt;=LU$24,LO8&lt;&gt;""),AND(LS8&gt;=LU$20,LT8&gt;=LU$24,LS8&lt;&gt;""),AND(MK8&gt;=MQ$20,MM8&gt;=MQ$24,MK8&lt;&gt;""),AND(MO8&gt;=MQ$20,MP8&gt;=MQ$24,MO8&lt;&gt;""),AND(NG8&gt;=NM$20,NI8&gt;=NM$24,NG8&lt;&gt;""),AND(NK8&gt;=NM$20,NL8&gt;=NM$24,NK8&lt;&gt;"")),"Merit",IF(OR(AND(AP8&gt;=AW$19,AT8&gt;=AW$23,AO8&lt;&gt;"",AN8=""),AND(BT8&gt;=CA$19,BX8&gt;=CA$23,BS8&lt;&gt;"",BR8=""),AND(CX8&gt;=DE$19,DB8&gt;=DE$23,CW8&lt;&gt;"",CV8=""),AND(DY8&gt;=EE$19,EB8&gt;=EE$23,DY8&lt;&gt;""),AND(EU8&gt;=FA$19,EX8&gt;=FA$23,EU8&lt;&gt;""),AND(FQ8&gt;=FW$19,FT8&gt;=FW$23,FQ8&lt;&gt;""),AND(GM8&gt;=GS$19,GP8&gt;=GS$23,GM8&lt;&gt;""),AND(HI8&gt;=HO$19,HL8&gt;=HO$23,HI8&lt;&gt;""),AND(IE8&gt;=IK$19,IH8&gt;=IK$23,IE8&lt;&gt;""),AND(JA8&gt;=JG$19,JD8&gt;=JG$23,JA8&lt;&gt;""),AND(JW8&gt;=KC$19,JZ8&gt;=KC$23,JW8&lt;&gt;""),AND(KS8&gt;=KY$19,KV8&gt;=KY$23,KS8&lt;&gt;""),AND(LO8&gt;=LU$19,LR8&gt;=LU$23,LO8&lt;&gt;""),AND(MK8&gt;=MQ$19,MN8&gt;=MQ$23,MK8&lt;&gt;""),AND(NG8&gt;=NM$19,NJ8&gt;=NM$23,NG8&lt;&gt;"")),"Excellence",IF(OR(AND(AP8&gt;=AW$17,AT8&gt;=AW$21,AO8&lt;&gt;"",AN8=""),AND(BT8&gt;=CA$17,BX8&gt;=CA$21,BS8&lt;&gt;"",BR8=""),AND(CX8&gt;=DE$17,DB8&gt;=DE$21,CW8&lt;&gt;"",CV8=""),AND(DY8&gt;=EE$17,EB8&gt;=EE$21,DY8&lt;&gt;""),AND(EU8&gt;=FA$17,EX8&gt;=FA$21,EU8&lt;&gt;""),AND(FQ8&gt;=FW$17,FT8&gt;=FW$21,FQ8&lt;&gt;""),AND(GM8&gt;=GS$17,GP8&gt;=GS$21,GM8&lt;&gt;""),AND(HI8&gt;=HO$17,HL8&gt;=HO$21,HI8&lt;&gt;""),AND(IE8&gt;=IK$17,IH8&gt;=IK$21,IE8&lt;&gt;""),AND(JA8&gt;=JG$17,JD8&gt;=JG$21,JA8&lt;&gt;""),AND(JW8&gt;=KC$17,JZ8&gt;=KC$21,JW8&lt;&gt;""),AND(KS8&gt;=KY$17,KV8&gt;=KY$21,KS8&lt;&gt;""),AND(LO8&gt;=LU$17,LR8&gt;=LU$21,LO8&lt;&gt;""),AND(MK8&gt;=MQ$17,MN8&gt;=MQ$21,MK8&lt;&gt;""),AND(NG8&gt;=NM$17,NJ8&gt;=NM$21,NG8&lt;&gt;"")),"National Team",IF(G8="P","No DD",""))))</f>
        <v/>
      </c>
      <c r="I8" s="9">
        <f>IF(MAX(AT8,BX8,DB8)&gt;0,MAX(AT8,BX8,DB8),0)</f>
        <v>85.64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38.36</v>
      </c>
      <c r="L8" s="9" t="str">
        <f>IF(K8=0,"",IF(AND(K8=CW8,$J8&lt;&gt;$CB$1),$CB$1,IF(AND(K8=BS8,$J8&lt;&gt;$AX$1),$AX$1,IF(AND(K8=AO8,$J8&lt;&gt;$T$1),$T$1,""))))</f>
        <v>2025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40.200000000000003</v>
      </c>
      <c r="N8" s="9" t="str">
        <f>IF(M8=0,"",IF(AND(OR(M8=DA8,M8=CY8),$J8&lt;&gt;$CB$1),$CB$1,IF(AND(OR(M8=BW8,M8=BU8),$J8&lt;&gt;$AX$1),$AX$1,IF(AND(OR(M8=AS8,M8=AQ8),$J8&lt;&gt;$T$1),$T$1,""))))</f>
        <v>2025 3rd Domestic Trial</v>
      </c>
      <c r="O8" s="9">
        <f>MAX(AV8,BZ8,DD8)</f>
        <v>46.02</v>
      </c>
      <c r="P8" s="9" t="str">
        <f>IF(O8=0,"",IF(O8=DD8,$CB$1,IF(O8=BZ8,$AX$1,IF(O8=AV8,$T$1,""))))</f>
        <v>2025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 t="str">
        <f>IF(SUM(T8:W8)-X8&gt;0,SUM(T8:W8)-X8,"")</f>
        <v/>
      </c>
      <c r="AP8" s="7" t="str">
        <f>IF(AA8&gt;0,AA8,"")</f>
        <v/>
      </c>
      <c r="AQ8" s="7" t="str">
        <f>IF(SUM(Y8:AB8)-AC8&gt;0,SUM(Y8:AB8)-AC8,"")</f>
        <v/>
      </c>
      <c r="AR8" s="7" t="str">
        <f>IF(AF8&gt;0,AF8,"")</f>
        <v/>
      </c>
      <c r="AS8" s="7" t="str">
        <f>IF(SUM(AD8:AG8)-AH8&gt;0,SUM(AD8:AG8)-AH8,"")</f>
        <v/>
      </c>
      <c r="AT8" s="7" t="str">
        <f>IF(AO8="",IF(MAX(AQ8,AS8)&gt;0,MAX(AQ8,AS8),""),MAX(AQ8,AS8)+AO8)</f>
        <v/>
      </c>
      <c r="AU8" s="7" t="str">
        <f>IF(AK8&gt;0,AK8,"")</f>
        <v/>
      </c>
      <c r="AV8" s="7" t="str">
        <f>IF(SUM(AI8:AL8)-AM8&gt;0,SUM(AI8:AL8)-AM8,"")</f>
        <v/>
      </c>
      <c r="AW8" s="7" t="str">
        <f>IF(SUM(AT8,AV8)&gt;0,SUM(AT8,AV8),"")</f>
        <v/>
      </c>
      <c r="AX8" s="23">
        <v>15.1</v>
      </c>
      <c r="AY8" s="23">
        <v>9.1999999999999993</v>
      </c>
      <c r="AZ8" s="23">
        <v>0</v>
      </c>
      <c r="BA8" s="23">
        <v>14.09</v>
      </c>
      <c r="BB8" s="23">
        <v>0</v>
      </c>
      <c r="BC8" s="23">
        <v>12.4</v>
      </c>
      <c r="BD8" s="23">
        <v>9.1999999999999993</v>
      </c>
      <c r="BE8" s="23">
        <v>12.5</v>
      </c>
      <c r="BF8" s="23">
        <v>13.15</v>
      </c>
      <c r="BG8" s="23">
        <v>0</v>
      </c>
      <c r="BH8" s="23"/>
      <c r="BI8" s="23"/>
      <c r="BJ8" s="23"/>
      <c r="BK8" s="23"/>
      <c r="BL8" s="23"/>
      <c r="BM8" s="23">
        <v>13.1</v>
      </c>
      <c r="BN8" s="23">
        <v>8.6</v>
      </c>
      <c r="BO8" s="23">
        <v>11</v>
      </c>
      <c r="BP8" s="23">
        <v>13.32</v>
      </c>
      <c r="BQ8" s="23">
        <v>0</v>
      </c>
      <c r="BR8" s="33"/>
      <c r="BS8" s="9">
        <f>IF(SUM(AX8:BA8)-BB8&gt;0,SUM(AX8:BA8)-BB8,"")</f>
        <v>38.39</v>
      </c>
      <c r="BT8" s="9">
        <f>IF(BE8&gt;0,BE8,"")</f>
        <v>12.5</v>
      </c>
      <c r="BU8" s="9">
        <f>IF(SUM(BC8:BF8)-BG8&gt;0,SUM(BC8:BF8)-BG8,"")</f>
        <v>47.25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85.64</v>
      </c>
      <c r="BY8" s="9">
        <f>IF(BO8&gt;0,BO8,"")</f>
        <v>11</v>
      </c>
      <c r="BZ8" s="9">
        <f>IF(SUM(BM8:BP8)-BQ8&gt;0,SUM(BM8:BP8)-BQ8,"")</f>
        <v>46.02</v>
      </c>
      <c r="CA8" s="9">
        <f>IF(SUM(BX8,BZ8)&gt;0,SUM(BX8,BZ8),"")</f>
        <v>131.66</v>
      </c>
      <c r="CB8" s="27">
        <v>15</v>
      </c>
      <c r="CC8" s="27">
        <v>9.4</v>
      </c>
      <c r="CD8" s="27">
        <v>0</v>
      </c>
      <c r="CE8" s="27">
        <v>13.96</v>
      </c>
      <c r="CF8" s="27">
        <v>0</v>
      </c>
      <c r="CG8" s="27">
        <v>13</v>
      </c>
      <c r="CH8" s="27">
        <v>9.1</v>
      </c>
      <c r="CI8" s="27">
        <v>7.6</v>
      </c>
      <c r="CJ8" s="27">
        <v>13</v>
      </c>
      <c r="CK8" s="27">
        <v>2.5</v>
      </c>
      <c r="CL8" s="27"/>
      <c r="CM8" s="27"/>
      <c r="CN8" s="27"/>
      <c r="CO8" s="27"/>
      <c r="CP8" s="27"/>
      <c r="CQ8" s="27">
        <v>1.1000000000000001</v>
      </c>
      <c r="CR8" s="27">
        <v>0.9</v>
      </c>
      <c r="CS8" s="27">
        <v>1.3</v>
      </c>
      <c r="CT8" s="27">
        <v>1.44</v>
      </c>
      <c r="CU8" s="27">
        <v>0</v>
      </c>
      <c r="CV8" s="32"/>
      <c r="CW8" s="7">
        <f>IF(SUM(CB8:CE8)-CF8&gt;0,SUM(CB8:CE8)-CF8,"")</f>
        <v>38.36</v>
      </c>
      <c r="CX8" s="7">
        <f>IF(CI8&gt;0,CI8,"")</f>
        <v>7.6</v>
      </c>
      <c r="CY8" s="7">
        <f>IF(SUM(CG8:CJ8)-CK8&gt;0,SUM(CG8:CJ8)-CK8,"")</f>
        <v>40.200000000000003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78.56</v>
      </c>
      <c r="DC8" s="7">
        <f>IF(CS8&gt;0,CS8,"")</f>
        <v>1.3</v>
      </c>
      <c r="DD8" s="7">
        <f>IF(SUM(CQ8:CT8)-CU8&gt;0,SUM(CQ8:CT8)-CU8,"")</f>
        <v>4.74</v>
      </c>
      <c r="DE8" s="7">
        <f>IF(SUM(DB8,DD8)&gt;0,SUM(DB8,DD8),"")</f>
        <v>83.3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15.05</v>
      </c>
      <c r="NO8" s="27">
        <f>IF($CV8="P",CC8,(CC8+AY8)/2)</f>
        <v>9.3000000000000007</v>
      </c>
      <c r="NP8" s="27">
        <f>IF($CV8="P",CD8,(CD8+AZ8)/2)</f>
        <v>0</v>
      </c>
      <c r="NQ8" s="27">
        <f>IF($CV8="P",CE8,(CE8+BA8)/2)</f>
        <v>14.025</v>
      </c>
      <c r="NR8" s="27">
        <f>IF($CV8="P",CF8,(CF8+BB8)/2)</f>
        <v>0</v>
      </c>
      <c r="NS8" s="27">
        <f>IF($CV8="P",CG8,(CG8+BC8)/2)</f>
        <v>12.7</v>
      </c>
      <c r="NT8" s="27">
        <f>IF($CV8="P",CH8,(CH8+BD8)/2)</f>
        <v>9.1499999999999986</v>
      </c>
      <c r="NU8" s="27">
        <f>IF($CV8="P",CI8,(CI8+BE8)/2)</f>
        <v>10.050000000000001</v>
      </c>
      <c r="NV8" s="27">
        <f>IF($CV8="P",CJ8,(CJ8+BF8)/2)</f>
        <v>13.074999999999999</v>
      </c>
      <c r="NW8" s="27">
        <f>IF($CV8="P",CK8,(CK8+BG8)/2)</f>
        <v>1.25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7.1</v>
      </c>
      <c r="OD8" s="27">
        <f>IF($CV8="P",CR8,(CR8+BN8)/2)</f>
        <v>4.75</v>
      </c>
      <c r="OE8" s="27">
        <f>IF($CV8="P",CS8,(CS8+BO8)/2)</f>
        <v>6.15</v>
      </c>
      <c r="OF8" s="27">
        <f>IF($CV8="P",CT8,(CT8+BP8)/2)</f>
        <v>7.38</v>
      </c>
      <c r="OG8" s="27">
        <f>IF($CV8="P",CU8,(CU8+BQ8)/2)</f>
        <v>0</v>
      </c>
      <c r="OH8" s="32" t="s">
        <v>44</v>
      </c>
      <c r="OI8" s="7">
        <f>IF(SUM(NN8:NQ8)-NR8&gt;0,SUM(NN8:NQ8)-NR8,"")</f>
        <v>38.375</v>
      </c>
      <c r="OJ8" s="7">
        <f>IF(NU8&gt;0,NU8,"")</f>
        <v>10.050000000000001</v>
      </c>
      <c r="OK8" s="7">
        <f>IF(SUM(NS8:NV8)-NW8&gt;0,SUM(NS8:NV8)-NW8,"")</f>
        <v>43.724999999999994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82.1</v>
      </c>
      <c r="OO8" s="7">
        <f>IF(OE8&gt;0,OE8,"")</f>
        <v>6.15</v>
      </c>
      <c r="OP8" s="7">
        <f t="shared" ref="OP8:OP13" si="4">IF(SUM(OC8:OF8)-OG8&gt;0,SUM(OC8:OF8)-OG8,"")</f>
        <v>25.38</v>
      </c>
      <c r="OQ8" s="7">
        <f t="shared" ref="OQ8:OQ13" si="5">IF(SUM(ON8,OP8)&gt;0,SUM(ON8,OP8),"")</f>
        <v>107.47999999999999</v>
      </c>
    </row>
    <row r="9" spans="1:407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107</v>
      </c>
      <c r="C9" s="4" t="s">
        <v>65</v>
      </c>
      <c r="D9" s="4">
        <v>2010</v>
      </c>
      <c r="E9" s="10">
        <f>SUM(I9:Q9)</f>
        <v>198.86</v>
      </c>
      <c r="F9" s="3" t="str">
        <f>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P","")</f>
        <v/>
      </c>
      <c r="G9" s="3" t="str">
        <f>IF(OR(AND(AT9&gt;=AW$21,AO9&lt;&gt;"",AN9=""),AND(BX9&gt;=CA$21,BS9&lt;&gt;"",BR9=""),AND(DB9&gt;=DE$21,CW9&lt;&gt;"",CV9=""),AND(EB9&gt;=EE$21,DY9&lt;&gt;""),AND(EX9&gt;=FA$21,EU9&lt;&gt;""),AND(FT9&gt;=FW$21,FQ9&lt;&gt;""),AND(GP9&gt;=GS$21,GM9&lt;&gt;""),AND(HL9&gt;=HO$21,HI9&lt;&gt;""),AND(IH9&gt;=IK$21,IE9&lt;&gt;""),AND(JD9&gt;=JG$21,JA9&lt;&gt;""),AND(JZ9&gt;=KC$21,JW9&lt;&gt;""),AND(KV9&gt;=KY$21,KS9&lt;&gt;""),AND(LR9&gt;=LU$21,LO9&lt;&gt;""),AND(MN9&gt;=MQ$21,MK9&lt;&gt;""),AND(NJ9&gt;=NM$21,NG9&lt;&gt;"")),"P","")</f>
        <v/>
      </c>
      <c r="H9" s="47" t="str">
        <f>IF(OR(AND(AP9&gt;=AW$20,AQ9&gt;=AW$24,AP9&lt;&gt;"",AN9=""),AND(AU9&gt;=AW$20,AV9&gt;=AW$24,AU9&lt;&gt;"",AN9=""),AND(BT9&gt;=CA$20,BU9&gt;=CA$24,BT9&lt;&gt;"",BR9=""),AND(BY9&gt;=CA$20,BZ9&gt;=CA$24,BY9&lt;&gt;"",BR9=""),AND(CX9&gt;=DE$20,CY9&gt;=DE$24,CX9&lt;&gt;"",CV9=""),AND(DC9&gt;=DE$20,DD9&gt;=DE$24,DC9&lt;&gt;"",CV9=""),AND(DY9&gt;=EE$20,EA9&gt;=EE$24,DY9&lt;&gt;""),AND(EC9&gt;=EE$20,ED9&gt;=EE$24,EC9&lt;&gt;""),AND(EU9&gt;=FA$20,EW9&gt;=FA$24,EU9&lt;&gt;""),AND(EY9&gt;=FA$20,EZ9&gt;=FA$24,EY9&lt;&gt;""),AND(FQ9&gt;=FW$20,FS9&gt;=FW$24,FQ9&lt;&gt;""),AND(FU9&gt;=FW$20,FV9&gt;=FW$24,FU9&lt;&gt;""),AND(GM9&gt;=GS$20,GO9&gt;=GS$24,GM9&lt;&gt;""),AND(GQ9&gt;=GS$20,GR9&gt;=GS$24,GQ9&lt;&gt;""),AND(HI9&gt;=HO$20,HK9&gt;=HO$24,HI9&lt;&gt;""),AND(HM9&gt;=HO$20,HN9&gt;=HO$24,HM9&lt;&gt;""),AND(IE9&gt;=IK$20,IG9&gt;=IK$24,IE9&lt;&gt;""),AND(II9&gt;=IK$20,IJ9&gt;=IK$24,II9&lt;&gt;""),AND(JA9&gt;=JG$20,JC9&gt;=JG$24,JA9&lt;&gt;""),AND(JE9&gt;=JG$20,JF9&gt;=JG$24,JE9&lt;&gt;""),AND(JW9&gt;=KC$20,JY9&gt;=KC$24,JW9&lt;&gt;""),AND(KA9&gt;=KC$20,KB9&gt;=KC$24,KA9&lt;&gt;""),AND(KS9&gt;=KY$20,KU9&gt;=KY$24,KS9&lt;&gt;""),AND(KW9&gt;=KY$20,KX9&gt;=KY$24,KW9&lt;&gt;""),AND(LO9&gt;=LU$20,LQ9&gt;=LU$24,LO9&lt;&gt;""),AND(LS9&gt;=LU$20,LT9&gt;=LU$24,LS9&lt;&gt;""),AND(MK9&gt;=MQ$20,MM9&gt;=MQ$24,MK9&lt;&gt;""),AND(MO9&gt;=MQ$20,MP9&gt;=MQ$24,MO9&lt;&gt;""),AND(NG9&gt;=NM$20,NI9&gt;=NM$24,NG9&lt;&gt;""),AND(NK9&gt;=NM$20,NL9&gt;=NM$24,NK9&lt;&gt;"")),"Merit",IF(OR(AND(AP9&gt;=AW$19,AT9&gt;=AW$23,AO9&lt;&gt;"",AN9=""),AND(BT9&gt;=CA$19,BX9&gt;=CA$23,BS9&lt;&gt;"",BR9=""),AND(CX9&gt;=DE$19,DB9&gt;=DE$23,CW9&lt;&gt;"",CV9=""),AND(DY9&gt;=EE$19,EB9&gt;=EE$23,DY9&lt;&gt;""),AND(EU9&gt;=FA$19,EX9&gt;=FA$23,EU9&lt;&gt;""),AND(FQ9&gt;=FW$19,FT9&gt;=FW$23,FQ9&lt;&gt;""),AND(GM9&gt;=GS$19,GP9&gt;=GS$23,GM9&lt;&gt;""),AND(HI9&gt;=HO$19,HL9&gt;=HO$23,HI9&lt;&gt;""),AND(IE9&gt;=IK$19,IH9&gt;=IK$23,IE9&lt;&gt;""),AND(JA9&gt;=JG$19,JD9&gt;=JG$23,JA9&lt;&gt;""),AND(JW9&gt;=KC$19,JZ9&gt;=KC$23,JW9&lt;&gt;""),AND(KS9&gt;=KY$19,KV9&gt;=KY$23,KS9&lt;&gt;""),AND(LO9&gt;=LU$19,LR9&gt;=LU$23,LO9&lt;&gt;""),AND(MK9&gt;=MQ$19,MN9&gt;=MQ$23,MK9&lt;&gt;""),AND(NG9&gt;=NM$19,NJ9&gt;=NM$23,NG9&lt;&gt;"")),"Excellence",IF(OR(AND(AP9&gt;=AW$17,AT9&gt;=AW$21,AO9&lt;&gt;"",AN9=""),AND(BT9&gt;=CA$17,BX9&gt;=CA$21,BS9&lt;&gt;"",BR9=""),AND(CX9&gt;=DE$17,DB9&gt;=DE$21,CW9&lt;&gt;"",CV9=""),AND(DY9&gt;=EE$17,EB9&gt;=EE$21,DY9&lt;&gt;""),AND(EU9&gt;=FA$17,EX9&gt;=FA$21,EU9&lt;&gt;""),AND(FQ9&gt;=FW$17,FT9&gt;=FW$21,FQ9&lt;&gt;""),AND(GM9&gt;=GS$17,GP9&gt;=GS$21,GM9&lt;&gt;""),AND(HI9&gt;=HO$17,HL9&gt;=HO$21,HI9&lt;&gt;""),AND(IE9&gt;=IK$17,IH9&gt;=IK$21,IE9&lt;&gt;""),AND(JA9&gt;=JG$17,JD9&gt;=JG$21,JA9&lt;&gt;""),AND(JW9&gt;=KC$17,JZ9&gt;=KC$21,JW9&lt;&gt;""),AND(KS9&gt;=KY$17,KV9&gt;=KY$21,KS9&lt;&gt;""),AND(LO9&gt;=LU$17,LR9&gt;=LU$21,LO9&lt;&gt;""),AND(MK9&gt;=MQ$17,MN9&gt;=MQ$21,MK9&lt;&gt;""),AND(NG9&gt;=NM$17,NJ9&gt;=NM$21,NG9&lt;&gt;"")),"National Team",IF(G9="P","No DD",""))))</f>
        <v/>
      </c>
      <c r="I9" s="9">
        <f>IF(MAX(AT9,BX9,DB9)&gt;0,MAX(AT9,BX9,DB9),0)</f>
        <v>92.19</v>
      </c>
      <c r="J9" s="9" t="str">
        <f>IF(I9=0,"",IF(I9=DB9,$CB$1,IF(I9=BX9,$AX$1,IF(I9=AT9,$T$1,""))))</f>
        <v>2025 3rd Domestic Trial</v>
      </c>
      <c r="K9" s="9">
        <f>IF($I9=$AT9,MAX(BS9,CW9),IF($I9=$BX9,MAX(AO9,CW9),IF($I9=$DB9,MAX(AO9,BS9),MAX(AO9,BS9,CW9))))</f>
        <v>40.480000000000004</v>
      </c>
      <c r="L9" s="9" t="str">
        <f>IF(K9=0,"",IF(AND(K9=CW9,$J9&lt;&gt;$CB$1),$CB$1,IF(AND(K9=BS9,$J9&lt;&gt;$AX$1),$AX$1,IF(AND(K9=AO9,$J9&lt;&gt;$T$1),$T$1,""))))</f>
        <v>2025 Nationals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15.559999999999999</v>
      </c>
      <c r="N9" s="9" t="str">
        <f>IF(M9=0,"",IF(AND(OR(M9=DA9,M9=CY9),$J9&lt;&gt;$CB$1),$CB$1,IF(AND(OR(M9=BW9,M9=BU9),$J9&lt;&gt;$AX$1),$AX$1,IF(AND(OR(M9=AS9,M9=AQ9),$J9&lt;&gt;$T$1),$T$1,""))))</f>
        <v>2025 Nationals</v>
      </c>
      <c r="O9" s="9">
        <f>MAX(AV9,BZ9,DD9)</f>
        <v>50.629999999999995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 t="str">
        <f>IF(SUM(T9:W9)-X9&gt;0,SUM(T9:W9)-X9,"")</f>
        <v/>
      </c>
      <c r="AP9" s="7" t="str">
        <f>IF(AA9&gt;0,AA9,"")</f>
        <v/>
      </c>
      <c r="AQ9" s="7" t="str">
        <f>IF(SUM(Y9:AB9)-AC9&gt;0,SUM(Y9:AB9)-AC9,"")</f>
        <v/>
      </c>
      <c r="AR9" s="7" t="str">
        <f>IF(AF9&gt;0,AF9,"")</f>
        <v/>
      </c>
      <c r="AS9" s="7" t="str">
        <f>IF(SUM(AD9:AG9)-AH9&gt;0,SUM(AD9:AG9)-AH9,"")</f>
        <v/>
      </c>
      <c r="AT9" s="7" t="str">
        <f>IF(AO9="",IF(MAX(AQ9,AS9)&gt;0,MAX(AQ9,AS9),""),MAX(AQ9,AS9)+AO9)</f>
        <v/>
      </c>
      <c r="AU9" s="7" t="str">
        <f>IF(AK9&gt;0,AK9,"")</f>
        <v/>
      </c>
      <c r="AV9" s="7" t="str">
        <f>IF(SUM(AI9:AL9)-AM9&gt;0,SUM(AI9:AL9)-AM9,"")</f>
        <v/>
      </c>
      <c r="AW9" s="7" t="str">
        <f>IF(SUM(AT9,AV9)&gt;0,SUM(AT9,AV9),"")</f>
        <v/>
      </c>
      <c r="AX9" s="23">
        <v>16</v>
      </c>
      <c r="AY9" s="23">
        <v>9.3000000000000007</v>
      </c>
      <c r="AZ9" s="23">
        <v>0</v>
      </c>
      <c r="BA9" s="23">
        <v>15.18</v>
      </c>
      <c r="BB9" s="23">
        <v>0</v>
      </c>
      <c r="BC9" s="23">
        <v>4.2</v>
      </c>
      <c r="BD9" s="23">
        <v>2.5</v>
      </c>
      <c r="BE9" s="23">
        <v>4.3</v>
      </c>
      <c r="BF9" s="23">
        <v>4.5599999999999996</v>
      </c>
      <c r="BG9" s="23">
        <v>0</v>
      </c>
      <c r="BH9" s="23"/>
      <c r="BI9" s="23"/>
      <c r="BJ9" s="23"/>
      <c r="BK9" s="23"/>
      <c r="BL9" s="23"/>
      <c r="BM9" s="23">
        <v>13.1</v>
      </c>
      <c r="BN9" s="23">
        <v>9.1</v>
      </c>
      <c r="BO9" s="23">
        <v>13.6</v>
      </c>
      <c r="BP9" s="23">
        <v>14.83</v>
      </c>
      <c r="BQ9" s="23">
        <v>0</v>
      </c>
      <c r="BR9" s="33"/>
      <c r="BS9" s="9">
        <f>IF(SUM(AX9:BA9)-BB9&gt;0,SUM(AX9:BA9)-BB9,"")</f>
        <v>40.480000000000004</v>
      </c>
      <c r="BT9" s="9">
        <f>IF(BE9&gt;0,BE9,"")</f>
        <v>4.3</v>
      </c>
      <c r="BU9" s="9">
        <f>IF(SUM(BC9:BF9)-BG9&gt;0,SUM(BC9:BF9)-BG9,"")</f>
        <v>15.559999999999999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56.040000000000006</v>
      </c>
      <c r="BY9" s="9">
        <f>IF(BO9&gt;0,BO9,"")</f>
        <v>13.6</v>
      </c>
      <c r="BZ9" s="9">
        <f>IF(SUM(BM9:BP9)-BQ9&gt;0,SUM(BM9:BP9)-BQ9,"")</f>
        <v>50.629999999999995</v>
      </c>
      <c r="CA9" s="9">
        <f>IF(SUM(BX9,BZ9)&gt;0,SUM(BX9,BZ9),"")</f>
        <v>106.67</v>
      </c>
      <c r="CB9" s="27">
        <v>16.5</v>
      </c>
      <c r="CC9" s="27">
        <v>9.4</v>
      </c>
      <c r="CD9" s="27">
        <v>0</v>
      </c>
      <c r="CE9" s="27">
        <v>15.51</v>
      </c>
      <c r="CF9" s="27">
        <v>0</v>
      </c>
      <c r="CG9" s="27">
        <v>13.4</v>
      </c>
      <c r="CH9" s="27">
        <v>8.8000000000000007</v>
      </c>
      <c r="CI9" s="27">
        <v>13</v>
      </c>
      <c r="CJ9" s="27">
        <v>15.58</v>
      </c>
      <c r="CK9" s="27">
        <v>0</v>
      </c>
      <c r="CL9" s="27"/>
      <c r="CM9" s="27"/>
      <c r="CN9" s="27"/>
      <c r="CO9" s="27"/>
      <c r="CP9" s="27"/>
      <c r="CQ9" s="27">
        <v>11.7</v>
      </c>
      <c r="CR9" s="27">
        <v>9.1999999999999993</v>
      </c>
      <c r="CS9" s="27">
        <v>12.1</v>
      </c>
      <c r="CT9" s="27">
        <v>15.21</v>
      </c>
      <c r="CU9" s="27">
        <v>0.2</v>
      </c>
      <c r="CV9" s="32"/>
      <c r="CW9" s="7">
        <f>IF(SUM(CB9:CE9)-CF9&gt;0,SUM(CB9:CE9)-CF9,"")</f>
        <v>41.41</v>
      </c>
      <c r="CX9" s="7">
        <f>IF(CI9&gt;0,CI9,"")</f>
        <v>13</v>
      </c>
      <c r="CY9" s="7">
        <f>IF(SUM(CG9:CJ9)-CK9&gt;0,SUM(CG9:CJ9)-CK9,"")</f>
        <v>50.78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92.19</v>
      </c>
      <c r="DC9" s="7">
        <f>IF(CS9&gt;0,CS9,"")</f>
        <v>12.1</v>
      </c>
      <c r="DD9" s="7">
        <f>IF(SUM(CQ9:CT9)-CU9&gt;0,SUM(CQ9:CT9)-CU9,"")</f>
        <v>48.01</v>
      </c>
      <c r="DE9" s="7">
        <f>IF(SUM(DB9,DD9)&gt;0,SUM(DB9,DD9),"")</f>
        <v>140.19999999999999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16.25</v>
      </c>
      <c r="NO9" s="27">
        <f>IF($CV9="P",CC9,(CC9+AY9)/2)</f>
        <v>9.3500000000000014</v>
      </c>
      <c r="NP9" s="27">
        <f>IF($CV9="P",CD9,(CD9+AZ9)/2)</f>
        <v>0</v>
      </c>
      <c r="NQ9" s="27">
        <f>IF($CV9="P",CE9,(CE9+BA9)/2)</f>
        <v>15.344999999999999</v>
      </c>
      <c r="NR9" s="27">
        <f>IF($CV9="P",CF9,(CF9+BB9)/2)</f>
        <v>0</v>
      </c>
      <c r="NS9" s="27">
        <f>IF($CV9="P",CG9,(CG9+BC9)/2)</f>
        <v>8.8000000000000007</v>
      </c>
      <c r="NT9" s="27">
        <f>IF($CV9="P",CH9,(CH9+BD9)/2)</f>
        <v>5.65</v>
      </c>
      <c r="NU9" s="27">
        <f>IF($CV9="P",CI9,(CI9+BE9)/2)</f>
        <v>8.65</v>
      </c>
      <c r="NV9" s="27">
        <f>IF($CV9="P",CJ9,(CJ9+BF9)/2)</f>
        <v>10.07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12.399999999999999</v>
      </c>
      <c r="OD9" s="27">
        <f>IF($CV9="P",CR9,(CR9+BN9)/2)</f>
        <v>9.1499999999999986</v>
      </c>
      <c r="OE9" s="27">
        <f>IF($CV9="P",CS9,(CS9+BO9)/2)</f>
        <v>12.85</v>
      </c>
      <c r="OF9" s="27">
        <f>IF($CV9="P",CT9,(CT9+BP9)/2)</f>
        <v>15.02</v>
      </c>
      <c r="OG9" s="27">
        <f>IF($CV9="P",CU9,(CU9+BQ9)/2)</f>
        <v>0.1</v>
      </c>
      <c r="OH9" s="32" t="s">
        <v>44</v>
      </c>
      <c r="OI9" s="7">
        <f>IF(SUM(NN9:NQ9)-NR9&gt;0,SUM(NN9:NQ9)-NR9,"")</f>
        <v>40.945</v>
      </c>
      <c r="OJ9" s="7">
        <f>IF(NU9&gt;0,NU9,"")</f>
        <v>8.65</v>
      </c>
      <c r="OK9" s="7">
        <f>IF(SUM(NS9:NV9)-NW9&gt;0,SUM(NS9:NV9)-NW9,"")</f>
        <v>33.17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74.115000000000009</v>
      </c>
      <c r="OO9" s="7">
        <f>IF(OE9&gt;0,OE9,"")</f>
        <v>12.85</v>
      </c>
      <c r="OP9" s="7">
        <f t="shared" si="4"/>
        <v>49.32</v>
      </c>
      <c r="OQ9" s="7">
        <f t="shared" si="5"/>
        <v>123.435</v>
      </c>
    </row>
    <row r="10" spans="1:407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88</v>
      </c>
      <c r="C10" s="4" t="s">
        <v>89</v>
      </c>
      <c r="D10" s="4">
        <v>2009</v>
      </c>
      <c r="E10" s="10">
        <f>SUM(I10:Q10)</f>
        <v>160.68</v>
      </c>
      <c r="F10" s="3" t="str">
        <f>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P","")</f>
        <v/>
      </c>
      <c r="G10" s="3" t="str">
        <f>IF(OR(AND(AT10&gt;=AW$21,AO10&lt;&gt;"",AN10=""),AND(BX10&gt;=CA$21,BS10&lt;&gt;"",BR10=""),AND(DB10&gt;=DE$21,CW10&lt;&gt;"",CV10=""),AND(EB10&gt;=EE$21,DY10&lt;&gt;""),AND(EX10&gt;=FA$21,EU10&lt;&gt;""),AND(FT10&gt;=FW$21,FQ10&lt;&gt;""),AND(GP10&gt;=GS$21,GM10&lt;&gt;""),AND(HL10&gt;=HO$21,HI10&lt;&gt;""),AND(IH10&gt;=IK$21,IE10&lt;&gt;""),AND(JD10&gt;=JG$21,JA10&lt;&gt;""),AND(JZ10&gt;=KC$21,JW10&lt;&gt;""),AND(KV10&gt;=KY$21,KS10&lt;&gt;""),AND(LR10&gt;=LU$21,LO10&lt;&gt;""),AND(MN10&gt;=MQ$21,MK10&lt;&gt;""),AND(NJ10&gt;=NM$21,NG10&lt;&gt;"")),"P","")</f>
        <v/>
      </c>
      <c r="H10" s="47" t="str">
        <f>IF(OR(AND(AP10&gt;=AW$20,AQ10&gt;=AW$24,AP10&lt;&gt;"",AN10=""),AND(AU10&gt;=AW$20,AV10&gt;=AW$24,AU10&lt;&gt;"",AN10=""),AND(BT10&gt;=CA$20,BU10&gt;=CA$24,BT10&lt;&gt;"",BR10=""),AND(BY10&gt;=CA$20,BZ10&gt;=CA$24,BY10&lt;&gt;"",BR10=""),AND(CX10&gt;=DE$20,CY10&gt;=DE$24,CX10&lt;&gt;"",CV10=""),AND(DC10&gt;=DE$20,DD10&gt;=DE$24,DC10&lt;&gt;"",CV10=""),AND(DY10&gt;=EE$20,EA10&gt;=EE$24,DY10&lt;&gt;""),AND(EC10&gt;=EE$20,ED10&gt;=EE$24,EC10&lt;&gt;""),AND(EU10&gt;=FA$20,EW10&gt;=FA$24,EU10&lt;&gt;""),AND(EY10&gt;=FA$20,EZ10&gt;=FA$24,EY10&lt;&gt;""),AND(FQ10&gt;=FW$20,FS10&gt;=FW$24,FQ10&lt;&gt;""),AND(FU10&gt;=FW$20,FV10&gt;=FW$24,FU10&lt;&gt;""),AND(GM10&gt;=GS$20,GO10&gt;=GS$24,GM10&lt;&gt;""),AND(GQ10&gt;=GS$20,GR10&gt;=GS$24,GQ10&lt;&gt;""),AND(HI10&gt;=HO$20,HK10&gt;=HO$24,HI10&lt;&gt;""),AND(HM10&gt;=HO$20,HN10&gt;=HO$24,HM10&lt;&gt;""),AND(IE10&gt;=IK$20,IG10&gt;=IK$24,IE10&lt;&gt;""),AND(II10&gt;=IK$20,IJ10&gt;=IK$24,II10&lt;&gt;""),AND(JA10&gt;=JG$20,JC10&gt;=JG$24,JA10&lt;&gt;""),AND(JE10&gt;=JG$20,JF10&gt;=JG$24,JE10&lt;&gt;""),AND(JW10&gt;=KC$20,JY10&gt;=KC$24,JW10&lt;&gt;""),AND(KA10&gt;=KC$20,KB10&gt;=KC$24,KA10&lt;&gt;""),AND(KS10&gt;=KY$20,KU10&gt;=KY$24,KS10&lt;&gt;""),AND(KW10&gt;=KY$20,KX10&gt;=KY$24,KW10&lt;&gt;""),AND(LO10&gt;=LU$20,LQ10&gt;=LU$24,LO10&lt;&gt;""),AND(LS10&gt;=LU$20,LT10&gt;=LU$24,LS10&lt;&gt;""),AND(MK10&gt;=MQ$20,MM10&gt;=MQ$24,MK10&lt;&gt;""),AND(MO10&gt;=MQ$20,MP10&gt;=MQ$24,MO10&lt;&gt;""),AND(NG10&gt;=NM$20,NI10&gt;=NM$24,NG10&lt;&gt;""),AND(NK10&gt;=NM$20,NL10&gt;=NM$24,NK10&lt;&gt;"")),"Merit",IF(OR(AND(AP10&gt;=AW$19,AT10&gt;=AW$23,AO10&lt;&gt;"",AN10=""),AND(BT10&gt;=CA$19,BX10&gt;=CA$23,BS10&lt;&gt;"",BR10=""),AND(CX10&gt;=DE$19,DB10&gt;=DE$23,CW10&lt;&gt;"",CV10=""),AND(DY10&gt;=EE$19,EB10&gt;=EE$23,DY10&lt;&gt;""),AND(EU10&gt;=FA$19,EX10&gt;=FA$23,EU10&lt;&gt;""),AND(FQ10&gt;=FW$19,FT10&gt;=FW$23,FQ10&lt;&gt;""),AND(GM10&gt;=GS$19,GP10&gt;=GS$23,GM10&lt;&gt;""),AND(HI10&gt;=HO$19,HL10&gt;=HO$23,HI10&lt;&gt;""),AND(IE10&gt;=IK$19,IH10&gt;=IK$23,IE10&lt;&gt;""),AND(JA10&gt;=JG$19,JD10&gt;=JG$23,JA10&lt;&gt;""),AND(JW10&gt;=KC$19,JZ10&gt;=KC$23,JW10&lt;&gt;""),AND(KS10&gt;=KY$19,KV10&gt;=KY$23,KS10&lt;&gt;""),AND(LO10&gt;=LU$19,LR10&gt;=LU$23,LO10&lt;&gt;""),AND(MK10&gt;=MQ$19,MN10&gt;=MQ$23,MK10&lt;&gt;""),AND(NG10&gt;=NM$19,NJ10&gt;=NM$23,NG10&lt;&gt;"")),"Excellence",IF(OR(AND(AP10&gt;=AW$17,AT10&gt;=AW$21,AO10&lt;&gt;"",AN10=""),AND(BT10&gt;=CA$17,BX10&gt;=CA$21,BS10&lt;&gt;"",BR10=""),AND(CX10&gt;=DE$17,DB10&gt;=DE$21,CW10&lt;&gt;"",CV10=""),AND(DY10&gt;=EE$17,EB10&gt;=EE$21,DY10&lt;&gt;""),AND(EU10&gt;=FA$17,EX10&gt;=FA$21,EU10&lt;&gt;""),AND(FQ10&gt;=FW$17,FT10&gt;=FW$21,FQ10&lt;&gt;""),AND(GM10&gt;=GS$17,GP10&gt;=GS$21,GM10&lt;&gt;""),AND(HI10&gt;=HO$17,HL10&gt;=HO$21,HI10&lt;&gt;""),AND(IE10&gt;=IK$17,IH10&gt;=IK$21,IE10&lt;&gt;""),AND(JA10&gt;=JG$17,JD10&gt;=JG$21,JA10&lt;&gt;""),AND(JW10&gt;=KC$17,JZ10&gt;=KC$21,JW10&lt;&gt;""),AND(KS10&gt;=KY$17,KV10&gt;=KY$21,KS10&lt;&gt;""),AND(LO10&gt;=LU$17,LR10&gt;=LU$21,LO10&lt;&gt;""),AND(MK10&gt;=MQ$17,MN10&gt;=MQ$21,MK10&lt;&gt;""),AND(NG10&gt;=NM$17,NJ10&gt;=NM$21,NG10&lt;&gt;"")),"National Team",IF(G10="P","No DD",""))))</f>
        <v/>
      </c>
      <c r="I10" s="9">
        <f>IF(MAX(AT10,BX10,DB10)&gt;0,MAX(AT10,BX10,DB10),0)</f>
        <v>57.44</v>
      </c>
      <c r="J10" s="9" t="str">
        <f>IF(I10=0,"",IF(I10=DB10,$CB$1,IF(I10=BX10,$AX$1,IF(I10=AT10,$T$1,""))))</f>
        <v>2025 3rd Domestic Trial</v>
      </c>
      <c r="K10" s="9">
        <f>IF($I10=$AT10,MAX(BS10,CW10),IF($I10=$BX10,MAX(AO10,CW10),IF($I10=$DB10,MAX(AO10,BS10),MAX(AO10,BS10,CW10))))</f>
        <v>37.89</v>
      </c>
      <c r="L10" s="9" t="str">
        <f>IF(K10=0,"",IF(AND(K10=CW10,$J10&lt;&gt;$CB$1),$CB$1,IF(AND(K10=BS10,$J10&lt;&gt;$AX$1),$AX$1,IF(AND(K10=AO10,$J10&lt;&gt;$T$1),$T$1,""))))</f>
        <v>2025 Nationals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18.63</v>
      </c>
      <c r="N10" s="9" t="str">
        <f>IF(M10=0,"",IF(AND(OR(M10=DA10,M10=CY10),$J10&lt;&gt;$CB$1),$CB$1,IF(AND(OR(M10=BW10,M10=BU10),$J10&lt;&gt;$AX$1),$AX$1,IF(AND(OR(M10=AS10,M10=AQ10),$J10&lt;&gt;$T$1),$T$1,""))))</f>
        <v>2025 Elite Canada</v>
      </c>
      <c r="O10" s="9">
        <f>MAX(AV10,BZ10,DD10)</f>
        <v>46.72</v>
      </c>
      <c r="P10" s="9" t="str">
        <f>IF(O10=0,"",IF(O10=DD10,$CB$1,IF(O10=BZ10,$AX$1,IF(O10=AV10,$T$1,""))))</f>
        <v>2025 3rd Domestic Trial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>
        <v>12.3</v>
      </c>
      <c r="U10" s="27">
        <v>9.1</v>
      </c>
      <c r="V10" s="27">
        <v>0</v>
      </c>
      <c r="W10" s="27">
        <v>14.78</v>
      </c>
      <c r="X10" s="27">
        <v>0</v>
      </c>
      <c r="Y10" s="27">
        <v>4.5999999999999996</v>
      </c>
      <c r="Z10" s="27">
        <v>3.3</v>
      </c>
      <c r="AA10" s="27">
        <v>5</v>
      </c>
      <c r="AB10" s="27">
        <v>5.73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>IF(SUM(T10:W10)-X10&gt;0,SUM(T10:W10)-X10,"")</f>
        <v>36.18</v>
      </c>
      <c r="AP10" s="7">
        <f>IF(AA10&gt;0,AA10,"")</f>
        <v>5</v>
      </c>
      <c r="AQ10" s="7">
        <f>IF(SUM(Y10:AB10)-AC10&gt;0,SUM(Y10:AB10)-AC10,"")</f>
        <v>18.63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54.81</v>
      </c>
      <c r="AU10" s="7" t="str">
        <f>IF(AK10&gt;0,AK10,"")</f>
        <v/>
      </c>
      <c r="AV10" s="7" t="str">
        <f>IF(SUM(AI10:AL10)-AM10&gt;0,SUM(AI10:AL10)-AM10,"")</f>
        <v/>
      </c>
      <c r="AW10" s="7">
        <f>IF(SUM(AT10,AV10)&gt;0,SUM(AT10,AV10),"")</f>
        <v>54.81</v>
      </c>
      <c r="AX10" s="23">
        <v>13.7</v>
      </c>
      <c r="AY10" s="23">
        <v>9.4</v>
      </c>
      <c r="AZ10" s="23">
        <v>0</v>
      </c>
      <c r="BA10" s="23">
        <v>14.79</v>
      </c>
      <c r="BB10" s="23">
        <v>0</v>
      </c>
      <c r="BC10" s="23">
        <v>3.6</v>
      </c>
      <c r="BD10" s="23">
        <v>2.7</v>
      </c>
      <c r="BE10" s="23">
        <v>3.4</v>
      </c>
      <c r="BF10" s="23">
        <v>4.45</v>
      </c>
      <c r="BG10" s="23">
        <v>0</v>
      </c>
      <c r="BH10" s="23"/>
      <c r="BI10" s="23"/>
      <c r="BJ10" s="23"/>
      <c r="BK10" s="23"/>
      <c r="BL10" s="23"/>
      <c r="BM10" s="23">
        <v>10</v>
      </c>
      <c r="BN10" s="23">
        <v>8.8000000000000007</v>
      </c>
      <c r="BO10" s="23">
        <v>11.8</v>
      </c>
      <c r="BP10" s="23">
        <v>14.34</v>
      </c>
      <c r="BQ10" s="23">
        <v>0</v>
      </c>
      <c r="BR10" s="33"/>
      <c r="BS10" s="9">
        <f>IF(SUM(AX10:BA10)-BB10&gt;0,SUM(AX10:BA10)-BB10,"")</f>
        <v>37.89</v>
      </c>
      <c r="BT10" s="9">
        <f>IF(BE10&gt;0,BE10,"")</f>
        <v>3.4</v>
      </c>
      <c r="BU10" s="9">
        <f>IF(SUM(BC10:BF10)-BG10&gt;0,SUM(BC10:BF10)-BG10,"")</f>
        <v>14.150000000000002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52.040000000000006</v>
      </c>
      <c r="BY10" s="9">
        <f>IF(BO10&gt;0,BO10,"")</f>
        <v>11.8</v>
      </c>
      <c r="BZ10" s="9">
        <f>IF(SUM(BM10:BP10)-BQ10&gt;0,SUM(BM10:BP10)-BQ10,"")</f>
        <v>44.94</v>
      </c>
      <c r="CA10" s="9">
        <f>IF(SUM(BX10,BZ10)&gt;0,SUM(BX10,BZ10),"")</f>
        <v>96.98</v>
      </c>
      <c r="CB10" s="27">
        <v>14.4</v>
      </c>
      <c r="CC10" s="27">
        <v>9.9</v>
      </c>
      <c r="CD10" s="27">
        <v>0</v>
      </c>
      <c r="CE10" s="27">
        <v>14.98</v>
      </c>
      <c r="CF10" s="27">
        <v>0</v>
      </c>
      <c r="CG10" s="27">
        <v>4.5999999999999996</v>
      </c>
      <c r="CH10" s="27">
        <v>3.6</v>
      </c>
      <c r="CI10" s="27">
        <v>4.7</v>
      </c>
      <c r="CJ10" s="27">
        <v>5.26</v>
      </c>
      <c r="CK10" s="27">
        <v>0</v>
      </c>
      <c r="CL10" s="27"/>
      <c r="CM10" s="27"/>
      <c r="CN10" s="27"/>
      <c r="CO10" s="27"/>
      <c r="CP10" s="27"/>
      <c r="CQ10" s="27">
        <v>11.3</v>
      </c>
      <c r="CR10" s="27">
        <v>9.3000000000000007</v>
      </c>
      <c r="CS10" s="27">
        <v>11.7</v>
      </c>
      <c r="CT10" s="27">
        <v>14.42</v>
      </c>
      <c r="CU10" s="27">
        <v>0</v>
      </c>
      <c r="CV10" s="32"/>
      <c r="CW10" s="7">
        <f>IF(SUM(CB10:CE10)-CF10&gt;0,SUM(CB10:CE10)-CF10,"")</f>
        <v>39.28</v>
      </c>
      <c r="CX10" s="7">
        <f>IF(CI10&gt;0,CI10,"")</f>
        <v>4.7</v>
      </c>
      <c r="CY10" s="7">
        <f>IF(SUM(CG10:CJ10)-CK10&gt;0,SUM(CG10:CJ10)-CK10,"")</f>
        <v>18.159999999999997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57.44</v>
      </c>
      <c r="DC10" s="7">
        <f>IF(CS10&gt;0,CS10,"")</f>
        <v>11.7</v>
      </c>
      <c r="DD10" s="7">
        <f>IF(SUM(CQ10:CT10)-CU10&gt;0,SUM(CQ10:CT10)-CU10,"")</f>
        <v>46.72</v>
      </c>
      <c r="DE10" s="7">
        <f>IF(SUM(DB10,DD10)&gt;0,SUM(DB10,DD10),"")</f>
        <v>104.16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14.05</v>
      </c>
      <c r="NO10" s="27">
        <f>IF($CV10="P",CC10,(CC10+AY10)/2)</f>
        <v>9.65</v>
      </c>
      <c r="NP10" s="27">
        <f>IF($CV10="P",CD10,(CD10+AZ10)/2)</f>
        <v>0</v>
      </c>
      <c r="NQ10" s="27">
        <f>IF($CV10="P",CE10,(CE10+BA10)/2)</f>
        <v>14.885</v>
      </c>
      <c r="NR10" s="27">
        <f>IF($CV10="P",CF10,(CF10+BB10)/2)</f>
        <v>0</v>
      </c>
      <c r="NS10" s="27">
        <f>IF($CV10="P",CG10,(CG10+BC10)/2)</f>
        <v>4.0999999999999996</v>
      </c>
      <c r="NT10" s="27">
        <f>IF($CV10="P",CH10,(CH10+BD10)/2)</f>
        <v>3.1500000000000004</v>
      </c>
      <c r="NU10" s="27">
        <f>IF($CV10="P",CI10,(CI10+BE10)/2)</f>
        <v>4.05</v>
      </c>
      <c r="NV10" s="27">
        <f>IF($CV10="P",CJ10,(CJ10+BF10)/2)</f>
        <v>4.8550000000000004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10.65</v>
      </c>
      <c r="OD10" s="27">
        <f>IF($CV10="P",CR10,(CR10+BN10)/2)</f>
        <v>9.0500000000000007</v>
      </c>
      <c r="OE10" s="27">
        <f>IF($CV10="P",CS10,(CS10+BO10)/2)</f>
        <v>11.75</v>
      </c>
      <c r="OF10" s="27">
        <f>IF($CV10="P",CT10,(CT10+BP10)/2)</f>
        <v>14.379999999999999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38.585000000000001</v>
      </c>
      <c r="OJ10" s="7">
        <f>IF(NU10&gt;0,NU10,"")</f>
        <v>4.05</v>
      </c>
      <c r="OK10" s="7">
        <f>IF(SUM(NS10:NV10)-NW10&gt;0,SUM(NS10:NV10)-NW10,"")</f>
        <v>16.155000000000001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54.74</v>
      </c>
      <c r="OO10" s="7">
        <f>IF(OE10&gt;0,OE10,"")</f>
        <v>11.75</v>
      </c>
      <c r="OP10" s="7">
        <f t="shared" si="4"/>
        <v>45.83</v>
      </c>
      <c r="OQ10" s="7">
        <f t="shared" si="5"/>
        <v>100.57</v>
      </c>
    </row>
    <row r="11" spans="1:407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98</v>
      </c>
      <c r="C11" s="4" t="s">
        <v>67</v>
      </c>
      <c r="D11" s="4">
        <v>2009</v>
      </c>
      <c r="E11" s="10">
        <f>SUM(I11:Q11)</f>
        <v>142.08000000000001</v>
      </c>
      <c r="F11" s="3" t="str">
        <f>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P","")</f>
        <v/>
      </c>
      <c r="G11" s="3" t="str">
        <f>IF(OR(AND(AT11&gt;=AW$21,AO11&lt;&gt;"",AN11=""),AND(BX11&gt;=CA$21,BS11&lt;&gt;"",BR11=""),AND(DB11&gt;=DE$21,CW11&lt;&gt;"",CV11=""),AND(EB11&gt;=EE$21,DY11&lt;&gt;""),AND(EX11&gt;=FA$21,EU11&lt;&gt;""),AND(FT11&gt;=FW$21,FQ11&lt;&gt;""),AND(GP11&gt;=GS$21,GM11&lt;&gt;""),AND(HL11&gt;=HO$21,HI11&lt;&gt;""),AND(IH11&gt;=IK$21,IE11&lt;&gt;""),AND(JD11&gt;=JG$21,JA11&lt;&gt;""),AND(JZ11&gt;=KC$21,JW11&lt;&gt;""),AND(KV11&gt;=KY$21,KS11&lt;&gt;""),AND(LR11&gt;=LU$21,LO11&lt;&gt;""),AND(MN11&gt;=MQ$21,MK11&lt;&gt;""),AND(NJ11&gt;=NM$21,NG11&lt;&gt;"")),"P","")</f>
        <v/>
      </c>
      <c r="H11" s="47" t="str">
        <f>IF(OR(AND(AP11&gt;=AW$20,AQ11&gt;=AW$24,AP11&lt;&gt;"",AN11=""),AND(AU11&gt;=AW$20,AV11&gt;=AW$24,AU11&lt;&gt;"",AN11=""),AND(BT11&gt;=CA$20,BU11&gt;=CA$24,BT11&lt;&gt;"",BR11=""),AND(BY11&gt;=CA$20,BZ11&gt;=CA$24,BY11&lt;&gt;"",BR11=""),AND(CX11&gt;=DE$20,CY11&gt;=DE$24,CX11&lt;&gt;"",CV11=""),AND(DC11&gt;=DE$20,DD11&gt;=DE$24,DC11&lt;&gt;"",CV11=""),AND(DY11&gt;=EE$20,EA11&gt;=EE$24,DY11&lt;&gt;""),AND(EC11&gt;=EE$20,ED11&gt;=EE$24,EC11&lt;&gt;""),AND(EU11&gt;=FA$20,EW11&gt;=FA$24,EU11&lt;&gt;""),AND(EY11&gt;=FA$20,EZ11&gt;=FA$24,EY11&lt;&gt;""),AND(FQ11&gt;=FW$20,FS11&gt;=FW$24,FQ11&lt;&gt;""),AND(FU11&gt;=FW$20,FV11&gt;=FW$24,FU11&lt;&gt;""),AND(GM11&gt;=GS$20,GO11&gt;=GS$24,GM11&lt;&gt;""),AND(GQ11&gt;=GS$20,GR11&gt;=GS$24,GQ11&lt;&gt;""),AND(HI11&gt;=HO$20,HK11&gt;=HO$24,HI11&lt;&gt;""),AND(HM11&gt;=HO$20,HN11&gt;=HO$24,HM11&lt;&gt;""),AND(IE11&gt;=IK$20,IG11&gt;=IK$24,IE11&lt;&gt;""),AND(II11&gt;=IK$20,IJ11&gt;=IK$24,II11&lt;&gt;""),AND(JA11&gt;=JG$20,JC11&gt;=JG$24,JA11&lt;&gt;""),AND(JE11&gt;=JG$20,JF11&gt;=JG$24,JE11&lt;&gt;""),AND(JW11&gt;=KC$20,JY11&gt;=KC$24,JW11&lt;&gt;""),AND(KA11&gt;=KC$20,KB11&gt;=KC$24,KA11&lt;&gt;""),AND(KS11&gt;=KY$20,KU11&gt;=KY$24,KS11&lt;&gt;""),AND(KW11&gt;=KY$20,KX11&gt;=KY$24,KW11&lt;&gt;""),AND(LO11&gt;=LU$20,LQ11&gt;=LU$24,LO11&lt;&gt;""),AND(LS11&gt;=LU$20,LT11&gt;=LU$24,LS11&lt;&gt;""),AND(MK11&gt;=MQ$20,MM11&gt;=MQ$24,MK11&lt;&gt;""),AND(MO11&gt;=MQ$20,MP11&gt;=MQ$24,MO11&lt;&gt;""),AND(NG11&gt;=NM$20,NI11&gt;=NM$24,NG11&lt;&gt;""),AND(NK11&gt;=NM$20,NL11&gt;=NM$24,NK11&lt;&gt;"")),"Merit",IF(OR(AND(AP11&gt;=AW$19,AT11&gt;=AW$23,AO11&lt;&gt;"",AN11=""),AND(BT11&gt;=CA$19,BX11&gt;=CA$23,BS11&lt;&gt;"",BR11=""),AND(CX11&gt;=DE$19,DB11&gt;=DE$23,CW11&lt;&gt;"",CV11=""),AND(DY11&gt;=EE$19,EB11&gt;=EE$23,DY11&lt;&gt;""),AND(EU11&gt;=FA$19,EX11&gt;=FA$23,EU11&lt;&gt;""),AND(FQ11&gt;=FW$19,FT11&gt;=FW$23,FQ11&lt;&gt;""),AND(GM11&gt;=GS$19,GP11&gt;=GS$23,GM11&lt;&gt;""),AND(HI11&gt;=HO$19,HL11&gt;=HO$23,HI11&lt;&gt;""),AND(IE11&gt;=IK$19,IH11&gt;=IK$23,IE11&lt;&gt;""),AND(JA11&gt;=JG$19,JD11&gt;=JG$23,JA11&lt;&gt;""),AND(JW11&gt;=KC$19,JZ11&gt;=KC$23,JW11&lt;&gt;""),AND(KS11&gt;=KY$19,KV11&gt;=KY$23,KS11&lt;&gt;""),AND(LO11&gt;=LU$19,LR11&gt;=LU$23,LO11&lt;&gt;""),AND(MK11&gt;=MQ$19,MN11&gt;=MQ$23,MK11&lt;&gt;""),AND(NG11&gt;=NM$19,NJ11&gt;=NM$23,NG11&lt;&gt;"")),"Excellence",IF(OR(AND(AP11&gt;=AW$17,AT11&gt;=AW$21,AO11&lt;&gt;"",AN11=""),AND(BT11&gt;=CA$17,BX11&gt;=CA$21,BS11&lt;&gt;"",BR11=""),AND(CX11&gt;=DE$17,DB11&gt;=DE$21,CW11&lt;&gt;"",CV11=""),AND(DY11&gt;=EE$17,EB11&gt;=EE$21,DY11&lt;&gt;""),AND(EU11&gt;=FA$17,EX11&gt;=FA$21,EU11&lt;&gt;""),AND(FQ11&gt;=FW$17,FT11&gt;=FW$21,FQ11&lt;&gt;""),AND(GM11&gt;=GS$17,GP11&gt;=GS$21,GM11&lt;&gt;""),AND(HI11&gt;=HO$17,HL11&gt;=HO$21,HI11&lt;&gt;""),AND(IE11&gt;=IK$17,IH11&gt;=IK$21,IE11&lt;&gt;""),AND(JA11&gt;=JG$17,JD11&gt;=JG$21,JA11&lt;&gt;""),AND(JW11&gt;=KC$17,JZ11&gt;=KC$21,JW11&lt;&gt;""),AND(KS11&gt;=KY$17,KV11&gt;=KY$21,KS11&lt;&gt;""),AND(LO11&gt;=LU$17,LR11&gt;=LU$21,LO11&lt;&gt;""),AND(MK11&gt;=MQ$17,MN11&gt;=MQ$21,MK11&lt;&gt;""),AND(NG11&gt;=NM$17,NJ11&gt;=NM$21,NG11&lt;&gt;"")),"National Team",IF(G11="P","No DD",""))))</f>
        <v/>
      </c>
      <c r="I11" s="9">
        <f>IF(MAX(AT11,BX11,DB11)&gt;0,MAX(AT11,BX11,DB11),0)</f>
        <v>64.349999999999994</v>
      </c>
      <c r="J11" s="9" t="str">
        <f>IF(I11=0,"",IF(I11=DB11,$CB$1,IF(I11=BX11,$AX$1,IF(I11=AT11,$T$1,""))))</f>
        <v>2025 3rd Domestic Trial</v>
      </c>
      <c r="K11" s="9">
        <f>IF($I11=$AT11,MAX(BS11,CW11),IF($I11=$BX11,MAX(AO11,CW11),IF($I11=$DB11,MAX(AO11,BS11),MAX(AO11,BS11,CW11))))</f>
        <v>39.450000000000003</v>
      </c>
      <c r="L11" s="9" t="str">
        <f>IF(K11=0,"",IF(AND(K11=CW11,$J11&lt;&gt;$CB$1),$CB$1,IF(AND(K11=BS11,$J11&lt;&gt;$AX$1),$AX$1,IF(AND(K11=AO11,$J11&lt;&gt;$T$1),$T$1,""))))</f>
        <v>2025 Nationals</v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19.59</v>
      </c>
      <c r="N11" s="9" t="str">
        <f>IF(M11=0,"",IF(AND(OR(M11=DA11,M11=CY11),$J11&lt;&gt;$CB$1),$CB$1,IF(AND(OR(M11=BW11,M11=BU11),$J11&lt;&gt;$AX$1),$AX$1,IF(AND(OR(M11=AS11,M11=AQ11),$J11&lt;&gt;$T$1),$T$1,""))))</f>
        <v>2025 Nationals</v>
      </c>
      <c r="O11" s="9">
        <f>MAX(AV11,BZ11,DD11)</f>
        <v>18.690000000000001</v>
      </c>
      <c r="P11" s="9" t="str">
        <f>IF(O11=0,"",IF(O11=DD11,$CB$1,IF(O11=BZ11,$AX$1,IF(O11=AV11,$T$1,""))))</f>
        <v>2025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23">
        <v>15.3</v>
      </c>
      <c r="AY11" s="23">
        <v>9.1999999999999993</v>
      </c>
      <c r="AZ11" s="23">
        <v>0</v>
      </c>
      <c r="BA11" s="23">
        <v>14.95</v>
      </c>
      <c r="BB11" s="23">
        <v>0</v>
      </c>
      <c r="BC11" s="23">
        <v>4.5999999999999996</v>
      </c>
      <c r="BD11" s="23">
        <v>3.4</v>
      </c>
      <c r="BE11" s="23">
        <v>5.6</v>
      </c>
      <c r="BF11" s="23">
        <v>5.99</v>
      </c>
      <c r="BG11" s="23">
        <v>0</v>
      </c>
      <c r="BH11" s="23"/>
      <c r="BI11" s="23"/>
      <c r="BJ11" s="23"/>
      <c r="BK11" s="23"/>
      <c r="BL11" s="23"/>
      <c r="BM11" s="23">
        <v>5.2</v>
      </c>
      <c r="BN11" s="23">
        <v>3.3</v>
      </c>
      <c r="BO11" s="23">
        <v>4.3</v>
      </c>
      <c r="BP11" s="23">
        <v>5.89</v>
      </c>
      <c r="BQ11" s="23">
        <v>0</v>
      </c>
      <c r="BR11" s="33"/>
      <c r="BS11" s="9">
        <f>IF(SUM(AX11:BA11)-BB11&gt;0,SUM(AX11:BA11)-BB11,"")</f>
        <v>39.450000000000003</v>
      </c>
      <c r="BT11" s="9">
        <f>IF(BE11&gt;0,BE11,"")</f>
        <v>5.6</v>
      </c>
      <c r="BU11" s="9">
        <f>IF(SUM(BC11:BF11)-BG11&gt;0,SUM(BC11:BF11)-BG11,"")</f>
        <v>19.59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59.040000000000006</v>
      </c>
      <c r="BY11" s="9">
        <f>IF(BO11&gt;0,BO11,"")</f>
        <v>4.3</v>
      </c>
      <c r="BZ11" s="9">
        <f>IF(SUM(BM11:BP11)-BQ11&gt;0,SUM(BM11:BP11)-BQ11,"")</f>
        <v>18.690000000000001</v>
      </c>
      <c r="CA11" s="9">
        <f>IF(SUM(BX11,BZ11)&gt;0,SUM(BX11,BZ11),"")</f>
        <v>77.73</v>
      </c>
      <c r="CB11" s="27">
        <v>11.2</v>
      </c>
      <c r="CC11" s="27">
        <v>6</v>
      </c>
      <c r="CD11" s="27">
        <v>0</v>
      </c>
      <c r="CE11" s="27">
        <v>10.5</v>
      </c>
      <c r="CF11" s="27">
        <v>0</v>
      </c>
      <c r="CG11" s="27">
        <v>9.1</v>
      </c>
      <c r="CH11" s="27">
        <v>6.5</v>
      </c>
      <c r="CI11" s="27">
        <v>9.8000000000000007</v>
      </c>
      <c r="CJ11" s="27">
        <v>11.25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>IF(SUM(CB11:CE11)-CF11&gt;0,SUM(CB11:CE11)-CF11,"")</f>
        <v>27.7</v>
      </c>
      <c r="CX11" s="7">
        <f>IF(CI11&gt;0,CI11,"")</f>
        <v>9.8000000000000007</v>
      </c>
      <c r="CY11" s="7">
        <f>IF(SUM(CG11:CJ11)-CK11&gt;0,SUM(CG11:CJ11)-CK11,"")</f>
        <v>36.65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64.349999999999994</v>
      </c>
      <c r="DC11" s="7" t="str">
        <f>IF(CS11&gt;0,CS11,"")</f>
        <v/>
      </c>
      <c r="DD11" s="7" t="str">
        <f>IF(SUM(CQ11:CT11)-CU11&gt;0,SUM(CQ11:CT11)-CU11,"")</f>
        <v/>
      </c>
      <c r="DE11" s="7">
        <f>IF(SUM(DB11,DD11)&gt;0,SUM(DB11,DD11),"")</f>
        <v>64.349999999999994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13.25</v>
      </c>
      <c r="NO11" s="27">
        <f>IF($CV11="P",CC11,(CC11+AY11)/2)</f>
        <v>7.6</v>
      </c>
      <c r="NP11" s="27">
        <f>IF($CV11="P",CD11,(CD11+AZ11)/2)</f>
        <v>0</v>
      </c>
      <c r="NQ11" s="27">
        <f>IF($CV11="P",CE11,(CE11+BA11)/2)</f>
        <v>12.725</v>
      </c>
      <c r="NR11" s="27">
        <f>IF($CV11="P",CF11,(CF11+BB11)/2)</f>
        <v>0</v>
      </c>
      <c r="NS11" s="27">
        <f>IF($CV11="P",CG11,(CG11+BC11)/2)</f>
        <v>6.85</v>
      </c>
      <c r="NT11" s="27">
        <f>IF($CV11="P",CH11,(CH11+BD11)/2)</f>
        <v>4.95</v>
      </c>
      <c r="NU11" s="27">
        <f>IF($CV11="P",CI11,(CI11+BE11)/2)</f>
        <v>7.7</v>
      </c>
      <c r="NV11" s="27">
        <f>IF($CV11="P",CJ11,(CJ11+BF11)/2)</f>
        <v>8.620000000000001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2.6</v>
      </c>
      <c r="OD11" s="27">
        <f>IF($CV11="P",CR11,(CR11+BN11)/2)</f>
        <v>1.65</v>
      </c>
      <c r="OE11" s="27">
        <f>IF($CV11="P",CS11,(CS11+BO11)/2)</f>
        <v>2.15</v>
      </c>
      <c r="OF11" s="27">
        <f>IF($CV11="P",CT11,(CT11+BP11)/2)</f>
        <v>2.9449999999999998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33.575000000000003</v>
      </c>
      <c r="OJ11" s="7">
        <f>IF(NU11&gt;0,NU11,"")</f>
        <v>7.7</v>
      </c>
      <c r="OK11" s="7">
        <f>IF(SUM(NS11:NV11)-NW11&gt;0,SUM(NS11:NV11)-NW11,"")</f>
        <v>28.12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61.695000000000007</v>
      </c>
      <c r="OO11" s="7">
        <f>IF(OE11&gt;0,OE11,"")</f>
        <v>2.15</v>
      </c>
      <c r="OP11" s="7">
        <f t="shared" si="4"/>
        <v>9.3450000000000006</v>
      </c>
      <c r="OQ11" s="7">
        <f t="shared" si="5"/>
        <v>71.040000000000006</v>
      </c>
    </row>
    <row r="12" spans="1:407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104</v>
      </c>
      <c r="C12" s="4" t="s">
        <v>65</v>
      </c>
      <c r="D12" s="4">
        <v>2010</v>
      </c>
      <c r="E12" s="10">
        <f>SUM(I12:Q12)</f>
        <v>138.66000000000003</v>
      </c>
      <c r="F12" s="3" t="str">
        <f>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P","")</f>
        <v/>
      </c>
      <c r="G12" s="3" t="str">
        <f>IF(OR(AND(AT12&gt;=AW$21,AO12&lt;&gt;"",AN12=""),AND(BX12&gt;=CA$21,BS12&lt;&gt;"",BR12=""),AND(DB12&gt;=DE$21,CW12&lt;&gt;"",CV12=""),AND(EB12&gt;=EE$21,DY12&lt;&gt;""),AND(EX12&gt;=FA$21,EU12&lt;&gt;""),AND(FT12&gt;=FW$21,FQ12&lt;&gt;""),AND(GP12&gt;=GS$21,GM12&lt;&gt;""),AND(HL12&gt;=HO$21,HI12&lt;&gt;""),AND(IH12&gt;=IK$21,IE12&lt;&gt;""),AND(JD12&gt;=JG$21,JA12&lt;&gt;""),AND(JZ12&gt;=KC$21,JW12&lt;&gt;""),AND(KV12&gt;=KY$21,KS12&lt;&gt;""),AND(LR12&gt;=LU$21,LO12&lt;&gt;""),AND(MN12&gt;=MQ$21,MK12&lt;&gt;""),AND(NJ12&gt;=NM$21,NG12&lt;&gt;"")),"P","")</f>
        <v/>
      </c>
      <c r="H12" s="47" t="str">
        <f>IF(OR(AND(AP12&gt;=AW$20,AQ12&gt;=AW$24,AP12&lt;&gt;"",AN12=""),AND(AU12&gt;=AW$20,AV12&gt;=AW$24,AU12&lt;&gt;"",AN12=""),AND(BT12&gt;=CA$20,BU12&gt;=CA$24,BT12&lt;&gt;"",BR12=""),AND(BY12&gt;=CA$20,BZ12&gt;=CA$24,BY12&lt;&gt;"",BR12=""),AND(CX12&gt;=DE$20,CY12&gt;=DE$24,CX12&lt;&gt;"",CV12=""),AND(DC12&gt;=DE$20,DD12&gt;=DE$24,DC12&lt;&gt;"",CV12=""),AND(DY12&gt;=EE$20,EA12&gt;=EE$24,DY12&lt;&gt;""),AND(EC12&gt;=EE$20,ED12&gt;=EE$24,EC12&lt;&gt;""),AND(EU12&gt;=FA$20,EW12&gt;=FA$24,EU12&lt;&gt;""),AND(EY12&gt;=FA$20,EZ12&gt;=FA$24,EY12&lt;&gt;""),AND(FQ12&gt;=FW$20,FS12&gt;=FW$24,FQ12&lt;&gt;""),AND(FU12&gt;=FW$20,FV12&gt;=FW$24,FU12&lt;&gt;""),AND(GM12&gt;=GS$20,GO12&gt;=GS$24,GM12&lt;&gt;""),AND(GQ12&gt;=GS$20,GR12&gt;=GS$24,GQ12&lt;&gt;""),AND(HI12&gt;=HO$20,HK12&gt;=HO$24,HI12&lt;&gt;""),AND(HM12&gt;=HO$20,HN12&gt;=HO$24,HM12&lt;&gt;""),AND(IE12&gt;=IK$20,IG12&gt;=IK$24,IE12&lt;&gt;""),AND(II12&gt;=IK$20,IJ12&gt;=IK$24,II12&lt;&gt;""),AND(JA12&gt;=JG$20,JC12&gt;=JG$24,JA12&lt;&gt;""),AND(JE12&gt;=JG$20,JF12&gt;=JG$24,JE12&lt;&gt;""),AND(JW12&gt;=KC$20,JY12&gt;=KC$24,JW12&lt;&gt;""),AND(KA12&gt;=KC$20,KB12&gt;=KC$24,KA12&lt;&gt;""),AND(KS12&gt;=KY$20,KU12&gt;=KY$24,KS12&lt;&gt;""),AND(KW12&gt;=KY$20,KX12&gt;=KY$24,KW12&lt;&gt;""),AND(LO12&gt;=LU$20,LQ12&gt;=LU$24,LO12&lt;&gt;""),AND(LS12&gt;=LU$20,LT12&gt;=LU$24,LS12&lt;&gt;""),AND(MK12&gt;=MQ$20,MM12&gt;=MQ$24,MK12&lt;&gt;""),AND(MO12&gt;=MQ$20,MP12&gt;=MQ$24,MO12&lt;&gt;""),AND(NG12&gt;=NM$20,NI12&gt;=NM$24,NG12&lt;&gt;""),AND(NK12&gt;=NM$20,NL12&gt;=NM$24,NK12&lt;&gt;"")),"Merit",IF(OR(AND(AP12&gt;=AW$19,AT12&gt;=AW$23,AO12&lt;&gt;"",AN12=""),AND(BT12&gt;=CA$19,BX12&gt;=CA$23,BS12&lt;&gt;"",BR12=""),AND(CX12&gt;=DE$19,DB12&gt;=DE$23,CW12&lt;&gt;"",CV12=""),AND(DY12&gt;=EE$19,EB12&gt;=EE$23,DY12&lt;&gt;""),AND(EU12&gt;=FA$19,EX12&gt;=FA$23,EU12&lt;&gt;""),AND(FQ12&gt;=FW$19,FT12&gt;=FW$23,FQ12&lt;&gt;""),AND(GM12&gt;=GS$19,GP12&gt;=GS$23,GM12&lt;&gt;""),AND(HI12&gt;=HO$19,HL12&gt;=HO$23,HI12&lt;&gt;""),AND(IE12&gt;=IK$19,IH12&gt;=IK$23,IE12&lt;&gt;""),AND(JA12&gt;=JG$19,JD12&gt;=JG$23,JA12&lt;&gt;""),AND(JW12&gt;=KC$19,JZ12&gt;=KC$23,JW12&lt;&gt;""),AND(KS12&gt;=KY$19,KV12&gt;=KY$23,KS12&lt;&gt;""),AND(LO12&gt;=LU$19,LR12&gt;=LU$23,LO12&lt;&gt;""),AND(MK12&gt;=MQ$19,MN12&gt;=MQ$23,MK12&lt;&gt;""),AND(NG12&gt;=NM$19,NJ12&gt;=NM$23,NG12&lt;&gt;"")),"Excellence",IF(OR(AND(AP12&gt;=AW$17,AT12&gt;=AW$21,AO12&lt;&gt;"",AN12=""),AND(BT12&gt;=CA$17,BX12&gt;=CA$21,BS12&lt;&gt;"",BR12=""),AND(CX12&gt;=DE$17,DB12&gt;=DE$21,CW12&lt;&gt;"",CV12=""),AND(DY12&gt;=EE$17,EB12&gt;=EE$21,DY12&lt;&gt;""),AND(EU12&gt;=FA$17,EX12&gt;=FA$21,EU12&lt;&gt;""),AND(FQ12&gt;=FW$17,FT12&gt;=FW$21,FQ12&lt;&gt;""),AND(GM12&gt;=GS$17,GP12&gt;=GS$21,GM12&lt;&gt;""),AND(HI12&gt;=HO$17,HL12&gt;=HO$21,HI12&lt;&gt;""),AND(IE12&gt;=IK$17,IH12&gt;=IK$21,IE12&lt;&gt;""),AND(JA12&gt;=JG$17,JD12&gt;=JG$21,JA12&lt;&gt;""),AND(JW12&gt;=KC$17,JZ12&gt;=KC$21,JW12&lt;&gt;""),AND(KS12&gt;=KY$17,KV12&gt;=KY$21,KS12&lt;&gt;""),AND(LO12&gt;=LU$17,LR12&gt;=LU$21,LO12&lt;&gt;""),AND(MK12&gt;=MQ$17,MN12&gt;=MQ$21,MK12&lt;&gt;""),AND(NG12&gt;=NM$17,NJ12&gt;=NM$21,NG12&lt;&gt;"")),"National Team",IF(G12="P","No DD",""))))</f>
        <v/>
      </c>
      <c r="I12" s="9">
        <f>IF(MAX(AT12,BX12,DB12)&gt;0,MAX(AT12,BX12,DB12),0)</f>
        <v>89.62</v>
      </c>
      <c r="J12" s="9" t="str">
        <f>IF(I12=0,"",IF(I12=DB12,$CB$1,IF(I12=BX12,$AX$1,IF(I12=AT12,$T$1,""))))</f>
        <v>2025 Nationals</v>
      </c>
      <c r="K12" s="9">
        <f>IF($I12=$AT12,MAX(BS12,CW12),IF($I12=$BX12,MAX(AO12,CW12),IF($I12=$DB12,MAX(AO12,BS12),MAX(AO12,BS12,CW12))))</f>
        <v>0</v>
      </c>
      <c r="L12" s="9" t="str">
        <f>IF(K12=0,"",IF(AND(K12=CW12,$J12&lt;&gt;$CB$1),$CB$1,IF(AND(K12=BS12,$J12&lt;&gt;$AX$1),$AX$1,IF(AND(K12=AO12,$J12&lt;&gt;$T$1),$T$1,""))))</f>
        <v/>
      </c>
      <c r="M12" s="9">
        <f>IF(I12-N(AO12)=AQ12,MAX(AS12,BU12,BW12,CY12,DA12),IF(I12-N(AO12)=AS12,MAX(AQ12,BU12,BW12,CY12,DA12),IF(I12-N(BS12)=BU12,MAX(AQ12,AS12,BW12,CY12,DA12),IF(I12-N(BS12)=BW12,MAX(AQ12,AS12,BU12,CY12,DA12),IF(I12-N(CW12)=CY12,MAX(AQ12,AS12,BU12,BW12,DA12),IF(I12-N(CW12)=DA12,MAX(AQ12,AS12,BU12,BW12,CY12),MAX(AQ12,AS12,BU12,BW12,CY12,DA12)))))))</f>
        <v>0</v>
      </c>
      <c r="N12" s="9" t="str">
        <f>IF(M12=0,"",IF(AND(OR(M12=DA12,M12=CY12),$J12&lt;&gt;$CB$1),$CB$1,IF(AND(OR(M12=BW12,M12=BU12),$J12&lt;&gt;$AX$1),$AX$1,IF(AND(OR(M12=AS12,M12=AQ12),$J12&lt;&gt;$T$1),$T$1,""))))</f>
        <v/>
      </c>
      <c r="O12" s="9">
        <f>MAX(AV12,BZ12,DD12)</f>
        <v>49.040000000000006</v>
      </c>
      <c r="P12" s="9" t="str">
        <f>IF(O12=0,"",IF(O12=DD12,$CB$1,IF(O12=BZ12,$AX$1,IF(O12=AV12,$T$1,""))))</f>
        <v>2025 Nationals</v>
      </c>
      <c r="Q12" s="9" t="str">
        <f>IF(MAX(DF12,DG12,DH12,DI12)&gt;0,MAX(DF12,DG12,DH12,DI12),"")</f>
        <v/>
      </c>
      <c r="R12" s="14" t="str">
        <f>IF(Q12="","",IF(Q12=DF12,"(Vol 1)",IF(Q12=DG12,"(Vol 2)",IF(Q12=DH12,"(Prelim)",IF(Q12=DI12,"(Final)")))))</f>
        <v/>
      </c>
      <c r="S12" s="9" t="str">
        <f>IF(Q12="","",IF(Q12=DF12,IF(Q12+IF(K12="",0,K12)=NH12,$MR$1,IF(Q12+IF(K12="",0,K12)=ML12,$LV$1,IF(Q12+IF(K12="",0,K12)=LP12,$KZ$1,IF(Q12+IF(K12="",0,K12)=KT12,$KD$1,IF(Q12+IF(K12="",0,K12)=JX12,$JH$1,IF(Q12+IF(K12="",0,K12)=JB12,$IL$1,IF(Q12+IF(K12="",0,K12)=IF12,$HP$1,IF(Q12+IF(K12="",0,K12)=HJ12,$GT$1,IF(Q12+IF(K12="",0,K12)=GN12,$FX$1,IF(Q12+IF(K12="",0,K12)=FR12,$FB$1,IF(Q12+IF(K12="",0,K12)=EV12,$EF$1,IF(Q12+IF(K12="",0,K12)=DZ12,$DJ$1)))))))))))),IF(Q12=DG12,IF(Q12+IF(M12="",0,M12)=NI12,$MR$1,IF(Q12+IF(M12="",0,M12)=MM12,$LV$1,IF(Q12+IF(M12="",0,M12)=LQ12,$KZ$1,IF(Q12+IF(M12="",0,M12)=KU12,$KD$1,IF(Q12+IF(M12="",0,M12)=JY12,$JH$1,IF(Q12+IF(M12="",0,M12)=JC12,$IL$1,IF(Q12+IF(M12="",0,M12)=IG12,$HP$1,IF(Q12+IF(M12="",0,M12)=HK12,$GT$1,IF(Q12+IF(M12="",0,M12)=GO12,$FX$1,IF(Q12+IF(M12="",0,M12)=FS12,$FB$1,IF(Q12+IF(M12="",0,M12)=EW12,$EF$1,IF(Q12+IF(M12="",0,M12)=EA12,$DJ$1)))))))))))),IF(Q12=DH12,IF(Q12+IF(I12="",0,I12)=NJ12,$MR$1,IF(Q12+IF(I12="",0,I12)=MN12,$LV$1,IF(Q12+IF(I12="",0,I12)=LR12,$KZ$1,IF(Q12+IF(I12="",0,I12)=KV12,$KD$1,IF(Q12+IF(I12="",0,I12)=JZ12,$JH$1,IF(Q12+IF(I12="",0,I12)=JD12,$IL$1,IF(Q12+IF(I12="",0,I12)=IH12,$HP$1,IF(Q12+IF(I12="",0,I12)=HL12,$GT$1,IF(Q12+IF(I12="",0,I12)=GP12,$FX$1,IF(Q12+IF(I12="",0,I12)=FT12,$FB$1,IF(Q12+IF(I12="",0,I12)=EX12,$EF$1,IF(Q12+IF(I12="",0,I12)=EB12,$DJ$1)))))))))))),IF(Q12=DI12,IF(Q12+IF(O12="",0,O12)=NL12,$MR$1,IF(Q12+IF(O12="",0,O12)=MP12,$LV$1,IF(Q12+IF(O12="",0,O12)=LT12,$KZ$1,IF(Q12+IF(O12="",0,O12)=KX12,$KD$1,IF(Q12+IF(O12="",0,O12)=KB12,$JH$1,IF(Q12+IF(O12="",0,O12)=JF12,$IL$1,IF(Q12+IF(O12="",0,O12)=IJ12,$HP$1,IF(Q12+IF(O12="",0,O12)=HN12,$GT$1,IF(Q12+IF(O12="",0,O12)=GR12,$FX$1,IF(Q12+IF(O12="",0,O12)=FV12,$FB$1,IF(Q12+IF(O12="",0,O12)=EZ12,$EF$1,IF(Q12+IF(O12="",0,O12)=ED12,$DJ$1)))))))))))))))))</f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32"/>
      <c r="AO12" s="7" t="str">
        <f>IF(SUM(T12:W12)-X12&gt;0,SUM(T12:W12)-X12,"")</f>
        <v/>
      </c>
      <c r="AP12" s="7" t="str">
        <f>IF(AA12&gt;0,AA12,"")</f>
        <v/>
      </c>
      <c r="AQ12" s="7" t="str">
        <f>IF(SUM(Y12:AB12)-AC12&gt;0,SUM(Y12:AB12)-AC12,"")</f>
        <v/>
      </c>
      <c r="AR12" s="7" t="str">
        <f>IF(AF12&gt;0,AF12,"")</f>
        <v/>
      </c>
      <c r="AS12" s="7" t="str">
        <f>IF(SUM(AD12:AG12)-AH12&gt;0,SUM(AD12:AG12)-AH12,"")</f>
        <v/>
      </c>
      <c r="AT12" s="7" t="str">
        <f>IF(AO12="",IF(MAX(AQ12,AS12)&gt;0,MAX(AQ12,AS12),""),MAX(AQ12,AS12)+AO12)</f>
        <v/>
      </c>
      <c r="AU12" s="7" t="str">
        <f>IF(AK12&gt;0,AK12,"")</f>
        <v/>
      </c>
      <c r="AV12" s="7" t="str">
        <f>IF(SUM(AI12:AL12)-AM12&gt;0,SUM(AI12:AL12)-AM12,"")</f>
        <v/>
      </c>
      <c r="AW12" s="7" t="str">
        <f>IF(SUM(AT12,AV12)&gt;0,SUM(AT12,AV12),"")</f>
        <v/>
      </c>
      <c r="AX12" s="23">
        <v>16.8</v>
      </c>
      <c r="AY12" s="23">
        <v>9.5</v>
      </c>
      <c r="AZ12" s="23">
        <v>0</v>
      </c>
      <c r="BA12" s="23">
        <v>14.95</v>
      </c>
      <c r="BB12" s="23">
        <v>0</v>
      </c>
      <c r="BC12" s="23">
        <v>12.7</v>
      </c>
      <c r="BD12" s="23">
        <v>9.1</v>
      </c>
      <c r="BE12" s="23">
        <v>12</v>
      </c>
      <c r="BF12" s="23">
        <v>14.57</v>
      </c>
      <c r="BG12" s="23">
        <v>0</v>
      </c>
      <c r="BH12" s="23"/>
      <c r="BI12" s="23"/>
      <c r="BJ12" s="23"/>
      <c r="BK12" s="23"/>
      <c r="BL12" s="23"/>
      <c r="BM12" s="23">
        <v>13.5</v>
      </c>
      <c r="BN12" s="23">
        <v>9.1999999999999993</v>
      </c>
      <c r="BO12" s="23">
        <v>12</v>
      </c>
      <c r="BP12" s="23">
        <v>14.34</v>
      </c>
      <c r="BQ12" s="23">
        <v>0</v>
      </c>
      <c r="BR12" s="33"/>
      <c r="BS12" s="9">
        <f>IF(SUM(AX12:BA12)-BB12&gt;0,SUM(AX12:BA12)-BB12,"")</f>
        <v>41.25</v>
      </c>
      <c r="BT12" s="9">
        <f>IF(BE12&gt;0,BE12,"")</f>
        <v>12</v>
      </c>
      <c r="BU12" s="9">
        <f>IF(SUM(BC12:BF12)-BG12&gt;0,SUM(BC12:BF12)-BG12,"")</f>
        <v>48.37</v>
      </c>
      <c r="BV12" s="9" t="str">
        <f>IF(BJ12&gt;0,BJ12,"")</f>
        <v/>
      </c>
      <c r="BW12" s="9" t="str">
        <f>IF(SUM(BH12:BK12)-BL12&gt;0,SUM(BH12:BK12)-BL12,"")</f>
        <v/>
      </c>
      <c r="BX12" s="9">
        <f>IF(BS12="",IF(MAX(BU12,BW12)&gt;0,MAX(BU12,BW12),""),MAX(BU12,BW12)+BS12)</f>
        <v>89.62</v>
      </c>
      <c r="BY12" s="9">
        <f>IF(BO12&gt;0,BO12,"")</f>
        <v>12</v>
      </c>
      <c r="BZ12" s="9">
        <f>IF(SUM(BM12:BP12)-BQ12&gt;0,SUM(BM12:BP12)-BQ12,"")</f>
        <v>49.040000000000006</v>
      </c>
      <c r="CA12" s="9">
        <f>IF(SUM(BX12,BZ12)&gt;0,SUM(BX12,BZ12),"")</f>
        <v>138.66000000000003</v>
      </c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32"/>
      <c r="CW12" s="7" t="str">
        <f>IF(SUM(CB12:CE12)-CF12&gt;0,SUM(CB12:CE12)-CF12,"")</f>
        <v/>
      </c>
      <c r="CX12" s="7" t="str">
        <f>IF(CI12&gt;0,CI12,"")</f>
        <v/>
      </c>
      <c r="CY12" s="7" t="str">
        <f>IF(SUM(CG12:CJ12)-CK12&gt;0,SUM(CG12:CJ12)-CK12,"")</f>
        <v/>
      </c>
      <c r="CZ12" s="7" t="str">
        <f>IF(CN12&gt;0,CN12,"")</f>
        <v/>
      </c>
      <c r="DA12" s="7" t="str">
        <f>IF(SUM(CL12:CO12)-CP12&gt;0,SUM(CL12:CO12)-CP12,"")</f>
        <v/>
      </c>
      <c r="DB12" s="7" t="str">
        <f>IF(CW12="",IF(MAX(CY12,DA12)&gt;0,MAX(CY12,DA12),""),MAX(CY12,DA12)+CW12)</f>
        <v/>
      </c>
      <c r="DC12" s="7" t="str">
        <f>IF(CS12&gt;0,CS12,"")</f>
        <v/>
      </c>
      <c r="DD12" s="7" t="str">
        <f>IF(SUM(CQ12:CT12)-CU12&gt;0,SUM(CQ12:CT12)-CU12,"")</f>
        <v/>
      </c>
      <c r="DE12" s="7" t="str">
        <f>IF(SUM(DB12,DD12)&gt;0,SUM(DB12,DD12),"")</f>
        <v/>
      </c>
      <c r="DF12" s="13" t="str">
        <f>IF(MAX(DZ12,EV12,FR12,GN12,HJ12,IF12,JB12,JX12,KT12,LP12,ML12,NH12)-IF(K12="",0,K12)&gt;0.001,MAX(DZ12,EV12,FR12,GN12,HJ12,IF12,JB12,JX12,KT12,LP12,ML12,NH12)-IF(K12="",0,K12),"")</f>
        <v/>
      </c>
      <c r="DG12" s="13" t="str">
        <f>IF(MAX(EA12,EW12,FS12,GO12,HK12,IG12,JC12,JY12,KU12,LQ12,MM12,NI12)-IF(M12="",0,M12)&gt;0.001,MAX(EA12,EW12,FS12,GO12,HK12,IG12,JC12,JY12,KU12,LQ12,MM12,NI12)-IF(M12="",0,M12),"")</f>
        <v/>
      </c>
      <c r="DH12" s="13" t="str">
        <f>IF(MAX(EB12,EX12,FT12,GP12,HL12,IH12,JD12,JZ12,KV12,LR12,MN12,NJ12)-IF(I12="",0,I12)&gt;0.001,MAX(EB12,EX12,FT12,GP12,HL12,IH12,JD12,JZ12,KV12,LR12,MN12,NJ12)-IF(I12="",0,I12),"")</f>
        <v/>
      </c>
      <c r="DI12" s="13" t="str">
        <f>IF(MAX(ED12,EZ12,FV12,GR12,HN12,IJ12,JF12,KB12,KX12,LT12,MP12,NL12)-IF(O12="",0,O12)&gt;0.001,MAX(ED12,EZ12,FV12,GR12,HN12,IJ12,JF12,KB12,KX12,LT12,MP12,NL12)-IF(O12="",0,O12),"")</f>
        <v/>
      </c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7" t="str">
        <f>IF(DQ12&gt;0,DQ12,"")</f>
        <v/>
      </c>
      <c r="DZ12" s="7" t="str">
        <f>IF(SUM(DJ12:DM12)-DN12&gt;0,SUM(DJ12:DM12)-DN12,"")</f>
        <v/>
      </c>
      <c r="EA12" s="7" t="str">
        <f>IF(SUM(DO12:DR12)-DS12&gt;0,SUM(DO12:DR12)-DS12,"")</f>
        <v/>
      </c>
      <c r="EB12" s="7" t="str">
        <f>IF(SUM(DZ12:EA12)&gt;0,SUM(DZ12:EA12),"")</f>
        <v/>
      </c>
      <c r="EC12" s="7" t="str">
        <f>IF(DV12&gt;0,DV12,"")</f>
        <v/>
      </c>
      <c r="ED12" s="7" t="str">
        <f>IF(SUM(DT12:DW12)-DX12&gt;0,SUM(DT12:DW12)-DX12,"")</f>
        <v/>
      </c>
      <c r="EE12" s="7" t="str">
        <f>IF(SUM(EB12,ED12)&gt;0,SUM(EB12,ED12),"")</f>
        <v/>
      </c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9" t="str">
        <f>IF(EM12&gt;0,EM12,"")</f>
        <v/>
      </c>
      <c r="EV12" s="9" t="str">
        <f>IF(SUM(EF12:EI12)-EJ12&gt;0,SUM(EF12:EI12)-EJ12,"")</f>
        <v/>
      </c>
      <c r="EW12" s="9" t="str">
        <f>IF(SUM(EK12:EN12)-EO12&gt;0,SUM(EK12:EN12)-EO12,"")</f>
        <v/>
      </c>
      <c r="EX12" s="9" t="str">
        <f>IF(SUM(EV12:EW12)&gt;0,SUM(EV12:EW12),"")</f>
        <v/>
      </c>
      <c r="EY12" s="9" t="str">
        <f>IF(ER12&gt;0,ER12,"")</f>
        <v/>
      </c>
      <c r="EZ12" s="9" t="str">
        <f>IF(SUM(EP12:ES12)-ET12&gt;0,SUM(EP12:ES12)-ET12,"")</f>
        <v/>
      </c>
      <c r="FA12" s="9" t="str">
        <f>IF(SUM(EX12,EZ12)&gt;0,SUM(EX12,EZ12),"")</f>
        <v/>
      </c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7" t="str">
        <f>IF(FI12&gt;0,FI12,"")</f>
        <v/>
      </c>
      <c r="FR12" s="7" t="str">
        <f>IF(SUM(FB12:FE12)-FF12&gt;0,SUM(FB12:FE12)-FF12,"")</f>
        <v/>
      </c>
      <c r="FS12" s="7" t="str">
        <f>IF(SUM(FG12:FJ12)-FK12&gt;0,SUM(FG12:FJ12)-FK12,"")</f>
        <v/>
      </c>
      <c r="FT12" s="7" t="str">
        <f>IF(SUM(FR12:FS12)&gt;0,SUM(FR12:FS12),"")</f>
        <v/>
      </c>
      <c r="FU12" s="7" t="str">
        <f>IF(FN12&gt;0,FN12,"")</f>
        <v/>
      </c>
      <c r="FV12" s="7" t="str">
        <f>IF(SUM(FL12:FO12)-FP12&gt;0,SUM(FL12:FO12)-FP12,"")</f>
        <v/>
      </c>
      <c r="FW12" s="7" t="str">
        <f>IF(SUM(FT12,FV12)&gt;0,SUM(FT12,FV12),"")</f>
        <v/>
      </c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9" t="str">
        <f>IF(GE12&gt;0,GE12,"")</f>
        <v/>
      </c>
      <c r="GN12" s="9" t="str">
        <f>IF(SUM(FX12:GA12)-GB12&gt;0,SUM(FX12:GA12)-GB12,"")</f>
        <v/>
      </c>
      <c r="GO12" s="9" t="str">
        <f>IF(SUM(GC12:GF12)-GG12&gt;0,SUM(GC12:GF12)-GG12,"")</f>
        <v/>
      </c>
      <c r="GP12" s="9" t="str">
        <f>IF(SUM(GN12:GO12)&gt;0,SUM(GN12:GO12),"")</f>
        <v/>
      </c>
      <c r="GQ12" s="9" t="str">
        <f>IF(GJ12&gt;0,GJ12,"")</f>
        <v/>
      </c>
      <c r="GR12" s="9" t="str">
        <f>IF(SUM(GH12:GK12)-GL12&gt;0,SUM(GH12:GK12)-GL12,"")</f>
        <v/>
      </c>
      <c r="GS12" s="9" t="str">
        <f>IF(SUM(GP12,GR12)&gt;0,SUM(GP12,GR12),"")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7" t="str">
        <f>IF(HA12&gt;0,HA12,"")</f>
        <v/>
      </c>
      <c r="HJ12" s="7" t="str">
        <f>IF(SUM(GT12:GW12)-GX12&gt;0,SUM(GT12:GW12)-GX12,"")</f>
        <v/>
      </c>
      <c r="HK12" s="7" t="str">
        <f>IF(SUM(GY12:HB12)-HC12&gt;0,SUM(GY12:HB12)-HC12,"")</f>
        <v/>
      </c>
      <c r="HL12" s="7" t="str">
        <f>IF(SUM(HJ12:HK12)&gt;0,SUM(HJ12:HK12),"")</f>
        <v/>
      </c>
      <c r="HM12" s="7" t="str">
        <f>IF(HF12&gt;0,HF12,"")</f>
        <v/>
      </c>
      <c r="HN12" s="7" t="str">
        <f>IF(SUM(HD12:HG12)-HH12&gt;0,SUM(HD12:HG12)-HH12,"")</f>
        <v/>
      </c>
      <c r="HO12" s="7" t="str">
        <f>IF(SUM(HL12,HN12)&gt;0,SUM(HL12,HN12),"")</f>
        <v/>
      </c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9" t="str">
        <f>IF(HW12&gt;0,HW12,"")</f>
        <v/>
      </c>
      <c r="IF12" s="9" t="str">
        <f>IF(SUM(HP12:HS12)-HT12&gt;0,SUM(HP12:HS12)-HT12,"")</f>
        <v/>
      </c>
      <c r="IG12" s="9" t="str">
        <f>IF(SUM(HU12:HX12)-HY12&gt;0,SUM(HU12:HX12)-HY12,"")</f>
        <v/>
      </c>
      <c r="IH12" s="9" t="str">
        <f>IF(SUM(IF12:IG12)&gt;0,SUM(IF12:IG12),"")</f>
        <v/>
      </c>
      <c r="II12" s="9" t="str">
        <f>IF(IB12&gt;0,IB12,"")</f>
        <v/>
      </c>
      <c r="IJ12" s="9" t="str">
        <f>IF(SUM(HZ12:IC12)-ID12&gt;0,SUM(HZ12:IC12)-ID12,"")</f>
        <v/>
      </c>
      <c r="IK12" s="9" t="str">
        <f>IF(SUM(IH12,IJ12)&gt;0,SUM(IH12,IJ12),"")</f>
        <v/>
      </c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7" t="str">
        <f>IF(IS12&gt;0,IS12,"")</f>
        <v/>
      </c>
      <c r="JB12" s="7" t="str">
        <f>IF(SUM(IL12:IO12)-IP12&gt;0,SUM(IL12:IO12)-IP12,"")</f>
        <v/>
      </c>
      <c r="JC12" s="7" t="str">
        <f>IF(SUM(IQ12:IT12)-IU12&gt;0,SUM(IQ12:IT12)-IU12,"")</f>
        <v/>
      </c>
      <c r="JD12" s="7" t="str">
        <f>IF(SUM(JB12:JC12)&gt;0,SUM(JB12:JC12),"")</f>
        <v/>
      </c>
      <c r="JE12" s="7" t="str">
        <f>IF(IX12&gt;0,IX12,"")</f>
        <v/>
      </c>
      <c r="JF12" s="7" t="str">
        <f>IF(SUM(IV12:IY12)-IZ12&gt;0,SUM(IV12:IY12)-IZ12,"")</f>
        <v/>
      </c>
      <c r="JG12" s="7" t="str">
        <f>IF(SUM(JD12,JF12)&gt;0,SUM(JD12,JF12),"")</f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9" t="str">
        <f>IF(JO12&gt;0,JO12,"")</f>
        <v/>
      </c>
      <c r="JX12" s="9" t="str">
        <f>IF(SUM(JH12:JK12)-JL12&gt;0,SUM(JH12:JK12)-JL12,"")</f>
        <v/>
      </c>
      <c r="JY12" s="9" t="str">
        <f>IF(SUM(JM12:JP12)-JQ12&gt;0,SUM(JM12:JP12)-JQ12,"")</f>
        <v/>
      </c>
      <c r="JZ12" s="9" t="str">
        <f>IF(SUM(JX12:JY12)&gt;0,SUM(JX12:JY12),"")</f>
        <v/>
      </c>
      <c r="KA12" s="9" t="str">
        <f>IF(JT12&gt;0,JT12,"")</f>
        <v/>
      </c>
      <c r="KB12" s="9" t="str">
        <f>IF(SUM(JR12:JU12)-JV12&gt;0,SUM(JR12:JU12)-JV12,"")</f>
        <v/>
      </c>
      <c r="KC12" s="9" t="str">
        <f>IF(SUM(JZ12,KB12)&gt;0,SUM(JZ12,KB12),"")</f>
        <v/>
      </c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7" t="str">
        <f>IF(KK12&gt;0,KK12,"")</f>
        <v/>
      </c>
      <c r="KT12" s="7" t="str">
        <f>IF(SUM(KD12:KG12)-KH12&gt;0,SUM(KD12:KG12)-KH12,"")</f>
        <v/>
      </c>
      <c r="KU12" s="7" t="str">
        <f>IF(SUM(KI12:KL12)-KM12&gt;0,SUM(KI12:KL12)-KM12,"")</f>
        <v/>
      </c>
      <c r="KV12" s="7" t="str">
        <f>IF(SUM(KT12:KU12)&gt;0,SUM(KT12:KU12),"")</f>
        <v/>
      </c>
      <c r="KW12" s="7" t="str">
        <f>IF(KP12&gt;0,KP12,"")</f>
        <v/>
      </c>
      <c r="KX12" s="7" t="str">
        <f>IF(SUM(KN12:KQ12)-KR12&gt;0,SUM(KN12:KQ12)-KR12,"")</f>
        <v/>
      </c>
      <c r="KY12" s="7" t="str">
        <f>IF(SUM(KV12,KX12)&gt;0,SUM(KV12,KX12),"")</f>
        <v/>
      </c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9" t="str">
        <f>IF(LG12&gt;0,LG12,"")</f>
        <v/>
      </c>
      <c r="LP12" s="9" t="str">
        <f>IF(SUM(KZ12:LC12)-LD12&gt;0,SUM(KZ12:LC12)-LD12,"")</f>
        <v/>
      </c>
      <c r="LQ12" s="9" t="str">
        <f>IF(SUM(LE12:LH12)-LI12&gt;0,SUM(LE12:LH12)-LI12,"")</f>
        <v/>
      </c>
      <c r="LR12" s="9" t="str">
        <f>IF(SUM(LP12:LQ12)&gt;0,SUM(LP12:LQ12),"")</f>
        <v/>
      </c>
      <c r="LS12" s="9" t="str">
        <f>IF(LL12&gt;0,LL12,"")</f>
        <v/>
      </c>
      <c r="LT12" s="9" t="str">
        <f>IF(SUM(LJ12:LM12)-LN12&gt;0,SUM(LJ12:LM12)-LN12,"")</f>
        <v/>
      </c>
      <c r="LU12" s="9" t="str">
        <f>IF(SUM(LR12,LT12)&gt;0,SUM(LR12,LT12),"")</f>
        <v/>
      </c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7" t="str">
        <f>IF(MC12&gt;0,MC12,"")</f>
        <v/>
      </c>
      <c r="ML12" s="7" t="str">
        <f>IF(SUM(LV12:LY12)-LZ12&gt;0,SUM(LV12:LY12)-LZ12,"")</f>
        <v/>
      </c>
      <c r="MM12" s="7" t="str">
        <f>IF(SUM(MA12:MD12)-ME12&gt;0,SUM(MA12:MD12)-ME12,"")</f>
        <v/>
      </c>
      <c r="MN12" s="7" t="str">
        <f>IF(SUM(ML12:MM12)&gt;0,SUM(ML12:MM12),"")</f>
        <v/>
      </c>
      <c r="MO12" s="7" t="str">
        <f>IF(MH12&gt;0,MH12,"")</f>
        <v/>
      </c>
      <c r="MP12" s="7" t="str">
        <f>IF(SUM(MF12:MI12)-MJ12&gt;0,SUM(MF12:MI12)-MJ12,"")</f>
        <v/>
      </c>
      <c r="MQ12" s="7" t="str">
        <f>IF(SUM(MN12,MP12)&gt;0,SUM(MN12,MP12),"")</f>
        <v/>
      </c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9" t="str">
        <f>IF(MY12&gt;0,MY12,"")</f>
        <v/>
      </c>
      <c r="NH12" s="9" t="str">
        <f>IF(SUM(MR12:MU12)-MV12&gt;0,SUM(MR12:MU12)-MV12,"")</f>
        <v/>
      </c>
      <c r="NI12" s="9" t="str">
        <f>IF(SUM(MW12:MZ12)-NA12&gt;0,SUM(MW12:MZ12)-NA12,"")</f>
        <v/>
      </c>
      <c r="NJ12" s="9" t="str">
        <f>IF(SUM(NH12:NI12)&gt;0,SUM(NH12:NI12),"")</f>
        <v/>
      </c>
      <c r="NK12" s="9" t="str">
        <f>IF(ND12&gt;0,ND12,"")</f>
        <v/>
      </c>
      <c r="NL12" s="9" t="str">
        <f>IF(SUM(NB12:NE12)-NF12&gt;0,SUM(NB12:NE12)-NF12,"")</f>
        <v/>
      </c>
      <c r="NM12" s="9" t="str">
        <f>IF(SUM(NJ12,NL12)&gt;0,SUM(NJ12,NL12),"")</f>
        <v/>
      </c>
      <c r="NN12" s="27">
        <f>IF($CV12="P",CB12,(CB12+AX12)/2)</f>
        <v>8.4</v>
      </c>
      <c r="NO12" s="27">
        <f>IF($CV12="P",CC12,(CC12+AY12)/2)</f>
        <v>4.75</v>
      </c>
      <c r="NP12" s="27">
        <f>IF($CV12="P",CD12,(CD12+AZ12)/2)</f>
        <v>0</v>
      </c>
      <c r="NQ12" s="27">
        <f>IF($CV12="P",CE12,(CE12+BA12)/2)</f>
        <v>7.4749999999999996</v>
      </c>
      <c r="NR12" s="27">
        <f>IF($CV12="P",CF12,(CF12+BB12)/2)</f>
        <v>0</v>
      </c>
      <c r="NS12" s="27">
        <f>IF($CV12="P",CG12,(CG12+BC12)/2)</f>
        <v>6.35</v>
      </c>
      <c r="NT12" s="27">
        <f>IF($CV12="P",CH12,(CH12+BD12)/2)</f>
        <v>4.55</v>
      </c>
      <c r="NU12" s="27">
        <f>IF($CV12="P",CI12,(CI12+BE12)/2)</f>
        <v>6</v>
      </c>
      <c r="NV12" s="27">
        <f>IF($CV12="P",CJ12,(CJ12+BF12)/2)</f>
        <v>7.2850000000000001</v>
      </c>
      <c r="NW12" s="27">
        <f>IF($CV12="P",CK12,(CK12+BG12)/2)</f>
        <v>0</v>
      </c>
      <c r="NX12" s="27">
        <f>IF($CV12="P",CL12,(CL12+BH12)/2)</f>
        <v>0</v>
      </c>
      <c r="NY12" s="27">
        <f>IF($CV12="P",CM12,(CM12+BI12)/2)</f>
        <v>0</v>
      </c>
      <c r="NZ12" s="27">
        <f>IF($CV12="P",CN12,(CN12+BJ12)/2)</f>
        <v>0</v>
      </c>
      <c r="OA12" s="27">
        <f>IF($CV12="P",CO12,(CO12+BK12)/2)</f>
        <v>0</v>
      </c>
      <c r="OB12" s="27">
        <f>IF($CV12="P",CP12,(CP12+BL12)/2)</f>
        <v>0</v>
      </c>
      <c r="OC12" s="27">
        <f>IF($CV12="P",CQ12,(CQ12+BM12)/2)</f>
        <v>6.75</v>
      </c>
      <c r="OD12" s="27">
        <f>IF($CV12="P",CR12,(CR12+BN12)/2)</f>
        <v>4.5999999999999996</v>
      </c>
      <c r="OE12" s="27">
        <f>IF($CV12="P",CS12,(CS12+BO12)/2)</f>
        <v>6</v>
      </c>
      <c r="OF12" s="27">
        <f>IF($CV12="P",CT12,(CT12+BP12)/2)</f>
        <v>7.17</v>
      </c>
      <c r="OG12" s="27">
        <f>IF($CV12="P",CU12,(CU12+BQ12)/2)</f>
        <v>0</v>
      </c>
      <c r="OH12" s="32" t="s">
        <v>44</v>
      </c>
      <c r="OI12" s="7">
        <f>IF(SUM(NN12:NQ12)-NR12&gt;0,SUM(NN12:NQ12)-NR12,"")</f>
        <v>20.625</v>
      </c>
      <c r="OJ12" s="7">
        <f>IF(NU12&gt;0,NU12,"")</f>
        <v>6</v>
      </c>
      <c r="OK12" s="7">
        <f>IF(SUM(NS12:NV12)-NW12&gt;0,SUM(NS12:NV12)-NW12,"")</f>
        <v>24.184999999999999</v>
      </c>
      <c r="OL12" s="7" t="str">
        <f>IF(NZ12&gt;0,NZ12,"")</f>
        <v/>
      </c>
      <c r="OM12" s="7" t="str">
        <f>IF(SUM(NX12:OA12)-OB12&gt;0,SUM(NX12:OA12)-OB12,"")</f>
        <v/>
      </c>
      <c r="ON12" s="7">
        <f>IF(OR(OI12&lt;&gt;"",OK12&lt;&gt;"",OM12&lt;&gt;""),OI12+MAX(OK12,OM12),"")</f>
        <v>44.81</v>
      </c>
      <c r="OO12" s="7">
        <f>IF(OE12&gt;0,OE12,"")</f>
        <v>6</v>
      </c>
      <c r="OP12" s="7">
        <f t="shared" si="4"/>
        <v>24.520000000000003</v>
      </c>
      <c r="OQ12" s="7">
        <f t="shared" si="5"/>
        <v>69.330000000000013</v>
      </c>
    </row>
    <row r="13" spans="1:407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85</v>
      </c>
      <c r="C13" s="4" t="s">
        <v>3</v>
      </c>
      <c r="D13" s="4">
        <v>2009</v>
      </c>
      <c r="E13" s="10">
        <f>SUM(I13:Q13)</f>
        <v>131.35</v>
      </c>
      <c r="F13" s="3" t="str">
        <f>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P","")</f>
        <v/>
      </c>
      <c r="G13" s="3" t="str">
        <f>IF(OR(AND(AT13&gt;=AW$21,AO13&lt;&gt;"",AN13=""),AND(BX13&gt;=CA$21,BS13&lt;&gt;"",BR13=""),AND(DB13&gt;=DE$21,CW13&lt;&gt;"",CV13=""),AND(EB13&gt;=EE$21,DY13&lt;&gt;""),AND(EX13&gt;=FA$21,EU13&lt;&gt;""),AND(FT13&gt;=FW$21,FQ13&lt;&gt;""),AND(GP13&gt;=GS$21,GM13&lt;&gt;""),AND(HL13&gt;=HO$21,HI13&lt;&gt;""),AND(IH13&gt;=IK$21,IE13&lt;&gt;""),AND(JD13&gt;=JG$21,JA13&lt;&gt;""),AND(JZ13&gt;=KC$21,JW13&lt;&gt;""),AND(KV13&gt;=KY$21,KS13&lt;&gt;""),AND(LR13&gt;=LU$21,LO13&lt;&gt;""),AND(MN13&gt;=MQ$21,MK13&lt;&gt;""),AND(NJ13&gt;=NM$21,NG13&lt;&gt;"")),"P","")</f>
        <v/>
      </c>
      <c r="H13" s="47" t="str">
        <f>IF(OR(AND(AP13&gt;=AW$20,AQ13&gt;=AW$24,AP13&lt;&gt;"",AN13=""),AND(AU13&gt;=AW$20,AV13&gt;=AW$24,AU13&lt;&gt;"",AN13=""),AND(BT13&gt;=CA$20,BU13&gt;=CA$24,BT13&lt;&gt;"",BR13=""),AND(BY13&gt;=CA$20,BZ13&gt;=CA$24,BY13&lt;&gt;"",BR13=""),AND(CX13&gt;=DE$20,CY13&gt;=DE$24,CX13&lt;&gt;"",CV13=""),AND(DC13&gt;=DE$20,DD13&gt;=DE$24,DC13&lt;&gt;"",CV13=""),AND(DY13&gt;=EE$20,EA13&gt;=EE$24,DY13&lt;&gt;""),AND(EC13&gt;=EE$20,ED13&gt;=EE$24,EC13&lt;&gt;""),AND(EU13&gt;=FA$20,EW13&gt;=FA$24,EU13&lt;&gt;""),AND(EY13&gt;=FA$20,EZ13&gt;=FA$24,EY13&lt;&gt;""),AND(FQ13&gt;=FW$20,FS13&gt;=FW$24,FQ13&lt;&gt;""),AND(FU13&gt;=FW$20,FV13&gt;=FW$24,FU13&lt;&gt;""),AND(GM13&gt;=GS$20,GO13&gt;=GS$24,GM13&lt;&gt;""),AND(GQ13&gt;=GS$20,GR13&gt;=GS$24,GQ13&lt;&gt;""),AND(HI13&gt;=HO$20,HK13&gt;=HO$24,HI13&lt;&gt;""),AND(HM13&gt;=HO$20,HN13&gt;=HO$24,HM13&lt;&gt;""),AND(IE13&gt;=IK$20,IG13&gt;=IK$24,IE13&lt;&gt;""),AND(II13&gt;=IK$20,IJ13&gt;=IK$24,II13&lt;&gt;""),AND(JA13&gt;=JG$20,JC13&gt;=JG$24,JA13&lt;&gt;""),AND(JE13&gt;=JG$20,JF13&gt;=JG$24,JE13&lt;&gt;""),AND(JW13&gt;=KC$20,JY13&gt;=KC$24,JW13&lt;&gt;""),AND(KA13&gt;=KC$20,KB13&gt;=KC$24,KA13&lt;&gt;""),AND(KS13&gt;=KY$20,KU13&gt;=KY$24,KS13&lt;&gt;""),AND(KW13&gt;=KY$20,KX13&gt;=KY$24,KW13&lt;&gt;""),AND(LO13&gt;=LU$20,LQ13&gt;=LU$24,LO13&lt;&gt;""),AND(LS13&gt;=LU$20,LT13&gt;=LU$24,LS13&lt;&gt;""),AND(MK13&gt;=MQ$20,MM13&gt;=MQ$24,MK13&lt;&gt;""),AND(MO13&gt;=MQ$20,MP13&gt;=MQ$24,MO13&lt;&gt;""),AND(NG13&gt;=NM$20,NI13&gt;=NM$24,NG13&lt;&gt;""),AND(NK13&gt;=NM$20,NL13&gt;=NM$24,NK13&lt;&gt;"")),"Merit",IF(OR(AND(AP13&gt;=AW$19,AT13&gt;=AW$23,AO13&lt;&gt;"",AN13=""),AND(BT13&gt;=CA$19,BX13&gt;=CA$23,BS13&lt;&gt;"",BR13=""),AND(CX13&gt;=DE$19,DB13&gt;=DE$23,CW13&lt;&gt;"",CV13=""),AND(DY13&gt;=EE$19,EB13&gt;=EE$23,DY13&lt;&gt;""),AND(EU13&gt;=FA$19,EX13&gt;=FA$23,EU13&lt;&gt;""),AND(FQ13&gt;=FW$19,FT13&gt;=FW$23,FQ13&lt;&gt;""),AND(GM13&gt;=GS$19,GP13&gt;=GS$23,GM13&lt;&gt;""),AND(HI13&gt;=HO$19,HL13&gt;=HO$23,HI13&lt;&gt;""),AND(IE13&gt;=IK$19,IH13&gt;=IK$23,IE13&lt;&gt;""),AND(JA13&gt;=JG$19,JD13&gt;=JG$23,JA13&lt;&gt;""),AND(JW13&gt;=KC$19,JZ13&gt;=KC$23,JW13&lt;&gt;""),AND(KS13&gt;=KY$19,KV13&gt;=KY$23,KS13&lt;&gt;""),AND(LO13&gt;=LU$19,LR13&gt;=LU$23,LO13&lt;&gt;""),AND(MK13&gt;=MQ$19,MN13&gt;=MQ$23,MK13&lt;&gt;""),AND(NG13&gt;=NM$19,NJ13&gt;=NM$23,NG13&lt;&gt;"")),"Excellence",IF(OR(AND(AP13&gt;=AW$17,AT13&gt;=AW$21,AO13&lt;&gt;"",AN13=""),AND(BT13&gt;=CA$17,BX13&gt;=CA$21,BS13&lt;&gt;"",BR13=""),AND(CX13&gt;=DE$17,DB13&gt;=DE$21,CW13&lt;&gt;"",CV13=""),AND(DY13&gt;=EE$17,EB13&gt;=EE$21,DY13&lt;&gt;""),AND(EU13&gt;=FA$17,EX13&gt;=FA$21,EU13&lt;&gt;""),AND(FQ13&gt;=FW$17,FT13&gt;=FW$21,FQ13&lt;&gt;""),AND(GM13&gt;=GS$17,GP13&gt;=GS$21,GM13&lt;&gt;""),AND(HI13&gt;=HO$17,HL13&gt;=HO$21,HI13&lt;&gt;""),AND(IE13&gt;=IK$17,IH13&gt;=IK$21,IE13&lt;&gt;""),AND(JA13&gt;=JG$17,JD13&gt;=JG$21,JA13&lt;&gt;""),AND(JW13&gt;=KC$17,JZ13&gt;=KC$21,JW13&lt;&gt;""),AND(KS13&gt;=KY$17,KV13&gt;=KY$21,KS13&lt;&gt;""),AND(LO13&gt;=LU$17,LR13&gt;=LU$21,LO13&lt;&gt;""),AND(MK13&gt;=MQ$17,MN13&gt;=MQ$21,MK13&lt;&gt;""),AND(NG13&gt;=NM$17,NJ13&gt;=NM$21,NG13&lt;&gt;"")),"National Team",IF(G13="P","No DD",""))))</f>
        <v/>
      </c>
      <c r="I13" s="9">
        <f>IF(MAX(AT13,BX13,DB13)&gt;0,MAX(AT13,BX13,DB13),0)</f>
        <v>85.89</v>
      </c>
      <c r="J13" s="9" t="str">
        <f>IF(I13=0,"",IF(I13=DB13,$CB$1,IF(I13=BX13,$AX$1,IF(I13=AT13,$T$1,""))))</f>
        <v>2025 Elite Canada</v>
      </c>
      <c r="K13" s="9">
        <f>IF($I13=$AT13,MAX(BS13,CW13),IF($I13=$BX13,MAX(AO13,CW13),IF($I13=$DB13,MAX(AO13,BS13),MAX(AO13,BS13,CW13))))</f>
        <v>0</v>
      </c>
      <c r="L13" s="9" t="str">
        <f>IF(K13=0,"",IF(AND(K13=CW13,$J13&lt;&gt;$CB$1),$CB$1,IF(AND(K13=BS13,$J13&lt;&gt;$AX$1),$AX$1,IF(AND(K13=AO13,$J13&lt;&gt;$T$1),$T$1,""))))</f>
        <v/>
      </c>
      <c r="M13" s="9">
        <f>IF(I13-N(AO13)=AQ13,MAX(AS13,BU13,BW13,CY13,DA13),IF(I13-N(AO13)=AS13,MAX(AQ13,BU13,BW13,CY13,DA13),IF(I13-N(BS13)=BU13,MAX(AQ13,AS13,BW13,CY13,DA13),IF(I13-N(BS13)=BW13,MAX(AQ13,AS13,BU13,CY13,DA13),IF(I13-N(CW13)=CY13,MAX(AQ13,AS13,BU13,BW13,DA13),IF(I13-N(CW13)=DA13,MAX(AQ13,AS13,BU13,BW13,CY13),MAX(AQ13,AS13,BU13,BW13,CY13,DA13)))))))</f>
        <v>0</v>
      </c>
      <c r="N13" s="9" t="str">
        <f>IF(M13=0,"",IF(AND(OR(M13=DA13,M13=CY13),$J13&lt;&gt;$CB$1),$CB$1,IF(AND(OR(M13=BW13,M13=BU13),$J13&lt;&gt;$AX$1),$AX$1,IF(AND(OR(M13=AS13,M13=AQ13),$J13&lt;&gt;$T$1),$T$1,""))))</f>
        <v/>
      </c>
      <c r="O13" s="9">
        <f>MAX(AV13,BZ13,DD13)</f>
        <v>45.46</v>
      </c>
      <c r="P13" s="9" t="str">
        <f>IF(O13=0,"",IF(O13=DD13,$CB$1,IF(O13=BZ13,$AX$1,IF(O13=AV13,$T$1,""))))</f>
        <v>2025 Elite Canada</v>
      </c>
      <c r="Q13" s="9" t="str">
        <f>IF(MAX(DF13,DG13,DH13,DI13)&gt;0,MAX(DF13,DG13,DH13,DI13),"")</f>
        <v/>
      </c>
      <c r="R13" s="14" t="str">
        <f>IF(Q13="","",IF(Q13=DF13,"(Vol 1)",IF(Q13=DG13,"(Vol 2)",IF(Q13=DH13,"(Prelim)",IF(Q13=DI13,"(Final)")))))</f>
        <v/>
      </c>
      <c r="S13" s="9" t="str">
        <f>IF(Q13="","",IF(Q13=DF13,IF(Q13+IF(K13="",0,K13)=NH13,$MR$1,IF(Q13+IF(K13="",0,K13)=ML13,$LV$1,IF(Q13+IF(K13="",0,K13)=LP13,$KZ$1,IF(Q13+IF(K13="",0,K13)=KT13,$KD$1,IF(Q13+IF(K13="",0,K13)=JX13,$JH$1,IF(Q13+IF(K13="",0,K13)=JB13,$IL$1,IF(Q13+IF(K13="",0,K13)=IF13,$HP$1,IF(Q13+IF(K13="",0,K13)=HJ13,$GT$1,IF(Q13+IF(K13="",0,K13)=GN13,$FX$1,IF(Q13+IF(K13="",0,K13)=FR13,$FB$1,IF(Q13+IF(K13="",0,K13)=EV13,$EF$1,IF(Q13+IF(K13="",0,K13)=DZ13,$DJ$1)))))))))))),IF(Q13=DG13,IF(Q13+IF(M13="",0,M13)=NI13,$MR$1,IF(Q13+IF(M13="",0,M13)=MM13,$LV$1,IF(Q13+IF(M13="",0,M13)=LQ13,$KZ$1,IF(Q13+IF(M13="",0,M13)=KU13,$KD$1,IF(Q13+IF(M13="",0,M13)=JY13,$JH$1,IF(Q13+IF(M13="",0,M13)=JC13,$IL$1,IF(Q13+IF(M13="",0,M13)=IG13,$HP$1,IF(Q13+IF(M13="",0,M13)=HK13,$GT$1,IF(Q13+IF(M13="",0,M13)=GO13,$FX$1,IF(Q13+IF(M13="",0,M13)=FS13,$FB$1,IF(Q13+IF(M13="",0,M13)=EW13,$EF$1,IF(Q13+IF(M13="",0,M13)=EA13,$DJ$1)))))))))))),IF(Q13=DH13,IF(Q13+IF(I13="",0,I13)=NJ13,$MR$1,IF(Q13+IF(I13="",0,I13)=MN13,$LV$1,IF(Q13+IF(I13="",0,I13)=LR13,$KZ$1,IF(Q13+IF(I13="",0,I13)=KV13,$KD$1,IF(Q13+IF(I13="",0,I13)=JZ13,$JH$1,IF(Q13+IF(I13="",0,I13)=JD13,$IL$1,IF(Q13+IF(I13="",0,I13)=IH13,$HP$1,IF(Q13+IF(I13="",0,I13)=HL13,$GT$1,IF(Q13+IF(I13="",0,I13)=GP13,$FX$1,IF(Q13+IF(I13="",0,I13)=FT13,$FB$1,IF(Q13+IF(I13="",0,I13)=EX13,$EF$1,IF(Q13+IF(I13="",0,I13)=EB13,$DJ$1)))))))))))),IF(Q13=DI13,IF(Q13+IF(O13="",0,O13)=NL13,$MR$1,IF(Q13+IF(O13="",0,O13)=MP13,$LV$1,IF(Q13+IF(O13="",0,O13)=LT13,$KZ$1,IF(Q13+IF(O13="",0,O13)=KX13,$KD$1,IF(Q13+IF(O13="",0,O13)=KB13,$JH$1,IF(Q13+IF(O13="",0,O13)=JF13,$IL$1,IF(Q13+IF(O13="",0,O13)=IJ13,$HP$1,IF(Q13+IF(O13="",0,O13)=HN13,$GT$1,IF(Q13+IF(O13="",0,O13)=GR13,$FX$1,IF(Q13+IF(O13="",0,O13)=FV13,$FB$1,IF(Q13+IF(O13="",0,O13)=EZ13,$EF$1,IF(Q13+IF(O13="",0,O13)=ED13,$DJ$1)))))))))))))))))</f>
        <v/>
      </c>
      <c r="T13" s="27">
        <v>14.7</v>
      </c>
      <c r="U13" s="27">
        <v>9.1</v>
      </c>
      <c r="V13" s="27">
        <v>0</v>
      </c>
      <c r="W13" s="27">
        <v>14.74</v>
      </c>
      <c r="X13" s="27">
        <v>0</v>
      </c>
      <c r="Y13" s="27">
        <v>12.9</v>
      </c>
      <c r="Z13" s="27">
        <v>9.8000000000000007</v>
      </c>
      <c r="AA13" s="27">
        <v>10.3</v>
      </c>
      <c r="AB13" s="27">
        <v>14.35</v>
      </c>
      <c r="AC13" s="27">
        <v>0</v>
      </c>
      <c r="AD13" s="27"/>
      <c r="AE13" s="27"/>
      <c r="AF13" s="27"/>
      <c r="AG13" s="27"/>
      <c r="AH13" s="27"/>
      <c r="AI13" s="27">
        <v>14.3</v>
      </c>
      <c r="AJ13" s="27">
        <v>9.4</v>
      </c>
      <c r="AK13" s="27">
        <v>8.8000000000000007</v>
      </c>
      <c r="AL13" s="27">
        <v>14.26</v>
      </c>
      <c r="AM13" s="27">
        <v>1.3</v>
      </c>
      <c r="AN13" s="32"/>
      <c r="AO13" s="7">
        <f>IF(SUM(T13:W13)-X13&gt;0,SUM(T13:W13)-X13,"")</f>
        <v>38.54</v>
      </c>
      <c r="AP13" s="7">
        <f>IF(AA13&gt;0,AA13,"")</f>
        <v>10.3</v>
      </c>
      <c r="AQ13" s="7">
        <f>IF(SUM(Y13:AB13)-AC13&gt;0,SUM(Y13:AB13)-AC13,"")</f>
        <v>47.35</v>
      </c>
      <c r="AR13" s="7" t="str">
        <f>IF(AF13&gt;0,AF13,"")</f>
        <v/>
      </c>
      <c r="AS13" s="7" t="str">
        <f>IF(SUM(AD13:AG13)-AH13&gt;0,SUM(AD13:AG13)-AH13,"")</f>
        <v/>
      </c>
      <c r="AT13" s="7">
        <f>IF(AO13="",IF(MAX(AQ13,AS13)&gt;0,MAX(AQ13,AS13),""),MAX(AQ13,AS13)+AO13)</f>
        <v>85.89</v>
      </c>
      <c r="AU13" s="7">
        <f>IF(AK13&gt;0,AK13,"")</f>
        <v>8.8000000000000007</v>
      </c>
      <c r="AV13" s="7">
        <f>IF(SUM(AI13:AL13)-AM13&gt;0,SUM(AI13:AL13)-AM13,"")</f>
        <v>45.46</v>
      </c>
      <c r="AW13" s="7">
        <f>IF(SUM(AT13,AV13)&gt;0,SUM(AT13,AV13),"")</f>
        <v>131.35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33"/>
      <c r="BS13" s="9" t="str">
        <f>IF(SUM(AX13:BA13)-BB13&gt;0,SUM(AX13:BA13)-BB13,"")</f>
        <v/>
      </c>
      <c r="BT13" s="9" t="str">
        <f>IF(BE13&gt;0,BE13,"")</f>
        <v/>
      </c>
      <c r="BU13" s="9" t="str">
        <f>IF(SUM(BC13:BF13)-BG13&gt;0,SUM(BC13:BF13)-BG13,"")</f>
        <v/>
      </c>
      <c r="BV13" s="9" t="str">
        <f>IF(BJ13&gt;0,BJ13,"")</f>
        <v/>
      </c>
      <c r="BW13" s="9" t="str">
        <f>IF(SUM(BH13:BK13)-BL13&gt;0,SUM(BH13:BK13)-BL13,"")</f>
        <v/>
      </c>
      <c r="BX13" s="9" t="str">
        <f>IF(BS13="",IF(MAX(BU13,BW13)&gt;0,MAX(BU13,BW13),""),MAX(BU13,BW13)+BS13)</f>
        <v/>
      </c>
      <c r="BY13" s="9" t="str">
        <f>IF(BO13&gt;0,BO13,"")</f>
        <v/>
      </c>
      <c r="BZ13" s="9" t="str">
        <f>IF(SUM(BM13:BP13)-BQ13&gt;0,SUM(BM13:BP13)-BQ13,"")</f>
        <v/>
      </c>
      <c r="CA13" s="9" t="str">
        <f>IF(SUM(BX13,BZ13)&gt;0,SUM(BX13,BZ13),"")</f>
        <v/>
      </c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32"/>
      <c r="CW13" s="7" t="str">
        <f>IF(SUM(CB13:CE13)-CF13&gt;0,SUM(CB13:CE13)-CF13,"")</f>
        <v/>
      </c>
      <c r="CX13" s="7" t="str">
        <f>IF(CI13&gt;0,CI13,"")</f>
        <v/>
      </c>
      <c r="CY13" s="7" t="str">
        <f>IF(SUM(CG13:CJ13)-CK13&gt;0,SUM(CG13:CJ13)-CK13,"")</f>
        <v/>
      </c>
      <c r="CZ13" s="7" t="str">
        <f>IF(CN13&gt;0,CN13,"")</f>
        <v/>
      </c>
      <c r="DA13" s="7" t="str">
        <f>IF(SUM(CL13:CO13)-CP13&gt;0,SUM(CL13:CO13)-CP13,"")</f>
        <v/>
      </c>
      <c r="DB13" s="7" t="str">
        <f>IF(CW13="",IF(MAX(CY13,DA13)&gt;0,MAX(CY13,DA13),""),MAX(CY13,DA13)+CW13)</f>
        <v/>
      </c>
      <c r="DC13" s="7" t="str">
        <f>IF(CS13&gt;0,CS13,"")</f>
        <v/>
      </c>
      <c r="DD13" s="7" t="str">
        <f>IF(SUM(CQ13:CT13)-CU13&gt;0,SUM(CQ13:CT13)-CU13,"")</f>
        <v/>
      </c>
      <c r="DE13" s="7" t="str">
        <f>IF(SUM(DB13,DD13)&gt;0,SUM(DB13,DD13),"")</f>
        <v/>
      </c>
      <c r="DF13" s="13" t="str">
        <f>IF(MAX(DZ13,EV13,FR13,GN13,HJ13,IF13,JB13,JX13,KT13,LP13,ML13,NH13)-IF(K13="",0,K13)&gt;0.001,MAX(DZ13,EV13,FR13,GN13,HJ13,IF13,JB13,JX13,KT13,LP13,ML13,NH13)-IF(K13="",0,K13),"")</f>
        <v/>
      </c>
      <c r="DG13" s="13" t="str">
        <f>IF(MAX(EA13,EW13,FS13,GO13,HK13,IG13,JC13,JY13,KU13,LQ13,MM13,NI13)-IF(M13="",0,M13)&gt;0.001,MAX(EA13,EW13,FS13,GO13,HK13,IG13,JC13,JY13,KU13,LQ13,MM13,NI13)-IF(M13="",0,M13),"")</f>
        <v/>
      </c>
      <c r="DH13" s="13" t="str">
        <f>IF(MAX(EB13,EX13,FT13,GP13,HL13,IH13,JD13,JZ13,KV13,LR13,MN13,NJ13)-IF(I13="",0,I13)&gt;0.001,MAX(EB13,EX13,FT13,GP13,HL13,IH13,JD13,JZ13,KV13,LR13,MN13,NJ13)-IF(I13="",0,I13),"")</f>
        <v/>
      </c>
      <c r="DI13" s="13" t="str">
        <f>IF(MAX(ED13,EZ13,FV13,GR13,HN13,IJ13,JF13,KB13,KX13,LT13,MP13,NL13)-IF(O13="",0,O13)&gt;0.001,MAX(ED13,EZ13,FV13,GR13,HN13,IJ13,JF13,KB13,KX13,LT13,MP13,NL13)-IF(O13="",0,O13),"")</f>
        <v/>
      </c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7" t="str">
        <f>IF(DQ13&gt;0,DQ13,"")</f>
        <v/>
      </c>
      <c r="DZ13" s="7" t="str">
        <f>IF(SUM(DJ13:DM13)-DN13&gt;0,SUM(DJ13:DM13)-DN13,"")</f>
        <v/>
      </c>
      <c r="EA13" s="7" t="str">
        <f>IF(SUM(DO13:DR13)-DS13&gt;0,SUM(DO13:DR13)-DS13,"")</f>
        <v/>
      </c>
      <c r="EB13" s="7" t="str">
        <f>IF(SUM(DZ13:EA13)&gt;0,SUM(DZ13:EA13),"")</f>
        <v/>
      </c>
      <c r="EC13" s="7" t="str">
        <f>IF(DV13&gt;0,DV13,"")</f>
        <v/>
      </c>
      <c r="ED13" s="7" t="str">
        <f>IF(SUM(DT13:DW13)-DX13&gt;0,SUM(DT13:DW13)-DX13,"")</f>
        <v/>
      </c>
      <c r="EE13" s="7" t="str">
        <f>IF(SUM(EB13,ED13)&gt;0,SUM(EB13,ED13),"")</f>
        <v/>
      </c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9" t="str">
        <f>IF(EM13&gt;0,EM13,"")</f>
        <v/>
      </c>
      <c r="EV13" s="9" t="str">
        <f>IF(SUM(EF13:EI13)-EJ13&gt;0,SUM(EF13:EI13)-EJ13,"")</f>
        <v/>
      </c>
      <c r="EW13" s="9" t="str">
        <f>IF(SUM(EK13:EN13)-EO13&gt;0,SUM(EK13:EN13)-EO13,"")</f>
        <v/>
      </c>
      <c r="EX13" s="9" t="str">
        <f>IF(SUM(EV13:EW13)&gt;0,SUM(EV13:EW13),"")</f>
        <v/>
      </c>
      <c r="EY13" s="9" t="str">
        <f>IF(ER13&gt;0,ER13,"")</f>
        <v/>
      </c>
      <c r="EZ13" s="9" t="str">
        <f>IF(SUM(EP13:ES13)-ET13&gt;0,SUM(EP13:ES13)-ET13,"")</f>
        <v/>
      </c>
      <c r="FA13" s="9" t="str">
        <f>IF(SUM(EX13,EZ13)&gt;0,SUM(EX13,EZ13),"")</f>
        <v/>
      </c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7" t="str">
        <f>IF(FI13&gt;0,FI13,"")</f>
        <v/>
      </c>
      <c r="FR13" s="7" t="str">
        <f>IF(SUM(FB13:FE13)-FF13&gt;0,SUM(FB13:FE13)-FF13,"")</f>
        <v/>
      </c>
      <c r="FS13" s="7" t="str">
        <f>IF(SUM(FG13:FJ13)-FK13&gt;0,SUM(FG13:FJ13)-FK13,"")</f>
        <v/>
      </c>
      <c r="FT13" s="7" t="str">
        <f>IF(SUM(FR13:FS13)&gt;0,SUM(FR13:FS13),"")</f>
        <v/>
      </c>
      <c r="FU13" s="7" t="str">
        <f>IF(FN13&gt;0,FN13,"")</f>
        <v/>
      </c>
      <c r="FV13" s="7" t="str">
        <f>IF(SUM(FL13:FO13)-FP13&gt;0,SUM(FL13:FO13)-FP13,"")</f>
        <v/>
      </c>
      <c r="FW13" s="7" t="str">
        <f>IF(SUM(FT13,FV13)&gt;0,SUM(FT13,FV13),"")</f>
        <v/>
      </c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9" t="str">
        <f>IF(GE13&gt;0,GE13,"")</f>
        <v/>
      </c>
      <c r="GN13" s="9" t="str">
        <f>IF(SUM(FX13:GA13)-GB13&gt;0,SUM(FX13:GA13)-GB13,"")</f>
        <v/>
      </c>
      <c r="GO13" s="9" t="str">
        <f>IF(SUM(GC13:GF13)-GG13&gt;0,SUM(GC13:GF13)-GG13,"")</f>
        <v/>
      </c>
      <c r="GP13" s="9" t="str">
        <f>IF(SUM(GN13:GO13)&gt;0,SUM(GN13:GO13),"")</f>
        <v/>
      </c>
      <c r="GQ13" s="9" t="str">
        <f>IF(GJ13&gt;0,GJ13,"")</f>
        <v/>
      </c>
      <c r="GR13" s="9" t="str">
        <f>IF(SUM(GH13:GK13)-GL13&gt;0,SUM(GH13:GK13)-GL13,"")</f>
        <v/>
      </c>
      <c r="GS13" s="9" t="str">
        <f>IF(SUM(GP13,GR13)&gt;0,SUM(GP13,GR13),"")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7" t="str">
        <f>IF(HA13&gt;0,HA13,"")</f>
        <v/>
      </c>
      <c r="HJ13" s="7" t="str">
        <f>IF(SUM(GT13:GW13)-GX13&gt;0,SUM(GT13:GW13)-GX13,"")</f>
        <v/>
      </c>
      <c r="HK13" s="7" t="str">
        <f>IF(SUM(GY13:HB13)-HC13&gt;0,SUM(GY13:HB13)-HC13,"")</f>
        <v/>
      </c>
      <c r="HL13" s="7" t="str">
        <f>IF(SUM(HJ13:HK13)&gt;0,SUM(HJ13:HK13),"")</f>
        <v/>
      </c>
      <c r="HM13" s="7" t="str">
        <f>IF(HF13&gt;0,HF13,"")</f>
        <v/>
      </c>
      <c r="HN13" s="7" t="str">
        <f>IF(SUM(HD13:HG13)-HH13&gt;0,SUM(HD13:HG13)-HH13,"")</f>
        <v/>
      </c>
      <c r="HO13" s="7" t="str">
        <f>IF(SUM(HL13,HN13)&gt;0,SUM(HL13,HN13),"")</f>
        <v/>
      </c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9" t="str">
        <f>IF(HW13&gt;0,HW13,"")</f>
        <v/>
      </c>
      <c r="IF13" s="9" t="str">
        <f>IF(SUM(HP13:HS13)-HT13&gt;0,SUM(HP13:HS13)-HT13,"")</f>
        <v/>
      </c>
      <c r="IG13" s="9" t="str">
        <f>IF(SUM(HU13:HX13)-HY13&gt;0,SUM(HU13:HX13)-HY13,"")</f>
        <v/>
      </c>
      <c r="IH13" s="9" t="str">
        <f>IF(SUM(IF13:IG13)&gt;0,SUM(IF13:IG13),"")</f>
        <v/>
      </c>
      <c r="II13" s="9" t="str">
        <f>IF(IB13&gt;0,IB13,"")</f>
        <v/>
      </c>
      <c r="IJ13" s="9" t="str">
        <f>IF(SUM(HZ13:IC13)-ID13&gt;0,SUM(HZ13:IC13)-ID13,"")</f>
        <v/>
      </c>
      <c r="IK13" s="9" t="str">
        <f>IF(SUM(IH13,IJ13)&gt;0,SUM(IH13,IJ13),"")</f>
        <v/>
      </c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7" t="str">
        <f>IF(IS13&gt;0,IS13,"")</f>
        <v/>
      </c>
      <c r="JB13" s="7" t="str">
        <f>IF(SUM(IL13:IO13)-IP13&gt;0,SUM(IL13:IO13)-IP13,"")</f>
        <v/>
      </c>
      <c r="JC13" s="7" t="str">
        <f>IF(SUM(IQ13:IT13)-IU13&gt;0,SUM(IQ13:IT13)-IU13,"")</f>
        <v/>
      </c>
      <c r="JD13" s="7" t="str">
        <f>IF(SUM(JB13:JC13)&gt;0,SUM(JB13:JC13),"")</f>
        <v/>
      </c>
      <c r="JE13" s="7" t="str">
        <f>IF(IX13&gt;0,IX13,"")</f>
        <v/>
      </c>
      <c r="JF13" s="7" t="str">
        <f>IF(SUM(IV13:IY13)-IZ13&gt;0,SUM(IV13:IY13)-IZ13,"")</f>
        <v/>
      </c>
      <c r="JG13" s="7" t="str">
        <f>IF(SUM(JD13,JF13)&gt;0,SUM(JD13,JF13),"")</f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9" t="str">
        <f>IF(JO13&gt;0,JO13,"")</f>
        <v/>
      </c>
      <c r="JX13" s="9" t="str">
        <f>IF(SUM(JH13:JK13)-JL13&gt;0,SUM(JH13:JK13)-JL13,"")</f>
        <v/>
      </c>
      <c r="JY13" s="9" t="str">
        <f>IF(SUM(JM13:JP13)-JQ13&gt;0,SUM(JM13:JP13)-JQ13,"")</f>
        <v/>
      </c>
      <c r="JZ13" s="9" t="str">
        <f>IF(SUM(JX13:JY13)&gt;0,SUM(JX13:JY13),"")</f>
        <v/>
      </c>
      <c r="KA13" s="9" t="str">
        <f>IF(JT13&gt;0,JT13,"")</f>
        <v/>
      </c>
      <c r="KB13" s="9" t="str">
        <f>IF(SUM(JR13:JU13)-JV13&gt;0,SUM(JR13:JU13)-JV13,"")</f>
        <v/>
      </c>
      <c r="KC13" s="9" t="str">
        <f>IF(SUM(JZ13,KB13)&gt;0,SUM(JZ13,KB13),"")</f>
        <v/>
      </c>
      <c r="KD13" s="18"/>
      <c r="KE13" s="18"/>
      <c r="KF13" s="18"/>
      <c r="KG13" s="18"/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7" t="str">
        <f>IF(KK13&gt;0,KK13,"")</f>
        <v/>
      </c>
      <c r="KT13" s="7" t="str">
        <f>IF(SUM(KD13:KG13)-KH13&gt;0,SUM(KD13:KG13)-KH13,"")</f>
        <v/>
      </c>
      <c r="KU13" s="7" t="str">
        <f>IF(SUM(KI13:KL13)-KM13&gt;0,SUM(KI13:KL13)-KM13,"")</f>
        <v/>
      </c>
      <c r="KV13" s="7" t="str">
        <f>IF(SUM(KT13:KU13)&gt;0,SUM(KT13:KU13),"")</f>
        <v/>
      </c>
      <c r="KW13" s="7" t="str">
        <f>IF(KP13&gt;0,KP13,"")</f>
        <v/>
      </c>
      <c r="KX13" s="7" t="str">
        <f>IF(SUM(KN13:KQ13)-KR13&gt;0,SUM(KN13:KQ13)-KR13,"")</f>
        <v/>
      </c>
      <c r="KY13" s="7" t="str">
        <f>IF(SUM(KV13,KX13)&gt;0,SUM(KV13,KX13),"")</f>
        <v/>
      </c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9" t="str">
        <f>IF(LG13&gt;0,LG13,"")</f>
        <v/>
      </c>
      <c r="LP13" s="9" t="str">
        <f>IF(SUM(KZ13:LC13)-LD13&gt;0,SUM(KZ13:LC13)-LD13,"")</f>
        <v/>
      </c>
      <c r="LQ13" s="9" t="str">
        <f>IF(SUM(LE13:LH13)-LI13&gt;0,SUM(LE13:LH13)-LI13,"")</f>
        <v/>
      </c>
      <c r="LR13" s="9" t="str">
        <f>IF(SUM(LP13:LQ13)&gt;0,SUM(LP13:LQ13),"")</f>
        <v/>
      </c>
      <c r="LS13" s="9" t="str">
        <f>IF(LL13&gt;0,LL13,"")</f>
        <v/>
      </c>
      <c r="LT13" s="9" t="str">
        <f>IF(SUM(LJ13:LM13)-LN13&gt;0,SUM(LJ13:LM13)-LN13,"")</f>
        <v/>
      </c>
      <c r="LU13" s="9" t="str">
        <f>IF(SUM(LR13,LT13)&gt;0,SUM(LR13,LT13),"")</f>
        <v/>
      </c>
      <c r="LV13" s="18"/>
      <c r="LW13" s="18"/>
      <c r="LX13" s="18"/>
      <c r="LY13" s="18"/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7" t="str">
        <f>IF(MC13&gt;0,MC13,"")</f>
        <v/>
      </c>
      <c r="ML13" s="7" t="str">
        <f>IF(SUM(LV13:LY13)-LZ13&gt;0,SUM(LV13:LY13)-LZ13,"")</f>
        <v/>
      </c>
      <c r="MM13" s="7" t="str">
        <f>IF(SUM(MA13:MD13)-ME13&gt;0,SUM(MA13:MD13)-ME13,"")</f>
        <v/>
      </c>
      <c r="MN13" s="7" t="str">
        <f>IF(SUM(ML13:MM13)&gt;0,SUM(ML13:MM13),"")</f>
        <v/>
      </c>
      <c r="MO13" s="7" t="str">
        <f>IF(MH13&gt;0,MH13,"")</f>
        <v/>
      </c>
      <c r="MP13" s="7" t="str">
        <f>IF(SUM(MF13:MI13)-MJ13&gt;0,SUM(MF13:MI13)-MJ13,"")</f>
        <v/>
      </c>
      <c r="MQ13" s="7" t="str">
        <f>IF(SUM(MN13,MP13)&gt;0,SUM(MN13,MP13),"")</f>
        <v/>
      </c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9" t="str">
        <f>IF(MY13&gt;0,MY13,"")</f>
        <v/>
      </c>
      <c r="NH13" s="9" t="str">
        <f>IF(SUM(MR13:MU13)-MV13&gt;0,SUM(MR13:MU13)-MV13,"")</f>
        <v/>
      </c>
      <c r="NI13" s="9" t="str">
        <f>IF(SUM(MW13:MZ13)-NA13&gt;0,SUM(MW13:MZ13)-NA13,"")</f>
        <v/>
      </c>
      <c r="NJ13" s="9" t="str">
        <f>IF(SUM(NH13:NI13)&gt;0,SUM(NH13:NI13),"")</f>
        <v/>
      </c>
      <c r="NK13" s="9" t="str">
        <f>IF(ND13&gt;0,ND13,"")</f>
        <v/>
      </c>
      <c r="NL13" s="9" t="str">
        <f>IF(SUM(NB13:NE13)-NF13&gt;0,SUM(NB13:NE13)-NF13,"")</f>
        <v/>
      </c>
      <c r="NM13" s="9" t="str">
        <f>IF(SUM(NJ13,NL13)&gt;0,SUM(NJ13,NL13),"")</f>
        <v/>
      </c>
      <c r="NN13" s="27">
        <f>IF($CV13="P",CB13,(CB13+AX13)/2)</f>
        <v>0</v>
      </c>
      <c r="NO13" s="27">
        <f>IF($CV13="P",CC13,(CC13+AY13)/2)</f>
        <v>0</v>
      </c>
      <c r="NP13" s="27">
        <f>IF($CV13="P",CD13,(CD13+AZ13)/2)</f>
        <v>0</v>
      </c>
      <c r="NQ13" s="27">
        <f>IF($CV13="P",CE13,(CE13+BA13)/2)</f>
        <v>0</v>
      </c>
      <c r="NR13" s="27">
        <f>IF($CV13="P",CF13,(CF13+BB13)/2)</f>
        <v>0</v>
      </c>
      <c r="NS13" s="27">
        <f>IF($CV13="P",CG13,(CG13+BC13)/2)</f>
        <v>0</v>
      </c>
      <c r="NT13" s="27">
        <f>IF($CV13="P",CH13,(CH13+BD13)/2)</f>
        <v>0</v>
      </c>
      <c r="NU13" s="27">
        <f>IF($CV13="P",CI13,(CI13+BE13)/2)</f>
        <v>0</v>
      </c>
      <c r="NV13" s="27">
        <f>IF($CV13="P",CJ13,(CJ13+BF13)/2)</f>
        <v>0</v>
      </c>
      <c r="NW13" s="27">
        <f>IF($CV13="P",CK13,(CK13+BG13)/2)</f>
        <v>0</v>
      </c>
      <c r="NX13" s="27">
        <f>IF($CV13="P",CL13,(CL13+BH13)/2)</f>
        <v>0</v>
      </c>
      <c r="NY13" s="27">
        <f>IF($CV13="P",CM13,(CM13+BI13)/2)</f>
        <v>0</v>
      </c>
      <c r="NZ13" s="27">
        <f>IF($CV13="P",CN13,(CN13+BJ13)/2)</f>
        <v>0</v>
      </c>
      <c r="OA13" s="27">
        <f>IF($CV13="P",CO13,(CO13+BK13)/2)</f>
        <v>0</v>
      </c>
      <c r="OB13" s="27">
        <f>IF($CV13="P",CP13,(CP13+BL13)/2)</f>
        <v>0</v>
      </c>
      <c r="OC13" s="27">
        <f>IF($CV13="P",CQ13,(CQ13+BM13)/2)</f>
        <v>0</v>
      </c>
      <c r="OD13" s="27">
        <f>IF($CV13="P",CR13,(CR13+BN13)/2)</f>
        <v>0</v>
      </c>
      <c r="OE13" s="27">
        <f>IF($CV13="P",CS13,(CS13+BO13)/2)</f>
        <v>0</v>
      </c>
      <c r="OF13" s="27">
        <f>IF($CV13="P",CT13,(CT13+BP13)/2)</f>
        <v>0</v>
      </c>
      <c r="OG13" s="27">
        <f>IF($CV13="P",CU13,(CU13+BQ13)/2)</f>
        <v>0</v>
      </c>
      <c r="OH13" s="32" t="s">
        <v>44</v>
      </c>
      <c r="OI13" s="7" t="str">
        <f>IF(SUM(NN13:NQ13)-NR13&gt;0,SUM(NN13:NQ13)-NR13,"")</f>
        <v/>
      </c>
      <c r="OJ13" s="7" t="str">
        <f>IF(NU13&gt;0,NU13,"")</f>
        <v/>
      </c>
      <c r="OK13" s="7" t="str">
        <f>IF(SUM(NS13:NV13)-NW13&gt;0,SUM(NS13:NV13)-NW13,"")</f>
        <v/>
      </c>
      <c r="OL13" s="7" t="str">
        <f>IF(NZ13&gt;0,NZ13,"")</f>
        <v/>
      </c>
      <c r="OM13" s="7" t="str">
        <f>IF(SUM(NX13:OA13)-OB13&gt;0,SUM(NX13:OA13)-OB13,"")</f>
        <v/>
      </c>
      <c r="ON13" s="7" t="str">
        <f>IF(OR(OI13&lt;&gt;"",OK13&lt;&gt;"",OM13&lt;&gt;""),OI13+MAX(OK13,OM13),"")</f>
        <v/>
      </c>
      <c r="OO13" s="7" t="str">
        <f>IF(OE13&gt;0,OE13,"")</f>
        <v/>
      </c>
      <c r="OP13" s="7" t="str">
        <f t="shared" si="4"/>
        <v/>
      </c>
      <c r="OQ13" s="7" t="str">
        <f t="shared" si="5"/>
        <v/>
      </c>
    </row>
    <row r="14" spans="1:407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96</v>
      </c>
      <c r="C14" s="4" t="s">
        <v>89</v>
      </c>
      <c r="D14" s="4">
        <v>2009</v>
      </c>
      <c r="E14" s="10">
        <f>SUM(I14:Q14)</f>
        <v>73.61</v>
      </c>
      <c r="F14" s="3" t="str">
        <f>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P","")</f>
        <v/>
      </c>
      <c r="G14" s="3" t="str">
        <f>IF(OR(AND(AT14&gt;=AW$21,AO14&lt;&gt;"",AN14=""),AND(BX14&gt;=CA$21,BS14&lt;&gt;"",BR14=""),AND(DB14&gt;=DE$21,CW14&lt;&gt;"",CV14=""),AND(EB14&gt;=EE$21,DY14&lt;&gt;""),AND(EX14&gt;=FA$21,EU14&lt;&gt;""),AND(FT14&gt;=FW$21,FQ14&lt;&gt;""),AND(GP14&gt;=GS$21,GM14&lt;&gt;""),AND(HL14&gt;=HO$21,HI14&lt;&gt;""),AND(IH14&gt;=IK$21,IE14&lt;&gt;""),AND(JD14&gt;=JG$21,JA14&lt;&gt;""),AND(JZ14&gt;=KC$21,JW14&lt;&gt;""),AND(KV14&gt;=KY$21,KS14&lt;&gt;""),AND(LR14&gt;=LU$21,LO14&lt;&gt;""),AND(MN14&gt;=MQ$21,MK14&lt;&gt;""),AND(NJ14&gt;=NM$21,NG14&lt;&gt;"")),"P","")</f>
        <v/>
      </c>
      <c r="H14" s="47" t="str">
        <f>IF(OR(AND(AP14&gt;=AW$20,AQ14&gt;=AW$24,AP14&lt;&gt;"",AN14=""),AND(AU14&gt;=AW$20,AV14&gt;=AW$24,AU14&lt;&gt;"",AN14=""),AND(BT14&gt;=CA$20,BU14&gt;=CA$24,BT14&lt;&gt;"",BR14=""),AND(BY14&gt;=CA$20,BZ14&gt;=CA$24,BY14&lt;&gt;"",BR14=""),AND(CX14&gt;=DE$20,CY14&gt;=DE$24,CX14&lt;&gt;"",CV14=""),AND(DC14&gt;=DE$20,DD14&gt;=DE$24,DC14&lt;&gt;"",CV14=""),AND(DY14&gt;=EE$20,EA14&gt;=EE$24,DY14&lt;&gt;""),AND(EC14&gt;=EE$20,ED14&gt;=EE$24,EC14&lt;&gt;""),AND(EU14&gt;=FA$20,EW14&gt;=FA$24,EU14&lt;&gt;""),AND(EY14&gt;=FA$20,EZ14&gt;=FA$24,EY14&lt;&gt;""),AND(FQ14&gt;=FW$20,FS14&gt;=FW$24,FQ14&lt;&gt;""),AND(FU14&gt;=FW$20,FV14&gt;=FW$24,FU14&lt;&gt;""),AND(GM14&gt;=GS$20,GO14&gt;=GS$24,GM14&lt;&gt;""),AND(GQ14&gt;=GS$20,GR14&gt;=GS$24,GQ14&lt;&gt;""),AND(HI14&gt;=HO$20,HK14&gt;=HO$24,HI14&lt;&gt;""),AND(HM14&gt;=HO$20,HN14&gt;=HO$24,HM14&lt;&gt;""),AND(IE14&gt;=IK$20,IG14&gt;=IK$24,IE14&lt;&gt;""),AND(II14&gt;=IK$20,IJ14&gt;=IK$24,II14&lt;&gt;""),AND(JA14&gt;=JG$20,JC14&gt;=JG$24,JA14&lt;&gt;""),AND(JE14&gt;=JG$20,JF14&gt;=JG$24,JE14&lt;&gt;""),AND(JW14&gt;=KC$20,JY14&gt;=KC$24,JW14&lt;&gt;""),AND(KA14&gt;=KC$20,KB14&gt;=KC$24,KA14&lt;&gt;""),AND(KS14&gt;=KY$20,KU14&gt;=KY$24,KS14&lt;&gt;""),AND(KW14&gt;=KY$20,KX14&gt;=KY$24,KW14&lt;&gt;""),AND(LO14&gt;=LU$20,LQ14&gt;=LU$24,LO14&lt;&gt;""),AND(LS14&gt;=LU$20,LT14&gt;=LU$24,LS14&lt;&gt;""),AND(MK14&gt;=MQ$20,MM14&gt;=MQ$24,MK14&lt;&gt;""),AND(MO14&gt;=MQ$20,MP14&gt;=MQ$24,MO14&lt;&gt;""),AND(NG14&gt;=NM$20,NI14&gt;=NM$24,NG14&lt;&gt;""),AND(NK14&gt;=NM$20,NL14&gt;=NM$24,NK14&lt;&gt;"")),"Merit",IF(OR(AND(AP14&gt;=AW$19,AT14&gt;=AW$23,AO14&lt;&gt;"",AN14=""),AND(BT14&gt;=CA$19,BX14&gt;=CA$23,BS14&lt;&gt;"",BR14=""),AND(CX14&gt;=DE$19,DB14&gt;=DE$23,CW14&lt;&gt;"",CV14=""),AND(DY14&gt;=EE$19,EB14&gt;=EE$23,DY14&lt;&gt;""),AND(EU14&gt;=FA$19,EX14&gt;=FA$23,EU14&lt;&gt;""),AND(FQ14&gt;=FW$19,FT14&gt;=FW$23,FQ14&lt;&gt;""),AND(GM14&gt;=GS$19,GP14&gt;=GS$23,GM14&lt;&gt;""),AND(HI14&gt;=HO$19,HL14&gt;=HO$23,HI14&lt;&gt;""),AND(IE14&gt;=IK$19,IH14&gt;=IK$23,IE14&lt;&gt;""),AND(JA14&gt;=JG$19,JD14&gt;=JG$23,JA14&lt;&gt;""),AND(JW14&gt;=KC$19,JZ14&gt;=KC$23,JW14&lt;&gt;""),AND(KS14&gt;=KY$19,KV14&gt;=KY$23,KS14&lt;&gt;""),AND(LO14&gt;=LU$19,LR14&gt;=LU$23,LO14&lt;&gt;""),AND(MK14&gt;=MQ$19,MN14&gt;=MQ$23,MK14&lt;&gt;""),AND(NG14&gt;=NM$19,NJ14&gt;=NM$23,NG14&lt;&gt;"")),"Excellence",IF(OR(AND(AP14&gt;=AW$17,AT14&gt;=AW$21,AO14&lt;&gt;"",AN14=""),AND(BT14&gt;=CA$17,BX14&gt;=CA$21,BS14&lt;&gt;"",BR14=""),AND(CX14&gt;=DE$17,DB14&gt;=DE$21,CW14&lt;&gt;"",CV14=""),AND(DY14&gt;=EE$17,EB14&gt;=EE$21,DY14&lt;&gt;""),AND(EU14&gt;=FA$17,EX14&gt;=FA$21,EU14&lt;&gt;""),AND(FQ14&gt;=FW$17,FT14&gt;=FW$21,FQ14&lt;&gt;""),AND(GM14&gt;=GS$17,GP14&gt;=GS$21,GM14&lt;&gt;""),AND(HI14&gt;=HO$17,HL14&gt;=HO$21,HI14&lt;&gt;""),AND(IE14&gt;=IK$17,IH14&gt;=IK$21,IE14&lt;&gt;""),AND(JA14&gt;=JG$17,JD14&gt;=JG$21,JA14&lt;&gt;""),AND(JW14&gt;=KC$17,JZ14&gt;=KC$21,JW14&lt;&gt;""),AND(KS14&gt;=KY$17,KV14&gt;=KY$21,KS14&lt;&gt;""),AND(LO14&gt;=LU$17,LR14&gt;=LU$21,LO14&lt;&gt;""),AND(MK14&gt;=MQ$17,MN14&gt;=MQ$21,MK14&lt;&gt;""),AND(NG14&gt;=NM$17,NJ14&gt;=NM$21,NG14&lt;&gt;"")),"National Team",IF(G14="P","No DD",""))))</f>
        <v/>
      </c>
      <c r="I14" s="9">
        <f>IF(MAX(AT14,BX14,DB14)&gt;0,MAX(AT14,BX14,DB14),0)</f>
        <v>54.940000000000005</v>
      </c>
      <c r="J14" s="9" t="str">
        <f>IF(I14=0,"",IF(I14=DB14,$CB$1,IF(I14=BX14,$AX$1,IF(I14=AT14,$T$1,""))))</f>
        <v>2025 Nationals</v>
      </c>
      <c r="K14" s="9">
        <f>IF($I14=$AT14,MAX(BS14,CW14),IF($I14=$BX14,MAX(AO14,CW14),IF($I14=$DB14,MAX(AO14,BS14),MAX(AO14,BS14,CW14))))</f>
        <v>0</v>
      </c>
      <c r="L14" s="9" t="str">
        <f>IF(K14=0,"",IF(AND(K14=CW14,$J14&lt;&gt;$CB$1),$CB$1,IF(AND(K14=BS14,$J14&lt;&gt;$AX$1),$AX$1,IF(AND(K14=AO14,$J14&lt;&gt;$T$1),$T$1,""))))</f>
        <v/>
      </c>
      <c r="M14" s="9">
        <f>IF(I14-N(AO14)=AQ14,MAX(AS14,BU14,BW14,CY14,DA14),IF(I14-N(AO14)=AS14,MAX(AQ14,BU14,BW14,CY14,DA14),IF(I14-N(BS14)=BU14,MAX(AQ14,AS14,BW14,CY14,DA14),IF(I14-N(BS14)=BW14,MAX(AQ14,AS14,BU14,CY14,DA14),IF(I14-N(CW14)=CY14,MAX(AQ14,AS14,BU14,BW14,DA14),IF(I14-N(CW14)=DA14,MAX(AQ14,AS14,BU14,BW14,CY14),MAX(AQ14,AS14,BU14,BW14,CY14,DA14)))))))</f>
        <v>0</v>
      </c>
      <c r="N14" s="9" t="str">
        <f>IF(M14=0,"",IF(AND(OR(M14=DA14,M14=CY14),$J14&lt;&gt;$CB$1),$CB$1,IF(AND(OR(M14=BW14,M14=BU14),$J14&lt;&gt;$AX$1),$AX$1,IF(AND(OR(M14=AS14,M14=AQ14),$J14&lt;&gt;$T$1),$T$1,""))))</f>
        <v/>
      </c>
      <c r="O14" s="9">
        <f>MAX(AV14,BZ14,DD14)</f>
        <v>18.669999999999998</v>
      </c>
      <c r="P14" s="9" t="str">
        <f>IF(O14=0,"",IF(O14=DD14,$CB$1,IF(O14=BZ14,$AX$1,IF(O14=AV14,$T$1,""))))</f>
        <v>2025 Nationals</v>
      </c>
      <c r="Q14" s="9" t="str">
        <f>IF(MAX(DF14,DG14,DH14,DI14)&gt;0,MAX(DF14,DG14,DH14,DI14),"")</f>
        <v/>
      </c>
      <c r="R14" s="14" t="str">
        <f>IF(Q14="","",IF(Q14=DF14,"(Vol 1)",IF(Q14=DG14,"(Vol 2)",IF(Q14=DH14,"(Prelim)",IF(Q14=DI14,"(Final)")))))</f>
        <v/>
      </c>
      <c r="S14" s="9" t="str">
        <f>IF(Q14="","",IF(Q14=DF14,IF(Q14+IF(K14="",0,K14)=NH14,$MR$1,IF(Q14+IF(K14="",0,K14)=ML14,$LV$1,IF(Q14+IF(K14="",0,K14)=LP14,$KZ$1,IF(Q14+IF(K14="",0,K14)=KT14,$KD$1,IF(Q14+IF(K14="",0,K14)=JX14,$JH$1,IF(Q14+IF(K14="",0,K14)=JB14,$IL$1,IF(Q14+IF(K14="",0,K14)=IF14,$HP$1,IF(Q14+IF(K14="",0,K14)=HJ14,$GT$1,IF(Q14+IF(K14="",0,K14)=GN14,$FX$1,IF(Q14+IF(K14="",0,K14)=FR14,$FB$1,IF(Q14+IF(K14="",0,K14)=EV14,$EF$1,IF(Q14+IF(K14="",0,K14)=DZ14,$DJ$1)))))))))))),IF(Q14=DG14,IF(Q14+IF(M14="",0,M14)=NI14,$MR$1,IF(Q14+IF(M14="",0,M14)=MM14,$LV$1,IF(Q14+IF(M14="",0,M14)=LQ14,$KZ$1,IF(Q14+IF(M14="",0,M14)=KU14,$KD$1,IF(Q14+IF(M14="",0,M14)=JY14,$JH$1,IF(Q14+IF(M14="",0,M14)=JC14,$IL$1,IF(Q14+IF(M14="",0,M14)=IG14,$HP$1,IF(Q14+IF(M14="",0,M14)=HK14,$GT$1,IF(Q14+IF(M14="",0,M14)=GO14,$FX$1,IF(Q14+IF(M14="",0,M14)=FS14,$FB$1,IF(Q14+IF(M14="",0,M14)=EW14,$EF$1,IF(Q14+IF(M14="",0,M14)=EA14,$DJ$1)))))))))))),IF(Q14=DH14,IF(Q14+IF(I14="",0,I14)=NJ14,$MR$1,IF(Q14+IF(I14="",0,I14)=MN14,$LV$1,IF(Q14+IF(I14="",0,I14)=LR14,$KZ$1,IF(Q14+IF(I14="",0,I14)=KV14,$KD$1,IF(Q14+IF(I14="",0,I14)=JZ14,$JH$1,IF(Q14+IF(I14="",0,I14)=JD14,$IL$1,IF(Q14+IF(I14="",0,I14)=IH14,$HP$1,IF(Q14+IF(I14="",0,I14)=HL14,$GT$1,IF(Q14+IF(I14="",0,I14)=GP14,$FX$1,IF(Q14+IF(I14="",0,I14)=FT14,$FB$1,IF(Q14+IF(I14="",0,I14)=EX14,$EF$1,IF(Q14+IF(I14="",0,I14)=EB14,$DJ$1)))))))))))),IF(Q14=DI14,IF(Q14+IF(O14="",0,O14)=NL14,$MR$1,IF(Q14+IF(O14="",0,O14)=MP14,$LV$1,IF(Q14+IF(O14="",0,O14)=LT14,$KZ$1,IF(Q14+IF(O14="",0,O14)=KX14,$KD$1,IF(Q14+IF(O14="",0,O14)=KB14,$JH$1,IF(Q14+IF(O14="",0,O14)=JF14,$IL$1,IF(Q14+IF(O14="",0,O14)=IJ14,$HP$1,IF(Q14+IF(O14="",0,O14)=HN14,$GT$1,IF(Q14+IF(O14="",0,O14)=GR14,$FX$1,IF(Q14+IF(O14="",0,O14)=FV14,$FB$1,IF(Q14+IF(O14="",0,O14)=EZ14,$EF$1,IF(Q14+IF(O14="",0,O14)=ED14,$DJ$1)))))))))))))))))</f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32"/>
      <c r="AO14" s="7" t="str">
        <f>IF(SUM(T14:W14)-X14&gt;0,SUM(T14:W14)-X14,"")</f>
        <v/>
      </c>
      <c r="AP14" s="7" t="str">
        <f>IF(AA14&gt;0,AA14,"")</f>
        <v/>
      </c>
      <c r="AQ14" s="7" t="str">
        <f>IF(SUM(Y14:AB14)-AC14&gt;0,SUM(Y14:AB14)-AC14,"")</f>
        <v/>
      </c>
      <c r="AR14" s="7" t="str">
        <f>IF(AF14&gt;0,AF14,"")</f>
        <v/>
      </c>
      <c r="AS14" s="7" t="str">
        <f>IF(SUM(AD14:AG14)-AH14&gt;0,SUM(AD14:AG14)-AH14,"")</f>
        <v/>
      </c>
      <c r="AT14" s="7" t="str">
        <f>IF(AO14="",IF(MAX(AQ14,AS14)&gt;0,MAX(AQ14,AS14),""),MAX(AQ14,AS14)+AO14)</f>
        <v/>
      </c>
      <c r="AU14" s="7" t="str">
        <f>IF(AK14&gt;0,AK14,"")</f>
        <v/>
      </c>
      <c r="AV14" s="7" t="str">
        <f>IF(SUM(AI14:AL14)-AM14&gt;0,SUM(AI14:AL14)-AM14,"")</f>
        <v/>
      </c>
      <c r="AW14" s="7" t="str">
        <f>IF(SUM(AT14,AV14)&gt;0,SUM(AT14,AV14),"")</f>
        <v/>
      </c>
      <c r="AX14" s="23">
        <v>15.8</v>
      </c>
      <c r="AY14" s="23">
        <v>9.4</v>
      </c>
      <c r="AZ14" s="23">
        <v>0</v>
      </c>
      <c r="BA14" s="23">
        <v>14.89</v>
      </c>
      <c r="BB14" s="23">
        <v>0</v>
      </c>
      <c r="BC14" s="23">
        <v>4.0999999999999996</v>
      </c>
      <c r="BD14" s="23">
        <v>2.7</v>
      </c>
      <c r="BE14" s="23">
        <v>3.6</v>
      </c>
      <c r="BF14" s="23">
        <v>4.45</v>
      </c>
      <c r="BG14" s="23">
        <v>0</v>
      </c>
      <c r="BH14" s="23"/>
      <c r="BI14" s="23"/>
      <c r="BJ14" s="23"/>
      <c r="BK14" s="23"/>
      <c r="BL14" s="23"/>
      <c r="BM14" s="23">
        <v>5.2</v>
      </c>
      <c r="BN14" s="23">
        <v>3.2</v>
      </c>
      <c r="BO14" s="23">
        <v>4.3</v>
      </c>
      <c r="BP14" s="23">
        <v>5.97</v>
      </c>
      <c r="BQ14" s="23">
        <v>0</v>
      </c>
      <c r="BR14" s="33"/>
      <c r="BS14" s="9">
        <f>IF(SUM(AX14:BA14)-BB14&gt;0,SUM(AX14:BA14)-BB14,"")</f>
        <v>40.090000000000003</v>
      </c>
      <c r="BT14" s="9">
        <f>IF(BE14&gt;0,BE14,"")</f>
        <v>3.6</v>
      </c>
      <c r="BU14" s="9">
        <f>IF(SUM(BC14:BF14)-BG14&gt;0,SUM(BC14:BF14)-BG14,"")</f>
        <v>14.850000000000001</v>
      </c>
      <c r="BV14" s="9" t="str">
        <f>IF(BJ14&gt;0,BJ14,"")</f>
        <v/>
      </c>
      <c r="BW14" s="9" t="str">
        <f>IF(SUM(BH14:BK14)-BL14&gt;0,SUM(BH14:BK14)-BL14,"")</f>
        <v/>
      </c>
      <c r="BX14" s="9">
        <f>IF(BS14="",IF(MAX(BU14,BW14)&gt;0,MAX(BU14,BW14),""),MAX(BU14,BW14)+BS14)</f>
        <v>54.940000000000005</v>
      </c>
      <c r="BY14" s="9">
        <f>IF(BO14&gt;0,BO14,"")</f>
        <v>4.3</v>
      </c>
      <c r="BZ14" s="9">
        <f>IF(SUM(BM14:BP14)-BQ14&gt;0,SUM(BM14:BP14)-BQ14,"")</f>
        <v>18.669999999999998</v>
      </c>
      <c r="CA14" s="9">
        <f>IF(SUM(BX14,BZ14)&gt;0,SUM(BX14,BZ14),"")</f>
        <v>73.61</v>
      </c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32"/>
      <c r="CW14" s="7" t="str">
        <f>IF(SUM(CB14:CE14)-CF14&gt;0,SUM(CB14:CE14)-CF14,"")</f>
        <v/>
      </c>
      <c r="CX14" s="7" t="str">
        <f>IF(CI14&gt;0,CI14,"")</f>
        <v/>
      </c>
      <c r="CY14" s="7" t="str">
        <f>IF(SUM(CG14:CJ14)-CK14&gt;0,SUM(CG14:CJ14)-CK14,"")</f>
        <v/>
      </c>
      <c r="CZ14" s="7" t="str">
        <f>IF(CN14&gt;0,CN14,"")</f>
        <v/>
      </c>
      <c r="DA14" s="7" t="str">
        <f>IF(SUM(CL14:CO14)-CP14&gt;0,SUM(CL14:CO14)-CP14,"")</f>
        <v/>
      </c>
      <c r="DB14" s="7" t="str">
        <f>IF(CW14="",IF(MAX(CY14,DA14)&gt;0,MAX(CY14,DA14),""),MAX(CY14,DA14)+CW14)</f>
        <v/>
      </c>
      <c r="DC14" s="7" t="str">
        <f>IF(CS14&gt;0,CS14,"")</f>
        <v/>
      </c>
      <c r="DD14" s="7" t="str">
        <f>IF(SUM(CQ14:CT14)-CU14&gt;0,SUM(CQ14:CT14)-CU14,"")</f>
        <v/>
      </c>
      <c r="DE14" s="7" t="str">
        <f>IF(SUM(DB14,DD14)&gt;0,SUM(DB14,DD14),"")</f>
        <v/>
      </c>
      <c r="DF14" s="13" t="str">
        <f>IF(MAX(DZ14,EV14,FR14,GN14,HJ14,IF14,JB14,JX14,KT14,LP14,ML14,NH14)-IF(K14="",0,K14)&gt;0.001,MAX(DZ14,EV14,FR14,GN14,HJ14,IF14,JB14,JX14,KT14,LP14,ML14,NH14)-IF(K14="",0,K14),"")</f>
        <v/>
      </c>
      <c r="DG14" s="13" t="str">
        <f>IF(MAX(EA14,EW14,FS14,GO14,HK14,IG14,JC14,JY14,KU14,LQ14,MM14,NI14)-IF(M14="",0,M14)&gt;0.001,MAX(EA14,EW14,FS14,GO14,HK14,IG14,JC14,JY14,KU14,LQ14,MM14,NI14)-IF(M14="",0,M14),"")</f>
        <v/>
      </c>
      <c r="DH14" s="13" t="str">
        <f>IF(MAX(EB14,EX14,FT14,GP14,HL14,IH14,JD14,JZ14,KV14,LR14,MN14,NJ14)-IF(I14="",0,I14)&gt;0.001,MAX(EB14,EX14,FT14,GP14,HL14,IH14,JD14,JZ14,KV14,LR14,MN14,NJ14)-IF(I14="",0,I14),"")</f>
        <v/>
      </c>
      <c r="DI14" s="13" t="str">
        <f>IF(MAX(ED14,EZ14,FV14,GR14,HN14,IJ14,JF14,KB14,KX14,LT14,MP14,NL14)-IF(O14="",0,O14)&gt;0.001,MAX(ED14,EZ14,FV14,GR14,HN14,IJ14,JF14,KB14,KX14,LT14,MP14,NL14)-IF(O14="",0,O14),"")</f>
        <v/>
      </c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7" t="str">
        <f>IF(DQ14&gt;0,DQ14,"")</f>
        <v/>
      </c>
      <c r="DZ14" s="7" t="str">
        <f>IF(SUM(DJ14:DM14)-DN14&gt;0,SUM(DJ14:DM14)-DN14,"")</f>
        <v/>
      </c>
      <c r="EA14" s="7" t="str">
        <f>IF(SUM(DO14:DR14)-DS14&gt;0,SUM(DO14:DR14)-DS14,"")</f>
        <v/>
      </c>
      <c r="EB14" s="7" t="str">
        <f>IF(SUM(DZ14:EA14)&gt;0,SUM(DZ14:EA14),"")</f>
        <v/>
      </c>
      <c r="EC14" s="7" t="str">
        <f>IF(DV14&gt;0,DV14,"")</f>
        <v/>
      </c>
      <c r="ED14" s="7" t="str">
        <f>IF(SUM(DT14:DW14)-DX14&gt;0,SUM(DT14:DW14)-DX14,"")</f>
        <v/>
      </c>
      <c r="EE14" s="7" t="str">
        <f>IF(SUM(EB14,ED14)&gt;0,SUM(EB14,ED14),"")</f>
        <v/>
      </c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9" t="str">
        <f>IF(EM14&gt;0,EM14,"")</f>
        <v/>
      </c>
      <c r="EV14" s="9" t="str">
        <f>IF(SUM(EF14:EI14)-EJ14&gt;0,SUM(EF14:EI14)-EJ14,"")</f>
        <v/>
      </c>
      <c r="EW14" s="9" t="str">
        <f>IF(SUM(EK14:EN14)-EO14&gt;0,SUM(EK14:EN14)-EO14,"")</f>
        <v/>
      </c>
      <c r="EX14" s="9" t="str">
        <f>IF(SUM(EV14:EW14)&gt;0,SUM(EV14:EW14),"")</f>
        <v/>
      </c>
      <c r="EY14" s="9" t="str">
        <f>IF(ER14&gt;0,ER14,"")</f>
        <v/>
      </c>
      <c r="EZ14" s="9" t="str">
        <f>IF(SUM(EP14:ES14)-ET14&gt;0,SUM(EP14:ES14)-ET14,"")</f>
        <v/>
      </c>
      <c r="FA14" s="9" t="str">
        <f>IF(SUM(EX14,EZ14)&gt;0,SUM(EX14,EZ14),"")</f>
        <v/>
      </c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7" t="str">
        <f>IF(FI14&gt;0,FI14,"")</f>
        <v/>
      </c>
      <c r="FR14" s="7" t="str">
        <f>IF(SUM(FB14:FE14)-FF14&gt;0,SUM(FB14:FE14)-FF14,"")</f>
        <v/>
      </c>
      <c r="FS14" s="7" t="str">
        <f>IF(SUM(FG14:FJ14)-FK14&gt;0,SUM(FG14:FJ14)-FK14,"")</f>
        <v/>
      </c>
      <c r="FT14" s="7" t="str">
        <f>IF(SUM(FR14:FS14)&gt;0,SUM(FR14:FS14),"")</f>
        <v/>
      </c>
      <c r="FU14" s="7" t="str">
        <f>IF(FN14&gt;0,FN14,"")</f>
        <v/>
      </c>
      <c r="FV14" s="7" t="str">
        <f>IF(SUM(FL14:FO14)-FP14&gt;0,SUM(FL14:FO14)-FP14,"")</f>
        <v/>
      </c>
      <c r="FW14" s="7" t="str">
        <f>IF(SUM(FT14,FV14)&gt;0,SUM(FT14,FV14),"")</f>
        <v/>
      </c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9" t="str">
        <f>IF(GE14&gt;0,GE14,"")</f>
        <v/>
      </c>
      <c r="GN14" s="9" t="str">
        <f>IF(SUM(FX14:GA14)-GB14&gt;0,SUM(FX14:GA14)-GB14,"")</f>
        <v/>
      </c>
      <c r="GO14" s="9" t="str">
        <f>IF(SUM(GC14:GF14)-GG14&gt;0,SUM(GC14:GF14)-GG14,"")</f>
        <v/>
      </c>
      <c r="GP14" s="9" t="str">
        <f>IF(SUM(GN14:GO14)&gt;0,SUM(GN14:GO14),"")</f>
        <v/>
      </c>
      <c r="GQ14" s="9" t="str">
        <f>IF(GJ14&gt;0,GJ14,"")</f>
        <v/>
      </c>
      <c r="GR14" s="9" t="str">
        <f>IF(SUM(GH14:GK14)-GL14&gt;0,SUM(GH14:GK14)-GL14,"")</f>
        <v/>
      </c>
      <c r="GS14" s="9" t="str">
        <f>IF(SUM(GP14,GR14)&gt;0,SUM(GP14,GR14),"")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7" t="str">
        <f>IF(HA14&gt;0,HA14,"")</f>
        <v/>
      </c>
      <c r="HJ14" s="7" t="str">
        <f>IF(SUM(GT14:GW14)-GX14&gt;0,SUM(GT14:GW14)-GX14,"")</f>
        <v/>
      </c>
      <c r="HK14" s="7" t="str">
        <f>IF(SUM(GY14:HB14)-HC14&gt;0,SUM(GY14:HB14)-HC14,"")</f>
        <v/>
      </c>
      <c r="HL14" s="7" t="str">
        <f>IF(SUM(HJ14:HK14)&gt;0,SUM(HJ14:HK14),"")</f>
        <v/>
      </c>
      <c r="HM14" s="7" t="str">
        <f>IF(HF14&gt;0,HF14,"")</f>
        <v/>
      </c>
      <c r="HN14" s="7" t="str">
        <f>IF(SUM(HD14:HG14)-HH14&gt;0,SUM(HD14:HG14)-HH14,"")</f>
        <v/>
      </c>
      <c r="HO14" s="7" t="str">
        <f>IF(SUM(HL14,HN14)&gt;0,SUM(HL14,HN14),"")</f>
        <v/>
      </c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9" t="str">
        <f>IF(HW14&gt;0,HW14,"")</f>
        <v/>
      </c>
      <c r="IF14" s="9" t="str">
        <f>IF(SUM(HP14:HS14)-HT14&gt;0,SUM(HP14:HS14)-HT14,"")</f>
        <v/>
      </c>
      <c r="IG14" s="9" t="str">
        <f>IF(SUM(HU14:HX14)-HY14&gt;0,SUM(HU14:HX14)-HY14,"")</f>
        <v/>
      </c>
      <c r="IH14" s="9" t="str">
        <f>IF(SUM(IF14:IG14)&gt;0,SUM(IF14:IG14),"")</f>
        <v/>
      </c>
      <c r="II14" s="9" t="str">
        <f>IF(IB14&gt;0,IB14,"")</f>
        <v/>
      </c>
      <c r="IJ14" s="9" t="str">
        <f>IF(SUM(HZ14:IC14)-ID14&gt;0,SUM(HZ14:IC14)-ID14,"")</f>
        <v/>
      </c>
      <c r="IK14" s="9" t="str">
        <f>IF(SUM(IH14,IJ14)&gt;0,SUM(IH14,IJ14),"")</f>
        <v/>
      </c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7" t="str">
        <f>IF(IS14&gt;0,IS14,"")</f>
        <v/>
      </c>
      <c r="JB14" s="7" t="str">
        <f>IF(SUM(IL14:IO14)-IP14&gt;0,SUM(IL14:IO14)-IP14,"")</f>
        <v/>
      </c>
      <c r="JC14" s="7" t="str">
        <f>IF(SUM(IQ14:IT14)-IU14&gt;0,SUM(IQ14:IT14)-IU14,"")</f>
        <v/>
      </c>
      <c r="JD14" s="7" t="str">
        <f>IF(SUM(JB14:JC14)&gt;0,SUM(JB14:JC14),"")</f>
        <v/>
      </c>
      <c r="JE14" s="7" t="str">
        <f>IF(IX14&gt;0,IX14,"")</f>
        <v/>
      </c>
      <c r="JF14" s="7" t="str">
        <f>IF(SUM(IV14:IY14)-IZ14&gt;0,SUM(IV14:IY14)-IZ14,"")</f>
        <v/>
      </c>
      <c r="JG14" s="7" t="str">
        <f>IF(SUM(JD14,JF14)&gt;0,SUM(JD14,JF14),"")</f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9" t="str">
        <f>IF(JO14&gt;0,JO14,"")</f>
        <v/>
      </c>
      <c r="JX14" s="9" t="str">
        <f>IF(SUM(JH14:JK14)-JL14&gt;0,SUM(JH14:JK14)-JL14,"")</f>
        <v/>
      </c>
      <c r="JY14" s="9" t="str">
        <f>IF(SUM(JM14:JP14)-JQ14&gt;0,SUM(JM14:JP14)-JQ14,"")</f>
        <v/>
      </c>
      <c r="JZ14" s="9" t="str">
        <f>IF(SUM(JX14:JY14)&gt;0,SUM(JX14:JY14),"")</f>
        <v/>
      </c>
      <c r="KA14" s="9" t="str">
        <f>IF(JT14&gt;0,JT14,"")</f>
        <v/>
      </c>
      <c r="KB14" s="9" t="str">
        <f>IF(SUM(JR14:JU14)-JV14&gt;0,SUM(JR14:JU14)-JV14,"")</f>
        <v/>
      </c>
      <c r="KC14" s="9" t="str">
        <f>IF(SUM(JZ14,KB14)&gt;0,SUM(JZ14,KB14),"")</f>
        <v/>
      </c>
      <c r="KD14" s="18"/>
      <c r="KE14" s="18"/>
      <c r="KF14" s="18"/>
      <c r="KG14" s="18"/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7" t="str">
        <f>IF(KK14&gt;0,KK14,"")</f>
        <v/>
      </c>
      <c r="KT14" s="7" t="str">
        <f>IF(SUM(KD14:KG14)-KH14&gt;0,SUM(KD14:KG14)-KH14,"")</f>
        <v/>
      </c>
      <c r="KU14" s="7" t="str">
        <f>IF(SUM(KI14:KL14)-KM14&gt;0,SUM(KI14:KL14)-KM14,"")</f>
        <v/>
      </c>
      <c r="KV14" s="7" t="str">
        <f>IF(SUM(KT14:KU14)&gt;0,SUM(KT14:KU14),"")</f>
        <v/>
      </c>
      <c r="KW14" s="7" t="str">
        <f>IF(KP14&gt;0,KP14,"")</f>
        <v/>
      </c>
      <c r="KX14" s="7" t="str">
        <f>IF(SUM(KN14:KQ14)-KR14&gt;0,SUM(KN14:KQ14)-KR14,"")</f>
        <v/>
      </c>
      <c r="KY14" s="7" t="str">
        <f>IF(SUM(KV14,KX14)&gt;0,SUM(KV14,KX14),"")</f>
        <v/>
      </c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9" t="str">
        <f>IF(LG14&gt;0,LG14,"")</f>
        <v/>
      </c>
      <c r="LP14" s="9" t="str">
        <f>IF(SUM(KZ14:LC14)-LD14&gt;0,SUM(KZ14:LC14)-LD14,"")</f>
        <v/>
      </c>
      <c r="LQ14" s="9" t="str">
        <f>IF(SUM(LE14:LH14)-LI14&gt;0,SUM(LE14:LH14)-LI14,"")</f>
        <v/>
      </c>
      <c r="LR14" s="9" t="str">
        <f>IF(SUM(LP14:LQ14)&gt;0,SUM(LP14:LQ14),"")</f>
        <v/>
      </c>
      <c r="LS14" s="9" t="str">
        <f>IF(LL14&gt;0,LL14,"")</f>
        <v/>
      </c>
      <c r="LT14" s="9" t="str">
        <f>IF(SUM(LJ14:LM14)-LN14&gt;0,SUM(LJ14:LM14)-LN14,"")</f>
        <v/>
      </c>
      <c r="LU14" s="9" t="str">
        <f>IF(SUM(LR14,LT14)&gt;0,SUM(LR14,LT14),"")</f>
        <v/>
      </c>
      <c r="LV14" s="18"/>
      <c r="LW14" s="18"/>
      <c r="LX14" s="18"/>
      <c r="LY14" s="18"/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7" t="str">
        <f>IF(MC14&gt;0,MC14,"")</f>
        <v/>
      </c>
      <c r="ML14" s="7" t="str">
        <f>IF(SUM(LV14:LY14)-LZ14&gt;0,SUM(LV14:LY14)-LZ14,"")</f>
        <v/>
      </c>
      <c r="MM14" s="7" t="str">
        <f>IF(SUM(MA14:MD14)-ME14&gt;0,SUM(MA14:MD14)-ME14,"")</f>
        <v/>
      </c>
      <c r="MN14" s="7" t="str">
        <f>IF(SUM(ML14:MM14)&gt;0,SUM(ML14:MM14),"")</f>
        <v/>
      </c>
      <c r="MO14" s="7" t="str">
        <f>IF(MH14&gt;0,MH14,"")</f>
        <v/>
      </c>
      <c r="MP14" s="7" t="str">
        <f>IF(SUM(MF14:MI14)-MJ14&gt;0,SUM(MF14:MI14)-MJ14,"")</f>
        <v/>
      </c>
      <c r="MQ14" s="7" t="str">
        <f>IF(SUM(MN14,MP14)&gt;0,SUM(MN14,MP14),"")</f>
        <v/>
      </c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9" t="str">
        <f>IF(MY14&gt;0,MY14,"")</f>
        <v/>
      </c>
      <c r="NH14" s="9" t="str">
        <f>IF(SUM(MR14:MU14)-MV14&gt;0,SUM(MR14:MU14)-MV14,"")</f>
        <v/>
      </c>
      <c r="NI14" s="9" t="str">
        <f>IF(SUM(MW14:MZ14)-NA14&gt;0,SUM(MW14:MZ14)-NA14,"")</f>
        <v/>
      </c>
      <c r="NJ14" s="9" t="str">
        <f>IF(SUM(NH14:NI14)&gt;0,SUM(NH14:NI14),"")</f>
        <v/>
      </c>
      <c r="NK14" s="9" t="str">
        <f>IF(ND14&gt;0,ND14,"")</f>
        <v/>
      </c>
      <c r="NL14" s="9" t="str">
        <f>IF(SUM(NB14:NE14)-NF14&gt;0,SUM(NB14:NE14)-NF14,"")</f>
        <v/>
      </c>
      <c r="NM14" s="9" t="str">
        <f>IF(SUM(NJ14,NL14)&gt;0,SUM(NJ14,NL14),"")</f>
        <v/>
      </c>
      <c r="NN14" s="27">
        <f>IF($CV14="P",CB14,(CB14+AX14)/2)</f>
        <v>7.9</v>
      </c>
      <c r="NO14" s="27">
        <f>IF($CV14="P",CC14,(CC14+AY14)/2)</f>
        <v>4.7</v>
      </c>
      <c r="NP14" s="27">
        <f>IF($CV14="P",CD14,(CD14+AZ14)/2)</f>
        <v>0</v>
      </c>
      <c r="NQ14" s="27">
        <f>IF($CV14="P",CE14,(CE14+BA14)/2)</f>
        <v>7.4450000000000003</v>
      </c>
      <c r="NR14" s="27">
        <f>IF($CV14="P",CF14,(CF14+BB14)/2)</f>
        <v>0</v>
      </c>
      <c r="NS14" s="27">
        <f>IF($CV14="P",CG14,(CG14+BC14)/2)</f>
        <v>2.0499999999999998</v>
      </c>
      <c r="NT14" s="27">
        <f>IF($CV14="P",CH14,(CH14+BD14)/2)</f>
        <v>1.35</v>
      </c>
      <c r="NU14" s="27">
        <f>IF($CV14="P",CI14,(CI14+BE14)/2)</f>
        <v>1.8</v>
      </c>
      <c r="NV14" s="27">
        <f>IF($CV14="P",CJ14,(CJ14+BF14)/2)</f>
        <v>2.2250000000000001</v>
      </c>
      <c r="NW14" s="27">
        <f>IF($CV14="P",CK14,(CK14+BG14)/2)</f>
        <v>0</v>
      </c>
      <c r="NX14" s="27">
        <f>IF($CV14="P",CL14,(CL14+BH14)/2)</f>
        <v>0</v>
      </c>
      <c r="NY14" s="27">
        <f>IF($CV14="P",CM14,(CM14+BI14)/2)</f>
        <v>0</v>
      </c>
      <c r="NZ14" s="27">
        <f>IF($CV14="P",CN14,(CN14+BJ14)/2)</f>
        <v>0</v>
      </c>
      <c r="OA14" s="27">
        <f>IF($CV14="P",CO14,(CO14+BK14)/2)</f>
        <v>0</v>
      </c>
      <c r="OB14" s="27">
        <f>IF($CV14="P",CP14,(CP14+BL14)/2)</f>
        <v>0</v>
      </c>
      <c r="OC14" s="27">
        <f>IF($CV14="P",CQ14,(CQ14+BM14)/2)</f>
        <v>2.6</v>
      </c>
      <c r="OD14" s="27">
        <f>IF($CV14="P",CR14,(CR14+BN14)/2)</f>
        <v>1.6</v>
      </c>
      <c r="OE14" s="27">
        <f>IF($CV14="P",CS14,(CS14+BO14)/2)</f>
        <v>2.15</v>
      </c>
      <c r="OF14" s="27">
        <f>IF($CV14="P",CT14,(CT14+BP14)/2)</f>
        <v>2.9849999999999999</v>
      </c>
      <c r="OG14" s="27">
        <f>IF($CV14="P",CU14,(CU14+BQ14)/2)</f>
        <v>0</v>
      </c>
      <c r="OH14" s="32" t="s">
        <v>44</v>
      </c>
      <c r="OI14" s="7">
        <f>IF(SUM(NN14:NQ14)-NR14&gt;0,SUM(NN14:NQ14)-NR14,"")</f>
        <v>20.045000000000002</v>
      </c>
      <c r="OJ14" s="7">
        <f>IF(NU14&gt;0,NU14,"")</f>
        <v>1.8</v>
      </c>
      <c r="OK14" s="7">
        <f>IF(SUM(NS14:NV14)-NW14&gt;0,SUM(NS14:NV14)-NW14,"")</f>
        <v>7.4250000000000007</v>
      </c>
      <c r="OL14" s="7" t="str">
        <f>IF(NZ14&gt;0,NZ14,"")</f>
        <v/>
      </c>
      <c r="OM14" s="7" t="str">
        <f>IF(SUM(NX14:OA14)-OB14&gt;0,SUM(NX14:OA14)-OB14,"")</f>
        <v/>
      </c>
      <c r="ON14" s="7">
        <f>IF(OR(OI14&lt;&gt;"",OK14&lt;&gt;"",OM14&lt;&gt;""),OI14+MAX(OK14,OM14),"")</f>
        <v>27.470000000000002</v>
      </c>
      <c r="OO14" s="7">
        <f>IF(OE14&gt;0,OE14,"")</f>
        <v>2.15</v>
      </c>
      <c r="OP14" s="7">
        <f t="shared" ref="OP14" si="6">IF(SUM(OC14:OF14)-OG14&gt;0,SUM(OC14:OF14)-OG14,"")</f>
        <v>9.3349999999999991</v>
      </c>
      <c r="OQ14" s="7">
        <f t="shared" ref="OQ14" si="7">IF(SUM(ON14,OP14)&gt;0,SUM(ON14,OP14),"")</f>
        <v>36.805</v>
      </c>
    </row>
    <row r="15" spans="1:407" x14ac:dyDescent="0.2">
      <c r="B15" s="5"/>
      <c r="D15" s="1"/>
    </row>
    <row r="17" spans="1:377" x14ac:dyDescent="0.2">
      <c r="B17" s="28" t="s">
        <v>42</v>
      </c>
      <c r="C17" s="5"/>
      <c r="AP17" s="46"/>
      <c r="AQ17" s="46"/>
      <c r="AR17" s="46"/>
      <c r="AU17" s="2"/>
      <c r="AW17" s="24">
        <v>13.4</v>
      </c>
      <c r="BT17" s="46"/>
      <c r="BU17" s="46"/>
      <c r="BV17" s="46"/>
      <c r="BY17" s="2"/>
      <c r="CA17" s="24">
        <v>13.4</v>
      </c>
      <c r="CX17" s="46"/>
      <c r="CY17" s="46"/>
      <c r="CZ17" s="46"/>
      <c r="DC17" s="2"/>
      <c r="DE17" s="24">
        <v>13.4</v>
      </c>
      <c r="DY17" s="5"/>
      <c r="EC17" s="2"/>
      <c r="EE17" s="24">
        <v>13.4</v>
      </c>
      <c r="EU17" s="5"/>
      <c r="EY17" s="2"/>
      <c r="FA17" s="24">
        <v>13.4</v>
      </c>
      <c r="FQ17" s="5"/>
      <c r="FU17" s="2"/>
      <c r="FW17" s="24">
        <v>13.4</v>
      </c>
      <c r="GM17" s="5"/>
      <c r="GQ17" s="2"/>
      <c r="GS17" s="24">
        <v>13.4</v>
      </c>
      <c r="HI17" s="5"/>
      <c r="HM17" s="2"/>
      <c r="HO17" s="24">
        <v>13.4</v>
      </c>
      <c r="IE17" s="5"/>
      <c r="II17" s="2"/>
      <c r="IK17" s="24">
        <v>13.4</v>
      </c>
      <c r="JA17" s="5"/>
      <c r="JE17" s="2"/>
      <c r="JG17" s="24">
        <v>13.4</v>
      </c>
      <c r="JW17" s="5"/>
      <c r="KA17" s="2"/>
      <c r="KC17" s="24">
        <v>13.4</v>
      </c>
      <c r="KS17" s="5"/>
      <c r="KW17" s="2"/>
      <c r="KY17" s="24">
        <v>13.4</v>
      </c>
      <c r="LO17" s="5"/>
      <c r="LS17" s="2"/>
      <c r="LU17" s="24">
        <v>13.4</v>
      </c>
      <c r="MK17" s="5"/>
      <c r="MO17" s="2"/>
      <c r="MQ17" s="24">
        <v>13.4</v>
      </c>
      <c r="NG17" s="5"/>
      <c r="NK17" s="2"/>
      <c r="NM17" s="24">
        <v>13.4</v>
      </c>
    </row>
    <row r="18" spans="1:377" hidden="1" x14ac:dyDescent="0.2">
      <c r="B18" s="35" t="s">
        <v>41</v>
      </c>
      <c r="C18" s="5"/>
      <c r="AP18" s="46"/>
      <c r="AQ18" s="46"/>
      <c r="AR18" s="46"/>
      <c r="AU18" s="2"/>
      <c r="AW18" s="39">
        <v>1000</v>
      </c>
      <c r="BT18" s="46"/>
      <c r="BU18" s="46"/>
      <c r="BV18" s="46"/>
      <c r="BY18" s="2"/>
      <c r="CA18" s="39">
        <v>1000</v>
      </c>
      <c r="CX18" s="46"/>
      <c r="CY18" s="46"/>
      <c r="CZ18" s="46"/>
      <c r="DC18" s="2"/>
      <c r="DE18" s="39">
        <v>1000</v>
      </c>
      <c r="DY18" s="5"/>
      <c r="EC18" s="2"/>
      <c r="EE18" s="39">
        <v>1000</v>
      </c>
      <c r="EU18" s="5"/>
      <c r="EY18" s="2"/>
      <c r="FA18" s="39">
        <v>1000</v>
      </c>
      <c r="FQ18" s="5"/>
      <c r="FU18" s="2"/>
      <c r="FW18" s="39">
        <v>1000</v>
      </c>
      <c r="GM18" s="5"/>
      <c r="GQ18" s="2"/>
      <c r="GS18" s="39">
        <v>1000</v>
      </c>
      <c r="HI18" s="5"/>
      <c r="HM18" s="2"/>
      <c r="HO18" s="39">
        <v>1000</v>
      </c>
      <c r="IE18" s="5"/>
      <c r="II18" s="2"/>
      <c r="IK18" s="39">
        <v>1000</v>
      </c>
      <c r="JA18" s="5"/>
      <c r="JE18" s="2"/>
      <c r="JG18" s="39">
        <v>1000</v>
      </c>
      <c r="JW18" s="5"/>
      <c r="KA18" s="2"/>
      <c r="KC18" s="39">
        <v>1000</v>
      </c>
      <c r="KS18" s="5"/>
      <c r="KW18" s="2"/>
      <c r="KY18" s="39">
        <v>1000</v>
      </c>
      <c r="LO18" s="5"/>
      <c r="LS18" s="2"/>
      <c r="LU18" s="39">
        <v>1000</v>
      </c>
      <c r="MK18" s="5"/>
      <c r="MO18" s="2"/>
      <c r="MQ18" s="39">
        <v>1000</v>
      </c>
      <c r="NG18" s="5"/>
      <c r="NK18" s="2"/>
      <c r="NM18" s="39">
        <v>1000</v>
      </c>
    </row>
    <row r="19" spans="1:377" hidden="1" x14ac:dyDescent="0.2">
      <c r="A19" s="5"/>
      <c r="B19" s="36" t="s">
        <v>54</v>
      </c>
      <c r="C19" s="5"/>
      <c r="AP19" s="46"/>
      <c r="AQ19" s="46"/>
      <c r="AR19" s="46"/>
      <c r="AT19" s="2"/>
      <c r="AU19" s="2"/>
      <c r="AV19" s="2"/>
      <c r="AW19" s="38">
        <v>1000</v>
      </c>
      <c r="BT19" s="46"/>
      <c r="BU19" s="46"/>
      <c r="BV19" s="46"/>
      <c r="BY19" s="2"/>
      <c r="CA19" s="38">
        <v>1000</v>
      </c>
      <c r="CX19" s="46"/>
      <c r="CY19" s="46"/>
      <c r="CZ19" s="46"/>
      <c r="DB19" s="2"/>
      <c r="DC19" s="2"/>
      <c r="DD19" s="2"/>
      <c r="DE19" s="38">
        <v>1000</v>
      </c>
      <c r="DY19" s="5"/>
      <c r="EC19" s="2"/>
      <c r="EE19" s="38">
        <v>1000</v>
      </c>
      <c r="EU19" s="5"/>
      <c r="EY19" s="2"/>
      <c r="FA19" s="38">
        <v>1000</v>
      </c>
      <c r="FQ19" s="5"/>
      <c r="FU19" s="2"/>
      <c r="FW19" s="38">
        <v>1000</v>
      </c>
      <c r="GM19" s="5"/>
      <c r="GQ19" s="2"/>
      <c r="GS19" s="38">
        <v>1000</v>
      </c>
      <c r="HI19" s="5"/>
      <c r="HM19" s="2"/>
      <c r="HO19" s="38">
        <v>1000</v>
      </c>
      <c r="IE19" s="5"/>
      <c r="II19" s="2"/>
      <c r="IK19" s="38">
        <v>1000</v>
      </c>
      <c r="JA19" s="5"/>
      <c r="JE19" s="2"/>
      <c r="JG19" s="38">
        <v>1000</v>
      </c>
      <c r="JW19" s="5"/>
      <c r="KA19" s="2"/>
      <c r="KC19" s="38">
        <v>1000</v>
      </c>
      <c r="KS19" s="5"/>
      <c r="KW19" s="2"/>
      <c r="KY19" s="38">
        <v>1000</v>
      </c>
      <c r="LO19" s="5"/>
      <c r="LS19" s="2"/>
      <c r="LU19" s="38">
        <v>1000</v>
      </c>
      <c r="MK19" s="5"/>
      <c r="MO19" s="2"/>
      <c r="MQ19" s="38">
        <v>1000</v>
      </c>
      <c r="NG19" s="5"/>
      <c r="NK19" s="2"/>
      <c r="NM19" s="38">
        <v>1000</v>
      </c>
    </row>
    <row r="20" spans="1:377" hidden="1" x14ac:dyDescent="0.2">
      <c r="A20" s="5"/>
      <c r="B20" s="44" t="s">
        <v>59</v>
      </c>
      <c r="C20" s="5"/>
      <c r="AP20" s="46"/>
      <c r="AQ20" s="46"/>
      <c r="AR20" s="46"/>
      <c r="AT20" s="2"/>
      <c r="AU20" s="2"/>
      <c r="AV20" s="2"/>
      <c r="AW20" s="45">
        <v>1000</v>
      </c>
      <c r="BT20" s="46"/>
      <c r="BU20" s="46"/>
      <c r="BV20" s="46"/>
      <c r="BY20" s="2"/>
      <c r="CA20" s="45">
        <v>1000</v>
      </c>
      <c r="CX20" s="46"/>
      <c r="CY20" s="46"/>
      <c r="CZ20" s="46"/>
      <c r="DB20" s="2"/>
      <c r="DC20" s="2"/>
      <c r="DD20" s="2"/>
      <c r="DE20" s="45">
        <v>1000</v>
      </c>
      <c r="DY20" s="5"/>
      <c r="EC20" s="2"/>
      <c r="EE20" s="45">
        <v>1000</v>
      </c>
      <c r="EU20" s="5"/>
      <c r="EY20" s="2"/>
      <c r="FA20" s="45">
        <v>1000</v>
      </c>
      <c r="FQ20" s="5"/>
      <c r="FU20" s="2"/>
      <c r="FW20" s="45">
        <v>1000</v>
      </c>
      <c r="GM20" s="5"/>
      <c r="GQ20" s="2"/>
      <c r="GS20" s="45">
        <v>1000</v>
      </c>
      <c r="HI20" s="5"/>
      <c r="HM20" s="2"/>
      <c r="HO20" s="45">
        <v>1000</v>
      </c>
      <c r="IE20" s="5"/>
      <c r="II20" s="2"/>
      <c r="IK20" s="45">
        <v>1000</v>
      </c>
      <c r="JA20" s="5"/>
      <c r="JE20" s="2"/>
      <c r="JG20" s="45">
        <v>1000</v>
      </c>
      <c r="JW20" s="5"/>
      <c r="KA20" s="2"/>
      <c r="KC20" s="45">
        <v>1000</v>
      </c>
      <c r="KS20" s="5"/>
      <c r="KW20" s="2"/>
      <c r="KY20" s="45">
        <v>1000</v>
      </c>
      <c r="LO20" s="5"/>
      <c r="LS20" s="2"/>
      <c r="LU20" s="45">
        <v>1000</v>
      </c>
      <c r="MK20" s="5"/>
      <c r="MO20" s="2"/>
      <c r="MQ20" s="45">
        <v>1000</v>
      </c>
      <c r="NG20" s="5"/>
      <c r="NK20" s="2"/>
      <c r="NM20" s="45">
        <v>1000</v>
      </c>
    </row>
    <row r="21" spans="1:377" x14ac:dyDescent="0.2">
      <c r="A21" s="5"/>
      <c r="B21" s="42" t="s">
        <v>39</v>
      </c>
      <c r="C21" s="5"/>
      <c r="M21" s="2"/>
      <c r="AP21" s="46"/>
      <c r="AQ21" s="46"/>
      <c r="AR21" s="46"/>
      <c r="AT21" s="2"/>
      <c r="AU21" s="2"/>
      <c r="AV21" s="2"/>
      <c r="AW21" s="43">
        <v>93.9</v>
      </c>
      <c r="BT21" s="46"/>
      <c r="BU21" s="46"/>
      <c r="BV21" s="46"/>
      <c r="BY21" s="2"/>
      <c r="CA21" s="43">
        <v>93.9</v>
      </c>
      <c r="CX21" s="46"/>
      <c r="CY21" s="46"/>
      <c r="CZ21" s="46"/>
      <c r="DB21" s="2"/>
      <c r="DC21" s="2"/>
      <c r="DD21" s="2"/>
      <c r="DE21" s="43">
        <v>93.9</v>
      </c>
      <c r="DY21" s="5"/>
      <c r="EC21" s="2"/>
      <c r="EE21" s="43">
        <v>93.9</v>
      </c>
      <c r="EU21" s="5"/>
      <c r="EY21" s="2"/>
      <c r="FA21" s="43">
        <v>93.9</v>
      </c>
      <c r="FQ21" s="5"/>
      <c r="FU21" s="2"/>
      <c r="FW21" s="43">
        <v>93.9</v>
      </c>
      <c r="GM21" s="5"/>
      <c r="GQ21" s="2"/>
      <c r="GS21" s="43">
        <v>93.9</v>
      </c>
      <c r="HI21" s="5"/>
      <c r="HM21" s="2"/>
      <c r="HO21" s="43">
        <v>93.9</v>
      </c>
      <c r="IE21" s="5"/>
      <c r="II21" s="2"/>
      <c r="IK21" s="43">
        <v>93.9</v>
      </c>
      <c r="JA21" s="5"/>
      <c r="JE21" s="2"/>
      <c r="JG21" s="43">
        <v>93.9</v>
      </c>
      <c r="JW21" s="5"/>
      <c r="KA21" s="2"/>
      <c r="KC21" s="43">
        <v>93.9</v>
      </c>
      <c r="KS21" s="5"/>
      <c r="KW21" s="2"/>
      <c r="KY21" s="43">
        <v>93.9</v>
      </c>
      <c r="LO21" s="5"/>
      <c r="LS21" s="2"/>
      <c r="LU21" s="43">
        <v>93.9</v>
      </c>
      <c r="MK21" s="5"/>
      <c r="MO21" s="2"/>
      <c r="MQ21" s="43">
        <v>93.9</v>
      </c>
      <c r="NG21" s="5"/>
      <c r="NK21" s="2"/>
      <c r="NM21" s="43">
        <v>93.9</v>
      </c>
    </row>
    <row r="22" spans="1:377" hidden="1" x14ac:dyDescent="0.2">
      <c r="A22" s="5"/>
      <c r="B22" s="29" t="s">
        <v>40</v>
      </c>
      <c r="C22" s="5"/>
      <c r="M22" s="2"/>
      <c r="AP22" s="46"/>
      <c r="AQ22" s="46"/>
      <c r="AR22" s="46"/>
      <c r="AT22" s="2"/>
      <c r="AU22" s="2"/>
      <c r="AV22" s="2"/>
      <c r="AW22" s="25">
        <v>1000</v>
      </c>
      <c r="BT22" s="46"/>
      <c r="BU22" s="46"/>
      <c r="BV22" s="46"/>
      <c r="BY22" s="2"/>
      <c r="CA22" s="25">
        <v>1000</v>
      </c>
      <c r="CX22" s="46"/>
      <c r="CY22" s="46"/>
      <c r="CZ22" s="46"/>
      <c r="DB22" s="2"/>
      <c r="DC22" s="2"/>
      <c r="DD22" s="2"/>
      <c r="DE22" s="25">
        <v>1000</v>
      </c>
      <c r="DY22" s="5"/>
      <c r="EC22" s="2"/>
      <c r="EE22" s="25">
        <v>1000</v>
      </c>
      <c r="EU22" s="5"/>
      <c r="EY22" s="2"/>
      <c r="FA22" s="25">
        <v>1000</v>
      </c>
      <c r="FQ22" s="5"/>
      <c r="FU22" s="2"/>
      <c r="FW22" s="25">
        <v>1000</v>
      </c>
      <c r="GM22" s="5"/>
      <c r="GQ22" s="2"/>
      <c r="GS22" s="25">
        <v>1000</v>
      </c>
      <c r="HI22" s="5"/>
      <c r="HM22" s="2"/>
      <c r="HO22" s="25">
        <v>1000</v>
      </c>
      <c r="IE22" s="5"/>
      <c r="II22" s="2"/>
      <c r="IK22" s="25">
        <v>1000</v>
      </c>
      <c r="JA22" s="5"/>
      <c r="JE22" s="2"/>
      <c r="JG22" s="25">
        <v>1000</v>
      </c>
      <c r="JW22" s="5"/>
      <c r="KA22" s="2"/>
      <c r="KC22" s="25">
        <v>1000</v>
      </c>
      <c r="KS22" s="5"/>
      <c r="KW22" s="2"/>
      <c r="KY22" s="25">
        <v>1000</v>
      </c>
      <c r="LO22" s="5"/>
      <c r="LS22" s="2"/>
      <c r="LU22" s="25">
        <v>1000</v>
      </c>
      <c r="MK22" s="5"/>
      <c r="MO22" s="2"/>
      <c r="MQ22" s="25">
        <v>1000</v>
      </c>
      <c r="NG22" s="5"/>
      <c r="NK22" s="2"/>
      <c r="NM22" s="25">
        <v>1000</v>
      </c>
    </row>
    <row r="23" spans="1:377" hidden="1" x14ac:dyDescent="0.2">
      <c r="A23" s="5"/>
      <c r="B23" s="40" t="s">
        <v>53</v>
      </c>
      <c r="C23" s="5"/>
      <c r="AP23" s="46"/>
      <c r="AQ23" s="46"/>
      <c r="AR23" s="46"/>
      <c r="AT23" s="2"/>
      <c r="AU23" s="2"/>
      <c r="AV23" s="2"/>
      <c r="AW23" s="41">
        <v>1000</v>
      </c>
      <c r="BT23" s="46"/>
      <c r="BU23" s="46"/>
      <c r="BV23" s="46"/>
      <c r="BY23" s="2"/>
      <c r="BZ23" s="48"/>
      <c r="CA23" s="41">
        <v>1000</v>
      </c>
      <c r="CX23" s="46"/>
      <c r="CY23" s="46"/>
      <c r="CZ23" s="46"/>
      <c r="DB23" s="2"/>
      <c r="DC23" s="2"/>
      <c r="DD23" s="2"/>
      <c r="DE23" s="41">
        <v>1000</v>
      </c>
      <c r="DY23" s="5"/>
      <c r="EC23" s="2"/>
      <c r="ED23" s="48"/>
      <c r="EE23" s="41">
        <v>1000</v>
      </c>
      <c r="EU23" s="5"/>
      <c r="EY23" s="2"/>
      <c r="FA23" s="41">
        <v>1000</v>
      </c>
      <c r="FQ23" s="5"/>
      <c r="FU23" s="2"/>
      <c r="FW23" s="41">
        <v>1000</v>
      </c>
      <c r="GM23" s="5"/>
      <c r="GQ23" s="2"/>
      <c r="GR23" s="48"/>
      <c r="GS23" s="41">
        <v>1000</v>
      </c>
      <c r="HI23" s="5"/>
      <c r="HM23" s="2"/>
      <c r="HN23" s="48"/>
      <c r="HO23" s="41">
        <v>1000</v>
      </c>
      <c r="IE23" s="5"/>
      <c r="II23" s="2"/>
      <c r="IJ23" s="48"/>
      <c r="IK23" s="41">
        <v>1000</v>
      </c>
      <c r="JA23" s="5"/>
      <c r="JE23" s="2"/>
      <c r="JG23" s="41">
        <v>1000</v>
      </c>
      <c r="JW23" s="5"/>
      <c r="KA23" s="2"/>
      <c r="KC23" s="41">
        <v>1000</v>
      </c>
      <c r="KS23" s="5"/>
      <c r="KW23" s="2"/>
      <c r="KY23" s="41">
        <v>1000</v>
      </c>
      <c r="LO23" s="5"/>
      <c r="LS23" s="2"/>
      <c r="LU23" s="41">
        <v>1000</v>
      </c>
      <c r="MK23" s="5"/>
      <c r="MO23" s="2"/>
      <c r="MQ23" s="41">
        <v>1000</v>
      </c>
      <c r="NG23" s="5"/>
      <c r="NK23" s="2"/>
      <c r="NM23" s="41">
        <v>1000</v>
      </c>
    </row>
    <row r="24" spans="1:377" hidden="1" x14ac:dyDescent="0.2">
      <c r="A24" s="5"/>
      <c r="B24" s="30" t="s">
        <v>26</v>
      </c>
      <c r="C24" s="5"/>
      <c r="M24" s="2"/>
      <c r="AP24" s="46"/>
      <c r="AQ24" s="46"/>
      <c r="AR24" s="46"/>
      <c r="AT24" s="2"/>
      <c r="AU24" s="2"/>
      <c r="AV24" s="2"/>
      <c r="AW24" s="26">
        <v>1000</v>
      </c>
      <c r="BT24" s="46"/>
      <c r="BU24" s="46"/>
      <c r="BV24" s="46"/>
      <c r="BY24" s="2"/>
      <c r="CA24" s="26">
        <v>1000</v>
      </c>
      <c r="CX24" s="46"/>
      <c r="CY24" s="46"/>
      <c r="CZ24" s="46"/>
      <c r="DB24" s="2"/>
      <c r="DC24" s="2"/>
      <c r="DD24" s="2"/>
      <c r="DE24" s="26">
        <v>1000</v>
      </c>
      <c r="DY24" s="5"/>
      <c r="EC24" s="2"/>
      <c r="EE24" s="26">
        <v>1000</v>
      </c>
      <c r="EU24" s="5"/>
      <c r="EY24" s="2"/>
      <c r="FA24" s="26">
        <v>1000</v>
      </c>
      <c r="FQ24" s="5"/>
      <c r="FU24" s="2"/>
      <c r="FW24" s="26">
        <v>1000</v>
      </c>
      <c r="GM24" s="5"/>
      <c r="GQ24" s="2"/>
      <c r="GS24" s="26">
        <v>1000</v>
      </c>
      <c r="HI24" s="5"/>
      <c r="HM24" s="2"/>
      <c r="HO24" s="26">
        <v>1000</v>
      </c>
      <c r="IE24" s="5"/>
      <c r="II24" s="2"/>
      <c r="IJ24" s="48"/>
      <c r="IK24" s="26">
        <v>1000</v>
      </c>
      <c r="JA24" s="5"/>
      <c r="JE24" s="2"/>
      <c r="JG24" s="26">
        <v>1000</v>
      </c>
      <c r="JW24" s="5"/>
      <c r="KA24" s="2"/>
      <c r="KC24" s="26">
        <v>1000</v>
      </c>
      <c r="KS24" s="5"/>
      <c r="KW24" s="2"/>
      <c r="KY24" s="26">
        <v>1000</v>
      </c>
      <c r="LO24" s="5"/>
      <c r="LS24" s="2"/>
      <c r="LU24" s="26">
        <v>1000</v>
      </c>
      <c r="MK24" s="5"/>
      <c r="MO24" s="2"/>
      <c r="MQ24" s="26">
        <v>1000</v>
      </c>
      <c r="NG24" s="5"/>
      <c r="NK24" s="2"/>
      <c r="NM24" s="26">
        <v>1000</v>
      </c>
    </row>
    <row r="25" spans="1:377" x14ac:dyDescent="0.2">
      <c r="B25" s="34" t="s">
        <v>45</v>
      </c>
      <c r="C25" s="2"/>
      <c r="AS25" s="2"/>
      <c r="AT25" s="2"/>
      <c r="AV25" s="2"/>
      <c r="DA25" s="2"/>
      <c r="DB25" s="2"/>
      <c r="DD25" s="2"/>
      <c r="EV25" s="2"/>
    </row>
    <row r="26" spans="1:377" x14ac:dyDescent="0.2">
      <c r="A26" s="5"/>
      <c r="B26" s="5"/>
      <c r="C26" s="22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A27" s="5"/>
      <c r="B27" s="5"/>
      <c r="C27" s="22"/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A28" s="5"/>
      <c r="B28" s="5"/>
      <c r="C28" s="22"/>
      <c r="Q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AO29" s="2"/>
      <c r="AP29" s="2"/>
      <c r="AQ29" s="2"/>
      <c r="AR29" s="2"/>
      <c r="AS29" s="2"/>
      <c r="AT29" s="2"/>
      <c r="AV29" s="2"/>
      <c r="CW29" s="2"/>
      <c r="CX29" s="2"/>
      <c r="CY29" s="2"/>
      <c r="CZ29" s="2"/>
      <c r="DA29" s="2"/>
      <c r="DB29" s="2"/>
      <c r="DD29" s="2"/>
    </row>
    <row r="30" spans="1:377" ht="17" x14ac:dyDescent="0.2">
      <c r="Q30" s="11"/>
      <c r="R30" s="11"/>
      <c r="AO30" s="2"/>
      <c r="AP30" s="2"/>
      <c r="AQ30" s="2"/>
      <c r="AR30" s="2"/>
      <c r="AS30" s="2"/>
      <c r="AT30" s="2"/>
      <c r="AV30" s="2"/>
      <c r="CW30" s="2"/>
      <c r="CX30" s="2"/>
      <c r="CY30" s="2"/>
      <c r="CZ30" s="2"/>
      <c r="DA30" s="2"/>
      <c r="DB30" s="2"/>
      <c r="DD30" s="2"/>
    </row>
    <row r="31" spans="1:377" ht="17" x14ac:dyDescent="0.2">
      <c r="Q31" s="11"/>
      <c r="R31" s="11"/>
      <c r="AO31" s="2"/>
      <c r="AP31" s="2"/>
      <c r="AQ31" s="2"/>
      <c r="AR31" s="2"/>
      <c r="AS31" s="2"/>
      <c r="AT31" s="2"/>
      <c r="AV31" s="2"/>
      <c r="CW31" s="2"/>
      <c r="CX31" s="2"/>
      <c r="CY31" s="2"/>
      <c r="CZ31" s="2"/>
      <c r="DA31" s="2"/>
      <c r="DB31" s="2"/>
      <c r="DD31" s="2"/>
    </row>
    <row r="32" spans="1:377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4">
      <sortCondition descending="1" ref="F1:F15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14">
    <cfRule type="expression" dxfId="187" priority="2" stopIfTrue="1">
      <formula>IF($AN4&lt;&gt;"",1,0)</formula>
    </cfRule>
  </conditionalFormatting>
  <conditionalFormatting sqref="AX4:CA14">
    <cfRule type="expression" dxfId="186" priority="4" stopIfTrue="1">
      <formula>IF($BR4&lt;&gt;"",1,0)</formula>
    </cfRule>
  </conditionalFormatting>
  <conditionalFormatting sqref="J41:J1048576 L41:L1048576 L1:L37 P1:P1048576 J1:J37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14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9174" operator="between">
      <formula>AW$24</formula>
      <formula>1000</formula>
    </cfRule>
    <cfRule type="cellIs" dxfId="178" priority="59175" operator="between">
      <formula>AW$23</formula>
      <formula>AW$24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9264" operator="between">
      <formula>AW$23</formula>
      <formula>1000</formula>
    </cfRule>
    <cfRule type="cellIs" dxfId="176" priority="59265" operator="between">
      <formula>AW$22</formula>
      <formula>AW$23</formula>
    </cfRule>
    <cfRule type="cellIs" dxfId="175" priority="59266" operator="between">
      <formula>AW$21</formula>
      <formula>AW$22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9399" operator="between">
      <formula>AW$24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9444" operator="between">
      <formula>EE$20</formula>
      <formula>1000</formula>
    </cfRule>
    <cfRule type="cellIs" dxfId="172" priority="59445" operator="between">
      <formula>EE$19</formula>
      <formula>EE$20</formula>
    </cfRule>
    <cfRule type="cellIs" dxfId="171" priority="59446" operator="between">
      <formula>EE$18</formula>
      <formula>EE$19</formula>
    </cfRule>
    <cfRule type="cellIs" dxfId="170" priority="59447" operator="between">
      <formula>EE$17</formula>
      <formula>EE$18</formula>
    </cfRule>
  </conditionalFormatting>
  <conditionalFormatting sqref="AP1:AP1048576 BT1:BT1048576 CX1:CX1048576">
    <cfRule type="cellIs" dxfId="169" priority="59588" operator="between">
      <formula>AW$20</formula>
      <formula>1000</formula>
    </cfRule>
    <cfRule type="cellIs" dxfId="168" priority="59589" operator="between">
      <formula>AW$19</formula>
      <formula>AW$20</formula>
    </cfRule>
    <cfRule type="cellIs" dxfId="167" priority="59590" operator="between">
      <formula>AW$18</formula>
      <formula>AW$19</formula>
    </cfRule>
    <cfRule type="cellIs" dxfId="166" priority="59591" operator="between">
      <formula>AW$17</formula>
      <formula>AW$18</formula>
    </cfRule>
  </conditionalFormatting>
  <conditionalFormatting sqref="AQ1:AQ1048576 BU1:BU1048576 CY1:CY1048576">
    <cfRule type="cellIs" dxfId="165" priority="59624" operator="between">
      <formula>AW$24</formula>
      <formula>1000</formula>
    </cfRule>
  </conditionalFormatting>
  <conditionalFormatting sqref="AR1:AR1048576 BV1:BV1048576 CZ1:CZ1048576">
    <cfRule type="cellIs" dxfId="164" priority="59633" operator="between">
      <formula>AW$20</formula>
      <formula>1000</formula>
    </cfRule>
    <cfRule type="cellIs" dxfId="163" priority="59634" operator="between">
      <formula>AW$19</formula>
      <formula>AW$20</formula>
    </cfRule>
    <cfRule type="cellIs" dxfId="162" priority="59635" operator="between">
      <formula>AW$18</formula>
      <formula>AW$19</formula>
    </cfRule>
    <cfRule type="cellIs" dxfId="161" priority="59636" operator="between">
      <formula>AW$17</formula>
      <formula>AW$18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9669" operator="between">
      <formula>AW$20</formula>
      <formula>1000</formula>
    </cfRule>
    <cfRule type="cellIs" dxfId="159" priority="59670" operator="between">
      <formula>AW$19</formula>
      <formula>AW$20</formula>
    </cfRule>
    <cfRule type="cellIs" dxfId="158" priority="59671" operator="between">
      <formula>AW$18</formula>
      <formula>AW$19</formula>
    </cfRule>
    <cfRule type="cellIs" dxfId="157" priority="59672" operator="between">
      <formula>AW$17</formula>
      <formula>AW$18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83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103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122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119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/>
      </c>
      <c r="B4" s="5" t="s">
        <v>92</v>
      </c>
      <c r="C4" s="4" t="s">
        <v>65</v>
      </c>
      <c r="D4" s="4">
        <v>2010</v>
      </c>
      <c r="E4" s="10">
        <f>SUM(I4:Q4)</f>
        <v>229.14999999999998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/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/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/>
      </c>
      <c r="I4" s="9">
        <f>IF(MAX(AT4,BX4,DB4)&gt;0,MAX(AT4,BX4,DB4),0)</f>
        <v>89.67</v>
      </c>
      <c r="J4" s="9" t="str">
        <f>IF(I4=0,"",IF(I4=DB4,$CB$1,IF(I4=BX4,$AX$1,IF(I4=AT4,$T$1,""))))</f>
        <v>2025 3rd Domestic Trial</v>
      </c>
      <c r="K4" s="9">
        <f>IF($I4=$AT4,MAX(BS4,CW4),IF($I4=$BX4,MAX(AO4,CW4),IF($I4=$DB4,MAX(AO4,BS4),MAX(AO4,BS4,CW4))))</f>
        <v>40.019999999999996</v>
      </c>
      <c r="L4" s="9" t="str">
        <f>IF(K4=0,"",IF(AND(K4=CW4,$J4&lt;&gt;$CB$1),$CB$1,IF(AND(K4=BS4,$J4&lt;&gt;$AX$1),$AX$1,IF(AND(K4=AO4,$J4&lt;&gt;$T$1),$T$1,""))))</f>
        <v>2025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49.519999999999996</v>
      </c>
      <c r="N4" s="9" t="str">
        <f>IF(M4=0,"",IF(AND(OR(M4=DA4,M4=CY4),$J4&lt;&gt;$CB$1),$CB$1,IF(AND(OR(M4=BW4,M4=BU4),$J4&lt;&gt;$AX$1),$AX$1,IF(AND(OR(M4=AS4,M4=AQ4),$J4&lt;&gt;$T$1),$T$1,""))))</f>
        <v>2025 Nationals</v>
      </c>
      <c r="O4" s="9">
        <f>MAX(AV4,BZ4,DD4)</f>
        <v>49.940000000000005</v>
      </c>
      <c r="P4" s="9" t="str">
        <f>IF(O4=0,"",IF(O4=DD4,$CB$1,IF(O4=BZ4,$AX$1,IF(O4=AV4,$T$1,""))))</f>
        <v>2025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16.600000000000001</v>
      </c>
      <c r="U4" s="27">
        <v>9.4</v>
      </c>
      <c r="V4" s="27">
        <v>0</v>
      </c>
      <c r="W4" s="27">
        <v>13.63</v>
      </c>
      <c r="X4" s="27">
        <v>0</v>
      </c>
      <c r="Y4" s="27">
        <v>14.6</v>
      </c>
      <c r="Z4" s="27">
        <v>8.9</v>
      </c>
      <c r="AA4" s="27">
        <v>10.9</v>
      </c>
      <c r="AB4" s="27">
        <v>13.91</v>
      </c>
      <c r="AC4" s="27">
        <v>0</v>
      </c>
      <c r="AD4" s="27"/>
      <c r="AE4" s="27"/>
      <c r="AF4" s="27"/>
      <c r="AG4" s="27"/>
      <c r="AH4" s="27"/>
      <c r="AI4" s="27">
        <v>1.4</v>
      </c>
      <c r="AJ4" s="27">
        <v>0.9</v>
      </c>
      <c r="AK4" s="27">
        <v>1.5</v>
      </c>
      <c r="AL4" s="27">
        <v>1.44</v>
      </c>
      <c r="AM4" s="27">
        <v>0</v>
      </c>
      <c r="AN4" s="32"/>
      <c r="AO4" s="7">
        <f>IF(SUM(T4:W4)-X4&gt;0,SUM(T4:W4)-X4,"")</f>
        <v>39.630000000000003</v>
      </c>
      <c r="AP4" s="7">
        <f>IF(AA4&gt;0,AA4,"")</f>
        <v>10.9</v>
      </c>
      <c r="AQ4" s="7">
        <f>IF(SUM(Y4:AB4)-AC4&gt;0,SUM(Y4:AB4)-AC4,"")</f>
        <v>48.31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87.94</v>
      </c>
      <c r="AU4" s="7">
        <f>IF(AK4&gt;0,AK4,"")</f>
        <v>1.5</v>
      </c>
      <c r="AV4" s="7">
        <f>IF(SUM(AI4:AL4)-AM4&gt;0,SUM(AI4:AL4)-AM4,"")</f>
        <v>5.24</v>
      </c>
      <c r="AW4" s="7">
        <f>IF(SUM(AT4,AV4)&gt;0,SUM(AT4,AV4),"")</f>
        <v>93.179999999999993</v>
      </c>
      <c r="AX4" s="31">
        <v>16.2</v>
      </c>
      <c r="AY4" s="31">
        <v>9.6</v>
      </c>
      <c r="AZ4" s="31">
        <v>0</v>
      </c>
      <c r="BA4" s="31">
        <v>14.22</v>
      </c>
      <c r="BB4" s="31">
        <v>0</v>
      </c>
      <c r="BC4" s="31">
        <v>14.6</v>
      </c>
      <c r="BD4" s="31">
        <v>9.5</v>
      </c>
      <c r="BE4" s="31">
        <v>10.9</v>
      </c>
      <c r="BF4" s="31">
        <v>14.52</v>
      </c>
      <c r="BG4" s="31">
        <v>0</v>
      </c>
      <c r="BH4" s="31"/>
      <c r="BI4" s="31"/>
      <c r="BJ4" s="31"/>
      <c r="BK4" s="31"/>
      <c r="BL4" s="31"/>
      <c r="BM4" s="31">
        <v>15.4</v>
      </c>
      <c r="BN4" s="31">
        <v>9.3000000000000007</v>
      </c>
      <c r="BO4" s="31">
        <v>10.9</v>
      </c>
      <c r="BP4" s="31">
        <v>14</v>
      </c>
      <c r="BQ4" s="31">
        <v>0</v>
      </c>
      <c r="BR4" s="33"/>
      <c r="BS4" s="9">
        <f>IF(SUM(AX4:BA4)-BB4&gt;0,SUM(AX4:BA4)-BB4,"")</f>
        <v>40.019999999999996</v>
      </c>
      <c r="BT4" s="9">
        <f>IF(BE4&gt;0,BE4,"")</f>
        <v>10.9</v>
      </c>
      <c r="BU4" s="9">
        <f>IF(SUM(BC4:BF4)-BG4&gt;0,SUM(BC4:BF4)-BG4,"")</f>
        <v>49.519999999999996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89.539999999999992</v>
      </c>
      <c r="BY4" s="9">
        <f>IF(BO4&gt;0,BO4,"")</f>
        <v>10.9</v>
      </c>
      <c r="BZ4" s="9">
        <f>IF(SUM(BM4:BP4)-BQ4&gt;0,SUM(BM4:BP4)-BQ4,"")</f>
        <v>49.6</v>
      </c>
      <c r="CA4" s="9">
        <f>IF(SUM(BX4,BZ4)&gt;0,SUM(BX4,BZ4),"")</f>
        <v>139.13999999999999</v>
      </c>
      <c r="CB4" s="27">
        <v>15.9</v>
      </c>
      <c r="CC4" s="27">
        <v>9.6</v>
      </c>
      <c r="CD4" s="27">
        <v>0</v>
      </c>
      <c r="CE4" s="27">
        <v>14.42</v>
      </c>
      <c r="CF4" s="27">
        <v>0</v>
      </c>
      <c r="CG4" s="27">
        <v>14.5</v>
      </c>
      <c r="CH4" s="27">
        <v>9.1</v>
      </c>
      <c r="CI4" s="27">
        <v>11.6</v>
      </c>
      <c r="CJ4" s="27">
        <v>14.55</v>
      </c>
      <c r="CK4" s="27">
        <v>0</v>
      </c>
      <c r="CL4" s="27"/>
      <c r="CM4" s="27"/>
      <c r="CN4" s="27"/>
      <c r="CO4" s="27"/>
      <c r="CP4" s="27"/>
      <c r="CQ4" s="27">
        <v>14.6</v>
      </c>
      <c r="CR4" s="27">
        <v>9</v>
      </c>
      <c r="CS4" s="27">
        <v>11.6</v>
      </c>
      <c r="CT4" s="27">
        <v>14.74</v>
      </c>
      <c r="CU4" s="27">
        <v>0</v>
      </c>
      <c r="CV4" s="32"/>
      <c r="CW4" s="7">
        <f>IF(SUM(CB4:CE4)-CF4&gt;0,SUM(CB4:CE4)-CF4,"")</f>
        <v>39.92</v>
      </c>
      <c r="CX4" s="7">
        <f>IF(CI4&gt;0,CI4,"")</f>
        <v>11.6</v>
      </c>
      <c r="CY4" s="7">
        <f>IF(SUM(CG4:CJ4)-CK4&gt;0,SUM(CG4:CJ4)-CK4,"")</f>
        <v>49.75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89.67</v>
      </c>
      <c r="DC4" s="7">
        <f>IF(CS4&gt;0,CS4,"")</f>
        <v>11.6</v>
      </c>
      <c r="DD4" s="7">
        <f>IF(SUM(CQ4:CT4)-CU4&gt;0,SUM(CQ4:CT4)-CU4,"")</f>
        <v>49.940000000000005</v>
      </c>
      <c r="DE4" s="7">
        <f>IF(SUM(DB4,DD4)&gt;0,SUM(DB4,DD4),"")</f>
        <v>139.61000000000001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16.05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14.32</v>
      </c>
      <c r="NR4" s="27">
        <f>IF($CV4="P",CF4,(CF4+BB4)/2)</f>
        <v>0</v>
      </c>
      <c r="NS4" s="27">
        <f>IF($CV4="P",CG4,(CG4+BC4)/2)</f>
        <v>14.55</v>
      </c>
      <c r="NT4" s="27">
        <f>IF($CV4="P",CH4,(CH4+BD4)/2)</f>
        <v>9.3000000000000007</v>
      </c>
      <c r="NU4" s="27">
        <f>IF($CV4="P",CI4,(CI4+BE4)/2)</f>
        <v>11.25</v>
      </c>
      <c r="NV4" s="27">
        <f>IF($CV4="P",CJ4,(CJ4+BF4)/2)</f>
        <v>14.535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15</v>
      </c>
      <c r="OD4" s="27">
        <f>IF($CV4="P",CR4,(CR4+BN4)/2)</f>
        <v>9.15</v>
      </c>
      <c r="OE4" s="27">
        <f>IF($CV4="P",CS4,(CS4+BO4)/2)</f>
        <v>11.25</v>
      </c>
      <c r="OF4" s="27">
        <f>IF($CV4="P",CT4,(CT4+BP4)/2)</f>
        <v>14.370000000000001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39.97</v>
      </c>
      <c r="OJ4" s="7">
        <f>IF(NU4&gt;0,NU4,"")</f>
        <v>11.25</v>
      </c>
      <c r="OK4" s="7">
        <f>IF(SUM(NS4:NV4)-NW4&gt;0,SUM(NS4:NV4)-NW4,"")</f>
        <v>49.635000000000005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89.605000000000004</v>
      </c>
      <c r="OO4" s="7">
        <f>IF(OE4&gt;0,OE4,"")</f>
        <v>11.25</v>
      </c>
      <c r="OP4" s="7">
        <f t="shared" ref="OP4" si="0">IF(SUM(OC4:OF4)-OG4&gt;0,SUM(OC4:OF4)-OG4,"")</f>
        <v>49.769999999999996</v>
      </c>
      <c r="OQ4" s="7">
        <f t="shared" ref="OQ4" si="1">IF(SUM(ON4,OP4)&gt;0,SUM(ON4,OP4),"")</f>
        <v>139.375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78</v>
      </c>
      <c r="C5" s="4" t="s">
        <v>67</v>
      </c>
      <c r="D5" s="4">
        <v>2009</v>
      </c>
      <c r="E5" s="10">
        <f>SUM(I5:Q5)</f>
        <v>225.73000000000002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88.97999999999999</v>
      </c>
      <c r="J5" s="9" t="str">
        <f>IF(I5=0,"",IF(I5=DB5,$CB$1,IF(I5=BX5,$AX$1,IF(I5=AT5,$T$1,""))))</f>
        <v>2025 Nationals</v>
      </c>
      <c r="K5" s="9">
        <f>IF($I5=$AT5,MAX(BS5,CW5),IF($I5=$BX5,MAX(AO5,CW5),IF($I5=$DB5,MAX(AO5,BS5),MAX(AO5,BS5,CW5))))</f>
        <v>41.13</v>
      </c>
      <c r="L5" s="9" t="str">
        <f>IF(K5=0,"",IF(AND(K5=CW5,$J5&lt;&gt;$CB$1),$CB$1,IF(AND(K5=BS5,$J5&lt;&gt;$AX$1),$AX$1,IF(AND(K5=AO5,$J5&lt;&gt;$T$1),$T$1,""))))</f>
        <v>2025 Elite Canada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47.830000000000005</v>
      </c>
      <c r="N5" s="9" t="str">
        <f>IF(M5=0,"",IF(AND(OR(M5=DA5,M5=CY5),$J5&lt;&gt;$CB$1),$CB$1,IF(AND(OR(M5=BW5,M5=BU5),$J5&lt;&gt;$AX$1),$AX$1,IF(AND(OR(M5=AS5,M5=AQ5),$J5&lt;&gt;$T$1),$T$1,""))))</f>
        <v>2025 Elite Canada</v>
      </c>
      <c r="O5" s="9">
        <f>MAX(AV5,BZ5,DD5)</f>
        <v>47.790000000000006</v>
      </c>
      <c r="P5" s="9" t="str">
        <f>IF(O5=0,"",IF(O5=DD5,$CB$1,IF(O5=BZ5,$AX$1,IF(O5=AV5,$T$1,""))))</f>
        <v>2025 Nationals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17.600000000000001</v>
      </c>
      <c r="U5" s="27">
        <v>9.8000000000000007</v>
      </c>
      <c r="V5" s="27">
        <v>0</v>
      </c>
      <c r="W5" s="27">
        <v>13.73</v>
      </c>
      <c r="X5" s="27">
        <v>0</v>
      </c>
      <c r="Y5" s="27">
        <v>12.8</v>
      </c>
      <c r="Z5" s="27">
        <v>9.4</v>
      </c>
      <c r="AA5" s="27">
        <v>12</v>
      </c>
      <c r="AB5" s="27">
        <v>13.63</v>
      </c>
      <c r="AC5" s="27">
        <v>0</v>
      </c>
      <c r="AD5" s="27"/>
      <c r="AE5" s="27"/>
      <c r="AF5" s="27"/>
      <c r="AG5" s="27"/>
      <c r="AH5" s="27"/>
      <c r="AI5" s="27">
        <v>12.5</v>
      </c>
      <c r="AJ5" s="27">
        <v>9.3000000000000007</v>
      </c>
      <c r="AK5" s="27">
        <v>11.2</v>
      </c>
      <c r="AL5" s="27">
        <v>13.45</v>
      </c>
      <c r="AM5" s="27">
        <v>0</v>
      </c>
      <c r="AN5" s="32"/>
      <c r="AO5" s="7">
        <f>IF(SUM(T5:W5)-X5&gt;0,SUM(T5:W5)-X5,"")</f>
        <v>41.13</v>
      </c>
      <c r="AP5" s="7">
        <f>IF(AA5&gt;0,AA5,"")</f>
        <v>12</v>
      </c>
      <c r="AQ5" s="7">
        <f>IF(SUM(Y5:AB5)-AC5&gt;0,SUM(Y5:AB5)-AC5,"")</f>
        <v>47.830000000000005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88.960000000000008</v>
      </c>
      <c r="AU5" s="7">
        <f>IF(AK5&gt;0,AK5,"")</f>
        <v>11.2</v>
      </c>
      <c r="AV5" s="7">
        <f>IF(SUM(AI5:AL5)-AM5&gt;0,SUM(AI5:AL5)-AM5,"")</f>
        <v>46.45</v>
      </c>
      <c r="AW5" s="7">
        <f>IF(SUM(AT5,AV5)&gt;0,SUM(AT5,AV5),"")</f>
        <v>135.41000000000003</v>
      </c>
      <c r="AX5" s="31">
        <v>17.899999999999999</v>
      </c>
      <c r="AY5" s="31">
        <v>9.9</v>
      </c>
      <c r="AZ5" s="31">
        <v>0</v>
      </c>
      <c r="BA5" s="31">
        <v>14.26</v>
      </c>
      <c r="BB5" s="31">
        <v>0</v>
      </c>
      <c r="BC5" s="31">
        <v>12.9</v>
      </c>
      <c r="BD5" s="31">
        <v>8.9</v>
      </c>
      <c r="BE5" s="31">
        <v>11.5</v>
      </c>
      <c r="BF5" s="31">
        <v>13.62</v>
      </c>
      <c r="BG5" s="31">
        <v>0</v>
      </c>
      <c r="BH5" s="31"/>
      <c r="BI5" s="31"/>
      <c r="BJ5" s="31"/>
      <c r="BK5" s="31"/>
      <c r="BL5" s="31"/>
      <c r="BM5" s="31">
        <v>13.9</v>
      </c>
      <c r="BN5" s="31">
        <v>8.6999999999999993</v>
      </c>
      <c r="BO5" s="31">
        <v>11.6</v>
      </c>
      <c r="BP5" s="31">
        <v>13.59</v>
      </c>
      <c r="BQ5" s="31">
        <v>0</v>
      </c>
      <c r="BR5" s="33"/>
      <c r="BS5" s="9">
        <f>IF(SUM(AX5:BA5)-BB5&gt;0,SUM(AX5:BA5)-BB5,"")</f>
        <v>42.059999999999995</v>
      </c>
      <c r="BT5" s="9">
        <f>IF(BE5&gt;0,BE5,"")</f>
        <v>11.5</v>
      </c>
      <c r="BU5" s="9">
        <f>IF(SUM(BC5:BF5)-BG5&gt;0,SUM(BC5:BF5)-BG5,"")</f>
        <v>46.919999999999995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88.97999999999999</v>
      </c>
      <c r="BY5" s="9">
        <f>IF(BO5&gt;0,BO5,"")</f>
        <v>11.6</v>
      </c>
      <c r="BZ5" s="9">
        <f>IF(SUM(BM5:BP5)-BQ5&gt;0,SUM(BM5:BP5)-BQ5,"")</f>
        <v>47.790000000000006</v>
      </c>
      <c r="CA5" s="9">
        <f>IF(SUM(BX5,BZ5)&gt;0,SUM(BX5,BZ5),"")</f>
        <v>136.76999999999998</v>
      </c>
      <c r="CB5" s="27">
        <v>16.3</v>
      </c>
      <c r="CC5" s="27">
        <v>9.6999999999999993</v>
      </c>
      <c r="CD5" s="27">
        <v>0</v>
      </c>
      <c r="CE5" s="27">
        <v>14.13</v>
      </c>
      <c r="CF5" s="27">
        <v>2</v>
      </c>
      <c r="CG5" s="27">
        <v>12.5</v>
      </c>
      <c r="CH5" s="27">
        <v>9.1999999999999993</v>
      </c>
      <c r="CI5" s="27">
        <v>12.4</v>
      </c>
      <c r="CJ5" s="27">
        <v>13.68</v>
      </c>
      <c r="CK5" s="27">
        <v>0</v>
      </c>
      <c r="CL5" s="27"/>
      <c r="CM5" s="27"/>
      <c r="CN5" s="27"/>
      <c r="CO5" s="27"/>
      <c r="CP5" s="27"/>
      <c r="CQ5" s="27">
        <v>12.4</v>
      </c>
      <c r="CR5" s="27">
        <v>7.8</v>
      </c>
      <c r="CS5" s="27">
        <v>10.3</v>
      </c>
      <c r="CT5" s="27">
        <v>1.36</v>
      </c>
      <c r="CU5" s="27">
        <v>0</v>
      </c>
      <c r="CV5" s="32"/>
      <c r="CW5" s="7">
        <f>IF(SUM(CB5:CE5)-CF5&gt;0,SUM(CB5:CE5)-CF5,"")</f>
        <v>38.130000000000003</v>
      </c>
      <c r="CX5" s="7">
        <f>IF(CI5&gt;0,CI5,"")</f>
        <v>12.4</v>
      </c>
      <c r="CY5" s="7">
        <f>IF(SUM(CG5:CJ5)-CK5&gt;0,SUM(CG5:CJ5)-CK5,"")</f>
        <v>47.78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85.91</v>
      </c>
      <c r="DC5" s="7">
        <f>IF(CS5&gt;0,CS5,"")</f>
        <v>10.3</v>
      </c>
      <c r="DD5" s="7">
        <f>IF(SUM(CQ5:CT5)-CU5&gt;0,SUM(CQ5:CT5)-CU5,"")</f>
        <v>31.86</v>
      </c>
      <c r="DE5" s="7">
        <f>IF(SUM(DB5,DD5)&gt;0,SUM(DB5,DD5),"")</f>
        <v>117.77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9" t="str">
        <f>IF(GE5&gt;0,GE5,"")</f>
        <v/>
      </c>
      <c r="GN5" s="9" t="str">
        <f>IF(SUM(FX5:GA5)-GB5&gt;0,SUM(FX5:GA5)-GB5,"")</f>
        <v/>
      </c>
      <c r="GO5" s="9" t="str">
        <f>IF(SUM(GC5:GF5)-GG5&gt;0,SUM(GC5:GF5)-GG5,"")</f>
        <v/>
      </c>
      <c r="GP5" s="9" t="str">
        <f>IF(SUM(GN5:GO5)&gt;0,SUM(GN5:GO5),"")</f>
        <v/>
      </c>
      <c r="GQ5" s="9" t="str">
        <f>IF(GJ5&gt;0,GJ5,"")</f>
        <v/>
      </c>
      <c r="GR5" s="9" t="str">
        <f>IF(SUM(GH5:GK5)-GL5&gt;0,SUM(GH5:GK5)-GL5,"")</f>
        <v/>
      </c>
      <c r="GS5" s="9" t="str">
        <f>IF(SUM(GP5,GR5)&gt;0,SUM(GP5,GR5),"")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17.100000000000001</v>
      </c>
      <c r="NO5" s="27">
        <f>IF($CV5="P",CC5,(CC5+AY5)/2)</f>
        <v>9.8000000000000007</v>
      </c>
      <c r="NP5" s="27">
        <f>IF($CV5="P",CD5,(CD5+AZ5)/2)</f>
        <v>0</v>
      </c>
      <c r="NQ5" s="27">
        <f>IF($CV5="P",CE5,(CE5+BA5)/2)</f>
        <v>14.195</v>
      </c>
      <c r="NR5" s="27">
        <f>IF($CV5="P",CF5,(CF5+BB5)/2)</f>
        <v>1</v>
      </c>
      <c r="NS5" s="27">
        <f>IF($CV5="P",CG5,(CG5+BC5)/2)</f>
        <v>12.7</v>
      </c>
      <c r="NT5" s="27">
        <f>IF($CV5="P",CH5,(CH5+BD5)/2)</f>
        <v>9.0500000000000007</v>
      </c>
      <c r="NU5" s="27">
        <f>IF($CV5="P",CI5,(CI5+BE5)/2)</f>
        <v>11.95</v>
      </c>
      <c r="NV5" s="27">
        <f>IF($CV5="P",CJ5,(CJ5+BF5)/2)</f>
        <v>13.649999999999999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13.15</v>
      </c>
      <c r="OD5" s="27">
        <f>IF($CV5="P",CR5,(CR5+BN5)/2)</f>
        <v>8.25</v>
      </c>
      <c r="OE5" s="27">
        <f>IF($CV5="P",CS5,(CS5+BO5)/2)</f>
        <v>10.95</v>
      </c>
      <c r="OF5" s="27">
        <f>IF($CV5="P",CT5,(CT5+BP5)/2)</f>
        <v>7.4749999999999996</v>
      </c>
      <c r="OG5" s="27">
        <f>IF($CV5="P",CU5,(CU5+BQ5)/2)</f>
        <v>0</v>
      </c>
      <c r="OH5" s="32" t="s">
        <v>44</v>
      </c>
      <c r="OI5" s="7">
        <f>IF(SUM(NN5:NQ5)-NR5&gt;0,SUM(NN5:NQ5)-NR5,"")</f>
        <v>40.094999999999999</v>
      </c>
      <c r="OJ5" s="7">
        <f>IF(NU5&gt;0,NU5,"")</f>
        <v>11.95</v>
      </c>
      <c r="OK5" s="7">
        <f>IF(SUM(NS5:NV5)-NW5&gt;0,SUM(NS5:NV5)-NW5,"")</f>
        <v>47.35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87.444999999999993</v>
      </c>
      <c r="OO5" s="7">
        <f>IF(OE5&gt;0,OE5,"")</f>
        <v>10.95</v>
      </c>
      <c r="OP5" s="7">
        <f t="shared" ref="OP5" si="2">IF(SUM(OC5:OF5)-OG5&gt;0,SUM(OC5:OF5)-OG5,"")</f>
        <v>39.824999999999996</v>
      </c>
      <c r="OQ5" s="7">
        <f t="shared" ref="OQ5" si="3">IF(SUM(ON5,OP5)&gt;0,SUM(ON5,OP5),"")</f>
        <v>127.26999999999998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79</v>
      </c>
      <c r="C6" s="4" t="s">
        <v>67</v>
      </c>
      <c r="D6" s="4">
        <v>2009</v>
      </c>
      <c r="E6" s="10">
        <f>SUM(I6:Q6)</f>
        <v>221.35999999999999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90.289999999999992</v>
      </c>
      <c r="J6" s="9" t="str">
        <f>IF(I6=0,"",IF(I6=DB6,$CB$1,IF(I6=BX6,$AX$1,IF(I6=AT6,$T$1,""))))</f>
        <v>2025 Nationals</v>
      </c>
      <c r="K6" s="9">
        <f>IF($I6=$AT6,MAX(BS6,CW6),IF($I6=$BX6,MAX(AO6,CW6),IF($I6=$DB6,MAX(AO6,BS6),MAX(AO6,BS6,CW6))))</f>
        <v>39.78</v>
      </c>
      <c r="L6" s="9" t="str">
        <f>IF(K6=0,"",IF(AND(K6=CW6,$J6&lt;&gt;$CB$1),$CB$1,IF(AND(K6=BS6,$J6&lt;&gt;$AX$1),$AX$1,IF(AND(K6=AO6,$J6&lt;&gt;$T$1),$T$1,""))))</f>
        <v>2025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42.56</v>
      </c>
      <c r="N6" s="9" t="str">
        <f>IF(M6=0,"",IF(AND(OR(M6=DA6,M6=CY6),$J6&lt;&gt;$CB$1),$CB$1,IF(AND(OR(M6=BW6,M6=BU6),$J6&lt;&gt;$AX$1),$AX$1,IF(AND(OR(M6=AS6,M6=AQ6),$J6&lt;&gt;$T$1),$T$1,""))))</f>
        <v>2025 3rd Domestic Trial</v>
      </c>
      <c r="O6" s="9">
        <f>MAX(AV6,BZ6,DD6)</f>
        <v>48.73</v>
      </c>
      <c r="P6" s="9" t="str">
        <f>IF(O6=0,"",IF(O6=DD6,$CB$1,IF(O6=BZ6,$AX$1,IF(O6=AV6,$T$1,""))))</f>
        <v>2025 Nationals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15.6</v>
      </c>
      <c r="U6" s="27">
        <v>9.6</v>
      </c>
      <c r="V6" s="27">
        <v>0</v>
      </c>
      <c r="W6" s="27">
        <v>14.33</v>
      </c>
      <c r="X6" s="27">
        <v>0</v>
      </c>
      <c r="Y6" s="27">
        <v>11.4</v>
      </c>
      <c r="Z6" s="27">
        <v>8.8000000000000007</v>
      </c>
      <c r="AA6" s="27">
        <v>8.4</v>
      </c>
      <c r="AB6" s="27">
        <v>12.65</v>
      </c>
      <c r="AC6" s="27">
        <v>0</v>
      </c>
      <c r="AD6" s="27"/>
      <c r="AE6" s="27"/>
      <c r="AF6" s="27"/>
      <c r="AG6" s="27"/>
      <c r="AH6" s="27"/>
      <c r="AI6" s="27">
        <v>12.7</v>
      </c>
      <c r="AJ6" s="27">
        <v>9.6999999999999993</v>
      </c>
      <c r="AK6" s="27">
        <v>11</v>
      </c>
      <c r="AL6" s="27">
        <v>14.06</v>
      </c>
      <c r="AM6" s="27">
        <v>0</v>
      </c>
      <c r="AN6" s="32"/>
      <c r="AO6" s="7">
        <f>IF(SUM(T6:W6)-X6&gt;0,SUM(T6:W6)-X6,"")</f>
        <v>39.53</v>
      </c>
      <c r="AP6" s="7">
        <f>IF(AA6&gt;0,AA6,"")</f>
        <v>8.4</v>
      </c>
      <c r="AQ6" s="7">
        <f>IF(SUM(Y6:AB6)-AC6&gt;0,SUM(Y6:AB6)-AC6,"")</f>
        <v>41.25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80.78</v>
      </c>
      <c r="AU6" s="7">
        <f>IF(AK6&gt;0,AK6,"")</f>
        <v>11</v>
      </c>
      <c r="AV6" s="7">
        <f>IF(SUM(AI6:AL6)-AM6&gt;0,SUM(AI6:AL6)-AM6,"")</f>
        <v>47.46</v>
      </c>
      <c r="AW6" s="7">
        <f>IF(SUM(AT6,AV6)&gt;0,SUM(AT6,AV6),"")</f>
        <v>128.24</v>
      </c>
      <c r="AX6" s="31">
        <v>17.5</v>
      </c>
      <c r="AY6" s="31">
        <v>9.8000000000000007</v>
      </c>
      <c r="AZ6" s="31">
        <v>0</v>
      </c>
      <c r="BA6" s="31">
        <v>14.97</v>
      </c>
      <c r="BB6" s="31">
        <v>0</v>
      </c>
      <c r="BC6" s="31">
        <v>13.5</v>
      </c>
      <c r="BD6" s="31">
        <v>9.1999999999999993</v>
      </c>
      <c r="BE6" s="31">
        <v>10.8</v>
      </c>
      <c r="BF6" s="31">
        <v>14.52</v>
      </c>
      <c r="BG6" s="31">
        <v>0</v>
      </c>
      <c r="BH6" s="31"/>
      <c r="BI6" s="31"/>
      <c r="BJ6" s="31"/>
      <c r="BK6" s="31"/>
      <c r="BL6" s="31"/>
      <c r="BM6" s="31">
        <v>13.5</v>
      </c>
      <c r="BN6" s="31">
        <v>9.1999999999999993</v>
      </c>
      <c r="BO6" s="31">
        <v>11.7</v>
      </c>
      <c r="BP6" s="31">
        <v>14.33</v>
      </c>
      <c r="BQ6" s="31">
        <v>0</v>
      </c>
      <c r="BR6" s="33"/>
      <c r="BS6" s="9">
        <f>IF(SUM(AX6:BA6)-BB6&gt;0,SUM(AX6:BA6)-BB6,"")</f>
        <v>42.27</v>
      </c>
      <c r="BT6" s="9">
        <f>IF(BE6&gt;0,BE6,"")</f>
        <v>10.8</v>
      </c>
      <c r="BU6" s="9">
        <f>IF(SUM(BC6:BF6)-BG6&gt;0,SUM(BC6:BF6)-BG6,"")</f>
        <v>48.019999999999996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90.289999999999992</v>
      </c>
      <c r="BY6" s="9">
        <f>IF(BO6&gt;0,BO6,"")</f>
        <v>11.7</v>
      </c>
      <c r="BZ6" s="9">
        <f>IF(SUM(BM6:BP6)-BQ6&gt;0,SUM(BM6:BP6)-BQ6,"")</f>
        <v>48.73</v>
      </c>
      <c r="CA6" s="9">
        <f>IF(SUM(BX6,BZ6)&gt;0,SUM(BX6,BZ6),"")</f>
        <v>139.01999999999998</v>
      </c>
      <c r="CB6" s="27">
        <v>15.2</v>
      </c>
      <c r="CC6" s="27">
        <v>9.6</v>
      </c>
      <c r="CD6" s="27">
        <v>0</v>
      </c>
      <c r="CE6" s="27">
        <v>14.98</v>
      </c>
      <c r="CF6" s="27">
        <v>0</v>
      </c>
      <c r="CG6" s="27">
        <v>10.4</v>
      </c>
      <c r="CH6" s="27">
        <v>9.4</v>
      </c>
      <c r="CI6" s="27">
        <v>8.6999999999999993</v>
      </c>
      <c r="CJ6" s="27">
        <v>14.56</v>
      </c>
      <c r="CK6" s="27">
        <v>0.5</v>
      </c>
      <c r="CL6" s="27"/>
      <c r="CM6" s="27"/>
      <c r="CN6" s="27"/>
      <c r="CO6" s="27"/>
      <c r="CP6" s="27"/>
      <c r="CQ6" s="27">
        <v>12.3</v>
      </c>
      <c r="CR6" s="27">
        <v>8.8000000000000007</v>
      </c>
      <c r="CS6" s="27">
        <v>9</v>
      </c>
      <c r="CT6" s="27">
        <v>14.31</v>
      </c>
      <c r="CU6" s="27">
        <v>0.2</v>
      </c>
      <c r="CV6" s="32"/>
      <c r="CW6" s="7">
        <f>IF(SUM(CB6:CE6)-CF6&gt;0,SUM(CB6:CE6)-CF6,"")</f>
        <v>39.78</v>
      </c>
      <c r="CX6" s="7">
        <f>IF(CI6&gt;0,CI6,"")</f>
        <v>8.6999999999999993</v>
      </c>
      <c r="CY6" s="7">
        <f>IF(SUM(CG6:CJ6)-CK6&gt;0,SUM(CG6:CJ6)-CK6,"")</f>
        <v>42.56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82.34</v>
      </c>
      <c r="DC6" s="7">
        <f>IF(CS6&gt;0,CS6,"")</f>
        <v>9</v>
      </c>
      <c r="DD6" s="7">
        <f>IF(SUM(CQ6:CT6)-CU6&gt;0,SUM(CQ6:CT6)-CU6,"")</f>
        <v>44.21</v>
      </c>
      <c r="DE6" s="7">
        <f>IF(SUM(DB6,DD6)&gt;0,SUM(DB6,DD6),"")</f>
        <v>126.55000000000001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>IF(GE6&gt;0,GE6,"")</f>
        <v/>
      </c>
      <c r="GN6" s="9" t="str">
        <f>IF(SUM(FX6:GA6)-GB6&gt;0,SUM(FX6:GA6)-GB6,"")</f>
        <v/>
      </c>
      <c r="GO6" s="9" t="str">
        <f>IF(SUM(GC6:GF6)-GG6&gt;0,SUM(GC6:GF6)-GG6,"")</f>
        <v/>
      </c>
      <c r="GP6" s="9" t="str">
        <f>IF(SUM(GN6:GO6)&gt;0,SUM(GN6:GO6),"")</f>
        <v/>
      </c>
      <c r="GQ6" s="9" t="str">
        <f>IF(GJ6&gt;0,GJ6,"")</f>
        <v/>
      </c>
      <c r="GR6" s="9" t="str">
        <f>IF(SUM(GH6:GK6)-GL6&gt;0,SUM(GH6:GK6)-GL6,"")</f>
        <v/>
      </c>
      <c r="GS6" s="9" t="str">
        <f>IF(SUM(GP6,GR6)&gt;0,SUM(GP6,GR6),"")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16.350000000000001</v>
      </c>
      <c r="NO6" s="27">
        <f>IF($CV6="P",CC6,(CC6+AY6)/2)</f>
        <v>9.6999999999999993</v>
      </c>
      <c r="NP6" s="27">
        <f>IF($CV6="P",CD6,(CD6+AZ6)/2)</f>
        <v>0</v>
      </c>
      <c r="NQ6" s="27">
        <f>IF($CV6="P",CE6,(CE6+BA6)/2)</f>
        <v>14.975000000000001</v>
      </c>
      <c r="NR6" s="27">
        <f>IF($CV6="P",CF6,(CF6+BB6)/2)</f>
        <v>0</v>
      </c>
      <c r="NS6" s="27">
        <f>IF($CV6="P",CG6,(CG6+BC6)/2)</f>
        <v>11.95</v>
      </c>
      <c r="NT6" s="27">
        <f>IF($CV6="P",CH6,(CH6+BD6)/2)</f>
        <v>9.3000000000000007</v>
      </c>
      <c r="NU6" s="27">
        <f>IF($CV6="P",CI6,(CI6+BE6)/2)</f>
        <v>9.75</v>
      </c>
      <c r="NV6" s="27">
        <f>IF($CV6="P",CJ6,(CJ6+BF6)/2)</f>
        <v>14.54</v>
      </c>
      <c r="NW6" s="27">
        <f>IF($CV6="P",CK6,(CK6+BG6)/2)</f>
        <v>0.25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12.9</v>
      </c>
      <c r="OD6" s="27">
        <f>IF($CV6="P",CR6,(CR6+BN6)/2)</f>
        <v>9</v>
      </c>
      <c r="OE6" s="27">
        <f>IF($CV6="P",CS6,(CS6+BO6)/2)</f>
        <v>10.35</v>
      </c>
      <c r="OF6" s="27">
        <f>IF($CV6="P",CT6,(CT6+BP6)/2)</f>
        <v>14.32</v>
      </c>
      <c r="OG6" s="27">
        <f>IF($CV6="P",CU6,(CU6+BQ6)/2)</f>
        <v>0.1</v>
      </c>
      <c r="OH6" s="32" t="s">
        <v>44</v>
      </c>
      <c r="OI6" s="7">
        <f>IF(SUM(NN6:NQ6)-NR6&gt;0,SUM(NN6:NQ6)-NR6,"")</f>
        <v>41.025000000000006</v>
      </c>
      <c r="OJ6" s="7">
        <f>IF(NU6&gt;0,NU6,"")</f>
        <v>9.75</v>
      </c>
      <c r="OK6" s="7">
        <f>IF(SUM(NS6:NV6)-NW6&gt;0,SUM(NS6:NV6)-NW6,"")</f>
        <v>45.29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86.314999999999998</v>
      </c>
      <c r="OO6" s="7">
        <f>IF(OE6&gt;0,OE6,"")</f>
        <v>10.35</v>
      </c>
      <c r="OP6" s="7">
        <f t="shared" ref="OP6:OP9" si="4">IF(SUM(OC6:OF6)-OG6&gt;0,SUM(OC6:OF6)-OG6,"")</f>
        <v>46.47</v>
      </c>
      <c r="OQ6" s="7">
        <f t="shared" ref="OQ6:OQ9" si="5">IF(SUM(ON6,OP6)&gt;0,SUM(ON6,OP6),"")</f>
        <v>132.785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80</v>
      </c>
      <c r="C7" s="4" t="s">
        <v>3</v>
      </c>
      <c r="D7" s="4">
        <v>2009</v>
      </c>
      <c r="E7" s="10">
        <f>SUM(I7:Q7)</f>
        <v>214.89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90.97</v>
      </c>
      <c r="J7" s="9" t="str">
        <f>IF(I7=0,"",IF(I7=DB7,$CB$1,IF(I7=BX7,$AX$1,IF(I7=AT7,$T$1,""))))</f>
        <v>2025 Elite Canada</v>
      </c>
      <c r="K7" s="9">
        <f>IF($I7=$AT7,MAX(BS7,CW7),IF($I7=$BX7,MAX(AO7,CW7),IF($I7=$DB7,MAX(AO7,BS7),MAX(AO7,BS7,CW7))))</f>
        <v>42.839999999999996</v>
      </c>
      <c r="L7" s="9" t="str">
        <f>IF(K7=0,"",IF(AND(K7=CW7,$J7&lt;&gt;$CB$1),$CB$1,IF(AND(K7=BS7,$J7&lt;&gt;$AX$1),$AX$1,IF(AND(K7=AO7,$J7&lt;&gt;$T$1),$T$1,""))))</f>
        <v>2025 Nationals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28.33</v>
      </c>
      <c r="N7" s="9" t="str">
        <f>IF(M7=0,"",IF(AND(OR(M7=DA7,M7=CY7),$J7&lt;&gt;$CB$1),$CB$1,IF(AND(OR(M7=BW7,M7=BU7),$J7&lt;&gt;$AX$1),$AX$1,IF(AND(OR(M7=AS7,M7=AQ7),$J7&lt;&gt;$T$1),$T$1,""))))</f>
        <v>2025 Nationals</v>
      </c>
      <c r="O7" s="9">
        <f>MAX(AV7,BZ7,DD7)</f>
        <v>50.95</v>
      </c>
      <c r="P7" s="9" t="str">
        <f>IF(O7=0,"",IF(O7=DD7,$CB$1,IF(O7=BZ7,$AX$1,IF(O7=AV7,$T$1,""))))</f>
        <v>2025 Nationals</v>
      </c>
      <c r="Q7" s="9">
        <f>IF(MAX(DF7,DG7,DH7,DI7)&gt;0,MAX(DF7,DG7,DH7,DI7),"")</f>
        <v>1.8000000000000007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2025 Coimbra Gym Fest (July 6)</v>
      </c>
      <c r="T7" s="27">
        <v>16.399999999999999</v>
      </c>
      <c r="U7" s="27">
        <v>9.6</v>
      </c>
      <c r="V7" s="27">
        <v>0</v>
      </c>
      <c r="W7" s="27">
        <v>14.52</v>
      </c>
      <c r="X7" s="27">
        <v>0</v>
      </c>
      <c r="Y7" s="27">
        <v>15.7</v>
      </c>
      <c r="Z7" s="27">
        <v>9.4</v>
      </c>
      <c r="AA7" s="27">
        <v>11.3</v>
      </c>
      <c r="AB7" s="27">
        <v>14.05</v>
      </c>
      <c r="AC7" s="27">
        <v>0</v>
      </c>
      <c r="AD7" s="27"/>
      <c r="AE7" s="27"/>
      <c r="AF7" s="27"/>
      <c r="AG7" s="27"/>
      <c r="AH7" s="27"/>
      <c r="AI7" s="27">
        <v>14.1</v>
      </c>
      <c r="AJ7" s="27">
        <v>9</v>
      </c>
      <c r="AK7" s="27">
        <v>11.1</v>
      </c>
      <c r="AL7" s="27">
        <v>14.08</v>
      </c>
      <c r="AM7" s="27">
        <v>0</v>
      </c>
      <c r="AN7" s="32"/>
      <c r="AO7" s="7">
        <f>IF(SUM(T7:W7)-X7&gt;0,SUM(T7:W7)-X7,"")</f>
        <v>40.519999999999996</v>
      </c>
      <c r="AP7" s="7">
        <f>IF(AA7&gt;0,AA7,"")</f>
        <v>11.3</v>
      </c>
      <c r="AQ7" s="7">
        <f>IF(SUM(Y7:AB7)-AC7&gt;0,SUM(Y7:AB7)-AC7,"")</f>
        <v>50.45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90.97</v>
      </c>
      <c r="AU7" s="7">
        <f>IF(AK7&gt;0,AK7,"")</f>
        <v>11.1</v>
      </c>
      <c r="AV7" s="7">
        <f>IF(SUM(AI7:AL7)-AM7&gt;0,SUM(AI7:AL7)-AM7,"")</f>
        <v>48.28</v>
      </c>
      <c r="AW7" s="7">
        <f>IF(SUM(AT7,AV7)&gt;0,SUM(AT7,AV7),"")</f>
        <v>139.25</v>
      </c>
      <c r="AX7" s="31">
        <v>18.3</v>
      </c>
      <c r="AY7" s="31">
        <v>9.6</v>
      </c>
      <c r="AZ7" s="31">
        <v>0</v>
      </c>
      <c r="BA7" s="31">
        <v>14.94</v>
      </c>
      <c r="BB7" s="31">
        <v>0</v>
      </c>
      <c r="BC7" s="31">
        <v>7.3</v>
      </c>
      <c r="BD7" s="31">
        <v>5.3</v>
      </c>
      <c r="BE7" s="31">
        <v>7.2</v>
      </c>
      <c r="BF7" s="31">
        <v>8.5299999999999994</v>
      </c>
      <c r="BG7" s="31">
        <v>0</v>
      </c>
      <c r="BH7" s="31"/>
      <c r="BI7" s="31"/>
      <c r="BJ7" s="31"/>
      <c r="BK7" s="31"/>
      <c r="BL7" s="31"/>
      <c r="BM7" s="31">
        <v>14.4</v>
      </c>
      <c r="BN7" s="31">
        <v>9.1999999999999993</v>
      </c>
      <c r="BO7" s="31">
        <v>13.1</v>
      </c>
      <c r="BP7" s="31">
        <v>14.25</v>
      </c>
      <c r="BQ7" s="31">
        <v>0</v>
      </c>
      <c r="BR7" s="33"/>
      <c r="BS7" s="9">
        <f>IF(SUM(AX7:BA7)-BB7&gt;0,SUM(AX7:BA7)-BB7,"")</f>
        <v>42.839999999999996</v>
      </c>
      <c r="BT7" s="9">
        <f>IF(BE7&gt;0,BE7,"")</f>
        <v>7.2</v>
      </c>
      <c r="BU7" s="9">
        <f>IF(SUM(BC7:BF7)-BG7&gt;0,SUM(BC7:BF7)-BG7,"")</f>
        <v>28.33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71.169999999999987</v>
      </c>
      <c r="BY7" s="9">
        <f>IF(BO7&gt;0,BO7,"")</f>
        <v>13.1</v>
      </c>
      <c r="BZ7" s="9">
        <f>IF(SUM(BM7:BP7)-BQ7&gt;0,SUM(BM7:BP7)-BQ7,"")</f>
        <v>50.95</v>
      </c>
      <c r="CA7" s="9">
        <f>IF(SUM(BX7,BZ7)&gt;0,SUM(BX7,BZ7),"")</f>
        <v>122.11999999999999</v>
      </c>
      <c r="CB7" s="27">
        <v>16.7</v>
      </c>
      <c r="CC7" s="27">
        <v>9.6999999999999993</v>
      </c>
      <c r="CD7" s="27">
        <v>0</v>
      </c>
      <c r="CE7" s="27">
        <v>15.34</v>
      </c>
      <c r="CF7" s="27">
        <v>0</v>
      </c>
      <c r="CG7" s="27">
        <v>1.4</v>
      </c>
      <c r="CH7" s="27">
        <v>0.8</v>
      </c>
      <c r="CI7" s="27">
        <v>2</v>
      </c>
      <c r="CJ7" s="27">
        <v>1.59</v>
      </c>
      <c r="CK7" s="27">
        <v>0.2</v>
      </c>
      <c r="CL7" s="27"/>
      <c r="CM7" s="27"/>
      <c r="CN7" s="27"/>
      <c r="CO7" s="27"/>
      <c r="CP7" s="27"/>
      <c r="CQ7" s="27">
        <v>7</v>
      </c>
      <c r="CR7" s="27">
        <v>4.5999999999999996</v>
      </c>
      <c r="CS7" s="27">
        <v>6.9</v>
      </c>
      <c r="CT7" s="27">
        <v>7.31</v>
      </c>
      <c r="CU7" s="27">
        <v>0</v>
      </c>
      <c r="CV7" s="32"/>
      <c r="CW7" s="7">
        <f>IF(SUM(CB7:CE7)-CF7&gt;0,SUM(CB7:CE7)-CF7,"")</f>
        <v>41.739999999999995</v>
      </c>
      <c r="CX7" s="7">
        <f>IF(CI7&gt;0,CI7,"")</f>
        <v>2</v>
      </c>
      <c r="CY7" s="7">
        <f>IF(SUM(CG7:CJ7)-CK7&gt;0,SUM(CG7:CJ7)-CK7,"")</f>
        <v>5.59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47.33</v>
      </c>
      <c r="DC7" s="7">
        <f>IF(CS7&gt;0,CS7,"")</f>
        <v>6.9</v>
      </c>
      <c r="DD7" s="7">
        <f>IF(SUM(CQ7:CT7)-CU7&gt;0,SUM(CQ7:CT7)-CU7,"")</f>
        <v>25.81</v>
      </c>
      <c r="DE7" s="7">
        <f>IF(SUM(DB7,DD7)&gt;0,SUM(DB7,DD7),"")</f>
        <v>73.14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1.8000000000000007</v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>
        <v>17.3</v>
      </c>
      <c r="DK7" s="18">
        <v>0</v>
      </c>
      <c r="DL7" s="18">
        <v>9.6</v>
      </c>
      <c r="DM7" s="18">
        <v>15.05</v>
      </c>
      <c r="DN7" s="18">
        <v>0</v>
      </c>
      <c r="DO7" s="18">
        <v>8.1999999999999993</v>
      </c>
      <c r="DP7" s="18">
        <v>7.8</v>
      </c>
      <c r="DQ7" s="18">
        <v>5.5</v>
      </c>
      <c r="DR7" s="18">
        <v>8.83</v>
      </c>
      <c r="DS7" s="18">
        <v>0.2</v>
      </c>
      <c r="DT7" s="18"/>
      <c r="DU7" s="18"/>
      <c r="DV7" s="18"/>
      <c r="DW7" s="18"/>
      <c r="DX7" s="18"/>
      <c r="DY7" s="7">
        <f>IF(DQ7&gt;0,DQ7,"")</f>
        <v>5.5</v>
      </c>
      <c r="DZ7" s="7">
        <f>IF(SUM(DJ7:DM7)-DN7&gt;0,SUM(DJ7:DM7)-DN7,"")</f>
        <v>41.95</v>
      </c>
      <c r="EA7" s="7">
        <f>IF(SUM(DO7:DR7)-DS7&gt;0,SUM(DO7:DR7)-DS7,"")</f>
        <v>30.13</v>
      </c>
      <c r="EB7" s="7">
        <f>IF(SUM(DZ7:EA7)&gt;0,SUM(DZ7:EA7),"")</f>
        <v>72.08</v>
      </c>
      <c r="EC7" s="7" t="str">
        <f>IF(DV7&gt;0,DV7,"")</f>
        <v/>
      </c>
      <c r="ED7" s="7" t="str">
        <f>IF(SUM(DT7:DW7)-DX7&gt;0,SUM(DT7:DW7)-DX7,"")</f>
        <v/>
      </c>
      <c r="EE7" s="7">
        <f>IF(SUM(EB7,ED7)&gt;0,SUM(EB7,ED7),"")</f>
        <v>72.08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>IF(GE7&gt;0,GE7,"")</f>
        <v/>
      </c>
      <c r="GN7" s="9" t="str">
        <f>IF(SUM(FX7:GA7)-GB7&gt;0,SUM(FX7:GA7)-GB7,"")</f>
        <v/>
      </c>
      <c r="GO7" s="9" t="str">
        <f>IF(SUM(GC7:GF7)-GG7&gt;0,SUM(GC7:GF7)-GG7,"")</f>
        <v/>
      </c>
      <c r="GP7" s="9" t="str">
        <f>IF(SUM(GN7:GO7)&gt;0,SUM(GN7:GO7),"")</f>
        <v/>
      </c>
      <c r="GQ7" s="9" t="str">
        <f>IF(GJ7&gt;0,GJ7,"")</f>
        <v/>
      </c>
      <c r="GR7" s="9" t="str">
        <f>IF(SUM(GH7:GK7)-GL7&gt;0,SUM(GH7:GK7)-GL7,"")</f>
        <v/>
      </c>
      <c r="GS7" s="9" t="str">
        <f>IF(SUM(GP7,GR7)&gt;0,SUM(GP7,GR7),"")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17.5</v>
      </c>
      <c r="NO7" s="27">
        <f>IF($CV7="P",CC7,(CC7+AY7)/2)</f>
        <v>9.6499999999999986</v>
      </c>
      <c r="NP7" s="27">
        <f>IF($CV7="P",CD7,(CD7+AZ7)/2)</f>
        <v>0</v>
      </c>
      <c r="NQ7" s="27">
        <f>IF($CV7="P",CE7,(CE7+BA7)/2)</f>
        <v>15.14</v>
      </c>
      <c r="NR7" s="27">
        <f>IF($CV7="P",CF7,(CF7+BB7)/2)</f>
        <v>0</v>
      </c>
      <c r="NS7" s="27">
        <f>IF($CV7="P",CG7,(CG7+BC7)/2)</f>
        <v>4.3499999999999996</v>
      </c>
      <c r="NT7" s="27">
        <f>IF($CV7="P",CH7,(CH7+BD7)/2)</f>
        <v>3.05</v>
      </c>
      <c r="NU7" s="27">
        <f>IF($CV7="P",CI7,(CI7+BE7)/2)</f>
        <v>4.5999999999999996</v>
      </c>
      <c r="NV7" s="27">
        <f>IF($CV7="P",CJ7,(CJ7+BF7)/2)</f>
        <v>5.0599999999999996</v>
      </c>
      <c r="NW7" s="27">
        <f>IF($CV7="P",CK7,(CK7+BG7)/2)</f>
        <v>0.1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10.7</v>
      </c>
      <c r="OD7" s="27">
        <f>IF($CV7="P",CR7,(CR7+BN7)/2)</f>
        <v>6.8999999999999995</v>
      </c>
      <c r="OE7" s="27">
        <f>IF($CV7="P",CS7,(CS7+BO7)/2)</f>
        <v>10</v>
      </c>
      <c r="OF7" s="27">
        <f>IF($CV7="P",CT7,(CT7+BP7)/2)</f>
        <v>10.78</v>
      </c>
      <c r="OG7" s="27">
        <f>IF($CV7="P",CU7,(CU7+BQ7)/2)</f>
        <v>0</v>
      </c>
      <c r="OH7" s="32" t="s">
        <v>44</v>
      </c>
      <c r="OI7" s="7">
        <f>IF(SUM(NN7:NQ7)-NR7&gt;0,SUM(NN7:NQ7)-NR7,"")</f>
        <v>42.29</v>
      </c>
      <c r="OJ7" s="7">
        <f>IF(NU7&gt;0,NU7,"")</f>
        <v>4.5999999999999996</v>
      </c>
      <c r="OK7" s="7">
        <f>IF(SUM(NS7:NV7)-NW7&gt;0,SUM(NS7:NV7)-NW7,"")</f>
        <v>16.959999999999997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59.25</v>
      </c>
      <c r="OO7" s="7">
        <f>IF(OE7&gt;0,OE7,"")</f>
        <v>10</v>
      </c>
      <c r="OP7" s="7">
        <f t="shared" si="4"/>
        <v>38.379999999999995</v>
      </c>
      <c r="OQ7" s="7">
        <f t="shared" si="5"/>
        <v>97.63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91</v>
      </c>
      <c r="C8" s="4" t="s">
        <v>89</v>
      </c>
      <c r="D8" s="4">
        <v>2010</v>
      </c>
      <c r="E8" s="10">
        <f>SUM(I8:Q8)</f>
        <v>213.22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85</v>
      </c>
      <c r="J8" s="9" t="str">
        <f>IF(I8=0,"",IF(I8=DB8,$CB$1,IF(I8=BX8,$AX$1,IF(I8=AT8,$T$1,""))))</f>
        <v>2025 Nationals</v>
      </c>
      <c r="K8" s="9">
        <f>IF($I8=$AT8,MAX(BS8,CW8),IF($I8=$BX8,MAX(AO8,CW8),IF($I8=$DB8,MAX(AO8,BS8),MAX(AO8,BS8,CW8))))</f>
        <v>37.29</v>
      </c>
      <c r="L8" s="9" t="str">
        <f>IF(K8=0,"",IF(AND(K8=CW8,$J8&lt;&gt;$CB$1),$CB$1,IF(AND(K8=BS8,$J8&lt;&gt;$AX$1),$AX$1,IF(AND(K8=AO8,$J8&lt;&gt;$T$1),$T$1,""))))</f>
        <v>2025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45.47</v>
      </c>
      <c r="N8" s="9" t="str">
        <f>IF(M8=0,"",IF(AND(OR(M8=DA8,M8=CY8),$J8&lt;&gt;$CB$1),$CB$1,IF(AND(OR(M8=BW8,M8=BU8),$J8&lt;&gt;$AX$1),$AX$1,IF(AND(OR(M8=AS8,M8=AQ8),$J8&lt;&gt;$T$1),$T$1,""))))</f>
        <v>2025 Elite Canada</v>
      </c>
      <c r="O8" s="9">
        <f>MAX(AV8,BZ8,DD8)</f>
        <v>45.46</v>
      </c>
      <c r="P8" s="9" t="str">
        <f>IF(O8=0,"",IF(O8=DD8,$CB$1,IF(O8=BZ8,$AX$1,IF(O8=AV8,$T$1,""))))</f>
        <v>2025 Elite Canada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</v>
      </c>
      <c r="U8" s="27">
        <v>9.5</v>
      </c>
      <c r="V8" s="27">
        <v>0</v>
      </c>
      <c r="W8" s="27">
        <v>12.79</v>
      </c>
      <c r="X8" s="27">
        <v>0</v>
      </c>
      <c r="Y8" s="27">
        <v>13.4</v>
      </c>
      <c r="Z8" s="27">
        <v>9.1</v>
      </c>
      <c r="AA8" s="27">
        <v>10.1</v>
      </c>
      <c r="AB8" s="27">
        <v>12.87</v>
      </c>
      <c r="AC8" s="27">
        <v>0</v>
      </c>
      <c r="AD8" s="27"/>
      <c r="AE8" s="27"/>
      <c r="AF8" s="27"/>
      <c r="AG8" s="27"/>
      <c r="AH8" s="27"/>
      <c r="AI8" s="27">
        <v>13.2</v>
      </c>
      <c r="AJ8" s="27">
        <v>9.1</v>
      </c>
      <c r="AK8" s="27">
        <v>10.1</v>
      </c>
      <c r="AL8" s="27">
        <v>13.06</v>
      </c>
      <c r="AM8" s="27">
        <v>0</v>
      </c>
      <c r="AN8" s="32"/>
      <c r="AO8" s="7">
        <f>IF(SUM(T8:W8)-X8&gt;0,SUM(T8:W8)-X8,"")</f>
        <v>37.29</v>
      </c>
      <c r="AP8" s="7">
        <f>IF(AA8&gt;0,AA8,"")</f>
        <v>10.1</v>
      </c>
      <c r="AQ8" s="7">
        <f>IF(SUM(Y8:AB8)-AC8&gt;0,SUM(Y8:AB8)-AC8,"")</f>
        <v>45.47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82.759999999999991</v>
      </c>
      <c r="AU8" s="7">
        <f>IF(AK8&gt;0,AK8,"")</f>
        <v>10.1</v>
      </c>
      <c r="AV8" s="7">
        <f>IF(SUM(AI8:AL8)-AM8&gt;0,SUM(AI8:AL8)-AM8,"")</f>
        <v>45.46</v>
      </c>
      <c r="AW8" s="7">
        <f>IF(SUM(AT8,AV8)&gt;0,SUM(AT8,AV8),"")</f>
        <v>128.22</v>
      </c>
      <c r="AX8" s="31">
        <v>15.7</v>
      </c>
      <c r="AY8" s="31">
        <v>9.6</v>
      </c>
      <c r="AZ8" s="31">
        <v>0</v>
      </c>
      <c r="BA8" s="31">
        <v>12.17</v>
      </c>
      <c r="BB8" s="31">
        <v>0</v>
      </c>
      <c r="BC8" s="31">
        <v>14.7</v>
      </c>
      <c r="BD8" s="31">
        <v>9.1999999999999993</v>
      </c>
      <c r="BE8" s="31">
        <v>10.1</v>
      </c>
      <c r="BF8" s="31">
        <v>13.53</v>
      </c>
      <c r="BG8" s="31">
        <v>0</v>
      </c>
      <c r="BH8" s="31"/>
      <c r="BI8" s="31"/>
      <c r="BJ8" s="31"/>
      <c r="BK8" s="31"/>
      <c r="BL8" s="31"/>
      <c r="BM8" s="31">
        <v>8.1</v>
      </c>
      <c r="BN8" s="31">
        <v>5.8</v>
      </c>
      <c r="BO8" s="31">
        <v>5.6</v>
      </c>
      <c r="BP8" s="31">
        <v>8.1</v>
      </c>
      <c r="BQ8" s="31">
        <v>0</v>
      </c>
      <c r="BR8" s="33"/>
      <c r="BS8" s="9">
        <f>IF(SUM(AX8:BA8)-BB8&gt;0,SUM(AX8:BA8)-BB8,"")</f>
        <v>37.47</v>
      </c>
      <c r="BT8" s="9">
        <f>IF(BE8&gt;0,BE8,"")</f>
        <v>10.1</v>
      </c>
      <c r="BU8" s="9">
        <f>IF(SUM(BC8:BF8)-BG8&gt;0,SUM(BC8:BF8)-BG8,"")</f>
        <v>47.53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85</v>
      </c>
      <c r="BY8" s="9">
        <f>IF(BO8&gt;0,BO8,"")</f>
        <v>5.6</v>
      </c>
      <c r="BZ8" s="9">
        <f>IF(SUM(BM8:BP8)-BQ8&gt;0,SUM(BM8:BP8)-BQ8,"")</f>
        <v>27.6</v>
      </c>
      <c r="CA8" s="9">
        <f>IF(SUM(BX8,BZ8)&gt;0,SUM(BX8,BZ8),"")</f>
        <v>112.6</v>
      </c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 t="str">
        <f>IF(SUM(CB8:CE8)-CF8&gt;0,SUM(CB8:CE8)-CF8,"")</f>
        <v/>
      </c>
      <c r="CX8" s="7" t="str">
        <f>IF(CI8&gt;0,CI8,"")</f>
        <v/>
      </c>
      <c r="CY8" s="7" t="str">
        <f>IF(SUM(CG8:CJ8)-CK8&gt;0,SUM(CG8:CJ8)-CK8,"")</f>
        <v/>
      </c>
      <c r="CZ8" s="7" t="str">
        <f>IF(CN8&gt;0,CN8,"")</f>
        <v/>
      </c>
      <c r="DA8" s="7" t="str">
        <f>IF(SUM(CL8:CO8)-CP8&gt;0,SUM(CL8:CO8)-CP8,"")</f>
        <v/>
      </c>
      <c r="DB8" s="7" t="str">
        <f>IF(CW8="",IF(MAX(CY8,DA8)&gt;0,MAX(CY8,DA8),""),MAX(CY8,DA8)+CW8)</f>
        <v/>
      </c>
      <c r="DC8" s="7" t="str">
        <f>IF(CS8&gt;0,CS8,"")</f>
        <v/>
      </c>
      <c r="DD8" s="7" t="str">
        <f>IF(SUM(CQ8:CT8)-CU8&gt;0,SUM(CQ8:CT8)-CU8,"")</f>
        <v/>
      </c>
      <c r="DE8" s="7" t="str">
        <f>IF(SUM(DB8,DD8)&gt;0,SUM(DB8,DD8),"")</f>
        <v/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7.85</v>
      </c>
      <c r="NO8" s="27">
        <f>IF($CV8="P",CC8,(CC8+AY8)/2)</f>
        <v>4.8</v>
      </c>
      <c r="NP8" s="27">
        <f>IF($CV8="P",CD8,(CD8+AZ8)/2)</f>
        <v>0</v>
      </c>
      <c r="NQ8" s="27">
        <f>IF($CV8="P",CE8,(CE8+BA8)/2)</f>
        <v>6.085</v>
      </c>
      <c r="NR8" s="27">
        <f>IF($CV8="P",CF8,(CF8+BB8)/2)</f>
        <v>0</v>
      </c>
      <c r="NS8" s="27">
        <f>IF($CV8="P",CG8,(CG8+BC8)/2)</f>
        <v>7.35</v>
      </c>
      <c r="NT8" s="27">
        <f>IF($CV8="P",CH8,(CH8+BD8)/2)</f>
        <v>4.5999999999999996</v>
      </c>
      <c r="NU8" s="27">
        <f>IF($CV8="P",CI8,(CI8+BE8)/2)</f>
        <v>5.05</v>
      </c>
      <c r="NV8" s="27">
        <f>IF($CV8="P",CJ8,(CJ8+BF8)/2)</f>
        <v>6.7649999999999997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4.05</v>
      </c>
      <c r="OD8" s="27">
        <f>IF($CV8="P",CR8,(CR8+BN8)/2)</f>
        <v>2.9</v>
      </c>
      <c r="OE8" s="27">
        <f>IF($CV8="P",CS8,(CS8+BO8)/2)</f>
        <v>2.8</v>
      </c>
      <c r="OF8" s="27">
        <f>IF($CV8="P",CT8,(CT8+BP8)/2)</f>
        <v>4.05</v>
      </c>
      <c r="OG8" s="27">
        <f>IF($CV8="P",CU8,(CU8+BQ8)/2)</f>
        <v>0</v>
      </c>
      <c r="OH8" s="32" t="s">
        <v>44</v>
      </c>
      <c r="OI8" s="7">
        <f>IF(SUM(NN8:NQ8)-NR8&gt;0,SUM(NN8:NQ8)-NR8,"")</f>
        <v>18.734999999999999</v>
      </c>
      <c r="OJ8" s="7">
        <f>IF(NU8&gt;0,NU8,"")</f>
        <v>5.05</v>
      </c>
      <c r="OK8" s="7">
        <f>IF(SUM(NS8:NV8)-NW8&gt;0,SUM(NS8:NV8)-NW8,"")</f>
        <v>23.765000000000001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42.5</v>
      </c>
      <c r="OO8" s="7">
        <f>IF(OE8&gt;0,OE8,"")</f>
        <v>2.8</v>
      </c>
      <c r="OP8" s="7">
        <f t="shared" si="4"/>
        <v>13.8</v>
      </c>
      <c r="OQ8" s="7">
        <f t="shared" si="5"/>
        <v>56.3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93</v>
      </c>
      <c r="C9" s="4" t="s">
        <v>89</v>
      </c>
      <c r="D9" s="4">
        <v>2009</v>
      </c>
      <c r="E9" s="10">
        <f>SUM(I9:Q9)</f>
        <v>205.32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80.88</v>
      </c>
      <c r="J9" s="9" t="str">
        <f>IF(I9=0,"",IF(I9=DB9,$CB$1,IF(I9=BX9,$AX$1,IF(I9=AT9,$T$1,""))))</f>
        <v>2025 Nationals</v>
      </c>
      <c r="K9" s="9">
        <f>IF($I9=$AT9,MAX(BS9,CW9),IF($I9=$BX9,MAX(AO9,CW9),IF($I9=$DB9,MAX(AO9,BS9),MAX(AO9,BS9,CW9))))</f>
        <v>37.64</v>
      </c>
      <c r="L9" s="9" t="str">
        <f>IF(K9=0,"",IF(AND(K9=CW9,$J9&lt;&gt;$CB$1),$CB$1,IF(AND(K9=BS9,$J9&lt;&gt;$AX$1),$AX$1,IF(AND(K9=AO9,$J9&lt;&gt;$T$1),$T$1,""))))</f>
        <v>2025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41.000000000000007</v>
      </c>
      <c r="N9" s="9" t="str">
        <f>IF(M9=0,"",IF(AND(OR(M9=DA9,M9=CY9),$J9&lt;&gt;$CB$1),$CB$1,IF(AND(OR(M9=BW9,M9=BU9),$J9&lt;&gt;$AX$1),$AX$1,IF(AND(OR(M9=AS9,M9=AQ9),$J9&lt;&gt;$T$1),$T$1,""))))</f>
        <v>2025 Elite Canada</v>
      </c>
      <c r="O9" s="9">
        <f>MAX(AV9,BZ9,DD9)</f>
        <v>45.8</v>
      </c>
      <c r="P9" s="9" t="str">
        <f>IF(O9=0,"",IF(O9=DD9,$CB$1,IF(O9=BZ9,$AX$1,IF(O9=AV9,$T$1,""))))</f>
        <v>2025 Nationals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15.1</v>
      </c>
      <c r="U9" s="27">
        <v>9.1999999999999993</v>
      </c>
      <c r="V9" s="27">
        <v>0</v>
      </c>
      <c r="W9" s="27">
        <v>13.34</v>
      </c>
      <c r="X9" s="27">
        <v>0</v>
      </c>
      <c r="Y9" s="27">
        <v>11.4</v>
      </c>
      <c r="Z9" s="27">
        <v>9.3000000000000007</v>
      </c>
      <c r="AA9" s="27">
        <v>8.3000000000000007</v>
      </c>
      <c r="AB9" s="27">
        <v>12.9</v>
      </c>
      <c r="AC9" s="27">
        <v>0.9</v>
      </c>
      <c r="AD9" s="27"/>
      <c r="AE9" s="27"/>
      <c r="AF9" s="27"/>
      <c r="AG9" s="27"/>
      <c r="AH9" s="27"/>
      <c r="AI9" s="27">
        <v>0</v>
      </c>
      <c r="AJ9" s="27">
        <v>0</v>
      </c>
      <c r="AK9" s="27">
        <v>0</v>
      </c>
      <c r="AL9" s="27">
        <v>0</v>
      </c>
      <c r="AM9" s="27">
        <v>0</v>
      </c>
      <c r="AN9" s="32"/>
      <c r="AO9" s="7">
        <f>IF(SUM(T9:W9)-X9&gt;0,SUM(T9:W9)-X9,"")</f>
        <v>37.64</v>
      </c>
      <c r="AP9" s="7">
        <f>IF(AA9&gt;0,AA9,"")</f>
        <v>8.3000000000000007</v>
      </c>
      <c r="AQ9" s="7">
        <f>IF(SUM(Y9:AB9)-AC9&gt;0,SUM(Y9:AB9)-AC9,"")</f>
        <v>41.000000000000007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78.640000000000015</v>
      </c>
      <c r="AU9" s="7" t="str">
        <f>IF(AK9&gt;0,AK9,"")</f>
        <v/>
      </c>
      <c r="AV9" s="7" t="str">
        <f>IF(SUM(AI9:AL9)-AM9&gt;0,SUM(AI9:AL9)-AM9,"")</f>
        <v/>
      </c>
      <c r="AW9" s="7">
        <f>IF(SUM(AT9,AV9)&gt;0,SUM(AT9,AV9),"")</f>
        <v>78.640000000000015</v>
      </c>
      <c r="AX9" s="31">
        <v>15.5</v>
      </c>
      <c r="AY9" s="31">
        <v>9.5</v>
      </c>
      <c r="AZ9" s="31">
        <v>0</v>
      </c>
      <c r="BA9" s="31">
        <v>13.88</v>
      </c>
      <c r="BB9" s="31">
        <v>0</v>
      </c>
      <c r="BC9" s="31">
        <v>11.5</v>
      </c>
      <c r="BD9" s="31">
        <v>9</v>
      </c>
      <c r="BE9" s="31">
        <v>8.6999999999999993</v>
      </c>
      <c r="BF9" s="31">
        <v>13.3</v>
      </c>
      <c r="BG9" s="31">
        <v>0.5</v>
      </c>
      <c r="BH9" s="31"/>
      <c r="BI9" s="31"/>
      <c r="BJ9" s="31"/>
      <c r="BK9" s="31"/>
      <c r="BL9" s="31"/>
      <c r="BM9" s="31">
        <v>13.3</v>
      </c>
      <c r="BN9" s="31">
        <v>9.6</v>
      </c>
      <c r="BO9" s="31">
        <v>9.6</v>
      </c>
      <c r="BP9" s="31">
        <v>13.3</v>
      </c>
      <c r="BQ9" s="31">
        <v>0</v>
      </c>
      <c r="BR9" s="33"/>
      <c r="BS9" s="9">
        <f>IF(SUM(AX9:BA9)-BB9&gt;0,SUM(AX9:BA9)-BB9,"")</f>
        <v>38.880000000000003</v>
      </c>
      <c r="BT9" s="9">
        <f>IF(BE9&gt;0,BE9,"")</f>
        <v>8.6999999999999993</v>
      </c>
      <c r="BU9" s="9">
        <f>IF(SUM(BC9:BF9)-BG9&gt;0,SUM(BC9:BF9)-BG9,"")</f>
        <v>42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80.88</v>
      </c>
      <c r="BY9" s="9">
        <f>IF(BO9&gt;0,BO9,"")</f>
        <v>9.6</v>
      </c>
      <c r="BZ9" s="9">
        <f>IF(SUM(BM9:BP9)-BQ9&gt;0,SUM(BM9:BP9)-BQ9,"")</f>
        <v>45.8</v>
      </c>
      <c r="CA9" s="9">
        <f>IF(SUM(BX9,BZ9)&gt;0,SUM(BX9,BZ9),"")</f>
        <v>126.67999999999999</v>
      </c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 t="str">
        <f>IF(SUM(CB9:CE9)-CF9&gt;0,SUM(CB9:CE9)-CF9,"")</f>
        <v/>
      </c>
      <c r="CX9" s="7" t="str">
        <f>IF(CI9&gt;0,CI9,"")</f>
        <v/>
      </c>
      <c r="CY9" s="7" t="str">
        <f>IF(SUM(CG9:CJ9)-CK9&gt;0,SUM(CG9:CJ9)-CK9,"")</f>
        <v/>
      </c>
      <c r="CZ9" s="7" t="str">
        <f>IF(CN9&gt;0,CN9,"")</f>
        <v/>
      </c>
      <c r="DA9" s="7" t="str">
        <f>IF(SUM(CL9:CO9)-CP9&gt;0,SUM(CL9:CO9)-CP9,"")</f>
        <v/>
      </c>
      <c r="DB9" s="7" t="str">
        <f>IF(CW9="",IF(MAX(CY9,DA9)&gt;0,MAX(CY9,DA9),""),MAX(CY9,DA9)+CW9)</f>
        <v/>
      </c>
      <c r="DC9" s="7" t="str">
        <f>IF(CS9&gt;0,CS9,"")</f>
        <v/>
      </c>
      <c r="DD9" s="7" t="str">
        <f>IF(SUM(CQ9:CT9)-CU9&gt;0,SUM(CQ9:CT9)-CU9,"")</f>
        <v/>
      </c>
      <c r="DE9" s="7" t="str">
        <f>IF(SUM(DB9,DD9)&gt;0,SUM(DB9,DD9),"")</f>
        <v/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7.75</v>
      </c>
      <c r="NO9" s="27">
        <f>IF($CV9="P",CC9,(CC9+AY9)/2)</f>
        <v>4.75</v>
      </c>
      <c r="NP9" s="27">
        <f>IF($CV9="P",CD9,(CD9+AZ9)/2)</f>
        <v>0</v>
      </c>
      <c r="NQ9" s="27">
        <f>IF($CV9="P",CE9,(CE9+BA9)/2)</f>
        <v>6.94</v>
      </c>
      <c r="NR9" s="27">
        <f>IF($CV9="P",CF9,(CF9+BB9)/2)</f>
        <v>0</v>
      </c>
      <c r="NS9" s="27">
        <f>IF($CV9="P",CG9,(CG9+BC9)/2)</f>
        <v>5.75</v>
      </c>
      <c r="NT9" s="27">
        <f>IF($CV9="P",CH9,(CH9+BD9)/2)</f>
        <v>4.5</v>
      </c>
      <c r="NU9" s="27">
        <f>IF($CV9="P",CI9,(CI9+BE9)/2)</f>
        <v>4.3499999999999996</v>
      </c>
      <c r="NV9" s="27">
        <f>IF($CV9="P",CJ9,(CJ9+BF9)/2)</f>
        <v>6.65</v>
      </c>
      <c r="NW9" s="27">
        <f>IF($CV9="P",CK9,(CK9+BG9)/2)</f>
        <v>0.25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6.65</v>
      </c>
      <c r="OD9" s="27">
        <f>IF($CV9="P",CR9,(CR9+BN9)/2)</f>
        <v>4.8</v>
      </c>
      <c r="OE9" s="27">
        <f>IF($CV9="P",CS9,(CS9+BO9)/2)</f>
        <v>4.8</v>
      </c>
      <c r="OF9" s="27">
        <f>IF($CV9="P",CT9,(CT9+BP9)/2)</f>
        <v>6.65</v>
      </c>
      <c r="OG9" s="27">
        <f>IF($CV9="P",CU9,(CU9+BQ9)/2)</f>
        <v>0</v>
      </c>
      <c r="OH9" s="32" t="s">
        <v>44</v>
      </c>
      <c r="OI9" s="7">
        <f>IF(SUM(NN9:NQ9)-NR9&gt;0,SUM(NN9:NQ9)-NR9,"")</f>
        <v>19.440000000000001</v>
      </c>
      <c r="OJ9" s="7">
        <f>IF(NU9&gt;0,NU9,"")</f>
        <v>4.3499999999999996</v>
      </c>
      <c r="OK9" s="7">
        <f>IF(SUM(NS9:NV9)-NW9&gt;0,SUM(NS9:NV9)-NW9,"")</f>
        <v>21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40.44</v>
      </c>
      <c r="OO9" s="7">
        <f>IF(OE9&gt;0,OE9,"")</f>
        <v>4.8</v>
      </c>
      <c r="OP9" s="7">
        <f t="shared" si="4"/>
        <v>22.9</v>
      </c>
      <c r="OQ9" s="7">
        <f t="shared" si="5"/>
        <v>63.339999999999996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90</v>
      </c>
      <c r="C10" s="4" t="s">
        <v>65</v>
      </c>
      <c r="D10" s="4">
        <v>2009</v>
      </c>
      <c r="E10" s="10">
        <f>SUM(I10:Q10)</f>
        <v>182.97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83.52</v>
      </c>
      <c r="J10" s="9" t="str">
        <f>IF(I10=0,"",IF(I10=DB10,$CB$1,IF(I10=BX10,$AX$1,IF(I10=AT10,$T$1,""))))</f>
        <v>2025 Elite Canada</v>
      </c>
      <c r="K10" s="9">
        <f>IF($I10=$AT10,MAX(BS10,CW10),IF($I10=$BX10,MAX(AO10,CW10),IF($I10=$DB10,MAX(AO10,BS10),MAX(AO10,BS10,CW10))))</f>
        <v>39.29</v>
      </c>
      <c r="L10" s="9" t="str">
        <f>IF(K10=0,"",IF(AND(K10=CW10,$J10&lt;&gt;$CB$1),$CB$1,IF(AND(K10=BS10,$J10&lt;&gt;$AX$1),$AX$1,IF(AND(K10=AO10,$J10&lt;&gt;$T$1),$T$1,""))))</f>
        <v>2025 Nationals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14.129999999999999</v>
      </c>
      <c r="N10" s="9" t="str">
        <f>IF(M10=0,"",IF(AND(OR(M10=DA10,M10=CY10),$J10&lt;&gt;$CB$1),$CB$1,IF(AND(OR(M10=BW10,M10=BU10),$J10&lt;&gt;$AX$1),$AX$1,IF(AND(OR(M10=AS10,M10=AQ10),$J10&lt;&gt;$T$1),$T$1,""))))</f>
        <v>2025 Nationals</v>
      </c>
      <c r="O10" s="9">
        <f>MAX(AV10,BZ10,DD10)</f>
        <v>46.029999999999994</v>
      </c>
      <c r="P10" s="9" t="str">
        <f>IF(O10=0,"",IF(O10=DD10,$CB$1,IF(O10=BZ10,$AX$1,IF(O10=AV10,$T$1,""))))</f>
        <v>2025 Elite Canada</v>
      </c>
      <c r="Q10" s="9" t="str">
        <f>IF(MAX(DF10,DG10,DH10,DI10)&gt;0,MAX(DF10,DG10,DH10,DI10),"")</f>
        <v/>
      </c>
      <c r="R10" s="14" t="str">
        <f>IF(Q10="","",IF(Q10=DF10,"(Vol 1)",IF(Q10=DG10,"(Vol 2)",IF(Q10=DH10,"(Prelim)",IF(Q10=DI10,"(Final)")))))</f>
        <v/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/>
      </c>
      <c r="T10" s="27">
        <v>16.600000000000001</v>
      </c>
      <c r="U10" s="27">
        <v>9.5</v>
      </c>
      <c r="V10" s="27">
        <v>0</v>
      </c>
      <c r="W10" s="27">
        <v>13.25</v>
      </c>
      <c r="X10" s="27">
        <v>0</v>
      </c>
      <c r="Y10" s="27">
        <v>13.5</v>
      </c>
      <c r="Z10" s="27">
        <v>8.6999999999999993</v>
      </c>
      <c r="AA10" s="27">
        <v>9</v>
      </c>
      <c r="AB10" s="27">
        <v>13.17</v>
      </c>
      <c r="AC10" s="27">
        <v>0.2</v>
      </c>
      <c r="AD10" s="27"/>
      <c r="AE10" s="27"/>
      <c r="AF10" s="27"/>
      <c r="AG10" s="27"/>
      <c r="AH10" s="27"/>
      <c r="AI10" s="27">
        <v>15.3</v>
      </c>
      <c r="AJ10" s="27">
        <v>9</v>
      </c>
      <c r="AK10" s="27">
        <v>9</v>
      </c>
      <c r="AL10" s="27">
        <v>12.93</v>
      </c>
      <c r="AM10" s="27">
        <v>0.2</v>
      </c>
      <c r="AN10" s="32"/>
      <c r="AO10" s="7">
        <f>IF(SUM(T10:W10)-X10&gt;0,SUM(T10:W10)-X10,"")</f>
        <v>39.35</v>
      </c>
      <c r="AP10" s="7">
        <f>IF(AA10&gt;0,AA10,"")</f>
        <v>9</v>
      </c>
      <c r="AQ10" s="7">
        <f>IF(SUM(Y10:AB10)-AC10&gt;0,SUM(Y10:AB10)-AC10,"")</f>
        <v>44.169999999999995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83.52</v>
      </c>
      <c r="AU10" s="7">
        <f>IF(AK10&gt;0,AK10,"")</f>
        <v>9</v>
      </c>
      <c r="AV10" s="7">
        <f>IF(SUM(AI10:AL10)-AM10&gt;0,SUM(AI10:AL10)-AM10,"")</f>
        <v>46.029999999999994</v>
      </c>
      <c r="AW10" s="7">
        <f>IF(SUM(AT10,AV10)&gt;0,SUM(AT10,AV10),"")</f>
        <v>129.54999999999998</v>
      </c>
      <c r="AX10" s="31">
        <v>16.8</v>
      </c>
      <c r="AY10" s="31">
        <v>9.3000000000000007</v>
      </c>
      <c r="AZ10" s="31">
        <v>0</v>
      </c>
      <c r="BA10" s="31">
        <v>13.19</v>
      </c>
      <c r="BB10" s="31">
        <v>0</v>
      </c>
      <c r="BC10" s="31">
        <v>4.0999999999999996</v>
      </c>
      <c r="BD10" s="31">
        <v>2.6</v>
      </c>
      <c r="BE10" s="31">
        <v>3.4</v>
      </c>
      <c r="BF10" s="31">
        <v>4.03</v>
      </c>
      <c r="BG10" s="31">
        <v>0</v>
      </c>
      <c r="BH10" s="31"/>
      <c r="BI10" s="31"/>
      <c r="BJ10" s="31"/>
      <c r="BK10" s="31"/>
      <c r="BL10" s="31"/>
      <c r="BM10" s="31">
        <v>11.8</v>
      </c>
      <c r="BN10" s="31">
        <v>9.1999999999999993</v>
      </c>
      <c r="BO10" s="31">
        <v>9.3000000000000007</v>
      </c>
      <c r="BP10" s="31">
        <v>12.66</v>
      </c>
      <c r="BQ10" s="31">
        <v>0</v>
      </c>
      <c r="BR10" s="33"/>
      <c r="BS10" s="9">
        <f>IF(SUM(AX10:BA10)-BB10&gt;0,SUM(AX10:BA10)-BB10,"")</f>
        <v>39.29</v>
      </c>
      <c r="BT10" s="9">
        <f>IF(BE10&gt;0,BE10,"")</f>
        <v>3.4</v>
      </c>
      <c r="BU10" s="9">
        <f>IF(SUM(BC10:BF10)-BG10&gt;0,SUM(BC10:BF10)-BG10,"")</f>
        <v>14.129999999999999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53.42</v>
      </c>
      <c r="BY10" s="9">
        <f>IF(BO10&gt;0,BO10,"")</f>
        <v>9.3000000000000007</v>
      </c>
      <c r="BZ10" s="9">
        <f>IF(SUM(BM10:BP10)-BQ10&gt;0,SUM(BM10:BP10)-BQ10,"")</f>
        <v>42.96</v>
      </c>
      <c r="CA10" s="9">
        <f>IF(SUM(BX10,BZ10)&gt;0,SUM(BX10,BZ10),"")</f>
        <v>96.38</v>
      </c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32"/>
      <c r="CW10" s="7" t="str">
        <f>IF(SUM(CB10:CE10)-CF10&gt;0,SUM(CB10:CE10)-CF10,"")</f>
        <v/>
      </c>
      <c r="CX10" s="7" t="str">
        <f>IF(CI10&gt;0,CI10,"")</f>
        <v/>
      </c>
      <c r="CY10" s="7" t="str">
        <f>IF(SUM(CG10:CJ10)-CK10&gt;0,SUM(CG10:CJ10)-CK10,"")</f>
        <v/>
      </c>
      <c r="CZ10" s="7" t="str">
        <f>IF(CN10&gt;0,CN10,"")</f>
        <v/>
      </c>
      <c r="DA10" s="7" t="str">
        <f>IF(SUM(CL10:CO10)-CP10&gt;0,SUM(CL10:CO10)-CP10,"")</f>
        <v/>
      </c>
      <c r="DB10" s="7" t="str">
        <f>IF(CW10="",IF(MAX(CY10,DA10)&gt;0,MAX(CY10,DA10),""),MAX(CY10,DA10)+CW10)</f>
        <v/>
      </c>
      <c r="DC10" s="7" t="str">
        <f>IF(CS10&gt;0,CS10,"")</f>
        <v/>
      </c>
      <c r="DD10" s="7" t="str">
        <f>IF(SUM(CQ10:CT10)-CU10&gt;0,SUM(CQ10:CT10)-CU10,"")</f>
        <v/>
      </c>
      <c r="DE10" s="7" t="str">
        <f>IF(SUM(DB10,DD10)&gt;0,SUM(DB10,DD10),"")</f>
        <v/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 t="str">
        <f>IF(MAX(EA10,EW10,FS10,GO10,HK10,IG10,JC10,JY10,KU10,LQ10,MM10,NI10)-IF(M10="",0,M10)&gt;0.001,MAX(EA10,EW10,FS10,GO10,HK10,IG10,JC10,JY10,KU10,LQ10,MM10,NI10)-IF(M10="",0,M10),"")</f>
        <v/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9" t="str">
        <f>IF(GE10&gt;0,GE10,"")</f>
        <v/>
      </c>
      <c r="GN10" s="9" t="str">
        <f>IF(SUM(FX10:GA10)-GB10&gt;0,SUM(FX10:GA10)-GB10,"")</f>
        <v/>
      </c>
      <c r="GO10" s="9" t="str">
        <f>IF(SUM(GC10:GF10)-GG10&gt;0,SUM(GC10:GF10)-GG10,"")</f>
        <v/>
      </c>
      <c r="GP10" s="9" t="str">
        <f>IF(SUM(GN10:GO10)&gt;0,SUM(GN10:GO10),"")</f>
        <v/>
      </c>
      <c r="GQ10" s="9" t="str">
        <f>IF(GJ10&gt;0,GJ10,"")</f>
        <v/>
      </c>
      <c r="GR10" s="9" t="str">
        <f>IF(SUM(GH10:GK10)-GL10&gt;0,SUM(GH10:GK10)-GL10,"")</f>
        <v/>
      </c>
      <c r="GS10" s="9" t="str">
        <f>IF(SUM(GP10,GR10)&gt;0,SUM(GP10,GR10),"")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8.4</v>
      </c>
      <c r="NO10" s="27">
        <f>IF($CV10="P",CC10,(CC10+AY10)/2)</f>
        <v>4.6500000000000004</v>
      </c>
      <c r="NP10" s="27">
        <f>IF($CV10="P",CD10,(CD10+AZ10)/2)</f>
        <v>0</v>
      </c>
      <c r="NQ10" s="27">
        <f>IF($CV10="P",CE10,(CE10+BA10)/2)</f>
        <v>6.5949999999999998</v>
      </c>
      <c r="NR10" s="27">
        <f>IF($CV10="P",CF10,(CF10+BB10)/2)</f>
        <v>0</v>
      </c>
      <c r="NS10" s="27">
        <f>IF($CV10="P",CG10,(CG10+BC10)/2)</f>
        <v>2.0499999999999998</v>
      </c>
      <c r="NT10" s="27">
        <f>IF($CV10="P",CH10,(CH10+BD10)/2)</f>
        <v>1.3</v>
      </c>
      <c r="NU10" s="27">
        <f>IF($CV10="P",CI10,(CI10+BE10)/2)</f>
        <v>1.7</v>
      </c>
      <c r="NV10" s="27">
        <f>IF($CV10="P",CJ10,(CJ10+BF10)/2)</f>
        <v>2.0150000000000001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5.9</v>
      </c>
      <c r="OD10" s="27">
        <f>IF($CV10="P",CR10,(CR10+BN10)/2)</f>
        <v>4.5999999999999996</v>
      </c>
      <c r="OE10" s="27">
        <f>IF($CV10="P",CS10,(CS10+BO10)/2)</f>
        <v>4.6500000000000004</v>
      </c>
      <c r="OF10" s="27">
        <f>IF($CV10="P",CT10,(CT10+BP10)/2)</f>
        <v>6.33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19.645</v>
      </c>
      <c r="OJ10" s="7">
        <f>IF(NU10&gt;0,NU10,"")</f>
        <v>1.7</v>
      </c>
      <c r="OK10" s="7">
        <f>IF(SUM(NS10:NV10)-NW10&gt;0,SUM(NS10:NV10)-NW10,"")</f>
        <v>7.0649999999999995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26.71</v>
      </c>
      <c r="OO10" s="7">
        <f>IF(OE10&gt;0,OE10,"")</f>
        <v>4.6500000000000004</v>
      </c>
      <c r="OP10" s="7">
        <f t="shared" ref="OP10" si="6">IF(SUM(OC10:OF10)-OG10&gt;0,SUM(OC10:OF10)-OG10,"")</f>
        <v>21.48</v>
      </c>
      <c r="OQ10" s="7">
        <f t="shared" ref="OQ10" si="7">IF(SUM(ON10,OP10)&gt;0,SUM(ON10,OP10),"")</f>
        <v>48.19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109</v>
      </c>
      <c r="C11" s="4" t="s">
        <v>65</v>
      </c>
      <c r="D11" s="4">
        <v>2009</v>
      </c>
      <c r="E11" s="10">
        <f>SUM(I11:Q11)</f>
        <v>134.28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86.61</v>
      </c>
      <c r="J11" s="9" t="str">
        <f>IF(I11=0,"",IF(I11=DB11,$CB$1,IF(I11=BX11,$AX$1,IF(I11=AT11,$T$1,""))))</f>
        <v>2025 Nationals</v>
      </c>
      <c r="K11" s="9">
        <f>IF($I11=$AT11,MAX(BS11,CW11),IF($I11=$BX11,MAX(AO11,CW11),IF($I11=$DB11,MAX(AO11,BS11),MAX(AO11,BS11,CW11))))</f>
        <v>0</v>
      </c>
      <c r="L11" s="9" t="str">
        <f>IF(K11=0,"",IF(AND(K11=CW11,$J11&lt;&gt;$CB$1),$CB$1,IF(AND(K11=BS11,$J11&lt;&gt;$AX$1),$AX$1,IF(AND(K11=AO11,$J11&lt;&gt;$T$1),$T$1,""))))</f>
        <v/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0</v>
      </c>
      <c r="N11" s="9" t="str">
        <f>IF(M11=0,"",IF(AND(OR(M11=DA11,M11=CY11),$J11&lt;&gt;$CB$1),$CB$1,IF(AND(OR(M11=BW11,M11=BU11),$J11&lt;&gt;$AX$1),$AX$1,IF(AND(OR(M11=AS11,M11=AQ11),$J11&lt;&gt;$T$1),$T$1,""))))</f>
        <v/>
      </c>
      <c r="O11" s="9">
        <f>MAX(AV11,BZ11,DD11)</f>
        <v>47.669999999999995</v>
      </c>
      <c r="P11" s="9" t="str">
        <f>IF(O11=0,"",IF(O11=DD11,$CB$1,IF(O11=BZ11,$AX$1,IF(O11=AV11,$T$1,""))))</f>
        <v>2025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>
        <v>16.8</v>
      </c>
      <c r="AY11" s="31">
        <v>9.3000000000000007</v>
      </c>
      <c r="AZ11" s="31">
        <v>0</v>
      </c>
      <c r="BA11" s="31">
        <v>14.37</v>
      </c>
      <c r="BB11" s="31">
        <v>0</v>
      </c>
      <c r="BC11" s="31">
        <v>13.3</v>
      </c>
      <c r="BD11" s="31">
        <v>9.1999999999999993</v>
      </c>
      <c r="BE11" s="31">
        <v>9.1999999999999993</v>
      </c>
      <c r="BF11" s="31">
        <v>14.44</v>
      </c>
      <c r="BG11" s="31">
        <v>0</v>
      </c>
      <c r="BH11" s="31"/>
      <c r="BI11" s="31"/>
      <c r="BJ11" s="31"/>
      <c r="BK11" s="31"/>
      <c r="BL11" s="31"/>
      <c r="BM11" s="31">
        <v>14.9</v>
      </c>
      <c r="BN11" s="31">
        <v>9.1999999999999993</v>
      </c>
      <c r="BO11" s="31">
        <v>9.1999999999999993</v>
      </c>
      <c r="BP11" s="31">
        <v>14.37</v>
      </c>
      <c r="BQ11" s="31">
        <v>0</v>
      </c>
      <c r="BR11" s="33"/>
      <c r="BS11" s="9">
        <f>IF(SUM(AX11:BA11)-BB11&gt;0,SUM(AX11:BA11)-BB11,"")</f>
        <v>40.47</v>
      </c>
      <c r="BT11" s="9">
        <f>IF(BE11&gt;0,BE11,"")</f>
        <v>9.1999999999999993</v>
      </c>
      <c r="BU11" s="9">
        <f>IF(SUM(BC11:BF11)-BG11&gt;0,SUM(BC11:BF11)-BG11,"")</f>
        <v>46.14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86.61</v>
      </c>
      <c r="BY11" s="9">
        <f>IF(BO11&gt;0,BO11,"")</f>
        <v>9.1999999999999993</v>
      </c>
      <c r="BZ11" s="9">
        <f>IF(SUM(BM11:BP11)-BQ11&gt;0,SUM(BM11:BP11)-BQ11,"")</f>
        <v>47.669999999999995</v>
      </c>
      <c r="CA11" s="9">
        <f>IF(SUM(BX11,BZ11)&gt;0,SUM(BX11,BZ11),"")</f>
        <v>134.28</v>
      </c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 t="str">
        <f>IF(SUM(CB11:CE11)-CF11&gt;0,SUM(CB11:CE11)-CF11,"")</f>
        <v/>
      </c>
      <c r="CX11" s="7" t="str">
        <f>IF(CI11&gt;0,CI11,"")</f>
        <v/>
      </c>
      <c r="CY11" s="7" t="str">
        <f>IF(SUM(CG11:CJ11)-CK11&gt;0,SUM(CG11:CJ11)-CK11,"")</f>
        <v/>
      </c>
      <c r="CZ11" s="7" t="str">
        <f>IF(CN11&gt;0,CN11,"")</f>
        <v/>
      </c>
      <c r="DA11" s="7" t="str">
        <f>IF(SUM(CL11:CO11)-CP11&gt;0,SUM(CL11:CO11)-CP11,"")</f>
        <v/>
      </c>
      <c r="DB11" s="7" t="str">
        <f>IF(CW11="",IF(MAX(CY11,DA11)&gt;0,MAX(CY11,DA11),""),MAX(CY11,DA11)+CW11)</f>
        <v/>
      </c>
      <c r="DC11" s="7" t="str">
        <f>IF(CS11&gt;0,CS11,"")</f>
        <v/>
      </c>
      <c r="DD11" s="7" t="str">
        <f>IF(SUM(CQ11:CT11)-CU11&gt;0,SUM(CQ11:CT11)-CU11,"")</f>
        <v/>
      </c>
      <c r="DE11" s="7" t="str">
        <f>IF(SUM(DB11,DD11)&gt;0,SUM(DB11,DD11),"")</f>
        <v/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8.4</v>
      </c>
      <c r="NO11" s="27">
        <f>IF($CV11="P",CC11,(CC11+AY11)/2)</f>
        <v>4.6500000000000004</v>
      </c>
      <c r="NP11" s="27">
        <f>IF($CV11="P",CD11,(CD11+AZ11)/2)</f>
        <v>0</v>
      </c>
      <c r="NQ11" s="27">
        <f>IF($CV11="P",CE11,(CE11+BA11)/2)</f>
        <v>7.1849999999999996</v>
      </c>
      <c r="NR11" s="27">
        <f>IF($CV11="P",CF11,(CF11+BB11)/2)</f>
        <v>0</v>
      </c>
      <c r="NS11" s="27">
        <f>IF($CV11="P",CG11,(CG11+BC11)/2)</f>
        <v>6.65</v>
      </c>
      <c r="NT11" s="27">
        <f>IF($CV11="P",CH11,(CH11+BD11)/2)</f>
        <v>4.5999999999999996</v>
      </c>
      <c r="NU11" s="27">
        <f>IF($CV11="P",CI11,(CI11+BE11)/2)</f>
        <v>4.5999999999999996</v>
      </c>
      <c r="NV11" s="27">
        <f>IF($CV11="P",CJ11,(CJ11+BF11)/2)</f>
        <v>7.22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7.45</v>
      </c>
      <c r="OD11" s="27">
        <f>IF($CV11="P",CR11,(CR11+BN11)/2)</f>
        <v>4.5999999999999996</v>
      </c>
      <c r="OE11" s="27">
        <f>IF($CV11="P",CS11,(CS11+BO11)/2)</f>
        <v>4.5999999999999996</v>
      </c>
      <c r="OF11" s="27">
        <f>IF($CV11="P",CT11,(CT11+BP11)/2)</f>
        <v>7.1849999999999996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20.234999999999999</v>
      </c>
      <c r="OJ11" s="7">
        <f>IF(NU11&gt;0,NU11,"")</f>
        <v>4.5999999999999996</v>
      </c>
      <c r="OK11" s="7">
        <f>IF(SUM(NS11:NV11)-NW11&gt;0,SUM(NS11:NV11)-NW11,"")</f>
        <v>23.07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43.305</v>
      </c>
      <c r="OO11" s="7">
        <f>IF(OE11&gt;0,OE11,"")</f>
        <v>4.5999999999999996</v>
      </c>
      <c r="OP11" s="7">
        <f t="shared" ref="OP11" si="8">IF(SUM(OC11:OF11)-OG11&gt;0,SUM(OC11:OF11)-OG11,"")</f>
        <v>23.834999999999997</v>
      </c>
      <c r="OQ11" s="7">
        <f t="shared" ref="OQ11" si="9">IF(SUM(ON11,OP11)&gt;0,SUM(ON11,OP11),"")</f>
        <v>67.14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11.6</v>
      </c>
      <c r="BT14" s="46"/>
      <c r="BU14" s="46"/>
      <c r="BV14" s="46"/>
      <c r="BY14" s="2"/>
      <c r="CA14" s="24">
        <v>11.6</v>
      </c>
      <c r="CX14" s="46"/>
      <c r="CY14" s="46"/>
      <c r="CZ14" s="46"/>
      <c r="DC14" s="2"/>
      <c r="DE14" s="24">
        <v>11.6</v>
      </c>
      <c r="DY14" s="5"/>
      <c r="EC14" s="2"/>
      <c r="EE14" s="24">
        <v>11.6</v>
      </c>
      <c r="EU14" s="5"/>
      <c r="EY14" s="2"/>
      <c r="FA14" s="24">
        <v>11.6</v>
      </c>
      <c r="FQ14" s="5"/>
      <c r="FU14" s="2"/>
      <c r="FW14" s="24">
        <v>11.6</v>
      </c>
      <c r="GM14" s="5"/>
      <c r="GQ14" s="2"/>
      <c r="GS14" s="24">
        <v>11.6</v>
      </c>
      <c r="HI14" s="5"/>
      <c r="HM14" s="2"/>
      <c r="HO14" s="24">
        <v>11.6</v>
      </c>
      <c r="IE14" s="5"/>
      <c r="II14" s="2"/>
      <c r="IK14" s="24">
        <v>11.6</v>
      </c>
      <c r="JA14" s="5"/>
      <c r="JE14" s="2"/>
      <c r="JG14" s="24">
        <v>11.6</v>
      </c>
      <c r="JW14" s="5"/>
      <c r="KA14" s="2"/>
      <c r="KC14" s="24">
        <v>11.6</v>
      </c>
      <c r="KS14" s="5"/>
      <c r="KW14" s="2"/>
      <c r="KY14" s="24">
        <v>11.6</v>
      </c>
      <c r="LO14" s="5"/>
      <c r="LS14" s="2"/>
      <c r="LU14" s="24">
        <v>11.6</v>
      </c>
      <c r="MK14" s="5"/>
      <c r="MO14" s="2"/>
      <c r="MQ14" s="24">
        <v>11.6</v>
      </c>
      <c r="NG14" s="5"/>
      <c r="NK14" s="2"/>
      <c r="NM14" s="24">
        <v>11.6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1000</v>
      </c>
      <c r="BT15" s="46"/>
      <c r="BU15" s="46"/>
      <c r="BV15" s="46"/>
      <c r="BY15" s="2"/>
      <c r="CA15" s="37">
        <v>1000</v>
      </c>
      <c r="CX15" s="46"/>
      <c r="CY15" s="46"/>
      <c r="CZ15" s="46"/>
      <c r="DC15" s="2"/>
      <c r="DE15" s="37">
        <v>1000</v>
      </c>
      <c r="DY15" s="5"/>
      <c r="EC15" s="2"/>
      <c r="EE15" s="37">
        <v>1000</v>
      </c>
      <c r="EU15" s="5"/>
      <c r="EY15" s="2"/>
      <c r="FA15" s="37">
        <v>1000</v>
      </c>
      <c r="FQ15" s="5"/>
      <c r="FU15" s="2"/>
      <c r="FW15" s="37">
        <v>1000</v>
      </c>
      <c r="GM15" s="5"/>
      <c r="GQ15" s="2"/>
      <c r="GS15" s="37">
        <v>1000</v>
      </c>
      <c r="HI15" s="5"/>
      <c r="HM15" s="2"/>
      <c r="HO15" s="37">
        <v>1000</v>
      </c>
      <c r="IE15" s="5"/>
      <c r="II15" s="2"/>
      <c r="IK15" s="37">
        <v>1000</v>
      </c>
      <c r="JA15" s="5"/>
      <c r="JE15" s="2"/>
      <c r="JG15" s="37">
        <v>1000</v>
      </c>
      <c r="JW15" s="5"/>
      <c r="KA15" s="2"/>
      <c r="KC15" s="37">
        <v>1000</v>
      </c>
      <c r="KS15" s="5"/>
      <c r="KW15" s="2"/>
      <c r="KY15" s="37">
        <v>1000</v>
      </c>
      <c r="LO15" s="5"/>
      <c r="LS15" s="2"/>
      <c r="LU15" s="37">
        <v>1000</v>
      </c>
      <c r="MK15" s="5"/>
      <c r="MO15" s="2"/>
      <c r="MQ15" s="37">
        <v>1000</v>
      </c>
      <c r="NG15" s="5"/>
      <c r="NK15" s="2"/>
      <c r="NM15" s="37">
        <v>1000</v>
      </c>
    </row>
    <row r="16" spans="1:407" hidden="1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1000</v>
      </c>
      <c r="BT16" s="46"/>
      <c r="BU16" s="46"/>
      <c r="BV16" s="46"/>
      <c r="BY16" s="2"/>
      <c r="CA16" s="38">
        <v>1000</v>
      </c>
      <c r="CX16" s="46"/>
      <c r="CY16" s="46"/>
      <c r="CZ16" s="46"/>
      <c r="DB16" s="2"/>
      <c r="DC16" s="2"/>
      <c r="DD16" s="2"/>
      <c r="DE16" s="38">
        <v>1000</v>
      </c>
      <c r="DY16" s="5"/>
      <c r="EC16" s="2"/>
      <c r="EE16" s="38">
        <v>1000</v>
      </c>
      <c r="EU16" s="5"/>
      <c r="EY16" s="2"/>
      <c r="FA16" s="38">
        <v>1000</v>
      </c>
      <c r="FQ16" s="5"/>
      <c r="FU16" s="2"/>
      <c r="FW16" s="38">
        <v>1000</v>
      </c>
      <c r="GM16" s="5"/>
      <c r="GQ16" s="2"/>
      <c r="GS16" s="38">
        <v>1000</v>
      </c>
      <c r="HI16" s="5"/>
      <c r="HM16" s="2"/>
      <c r="HO16" s="38">
        <v>1000</v>
      </c>
      <c r="IE16" s="5"/>
      <c r="II16" s="2"/>
      <c r="IK16" s="38">
        <v>1000</v>
      </c>
      <c r="JA16" s="5"/>
      <c r="JE16" s="2"/>
      <c r="JG16" s="38">
        <v>1000</v>
      </c>
      <c r="JW16" s="5"/>
      <c r="KA16" s="2"/>
      <c r="KC16" s="38">
        <v>1000</v>
      </c>
      <c r="KS16" s="5"/>
      <c r="KW16" s="2"/>
      <c r="KY16" s="38">
        <v>1000</v>
      </c>
      <c r="LO16" s="5"/>
      <c r="LS16" s="2"/>
      <c r="LU16" s="38">
        <v>1000</v>
      </c>
      <c r="MK16" s="5"/>
      <c r="MO16" s="2"/>
      <c r="MQ16" s="38">
        <v>1000</v>
      </c>
      <c r="NG16" s="5"/>
      <c r="NK16" s="2"/>
      <c r="NM16" s="38">
        <v>1000</v>
      </c>
    </row>
    <row r="17" spans="1:377" hidden="1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1000</v>
      </c>
      <c r="BT17" s="46"/>
      <c r="BU17" s="46"/>
      <c r="BV17" s="46"/>
      <c r="BY17" s="2"/>
      <c r="CA17" s="45">
        <v>1000</v>
      </c>
      <c r="CX17" s="46"/>
      <c r="CY17" s="46"/>
      <c r="CZ17" s="46"/>
      <c r="DB17" s="2"/>
      <c r="DC17" s="2"/>
      <c r="DD17" s="2"/>
      <c r="DE17" s="45">
        <v>1000</v>
      </c>
      <c r="DY17" s="5"/>
      <c r="EC17" s="2"/>
      <c r="EE17" s="45">
        <v>1000</v>
      </c>
      <c r="EU17" s="5"/>
      <c r="EY17" s="2"/>
      <c r="FA17" s="45">
        <v>1000</v>
      </c>
      <c r="FQ17" s="5"/>
      <c r="FU17" s="2"/>
      <c r="FW17" s="45">
        <v>1000</v>
      </c>
      <c r="GM17" s="5"/>
      <c r="GQ17" s="2"/>
      <c r="GS17" s="45">
        <v>1000</v>
      </c>
      <c r="HI17" s="5"/>
      <c r="HM17" s="2"/>
      <c r="HO17" s="45">
        <v>1000</v>
      </c>
      <c r="IE17" s="5"/>
      <c r="II17" s="2"/>
      <c r="IK17" s="45">
        <v>1000</v>
      </c>
      <c r="JA17" s="5"/>
      <c r="JE17" s="2"/>
      <c r="JG17" s="45">
        <v>1000</v>
      </c>
      <c r="JW17" s="5"/>
      <c r="KA17" s="2"/>
      <c r="KC17" s="45">
        <v>1000</v>
      </c>
      <c r="KS17" s="5"/>
      <c r="KW17" s="2"/>
      <c r="KY17" s="45">
        <v>1000</v>
      </c>
      <c r="LO17" s="5"/>
      <c r="LS17" s="2"/>
      <c r="LU17" s="45">
        <v>1000</v>
      </c>
      <c r="MK17" s="5"/>
      <c r="MO17" s="2"/>
      <c r="MQ17" s="45">
        <v>1000</v>
      </c>
      <c r="NG17" s="5"/>
      <c r="NK17" s="2"/>
      <c r="NM17" s="45">
        <v>1000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92</v>
      </c>
      <c r="BT18" s="46"/>
      <c r="BU18" s="46"/>
      <c r="BV18" s="46"/>
      <c r="BY18" s="2"/>
      <c r="CA18" s="43">
        <v>92</v>
      </c>
      <c r="CX18" s="46"/>
      <c r="CY18" s="46"/>
      <c r="CZ18" s="46"/>
      <c r="DB18" s="2"/>
      <c r="DC18" s="2"/>
      <c r="DD18" s="2"/>
      <c r="DE18" s="43">
        <v>92</v>
      </c>
      <c r="DY18" s="5"/>
      <c r="EC18" s="2"/>
      <c r="EE18" s="43">
        <v>92</v>
      </c>
      <c r="EU18" s="5"/>
      <c r="EY18" s="2"/>
      <c r="FA18" s="43">
        <v>92</v>
      </c>
      <c r="FQ18" s="5"/>
      <c r="FU18" s="2"/>
      <c r="FW18" s="43">
        <v>92</v>
      </c>
      <c r="GM18" s="5"/>
      <c r="GQ18" s="2"/>
      <c r="GS18" s="43">
        <v>92</v>
      </c>
      <c r="HI18" s="5"/>
      <c r="HM18" s="2"/>
      <c r="HO18" s="43">
        <v>92</v>
      </c>
      <c r="IE18" s="5"/>
      <c r="II18" s="2"/>
      <c r="IK18" s="43">
        <v>92</v>
      </c>
      <c r="JA18" s="5"/>
      <c r="JE18" s="2"/>
      <c r="JG18" s="43">
        <v>92</v>
      </c>
      <c r="JW18" s="5"/>
      <c r="KA18" s="2"/>
      <c r="KC18" s="43">
        <v>92</v>
      </c>
      <c r="KS18" s="5"/>
      <c r="KW18" s="2"/>
      <c r="KY18" s="43">
        <v>92</v>
      </c>
      <c r="LO18" s="5"/>
      <c r="LS18" s="2"/>
      <c r="LU18" s="43">
        <v>92</v>
      </c>
      <c r="MK18" s="5"/>
      <c r="MO18" s="2"/>
      <c r="MQ18" s="43">
        <v>92</v>
      </c>
      <c r="NG18" s="5"/>
      <c r="NK18" s="2"/>
      <c r="NM18" s="43">
        <v>92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1000</v>
      </c>
      <c r="BT19" s="46"/>
      <c r="BU19" s="46"/>
      <c r="BV19" s="46"/>
      <c r="BY19" s="2"/>
      <c r="CA19" s="25">
        <v>1000</v>
      </c>
      <c r="CX19" s="46"/>
      <c r="CY19" s="46"/>
      <c r="CZ19" s="46"/>
      <c r="DB19" s="2"/>
      <c r="DC19" s="2"/>
      <c r="DD19" s="2"/>
      <c r="DE19" s="25">
        <v>1000</v>
      </c>
      <c r="DY19" s="5"/>
      <c r="EC19" s="2"/>
      <c r="EE19" s="25">
        <v>1000</v>
      </c>
      <c r="EU19" s="5"/>
      <c r="EY19" s="2"/>
      <c r="FA19" s="25">
        <v>1000</v>
      </c>
      <c r="FQ19" s="5"/>
      <c r="FU19" s="2"/>
      <c r="FW19" s="25">
        <v>1000</v>
      </c>
      <c r="GM19" s="5"/>
      <c r="GQ19" s="2"/>
      <c r="GS19" s="25">
        <v>1000</v>
      </c>
      <c r="HI19" s="5"/>
      <c r="HM19" s="2"/>
      <c r="HO19" s="25">
        <v>1000</v>
      </c>
      <c r="IE19" s="5"/>
      <c r="II19" s="2"/>
      <c r="IK19" s="25">
        <v>1000</v>
      </c>
      <c r="JA19" s="5"/>
      <c r="JE19" s="2"/>
      <c r="JG19" s="25">
        <v>1000</v>
      </c>
      <c r="JW19" s="5"/>
      <c r="KA19" s="2"/>
      <c r="KC19" s="25">
        <v>1000</v>
      </c>
      <c r="KS19" s="5"/>
      <c r="KW19" s="2"/>
      <c r="KY19" s="25">
        <v>1000</v>
      </c>
      <c r="LO19" s="5"/>
      <c r="LS19" s="2"/>
      <c r="LU19" s="25">
        <v>1000</v>
      </c>
      <c r="MK19" s="5"/>
      <c r="MO19" s="2"/>
      <c r="MQ19" s="25">
        <v>1000</v>
      </c>
      <c r="NG19" s="5"/>
      <c r="NK19" s="2"/>
      <c r="NM19" s="25">
        <v>1000</v>
      </c>
    </row>
    <row r="20" spans="1:377" hidden="1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1000</v>
      </c>
      <c r="BT20" s="46"/>
      <c r="BU20" s="46"/>
      <c r="BV20" s="46"/>
      <c r="BY20" s="2"/>
      <c r="BZ20" s="48"/>
      <c r="CA20" s="41">
        <v>1000</v>
      </c>
      <c r="CX20" s="46"/>
      <c r="CY20" s="46"/>
      <c r="CZ20" s="46"/>
      <c r="DB20" s="2"/>
      <c r="DC20" s="2"/>
      <c r="DD20" s="2"/>
      <c r="DE20" s="41">
        <v>1000</v>
      </c>
      <c r="DY20" s="5"/>
      <c r="EC20" s="2"/>
      <c r="EE20" s="41">
        <v>1000</v>
      </c>
      <c r="EU20" s="5"/>
      <c r="EY20" s="2"/>
      <c r="FA20" s="41">
        <v>1000</v>
      </c>
      <c r="FQ20" s="5"/>
      <c r="FU20" s="2"/>
      <c r="FW20" s="41">
        <v>1000</v>
      </c>
      <c r="GM20" s="5"/>
      <c r="GQ20" s="2"/>
      <c r="GR20" s="48"/>
      <c r="GS20" s="41">
        <v>1000</v>
      </c>
      <c r="HI20" s="5"/>
      <c r="HM20" s="2"/>
      <c r="HN20" s="48"/>
      <c r="HO20" s="41">
        <v>1000</v>
      </c>
      <c r="IE20" s="5"/>
      <c r="II20" s="2"/>
      <c r="IK20" s="41">
        <v>1000</v>
      </c>
      <c r="JA20" s="5"/>
      <c r="JE20" s="2"/>
      <c r="JG20" s="41">
        <v>1000</v>
      </c>
      <c r="JW20" s="5"/>
      <c r="KA20" s="2"/>
      <c r="KB20" s="50"/>
      <c r="KC20" s="41">
        <v>1000</v>
      </c>
      <c r="KS20" s="5"/>
      <c r="KW20" s="2"/>
      <c r="KY20" s="41">
        <v>1000</v>
      </c>
      <c r="LO20" s="5"/>
      <c r="LS20" s="2"/>
      <c r="LU20" s="41">
        <v>1000</v>
      </c>
      <c r="MK20" s="5"/>
      <c r="MO20" s="2"/>
      <c r="MP20" s="50"/>
      <c r="MQ20" s="41">
        <v>1000</v>
      </c>
      <c r="NG20" s="5"/>
      <c r="NK20" s="2"/>
      <c r="NM20" s="41">
        <v>1000</v>
      </c>
    </row>
    <row r="21" spans="1:377" hidden="1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1000</v>
      </c>
      <c r="BT21" s="46"/>
      <c r="BU21" s="46"/>
      <c r="BV21" s="46"/>
      <c r="BY21" s="2"/>
      <c r="CA21" s="26">
        <v>1000</v>
      </c>
      <c r="CX21" s="46"/>
      <c r="CY21" s="46"/>
      <c r="CZ21" s="46"/>
      <c r="DB21" s="2"/>
      <c r="DC21" s="2"/>
      <c r="DD21" s="2"/>
      <c r="DE21" s="26">
        <v>1000</v>
      </c>
      <c r="DY21" s="5"/>
      <c r="EC21" s="2"/>
      <c r="EE21" s="26">
        <v>1000</v>
      </c>
      <c r="EU21" s="5"/>
      <c r="EY21" s="2"/>
      <c r="FA21" s="26">
        <v>1000</v>
      </c>
      <c r="FQ21" s="5"/>
      <c r="FU21" s="2"/>
      <c r="FW21" s="26">
        <v>1000</v>
      </c>
      <c r="GM21" s="5"/>
      <c r="GQ21" s="2"/>
      <c r="GR21" s="48"/>
      <c r="GS21" s="26">
        <v>1000</v>
      </c>
      <c r="HI21" s="5"/>
      <c r="HM21" s="2"/>
      <c r="HO21" s="26">
        <v>1000</v>
      </c>
      <c r="IE21" s="5"/>
      <c r="II21" s="2"/>
      <c r="IK21" s="26">
        <v>1000</v>
      </c>
      <c r="JA21" s="5"/>
      <c r="JE21" s="2"/>
      <c r="JG21" s="26">
        <v>1000</v>
      </c>
      <c r="JW21" s="5"/>
      <c r="KA21" s="2"/>
      <c r="KC21" s="26">
        <v>1000</v>
      </c>
      <c r="KS21" s="5"/>
      <c r="KW21" s="2"/>
      <c r="KY21" s="26">
        <v>1000</v>
      </c>
      <c r="LO21" s="5"/>
      <c r="LS21" s="2"/>
      <c r="LU21" s="26">
        <v>1000</v>
      </c>
      <c r="MK21" s="5"/>
      <c r="MO21" s="2"/>
      <c r="MQ21" s="26">
        <v>1000</v>
      </c>
      <c r="NG21" s="5"/>
      <c r="NK21" s="2"/>
      <c r="NM21" s="26">
        <v>1000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60893" operator="between">
      <formula>AW$21</formula>
      <formula>1000</formula>
    </cfRule>
    <cfRule type="cellIs" dxfId="136" priority="60894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60983" operator="between">
      <formula>AW$20</formula>
      <formula>1000</formula>
    </cfRule>
    <cfRule type="cellIs" dxfId="134" priority="60984" operator="between">
      <formula>AW$19</formula>
      <formula>AW$20</formula>
    </cfRule>
    <cfRule type="cellIs" dxfId="133" priority="60985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61118" operator="between">
      <formula>EE$17</formula>
      <formula>1000</formula>
    </cfRule>
    <cfRule type="cellIs" dxfId="131" priority="61119" operator="between">
      <formula>EE$16</formula>
      <formula>EE$17</formula>
    </cfRule>
    <cfRule type="cellIs" dxfId="130" priority="61120" operator="between">
      <formula>EE$15</formula>
      <formula>EE$16</formula>
    </cfRule>
    <cfRule type="cellIs" dxfId="129" priority="61121" operator="between">
      <formula>EE$14</formula>
      <formula>EE$15</formula>
    </cfRule>
  </conditionalFormatting>
  <conditionalFormatting sqref="AP1:AP1048576 BT1:BT1048576 CX1:CX1048576">
    <cfRule type="cellIs" dxfId="128" priority="61262" operator="between">
      <formula>AW$17</formula>
      <formula>1000</formula>
    </cfRule>
    <cfRule type="cellIs" dxfId="127" priority="61263" operator="between">
      <formula>AW$16</formula>
      <formula>AW$17</formula>
    </cfRule>
    <cfRule type="cellIs" dxfId="126" priority="61264" operator="between">
      <formula>AW$15</formula>
      <formula>AW$16</formula>
    </cfRule>
    <cfRule type="cellIs" dxfId="125" priority="61265" operator="between">
      <formula>AW$14</formula>
      <formula>AW$15</formula>
    </cfRule>
  </conditionalFormatting>
  <conditionalFormatting sqref="AQ1:AQ1048576 BU1:BU1048576 CY1:CY1048576">
    <cfRule type="cellIs" dxfId="124" priority="61298" operator="between">
      <formula>AW$21</formula>
      <formula>1000</formula>
    </cfRule>
  </conditionalFormatting>
  <conditionalFormatting sqref="AR1:AR1048576 BV1:BV1048576 CZ1:CZ1048576">
    <cfRule type="cellIs" dxfId="123" priority="61307" operator="between">
      <formula>AW$17</formula>
      <formula>1000</formula>
    </cfRule>
    <cfRule type="cellIs" dxfId="122" priority="61308" operator="between">
      <formula>AW$16</formula>
      <formula>AW$17</formula>
    </cfRule>
    <cfRule type="cellIs" dxfId="121" priority="61309" operator="between">
      <formula>AW$15</formula>
      <formula>AW$16</formula>
    </cfRule>
    <cfRule type="cellIs" dxfId="120" priority="61310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61343" operator="between">
      <formula>AW$17</formula>
      <formula>1000</formula>
    </cfRule>
    <cfRule type="cellIs" dxfId="118" priority="61344" operator="between">
      <formula>AW$16</formula>
      <formula>AW$17</formula>
    </cfRule>
    <cfRule type="cellIs" dxfId="117" priority="61345" operator="between">
      <formula>AW$15</formula>
      <formula>AW$16</formula>
    </cfRule>
    <cfRule type="cellIs" dxfId="116" priority="61346" operator="between">
      <formula>AW$14</formula>
      <formula>AW$15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103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122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84</v>
      </c>
      <c r="C4" s="4" t="s">
        <v>67</v>
      </c>
      <c r="D4" s="4">
        <v>2012</v>
      </c>
      <c r="E4" s="10">
        <f>SUM(I4:O4)+SUM(I4:M4)*0.0000001+SUM(I4)*0.0000000000001</f>
        <v>120.40001204000416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/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/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/>
      </c>
      <c r="I4" s="9">
        <f>IF(COUNT(AN4,BO4,CP4)&gt;0,LARGE((AN4,BO4,CP4),1),0)</f>
        <v>41.500000000000007</v>
      </c>
      <c r="J4" s="9" t="str">
        <f>IF(I4=0,"",IF(I4=CP4,$BT$1,IF(I4=BO4,$AS$1,IF(I4=AN4,$R$1,""))))</f>
        <v>2025 Nationals</v>
      </c>
      <c r="K4" s="9">
        <f>IF(COUNT(AN4,BO4,CP4)&gt;1,LARGE((AN4,BO4,CP4),2),0)</f>
        <v>38.800000000000004</v>
      </c>
      <c r="L4" s="9" t="str">
        <f>IF(K4=0,"",IF(AND(K4=I4,K4=AN4,K4=BO4),$R$1,IF(AND(K4=I4,K4=AN4,K4=CP4),$R$1,IF(AND(K4=I4,K4=CP4,K4=BO4),$AS$1,IF(K4=CP4,$BT$1,IF(K4=BO4,$AS$1,IF(K4=AN4,$R$1,"")))))))</f>
        <v>2025 Elite Canada</v>
      </c>
      <c r="M4" s="9">
        <f>IF(MAX(AQ4,BR4,CS4)&gt;0,MAX(AQ4,BR4,CS4),0)</f>
        <v>40.1</v>
      </c>
      <c r="N4" s="9" t="str">
        <f>IF(M4=0,"",IF(M4=CS4,$BT$1,IF(M4=BR4,$AS$1,IF(M4=AQ4,$R$1,""))))</f>
        <v>2025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1.3</v>
      </c>
      <c r="T4" s="20">
        <v>0</v>
      </c>
      <c r="U4" s="20">
        <v>0</v>
      </c>
      <c r="V4" s="20">
        <v>16.600000000000001</v>
      </c>
      <c r="W4" s="20">
        <v>4.7</v>
      </c>
      <c r="X4" s="20">
        <v>0.4</v>
      </c>
      <c r="Y4" s="20">
        <v>0</v>
      </c>
      <c r="Z4" s="20"/>
      <c r="AA4" s="20"/>
      <c r="AB4" s="20"/>
      <c r="AC4" s="20"/>
      <c r="AD4" s="20">
        <v>17.5</v>
      </c>
      <c r="AE4" s="20">
        <v>3.5</v>
      </c>
      <c r="AF4" s="20">
        <v>0.4</v>
      </c>
      <c r="AG4" s="20">
        <v>0</v>
      </c>
      <c r="AH4" s="20">
        <v>15.5</v>
      </c>
      <c r="AI4" s="20">
        <v>4</v>
      </c>
      <c r="AJ4" s="20">
        <v>0</v>
      </c>
      <c r="AK4" s="20">
        <v>0</v>
      </c>
      <c r="AL4" s="32"/>
      <c r="AM4" s="55">
        <f>IF(SUM(S4,W4)&gt;0,SUM(S4,W4),"")</f>
        <v>6</v>
      </c>
      <c r="AN4" s="55">
        <f>IF(SUM(R4:S4,U4:W4,Y4)-T4-X4&gt;0,SUM(R4:S4,U4:W4,Y4)-T4-X4,"")</f>
        <v>38.800000000000004</v>
      </c>
      <c r="AO4" s="55" t="str">
        <f>IF(SUM(Z4:AA4,AC4)-AB4&gt;0,SUM(Z4:AA4,AC4)-AB4,"")</f>
        <v/>
      </c>
      <c r="AP4" s="55">
        <f>IF(SUM(AE4,AI4)&gt;0,SUM(AE4,AI4),"")</f>
        <v>7.5</v>
      </c>
      <c r="AQ4" s="55">
        <f>IF(SUM(AD4:AE4,AG4:AI4,AK4)-SUM(AF4,AJ4)&gt;0,SUM(AD4:AE4,AG4:AI4,AK4)-SUM(AF4,AJ4),"")</f>
        <v>40.1</v>
      </c>
      <c r="AR4" s="55">
        <f>IF(SUM(AN4,AO4,AQ4)&gt;0,SUM(AN4,AO4,AQ4),"")</f>
        <v>78.900000000000006</v>
      </c>
      <c r="AS4" s="19">
        <v>17.2</v>
      </c>
      <c r="AT4" s="19">
        <v>3.5</v>
      </c>
      <c r="AU4" s="19">
        <v>0.4</v>
      </c>
      <c r="AV4" s="19">
        <v>0</v>
      </c>
      <c r="AW4" s="19">
        <v>16.5</v>
      </c>
      <c r="AX4" s="19">
        <v>4.7</v>
      </c>
      <c r="AY4" s="19">
        <v>0</v>
      </c>
      <c r="AZ4" s="19">
        <v>0</v>
      </c>
      <c r="BA4" s="19"/>
      <c r="BB4" s="19"/>
      <c r="BC4" s="19"/>
      <c r="BD4" s="19"/>
      <c r="BE4" s="19">
        <v>17</v>
      </c>
      <c r="BF4" s="19">
        <v>3.5</v>
      </c>
      <c r="BG4" s="19">
        <v>0.4</v>
      </c>
      <c r="BH4" s="19">
        <v>0</v>
      </c>
      <c r="BI4" s="19">
        <v>15.8</v>
      </c>
      <c r="BJ4" s="19">
        <v>4</v>
      </c>
      <c r="BK4" s="19">
        <v>0</v>
      </c>
      <c r="BL4" s="19">
        <v>0</v>
      </c>
      <c r="BM4" s="33"/>
      <c r="BN4" s="14">
        <f>IF(SUM(AT4,AX4)&gt;0,SUM(AT4,AX4),"")</f>
        <v>8.1999999999999993</v>
      </c>
      <c r="BO4" s="14">
        <f>IF(SUM(AS4:AT4,AV4:AX4,AZ4)-AU4-AY4&gt;0,SUM(AS4:AT4,AV4:AX4,AZ4)-AU4-AY4,"")</f>
        <v>41.500000000000007</v>
      </c>
      <c r="BP4" s="14" t="str">
        <f>IF(SUM(BA4:BB4,BD4)-BC4&gt;0,SUM(BA4:BB4,BD4)-BC4,"")</f>
        <v/>
      </c>
      <c r="BQ4" s="14">
        <f>IF(SUM(BF4,BJ4)&gt;0,SUM(BF4,BJ4),"")</f>
        <v>7.5</v>
      </c>
      <c r="BR4" s="14">
        <f>IF(SUM(BE4:BF4,BH4:BJ4,BL4)-SUM(BG4,BK4)&gt;0,SUM(BE4:BF4,BH4:BJ4,BL4)-SUM(BG4,BK4),"")</f>
        <v>39.9</v>
      </c>
      <c r="BS4" s="14">
        <f>IF(SUM(BO4,BP4,BR4)&gt;0,SUM(BO4,BP4,BR4),"")</f>
        <v>81.400000000000006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8.6</v>
      </c>
      <c r="OX4" s="27">
        <f>IF($CN4="P",BU4,(BU4+AT4)/2)</f>
        <v>1.75</v>
      </c>
      <c r="OY4" s="27">
        <f>IF($CN4="P",BV4,(BV4+AU4)/2)</f>
        <v>0.2</v>
      </c>
      <c r="OZ4" s="27">
        <f>IF($CN4="P",BW4,(BW4+AV4)/2)</f>
        <v>0</v>
      </c>
      <c r="PA4" s="27">
        <f>IF($CN4="P",BX4,(BX4+AW4)/2)</f>
        <v>8.25</v>
      </c>
      <c r="PB4" s="27">
        <f>IF($CN4="P",BY4,(BY4+AX4)/2)</f>
        <v>2.35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8.5</v>
      </c>
      <c r="PJ4" s="27">
        <f>IF($CN4="P",CG4,(CG4+BF4)/2)</f>
        <v>1.75</v>
      </c>
      <c r="PK4" s="27">
        <f>IF($CN4="P",CH4,(CH4+BG4)/2)</f>
        <v>0.2</v>
      </c>
      <c r="PL4" s="27">
        <f>IF($CN4="P",CI4,(CI4+BH4)/2)</f>
        <v>0</v>
      </c>
      <c r="PM4" s="27">
        <f>IF($CN4="P",CJ4,(CJ4+BI4)/2)</f>
        <v>7.9</v>
      </c>
      <c r="PN4" s="27">
        <f>IF($CN4="P",CK4,(CK4+BJ4)/2)</f>
        <v>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4.0999999999999996</v>
      </c>
      <c r="PS4" s="55">
        <f>IF(SUM(OW4:OX4,OZ4:PB4,PD4)-OY4-PC4&gt;0,SUM(OW4:OX4,OZ4:PB4,PD4)-OY4-PC4,"")</f>
        <v>20.750000000000004</v>
      </c>
      <c r="PT4" s="55" t="str">
        <f>IF(SUM(PE4:PF4,PH4)-PG4&gt;0,SUM(PE4:PF4,PH4)-PG4,"")</f>
        <v/>
      </c>
      <c r="PU4" s="55">
        <f>IF(SUM(PJ4,PN4)&gt;0,SUM(PJ4,PN4),"")</f>
        <v>3.75</v>
      </c>
      <c r="PV4" s="55">
        <f>IF(SUM(PI4:PJ4,PL4:PN4,PP4)-SUM(PK4,PO4)&gt;0,SUM(PI4:PJ4,PL4:PN4,PP4)-SUM(PK4,PO4),"")</f>
        <v>19.95</v>
      </c>
      <c r="PW4" s="55">
        <f>IF(SUM(PS4,PT4,PV4)&gt;0,SUM(PS4,PT4,PV4),"")</f>
        <v>40.700000000000003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110</v>
      </c>
      <c r="C5" s="4" t="s">
        <v>65</v>
      </c>
      <c r="D5" s="4">
        <v>2010</v>
      </c>
      <c r="E5" s="10">
        <f>SUM(I5:O5)+SUM(I5:M5)*0.0000001+SUM(I5)*0.0000000000001</f>
        <v>86.100008610004309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43.199999999999996</v>
      </c>
      <c r="J5" s="9" t="str">
        <f>IF(I5=0,"",IF(I5=CP5,$BT$1,IF(I5=BO5,$AS$1,IF(I5=AN5,$R$1,""))))</f>
        <v>2025 Nationals</v>
      </c>
      <c r="K5" s="9">
        <f>IF(COUNT(AN5,BO5,CP5)&gt;1,LARGE((AN5,BO5,CP5),2),0)</f>
        <v>0</v>
      </c>
      <c r="L5" s="9" t="str">
        <f>IF(K5=0,"",IF(AND(K5=I5,K5=AN5,K5=BO5),$R$1,IF(AND(K5=I5,K5=AN5,K5=CP5),$R$1,IF(AND(K5=I5,K5=CP5,K5=BO5),$AS$1,IF(K5=CP5,$BT$1,IF(K5=BO5,$AS$1,IF(K5=AN5,$R$1,"")))))))</f>
        <v/>
      </c>
      <c r="M5" s="9">
        <f>IF(MAX(AQ5,BR5,CS5)&gt;0,MAX(AQ5,BR5,CS5),0)</f>
        <v>42.9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>
        <v>17.2</v>
      </c>
      <c r="AT5" s="19">
        <v>4.5999999999999996</v>
      </c>
      <c r="AU5" s="19">
        <v>0</v>
      </c>
      <c r="AV5" s="19">
        <v>0</v>
      </c>
      <c r="AW5" s="19">
        <v>17.5</v>
      </c>
      <c r="AX5" s="19">
        <v>3.9</v>
      </c>
      <c r="AY5" s="19">
        <v>0</v>
      </c>
      <c r="AZ5" s="19">
        <v>0</v>
      </c>
      <c r="BA5" s="19"/>
      <c r="BB5" s="19"/>
      <c r="BC5" s="19"/>
      <c r="BD5" s="19"/>
      <c r="BE5" s="19">
        <v>17</v>
      </c>
      <c r="BF5" s="19">
        <v>4.5999999999999996</v>
      </c>
      <c r="BG5" s="19">
        <v>0</v>
      </c>
      <c r="BH5" s="19">
        <v>0</v>
      </c>
      <c r="BI5" s="19">
        <v>16.5</v>
      </c>
      <c r="BJ5" s="19">
        <v>4.8</v>
      </c>
      <c r="BK5" s="19">
        <v>0</v>
      </c>
      <c r="BL5" s="19">
        <v>0</v>
      </c>
      <c r="BM5" s="33"/>
      <c r="BN5" s="14">
        <f>IF(SUM(AT5,AX5)&gt;0,SUM(AT5,AX5),"")</f>
        <v>8.5</v>
      </c>
      <c r="BO5" s="14">
        <f>IF(SUM(AS5:AT5,AV5:AX5,AZ5)-AU5-AY5&gt;0,SUM(AS5:AT5,AV5:AX5,AZ5)-AU5-AY5,"")</f>
        <v>43.199999999999996</v>
      </c>
      <c r="BP5" s="14" t="str">
        <f>IF(SUM(BA5:BB5,BD5)-BC5&gt;0,SUM(BA5:BB5,BD5)-BC5,"")</f>
        <v/>
      </c>
      <c r="BQ5" s="14">
        <f>IF(SUM(BF5,BJ5)&gt;0,SUM(BF5,BJ5),"")</f>
        <v>9.3999999999999986</v>
      </c>
      <c r="BR5" s="14">
        <f>IF(SUM(BE5:BF5,BH5:BJ5,BL5)-SUM(BG5,BK5)&gt;0,SUM(BE5:BF5,BH5:BJ5,BL5)-SUM(BG5,BK5),"")</f>
        <v>42.9</v>
      </c>
      <c r="BS5" s="14">
        <f>IF(SUM(BO5,BP5,BR5)&gt;0,SUM(BO5,BP5,BR5),"")</f>
        <v>86.1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8.6</v>
      </c>
      <c r="OX5" s="27">
        <f>IF($CN5="P",BU5,(BU5+AT5)/2)</f>
        <v>2.2999999999999998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8.75</v>
      </c>
      <c r="PB5" s="27">
        <f>IF($CN5="P",BY5,(BY5+AX5)/2)</f>
        <v>1.95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8.5</v>
      </c>
      <c r="PJ5" s="27">
        <f>IF($CN5="P",CG5,(CG5+BF5)/2)</f>
        <v>2.2999999999999998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8.25</v>
      </c>
      <c r="PN5" s="27">
        <f>IF($CN5="P",CK5,(CK5+BJ5)/2)</f>
        <v>2.4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4.25</v>
      </c>
      <c r="PS5" s="55">
        <f>IF(SUM(OW5:OX5,OZ5:PB5,PD5)-OY5-PC5&gt;0,SUM(OW5:OX5,OZ5:PB5,PD5)-OY5-PC5,"")</f>
        <v>21.599999999999998</v>
      </c>
      <c r="PT5" s="55" t="str">
        <f>IF(SUM(PE5:PF5,PH5)-PG5&gt;0,SUM(PE5:PF5,PH5)-PG5,"")</f>
        <v/>
      </c>
      <c r="PU5" s="55">
        <f>IF(SUM(PJ5,PN5)&gt;0,SUM(PJ5,PN5),"")</f>
        <v>4.6999999999999993</v>
      </c>
      <c r="PV5" s="55">
        <f>IF(SUM(PI5:PJ5,PL5:PN5,PP5)-SUM(PK5,PO5)&gt;0,SUM(PI5:PJ5,PL5:PN5,PP5)-SUM(PK5,PO5),"")</f>
        <v>21.45</v>
      </c>
      <c r="PW5" s="55">
        <f>IF(SUM(PS5,PT5,PV5)&gt;0,SUM(PS5,PT5,PV5),"")</f>
        <v>43.05</v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8.6</v>
      </c>
      <c r="BN8" s="4"/>
      <c r="BS8" s="57">
        <v>8.6</v>
      </c>
      <c r="CO8" s="4"/>
      <c r="CT8" s="57">
        <v>8.6</v>
      </c>
      <c r="DQ8" s="4"/>
      <c r="DV8" s="57">
        <v>8.6</v>
      </c>
      <c r="EQ8" s="4"/>
      <c r="EV8" s="57">
        <v>8.6</v>
      </c>
      <c r="FQ8" s="4"/>
      <c r="FV8" s="57">
        <v>8.6</v>
      </c>
      <c r="GQ8" s="4"/>
      <c r="GV8" s="57">
        <v>8.6</v>
      </c>
      <c r="HQ8" s="4"/>
      <c r="HV8" s="57">
        <v>8.6</v>
      </c>
      <c r="IQ8" s="4"/>
      <c r="IV8" s="57">
        <v>8.6</v>
      </c>
      <c r="JQ8" s="4"/>
      <c r="JV8" s="57">
        <v>8.6</v>
      </c>
      <c r="KQ8" s="4"/>
      <c r="KV8" s="57">
        <v>8.6</v>
      </c>
      <c r="LQ8" s="4"/>
      <c r="LV8" s="57">
        <v>8.6</v>
      </c>
      <c r="MQ8" s="4"/>
      <c r="MV8" s="57">
        <v>8.6</v>
      </c>
      <c r="NQ8" s="4"/>
      <c r="NV8" s="57">
        <v>8.6</v>
      </c>
      <c r="OQ8" s="4"/>
      <c r="OV8" s="57">
        <v>8.6</v>
      </c>
    </row>
    <row r="9" spans="1:439" ht="17" hidden="1" x14ac:dyDescent="0.2">
      <c r="B9" s="35" t="s">
        <v>41</v>
      </c>
      <c r="O9" s="11"/>
      <c r="P9" s="11"/>
      <c r="Q9" s="11"/>
      <c r="AM9" s="4"/>
      <c r="AR9" s="58">
        <v>1000</v>
      </c>
      <c r="BN9" s="4"/>
      <c r="BS9" s="58">
        <v>1000</v>
      </c>
      <c r="CO9" s="4"/>
      <c r="CT9" s="58">
        <v>1000</v>
      </c>
      <c r="DQ9" s="4"/>
      <c r="DV9" s="58">
        <v>1000</v>
      </c>
      <c r="EQ9" s="4"/>
      <c r="EV9" s="58">
        <v>1000</v>
      </c>
      <c r="FQ9" s="4"/>
      <c r="FV9" s="58">
        <v>1000</v>
      </c>
      <c r="GQ9" s="4"/>
      <c r="GV9" s="58">
        <v>1000</v>
      </c>
      <c r="HQ9" s="4"/>
      <c r="HV9" s="58">
        <v>1000</v>
      </c>
      <c r="IQ9" s="4"/>
      <c r="IV9" s="58">
        <v>1000</v>
      </c>
      <c r="JQ9" s="4"/>
      <c r="JV9" s="58">
        <v>1000</v>
      </c>
      <c r="KQ9" s="4"/>
      <c r="KV9" s="58">
        <v>1000</v>
      </c>
      <c r="LQ9" s="4"/>
      <c r="LV9" s="58">
        <v>1000</v>
      </c>
      <c r="MQ9" s="4"/>
      <c r="MV9" s="58">
        <v>1000</v>
      </c>
      <c r="NQ9" s="4"/>
      <c r="NV9" s="58">
        <v>1000</v>
      </c>
      <c r="OQ9" s="4"/>
      <c r="OV9" s="58">
        <v>1000</v>
      </c>
    </row>
    <row r="10" spans="1:439" ht="17" hidden="1" x14ac:dyDescent="0.2">
      <c r="A10" s="5"/>
      <c r="B10" s="36" t="s">
        <v>54</v>
      </c>
      <c r="C10" s="22"/>
      <c r="O10" s="11"/>
      <c r="P10" s="11"/>
      <c r="Q10" s="11"/>
      <c r="AM10" s="4"/>
      <c r="AR10" s="59">
        <v>1000</v>
      </c>
      <c r="BN10" s="4"/>
      <c r="BS10" s="59">
        <v>1000</v>
      </c>
      <c r="CO10" s="4"/>
      <c r="CT10" s="59">
        <v>1000</v>
      </c>
      <c r="DQ10" s="4"/>
      <c r="DV10" s="59">
        <v>1000</v>
      </c>
      <c r="EQ10" s="4"/>
      <c r="EV10" s="59">
        <v>1000</v>
      </c>
      <c r="FQ10" s="4"/>
      <c r="FV10" s="59">
        <v>1000</v>
      </c>
      <c r="GQ10" s="4"/>
      <c r="GV10" s="59">
        <v>1000</v>
      </c>
      <c r="HQ10" s="4"/>
      <c r="HV10" s="59">
        <v>1000</v>
      </c>
      <c r="IQ10" s="4"/>
      <c r="IV10" s="59">
        <v>1000</v>
      </c>
      <c r="JQ10" s="4"/>
      <c r="JV10" s="59">
        <v>1000</v>
      </c>
      <c r="KQ10" s="4"/>
      <c r="KV10" s="59">
        <v>1000</v>
      </c>
      <c r="LQ10" s="4"/>
      <c r="LV10" s="59">
        <v>1000</v>
      </c>
      <c r="MQ10" s="4"/>
      <c r="MV10" s="59">
        <v>1000</v>
      </c>
      <c r="NQ10" s="4"/>
      <c r="NV10" s="59">
        <v>1000</v>
      </c>
      <c r="OQ10" s="4"/>
      <c r="OV10" s="59">
        <v>1000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43.8</v>
      </c>
      <c r="BN12" s="4"/>
      <c r="BS12" s="61">
        <v>43.8</v>
      </c>
      <c r="CO12" s="4"/>
      <c r="CT12" s="61">
        <v>43.8</v>
      </c>
      <c r="DQ12" s="4"/>
      <c r="DV12" s="61">
        <v>43.8</v>
      </c>
      <c r="EQ12" s="4"/>
      <c r="EV12" s="61">
        <v>43.8</v>
      </c>
      <c r="FQ12" s="4"/>
      <c r="FV12" s="61">
        <v>43.8</v>
      </c>
      <c r="GQ12" s="4"/>
      <c r="GV12" s="61">
        <v>43.8</v>
      </c>
      <c r="HQ12" s="4"/>
      <c r="HV12" s="61">
        <v>43.8</v>
      </c>
      <c r="IQ12" s="4"/>
      <c r="IV12" s="61">
        <v>43.8</v>
      </c>
      <c r="JQ12" s="4"/>
      <c r="JV12" s="61">
        <v>43.8</v>
      </c>
      <c r="KQ12" s="4"/>
      <c r="KV12" s="61">
        <v>43.8</v>
      </c>
      <c r="LQ12" s="4"/>
      <c r="LV12" s="61">
        <v>43.8</v>
      </c>
      <c r="MQ12" s="4"/>
      <c r="MV12" s="61">
        <v>43.8</v>
      </c>
      <c r="NQ12" s="4"/>
      <c r="NV12" s="61">
        <v>43.8</v>
      </c>
      <c r="OQ12" s="4"/>
      <c r="OV12" s="61">
        <v>43.8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1000</v>
      </c>
      <c r="BN13" s="4"/>
      <c r="BS13" s="62">
        <v>1000</v>
      </c>
      <c r="CO13" s="4"/>
      <c r="CT13" s="62">
        <v>1000</v>
      </c>
      <c r="DQ13" s="4"/>
      <c r="DV13" s="62">
        <v>1000</v>
      </c>
      <c r="EQ13" s="4"/>
      <c r="EV13" s="62">
        <v>1000</v>
      </c>
      <c r="FQ13" s="4"/>
      <c r="FV13" s="62">
        <v>1000</v>
      </c>
      <c r="GQ13" s="4"/>
      <c r="GV13" s="62">
        <v>1000</v>
      </c>
      <c r="HQ13" s="4"/>
      <c r="HV13" s="62">
        <v>1000</v>
      </c>
      <c r="IQ13" s="4"/>
      <c r="IV13" s="62">
        <v>1000</v>
      </c>
      <c r="JQ13" s="4"/>
      <c r="JV13" s="62">
        <v>1000</v>
      </c>
      <c r="KQ13" s="4"/>
      <c r="KV13" s="62">
        <v>1000</v>
      </c>
      <c r="LQ13" s="4"/>
      <c r="LV13" s="62">
        <v>1000</v>
      </c>
      <c r="MQ13" s="4"/>
      <c r="MV13" s="62">
        <v>1000</v>
      </c>
      <c r="NQ13" s="4"/>
      <c r="NV13" s="62">
        <v>1000</v>
      </c>
      <c r="OQ13" s="4"/>
      <c r="OV13" s="62">
        <v>1000</v>
      </c>
    </row>
    <row r="14" spans="1:439" ht="17" hidden="1" x14ac:dyDescent="0.2">
      <c r="A14" s="5"/>
      <c r="B14" s="40" t="s">
        <v>53</v>
      </c>
      <c r="C14" s="22"/>
      <c r="O14" s="11"/>
      <c r="P14" s="11"/>
      <c r="Q14" s="11"/>
      <c r="AM14" s="4"/>
      <c r="AR14" s="63">
        <v>1000</v>
      </c>
      <c r="BN14" s="4"/>
      <c r="BS14" s="63">
        <v>1000</v>
      </c>
      <c r="CO14" s="4"/>
      <c r="CT14" s="63">
        <v>1000</v>
      </c>
      <c r="DQ14" s="4"/>
      <c r="DV14" s="63">
        <v>1000</v>
      </c>
      <c r="EQ14" s="4"/>
      <c r="EV14" s="63">
        <v>1000</v>
      </c>
      <c r="FQ14" s="4"/>
      <c r="FV14" s="63">
        <v>1000</v>
      </c>
      <c r="GQ14" s="4"/>
      <c r="GV14" s="63">
        <v>1000</v>
      </c>
      <c r="HQ14" s="4"/>
      <c r="HV14" s="63">
        <v>1000</v>
      </c>
      <c r="IQ14" s="4"/>
      <c r="IV14" s="63">
        <v>1000</v>
      </c>
      <c r="JQ14" s="4"/>
      <c r="JV14" s="63">
        <v>1000</v>
      </c>
      <c r="KQ14" s="4"/>
      <c r="KV14" s="63">
        <v>1000</v>
      </c>
      <c r="LQ14" s="4"/>
      <c r="LV14" s="63">
        <v>1000</v>
      </c>
      <c r="MQ14" s="4"/>
      <c r="MV14" s="63">
        <v>1000</v>
      </c>
      <c r="NQ14" s="4"/>
      <c r="NV14" s="63">
        <v>1000</v>
      </c>
      <c r="OQ14" s="4"/>
      <c r="OV14" s="63">
        <v>1000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115" priority="2" stopIfTrue="1">
      <formula>IF($AL4&lt;&gt;"",1,0)</formula>
    </cfRule>
  </conditionalFormatting>
  <conditionalFormatting sqref="AS4:BS5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5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61993" operator="between">
      <formula>AR$11</formula>
      <formula>1000</formula>
    </cfRule>
    <cfRule type="cellIs" dxfId="101" priority="61994" operator="between">
      <formula>AR$10</formula>
      <formula>AR$11</formula>
    </cfRule>
    <cfRule type="cellIs" dxfId="100" priority="61995" operator="between">
      <formula>AR$9</formula>
      <formula>AR$10</formula>
    </cfRule>
    <cfRule type="cellIs" dxfId="99" priority="61996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62173" operator="between">
      <formula>AR$15</formula>
      <formula>1000</formula>
    </cfRule>
    <cfRule type="cellIs" dxfId="97" priority="62174" operator="between">
      <formula>AR$14</formula>
      <formula>AR$15</formula>
    </cfRule>
    <cfRule type="cellIs" dxfId="96" priority="62175" operator="between">
      <formula>AR$13</formula>
      <formula>AR$14</formula>
    </cfRule>
    <cfRule type="cellIs" dxfId="95" priority="62176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62353" operator="between">
      <formula>AR$8</formula>
      <formula>AR$9</formula>
    </cfRule>
    <cfRule type="cellIs" dxfId="93" priority="62354" operator="between">
      <formula>AR$9</formula>
      <formula>AR$10</formula>
    </cfRule>
    <cfRule type="cellIs" dxfId="92" priority="62355" operator="between">
      <formula>AR$10</formula>
      <formula>AR$11</formula>
    </cfRule>
    <cfRule type="cellIs" dxfId="91" priority="62356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62533" operator="between">
      <formula>AR$12</formula>
      <formula>AR$13</formula>
    </cfRule>
    <cfRule type="cellIs" dxfId="89" priority="62534" operator="between">
      <formula>AR$13</formula>
      <formula>AR$14</formula>
    </cfRule>
    <cfRule type="cellIs" dxfId="88" priority="62535" operator="between">
      <formula>AR$14</formula>
      <formula>AR$15</formula>
    </cfRule>
    <cfRule type="cellIs" dxfId="87" priority="62536" operator="between">
      <formula>AR$15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103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122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81</v>
      </c>
      <c r="C4" s="4" t="s">
        <v>65</v>
      </c>
      <c r="D4" s="4">
        <v>2010</v>
      </c>
      <c r="E4" s="10">
        <f>SUM(I4:O4)+SUM(I4:M4)*0.0000001+SUM(I4)*0.0000000000001</f>
        <v>125.30001253000415</v>
      </c>
      <c r="F4" s="3" t="str">
        <f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National Team</v>
      </c>
      <c r="I4" s="9">
        <f>IF(COUNT(AN4,BO4,CP4)&gt;0,LARGE((AN4,BO4,CP4),1),0)</f>
        <v>41.499999999999993</v>
      </c>
      <c r="J4" s="9" t="str">
        <f>IF(I4=0,"",IF(I4=CP4,$BT$1,IF(I4=BO4,$AS$1,IF(I4=AN4,$R$1,""))))</f>
        <v>2025 3rd Domestic Trial</v>
      </c>
      <c r="K4" s="9">
        <f>IF(COUNT(AN4,BO4,CP4)&gt;1,LARGE((AN4,BO4,CP4),2),0)</f>
        <v>41.1</v>
      </c>
      <c r="L4" s="9" t="str">
        <f>IF(K4=0,"",IF(AND(K4=I4,K4=AN4,K4=BO4),$R$1,IF(AND(K4=I4,K4=AN4,K4=CP4),$R$1,IF(AND(K4=I4,K4=CP4,K4=BO4),$AS$1,IF(K4=CP4,$BT$1,IF(K4=BO4,$AS$1,IF(K4=AN4,$R$1,"")))))))</f>
        <v>2025 Nationals</v>
      </c>
      <c r="M4" s="9">
        <f>IF(MAX(AQ4,BR4,CS4)&gt;0,MAX(AQ4,BR4,CS4),0)</f>
        <v>42.7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15.1</v>
      </c>
      <c r="S4" s="20">
        <v>3.9</v>
      </c>
      <c r="T4" s="20">
        <v>0.2</v>
      </c>
      <c r="U4" s="20">
        <v>0</v>
      </c>
      <c r="V4" s="20">
        <v>16.899999999999999</v>
      </c>
      <c r="W4" s="20">
        <v>2.8</v>
      </c>
      <c r="X4" s="20">
        <v>0.2</v>
      </c>
      <c r="Y4" s="20">
        <v>0</v>
      </c>
      <c r="Z4" s="20"/>
      <c r="AA4" s="20"/>
      <c r="AB4" s="20"/>
      <c r="AC4" s="20"/>
      <c r="AD4" s="20">
        <v>17.2</v>
      </c>
      <c r="AE4" s="20">
        <v>3.9</v>
      </c>
      <c r="AF4" s="20">
        <v>0</v>
      </c>
      <c r="AG4" s="20">
        <v>0</v>
      </c>
      <c r="AH4" s="20">
        <v>17.5</v>
      </c>
      <c r="AI4" s="20">
        <v>3.4</v>
      </c>
      <c r="AJ4" s="20">
        <v>0</v>
      </c>
      <c r="AK4" s="20">
        <v>0</v>
      </c>
      <c r="AL4" s="32"/>
      <c r="AM4" s="55">
        <f>IF(SUM(S4,W4)&gt;0,SUM(S4,W4),"")</f>
        <v>6.6999999999999993</v>
      </c>
      <c r="AN4" s="55">
        <f>IF(SUM(R4:S4,U4:W4,Y4)-T4-X4&gt;0,SUM(R4:S4,U4:W4,Y4)-T4-X4,"")</f>
        <v>38.29999999999999</v>
      </c>
      <c r="AO4" s="55" t="str">
        <f>IF(SUM(Z4:AA4,AC4)-AB4&gt;0,SUM(Z4:AA4,AC4)-AB4,"")</f>
        <v/>
      </c>
      <c r="AP4" s="55">
        <f>IF(SUM(AE4,AI4)&gt;0,SUM(AE4,AI4),"")</f>
        <v>7.3</v>
      </c>
      <c r="AQ4" s="55">
        <f>IF(SUM(AD4:AE4,AG4:AI4,AK4)-SUM(AF4,AJ4)&gt;0,SUM(AD4:AE4,AG4:AI4,AK4)-SUM(AF4,AJ4),"")</f>
        <v>41.999999999999993</v>
      </c>
      <c r="AR4" s="55">
        <f>IF(SUM(AN4,AO4,AQ4)&gt;0,SUM(AN4,AO4,AQ4),"")</f>
        <v>80.299999999999983</v>
      </c>
      <c r="AS4" s="19">
        <v>17.3</v>
      </c>
      <c r="AT4" s="19">
        <v>3.9</v>
      </c>
      <c r="AU4" s="19">
        <v>0</v>
      </c>
      <c r="AV4" s="19">
        <v>0</v>
      </c>
      <c r="AW4" s="19">
        <v>15.8</v>
      </c>
      <c r="AX4" s="19">
        <v>4.0999999999999996</v>
      </c>
      <c r="AY4" s="19">
        <v>0</v>
      </c>
      <c r="AZ4" s="19">
        <v>0</v>
      </c>
      <c r="BA4" s="19"/>
      <c r="BB4" s="19"/>
      <c r="BC4" s="19"/>
      <c r="BD4" s="19"/>
      <c r="BE4" s="19">
        <v>17.399999999999999</v>
      </c>
      <c r="BF4" s="19">
        <v>4.0999999999999996</v>
      </c>
      <c r="BG4" s="19">
        <v>0</v>
      </c>
      <c r="BH4" s="19">
        <v>0</v>
      </c>
      <c r="BI4" s="19">
        <v>18</v>
      </c>
      <c r="BJ4" s="19">
        <v>3.2</v>
      </c>
      <c r="BK4" s="19">
        <v>0</v>
      </c>
      <c r="BL4" s="19">
        <v>0</v>
      </c>
      <c r="BM4" s="33"/>
      <c r="BN4" s="14">
        <f>IF(SUM(AT4,AX4)&gt;0,SUM(AT4,AX4),"")</f>
        <v>8</v>
      </c>
      <c r="BO4" s="14">
        <f>IF(SUM(AS4:AT4,AV4:AX4,AZ4)-AU4-AY4&gt;0,SUM(AS4:AT4,AV4:AX4,AZ4)-AU4-AY4,"")</f>
        <v>41.1</v>
      </c>
      <c r="BP4" s="14" t="str">
        <f>IF(SUM(BA4:BB4,BD4)-BC4&gt;0,SUM(BA4:BB4,BD4)-BC4,"")</f>
        <v/>
      </c>
      <c r="BQ4" s="14">
        <f>IF(SUM(BF4,BJ4)&gt;0,SUM(BF4,BJ4),"")</f>
        <v>7.3</v>
      </c>
      <c r="BR4" s="14">
        <f>IF(SUM(BE4:BF4,BH4:BJ4,BL4)-SUM(BG4,BK4)&gt;0,SUM(BE4:BF4,BH4:BJ4,BL4)-SUM(BG4,BK4),"")</f>
        <v>42.7</v>
      </c>
      <c r="BS4" s="14">
        <f>IF(SUM(BO4,BP4,BR4)&gt;0,SUM(BO4,BP4,BR4),"")</f>
        <v>83.800000000000011</v>
      </c>
      <c r="BT4" s="20">
        <v>17.5</v>
      </c>
      <c r="BU4" s="20">
        <v>3.4</v>
      </c>
      <c r="BV4" s="20">
        <v>0</v>
      </c>
      <c r="BW4" s="20">
        <v>0</v>
      </c>
      <c r="BX4" s="20">
        <v>16.7</v>
      </c>
      <c r="BY4" s="20">
        <v>3.9</v>
      </c>
      <c r="BZ4" s="20">
        <v>0</v>
      </c>
      <c r="CA4" s="20">
        <v>0</v>
      </c>
      <c r="CB4" s="20"/>
      <c r="CC4" s="20"/>
      <c r="CD4" s="20"/>
      <c r="CE4" s="20"/>
      <c r="CF4" s="20">
        <v>16</v>
      </c>
      <c r="CG4" s="20">
        <v>3.4</v>
      </c>
      <c r="CH4" s="20">
        <v>0.2</v>
      </c>
      <c r="CI4" s="20">
        <v>0</v>
      </c>
      <c r="CJ4" s="20">
        <v>5.7</v>
      </c>
      <c r="CK4" s="20">
        <v>0.1</v>
      </c>
      <c r="CL4" s="20">
        <v>0.2</v>
      </c>
      <c r="CM4" s="20">
        <v>0</v>
      </c>
      <c r="CN4" s="32"/>
      <c r="CO4" s="55">
        <f>IF(SUM(BU4,BY4)&gt;0,SUM(BU4,BY4),"")</f>
        <v>7.3</v>
      </c>
      <c r="CP4" s="55">
        <f>IF(SUM(BT4:BU4,BW4:BY4,CA4)-BV4-BZ4&gt;0,SUM(BT4:BU4,BW4:BY4,CA4)-BV4-BZ4,"")</f>
        <v>41.499999999999993</v>
      </c>
      <c r="CQ4" s="55" t="str">
        <f>IF(SUM(CB4:CC4,CE4)-CD4&gt;0,SUM(CB4:CC4,CE4)-CD4,"")</f>
        <v/>
      </c>
      <c r="CR4" s="55">
        <f>IF(SUM(CG4,CK4)&gt;0,SUM(CG4,CK4),"")</f>
        <v>3.5</v>
      </c>
      <c r="CS4" s="55">
        <f>IF(SUM(CF4:CG4,CI4:CK4,CM4)-SUM(CH4,CL4)&gt;0,SUM(CF4:CG4,CI4:CK4,CM4)-SUM(CH4,CL4),"")</f>
        <v>24.8</v>
      </c>
      <c r="CT4" s="55">
        <f>IF(SUM(CP4,CQ4,CS4)&gt;0,SUM(CP4,CQ4,CS4),"")</f>
        <v>66.3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17.399999999999999</v>
      </c>
      <c r="OX4" s="27">
        <f>IF($CN4="P",BU4,(BU4+AT4)/2)</f>
        <v>3.65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16.25</v>
      </c>
      <c r="PB4" s="27">
        <f>IF($CN4="P",BY4,(BY4+AX4)/2)</f>
        <v>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16.7</v>
      </c>
      <c r="PJ4" s="27">
        <f>IF($CN4="P",CG4,(CG4+BF4)/2)</f>
        <v>3.75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11.85</v>
      </c>
      <c r="PN4" s="27">
        <f>IF($CN4="P",CK4,(CK4+BJ4)/2)</f>
        <v>1.6500000000000001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7.65</v>
      </c>
      <c r="PS4" s="55">
        <f>IF(SUM(OW4:OX4,OZ4:PB4,PD4)-OY4-PC4&gt;0,SUM(OW4:OX4,OZ4:PB4,PD4)-OY4-PC4,"")</f>
        <v>41.3</v>
      </c>
      <c r="PT4" s="55" t="str">
        <f>IF(SUM(PE4:PF4,PH4)-PG4&gt;0,SUM(PE4:PF4,PH4)-PG4,"")</f>
        <v/>
      </c>
      <c r="PU4" s="55">
        <f>IF(SUM(PJ4,PN4)&gt;0,SUM(PJ4,PN4),"")</f>
        <v>5.4</v>
      </c>
      <c r="PV4" s="55">
        <f>IF(SUM(PI4:PJ4,PL4:PN4,PP4)-SUM(PK4,PO4)&gt;0,SUM(PI4:PJ4,PL4:PN4,PP4)-SUM(PK4,PO4),"")</f>
        <v>33.749999999999993</v>
      </c>
      <c r="PW4" s="55">
        <f>IF(SUM(PS4,PT4,PV4)&gt;0,SUM(PS4,PT4,PV4),"")</f>
        <v>75.049999999999983</v>
      </c>
    </row>
    <row r="5" spans="1:439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94</v>
      </c>
      <c r="C5" s="4" t="s">
        <v>3</v>
      </c>
      <c r="D5" s="4">
        <v>2009</v>
      </c>
      <c r="E5" s="10">
        <f>SUM(I5:O5)+SUM(I5:M5)*0.0000001+SUM(I5)*0.0000000000001</f>
        <v>118.80001188000388</v>
      </c>
      <c r="F5" s="3" t="str">
        <f>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P","")</f>
        <v/>
      </c>
      <c r="G5" s="3" t="str">
        <f>IF(OR(AND(AN5&gt;=AR$16,AN5&lt;&gt;"",AL5=""),AND(AQ5&gt;=AR$16,AQ5&lt;&gt;"",AL5=""),AND(BO5&gt;=BS$16,BO5&lt;&gt;"",BM5=""),AND(BR5&gt;=BS$16,BR5&lt;&gt;"",BM5=""),AND(CP5&gt;=CT$16,CP5&lt;&gt;"",CN5=""),AND(CS5&gt;=CT$16,CS5&lt;&gt;"",CN5=""),AND(DR5&gt;=DV$16,DR5&lt;&gt;""),AND(DU5&gt;=DV$16,DU5&lt;&gt;""),AND(ER5&gt;=EV$16,ER5&lt;&gt;""),AND(EU5&gt;=EV$16,EU5&lt;&gt;""),AND(FR5&gt;=FV$16,FR5&lt;&gt;""),AND(FU5&gt;=FV$16,FU5&lt;&gt;""),AND(GR5&gt;=GV$16,GR5&lt;&gt;""),AND(GU5&gt;=GV$16,GU5&lt;&gt;""),AND(HR5&gt;=HV$16,HR5&lt;&gt;""),AND(HU5&gt;=HV$16,HU5&lt;&gt;""),AND(IR5&gt;=IV$16,IR5&lt;&gt;""),AND(IU5&gt;=IV$16,IU5&lt;&gt;""),AND(JR5&gt;=JV$16,JR5&lt;&gt;""),AND(JU5&gt;=JV$16,JU5&lt;&gt;""),AND(KR5&gt;=KV$16,KR5&lt;&gt;""),AND(KU5&gt;=KV$16,KU5&lt;&gt;""),AND(LR5&gt;=LV$16,LR5&lt;&gt;""),AND(LU5&gt;=LV$16,LU5&lt;&gt;""),AND(MR5&gt;=MV$16,MR5&lt;&gt;""),AND(MU5&gt;=MV$16,MU5&lt;&gt;""),AND(NR5&gt;=NV$16,NR5&lt;&gt;""),AND(NU5&gt;=NV$16,NU5&lt;&gt;""),AND(OR5&gt;=OV$16,OR5&lt;&gt;""),AND(OU5&gt;=OV$16,OU5&lt;&gt;"")),"P","")</f>
        <v/>
      </c>
      <c r="H5" s="47" t="str">
        <f>IF(AND(G5="P",F5=""),"No DD",IF(OR(AND(AM5&gt;=AR$15,AN5&gt;=AR$19,AM5&lt;&gt;"",AL5=""),AND(AP5&gt;=AR$15,AQ5&gt;=AR$19,AP5&lt;&gt;"",AL5=""),AND(BN5&gt;=BS$15,BO5&gt;=BS$19,BN5&lt;&gt;"",BM5=""),AND(BQ5&gt;=BS$15,BR5&gt;=BS$19,BQ5&lt;&gt;"",BM5=""),AND(CO5&gt;=CT$15,CP5&gt;=CT$19,CO5&lt;&gt;"",CN5=""),AND(CR5&gt;=CT$15,CS5&gt;=CT$19,CR5&lt;&gt;""),AND(DQ5&gt;=DV$15,DR5&gt;=DV$19,DQ5&lt;&gt;""),AND(DT5&gt;=DV$15,DU5&gt;=DV$19,DT5&lt;&gt;""),AND(EQ5&gt;=EV$15,ER5&gt;=EV$19,EQ5&lt;&gt;""),AND(ET5&gt;=EV$15,EU5&gt;=EV$19,ET5&lt;&gt;""),AND(FQ5&gt;=FV$15,FR5&gt;=FV$19,FQ5&lt;&gt;""),AND(FT5&gt;=FV$15,FU5&gt;=FV$19,FT5&lt;&gt;""),AND(GQ5&gt;=GV$15,GR5&gt;=GV$19,GQ5&lt;&gt;""),AND(GT5&gt;=GV$15,GU5&gt;=GV$19,GT5&lt;&gt;""),AND(HQ5&gt;=HV$15,HR5&gt;=HV$19,HQ5&lt;&gt;""),AND(HT5&gt;=HV$15,HU5&gt;=HV$19,HT5&lt;&gt;""),AND(IQ5&gt;=IV$15,IR5&gt;=IV$19,IQ5&lt;&gt;""),AND(IT5&gt;=IV$15,IU5&gt;=IV$19,IT5&lt;&gt;""),AND(JQ5&gt;=JV$15,JR5&gt;=JV$19,JQ5&lt;&gt;""),AND(JT5&gt;=JV$15,JU5&gt;=JV$19,JT5&lt;&gt;""),AND(KQ5&gt;=KV$15,KR5&gt;=KV$19,KQ5&lt;&gt;""),AND(KT5&gt;=KV$15,KU5&gt;=KV$19,KT5&lt;&gt;""),AND(LQ5&gt;=LV$15,LR5&gt;=LV$19,LQ5&lt;&gt;""),AND(LT5&gt;=LV$15,LU5&gt;=LV$19,LT5&lt;&gt;""),AND(MQ5&gt;=MV$15,MR5&gt;=MV$19,MQ5&lt;&gt;""),AND(MT5&gt;=MV$15,MU5&gt;=MV$19,MT5&lt;&gt;""),AND(NQ5&gt;=NV$15,NR5&gt;=NV$19,NQ5&lt;&gt;""),AND(NT5&gt;=NV$15,NU5&gt;=NV$19,NT5&lt;&gt;""),AND(OQ5&gt;=OV$15,OR5&gt;=OV$19,OQ5&lt;&gt;""),AND(OT5&gt;=OV$15,OU5&gt;=OV$19,OT5&lt;&gt;"")),"Merit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Excellence",IF(F5="P","National Team",""))))</f>
        <v/>
      </c>
      <c r="I5" s="9">
        <f>IF(COUNT(AN5,BO5,CP5)&gt;0,LARGE((AN5,BO5,CP5),1),0)</f>
        <v>38.899999999999991</v>
      </c>
      <c r="J5" s="9" t="str">
        <f>IF(I5=0,"",IF(I5=CP5,$BT$1,IF(I5=BO5,$AS$1,IF(I5=AN5,$R$1,""))))</f>
        <v>2025 Elite Canada</v>
      </c>
      <c r="K5" s="9">
        <f>IF(COUNT(AN5,BO5,CP5)&gt;1,LARGE((AN5,BO5,CP5),2),0)</f>
        <v>38.299999999999997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41.6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14.7</v>
      </c>
      <c r="S5" s="20">
        <v>4.0999999999999996</v>
      </c>
      <c r="T5" s="20">
        <v>0.2</v>
      </c>
      <c r="U5" s="20">
        <v>0</v>
      </c>
      <c r="V5" s="20">
        <v>16.399999999999999</v>
      </c>
      <c r="W5" s="20">
        <v>3.9</v>
      </c>
      <c r="X5" s="20">
        <v>0</v>
      </c>
      <c r="Y5" s="20">
        <v>0</v>
      </c>
      <c r="Z5" s="20"/>
      <c r="AA5" s="20"/>
      <c r="AB5" s="20"/>
      <c r="AC5" s="20"/>
      <c r="AD5" s="20">
        <v>14.7</v>
      </c>
      <c r="AE5" s="20">
        <v>3.9</v>
      </c>
      <c r="AF5" s="20">
        <v>0.2</v>
      </c>
      <c r="AG5" s="20">
        <v>0</v>
      </c>
      <c r="AH5" s="20">
        <v>16.100000000000001</v>
      </c>
      <c r="AI5" s="20">
        <v>2.4</v>
      </c>
      <c r="AJ5" s="20">
        <v>0.6</v>
      </c>
      <c r="AK5" s="20">
        <v>0</v>
      </c>
      <c r="AL5" s="32"/>
      <c r="AM5" s="55">
        <f>IF(SUM(S5,W5)&gt;0,SUM(S5,W5),"")</f>
        <v>8</v>
      </c>
      <c r="AN5" s="55">
        <f>IF(SUM(R5:S5,U5:W5,Y5)-T5-X5&gt;0,SUM(R5:S5,U5:W5,Y5)-T5-X5,"")</f>
        <v>38.899999999999991</v>
      </c>
      <c r="AO5" s="55" t="str">
        <f>IF(SUM(Z5:AA5,AC5)-AB5&gt;0,SUM(Z5:AA5,AC5)-AB5,"")</f>
        <v/>
      </c>
      <c r="AP5" s="55">
        <f>IF(SUM(AE5,AI5)&gt;0,SUM(AE5,AI5),"")</f>
        <v>6.3</v>
      </c>
      <c r="AQ5" s="55">
        <f>IF(SUM(AD5:AE5,AG5:AI5,AK5)-SUM(AF5,AJ5)&gt;0,SUM(AD5:AE5,AG5:AI5,AK5)-SUM(AF5,AJ5),"")</f>
        <v>36.300000000000004</v>
      </c>
      <c r="AR5" s="55">
        <f>IF(SUM(AN5,AO5,AQ5)&gt;0,SUM(AN5,AO5,AQ5),"")</f>
        <v>75.199999999999989</v>
      </c>
      <c r="AS5" s="19">
        <v>16.600000000000001</v>
      </c>
      <c r="AT5" s="19">
        <v>3.9</v>
      </c>
      <c r="AU5" s="19">
        <v>0</v>
      </c>
      <c r="AV5" s="19">
        <v>0</v>
      </c>
      <c r="AW5" s="19">
        <v>15.9</v>
      </c>
      <c r="AX5" s="19">
        <v>1.9</v>
      </c>
      <c r="AY5" s="19">
        <v>0</v>
      </c>
      <c r="AZ5" s="19">
        <v>0</v>
      </c>
      <c r="BA5" s="19"/>
      <c r="BB5" s="19"/>
      <c r="BC5" s="19"/>
      <c r="BD5" s="19"/>
      <c r="BE5" s="19">
        <v>16.899999999999999</v>
      </c>
      <c r="BF5" s="19">
        <v>3.9</v>
      </c>
      <c r="BG5" s="19">
        <v>0</v>
      </c>
      <c r="BH5" s="19">
        <v>0</v>
      </c>
      <c r="BI5" s="19">
        <v>16.7</v>
      </c>
      <c r="BJ5" s="19">
        <v>4.0999999999999996</v>
      </c>
      <c r="BK5" s="19">
        <v>0</v>
      </c>
      <c r="BL5" s="19">
        <v>0</v>
      </c>
      <c r="BM5" s="33"/>
      <c r="BN5" s="14">
        <f>IF(SUM(AT5,AX5)&gt;0,SUM(AT5,AX5),"")</f>
        <v>5.8</v>
      </c>
      <c r="BO5" s="14">
        <f>IF(SUM(AS5:AT5,AV5:AX5,AZ5)-AU5-AY5&gt;0,SUM(AS5:AT5,AV5:AX5,AZ5)-AU5-AY5,"")</f>
        <v>38.299999999999997</v>
      </c>
      <c r="BP5" s="14" t="str">
        <f>IF(SUM(BA5:BB5,BD5)-BC5&gt;0,SUM(BA5:BB5,BD5)-BC5,"")</f>
        <v/>
      </c>
      <c r="BQ5" s="14">
        <f>IF(SUM(BF5,BJ5)&gt;0,SUM(BF5,BJ5),"")</f>
        <v>8</v>
      </c>
      <c r="BR5" s="14">
        <f>IF(SUM(BE5:BF5,BH5:BJ5,BL5)-SUM(BG5,BK5)&gt;0,SUM(BE5:BF5,BH5:BJ5,BL5)-SUM(BG5,BK5),"")</f>
        <v>41.6</v>
      </c>
      <c r="BS5" s="14">
        <f>IF(SUM(BO5,BP5,BR5)&gt;0,SUM(BO5,BP5,BR5),"")</f>
        <v>79.900000000000006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8.3000000000000007</v>
      </c>
      <c r="OX5" s="27">
        <f>IF($CN5="P",BU5,(BU5+AT5)/2)</f>
        <v>1.95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7.95</v>
      </c>
      <c r="PB5" s="27">
        <f>IF($CN5="P",BY5,(BY5+AX5)/2)</f>
        <v>0.95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8.4499999999999993</v>
      </c>
      <c r="PJ5" s="27">
        <f>IF($CN5="P",CG5,(CG5+BF5)/2)</f>
        <v>1.95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8.35</v>
      </c>
      <c r="PN5" s="27">
        <f>IF($CN5="P",CK5,(CK5+BJ5)/2)</f>
        <v>2.0499999999999998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2.9</v>
      </c>
      <c r="PS5" s="55">
        <f>IF(SUM(OW5:OX5,OZ5:PB5,PD5)-OY5-PC5&gt;0,SUM(OW5:OX5,OZ5:PB5,PD5)-OY5-PC5,"")</f>
        <v>19.149999999999999</v>
      </c>
      <c r="PT5" s="55" t="str">
        <f>IF(SUM(PE5:PF5,PH5)-PG5&gt;0,SUM(PE5:PF5,PH5)-PG5,"")</f>
        <v/>
      </c>
      <c r="PU5" s="55">
        <f>IF(SUM(PJ5,PN5)&gt;0,SUM(PJ5,PN5),"")</f>
        <v>4</v>
      </c>
      <c r="PV5" s="55">
        <f>IF(SUM(PI5:PJ5,PL5:PN5,PP5)-SUM(PK5,PO5)&gt;0,SUM(PI5:PJ5,PL5:PN5,PP5)-SUM(PK5,PO5),"")</f>
        <v>20.8</v>
      </c>
      <c r="PW5" s="55">
        <f>IF(SUM(PS5,PT5,PV5)&gt;0,SUM(PS5,PT5,PV5),"")</f>
        <v>39.950000000000003</v>
      </c>
    </row>
    <row r="6" spans="1:439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95</v>
      </c>
      <c r="C6" s="4" t="s">
        <v>65</v>
      </c>
      <c r="D6" s="4">
        <v>2009</v>
      </c>
      <c r="E6" s="10">
        <f>SUM(I6:O6)+SUM(I6:M6)*0.0000001+SUM(I6)*0.0000000000001</f>
        <v>110.80001108000366</v>
      </c>
      <c r="F6" s="3" t="str">
        <f>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P","")</f>
        <v/>
      </c>
      <c r="G6" s="3" t="str">
        <f>IF(OR(AND(AN6&gt;=AR$16,AN6&lt;&gt;"",AL6=""),AND(AQ6&gt;=AR$16,AQ6&lt;&gt;"",AL6=""),AND(BO6&gt;=BS$16,BO6&lt;&gt;"",BM6=""),AND(BR6&gt;=BS$16,BR6&lt;&gt;"",BM6=""),AND(CP6&gt;=CT$16,CP6&lt;&gt;"",CN6=""),AND(CS6&gt;=CT$16,CS6&lt;&gt;"",CN6=""),AND(DR6&gt;=DV$16,DR6&lt;&gt;""),AND(DU6&gt;=DV$16,DU6&lt;&gt;""),AND(ER6&gt;=EV$16,ER6&lt;&gt;""),AND(EU6&gt;=EV$16,EU6&lt;&gt;""),AND(FR6&gt;=FV$16,FR6&lt;&gt;""),AND(FU6&gt;=FV$16,FU6&lt;&gt;""),AND(GR6&gt;=GV$16,GR6&lt;&gt;""),AND(GU6&gt;=GV$16,GU6&lt;&gt;""),AND(HR6&gt;=HV$16,HR6&lt;&gt;""),AND(HU6&gt;=HV$16,HU6&lt;&gt;""),AND(IR6&gt;=IV$16,IR6&lt;&gt;""),AND(IU6&gt;=IV$16,IU6&lt;&gt;""),AND(JR6&gt;=JV$16,JR6&lt;&gt;""),AND(JU6&gt;=JV$16,JU6&lt;&gt;""),AND(KR6&gt;=KV$16,KR6&lt;&gt;""),AND(KU6&gt;=KV$16,KU6&lt;&gt;""),AND(LR6&gt;=LV$16,LR6&lt;&gt;""),AND(LU6&gt;=LV$16,LU6&lt;&gt;""),AND(MR6&gt;=MV$16,MR6&lt;&gt;""),AND(MU6&gt;=MV$16,MU6&lt;&gt;""),AND(NR6&gt;=NV$16,NR6&lt;&gt;""),AND(NU6&gt;=NV$16,NU6&lt;&gt;""),AND(OR6&gt;=OV$16,OR6&lt;&gt;""),AND(OU6&gt;=OV$16,OU6&lt;&gt;"")),"P","")</f>
        <v/>
      </c>
      <c r="H6" s="47" t="str">
        <f>IF(AND(G6="P",F6=""),"No DD",IF(OR(AND(AM6&gt;=AR$15,AN6&gt;=AR$19,AM6&lt;&gt;"",AL6=""),AND(AP6&gt;=AR$15,AQ6&gt;=AR$19,AP6&lt;&gt;"",AL6=""),AND(BN6&gt;=BS$15,BO6&gt;=BS$19,BN6&lt;&gt;"",BM6=""),AND(BQ6&gt;=BS$15,BR6&gt;=BS$19,BQ6&lt;&gt;"",BM6=""),AND(CO6&gt;=CT$15,CP6&gt;=CT$19,CO6&lt;&gt;"",CN6=""),AND(CR6&gt;=CT$15,CS6&gt;=CT$19,CR6&lt;&gt;""),AND(DQ6&gt;=DV$15,DR6&gt;=DV$19,DQ6&lt;&gt;""),AND(DT6&gt;=DV$15,DU6&gt;=DV$19,DT6&lt;&gt;""),AND(EQ6&gt;=EV$15,ER6&gt;=EV$19,EQ6&lt;&gt;""),AND(ET6&gt;=EV$15,EU6&gt;=EV$19,ET6&lt;&gt;""),AND(FQ6&gt;=FV$15,FR6&gt;=FV$19,FQ6&lt;&gt;""),AND(FT6&gt;=FV$15,FU6&gt;=FV$19,FT6&lt;&gt;""),AND(GQ6&gt;=GV$15,GR6&gt;=GV$19,GQ6&lt;&gt;""),AND(GT6&gt;=GV$15,GU6&gt;=GV$19,GT6&lt;&gt;""),AND(HQ6&gt;=HV$15,HR6&gt;=HV$19,HQ6&lt;&gt;""),AND(HT6&gt;=HV$15,HU6&gt;=HV$19,HT6&lt;&gt;""),AND(IQ6&gt;=IV$15,IR6&gt;=IV$19,IQ6&lt;&gt;""),AND(IT6&gt;=IV$15,IU6&gt;=IV$19,IT6&lt;&gt;""),AND(JQ6&gt;=JV$15,JR6&gt;=JV$19,JQ6&lt;&gt;""),AND(JT6&gt;=JV$15,JU6&gt;=JV$19,JT6&lt;&gt;""),AND(KQ6&gt;=KV$15,KR6&gt;=KV$19,KQ6&lt;&gt;""),AND(KT6&gt;=KV$15,KU6&gt;=KV$19,KT6&lt;&gt;""),AND(LQ6&gt;=LV$15,LR6&gt;=LV$19,LQ6&lt;&gt;""),AND(LT6&gt;=LV$15,LU6&gt;=LV$19,LT6&lt;&gt;""),AND(MQ6&gt;=MV$15,MR6&gt;=MV$19,MQ6&lt;&gt;""),AND(MT6&gt;=MV$15,MU6&gt;=MV$19,MT6&lt;&gt;""),AND(NQ6&gt;=NV$15,NR6&gt;=NV$19,NQ6&lt;&gt;""),AND(NT6&gt;=NV$15,NU6&gt;=NV$19,NT6&lt;&gt;""),AND(OQ6&gt;=OV$15,OR6&gt;=OV$19,OQ6&lt;&gt;""),AND(OT6&gt;=OV$15,OU6&gt;=OV$19,OT6&lt;&gt;"")),"Merit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Excellence",IF(F6="P","National Team",""))))</f>
        <v/>
      </c>
      <c r="I6" s="9">
        <f>IF(COUNT(AN6,BO6,CP6)&gt;0,LARGE((AN6,BO6,CP6),1),0)</f>
        <v>36.6</v>
      </c>
      <c r="J6" s="9" t="str">
        <f>IF(I6=0,"",IF(I6=CP6,$BT$1,IF(I6=BO6,$AS$1,IF(I6=AN6,$R$1,""))))</f>
        <v>2025 Nationals</v>
      </c>
      <c r="K6" s="9">
        <f>IF(COUNT(AN6,BO6,CP6)&gt;1,LARGE((AN6,BO6,CP6),2),0)</f>
        <v>36.599999999999994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37.600000000000009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17.399999999999999</v>
      </c>
      <c r="S6" s="20">
        <v>1.8</v>
      </c>
      <c r="T6" s="20">
        <v>1</v>
      </c>
      <c r="U6" s="20">
        <v>0</v>
      </c>
      <c r="V6" s="20">
        <v>17.2</v>
      </c>
      <c r="W6" s="20">
        <v>3.2</v>
      </c>
      <c r="X6" s="20">
        <v>2</v>
      </c>
      <c r="Y6" s="20">
        <v>0</v>
      </c>
      <c r="Z6" s="20"/>
      <c r="AA6" s="20"/>
      <c r="AB6" s="20"/>
      <c r="AC6" s="20"/>
      <c r="AD6" s="20">
        <v>16.600000000000001</v>
      </c>
      <c r="AE6" s="20">
        <v>1.2</v>
      </c>
      <c r="AF6" s="20">
        <v>0</v>
      </c>
      <c r="AG6" s="20">
        <v>0</v>
      </c>
      <c r="AH6" s="20">
        <v>16.600000000000001</v>
      </c>
      <c r="AI6" s="20">
        <v>3.2</v>
      </c>
      <c r="AJ6" s="20">
        <v>0</v>
      </c>
      <c r="AK6" s="20">
        <v>0</v>
      </c>
      <c r="AL6" s="32"/>
      <c r="AM6" s="55">
        <f>IF(SUM(S6,W6)&gt;0,SUM(S6,W6),"")</f>
        <v>5</v>
      </c>
      <c r="AN6" s="55">
        <f>IF(SUM(R6:S6,U6:W6,Y6)-T6-X6&gt;0,SUM(R6:S6,U6:W6,Y6)-T6-X6,"")</f>
        <v>36.6</v>
      </c>
      <c r="AO6" s="55" t="str">
        <f>IF(SUM(Z6:AA6,AC6)-AB6&gt;0,SUM(Z6:AA6,AC6)-AB6,"")</f>
        <v/>
      </c>
      <c r="AP6" s="55">
        <f>IF(SUM(AE6,AI6)&gt;0,SUM(AE6,AI6),"")</f>
        <v>4.4000000000000004</v>
      </c>
      <c r="AQ6" s="55">
        <f>IF(SUM(AD6:AE6,AG6:AI6,AK6)-SUM(AF6,AJ6)&gt;0,SUM(AD6:AE6,AG6:AI6,AK6)-SUM(AF6,AJ6),"")</f>
        <v>37.600000000000009</v>
      </c>
      <c r="AR6" s="55">
        <f>IF(SUM(AN6,AO6,AQ6)&gt;0,SUM(AN6,AO6,AQ6),"")</f>
        <v>74.200000000000017</v>
      </c>
      <c r="AS6" s="19">
        <v>16</v>
      </c>
      <c r="AT6" s="19">
        <v>1.2</v>
      </c>
      <c r="AU6" s="19">
        <v>0</v>
      </c>
      <c r="AV6" s="19">
        <v>0</v>
      </c>
      <c r="AW6" s="19">
        <v>16.8</v>
      </c>
      <c r="AX6" s="19">
        <v>2.8</v>
      </c>
      <c r="AY6" s="19">
        <v>0.2</v>
      </c>
      <c r="AZ6" s="19">
        <v>0</v>
      </c>
      <c r="BA6" s="19"/>
      <c r="BB6" s="19"/>
      <c r="BC6" s="19"/>
      <c r="BD6" s="19"/>
      <c r="BE6" s="19">
        <v>17.3</v>
      </c>
      <c r="BF6" s="19">
        <v>2.8</v>
      </c>
      <c r="BG6" s="19">
        <v>0.2</v>
      </c>
      <c r="BH6" s="19">
        <v>0</v>
      </c>
      <c r="BI6" s="19">
        <v>16.5</v>
      </c>
      <c r="BJ6" s="19">
        <v>1.2</v>
      </c>
      <c r="BK6" s="19">
        <v>0</v>
      </c>
      <c r="BL6" s="19">
        <v>0</v>
      </c>
      <c r="BM6" s="33"/>
      <c r="BN6" s="14">
        <f>IF(SUM(AT6,AX6)&gt;0,SUM(AT6,AX6),"")</f>
        <v>4</v>
      </c>
      <c r="BO6" s="14">
        <f>IF(SUM(AS6:AT6,AV6:AX6,AZ6)-AU6-AY6&gt;0,SUM(AS6:AT6,AV6:AX6,AZ6)-AU6-AY6,"")</f>
        <v>36.599999999999994</v>
      </c>
      <c r="BP6" s="14" t="str">
        <f>IF(SUM(BA6:BB6,BD6)-BC6&gt;0,SUM(BA6:BB6,BD6)-BC6,"")</f>
        <v/>
      </c>
      <c r="BQ6" s="14">
        <f>IF(SUM(BF6,BJ6)&gt;0,SUM(BF6,BJ6),"")</f>
        <v>4</v>
      </c>
      <c r="BR6" s="14">
        <f>IF(SUM(BE6:BF6,BH6:BJ6,BL6)-SUM(BG6,BK6)&gt;0,SUM(BE6:BF6,BH6:BJ6,BL6)-SUM(BG6,BK6),"")</f>
        <v>37.6</v>
      </c>
      <c r="BS6" s="14">
        <f>IF(SUM(BO6,BP6,BR6)&gt;0,SUM(BO6,BP6,BR6),"")</f>
        <v>74.199999999999989</v>
      </c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32"/>
      <c r="CO6" s="55" t="str">
        <f>IF(SUM(BU6,BY6)&gt;0,SUM(BU6,BY6),"")</f>
        <v/>
      </c>
      <c r="CP6" s="55" t="str">
        <f>IF(SUM(BT6:BU6,BW6:BY6,CA6)-BV6-BZ6&gt;0,SUM(BT6:BU6,BW6:BY6,CA6)-BV6-BZ6,"")</f>
        <v/>
      </c>
      <c r="CQ6" s="55" t="str">
        <f>IF(SUM(CB6:CC6,CE6)-CD6&gt;0,SUM(CB6:CC6,CE6)-CD6,"")</f>
        <v/>
      </c>
      <c r="CR6" s="55" t="str">
        <f>IF(SUM(CG6,CK6)&gt;0,SUM(CG6,CK6),"")</f>
        <v/>
      </c>
      <c r="CS6" s="55" t="str">
        <f>IF(SUM(CF6:CG6,CI6:CK6,CM6)-SUM(CH6,CL6)&gt;0,SUM(CF6:CG6,CI6:CK6,CM6)-SUM(CH6,CL6),"")</f>
        <v/>
      </c>
      <c r="CT6" s="55" t="str">
        <f>IF(SUM(CP6,CQ6,CS6)&gt;0,SUM(CP6,CQ6,CS6),"")</f>
        <v/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8</v>
      </c>
      <c r="OX6" s="27">
        <f>IF($CN6="P",BU6,(BU6+AT6)/2)</f>
        <v>0.6</v>
      </c>
      <c r="OY6" s="27">
        <f>IF($CN6="P",BV6,(BV6+AU6)/2)</f>
        <v>0</v>
      </c>
      <c r="OZ6" s="27">
        <f>IF($CN6="P",BW6,(BW6+AV6)/2)</f>
        <v>0</v>
      </c>
      <c r="PA6" s="27">
        <f>IF($CN6="P",BX6,(BX6+AW6)/2)</f>
        <v>8.4</v>
      </c>
      <c r="PB6" s="27">
        <f>IF($CN6="P",BY6,(BY6+AX6)/2)</f>
        <v>1.4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8.65</v>
      </c>
      <c r="PJ6" s="27">
        <f>IF($CN6="P",CG6,(CG6+BF6)/2)</f>
        <v>1.4</v>
      </c>
      <c r="PK6" s="27">
        <f>IF($CN6="P",CH6,(CH6+BG6)/2)</f>
        <v>0.1</v>
      </c>
      <c r="PL6" s="27">
        <f>IF($CN6="P",CI6,(CI6+BH6)/2)</f>
        <v>0</v>
      </c>
      <c r="PM6" s="27">
        <f>IF($CN6="P",CJ6,(CJ6+BI6)/2)</f>
        <v>8.25</v>
      </c>
      <c r="PN6" s="27">
        <f>IF($CN6="P",CK6,(CK6+BJ6)/2)</f>
        <v>0.6</v>
      </c>
      <c r="PO6" s="27">
        <f>IF($CN6="P",CL6,(CL6+BK6)/2)</f>
        <v>0</v>
      </c>
      <c r="PP6" s="27">
        <f>IF($CN6="P",CM6,(CM6+BL6)/2)</f>
        <v>0</v>
      </c>
      <c r="PQ6" s="32" t="s">
        <v>44</v>
      </c>
      <c r="PR6" s="55">
        <f>IF(SUM(OX6,PB6)&gt;0,SUM(OX6,PB6),"")</f>
        <v>2</v>
      </c>
      <c r="PS6" s="55">
        <f>IF(SUM(OW6:OX6,OZ6:PB6,PD6)-OY6-PC6&gt;0,SUM(OW6:OX6,OZ6:PB6,PD6)-OY6-PC6,"")</f>
        <v>18.299999999999997</v>
      </c>
      <c r="PT6" s="55" t="str">
        <f>IF(SUM(PE6:PF6,PH6)-PG6&gt;0,SUM(PE6:PF6,PH6)-PG6,"")</f>
        <v/>
      </c>
      <c r="PU6" s="55">
        <f>IF(SUM(PJ6,PN6)&gt;0,SUM(PJ6,PN6),"")</f>
        <v>2</v>
      </c>
      <c r="PV6" s="55">
        <f>IF(SUM(PI6:PJ6,PL6:PN6,PP6)-SUM(PK6,PO6)&gt;0,SUM(PI6:PJ6,PL6:PN6,PP6)-SUM(PK6,PO6),"")</f>
        <v>18.8</v>
      </c>
      <c r="PW6" s="55">
        <f>IF(SUM(PS6,PT6,PV6)&gt;0,SUM(PS6,PT6,PV6),"")</f>
        <v>37.099999999999994</v>
      </c>
    </row>
    <row r="7" spans="1:439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111</v>
      </c>
      <c r="C7" s="4" t="s">
        <v>89</v>
      </c>
      <c r="D7" s="4">
        <v>2011</v>
      </c>
      <c r="E7" s="10">
        <f>SUM(I7:O7)+SUM(I7:M7)*0.0000001+SUM(I7)*0.0000000000001</f>
        <v>79.600007960003879</v>
      </c>
      <c r="F7" s="3" t="str">
        <f>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P","")</f>
        <v/>
      </c>
      <c r="G7" s="3" t="str">
        <f>IF(OR(AND(AN7&gt;=AR$16,AN7&lt;&gt;"",AL7=""),AND(AQ7&gt;=AR$16,AQ7&lt;&gt;"",AL7=""),AND(BO7&gt;=BS$16,BO7&lt;&gt;"",BM7=""),AND(BR7&gt;=BS$16,BR7&lt;&gt;"",BM7=""),AND(CP7&gt;=CT$16,CP7&lt;&gt;"",CN7=""),AND(CS7&gt;=CT$16,CS7&lt;&gt;"",CN7=""),AND(DR7&gt;=DV$16,DR7&lt;&gt;""),AND(DU7&gt;=DV$16,DU7&lt;&gt;""),AND(ER7&gt;=EV$16,ER7&lt;&gt;""),AND(EU7&gt;=EV$16,EU7&lt;&gt;""),AND(FR7&gt;=FV$16,FR7&lt;&gt;""),AND(FU7&gt;=FV$16,FU7&lt;&gt;""),AND(GR7&gt;=GV$16,GR7&lt;&gt;""),AND(GU7&gt;=GV$16,GU7&lt;&gt;""),AND(HR7&gt;=HV$16,HR7&lt;&gt;""),AND(HU7&gt;=HV$16,HU7&lt;&gt;""),AND(IR7&gt;=IV$16,IR7&lt;&gt;""),AND(IU7&gt;=IV$16,IU7&lt;&gt;""),AND(JR7&gt;=JV$16,JR7&lt;&gt;""),AND(JU7&gt;=JV$16,JU7&lt;&gt;""),AND(KR7&gt;=KV$16,KR7&lt;&gt;""),AND(KU7&gt;=KV$16,KU7&lt;&gt;""),AND(LR7&gt;=LV$16,LR7&lt;&gt;""),AND(LU7&gt;=LV$16,LU7&lt;&gt;""),AND(MR7&gt;=MV$16,MR7&lt;&gt;""),AND(MU7&gt;=MV$16,MU7&lt;&gt;""),AND(NR7&gt;=NV$16,NR7&lt;&gt;""),AND(NU7&gt;=NV$16,NU7&lt;&gt;""),AND(OR7&gt;=OV$16,OR7&lt;&gt;""),AND(OU7&gt;=OV$16,OU7&lt;&gt;"")),"P","")</f>
        <v/>
      </c>
      <c r="H7" s="47" t="str">
        <f>IF(AND(G7="P",F7=""),"No DD",IF(OR(AND(AM7&gt;=AR$15,AN7&gt;=AR$19,AM7&lt;&gt;"",AL7=""),AND(AP7&gt;=AR$15,AQ7&gt;=AR$19,AP7&lt;&gt;"",AL7=""),AND(BN7&gt;=BS$15,BO7&gt;=BS$19,BN7&lt;&gt;"",BM7=""),AND(BQ7&gt;=BS$15,BR7&gt;=BS$19,BQ7&lt;&gt;"",BM7=""),AND(CO7&gt;=CT$15,CP7&gt;=CT$19,CO7&lt;&gt;"",CN7=""),AND(CR7&gt;=CT$15,CS7&gt;=CT$19,CR7&lt;&gt;""),AND(DQ7&gt;=DV$15,DR7&gt;=DV$19,DQ7&lt;&gt;""),AND(DT7&gt;=DV$15,DU7&gt;=DV$19,DT7&lt;&gt;""),AND(EQ7&gt;=EV$15,ER7&gt;=EV$19,EQ7&lt;&gt;""),AND(ET7&gt;=EV$15,EU7&gt;=EV$19,ET7&lt;&gt;""),AND(FQ7&gt;=FV$15,FR7&gt;=FV$19,FQ7&lt;&gt;""),AND(FT7&gt;=FV$15,FU7&gt;=FV$19,FT7&lt;&gt;""),AND(GQ7&gt;=GV$15,GR7&gt;=GV$19,GQ7&lt;&gt;""),AND(GT7&gt;=GV$15,GU7&gt;=GV$19,GT7&lt;&gt;""),AND(HQ7&gt;=HV$15,HR7&gt;=HV$19,HQ7&lt;&gt;""),AND(HT7&gt;=HV$15,HU7&gt;=HV$19,HT7&lt;&gt;""),AND(IQ7&gt;=IV$15,IR7&gt;=IV$19,IQ7&lt;&gt;""),AND(IT7&gt;=IV$15,IU7&gt;=IV$19,IT7&lt;&gt;""),AND(JQ7&gt;=JV$15,JR7&gt;=JV$19,JQ7&lt;&gt;""),AND(JT7&gt;=JV$15,JU7&gt;=JV$19,JT7&lt;&gt;""),AND(KQ7&gt;=KV$15,KR7&gt;=KV$19,KQ7&lt;&gt;""),AND(KT7&gt;=KV$15,KU7&gt;=KV$19,KT7&lt;&gt;""),AND(LQ7&gt;=LV$15,LR7&gt;=LV$19,LQ7&lt;&gt;""),AND(LT7&gt;=LV$15,LU7&gt;=LV$19,LT7&lt;&gt;""),AND(MQ7&gt;=MV$15,MR7&gt;=MV$19,MQ7&lt;&gt;""),AND(MT7&gt;=MV$15,MU7&gt;=MV$19,MT7&lt;&gt;""),AND(NQ7&gt;=NV$15,NR7&gt;=NV$19,NQ7&lt;&gt;""),AND(NT7&gt;=NV$15,NU7&gt;=NV$19,NT7&lt;&gt;""),AND(OQ7&gt;=OV$15,OR7&gt;=OV$19,OQ7&lt;&gt;""),AND(OT7&gt;=OV$15,OU7&gt;=OV$19,OT7&lt;&gt;"")),"Merit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Excellence",IF(F7="P","National Team",""))))</f>
        <v/>
      </c>
      <c r="I7" s="9">
        <f>IF(COUNT(AN7,BO7,CP7)&gt;0,LARGE((AN7,BO7,CP7),1),0)</f>
        <v>38.799999999999997</v>
      </c>
      <c r="J7" s="9" t="str">
        <f>IF(I7=0,"",IF(I7=CP7,$BT$1,IF(I7=BO7,$AS$1,IF(I7=AN7,$R$1,""))))</f>
        <v>2025 Nationals</v>
      </c>
      <c r="K7" s="9">
        <f>IF(COUNT(AN7,BO7,CP7)&gt;1,LARGE((AN7,BO7,CP7),2),0)</f>
        <v>0</v>
      </c>
      <c r="L7" s="9" t="str">
        <f>IF(K7=0,"",IF(AND(K7=I7,K7=AN7,K7=BO7),$R$1,IF(AND(K7=I7,K7=AN7,K7=CP7),$R$1,IF(AND(K7=I7,K7=CP7,K7=BO7),$AS$1,IF(K7=CP7,$BT$1,IF(K7=BO7,$AS$1,IF(K7=AN7,$R$1,"")))))))</f>
        <v/>
      </c>
      <c r="M7" s="9">
        <f>IF(MAX(AQ7,BR7,CS7)&gt;0,MAX(AQ7,BR7,CS7),0)</f>
        <v>40.799999999999997</v>
      </c>
      <c r="N7" s="9" t="str">
        <f>IF(M7=0,"",IF(M7=CS7,$BT$1,IF(M7=BR7,$AS$1,IF(M7=AQ7,$R$1,""))))</f>
        <v>2025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16.3</v>
      </c>
      <c r="AT7" s="19">
        <v>3.4</v>
      </c>
      <c r="AU7" s="19">
        <v>0</v>
      </c>
      <c r="AV7" s="19">
        <v>0</v>
      </c>
      <c r="AW7" s="19">
        <v>15.4</v>
      </c>
      <c r="AX7" s="19">
        <v>3.9</v>
      </c>
      <c r="AY7" s="19">
        <v>0.2</v>
      </c>
      <c r="AZ7" s="19">
        <v>0</v>
      </c>
      <c r="BA7" s="19"/>
      <c r="BB7" s="19"/>
      <c r="BC7" s="19"/>
      <c r="BD7" s="19"/>
      <c r="BE7" s="19">
        <v>16.5</v>
      </c>
      <c r="BF7" s="19">
        <v>3.4</v>
      </c>
      <c r="BG7" s="19">
        <v>0</v>
      </c>
      <c r="BH7" s="19">
        <v>0</v>
      </c>
      <c r="BI7" s="19">
        <v>17</v>
      </c>
      <c r="BJ7" s="19">
        <v>3.9</v>
      </c>
      <c r="BK7" s="19">
        <v>0</v>
      </c>
      <c r="BL7" s="19">
        <v>0</v>
      </c>
      <c r="BM7" s="33"/>
      <c r="BN7" s="14">
        <f>IF(SUM(AT7,AX7)&gt;0,SUM(AT7,AX7),"")</f>
        <v>7.3</v>
      </c>
      <c r="BO7" s="14">
        <f>IF(SUM(AS7:AT7,AV7:AX7,AZ7)-AU7-AY7&gt;0,SUM(AS7:AT7,AV7:AX7,AZ7)-AU7-AY7,"")</f>
        <v>38.799999999999997</v>
      </c>
      <c r="BP7" s="14" t="str">
        <f>IF(SUM(BA7:BB7,BD7)-BC7&gt;0,SUM(BA7:BB7,BD7)-BC7,"")</f>
        <v/>
      </c>
      <c r="BQ7" s="14">
        <f>IF(SUM(BF7,BJ7)&gt;0,SUM(BF7,BJ7),"")</f>
        <v>7.3</v>
      </c>
      <c r="BR7" s="14">
        <f>IF(SUM(BE7:BF7,BH7:BJ7,BL7)-SUM(BG7,BK7)&gt;0,SUM(BE7:BF7,BH7:BJ7,BL7)-SUM(BG7,BK7),"")</f>
        <v>40.799999999999997</v>
      </c>
      <c r="BS7" s="14">
        <f>IF(SUM(BO7,BP7,BR7)&gt;0,SUM(BO7,BP7,BR7),"")</f>
        <v>79.599999999999994</v>
      </c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32"/>
      <c r="CO7" s="55" t="str">
        <f>IF(SUM(BU7,BY7)&gt;0,SUM(BU7,BY7),"")</f>
        <v/>
      </c>
      <c r="CP7" s="55" t="str">
        <f>IF(SUM(BT7:BU7,BW7:BY7,CA7)-BV7-BZ7&gt;0,SUM(BT7:BU7,BW7:BY7,CA7)-BV7-BZ7,"")</f>
        <v/>
      </c>
      <c r="CQ7" s="55" t="str">
        <f>IF(SUM(CB7:CC7,CE7)-CD7&gt;0,SUM(CB7:CC7,CE7)-CD7,"")</f>
        <v/>
      </c>
      <c r="CR7" s="55" t="str">
        <f>IF(SUM(CG7,CK7)&gt;0,SUM(CG7,CK7),"")</f>
        <v/>
      </c>
      <c r="CS7" s="55" t="str">
        <f>IF(SUM(CF7:CG7,CI7:CK7,CM7)-SUM(CH7,CL7)&gt;0,SUM(CF7:CG7,CI7:CK7,CM7)-SUM(CH7,CL7),"")</f>
        <v/>
      </c>
      <c r="CT7" s="55" t="str">
        <f>IF(SUM(CP7,CQ7,CS7)&gt;0,SUM(CP7,CQ7,CS7),"")</f>
        <v/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8.15</v>
      </c>
      <c r="OX7" s="27">
        <f>IF($CN7="P",BU7,(BU7+AT7)/2)</f>
        <v>1.7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7.7</v>
      </c>
      <c r="PB7" s="27">
        <f>IF($CN7="P",BY7,(BY7+AX7)/2)</f>
        <v>1.95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8.25</v>
      </c>
      <c r="PJ7" s="27">
        <f>IF($CN7="P",CG7,(CG7+BF7)/2)</f>
        <v>1.7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8.5</v>
      </c>
      <c r="PN7" s="27">
        <f>IF($CN7="P",CK7,(CK7+BJ7)/2)</f>
        <v>1.95</v>
      </c>
      <c r="PO7" s="27">
        <f>IF($CN7="P",CL7,(CL7+BK7)/2)</f>
        <v>0</v>
      </c>
      <c r="PP7" s="27">
        <f>IF($CN7="P",CM7,(CM7+BL7)/2)</f>
        <v>0</v>
      </c>
      <c r="PQ7" s="32" t="s">
        <v>44</v>
      </c>
      <c r="PR7" s="55">
        <f>IF(SUM(OX7,PB7)&gt;0,SUM(OX7,PB7),"")</f>
        <v>3.65</v>
      </c>
      <c r="PS7" s="55">
        <f>IF(SUM(OW7:OX7,OZ7:PB7,PD7)-OY7-PC7&gt;0,SUM(OW7:OX7,OZ7:PB7,PD7)-OY7-PC7,"")</f>
        <v>19.399999999999999</v>
      </c>
      <c r="PT7" s="55" t="str">
        <f>IF(SUM(PE7:PF7,PH7)-PG7&gt;0,SUM(PE7:PF7,PH7)-PG7,"")</f>
        <v/>
      </c>
      <c r="PU7" s="55">
        <f>IF(SUM(PJ7,PN7)&gt;0,SUM(PJ7,PN7),"")</f>
        <v>3.65</v>
      </c>
      <c r="PV7" s="55">
        <f>IF(SUM(PI7:PJ7,PL7:PN7,PP7)-SUM(PK7,PO7)&gt;0,SUM(PI7:PJ7,PL7:PN7,PP7)-SUM(PK7,PO7),"")</f>
        <v>20.399999999999999</v>
      </c>
      <c r="PW7" s="55">
        <f>IF(SUM(PS7,PT7,PV7)&gt;0,SUM(PS7,PT7,PV7),"")</f>
        <v>39.799999999999997</v>
      </c>
    </row>
    <row r="8" spans="1:439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82</v>
      </c>
      <c r="C8" s="4" t="s">
        <v>89</v>
      </c>
      <c r="D8" s="4">
        <v>2009</v>
      </c>
      <c r="E8" s="10">
        <f>SUM(I8:O8)+SUM(I8:M8)*0.0000001+SUM(I8)*0.0000000000001</f>
        <v>76.200007620003873</v>
      </c>
      <c r="F8" s="3" t="str">
        <f>IF(OR(AND(AM8&gt;=AR$12,AN8&gt;=AR$16,AM8&lt;&gt;"",AL8=""),AND(AP8&gt;=AR$12,AQ8&gt;=AR$16,AP8&lt;&gt;"",AL8=""),AND(BN8&gt;=BS$12,BO8&gt;=BS$16,BN8&lt;&gt;"",BM8=""),AND(BQ8&gt;=BS$12,BR8&gt;=BS$16,BQ8&lt;&gt;"",BM8=""),AND(CO8&gt;=CT$12,CP8&gt;=CT$16,CO8&lt;&gt;"",CN8=""),AND(CR8&gt;=CT$12,CS8&gt;=CT$16,CR8&lt;&gt;""),AND(DQ8&gt;=DV$12,DR8&gt;=DV$16,DQ8&lt;&gt;""),AND(DT8&gt;=DV$12,DU8&gt;=DV$16,DT8&lt;&gt;""),AND(EQ8&gt;=EV$12,ER8&gt;=EV$16,EQ8&lt;&gt;""),AND(ET8&gt;=EV$12,EU8&gt;=EV$16,ET8&lt;&gt;""),AND(FQ8&gt;=FV$12,FR8&gt;=FV$16,FQ8&lt;&gt;""),AND(FT8&gt;=FV$12,FU8&gt;=FV$16,FT8&lt;&gt;""),AND(GQ8&gt;=GV$12,GR8&gt;=GV$16,GQ8&lt;&gt;""),AND(GT8&gt;=GV$12,GU8&gt;=GV$16,GT8&lt;&gt;""),AND(HQ8&gt;=HV$12,HR8&gt;=HV$16,HQ8&lt;&gt;""),AND(HT8&gt;=HV$12,HU8&gt;=HV$16,HT8&lt;&gt;""),AND(IQ8&gt;=IV$12,IR8&gt;=IV$16,IQ8&lt;&gt;""),AND(IT8&gt;=IV$12,IU8&gt;=IV$16,IT8&lt;&gt;""),AND(JQ8&gt;=JV$12,JR8&gt;=JV$16,JQ8&lt;&gt;""),AND(JT8&gt;=JV$12,JU8&gt;=JV$16,JT8&lt;&gt;""),AND(KQ8&gt;=KV$12,KR8&gt;=KV$16,KQ8&lt;&gt;""),AND(KT8&gt;=KV$12,KU8&gt;=KV$16,KT8&lt;&gt;""),AND(LQ8&gt;=LV$12,LR8&gt;=LV$16,LQ8&lt;&gt;""),AND(LT8&gt;=LV$12,LU8&gt;=LV$16,LT8&lt;&gt;""),AND(MQ8&gt;=MV$12,MR8&gt;=MV$16,MQ8&lt;&gt;""),AND(MT8&gt;=MV$12,MU8&gt;=MV$16,MT8&lt;&gt;""),AND(NQ8&gt;=NV$12,NR8&gt;=NV$16,NQ8&lt;&gt;""),AND(NT8&gt;=NV$12,NU8&gt;=NV$16,NT8&lt;&gt;""),AND(OQ8&gt;=OV$12,OR8&gt;=OV$16,OQ8&lt;&gt;""),AND(OT8&gt;=OV$12,OU8&gt;=OV$16,OT8&lt;&gt;"")),"P","")</f>
        <v/>
      </c>
      <c r="G8" s="3" t="str">
        <f>IF(OR(AND(AN8&gt;=AR$16,AN8&lt;&gt;"",AL8=""),AND(AQ8&gt;=AR$16,AQ8&lt;&gt;"",AL8=""),AND(BO8&gt;=BS$16,BO8&lt;&gt;"",BM8=""),AND(BR8&gt;=BS$16,BR8&lt;&gt;"",BM8=""),AND(CP8&gt;=CT$16,CP8&lt;&gt;"",CN8=""),AND(CS8&gt;=CT$16,CS8&lt;&gt;"",CN8=""),AND(DR8&gt;=DV$16,DR8&lt;&gt;""),AND(DU8&gt;=DV$16,DU8&lt;&gt;""),AND(ER8&gt;=EV$16,ER8&lt;&gt;""),AND(EU8&gt;=EV$16,EU8&lt;&gt;""),AND(FR8&gt;=FV$16,FR8&lt;&gt;""),AND(FU8&gt;=FV$16,FU8&lt;&gt;""),AND(GR8&gt;=GV$16,GR8&lt;&gt;""),AND(GU8&gt;=GV$16,GU8&lt;&gt;""),AND(HR8&gt;=HV$16,HR8&lt;&gt;""),AND(HU8&gt;=HV$16,HU8&lt;&gt;""),AND(IR8&gt;=IV$16,IR8&lt;&gt;""),AND(IU8&gt;=IV$16,IU8&lt;&gt;""),AND(JR8&gt;=JV$16,JR8&lt;&gt;""),AND(JU8&gt;=JV$16,JU8&lt;&gt;""),AND(KR8&gt;=KV$16,KR8&lt;&gt;""),AND(KU8&gt;=KV$16,KU8&lt;&gt;""),AND(LR8&gt;=LV$16,LR8&lt;&gt;""),AND(LU8&gt;=LV$16,LU8&lt;&gt;""),AND(MR8&gt;=MV$16,MR8&lt;&gt;""),AND(MU8&gt;=MV$16,MU8&lt;&gt;""),AND(NR8&gt;=NV$16,NR8&lt;&gt;""),AND(NU8&gt;=NV$16,NU8&lt;&gt;""),AND(OR8&gt;=OV$16,OR8&lt;&gt;""),AND(OU8&gt;=OV$16,OU8&lt;&gt;"")),"P","")</f>
        <v/>
      </c>
      <c r="H8" s="47" t="str">
        <f>IF(AND(G8="P",F8=""),"No DD",IF(OR(AND(AM8&gt;=AR$15,AN8&gt;=AR$19,AM8&lt;&gt;"",AL8=""),AND(AP8&gt;=AR$15,AQ8&gt;=AR$19,AP8&lt;&gt;"",AL8=""),AND(BN8&gt;=BS$15,BO8&gt;=BS$19,BN8&lt;&gt;"",BM8=""),AND(BQ8&gt;=BS$15,BR8&gt;=BS$19,BQ8&lt;&gt;"",BM8=""),AND(CO8&gt;=CT$15,CP8&gt;=CT$19,CO8&lt;&gt;"",CN8=""),AND(CR8&gt;=CT$15,CS8&gt;=CT$19,CR8&lt;&gt;""),AND(DQ8&gt;=DV$15,DR8&gt;=DV$19,DQ8&lt;&gt;""),AND(DT8&gt;=DV$15,DU8&gt;=DV$19,DT8&lt;&gt;""),AND(EQ8&gt;=EV$15,ER8&gt;=EV$19,EQ8&lt;&gt;""),AND(ET8&gt;=EV$15,EU8&gt;=EV$19,ET8&lt;&gt;""),AND(FQ8&gt;=FV$15,FR8&gt;=FV$19,FQ8&lt;&gt;""),AND(FT8&gt;=FV$15,FU8&gt;=FV$19,FT8&lt;&gt;""),AND(GQ8&gt;=GV$15,GR8&gt;=GV$19,GQ8&lt;&gt;""),AND(GT8&gt;=GV$15,GU8&gt;=GV$19,GT8&lt;&gt;""),AND(HQ8&gt;=HV$15,HR8&gt;=HV$19,HQ8&lt;&gt;""),AND(HT8&gt;=HV$15,HU8&gt;=HV$19,HT8&lt;&gt;""),AND(IQ8&gt;=IV$15,IR8&gt;=IV$19,IQ8&lt;&gt;""),AND(IT8&gt;=IV$15,IU8&gt;=IV$19,IT8&lt;&gt;""),AND(JQ8&gt;=JV$15,JR8&gt;=JV$19,JQ8&lt;&gt;""),AND(JT8&gt;=JV$15,JU8&gt;=JV$19,JT8&lt;&gt;""),AND(KQ8&gt;=KV$15,KR8&gt;=KV$19,KQ8&lt;&gt;""),AND(KT8&gt;=KV$15,KU8&gt;=KV$19,KT8&lt;&gt;""),AND(LQ8&gt;=LV$15,LR8&gt;=LV$19,LQ8&lt;&gt;""),AND(LT8&gt;=LV$15,LU8&gt;=LV$19,LT8&lt;&gt;""),AND(MQ8&gt;=MV$15,MR8&gt;=MV$19,MQ8&lt;&gt;""),AND(MT8&gt;=MV$15,MU8&gt;=MV$19,MT8&lt;&gt;""),AND(NQ8&gt;=NV$15,NR8&gt;=NV$19,NQ8&lt;&gt;""),AND(NT8&gt;=NV$15,NU8&gt;=NV$19,NT8&lt;&gt;""),AND(OQ8&gt;=OV$15,OR8&gt;=OV$19,OQ8&lt;&gt;""),AND(OT8&gt;=OV$15,OU8&gt;=OV$19,OT8&lt;&gt;"")),"Merit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Excellence",IF(F8="P","National Team",""))))</f>
        <v/>
      </c>
      <c r="I8" s="9">
        <f>IF(COUNT(AN8,BO8,CP8)&gt;0,LARGE((AN8,BO8,CP8),1),0)</f>
        <v>38.799999999999997</v>
      </c>
      <c r="J8" s="9" t="str">
        <f>IF(I8=0,"",IF(I8=CP8,$BT$1,IF(I8=BO8,$AS$1,IF(I8=AN8,$R$1,""))))</f>
        <v>2025 Nationals</v>
      </c>
      <c r="K8" s="9">
        <f>IF(COUNT(AN8,BO8,CP8)&gt;1,LARGE((AN8,BO8,CP8),2),0)</f>
        <v>0</v>
      </c>
      <c r="L8" s="9" t="str">
        <f>IF(K8=0,"",IF(AND(K8=I8,K8=AN8,K8=BO8),$R$1,IF(AND(K8=I8,K8=AN8,K8=CP8),$R$1,IF(AND(K8=I8,K8=CP8,K8=BO8),$AS$1,IF(K8=CP8,$BT$1,IF(K8=BO8,$AS$1,IF(K8=AN8,$R$1,"")))))))</f>
        <v/>
      </c>
      <c r="M8" s="9">
        <f>IF(MAX(AQ8,BR8,CS8)&gt;0,MAX(AQ8,BR8,CS8),0)</f>
        <v>37.4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16.399999999999999</v>
      </c>
      <c r="AT8" s="19">
        <v>3.2</v>
      </c>
      <c r="AU8" s="19">
        <v>0</v>
      </c>
      <c r="AV8" s="19">
        <v>0</v>
      </c>
      <c r="AW8" s="19">
        <v>16.399999999999999</v>
      </c>
      <c r="AX8" s="19">
        <v>2.9</v>
      </c>
      <c r="AY8" s="19">
        <v>0.1</v>
      </c>
      <c r="AZ8" s="19">
        <v>0</v>
      </c>
      <c r="BA8" s="19"/>
      <c r="BB8" s="19"/>
      <c r="BC8" s="19"/>
      <c r="BD8" s="19"/>
      <c r="BE8" s="19">
        <v>15.8</v>
      </c>
      <c r="BF8" s="19">
        <v>2.2000000000000002</v>
      </c>
      <c r="BG8" s="19">
        <v>0.8</v>
      </c>
      <c r="BH8" s="19">
        <v>0</v>
      </c>
      <c r="BI8" s="19">
        <v>16.3</v>
      </c>
      <c r="BJ8" s="19">
        <v>3.9</v>
      </c>
      <c r="BK8" s="19">
        <v>0</v>
      </c>
      <c r="BL8" s="19">
        <v>0</v>
      </c>
      <c r="BM8" s="33"/>
      <c r="BN8" s="14">
        <f>IF(SUM(AT8,AX8)&gt;0,SUM(AT8,AX8),"")</f>
        <v>6.1</v>
      </c>
      <c r="BO8" s="14">
        <f>IF(SUM(AS8:AT8,AV8:AX8,AZ8)-AU8-AY8&gt;0,SUM(AS8:AT8,AV8:AX8,AZ8)-AU8-AY8,"")</f>
        <v>38.799999999999997</v>
      </c>
      <c r="BP8" s="14" t="str">
        <f>IF(SUM(BA8:BB8,BD8)-BC8&gt;0,SUM(BA8:BB8,BD8)-BC8,"")</f>
        <v/>
      </c>
      <c r="BQ8" s="14">
        <f>IF(SUM(BF8,BJ8)&gt;0,SUM(BF8,BJ8),"")</f>
        <v>6.1</v>
      </c>
      <c r="BR8" s="14">
        <f>IF(SUM(BE8:BF8,BH8:BJ8,BL8)-SUM(BG8,BK8)&gt;0,SUM(BE8:BF8,BH8:BJ8,BL8)-SUM(BG8,BK8),"")</f>
        <v>37.4</v>
      </c>
      <c r="BS8" s="14">
        <f>IF(SUM(BO8,BP8,BR8)&gt;0,SUM(BO8,BP8,BR8),"")</f>
        <v>76.199999999999989</v>
      </c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32"/>
      <c r="CO8" s="55" t="str">
        <f>IF(SUM(BU8,BY8)&gt;0,SUM(BU8,BY8),"")</f>
        <v/>
      </c>
      <c r="CP8" s="55" t="str">
        <f>IF(SUM(BT8:BU8,BW8:BY8,CA8)-BV8-BZ8&gt;0,SUM(BT8:BU8,BW8:BY8,CA8)-BV8-BZ8,"")</f>
        <v/>
      </c>
      <c r="CQ8" s="55" t="str">
        <f>IF(SUM(CB8:CC8,CE8)-CD8&gt;0,SUM(CB8:CC8,CE8)-CD8,"")</f>
        <v/>
      </c>
      <c r="CR8" s="55" t="str">
        <f>IF(SUM(CG8,CK8)&gt;0,SUM(CG8,CK8),"")</f>
        <v/>
      </c>
      <c r="CS8" s="55" t="str">
        <f>IF(SUM(CF8:CG8,CI8:CK8,CM8)-SUM(CH8,CL8)&gt;0,SUM(CF8:CG8,CI8:CK8,CM8)-SUM(CH8,CL8),"")</f>
        <v/>
      </c>
      <c r="CT8" s="55" t="str">
        <f>IF(SUM(CP8,CQ8,CS8)&gt;0,SUM(CP8,CQ8,CS8),"")</f>
        <v/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8.1999999999999993</v>
      </c>
      <c r="OX8" s="27">
        <f>IF($CN8="P",BU8,(BU8+AT8)/2)</f>
        <v>1.6</v>
      </c>
      <c r="OY8" s="27">
        <f>IF($CN8="P",BV8,(BV8+AU8)/2)</f>
        <v>0</v>
      </c>
      <c r="OZ8" s="27">
        <f>IF($CN8="P",BW8,(BW8+AV8)/2)</f>
        <v>0</v>
      </c>
      <c r="PA8" s="27">
        <f>IF($CN8="P",BX8,(BX8+AW8)/2)</f>
        <v>8.1999999999999993</v>
      </c>
      <c r="PB8" s="27">
        <f>IF($CN8="P",BY8,(BY8+AX8)/2)</f>
        <v>1.45</v>
      </c>
      <c r="PC8" s="27">
        <f>IF($CN8="P",BZ8,(BZ8+AY8)/2)</f>
        <v>0.05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7.9</v>
      </c>
      <c r="PJ8" s="27">
        <f>IF($CN8="P",CG8,(CG8+BF8)/2)</f>
        <v>1.1000000000000001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8.15</v>
      </c>
      <c r="PN8" s="27">
        <f>IF($CN8="P",CK8,(CK8+BJ8)/2)</f>
        <v>1.95</v>
      </c>
      <c r="PO8" s="27">
        <f>IF($CN8="P",CL8,(CL8+BK8)/2)</f>
        <v>0</v>
      </c>
      <c r="PP8" s="27">
        <f>IF($CN8="P",CM8,(CM8+BL8)/2)</f>
        <v>0</v>
      </c>
      <c r="PQ8" s="32" t="s">
        <v>44</v>
      </c>
      <c r="PR8" s="55">
        <f>IF(SUM(OX8,PB8)&gt;0,SUM(OX8,PB8),"")</f>
        <v>3.05</v>
      </c>
      <c r="PS8" s="55">
        <f>IF(SUM(OW8:OX8,OZ8:PB8,PD8)-OY8-PC8&gt;0,SUM(OW8:OX8,OZ8:PB8,PD8)-OY8-PC8,"")</f>
        <v>19.399999999999999</v>
      </c>
      <c r="PT8" s="55" t="str">
        <f>IF(SUM(PE8:PF8,PH8)-PG8&gt;0,SUM(PE8:PF8,PH8)-PG8,"")</f>
        <v/>
      </c>
      <c r="PU8" s="55">
        <f>IF(SUM(PJ8,PN8)&gt;0,SUM(PJ8,PN8),"")</f>
        <v>3.05</v>
      </c>
      <c r="PV8" s="55">
        <f>IF(SUM(PI8:PJ8,PL8:PN8,PP8)-SUM(PK8,PO8)&gt;0,SUM(PI8:PJ8,PL8:PN8,PP8)-SUM(PK8,PO8),"")</f>
        <v>18.7</v>
      </c>
      <c r="PW8" s="55">
        <f>IF(SUM(PS8,PT8,PV8)&gt;0,SUM(PS8,PT8,PV8),"")</f>
        <v>38.099999999999994</v>
      </c>
    </row>
    <row r="9" spans="1:43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121</v>
      </c>
      <c r="C9" s="4" t="s">
        <v>3</v>
      </c>
      <c r="D9" s="4">
        <v>2009</v>
      </c>
      <c r="E9" s="10">
        <f>SUM(I9:O9)+SUM(I9:M9)*0.0000001+SUM(I9)*0.0000000000001</f>
        <v>70.900007090003712</v>
      </c>
      <c r="F9" s="3" t="str">
        <f>IF(OR(AND(AM9&gt;=AR$12,AN9&gt;=AR$16,AM9&lt;&gt;"",AL9=""),AND(AP9&gt;=AR$12,AQ9&gt;=AR$16,AP9&lt;&gt;"",AL9=""),AND(BN9&gt;=BS$12,BO9&gt;=BS$16,BN9&lt;&gt;"",BM9=""),AND(BQ9&gt;=BS$12,BR9&gt;=BS$16,BQ9&lt;&gt;"",BM9=""),AND(CO9&gt;=CT$12,CP9&gt;=CT$16,CO9&lt;&gt;"",CN9=""),AND(CR9&gt;=CT$12,CS9&gt;=CT$16,CR9&lt;&gt;""),AND(DQ9&gt;=DV$12,DR9&gt;=DV$16,DQ9&lt;&gt;""),AND(DT9&gt;=DV$12,DU9&gt;=DV$16,DT9&lt;&gt;""),AND(EQ9&gt;=EV$12,ER9&gt;=EV$16,EQ9&lt;&gt;""),AND(ET9&gt;=EV$12,EU9&gt;=EV$16,ET9&lt;&gt;""),AND(FQ9&gt;=FV$12,FR9&gt;=FV$16,FQ9&lt;&gt;""),AND(FT9&gt;=FV$12,FU9&gt;=FV$16,FT9&lt;&gt;""),AND(GQ9&gt;=GV$12,GR9&gt;=GV$16,GQ9&lt;&gt;""),AND(GT9&gt;=GV$12,GU9&gt;=GV$16,GT9&lt;&gt;""),AND(HQ9&gt;=HV$12,HR9&gt;=HV$16,HQ9&lt;&gt;""),AND(HT9&gt;=HV$12,HU9&gt;=HV$16,HT9&lt;&gt;""),AND(IQ9&gt;=IV$12,IR9&gt;=IV$16,IQ9&lt;&gt;""),AND(IT9&gt;=IV$12,IU9&gt;=IV$16,IT9&lt;&gt;""),AND(JQ9&gt;=JV$12,JR9&gt;=JV$16,JQ9&lt;&gt;""),AND(JT9&gt;=JV$12,JU9&gt;=JV$16,JT9&lt;&gt;""),AND(KQ9&gt;=KV$12,KR9&gt;=KV$16,KQ9&lt;&gt;""),AND(KT9&gt;=KV$12,KU9&gt;=KV$16,KT9&lt;&gt;""),AND(LQ9&gt;=LV$12,LR9&gt;=LV$16,LQ9&lt;&gt;""),AND(LT9&gt;=LV$12,LU9&gt;=LV$16,LT9&lt;&gt;""),AND(MQ9&gt;=MV$12,MR9&gt;=MV$16,MQ9&lt;&gt;""),AND(MT9&gt;=MV$12,MU9&gt;=MV$16,MT9&lt;&gt;""),AND(NQ9&gt;=NV$12,NR9&gt;=NV$16,NQ9&lt;&gt;""),AND(NT9&gt;=NV$12,NU9&gt;=NV$16,NT9&lt;&gt;""),AND(OQ9&gt;=OV$12,OR9&gt;=OV$16,OQ9&lt;&gt;""),AND(OT9&gt;=OV$12,OU9&gt;=OV$16,OT9&lt;&gt;"")),"P","")</f>
        <v/>
      </c>
      <c r="G9" s="3" t="str">
        <f>IF(OR(AND(AN9&gt;=AR$16,AN9&lt;&gt;"",AL9=""),AND(AQ9&gt;=AR$16,AQ9&lt;&gt;"",AL9=""),AND(BO9&gt;=BS$16,BO9&lt;&gt;"",BM9=""),AND(BR9&gt;=BS$16,BR9&lt;&gt;"",BM9=""),AND(CP9&gt;=CT$16,CP9&lt;&gt;"",CN9=""),AND(CS9&gt;=CT$16,CS9&lt;&gt;"",CN9=""),AND(DR9&gt;=DV$16,DR9&lt;&gt;""),AND(DU9&gt;=DV$16,DU9&lt;&gt;""),AND(ER9&gt;=EV$16,ER9&lt;&gt;""),AND(EU9&gt;=EV$16,EU9&lt;&gt;""),AND(FR9&gt;=FV$16,FR9&lt;&gt;""),AND(FU9&gt;=FV$16,FU9&lt;&gt;""),AND(GR9&gt;=GV$16,GR9&lt;&gt;""),AND(GU9&gt;=GV$16,GU9&lt;&gt;""),AND(HR9&gt;=HV$16,HR9&lt;&gt;""),AND(HU9&gt;=HV$16,HU9&lt;&gt;""),AND(IR9&gt;=IV$16,IR9&lt;&gt;""),AND(IU9&gt;=IV$16,IU9&lt;&gt;""),AND(JR9&gt;=JV$16,JR9&lt;&gt;""),AND(JU9&gt;=JV$16,JU9&lt;&gt;""),AND(KR9&gt;=KV$16,KR9&lt;&gt;""),AND(KU9&gt;=KV$16,KU9&lt;&gt;""),AND(LR9&gt;=LV$16,LR9&lt;&gt;""),AND(LU9&gt;=LV$16,LU9&lt;&gt;""),AND(MR9&gt;=MV$16,MR9&lt;&gt;""),AND(MU9&gt;=MV$16,MU9&lt;&gt;""),AND(NR9&gt;=NV$16,NR9&lt;&gt;""),AND(NU9&gt;=NV$16,NU9&lt;&gt;""),AND(OR9&gt;=OV$16,OR9&lt;&gt;""),AND(OU9&gt;=OV$16,OU9&lt;&gt;"")),"P","")</f>
        <v/>
      </c>
      <c r="H9" s="47" t="str">
        <f>IF(AND(G9="P",F9=""),"No DD",IF(OR(AND(AM9&gt;=AR$15,AN9&gt;=AR$19,AM9&lt;&gt;"",AL9=""),AND(AP9&gt;=AR$15,AQ9&gt;=AR$19,AP9&lt;&gt;"",AL9=""),AND(BN9&gt;=BS$15,BO9&gt;=BS$19,BN9&lt;&gt;"",BM9=""),AND(BQ9&gt;=BS$15,BR9&gt;=BS$19,BQ9&lt;&gt;"",BM9=""),AND(CO9&gt;=CT$15,CP9&gt;=CT$19,CO9&lt;&gt;"",CN9=""),AND(CR9&gt;=CT$15,CS9&gt;=CT$19,CR9&lt;&gt;""),AND(DQ9&gt;=DV$15,DR9&gt;=DV$19,DQ9&lt;&gt;""),AND(DT9&gt;=DV$15,DU9&gt;=DV$19,DT9&lt;&gt;""),AND(EQ9&gt;=EV$15,ER9&gt;=EV$19,EQ9&lt;&gt;""),AND(ET9&gt;=EV$15,EU9&gt;=EV$19,ET9&lt;&gt;""),AND(FQ9&gt;=FV$15,FR9&gt;=FV$19,FQ9&lt;&gt;""),AND(FT9&gt;=FV$15,FU9&gt;=FV$19,FT9&lt;&gt;""),AND(GQ9&gt;=GV$15,GR9&gt;=GV$19,GQ9&lt;&gt;""),AND(GT9&gt;=GV$15,GU9&gt;=GV$19,GT9&lt;&gt;""),AND(HQ9&gt;=HV$15,HR9&gt;=HV$19,HQ9&lt;&gt;""),AND(HT9&gt;=HV$15,HU9&gt;=HV$19,HT9&lt;&gt;""),AND(IQ9&gt;=IV$15,IR9&gt;=IV$19,IQ9&lt;&gt;""),AND(IT9&gt;=IV$15,IU9&gt;=IV$19,IT9&lt;&gt;""),AND(JQ9&gt;=JV$15,JR9&gt;=JV$19,JQ9&lt;&gt;""),AND(JT9&gt;=JV$15,JU9&gt;=JV$19,JT9&lt;&gt;""),AND(KQ9&gt;=KV$15,KR9&gt;=KV$19,KQ9&lt;&gt;""),AND(KT9&gt;=KV$15,KU9&gt;=KV$19,KT9&lt;&gt;""),AND(LQ9&gt;=LV$15,LR9&gt;=LV$19,LQ9&lt;&gt;""),AND(LT9&gt;=LV$15,LU9&gt;=LV$19,LT9&lt;&gt;""),AND(MQ9&gt;=MV$15,MR9&gt;=MV$19,MQ9&lt;&gt;""),AND(MT9&gt;=MV$15,MU9&gt;=MV$19,MT9&lt;&gt;""),AND(NQ9&gt;=NV$15,NR9&gt;=NV$19,NQ9&lt;&gt;""),AND(NT9&gt;=NV$15,NU9&gt;=NV$19,NT9&lt;&gt;""),AND(OQ9&gt;=OV$15,OR9&gt;=OV$19,OQ9&lt;&gt;""),AND(OT9&gt;=OV$15,OU9&gt;=OV$19,OT9&lt;&gt;"")),"Merit",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Excellence",IF(F9="P","National Team",""))))</f>
        <v/>
      </c>
      <c r="I9" s="9">
        <f>IF(COUNT(AN9,BO9,CP9)&gt;0,LARGE((AN9,BO9,CP9),1),0)</f>
        <v>37.299999999999997</v>
      </c>
      <c r="J9" s="9" t="str">
        <f>IF(I9=0,"",IF(I9=CP9,$BT$1,IF(I9=BO9,$AS$1,IF(I9=AN9,$R$1,""))))</f>
        <v>2025 3rd Domestic Trial</v>
      </c>
      <c r="K9" s="9">
        <f>IF(COUNT(AN9,BO9,CP9)&gt;1,LARGE((AN9,BO9,CP9),2),0)</f>
        <v>0</v>
      </c>
      <c r="L9" s="9" t="str">
        <f>IF(K9=0,"",IF(AND(K9=I9,K9=AN9,K9=BO9),$R$1,IF(AND(K9=I9,K9=AN9,K9=CP9),$R$1,IF(AND(K9=I9,K9=CP9,K9=BO9),$AS$1,IF(K9=CP9,$BT$1,IF(K9=BO9,$AS$1,IF(K9=AN9,$R$1,"")))))))</f>
        <v/>
      </c>
      <c r="M9" s="9">
        <f>IF(MAX(AQ9,BR9,CS9)&gt;0,MAX(AQ9,BR9,CS9),0)</f>
        <v>33.599999999999994</v>
      </c>
      <c r="N9" s="9" t="str">
        <f>IF(M9=0,"",IF(M9=CS9,$BT$1,IF(M9=BR9,$AS$1,IF(M9=AQ9,$R$1,""))))</f>
        <v>2025 3rd Domestic Trial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>IF(SUM(AT9,AX9)&gt;0,SUM(AT9,AX9),"")</f>
        <v/>
      </c>
      <c r="BO9" s="14" t="str">
        <f>IF(SUM(AS9:AT9,AV9:AX9,AZ9)-AU9-AY9&gt;0,SUM(AS9:AT9,AV9:AX9,AZ9)-AU9-AY9,"")</f>
        <v/>
      </c>
      <c r="BP9" s="14" t="str">
        <f>IF(SUM(BA9:BB9,BD9)-BC9&gt;0,SUM(BA9:BB9,BD9)-BC9,"")</f>
        <v/>
      </c>
      <c r="BQ9" s="14" t="str">
        <f>IF(SUM(BF9,BJ9)&gt;0,SUM(BF9,BJ9),"")</f>
        <v/>
      </c>
      <c r="BR9" s="14" t="str">
        <f>IF(SUM(BE9:BF9,BH9:BJ9,BL9)-SUM(BG9,BK9)&gt;0,SUM(BE9:BF9,BH9:BJ9,BL9)-SUM(BG9,BK9),"")</f>
        <v/>
      </c>
      <c r="BS9" s="14" t="str">
        <f>IF(SUM(BO9,BP9,BR9)&gt;0,SUM(BO9,BP9,BR9),"")</f>
        <v/>
      </c>
      <c r="BT9" s="20">
        <v>16.3</v>
      </c>
      <c r="BU9" s="20">
        <v>3.9</v>
      </c>
      <c r="BV9" s="20">
        <v>0.4</v>
      </c>
      <c r="BW9" s="20">
        <v>0</v>
      </c>
      <c r="BX9" s="20">
        <v>15.8</v>
      </c>
      <c r="BY9" s="20">
        <v>1.9</v>
      </c>
      <c r="BZ9" s="20">
        <v>0.2</v>
      </c>
      <c r="CA9" s="20">
        <v>0</v>
      </c>
      <c r="CB9" s="20"/>
      <c r="CC9" s="20"/>
      <c r="CD9" s="20"/>
      <c r="CE9" s="20"/>
      <c r="CF9" s="20">
        <v>15.7</v>
      </c>
      <c r="CG9" s="20">
        <v>1.9</v>
      </c>
      <c r="CH9" s="20">
        <v>0.2</v>
      </c>
      <c r="CI9" s="20">
        <v>0</v>
      </c>
      <c r="CJ9" s="20">
        <v>14.6</v>
      </c>
      <c r="CK9" s="20">
        <v>2.9</v>
      </c>
      <c r="CL9" s="20">
        <v>1.3</v>
      </c>
      <c r="CM9" s="20">
        <v>0</v>
      </c>
      <c r="CN9" s="32"/>
      <c r="CO9" s="55">
        <f>IF(SUM(BU9,BY9)&gt;0,SUM(BU9,BY9),"")</f>
        <v>5.8</v>
      </c>
      <c r="CP9" s="55">
        <f>IF(SUM(BT9:BU9,BW9:BY9,CA9)-BV9-BZ9&gt;0,SUM(BT9:BU9,BW9:BY9,CA9)-BV9-BZ9,"")</f>
        <v>37.299999999999997</v>
      </c>
      <c r="CQ9" s="55" t="str">
        <f>IF(SUM(CB9:CC9,CE9)-CD9&gt;0,SUM(CB9:CC9,CE9)-CD9,"")</f>
        <v/>
      </c>
      <c r="CR9" s="55">
        <f>IF(SUM(CG9,CK9)&gt;0,SUM(CG9,CK9),"")</f>
        <v>4.8</v>
      </c>
      <c r="CS9" s="55">
        <f>IF(SUM(CF9:CG9,CI9:CK9,CM9)-SUM(CH9,CL9)&gt;0,SUM(CF9:CG9,CI9:CK9,CM9)-SUM(CH9,CL9),"")</f>
        <v>33.599999999999994</v>
      </c>
      <c r="CT9" s="55">
        <f>IF(SUM(CP9,CQ9,CS9)&gt;0,SUM(CP9,CQ9,CS9),"")</f>
        <v>70.899999999999991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8.15</v>
      </c>
      <c r="OX9" s="27">
        <f>IF($CN9="P",BU9,(BU9+AT9)/2)</f>
        <v>1.95</v>
      </c>
      <c r="OY9" s="27">
        <f>IF($CN9="P",BV9,(BV9+AU9)/2)</f>
        <v>0.2</v>
      </c>
      <c r="OZ9" s="27">
        <f>IF($CN9="P",BW9,(BW9+AV9)/2)</f>
        <v>0</v>
      </c>
      <c r="PA9" s="27">
        <f>IF($CN9="P",BX9,(BX9+AW9)/2)</f>
        <v>7.9</v>
      </c>
      <c r="PB9" s="27">
        <f>IF($CN9="P",BY9,(BY9+AX9)/2)</f>
        <v>0.95</v>
      </c>
      <c r="PC9" s="27">
        <f>IF($CN9="P",BZ9,(BZ9+AY9)/2)</f>
        <v>0.1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7.85</v>
      </c>
      <c r="PJ9" s="27">
        <f>IF($CN9="P",CG9,(CG9+BF9)/2)</f>
        <v>0.95</v>
      </c>
      <c r="PK9" s="27">
        <f>IF($CN9="P",CH9,(CH9+BG9)/2)</f>
        <v>0.1</v>
      </c>
      <c r="PL9" s="27">
        <f>IF($CN9="P",CI9,(CI9+BH9)/2)</f>
        <v>0</v>
      </c>
      <c r="PM9" s="27">
        <f>IF($CN9="P",CJ9,(CJ9+BI9)/2)</f>
        <v>7.3</v>
      </c>
      <c r="PN9" s="27">
        <f>IF($CN9="P",CK9,(CK9+BJ9)/2)</f>
        <v>1.45</v>
      </c>
      <c r="PO9" s="27">
        <f>IF($CN9="P",CL9,(CL9+BK9)/2)</f>
        <v>0.65</v>
      </c>
      <c r="PP9" s="27">
        <f>IF($CN9="P",CM9,(CM9+BL9)/2)</f>
        <v>0</v>
      </c>
      <c r="PQ9" s="32" t="s">
        <v>44</v>
      </c>
      <c r="PR9" s="55">
        <f>IF(SUM(OX9,PB9)&gt;0,SUM(OX9,PB9),"")</f>
        <v>2.9</v>
      </c>
      <c r="PS9" s="55">
        <f>IF(SUM(OW9:OX9,OZ9:PB9,PD9)-OY9-PC9&gt;0,SUM(OW9:OX9,OZ9:PB9,PD9)-OY9-PC9,"")</f>
        <v>18.649999999999999</v>
      </c>
      <c r="PT9" s="55" t="str">
        <f>IF(SUM(PE9:PF9,PH9)-PG9&gt;0,SUM(PE9:PF9,PH9)-PG9,"")</f>
        <v/>
      </c>
      <c r="PU9" s="55">
        <f>IF(SUM(PJ9,PN9)&gt;0,SUM(PJ9,PN9),"")</f>
        <v>2.4</v>
      </c>
      <c r="PV9" s="55">
        <f>IF(SUM(PI9:PJ9,PL9:PN9,PP9)-SUM(PK9,PO9)&gt;0,SUM(PI9:PJ9,PL9:PN9,PP9)-SUM(PK9,PO9),"")</f>
        <v>16.799999999999997</v>
      </c>
      <c r="PW9" s="55">
        <f>IF(SUM(PS9,PT9,PV9)&gt;0,SUM(PS9,PT9,PV9),"")</f>
        <v>35.449999999999996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7.3</v>
      </c>
      <c r="BN12" s="4"/>
      <c r="BS12" s="57">
        <v>7.3</v>
      </c>
      <c r="CO12" s="4"/>
      <c r="CT12" s="57">
        <v>7.3</v>
      </c>
      <c r="DQ12" s="4"/>
      <c r="DV12" s="57">
        <v>7.3</v>
      </c>
      <c r="EQ12" s="4"/>
      <c r="EV12" s="57">
        <v>7.3</v>
      </c>
      <c r="FQ12" s="4"/>
      <c r="FV12" s="57">
        <v>7.3</v>
      </c>
      <c r="GQ12" s="4"/>
      <c r="GV12" s="57">
        <v>7.3</v>
      </c>
      <c r="HQ12" s="4"/>
      <c r="HV12" s="57">
        <v>7.3</v>
      </c>
      <c r="IQ12" s="4"/>
      <c r="IV12" s="57">
        <v>7.3</v>
      </c>
      <c r="JQ12" s="4"/>
      <c r="JV12" s="57">
        <v>7.3</v>
      </c>
      <c r="KQ12" s="4"/>
      <c r="KV12" s="57">
        <v>7.3</v>
      </c>
      <c r="LQ12" s="4"/>
      <c r="LV12" s="57">
        <v>7.3</v>
      </c>
      <c r="MQ12" s="4"/>
      <c r="MV12" s="57">
        <v>7.3</v>
      </c>
      <c r="NQ12" s="4"/>
      <c r="NV12" s="57">
        <v>7.3</v>
      </c>
      <c r="OQ12" s="4"/>
      <c r="OV12" s="57">
        <v>7.3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v>1000</v>
      </c>
      <c r="BN13" s="4"/>
      <c r="BS13" s="58">
        <v>1000</v>
      </c>
      <c r="CO13" s="4"/>
      <c r="CT13" s="58">
        <v>1000</v>
      </c>
      <c r="DQ13" s="4"/>
      <c r="DV13" s="58">
        <v>1000</v>
      </c>
      <c r="EQ13" s="4"/>
      <c r="EV13" s="58">
        <v>1000</v>
      </c>
      <c r="FQ13" s="4"/>
      <c r="FV13" s="58">
        <v>1000</v>
      </c>
      <c r="GQ13" s="4"/>
      <c r="GV13" s="58">
        <v>1000</v>
      </c>
      <c r="HQ13" s="4"/>
      <c r="HV13" s="58">
        <v>1000</v>
      </c>
      <c r="IQ13" s="4"/>
      <c r="IV13" s="58">
        <v>1000</v>
      </c>
      <c r="JQ13" s="4"/>
      <c r="JV13" s="58">
        <v>1000</v>
      </c>
      <c r="KQ13" s="4"/>
      <c r="KV13" s="58">
        <v>1000</v>
      </c>
      <c r="LQ13" s="4"/>
      <c r="LV13" s="58">
        <v>1000</v>
      </c>
      <c r="MQ13" s="4"/>
      <c r="MV13" s="58">
        <v>1000</v>
      </c>
      <c r="NQ13" s="4"/>
      <c r="NV13" s="58">
        <v>1000</v>
      </c>
      <c r="OQ13" s="4"/>
      <c r="OV13" s="58">
        <v>1000</v>
      </c>
    </row>
    <row r="14" spans="1:439" ht="17" hidden="1" x14ac:dyDescent="0.2">
      <c r="A14" s="5"/>
      <c r="B14" s="36" t="s">
        <v>54</v>
      </c>
      <c r="C14" s="22"/>
      <c r="O14" s="11"/>
      <c r="P14" s="11"/>
      <c r="Q14" s="11"/>
      <c r="AM14" s="4"/>
      <c r="AR14" s="59">
        <v>1000</v>
      </c>
      <c r="BN14" s="4"/>
      <c r="BS14" s="59">
        <v>1000</v>
      </c>
      <c r="CO14" s="4"/>
      <c r="CT14" s="59">
        <v>1000</v>
      </c>
      <c r="DQ14" s="4"/>
      <c r="DV14" s="59">
        <v>1000</v>
      </c>
      <c r="EQ14" s="4"/>
      <c r="EV14" s="59">
        <v>1000</v>
      </c>
      <c r="FQ14" s="4"/>
      <c r="FV14" s="59">
        <v>1000</v>
      </c>
      <c r="GQ14" s="4"/>
      <c r="GV14" s="59">
        <v>1000</v>
      </c>
      <c r="HQ14" s="4"/>
      <c r="HV14" s="59">
        <v>1000</v>
      </c>
      <c r="IQ14" s="4"/>
      <c r="IV14" s="59">
        <v>1000</v>
      </c>
      <c r="JQ14" s="4"/>
      <c r="JV14" s="59">
        <v>1000</v>
      </c>
      <c r="KQ14" s="4"/>
      <c r="KV14" s="59">
        <v>1000</v>
      </c>
      <c r="LQ14" s="4"/>
      <c r="LV14" s="59">
        <v>1000</v>
      </c>
      <c r="MQ14" s="4"/>
      <c r="MV14" s="59">
        <v>1000</v>
      </c>
      <c r="NQ14" s="4"/>
      <c r="NV14" s="59">
        <v>1000</v>
      </c>
      <c r="OQ14" s="4"/>
      <c r="OV14" s="59">
        <v>1000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0">
        <v>1000</v>
      </c>
      <c r="BN15" s="4"/>
      <c r="BS15" s="60">
        <v>1000</v>
      </c>
      <c r="CO15" s="4"/>
      <c r="CT15" s="60">
        <v>1000</v>
      </c>
      <c r="DQ15" s="4"/>
      <c r="DV15" s="60">
        <v>1000</v>
      </c>
      <c r="EQ15" s="4"/>
      <c r="EV15" s="60">
        <v>1000</v>
      </c>
      <c r="FQ15" s="4"/>
      <c r="FV15" s="60">
        <v>1000</v>
      </c>
      <c r="GQ15" s="4"/>
      <c r="GV15" s="60">
        <v>1000</v>
      </c>
      <c r="HQ15" s="4"/>
      <c r="HV15" s="60">
        <v>1000</v>
      </c>
      <c r="IQ15" s="4"/>
      <c r="IV15" s="60">
        <v>1000</v>
      </c>
      <c r="JQ15" s="4"/>
      <c r="JV15" s="60">
        <v>1000</v>
      </c>
      <c r="KQ15" s="4"/>
      <c r="KV15" s="60">
        <v>1000</v>
      </c>
      <c r="LQ15" s="4"/>
      <c r="LV15" s="60">
        <v>1000</v>
      </c>
      <c r="MQ15" s="4"/>
      <c r="MV15" s="60">
        <v>1000</v>
      </c>
      <c r="NQ15" s="4"/>
      <c r="NV15" s="60">
        <v>1000</v>
      </c>
      <c r="OQ15" s="4"/>
      <c r="OV15" s="60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1">
        <v>42.5</v>
      </c>
      <c r="BN16" s="4"/>
      <c r="BS16" s="61">
        <v>42.5</v>
      </c>
      <c r="CO16" s="4"/>
      <c r="CT16" s="61">
        <v>42.5</v>
      </c>
      <c r="DQ16" s="4"/>
      <c r="DV16" s="61">
        <v>42.5</v>
      </c>
      <c r="EQ16" s="4"/>
      <c r="EV16" s="61">
        <v>42.5</v>
      </c>
      <c r="FQ16" s="4"/>
      <c r="FV16" s="61">
        <v>42.5</v>
      </c>
      <c r="GQ16" s="4"/>
      <c r="GV16" s="61">
        <v>42.5</v>
      </c>
      <c r="HQ16" s="4"/>
      <c r="HV16" s="61">
        <v>42.5</v>
      </c>
      <c r="IQ16" s="4"/>
      <c r="IV16" s="61">
        <v>42.5</v>
      </c>
      <c r="JQ16" s="4"/>
      <c r="JV16" s="61">
        <v>42.5</v>
      </c>
      <c r="KQ16" s="4"/>
      <c r="KV16" s="61">
        <v>42.5</v>
      </c>
      <c r="LQ16" s="4"/>
      <c r="LV16" s="61">
        <v>42.5</v>
      </c>
      <c r="MQ16" s="4"/>
      <c r="MV16" s="61">
        <v>42.5</v>
      </c>
      <c r="NQ16" s="4"/>
      <c r="NV16" s="61">
        <v>42.5</v>
      </c>
      <c r="OQ16" s="4"/>
      <c r="OV16" s="61">
        <v>42.5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v>1000</v>
      </c>
      <c r="BN17" s="4"/>
      <c r="BS17" s="62">
        <v>1000</v>
      </c>
      <c r="CO17" s="4"/>
      <c r="CT17" s="62">
        <v>1000</v>
      </c>
      <c r="DQ17" s="4"/>
      <c r="DV17" s="62">
        <v>1000</v>
      </c>
      <c r="EQ17" s="4"/>
      <c r="EV17" s="62">
        <v>1000</v>
      </c>
      <c r="FQ17" s="4"/>
      <c r="FV17" s="62">
        <v>1000</v>
      </c>
      <c r="GQ17" s="4"/>
      <c r="GV17" s="62">
        <v>1000</v>
      </c>
      <c r="HQ17" s="4"/>
      <c r="HV17" s="62">
        <v>1000</v>
      </c>
      <c r="IQ17" s="4"/>
      <c r="IV17" s="62">
        <v>1000</v>
      </c>
      <c r="JQ17" s="4"/>
      <c r="JV17" s="62">
        <v>1000</v>
      </c>
      <c r="KQ17" s="4"/>
      <c r="KV17" s="62">
        <v>1000</v>
      </c>
      <c r="LQ17" s="4"/>
      <c r="LV17" s="62">
        <v>1000</v>
      </c>
      <c r="MQ17" s="4"/>
      <c r="MV17" s="62">
        <v>1000</v>
      </c>
      <c r="NQ17" s="4"/>
      <c r="NV17" s="62">
        <v>1000</v>
      </c>
      <c r="OQ17" s="4"/>
      <c r="OV17" s="62">
        <v>1000</v>
      </c>
    </row>
    <row r="18" spans="1:412" ht="17" hidden="1" x14ac:dyDescent="0.2">
      <c r="A18" s="5"/>
      <c r="B18" s="40" t="s">
        <v>53</v>
      </c>
      <c r="C18" s="22"/>
      <c r="O18" s="11"/>
      <c r="P18" s="11"/>
      <c r="Q18" s="11"/>
      <c r="AM18" s="4"/>
      <c r="AR18" s="63">
        <v>1000</v>
      </c>
      <c r="BN18" s="4"/>
      <c r="BS18" s="63">
        <v>1000</v>
      </c>
      <c r="CO18" s="4"/>
      <c r="CT18" s="63">
        <v>1000</v>
      </c>
      <c r="DQ18" s="4"/>
      <c r="DV18" s="63">
        <v>1000</v>
      </c>
      <c r="EQ18" s="4"/>
      <c r="EV18" s="63">
        <v>1000</v>
      </c>
      <c r="FQ18" s="4"/>
      <c r="FV18" s="63">
        <v>1000</v>
      </c>
      <c r="GQ18" s="4"/>
      <c r="GV18" s="63">
        <v>1000</v>
      </c>
      <c r="HQ18" s="4"/>
      <c r="HV18" s="63">
        <v>1000</v>
      </c>
      <c r="IQ18" s="4"/>
      <c r="IV18" s="63">
        <v>1000</v>
      </c>
      <c r="JQ18" s="4"/>
      <c r="JV18" s="63">
        <v>1000</v>
      </c>
      <c r="KQ18" s="4"/>
      <c r="KV18" s="63">
        <v>1000</v>
      </c>
      <c r="LQ18" s="4"/>
      <c r="LV18" s="63">
        <v>1000</v>
      </c>
      <c r="MQ18" s="4"/>
      <c r="MV18" s="63">
        <v>1000</v>
      </c>
      <c r="NQ18" s="4"/>
      <c r="NV18" s="63">
        <v>1000</v>
      </c>
      <c r="OQ18" s="4"/>
      <c r="OV18" s="63">
        <v>1000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9">
      <sortCondition descending="1" ref="F1:F10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9">
    <cfRule type="expression" dxfId="86" priority="6" stopIfTrue="1">
      <formula>IF($AL4&lt;&gt;"",1,0)</formula>
    </cfRule>
  </conditionalFormatting>
  <conditionalFormatting sqref="AS4:BS9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9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63183" operator="between">
      <formula>AR$15</formula>
      <formula>1000</formula>
    </cfRule>
    <cfRule type="cellIs" dxfId="72" priority="63184" operator="between">
      <formula>AR$14</formula>
      <formula>AR$15</formula>
    </cfRule>
    <cfRule type="cellIs" dxfId="71" priority="63185" operator="between">
      <formula>AR$13</formula>
      <formula>AR$14</formula>
    </cfRule>
    <cfRule type="cellIs" dxfId="70" priority="63186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63363" operator="between">
      <formula>AR$19</formula>
      <formula>1000</formula>
    </cfRule>
    <cfRule type="cellIs" dxfId="68" priority="63364" operator="between">
      <formula>AR$18</formula>
      <formula>AR$19</formula>
    </cfRule>
    <cfRule type="cellIs" dxfId="67" priority="63365" operator="between">
      <formula>AR$17</formula>
      <formula>AR$18</formula>
    </cfRule>
    <cfRule type="cellIs" dxfId="66" priority="63366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63543" operator="between">
      <formula>AR$12</formula>
      <formula>AR$13</formula>
    </cfRule>
    <cfRule type="cellIs" dxfId="64" priority="63544" operator="between">
      <formula>AR$13</formula>
      <formula>AR$14</formula>
    </cfRule>
    <cfRule type="cellIs" dxfId="63" priority="63545" operator="between">
      <formula>AR$14</formula>
      <formula>AR$15</formula>
    </cfRule>
    <cfRule type="cellIs" dxfId="62" priority="63546" operator="between">
      <formula>AR$15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63723" operator="between">
      <formula>AR$16</formula>
      <formula>AR$17</formula>
    </cfRule>
    <cfRule type="cellIs" dxfId="60" priority="63724" operator="between">
      <formula>AR$17</formula>
      <formula>AR$18</formula>
    </cfRule>
    <cfRule type="cellIs" dxfId="59" priority="63725" operator="between">
      <formula>AR$18</formula>
      <formula>AR$19</formula>
    </cfRule>
    <cfRule type="cellIs" dxfId="58" priority="63726" operator="between">
      <formula>AR$19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103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122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87</v>
      </c>
      <c r="C4" s="4" t="s">
        <v>67</v>
      </c>
      <c r="D4" s="4">
        <v>2009</v>
      </c>
      <c r="E4" s="10">
        <f>SUM(I4:O4)+SUM(I4:M4)*0.0000001+SUM(I4)*0.0000000000001</f>
        <v>149.60001496000504</v>
      </c>
      <c r="F4" s="3" t="str">
        <f>IF(OR(AND(AM4&gt;=AR$18,AN4&gt;=AR$22,AM4&lt;&gt;"",AL4=""),AND(AP4&gt;=AR$18,AQ4&gt;=AR$22,AP4&lt;&gt;"",AL4=""),AND(BN4&gt;=BS$18,BO4&gt;=BS$22,BN4&lt;&gt;"",BM4=""),AND(BQ4&gt;=BS$18,BR4&gt;=BS$22,BQ4&lt;&gt;"",BM4=""),AND(CO4&gt;=CT$18,CP4&gt;=CT$22,CO4&lt;&gt;"",CN4=""),AND(CR4&gt;=CT$18,CS4&gt;=CT$22,CR4&lt;&gt;""),AND(DQ4&gt;=DV$18,DR4&gt;=DV$22,DQ4&lt;&gt;""),AND(DT4&gt;=DV$18,DU4&gt;=DV$22,DT4&lt;&gt;""),AND(EQ4&gt;=EV$18,ER4&gt;=EV$22,EQ4&lt;&gt;""),AND(ET4&gt;=EV$18,EU4&gt;=EV$22,ET4&lt;&gt;""),AND(FQ4&gt;=FV$18,FR4&gt;=FV$22,FQ4&lt;&gt;""),AND(FT4&gt;=FV$18,FU4&gt;=FV$22,FT4&lt;&gt;""),AND(GQ4&gt;=GV$18,GR4&gt;=GV$22,GQ4&lt;&gt;""),AND(GT4&gt;=GV$18,GU4&gt;=GV$22,GT4&lt;&gt;""),AND(HQ4&gt;=HV$18,HR4&gt;=HV$22,HQ4&lt;&gt;""),AND(HT4&gt;=HV$18,HU4&gt;=HV$22,HT4&lt;&gt;""),AND(IQ4&gt;=IV$18,IR4&gt;=IV$22,IQ4&lt;&gt;""),AND(IT4&gt;=IV$18,IU4&gt;=IV$22,IT4&lt;&gt;""),AND(JQ4&gt;=JV$18,JR4&gt;=JV$22,JQ4&lt;&gt;""),AND(JT4&gt;=JV$18,JU4&gt;=JV$22,JT4&lt;&gt;""),AND(KQ4&gt;=KV$18,KR4&gt;=KV$22,KQ4&lt;&gt;""),AND(KT4&gt;=KV$18,KU4&gt;=KV$22,KT4&lt;&gt;""),AND(LQ4&gt;=LV$18,LR4&gt;=LV$22,LQ4&lt;&gt;""),AND(LT4&gt;=LV$18,LU4&gt;=LV$22,LT4&lt;&gt;""),AND(MQ4&gt;=MV$18,MR4&gt;=MV$22,MQ4&lt;&gt;""),AND(MT4&gt;=MV$18,MU4&gt;=MV$22,MT4&lt;&gt;""),AND(NQ4&gt;=NV$18,NR4&gt;=NV$22,NQ4&lt;&gt;""),AND(NT4&gt;=NV$18,NU4&gt;=NV$22,NT4&lt;&gt;""),AND(OQ4&gt;=OV$18,OR4&gt;=OV$22,OQ4&lt;&gt;""),AND(OT4&gt;=OV$18,OU4&gt;=OV$22,OT4&lt;&gt;"")),"P","")</f>
        <v>P</v>
      </c>
      <c r="G4" s="3" t="str">
        <f>IF(OR(AND(AN4&gt;=AR$22,AN4&lt;&gt;"",AL4=""),AND(AQ4&gt;=AR$22,AQ4&lt;&gt;"",AL4=""),AND(BO4&gt;=BS$22,BO4&lt;&gt;"",BM4=""),AND(BR4&gt;=BS$22,BR4&lt;&gt;"",BM4=""),AND(CP4&gt;=CT$22,CP4&lt;&gt;"",CN4=""),AND(CS4&gt;=CT$22,CS4&lt;&gt;"",CN4=""),AND(DR4&gt;=DV$22,DR4&lt;&gt;""),AND(DU4&gt;=DV$22,DU4&lt;&gt;""),AND(ER4&gt;=EV$22,ER4&lt;&gt;""),AND(EU4&gt;=EV$22,EU4&lt;&gt;""),AND(FR4&gt;=FV$22,FR4&lt;&gt;""),AND(FU4&gt;=FV$22,FU4&lt;&gt;""),AND(GR4&gt;=GV$22,GR4&lt;&gt;""),AND(GU4&gt;=GV$22,GU4&lt;&gt;""),AND(HR4&gt;=HV$22,HR4&lt;&gt;""),AND(HU4&gt;=HV$22,HU4&lt;&gt;""),AND(IR4&gt;=IV$22,IR4&lt;&gt;""),AND(IU4&gt;=IV$22,IU4&lt;&gt;""),AND(JR4&gt;=JV$22,JR4&lt;&gt;""),AND(JU4&gt;=JV$22,JU4&lt;&gt;""),AND(KR4&gt;=KV$22,KR4&lt;&gt;""),AND(KU4&gt;=KV$22,KU4&lt;&gt;""),AND(LR4&gt;=LV$22,LR4&lt;&gt;""),AND(LU4&gt;=LV$22,LU4&lt;&gt;""),AND(MR4&gt;=MV$22,MR4&lt;&gt;""),AND(MU4&gt;=MV$22,MU4&lt;&gt;""),AND(NR4&gt;=NV$22,NR4&lt;&gt;""),AND(NU4&gt;=NV$22,NU4&lt;&gt;""),AND(OR4&gt;=OV$22,OR4&lt;&gt;""),AND(OU4&gt;=OV$22,OU4&lt;&gt;"")),"P","")</f>
        <v>P</v>
      </c>
      <c r="H4" s="47" t="str">
        <f>IF(AND(G4="P",F4=""),"No DD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Merit",IF(OR(AND(AM4&gt;=AR$20,AN4&gt;=AR$24,AM4&lt;&gt;"",AL4=""),AND(AP4&gt;=AR$20,AQ4&gt;=AR$24,AP4&lt;&gt;"",AL4=""),AND(BN4&gt;=BS$20,BO4&gt;=BS$24,BN4&lt;&gt;"",BM4=""),AND(BQ4&gt;=BS$20,BR4&gt;=BS$24,BQ4&lt;&gt;"",BM4=""),AND(CO4&gt;=CT$20,CP4&gt;=CT$24,CO4&lt;&gt;"",CN4=""),AND(CR4&gt;=CT$20,CS4&gt;=CT$24,CR4&lt;&gt;""),AND(DQ4&gt;=DV$20,DR4&gt;=DV$24,DQ4&lt;&gt;""),AND(DT4&gt;=DV$20,DU4&gt;=DV$24,DT4&lt;&gt;""),AND(EQ4&gt;=EV$20,ER4&gt;=EV$24,EQ4&lt;&gt;""),AND(ET4&gt;=EV$20,EU4&gt;=EV$24,ET4&lt;&gt;""),AND(FQ4&gt;=FV$20,FR4&gt;=FV$24,FQ4&lt;&gt;""),AND(FT4&gt;=FV$20,FU4&gt;=FV$24,FT4&lt;&gt;""),AND(GQ4&gt;=GV$20,GR4&gt;=GV$24,GQ4&lt;&gt;""),AND(GT4&gt;=GV$20,GU4&gt;=GV$24,GT4&lt;&gt;""),AND(HQ4&gt;=HV$20,HR4&gt;=HV$24,HQ4&lt;&gt;""),AND(HT4&gt;=HV$20,HU4&gt;=HV$24,HT4&lt;&gt;""),AND(IQ4&gt;=IV$20,IR4&gt;=IV$24,IQ4&lt;&gt;""),AND(IT4&gt;=IV$20,IU4&gt;=IV$24,IT4&lt;&gt;""),AND(JQ4&gt;=JV$20,JR4&gt;=JV$24,JQ4&lt;&gt;""),AND(JT4&gt;=JV$20,JU4&gt;=JV$24,JT4&lt;&gt;""),AND(KQ4&gt;=KV$20,KR4&gt;=KV$24,KQ4&lt;&gt;""),AND(KT4&gt;=KV$20,KU4&gt;=KV$24,KT4&lt;&gt;""),AND(LQ4&gt;=LV$20,LR4&gt;=LV$24,LQ4&lt;&gt;""),AND(LT4&gt;=LV$20,LU4&gt;=LV$24,LT4&lt;&gt;""),AND(MQ4&gt;=MV$20,MR4&gt;=MV$24,MQ4&lt;&gt;""),AND(MT4&gt;=MV$20,MU4&gt;=MV$24,MT4&lt;&gt;""),AND(NQ4&gt;=NV$20,NR4&gt;=NV$24,NQ4&lt;&gt;""),AND(NT4&gt;=NV$20,NU4&gt;=NV$24,NT4&lt;&gt;""),AND(OQ4&gt;=OV$20,OR4&gt;=OV$24,OQ4&lt;&gt;""),AND(OT4&gt;=OV$20,OU4&gt;=OV$24,OT4&lt;&gt;"")),"Excellence",IF(F4="P","National Team",""))))</f>
        <v>National Team</v>
      </c>
      <c r="I4" s="9">
        <f>IF(COUNT(AN4,BO4,CP4)&gt;0,LARGE((AN4,BO4,CP4),1),0)</f>
        <v>50.599999999999994</v>
      </c>
      <c r="J4" s="9" t="str">
        <f>IF(I4=0,"",IF(I4=CP4,$BT$1,IF(I4=BO4,$AS$1,IF(I4=AN4,$R$1,""))))</f>
        <v>2025 Nationals</v>
      </c>
      <c r="K4" s="9">
        <f>IF(COUNT(AN4,BO4,CP4)&gt;1,LARGE((AN4,BO4,CP4),2),0)</f>
        <v>48.599999999999994</v>
      </c>
      <c r="L4" s="9" t="str">
        <f>IF(K4=0,"",IF(AND(K4=I4,K4=AN4,K4=BO4),$R$1,IF(AND(K4=I4,K4=AN4,K4=CP4),$R$1,IF(AND(K4=I4,K4=CP4,K4=BO4),$AS$1,IF(K4=CP4,$BT$1,IF(K4=BO4,$AS$1,IF(K4=AN4,$R$1,"")))))))</f>
        <v>2025 3rd Domestic Trial</v>
      </c>
      <c r="M4" s="9">
        <f>IF(MAX(AQ4,BR4,CS4)&gt;0,MAX(AQ4,BR4,CS4),0)</f>
        <v>50.4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16.5</v>
      </c>
      <c r="S4" s="20">
        <v>6</v>
      </c>
      <c r="T4" s="20">
        <v>0</v>
      </c>
      <c r="U4" s="20">
        <v>0</v>
      </c>
      <c r="V4" s="20">
        <v>17.899999999999999</v>
      </c>
      <c r="W4" s="20">
        <v>4.8</v>
      </c>
      <c r="X4" s="20">
        <v>0.8</v>
      </c>
      <c r="Y4" s="20">
        <v>0</v>
      </c>
      <c r="Z4" s="20"/>
      <c r="AA4" s="20"/>
      <c r="AB4" s="20"/>
      <c r="AC4" s="20"/>
      <c r="AD4" s="20">
        <v>18</v>
      </c>
      <c r="AE4" s="20">
        <v>6</v>
      </c>
      <c r="AF4" s="20">
        <v>0.6</v>
      </c>
      <c r="AG4" s="20">
        <v>0</v>
      </c>
      <c r="AH4" s="20">
        <v>18.8</v>
      </c>
      <c r="AI4" s="20">
        <v>5.6</v>
      </c>
      <c r="AJ4" s="20">
        <v>0.6</v>
      </c>
      <c r="AK4" s="20">
        <v>0</v>
      </c>
      <c r="AL4" s="32"/>
      <c r="AM4" s="55">
        <f>IF(SUM(S4,W4)&gt;0,SUM(S4,W4),"")</f>
        <v>10.8</v>
      </c>
      <c r="AN4" s="55">
        <f>IF(SUM(R4:S4,U4:W4,Y4)-T4-X4&gt;0,SUM(R4:S4,U4:W4,Y4)-T4-X4,"")</f>
        <v>44.4</v>
      </c>
      <c r="AO4" s="55" t="str">
        <f>IF(SUM(Z4:AA4,AC4)-AB4&gt;0,SUM(Z4:AA4,AC4)-AB4,"")</f>
        <v/>
      </c>
      <c r="AP4" s="55">
        <f>IF(SUM(AE4,AI4)&gt;0,SUM(AE4,AI4),"")</f>
        <v>11.6</v>
      </c>
      <c r="AQ4" s="55">
        <f>IF(SUM(AD4:AE4,AG4:AI4,AK4)-SUM(AF4,AJ4)&gt;0,SUM(AD4:AE4,AG4:AI4,AK4)-SUM(AF4,AJ4),"")</f>
        <v>47.199999999999996</v>
      </c>
      <c r="AR4" s="55">
        <f>IF(SUM(AN4,AO4,AQ4)&gt;0,SUM(AN4,AO4,AQ4),"")</f>
        <v>91.6</v>
      </c>
      <c r="AS4" s="19">
        <v>18.8</v>
      </c>
      <c r="AT4" s="19">
        <v>6.4</v>
      </c>
      <c r="AU4" s="19">
        <v>0.2</v>
      </c>
      <c r="AV4" s="19">
        <v>0</v>
      </c>
      <c r="AW4" s="19">
        <v>18.8</v>
      </c>
      <c r="AX4" s="19">
        <v>6.8</v>
      </c>
      <c r="AY4" s="19">
        <v>0</v>
      </c>
      <c r="AZ4" s="19">
        <v>0</v>
      </c>
      <c r="BA4" s="19"/>
      <c r="BB4" s="19"/>
      <c r="BC4" s="19"/>
      <c r="BD4" s="19"/>
      <c r="BE4" s="19">
        <v>19</v>
      </c>
      <c r="BF4" s="19">
        <v>6.4</v>
      </c>
      <c r="BG4" s="19">
        <v>0.2</v>
      </c>
      <c r="BH4" s="19">
        <v>0</v>
      </c>
      <c r="BI4" s="19">
        <v>19</v>
      </c>
      <c r="BJ4" s="19">
        <v>6.8</v>
      </c>
      <c r="BK4" s="19">
        <v>0.6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50.599999999999994</v>
      </c>
      <c r="BP4" s="14" t="str">
        <f>IF(SUM(BA4:BB4,BD4)-BC4&gt;0,SUM(BA4:BB4,BD4)-BC4,"")</f>
        <v/>
      </c>
      <c r="BQ4" s="14">
        <f>IF(SUM(BF4,BJ4)&gt;0,SUM(BF4,BJ4),"")</f>
        <v>13.2</v>
      </c>
      <c r="BR4" s="14">
        <f>IF(SUM(BE4:BF4,BH4:BJ4,BL4)-SUM(BG4,BK4)&gt;0,SUM(BE4:BF4,BH4:BJ4,BL4)-SUM(BG4,BK4),"")</f>
        <v>50.4</v>
      </c>
      <c r="BS4" s="14">
        <f>IF(SUM(BO4,BP4,BR4)&gt;0,SUM(BO4,BP4,BR4),"")</f>
        <v>101</v>
      </c>
      <c r="BT4" s="20">
        <v>18.3</v>
      </c>
      <c r="BU4" s="20">
        <v>5.6</v>
      </c>
      <c r="BV4" s="20">
        <v>0.6</v>
      </c>
      <c r="BW4" s="20">
        <v>0</v>
      </c>
      <c r="BX4" s="20">
        <v>19.100000000000001</v>
      </c>
      <c r="BY4" s="20">
        <v>6.8</v>
      </c>
      <c r="BZ4" s="20">
        <v>0.6</v>
      </c>
      <c r="CA4" s="20">
        <v>0</v>
      </c>
      <c r="CB4" s="20"/>
      <c r="CC4" s="20"/>
      <c r="CD4" s="20"/>
      <c r="CE4" s="20"/>
      <c r="CF4" s="20">
        <v>18.8</v>
      </c>
      <c r="CG4" s="20">
        <v>6</v>
      </c>
      <c r="CH4" s="20">
        <v>0.6</v>
      </c>
      <c r="CI4" s="20">
        <v>0</v>
      </c>
      <c r="CJ4" s="20">
        <v>18.899999999999999</v>
      </c>
      <c r="CK4" s="20">
        <v>4.4000000000000004</v>
      </c>
      <c r="CL4" s="20">
        <v>0.6</v>
      </c>
      <c r="CM4" s="20">
        <v>0</v>
      </c>
      <c r="CN4" s="32"/>
      <c r="CO4" s="55">
        <f>IF(SUM(BU4,BY4)&gt;0,SUM(BU4,BY4),"")</f>
        <v>12.399999999999999</v>
      </c>
      <c r="CP4" s="55">
        <f>IF(SUM(BT4:BU4,BW4:BY4,CA4)-BV4-BZ4&gt;0,SUM(BT4:BU4,BW4:BY4,CA4)-BV4-BZ4,"")</f>
        <v>48.599999999999994</v>
      </c>
      <c r="CQ4" s="55" t="str">
        <f>IF(SUM(CB4:CC4,CE4)-CD4&gt;0,SUM(CB4:CC4,CE4)-CD4,"")</f>
        <v/>
      </c>
      <c r="CR4" s="55">
        <f>IF(SUM(CG4,CK4)&gt;0,SUM(CG4,CK4),"")</f>
        <v>10.4</v>
      </c>
      <c r="CS4" s="55">
        <f>IF(SUM(CF4:CG4,CI4:CK4,CM4)-SUM(CH4,CL4)&gt;0,SUM(CF4:CG4,CI4:CK4,CM4)-SUM(CH4,CL4),"")</f>
        <v>46.9</v>
      </c>
      <c r="CT4" s="55">
        <f>IF(SUM(CP4,CQ4,CS4)&gt;0,SUM(CP4,CQ4,CS4),"")</f>
        <v>95.5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18.55</v>
      </c>
      <c r="OX4" s="27">
        <f>IF($CN4="P",BU4,(BU4+AT4)/2)</f>
        <v>6</v>
      </c>
      <c r="OY4" s="27">
        <f>IF($CN4="P",BV4,(BV4+AU4)/2)</f>
        <v>0.4</v>
      </c>
      <c r="OZ4" s="27">
        <f>IF($CN4="P",BW4,(BW4+AV4)/2)</f>
        <v>0</v>
      </c>
      <c r="PA4" s="27">
        <f>IF($CN4="P",BX4,(BX4+AW4)/2)</f>
        <v>18.950000000000003</v>
      </c>
      <c r="PB4" s="27">
        <f>IF($CN4="P",BY4,(BY4+AX4)/2)</f>
        <v>6.8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18.899999999999999</v>
      </c>
      <c r="PJ4" s="27">
        <f>IF($CN4="P",CG4,(CG4+BF4)/2)</f>
        <v>6.2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18.95</v>
      </c>
      <c r="PN4" s="27">
        <f>IF($CN4="P",CK4,(CK4+BJ4)/2)</f>
        <v>5.6</v>
      </c>
      <c r="PO4" s="27">
        <f>IF($CN4="P",CL4,(CL4+BK4)/2)</f>
        <v>0.6</v>
      </c>
      <c r="PP4" s="27">
        <f>IF($CN4="P",CM4,(CM4+BL4)/2)</f>
        <v>0</v>
      </c>
      <c r="PQ4" s="32" t="s">
        <v>44</v>
      </c>
      <c r="PR4" s="55">
        <f>IF(SUM(OX4,PB4)&gt;0,SUM(OX4,PB4),"")</f>
        <v>12.8</v>
      </c>
      <c r="PS4" s="55">
        <f>IF(SUM(OW4:OX4,OZ4:PB4,PD4)-OY4-PC4&gt;0,SUM(OW4:OX4,OZ4:PB4,PD4)-OY4-PC4,"")</f>
        <v>49.6</v>
      </c>
      <c r="PT4" s="55" t="str">
        <f>IF(SUM(PE4:PF4,PH4)-PG4&gt;0,SUM(PE4:PF4,PH4)-PG4,"")</f>
        <v/>
      </c>
      <c r="PU4" s="55">
        <f>IF(SUM(PJ4,PN4)&gt;0,SUM(PJ4,PN4),"")</f>
        <v>11.8</v>
      </c>
      <c r="PV4" s="55">
        <f>IF(SUM(PI4:PJ4,PL4:PN4,PP4)-SUM(PK4,PO4)&gt;0,SUM(PI4:PJ4,PL4:PN4,PP4)-SUM(PK4,PO4),"")</f>
        <v>48.65</v>
      </c>
      <c r="PW4" s="55">
        <f>IF(SUM(PS4,PT4,PV4)&gt;0,SUM(PS4,PT4,PV4),"")</f>
        <v>98.25</v>
      </c>
    </row>
    <row r="5" spans="1:439" x14ac:dyDescent="0.2">
      <c r="A5" s="4" t="str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/>
      </c>
      <c r="B5" s="5" t="s">
        <v>96</v>
      </c>
      <c r="C5" s="4" t="s">
        <v>65</v>
      </c>
      <c r="D5" s="4">
        <v>2009</v>
      </c>
      <c r="E5" s="10">
        <f>SUM(I5:O5)+SUM(I5:M5)*0.0000001+SUM(I5)*0.0000000000001</f>
        <v>147.20001472000499</v>
      </c>
      <c r="F5" s="3" t="str">
        <f>IF(OR(AND(AM5&gt;=AR$18,AN5&gt;=AR$22,AM5&lt;&gt;"",AL5=""),AND(AP5&gt;=AR$18,AQ5&gt;=AR$22,AP5&lt;&gt;"",AL5=""),AND(BN5&gt;=BS$18,BO5&gt;=BS$22,BN5&lt;&gt;"",BM5=""),AND(BQ5&gt;=BS$18,BR5&gt;=BS$22,BQ5&lt;&gt;"",BM5=""),AND(CO5&gt;=CT$18,CP5&gt;=CT$22,CO5&lt;&gt;"",CN5=""),AND(CR5&gt;=CT$18,CS5&gt;=CT$22,CR5&lt;&gt;""),AND(DQ5&gt;=DV$18,DR5&gt;=DV$22,DQ5&lt;&gt;""),AND(DT5&gt;=DV$18,DU5&gt;=DV$22,DT5&lt;&gt;""),AND(EQ5&gt;=EV$18,ER5&gt;=EV$22,EQ5&lt;&gt;""),AND(ET5&gt;=EV$18,EU5&gt;=EV$22,ET5&lt;&gt;""),AND(FQ5&gt;=FV$18,FR5&gt;=FV$22,FQ5&lt;&gt;""),AND(FT5&gt;=FV$18,FU5&gt;=FV$22,FT5&lt;&gt;""),AND(GQ5&gt;=GV$18,GR5&gt;=GV$22,GQ5&lt;&gt;""),AND(GT5&gt;=GV$18,GU5&gt;=GV$22,GT5&lt;&gt;""),AND(HQ5&gt;=HV$18,HR5&gt;=HV$22,HQ5&lt;&gt;""),AND(HT5&gt;=HV$18,HU5&gt;=HV$22,HT5&lt;&gt;""),AND(IQ5&gt;=IV$18,IR5&gt;=IV$22,IQ5&lt;&gt;""),AND(IT5&gt;=IV$18,IU5&gt;=IV$22,IT5&lt;&gt;""),AND(JQ5&gt;=JV$18,JR5&gt;=JV$22,JQ5&lt;&gt;""),AND(JT5&gt;=JV$18,JU5&gt;=JV$22,JT5&lt;&gt;""),AND(KQ5&gt;=KV$18,KR5&gt;=KV$22,KQ5&lt;&gt;""),AND(KT5&gt;=KV$18,KU5&gt;=KV$22,KT5&lt;&gt;""),AND(LQ5&gt;=LV$18,LR5&gt;=LV$22,LQ5&lt;&gt;""),AND(LT5&gt;=LV$18,LU5&gt;=LV$22,LT5&lt;&gt;""),AND(MQ5&gt;=MV$18,MR5&gt;=MV$22,MQ5&lt;&gt;""),AND(MT5&gt;=MV$18,MU5&gt;=MV$22,MT5&lt;&gt;""),AND(NQ5&gt;=NV$18,NR5&gt;=NV$22,NQ5&lt;&gt;""),AND(NT5&gt;=NV$18,NU5&gt;=NV$22,NT5&lt;&gt;""),AND(OQ5&gt;=OV$18,OR5&gt;=OV$22,OQ5&lt;&gt;""),AND(OT5&gt;=OV$18,OU5&gt;=OV$22,OT5&lt;&gt;"")),"P","")</f>
        <v/>
      </c>
      <c r="G5" s="3" t="str">
        <f>IF(OR(AND(AN5&gt;=AR$22,AN5&lt;&gt;"",AL5=""),AND(AQ5&gt;=AR$22,AQ5&lt;&gt;"",AL5=""),AND(BO5&gt;=BS$22,BO5&lt;&gt;"",BM5=""),AND(BR5&gt;=BS$22,BR5&lt;&gt;"",BM5=""),AND(CP5&gt;=CT$22,CP5&lt;&gt;"",CN5=""),AND(CS5&gt;=CT$22,CS5&lt;&gt;"",CN5=""),AND(DR5&gt;=DV$22,DR5&lt;&gt;""),AND(DU5&gt;=DV$22,DU5&lt;&gt;""),AND(ER5&gt;=EV$22,ER5&lt;&gt;""),AND(EU5&gt;=EV$22,EU5&lt;&gt;""),AND(FR5&gt;=FV$22,FR5&lt;&gt;""),AND(FU5&gt;=FV$22,FU5&lt;&gt;""),AND(GR5&gt;=GV$22,GR5&lt;&gt;""),AND(GU5&gt;=GV$22,GU5&lt;&gt;""),AND(HR5&gt;=HV$22,HR5&lt;&gt;""),AND(HU5&gt;=HV$22,HU5&lt;&gt;""),AND(IR5&gt;=IV$22,IR5&lt;&gt;""),AND(IU5&gt;=IV$22,IU5&lt;&gt;""),AND(JR5&gt;=JV$22,JR5&lt;&gt;""),AND(JU5&gt;=JV$22,JU5&lt;&gt;""),AND(KR5&gt;=KV$22,KR5&lt;&gt;""),AND(KU5&gt;=KV$22,KU5&lt;&gt;""),AND(LR5&gt;=LV$22,LR5&lt;&gt;""),AND(LU5&gt;=LV$22,LU5&lt;&gt;""),AND(MR5&gt;=MV$22,MR5&lt;&gt;""),AND(MU5&gt;=MV$22,MU5&lt;&gt;""),AND(NR5&gt;=NV$22,NR5&lt;&gt;""),AND(NU5&gt;=NV$22,NU5&lt;&gt;""),AND(OR5&gt;=OV$22,OR5&lt;&gt;""),AND(OU5&gt;=OV$22,OU5&lt;&gt;"")),"P","")</f>
        <v/>
      </c>
      <c r="H5" s="47" t="str">
        <f>IF(AND(G5="P",F5=""),"No DD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Merit",IF(OR(AND(AM5&gt;=AR$20,AN5&gt;=AR$24,AM5&lt;&gt;"",AL5=""),AND(AP5&gt;=AR$20,AQ5&gt;=AR$24,AP5&lt;&gt;"",AL5=""),AND(BN5&gt;=BS$20,BO5&gt;=BS$24,BN5&lt;&gt;"",BM5=""),AND(BQ5&gt;=BS$20,BR5&gt;=BS$24,BQ5&lt;&gt;"",BM5=""),AND(CO5&gt;=CT$20,CP5&gt;=CT$24,CO5&lt;&gt;"",CN5=""),AND(CR5&gt;=CT$20,CS5&gt;=CT$24,CR5&lt;&gt;""),AND(DQ5&gt;=DV$20,DR5&gt;=DV$24,DQ5&lt;&gt;""),AND(DT5&gt;=DV$20,DU5&gt;=DV$24,DT5&lt;&gt;""),AND(EQ5&gt;=EV$20,ER5&gt;=EV$24,EQ5&lt;&gt;""),AND(ET5&gt;=EV$20,EU5&gt;=EV$24,ET5&lt;&gt;""),AND(FQ5&gt;=FV$20,FR5&gt;=FV$24,FQ5&lt;&gt;""),AND(FT5&gt;=FV$20,FU5&gt;=FV$24,FT5&lt;&gt;""),AND(GQ5&gt;=GV$20,GR5&gt;=GV$24,GQ5&lt;&gt;""),AND(GT5&gt;=GV$20,GU5&gt;=GV$24,GT5&lt;&gt;""),AND(HQ5&gt;=HV$20,HR5&gt;=HV$24,HQ5&lt;&gt;""),AND(HT5&gt;=HV$20,HU5&gt;=HV$24,HT5&lt;&gt;""),AND(IQ5&gt;=IV$20,IR5&gt;=IV$24,IQ5&lt;&gt;""),AND(IT5&gt;=IV$20,IU5&gt;=IV$24,IT5&lt;&gt;""),AND(JQ5&gt;=JV$20,JR5&gt;=JV$24,JQ5&lt;&gt;""),AND(JT5&gt;=JV$20,JU5&gt;=JV$24,JT5&lt;&gt;""),AND(KQ5&gt;=KV$20,KR5&gt;=KV$24,KQ5&lt;&gt;""),AND(KT5&gt;=KV$20,KU5&gt;=KV$24,KT5&lt;&gt;""),AND(LQ5&gt;=LV$20,LR5&gt;=LV$24,LQ5&lt;&gt;""),AND(LT5&gt;=LV$20,LU5&gt;=LV$24,LT5&lt;&gt;""),AND(MQ5&gt;=MV$20,MR5&gt;=MV$24,MQ5&lt;&gt;""),AND(MT5&gt;=MV$20,MU5&gt;=MV$24,MT5&lt;&gt;""),AND(NQ5&gt;=NV$20,NR5&gt;=NV$24,NQ5&lt;&gt;""),AND(NT5&gt;=NV$20,NU5&gt;=NV$24,NT5&lt;&gt;""),AND(OQ5&gt;=OV$20,OR5&gt;=OV$24,OQ5&lt;&gt;""),AND(OT5&gt;=OV$20,OU5&gt;=OV$24,OT5&lt;&gt;"")),"Excellence",IF(F5="P","National Team",""))))</f>
        <v/>
      </c>
      <c r="I5" s="9">
        <f>IF(COUNT(AN5,BO5,CP5)&gt;0,LARGE((AN5,BO5,CP5),1),0)</f>
        <v>49.6</v>
      </c>
      <c r="J5" s="9" t="str">
        <f>IF(I5=0,"",IF(I5=CP5,$BT$1,IF(I5=BO5,$AS$1,IF(I5=AN5,$R$1,""))))</f>
        <v>2025 Nationals</v>
      </c>
      <c r="K5" s="9">
        <f>IF(COUNT(AN5,BO5,CP5)&gt;1,LARGE((AN5,BO5,CP5),2),0)</f>
        <v>48.7</v>
      </c>
      <c r="L5" s="9" t="str">
        <f>IF(K5=0,"",IF(AND(K5=I5,K5=AN5,K5=BO5),$R$1,IF(AND(K5=I5,K5=AN5,K5=CP5),$R$1,IF(AND(K5=I5,K5=CP5,K5=BO5),$AS$1,IF(K5=CP5,$BT$1,IF(K5=BO5,$AS$1,IF(K5=AN5,$R$1,"")))))))</f>
        <v>2025 Elite Canada</v>
      </c>
      <c r="M5" s="9">
        <f>IF(MAX(AQ5,BR5,CS5)&gt;0,MAX(AQ5,BR5,CS5),0)</f>
        <v>48.900000000000006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18.3</v>
      </c>
      <c r="S5" s="20">
        <v>6.4</v>
      </c>
      <c r="T5" s="20">
        <v>0</v>
      </c>
      <c r="U5" s="20">
        <v>0</v>
      </c>
      <c r="V5" s="20">
        <v>18.2</v>
      </c>
      <c r="W5" s="20">
        <v>6</v>
      </c>
      <c r="X5" s="20">
        <v>0.2</v>
      </c>
      <c r="Y5" s="20">
        <v>0</v>
      </c>
      <c r="Z5" s="20"/>
      <c r="AA5" s="20"/>
      <c r="AB5" s="20"/>
      <c r="AC5" s="20"/>
      <c r="AD5" s="20">
        <v>18.600000000000001</v>
      </c>
      <c r="AE5" s="20">
        <v>6.4</v>
      </c>
      <c r="AF5" s="20">
        <v>0.2</v>
      </c>
      <c r="AG5" s="20">
        <v>0</v>
      </c>
      <c r="AH5" s="20">
        <v>18.3</v>
      </c>
      <c r="AI5" s="20">
        <v>5.2</v>
      </c>
      <c r="AJ5" s="20">
        <v>0</v>
      </c>
      <c r="AK5" s="20">
        <v>0</v>
      </c>
      <c r="AL5" s="32"/>
      <c r="AM5" s="55">
        <f>IF(SUM(S5,W5)&gt;0,SUM(S5,W5),"")</f>
        <v>12.4</v>
      </c>
      <c r="AN5" s="55">
        <f>IF(SUM(R5:S5,U5:W5,Y5)-T5-X5&gt;0,SUM(R5:S5,U5:W5,Y5)-T5-X5,"")</f>
        <v>48.7</v>
      </c>
      <c r="AO5" s="55" t="str">
        <f>IF(SUM(Z5:AA5,AC5)-AB5&gt;0,SUM(Z5:AA5,AC5)-AB5,"")</f>
        <v/>
      </c>
      <c r="AP5" s="55">
        <f>IF(SUM(AE5,AI5)&gt;0,SUM(AE5,AI5),"")</f>
        <v>11.600000000000001</v>
      </c>
      <c r="AQ5" s="55">
        <f>IF(SUM(AD5:AE5,AG5:AI5,AK5)-SUM(AF5,AJ5)&gt;0,SUM(AD5:AE5,AG5:AI5,AK5)-SUM(AF5,AJ5),"")</f>
        <v>48.3</v>
      </c>
      <c r="AR5" s="55">
        <f>IF(SUM(AN5,AO5,AQ5)&gt;0,SUM(AN5,AO5,AQ5),"")</f>
        <v>97</v>
      </c>
      <c r="AS5" s="19">
        <v>18.5</v>
      </c>
      <c r="AT5" s="19">
        <v>7.2</v>
      </c>
      <c r="AU5" s="19">
        <v>0.8</v>
      </c>
      <c r="AV5" s="19">
        <v>0</v>
      </c>
      <c r="AW5" s="19">
        <v>18.7</v>
      </c>
      <c r="AX5" s="19">
        <v>6.8</v>
      </c>
      <c r="AY5" s="19">
        <v>0.8</v>
      </c>
      <c r="AZ5" s="19">
        <v>0</v>
      </c>
      <c r="BA5" s="19"/>
      <c r="BB5" s="19"/>
      <c r="BC5" s="19"/>
      <c r="BD5" s="19"/>
      <c r="BE5" s="19">
        <v>18.100000000000001</v>
      </c>
      <c r="BF5" s="19">
        <v>6</v>
      </c>
      <c r="BG5" s="19">
        <v>0.6</v>
      </c>
      <c r="BH5" s="19">
        <v>0</v>
      </c>
      <c r="BI5" s="19">
        <v>19</v>
      </c>
      <c r="BJ5" s="19">
        <v>7.2</v>
      </c>
      <c r="BK5" s="19">
        <v>0.8</v>
      </c>
      <c r="BL5" s="19">
        <v>0</v>
      </c>
      <c r="BM5" s="33"/>
      <c r="BN5" s="14">
        <f>IF(SUM(AT5,AX5)&gt;0,SUM(AT5,AX5),"")</f>
        <v>14</v>
      </c>
      <c r="BO5" s="14">
        <f>IF(SUM(AS5:AT5,AV5:AX5,AZ5)-AU5-AY5&gt;0,SUM(AS5:AT5,AV5:AX5,AZ5)-AU5-AY5,"")</f>
        <v>49.6</v>
      </c>
      <c r="BP5" s="14" t="str">
        <f>IF(SUM(BA5:BB5,BD5)-BC5&gt;0,SUM(BA5:BB5,BD5)-BC5,"")</f>
        <v/>
      </c>
      <c r="BQ5" s="14">
        <f>IF(SUM(BF5,BJ5)&gt;0,SUM(BF5,BJ5),"")</f>
        <v>13.2</v>
      </c>
      <c r="BR5" s="14">
        <f>IF(SUM(BE5:BF5,BH5:BJ5,BL5)-SUM(BG5,BK5)&gt;0,SUM(BE5:BF5,BH5:BJ5,BL5)-SUM(BG5,BK5),"")</f>
        <v>48.900000000000006</v>
      </c>
      <c r="BS5" s="14">
        <f>IF(SUM(BO5,BP5,BR5)&gt;0,SUM(BO5,BP5,BR5),"")</f>
        <v>98.5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9.25</v>
      </c>
      <c r="OX5" s="27">
        <f>IF($CN5="P",BU5,(BU5+AT5)/2)</f>
        <v>3.6</v>
      </c>
      <c r="OY5" s="27">
        <f>IF($CN5="P",BV5,(BV5+AU5)/2)</f>
        <v>0.4</v>
      </c>
      <c r="OZ5" s="27">
        <f>IF($CN5="P",BW5,(BW5+AV5)/2)</f>
        <v>0</v>
      </c>
      <c r="PA5" s="27">
        <f>IF($CN5="P",BX5,(BX5+AW5)/2)</f>
        <v>9.35</v>
      </c>
      <c r="PB5" s="27">
        <f>IF($CN5="P",BY5,(BY5+AX5)/2)</f>
        <v>3.4</v>
      </c>
      <c r="PC5" s="27">
        <f>IF($CN5="P",BZ5,(BZ5+AY5)/2)</f>
        <v>0.4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9.0500000000000007</v>
      </c>
      <c r="PJ5" s="27">
        <f>IF($CN5="P",CG5,(CG5+BF5)/2)</f>
        <v>3</v>
      </c>
      <c r="PK5" s="27">
        <f>IF($CN5="P",CH5,(CH5+BG5)/2)</f>
        <v>0.3</v>
      </c>
      <c r="PL5" s="27">
        <f>IF($CN5="P",CI5,(CI5+BH5)/2)</f>
        <v>0</v>
      </c>
      <c r="PM5" s="27">
        <f>IF($CN5="P",CJ5,(CJ5+BI5)/2)</f>
        <v>9.5</v>
      </c>
      <c r="PN5" s="27">
        <f>IF($CN5="P",CK5,(CK5+BJ5)/2)</f>
        <v>3.6</v>
      </c>
      <c r="PO5" s="27">
        <f>IF($CN5="P",CL5,(CL5+BK5)/2)</f>
        <v>0.4</v>
      </c>
      <c r="PP5" s="27">
        <f>IF($CN5="P",CM5,(CM5+BL5)/2)</f>
        <v>0</v>
      </c>
      <c r="PQ5" s="32" t="s">
        <v>44</v>
      </c>
      <c r="PR5" s="55">
        <f>IF(SUM(OX5,PB5)&gt;0,SUM(OX5,PB5),"")</f>
        <v>7</v>
      </c>
      <c r="PS5" s="55">
        <f>IF(SUM(OW5:OX5,OZ5:PB5,PD5)-OY5-PC5&gt;0,SUM(OW5:OX5,OZ5:PB5,PD5)-OY5-PC5,"")</f>
        <v>24.8</v>
      </c>
      <c r="PT5" s="55" t="str">
        <f>IF(SUM(PE5:PF5,PH5)-PG5&gt;0,SUM(PE5:PF5,PH5)-PG5,"")</f>
        <v/>
      </c>
      <c r="PU5" s="55">
        <f>IF(SUM(PJ5,PN5)&gt;0,SUM(PJ5,PN5),"")</f>
        <v>6.6</v>
      </c>
      <c r="PV5" s="55">
        <f>IF(SUM(PI5:PJ5,PL5:PN5,PP5)-SUM(PK5,PO5)&gt;0,SUM(PI5:PJ5,PL5:PN5,PP5)-SUM(PK5,PO5),"")</f>
        <v>24.450000000000003</v>
      </c>
      <c r="PW5" s="55">
        <f>IF(SUM(PS5,PT5,PV5)&gt;0,SUM(PS5,PT5,PV5),"")</f>
        <v>49.25</v>
      </c>
    </row>
    <row r="6" spans="1:439" x14ac:dyDescent="0.2">
      <c r="A6" s="4" t="str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/>
      </c>
      <c r="B6" s="5" t="s">
        <v>84</v>
      </c>
      <c r="C6" s="4" t="s">
        <v>67</v>
      </c>
      <c r="D6" s="4">
        <v>2012</v>
      </c>
      <c r="E6" s="10">
        <f>SUM(I6:O6)+SUM(I6:M6)*0.0000001+SUM(I6)*0.0000000000001</f>
        <v>147.20001472000493</v>
      </c>
      <c r="F6" s="3" t="str">
        <f>IF(OR(AND(AM6&gt;=AR$18,AN6&gt;=AR$22,AM6&lt;&gt;"",AL6=""),AND(AP6&gt;=AR$18,AQ6&gt;=AR$22,AP6&lt;&gt;"",AL6=""),AND(BN6&gt;=BS$18,BO6&gt;=BS$22,BN6&lt;&gt;"",BM6=""),AND(BQ6&gt;=BS$18,BR6&gt;=BS$22,BQ6&lt;&gt;"",BM6=""),AND(CO6&gt;=CT$18,CP6&gt;=CT$22,CO6&lt;&gt;"",CN6=""),AND(CR6&gt;=CT$18,CS6&gt;=CT$22,CR6&lt;&gt;""),AND(DQ6&gt;=DV$18,DR6&gt;=DV$22,DQ6&lt;&gt;""),AND(DT6&gt;=DV$18,DU6&gt;=DV$22,DT6&lt;&gt;""),AND(EQ6&gt;=EV$18,ER6&gt;=EV$22,EQ6&lt;&gt;""),AND(ET6&gt;=EV$18,EU6&gt;=EV$22,ET6&lt;&gt;""),AND(FQ6&gt;=FV$18,FR6&gt;=FV$22,FQ6&lt;&gt;""),AND(FT6&gt;=FV$18,FU6&gt;=FV$22,FT6&lt;&gt;""),AND(GQ6&gt;=GV$18,GR6&gt;=GV$22,GQ6&lt;&gt;""),AND(GT6&gt;=GV$18,GU6&gt;=GV$22,GT6&lt;&gt;""),AND(HQ6&gt;=HV$18,HR6&gt;=HV$22,HQ6&lt;&gt;""),AND(HT6&gt;=HV$18,HU6&gt;=HV$22,HT6&lt;&gt;""),AND(IQ6&gt;=IV$18,IR6&gt;=IV$22,IQ6&lt;&gt;""),AND(IT6&gt;=IV$18,IU6&gt;=IV$22,IT6&lt;&gt;""),AND(JQ6&gt;=JV$18,JR6&gt;=JV$22,JQ6&lt;&gt;""),AND(JT6&gt;=JV$18,JU6&gt;=JV$22,JT6&lt;&gt;""),AND(KQ6&gt;=KV$18,KR6&gt;=KV$22,KQ6&lt;&gt;""),AND(KT6&gt;=KV$18,KU6&gt;=KV$22,KT6&lt;&gt;""),AND(LQ6&gt;=LV$18,LR6&gt;=LV$22,LQ6&lt;&gt;""),AND(LT6&gt;=LV$18,LU6&gt;=LV$22,LT6&lt;&gt;""),AND(MQ6&gt;=MV$18,MR6&gt;=MV$22,MQ6&lt;&gt;""),AND(MT6&gt;=MV$18,MU6&gt;=MV$22,MT6&lt;&gt;""),AND(NQ6&gt;=NV$18,NR6&gt;=NV$22,NQ6&lt;&gt;""),AND(NT6&gt;=NV$18,NU6&gt;=NV$22,NT6&lt;&gt;""),AND(OQ6&gt;=OV$18,OR6&gt;=OV$22,OQ6&lt;&gt;""),AND(OT6&gt;=OV$18,OU6&gt;=OV$22,OT6&lt;&gt;"")),"P","")</f>
        <v/>
      </c>
      <c r="G6" s="3" t="str">
        <f>IF(OR(AND(AN6&gt;=AR$22,AN6&lt;&gt;"",AL6=""),AND(AQ6&gt;=AR$22,AQ6&lt;&gt;"",AL6=""),AND(BO6&gt;=BS$22,BO6&lt;&gt;"",BM6=""),AND(BR6&gt;=BS$22,BR6&lt;&gt;"",BM6=""),AND(CP6&gt;=CT$22,CP6&lt;&gt;"",CN6=""),AND(CS6&gt;=CT$22,CS6&lt;&gt;"",CN6=""),AND(DR6&gt;=DV$22,DR6&lt;&gt;""),AND(DU6&gt;=DV$22,DU6&lt;&gt;""),AND(ER6&gt;=EV$22,ER6&lt;&gt;""),AND(EU6&gt;=EV$22,EU6&lt;&gt;""),AND(FR6&gt;=FV$22,FR6&lt;&gt;""),AND(FU6&gt;=FV$22,FU6&lt;&gt;""),AND(GR6&gt;=GV$22,GR6&lt;&gt;""),AND(GU6&gt;=GV$22,GU6&lt;&gt;""),AND(HR6&gt;=HV$22,HR6&lt;&gt;""),AND(HU6&gt;=HV$22,HU6&lt;&gt;""),AND(IR6&gt;=IV$22,IR6&lt;&gt;""),AND(IU6&gt;=IV$22,IU6&lt;&gt;""),AND(JR6&gt;=JV$22,JR6&lt;&gt;""),AND(JU6&gt;=JV$22,JU6&lt;&gt;""),AND(KR6&gt;=KV$22,KR6&lt;&gt;""),AND(KU6&gt;=KV$22,KU6&lt;&gt;""),AND(LR6&gt;=LV$22,LR6&lt;&gt;""),AND(LU6&gt;=LV$22,LU6&lt;&gt;""),AND(MR6&gt;=MV$22,MR6&lt;&gt;""),AND(MU6&gt;=MV$22,MU6&lt;&gt;""),AND(NR6&gt;=NV$22,NR6&lt;&gt;""),AND(NU6&gt;=NV$22,NU6&lt;&gt;""),AND(OR6&gt;=OV$22,OR6&lt;&gt;""),AND(OU6&gt;=OV$22,OU6&lt;&gt;"")),"P","")</f>
        <v/>
      </c>
      <c r="H6" s="47" t="str">
        <f>IF(AND(G6="P",F6=""),"No DD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Merit",IF(OR(AND(AM6&gt;=AR$20,AN6&gt;=AR$24,AM6&lt;&gt;"",AL6=""),AND(AP6&gt;=AR$20,AQ6&gt;=AR$24,AP6&lt;&gt;"",AL6=""),AND(BN6&gt;=BS$20,BO6&gt;=BS$24,BN6&lt;&gt;"",BM6=""),AND(BQ6&gt;=BS$20,BR6&gt;=BS$24,BQ6&lt;&gt;"",BM6=""),AND(CO6&gt;=CT$20,CP6&gt;=CT$24,CO6&lt;&gt;"",CN6=""),AND(CR6&gt;=CT$20,CS6&gt;=CT$24,CR6&lt;&gt;""),AND(DQ6&gt;=DV$20,DR6&gt;=DV$24,DQ6&lt;&gt;""),AND(DT6&gt;=DV$20,DU6&gt;=DV$24,DT6&lt;&gt;""),AND(EQ6&gt;=EV$20,ER6&gt;=EV$24,EQ6&lt;&gt;""),AND(ET6&gt;=EV$20,EU6&gt;=EV$24,ET6&lt;&gt;""),AND(FQ6&gt;=FV$20,FR6&gt;=FV$24,FQ6&lt;&gt;""),AND(FT6&gt;=FV$20,FU6&gt;=FV$24,FT6&lt;&gt;""),AND(GQ6&gt;=GV$20,GR6&gt;=GV$24,GQ6&lt;&gt;""),AND(GT6&gt;=GV$20,GU6&gt;=GV$24,GT6&lt;&gt;""),AND(HQ6&gt;=HV$20,HR6&gt;=HV$24,HQ6&lt;&gt;""),AND(HT6&gt;=HV$20,HU6&gt;=HV$24,HT6&lt;&gt;""),AND(IQ6&gt;=IV$20,IR6&gt;=IV$24,IQ6&lt;&gt;""),AND(IT6&gt;=IV$20,IU6&gt;=IV$24,IT6&lt;&gt;""),AND(JQ6&gt;=JV$20,JR6&gt;=JV$24,JQ6&lt;&gt;""),AND(JT6&gt;=JV$20,JU6&gt;=JV$24,JT6&lt;&gt;""),AND(KQ6&gt;=KV$20,KR6&gt;=KV$24,KQ6&lt;&gt;""),AND(KT6&gt;=KV$20,KU6&gt;=KV$24,KT6&lt;&gt;""),AND(LQ6&gt;=LV$20,LR6&gt;=LV$24,LQ6&lt;&gt;""),AND(LT6&gt;=LV$20,LU6&gt;=LV$24,LT6&lt;&gt;""),AND(MQ6&gt;=MV$20,MR6&gt;=MV$24,MQ6&lt;&gt;""),AND(MT6&gt;=MV$20,MU6&gt;=MV$24,MT6&lt;&gt;""),AND(NQ6&gt;=NV$20,NR6&gt;=NV$24,NQ6&lt;&gt;""),AND(NT6&gt;=NV$20,NU6&gt;=NV$24,NT6&lt;&gt;""),AND(OQ6&gt;=OV$20,OR6&gt;=OV$24,OQ6&lt;&gt;""),AND(OT6&gt;=OV$20,OU6&gt;=OV$24,OT6&lt;&gt;"")),"Excellence",IF(F6="P","National Team",""))))</f>
        <v/>
      </c>
      <c r="I6" s="9">
        <f>IF(COUNT(AN6,BO6,CP6)&gt;0,LARGE((AN6,BO6,CP6),1),0)</f>
        <v>49.1</v>
      </c>
      <c r="J6" s="9" t="str">
        <f>IF(I6=0,"",IF(I6=CP6,$BT$1,IF(I6=BO6,$AS$1,IF(I6=AN6,$R$1,""))))</f>
        <v>2025 Nationals</v>
      </c>
      <c r="K6" s="9">
        <f>IF(COUNT(AN6,BO6,CP6)&gt;1,LARGE((AN6,BO6,CP6),2),0)</f>
        <v>48.500000000000007</v>
      </c>
      <c r="L6" s="9" t="str">
        <f>IF(K6=0,"",IF(AND(K6=I6,K6=AN6,K6=BO6),$R$1,IF(AND(K6=I6,K6=AN6,K6=CP6),$R$1,IF(AND(K6=I6,K6=CP6,K6=BO6),$AS$1,IF(K6=CP6,$BT$1,IF(K6=BO6,$AS$1,IF(K6=AN6,$R$1,"")))))))</f>
        <v>2025 Elite Canada</v>
      </c>
      <c r="M6" s="9">
        <f>IF(MAX(AQ6,BR6,CS6)&gt;0,MAX(AQ6,BR6,CS6),0)</f>
        <v>49.6</v>
      </c>
      <c r="N6" s="9" t="str">
        <f>IF(M6=0,"",IF(M6=CS6,$BT$1,IF(M6=BR6,$AS$1,IF(M6=AQ6,$R$1,""))))</f>
        <v>2025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5.2</v>
      </c>
      <c r="T6" s="20">
        <v>0</v>
      </c>
      <c r="U6" s="20">
        <v>0</v>
      </c>
      <c r="V6" s="20">
        <v>18.600000000000001</v>
      </c>
      <c r="W6" s="20">
        <v>5.6</v>
      </c>
      <c r="X6" s="20">
        <v>0</v>
      </c>
      <c r="Y6" s="20">
        <v>0</v>
      </c>
      <c r="Z6" s="20"/>
      <c r="AA6" s="20"/>
      <c r="AB6" s="20"/>
      <c r="AC6" s="20"/>
      <c r="AD6" s="20">
        <v>19</v>
      </c>
      <c r="AE6" s="20">
        <v>6</v>
      </c>
      <c r="AF6" s="20">
        <v>0</v>
      </c>
      <c r="AG6" s="20">
        <v>0</v>
      </c>
      <c r="AH6" s="20">
        <v>18.600000000000001</v>
      </c>
      <c r="AI6" s="20">
        <v>5.6</v>
      </c>
      <c r="AJ6" s="20">
        <v>0.2</v>
      </c>
      <c r="AK6" s="20">
        <v>0</v>
      </c>
      <c r="AL6" s="32"/>
      <c r="AM6" s="55">
        <f>IF(SUM(S6,W6)&gt;0,SUM(S6,W6),"")</f>
        <v>10.8</v>
      </c>
      <c r="AN6" s="55">
        <f>IF(SUM(R6:S6,U6:W6,Y6)-T6-X6&gt;0,SUM(R6:S6,U6:W6,Y6)-T6-X6,"")</f>
        <v>48.500000000000007</v>
      </c>
      <c r="AO6" s="55" t="str">
        <f>IF(SUM(Z6:AA6,AC6)-AB6&gt;0,SUM(Z6:AA6,AC6)-AB6,"")</f>
        <v/>
      </c>
      <c r="AP6" s="55">
        <f>IF(SUM(AE6,AI6)&gt;0,SUM(AE6,AI6),"")</f>
        <v>11.6</v>
      </c>
      <c r="AQ6" s="55">
        <f>IF(SUM(AD6:AE6,AG6:AI6,AK6)-SUM(AF6,AJ6)&gt;0,SUM(AD6:AE6,AG6:AI6,AK6)-SUM(AF6,AJ6),"")</f>
        <v>49</v>
      </c>
      <c r="AR6" s="55">
        <f>IF(SUM(AN6,AO6,AQ6)&gt;0,SUM(AN6,AO6,AQ6),"")</f>
        <v>97.5</v>
      </c>
      <c r="AS6" s="19">
        <v>19</v>
      </c>
      <c r="AT6" s="19">
        <v>6</v>
      </c>
      <c r="AU6" s="19">
        <v>0.6</v>
      </c>
      <c r="AV6" s="19">
        <v>0</v>
      </c>
      <c r="AW6" s="19">
        <v>19.100000000000001</v>
      </c>
      <c r="AX6" s="19">
        <v>5.6</v>
      </c>
      <c r="AY6" s="19">
        <v>0</v>
      </c>
      <c r="AZ6" s="19">
        <v>0</v>
      </c>
      <c r="BA6" s="19"/>
      <c r="BB6" s="19"/>
      <c r="BC6" s="19"/>
      <c r="BD6" s="19"/>
      <c r="BE6" s="19">
        <v>19.2</v>
      </c>
      <c r="BF6" s="19">
        <v>6</v>
      </c>
      <c r="BG6" s="19">
        <v>0</v>
      </c>
      <c r="BH6" s="19">
        <v>0</v>
      </c>
      <c r="BI6" s="19">
        <v>18.8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49.1</v>
      </c>
      <c r="BP6" s="14" t="str">
        <f>IF(SUM(BA6:BB6,BD6)-BC6&gt;0,SUM(BA6:BB6,BD6)-BC6,"")</f>
        <v/>
      </c>
      <c r="BQ6" s="14">
        <f>IF(SUM(BF6,BJ6)&gt;0,SUM(BF6,BJ6),"")</f>
        <v>11.6</v>
      </c>
      <c r="BR6" s="14">
        <f>IF(SUM(BE6:BF6,BH6:BJ6,BL6)-SUM(BG6,BK6)&gt;0,SUM(BE6:BF6,BH6:BJ6,BL6)-SUM(BG6,BK6),"")</f>
        <v>49.6</v>
      </c>
      <c r="BS6" s="14">
        <f>IF(SUM(BO6,BP6,BR6)&gt;0,SUM(BO6,BP6,BR6),"")</f>
        <v>98.7</v>
      </c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32"/>
      <c r="CO6" s="55" t="str">
        <f>IF(SUM(BU6,BY6)&gt;0,SUM(BU6,BY6),"")</f>
        <v/>
      </c>
      <c r="CP6" s="55" t="str">
        <f>IF(SUM(BT6:BU6,BW6:BY6,CA6)-BV6-BZ6&gt;0,SUM(BT6:BU6,BW6:BY6,CA6)-BV6-BZ6,"")</f>
        <v/>
      </c>
      <c r="CQ6" s="55" t="str">
        <f>IF(SUM(CB6:CC6,CE6)-CD6&gt;0,SUM(CB6:CC6,CE6)-CD6,"")</f>
        <v/>
      </c>
      <c r="CR6" s="55" t="str">
        <f>IF(SUM(CG6,CK6)&gt;0,SUM(CG6,CK6),"")</f>
        <v/>
      </c>
      <c r="CS6" s="55" t="str">
        <f>IF(SUM(CF6:CG6,CI6:CK6,CM6)-SUM(CH6,CL6)&gt;0,SUM(CF6:CG6,CI6:CK6,CM6)-SUM(CH6,CL6),"")</f>
        <v/>
      </c>
      <c r="CT6" s="55" t="str">
        <f>IF(SUM(CP6,CQ6,CS6)&gt;0,SUM(CP6,CQ6,CS6),"")</f>
        <v/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9.5</v>
      </c>
      <c r="OX6" s="27">
        <f>IF($CN6="P",BU6,(BU6+AT6)/2)</f>
        <v>3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9.5500000000000007</v>
      </c>
      <c r="PB6" s="27">
        <f>IF($CN6="P",BY6,(BY6+AX6)/2)</f>
        <v>2.8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9.6</v>
      </c>
      <c r="PJ6" s="27">
        <f>IF($CN6="P",CG6,(CG6+BF6)/2)</f>
        <v>3</v>
      </c>
      <c r="PK6" s="27">
        <f>IF($CN6="P",CH6,(CH6+BG6)/2)</f>
        <v>0</v>
      </c>
      <c r="PL6" s="27">
        <f>IF($CN6="P",CI6,(CI6+BH6)/2)</f>
        <v>0</v>
      </c>
      <c r="PM6" s="27">
        <f>IF($CN6="P",CJ6,(CJ6+BI6)/2)</f>
        <v>9.4</v>
      </c>
      <c r="PN6" s="27">
        <f>IF($CN6="P",CK6,(CK6+BJ6)/2)</f>
        <v>2.8</v>
      </c>
      <c r="PO6" s="27">
        <f>IF($CN6="P",CL6,(CL6+BK6)/2)</f>
        <v>0</v>
      </c>
      <c r="PP6" s="27">
        <f>IF($CN6="P",CM6,(CM6+BL6)/2)</f>
        <v>0</v>
      </c>
      <c r="PQ6" s="32" t="s">
        <v>44</v>
      </c>
      <c r="PR6" s="55">
        <f>IF(SUM(OX6,PB6)&gt;0,SUM(OX6,PB6),"")</f>
        <v>5.8</v>
      </c>
      <c r="PS6" s="55">
        <f>IF(SUM(OW6:OX6,OZ6:PB6,PD6)-OY6-PC6&gt;0,SUM(OW6:OX6,OZ6:PB6,PD6)-OY6-PC6,"")</f>
        <v>24.55</v>
      </c>
      <c r="PT6" s="55" t="str">
        <f>IF(SUM(PE6:PF6,PH6)-PG6&gt;0,SUM(PE6:PF6,PH6)-PG6,"")</f>
        <v/>
      </c>
      <c r="PU6" s="55">
        <f>IF(SUM(PJ6,PN6)&gt;0,SUM(PJ6,PN6),"")</f>
        <v>5.8</v>
      </c>
      <c r="PV6" s="55">
        <f>IF(SUM(PI6:PJ6,PL6:PN6,PP6)-SUM(PK6,PO6)&gt;0,SUM(PI6:PJ6,PL6:PN6,PP6)-SUM(PK6,PO6),"")</f>
        <v>24.8</v>
      </c>
      <c r="PW6" s="55">
        <f>IF(SUM(PS6,PT6,PV6)&gt;0,SUM(PS6,PT6,PV6),"")</f>
        <v>49.35</v>
      </c>
    </row>
    <row r="7" spans="1:439" x14ac:dyDescent="0.2">
      <c r="A7" s="4" t="str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/>
      </c>
      <c r="B7" s="5" t="s">
        <v>106</v>
      </c>
      <c r="C7" s="4" t="s">
        <v>108</v>
      </c>
      <c r="D7" s="4">
        <v>2010</v>
      </c>
      <c r="E7" s="10">
        <f>SUM(I7:O7)+SUM(I7:M7)*0.0000001+SUM(I7)*0.0000000000001</f>
        <v>144.30001443000486</v>
      </c>
      <c r="F7" s="3" t="str">
        <f>IF(OR(AND(AM7&gt;=AR$18,AN7&gt;=AR$22,AM7&lt;&gt;"",AL7=""),AND(AP7&gt;=AR$18,AQ7&gt;=AR$22,AP7&lt;&gt;"",AL7=""),AND(BN7&gt;=BS$18,BO7&gt;=BS$22,BN7&lt;&gt;"",BM7=""),AND(BQ7&gt;=BS$18,BR7&gt;=BS$22,BQ7&lt;&gt;"",BM7=""),AND(CO7&gt;=CT$18,CP7&gt;=CT$22,CO7&lt;&gt;"",CN7=""),AND(CR7&gt;=CT$18,CS7&gt;=CT$22,CR7&lt;&gt;""),AND(DQ7&gt;=DV$18,DR7&gt;=DV$22,DQ7&lt;&gt;""),AND(DT7&gt;=DV$18,DU7&gt;=DV$22,DT7&lt;&gt;""),AND(EQ7&gt;=EV$18,ER7&gt;=EV$22,EQ7&lt;&gt;""),AND(ET7&gt;=EV$18,EU7&gt;=EV$22,ET7&lt;&gt;""),AND(FQ7&gt;=FV$18,FR7&gt;=FV$22,FQ7&lt;&gt;""),AND(FT7&gt;=FV$18,FU7&gt;=FV$22,FT7&lt;&gt;""),AND(GQ7&gt;=GV$18,GR7&gt;=GV$22,GQ7&lt;&gt;""),AND(GT7&gt;=GV$18,GU7&gt;=GV$22,GT7&lt;&gt;""),AND(HQ7&gt;=HV$18,HR7&gt;=HV$22,HQ7&lt;&gt;""),AND(HT7&gt;=HV$18,HU7&gt;=HV$22,HT7&lt;&gt;""),AND(IQ7&gt;=IV$18,IR7&gt;=IV$22,IQ7&lt;&gt;""),AND(IT7&gt;=IV$18,IU7&gt;=IV$22,IT7&lt;&gt;""),AND(JQ7&gt;=JV$18,JR7&gt;=JV$22,JQ7&lt;&gt;""),AND(JT7&gt;=JV$18,JU7&gt;=JV$22,JT7&lt;&gt;""),AND(KQ7&gt;=KV$18,KR7&gt;=KV$22,KQ7&lt;&gt;""),AND(KT7&gt;=KV$18,KU7&gt;=KV$22,KT7&lt;&gt;""),AND(LQ7&gt;=LV$18,LR7&gt;=LV$22,LQ7&lt;&gt;""),AND(LT7&gt;=LV$18,LU7&gt;=LV$22,LT7&lt;&gt;""),AND(MQ7&gt;=MV$18,MR7&gt;=MV$22,MQ7&lt;&gt;""),AND(MT7&gt;=MV$18,MU7&gt;=MV$22,MT7&lt;&gt;""),AND(NQ7&gt;=NV$18,NR7&gt;=NV$22,NQ7&lt;&gt;""),AND(NT7&gt;=NV$18,NU7&gt;=NV$22,NT7&lt;&gt;""),AND(OQ7&gt;=OV$18,OR7&gt;=OV$22,OQ7&lt;&gt;""),AND(OT7&gt;=OV$18,OU7&gt;=OV$22,OT7&lt;&gt;"")),"P","")</f>
        <v/>
      </c>
      <c r="G7" s="3" t="str">
        <f>IF(OR(AND(AN7&gt;=AR$22,AN7&lt;&gt;"",AL7=""),AND(AQ7&gt;=AR$22,AQ7&lt;&gt;"",AL7=""),AND(BO7&gt;=BS$22,BO7&lt;&gt;"",BM7=""),AND(BR7&gt;=BS$22,BR7&lt;&gt;"",BM7=""),AND(CP7&gt;=CT$22,CP7&lt;&gt;"",CN7=""),AND(CS7&gt;=CT$22,CS7&lt;&gt;"",CN7=""),AND(DR7&gt;=DV$22,DR7&lt;&gt;""),AND(DU7&gt;=DV$22,DU7&lt;&gt;""),AND(ER7&gt;=EV$22,ER7&lt;&gt;""),AND(EU7&gt;=EV$22,EU7&lt;&gt;""),AND(FR7&gt;=FV$22,FR7&lt;&gt;""),AND(FU7&gt;=FV$22,FU7&lt;&gt;""),AND(GR7&gt;=GV$22,GR7&lt;&gt;""),AND(GU7&gt;=GV$22,GU7&lt;&gt;""),AND(HR7&gt;=HV$22,HR7&lt;&gt;""),AND(HU7&gt;=HV$22,HU7&lt;&gt;""),AND(IR7&gt;=IV$22,IR7&lt;&gt;""),AND(IU7&gt;=IV$22,IU7&lt;&gt;""),AND(JR7&gt;=JV$22,JR7&lt;&gt;""),AND(JU7&gt;=JV$22,JU7&lt;&gt;""),AND(KR7&gt;=KV$22,KR7&lt;&gt;""),AND(KU7&gt;=KV$22,KU7&lt;&gt;""),AND(LR7&gt;=LV$22,LR7&lt;&gt;""),AND(LU7&gt;=LV$22,LU7&lt;&gt;""),AND(MR7&gt;=MV$22,MR7&lt;&gt;""),AND(MU7&gt;=MV$22,MU7&lt;&gt;""),AND(NR7&gt;=NV$22,NR7&lt;&gt;""),AND(NU7&gt;=NV$22,NU7&lt;&gt;""),AND(OR7&gt;=OV$22,OR7&lt;&gt;""),AND(OU7&gt;=OV$22,OU7&lt;&gt;"")),"P","")</f>
        <v/>
      </c>
      <c r="H7" s="47" t="str">
        <f>IF(AND(G7="P",F7=""),"No DD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Merit",IF(OR(AND(AM7&gt;=AR$20,AN7&gt;=AR$24,AM7&lt;&gt;"",AL7=""),AND(AP7&gt;=AR$20,AQ7&gt;=AR$24,AP7&lt;&gt;"",AL7=""),AND(BN7&gt;=BS$20,BO7&gt;=BS$24,BN7&lt;&gt;"",BM7=""),AND(BQ7&gt;=BS$20,BR7&gt;=BS$24,BQ7&lt;&gt;"",BM7=""),AND(CO7&gt;=CT$20,CP7&gt;=CT$24,CO7&lt;&gt;"",CN7=""),AND(CR7&gt;=CT$20,CS7&gt;=CT$24,CR7&lt;&gt;""),AND(DQ7&gt;=DV$20,DR7&gt;=DV$24,DQ7&lt;&gt;""),AND(DT7&gt;=DV$20,DU7&gt;=DV$24,DT7&lt;&gt;""),AND(EQ7&gt;=EV$20,ER7&gt;=EV$24,EQ7&lt;&gt;""),AND(ET7&gt;=EV$20,EU7&gt;=EV$24,ET7&lt;&gt;""),AND(FQ7&gt;=FV$20,FR7&gt;=FV$24,FQ7&lt;&gt;""),AND(FT7&gt;=FV$20,FU7&gt;=FV$24,FT7&lt;&gt;""),AND(GQ7&gt;=GV$20,GR7&gt;=GV$24,GQ7&lt;&gt;""),AND(GT7&gt;=GV$20,GU7&gt;=GV$24,GT7&lt;&gt;""),AND(HQ7&gt;=HV$20,HR7&gt;=HV$24,HQ7&lt;&gt;""),AND(HT7&gt;=HV$20,HU7&gt;=HV$24,HT7&lt;&gt;""),AND(IQ7&gt;=IV$20,IR7&gt;=IV$24,IQ7&lt;&gt;""),AND(IT7&gt;=IV$20,IU7&gt;=IV$24,IT7&lt;&gt;""),AND(JQ7&gt;=JV$20,JR7&gt;=JV$24,JQ7&lt;&gt;""),AND(JT7&gt;=JV$20,JU7&gt;=JV$24,JT7&lt;&gt;""),AND(KQ7&gt;=KV$20,KR7&gt;=KV$24,KQ7&lt;&gt;""),AND(KT7&gt;=KV$20,KU7&gt;=KV$24,KT7&lt;&gt;""),AND(LQ7&gt;=LV$20,LR7&gt;=LV$24,LQ7&lt;&gt;""),AND(LT7&gt;=LV$20,LU7&gt;=LV$24,LT7&lt;&gt;""),AND(MQ7&gt;=MV$20,MR7&gt;=MV$24,MQ7&lt;&gt;""),AND(MT7&gt;=MV$20,MU7&gt;=MV$24,MT7&lt;&gt;""),AND(NQ7&gt;=NV$20,NR7&gt;=NV$24,NQ7&lt;&gt;""),AND(NT7&gt;=NV$20,NU7&gt;=NV$24,NT7&lt;&gt;""),AND(OQ7&gt;=OV$20,OR7&gt;=OV$24,OQ7&lt;&gt;""),AND(OT7&gt;=OV$20,OU7&gt;=OV$24,OT7&lt;&gt;"")),"Excellence",IF(F7="P","National Team",""))))</f>
        <v/>
      </c>
      <c r="I7" s="9">
        <f>IF(COUNT(AN7,BO7,CP7)&gt;0,LARGE((AN7,BO7,CP7),1),0)</f>
        <v>48.499999999999993</v>
      </c>
      <c r="J7" s="9" t="str">
        <f>IF(I7=0,"",IF(I7=CP7,$BT$1,IF(I7=BO7,$AS$1,IF(I7=AN7,$R$1,""))))</f>
        <v>2025 Nationals</v>
      </c>
      <c r="K7" s="9">
        <f>IF(COUNT(AN7,BO7,CP7)&gt;1,LARGE((AN7,BO7,CP7),2),0)</f>
        <v>46.000000000000007</v>
      </c>
      <c r="L7" s="9" t="str">
        <f>IF(K7=0,"",IF(AND(K7=I7,K7=AN7,K7=BO7),$R$1,IF(AND(K7=I7,K7=AN7,K7=CP7),$R$1,IF(AND(K7=I7,K7=CP7,K7=BO7),$AS$1,IF(K7=CP7,$BT$1,IF(K7=BO7,$AS$1,IF(K7=AN7,$R$1,"")))))))</f>
        <v>2025 3rd Domestic Trial</v>
      </c>
      <c r="M7" s="9">
        <f>IF(MAX(AQ7,BR7,CS7)&gt;0,MAX(AQ7,BR7,CS7),0)</f>
        <v>49.800000000000004</v>
      </c>
      <c r="N7" s="9" t="str">
        <f>IF(M7=0,"",IF(M7=CS7,$BT$1,IF(M7=BR7,$AS$1,IF(M7=AQ7,$R$1,""))))</f>
        <v>2025 3rd Domestic Trial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18.600000000000001</v>
      </c>
      <c r="AT7" s="19">
        <v>6</v>
      </c>
      <c r="AU7" s="19">
        <v>0.2</v>
      </c>
      <c r="AV7" s="19">
        <v>0</v>
      </c>
      <c r="AW7" s="19">
        <v>18.7</v>
      </c>
      <c r="AX7" s="19">
        <v>6</v>
      </c>
      <c r="AY7" s="19">
        <v>0.6</v>
      </c>
      <c r="AZ7" s="19">
        <v>0</v>
      </c>
      <c r="BA7" s="19"/>
      <c r="BB7" s="19"/>
      <c r="BC7" s="19"/>
      <c r="BD7" s="19"/>
      <c r="BE7" s="19">
        <v>18.8</v>
      </c>
      <c r="BF7" s="19">
        <v>6</v>
      </c>
      <c r="BG7" s="19">
        <v>0.6</v>
      </c>
      <c r="BH7" s="19">
        <v>0</v>
      </c>
      <c r="BI7" s="19">
        <v>18.600000000000001</v>
      </c>
      <c r="BJ7" s="19">
        <v>6</v>
      </c>
      <c r="BK7" s="19">
        <v>0.6</v>
      </c>
      <c r="BL7" s="19">
        <v>0</v>
      </c>
      <c r="BM7" s="33"/>
      <c r="BN7" s="14">
        <f>IF(SUM(AT7,AX7)&gt;0,SUM(AT7,AX7),"")</f>
        <v>12</v>
      </c>
      <c r="BO7" s="14">
        <f>IF(SUM(AS7:AT7,AV7:AX7,AZ7)-AU7-AY7&gt;0,SUM(AS7:AT7,AV7:AX7,AZ7)-AU7-AY7,"")</f>
        <v>48.499999999999993</v>
      </c>
      <c r="BP7" s="14" t="str">
        <f>IF(SUM(BA7:BB7,BD7)-BC7&gt;0,SUM(BA7:BB7,BD7)-BC7,"")</f>
        <v/>
      </c>
      <c r="BQ7" s="14">
        <f>IF(SUM(BF7,BJ7)&gt;0,SUM(BF7,BJ7),"")</f>
        <v>12</v>
      </c>
      <c r="BR7" s="14">
        <f>IF(SUM(BE7:BF7,BH7:BJ7,BL7)-SUM(BG7,BK7)&gt;0,SUM(BE7:BF7,BH7:BJ7,BL7)-SUM(BG7,BK7),"")</f>
        <v>48.2</v>
      </c>
      <c r="BS7" s="14">
        <f>IF(SUM(BO7,BP7,BR7)&gt;0,SUM(BO7,BP7,BR7),"")</f>
        <v>96.699999999999989</v>
      </c>
      <c r="BT7" s="20">
        <v>18.8</v>
      </c>
      <c r="BU7" s="20">
        <v>6.8</v>
      </c>
      <c r="BV7" s="20">
        <v>0.8</v>
      </c>
      <c r="BW7" s="20">
        <v>0</v>
      </c>
      <c r="BX7" s="20">
        <v>18.399999999999999</v>
      </c>
      <c r="BY7" s="20">
        <v>3.6</v>
      </c>
      <c r="BZ7" s="20">
        <v>0.8</v>
      </c>
      <c r="CA7" s="20">
        <v>0</v>
      </c>
      <c r="CB7" s="20"/>
      <c r="CC7" s="20"/>
      <c r="CD7" s="20"/>
      <c r="CE7" s="20"/>
      <c r="CF7" s="20">
        <v>18.600000000000001</v>
      </c>
      <c r="CG7" s="20">
        <v>6.8</v>
      </c>
      <c r="CH7" s="20">
        <v>0.8</v>
      </c>
      <c r="CI7" s="20">
        <v>0</v>
      </c>
      <c r="CJ7" s="20">
        <v>18.8</v>
      </c>
      <c r="CK7" s="20">
        <v>6.4</v>
      </c>
      <c r="CL7" s="20">
        <v>0</v>
      </c>
      <c r="CM7" s="20">
        <v>0</v>
      </c>
      <c r="CN7" s="32"/>
      <c r="CO7" s="55">
        <f>IF(SUM(BU7,BY7)&gt;0,SUM(BU7,BY7),"")</f>
        <v>10.4</v>
      </c>
      <c r="CP7" s="55">
        <f>IF(SUM(BT7:BU7,BW7:BY7,CA7)-BV7-BZ7&gt;0,SUM(BT7:BU7,BW7:BY7,CA7)-BV7-BZ7,"")</f>
        <v>46.000000000000007</v>
      </c>
      <c r="CQ7" s="55" t="str">
        <f>IF(SUM(CB7:CC7,CE7)-CD7&gt;0,SUM(CB7:CC7,CE7)-CD7,"")</f>
        <v/>
      </c>
      <c r="CR7" s="55">
        <f>IF(SUM(CG7,CK7)&gt;0,SUM(CG7,CK7),"")</f>
        <v>13.2</v>
      </c>
      <c r="CS7" s="55">
        <f>IF(SUM(CF7:CG7,CI7:CK7,CM7)-SUM(CH7,CL7)&gt;0,SUM(CF7:CG7,CI7:CK7,CM7)-SUM(CH7,CL7),"")</f>
        <v>49.800000000000004</v>
      </c>
      <c r="CT7" s="55">
        <f>IF(SUM(CP7,CQ7,CS7)&gt;0,SUM(CP7,CQ7,CS7),"")</f>
        <v>95.800000000000011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18.700000000000003</v>
      </c>
      <c r="OX7" s="27">
        <f>IF($CN7="P",BU7,(BU7+AT7)/2)</f>
        <v>6.4</v>
      </c>
      <c r="OY7" s="27">
        <f>IF($CN7="P",BV7,(BV7+AU7)/2)</f>
        <v>0.5</v>
      </c>
      <c r="OZ7" s="27">
        <f>IF($CN7="P",BW7,(BW7+AV7)/2)</f>
        <v>0</v>
      </c>
      <c r="PA7" s="27">
        <f>IF($CN7="P",BX7,(BX7+AW7)/2)</f>
        <v>18.549999999999997</v>
      </c>
      <c r="PB7" s="27">
        <f>IF($CN7="P",BY7,(BY7+AX7)/2)</f>
        <v>4.8</v>
      </c>
      <c r="PC7" s="27">
        <f>IF($CN7="P",BZ7,(BZ7+AY7)/2)</f>
        <v>0.7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18.700000000000003</v>
      </c>
      <c r="PJ7" s="27">
        <f>IF($CN7="P",CG7,(CG7+BF7)/2)</f>
        <v>6.4</v>
      </c>
      <c r="PK7" s="27">
        <f>IF($CN7="P",CH7,(CH7+BG7)/2)</f>
        <v>0.7</v>
      </c>
      <c r="PL7" s="27">
        <f>IF($CN7="P",CI7,(CI7+BH7)/2)</f>
        <v>0</v>
      </c>
      <c r="PM7" s="27">
        <f>IF($CN7="P",CJ7,(CJ7+BI7)/2)</f>
        <v>18.700000000000003</v>
      </c>
      <c r="PN7" s="27">
        <f>IF($CN7="P",CK7,(CK7+BJ7)/2)</f>
        <v>6.2</v>
      </c>
      <c r="PO7" s="27">
        <f>IF($CN7="P",CL7,(CL7+BK7)/2)</f>
        <v>0.3</v>
      </c>
      <c r="PP7" s="27">
        <f>IF($CN7="P",CM7,(CM7+BL7)/2)</f>
        <v>0</v>
      </c>
      <c r="PQ7" s="32" t="s">
        <v>44</v>
      </c>
      <c r="PR7" s="55">
        <f>IF(SUM(OX7,PB7)&gt;0,SUM(OX7,PB7),"")</f>
        <v>11.2</v>
      </c>
      <c r="PS7" s="55">
        <f>IF(SUM(OW7:OX7,OZ7:PB7,PD7)-OY7-PC7&gt;0,SUM(OW7:OX7,OZ7:PB7,PD7)-OY7-PC7,"")</f>
        <v>47.249999999999993</v>
      </c>
      <c r="PT7" s="55" t="str">
        <f>IF(SUM(PE7:PF7,PH7)-PG7&gt;0,SUM(PE7:PF7,PH7)-PG7,"")</f>
        <v/>
      </c>
      <c r="PU7" s="55">
        <f>IF(SUM(PJ7,PN7)&gt;0,SUM(PJ7,PN7),"")</f>
        <v>12.600000000000001</v>
      </c>
      <c r="PV7" s="55">
        <f>IF(SUM(PI7:PJ7,PL7:PN7,PP7)-SUM(PK7,PO7)&gt;0,SUM(PI7:PJ7,PL7:PN7,PP7)-SUM(PK7,PO7),"")</f>
        <v>49.000000000000007</v>
      </c>
      <c r="PW7" s="55">
        <f>IF(SUM(PS7,PT7,PV7)&gt;0,SUM(PS7,PT7,PV7),"")</f>
        <v>96.25</v>
      </c>
    </row>
    <row r="8" spans="1:439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98</v>
      </c>
      <c r="C8" s="4" t="s">
        <v>67</v>
      </c>
      <c r="D8" s="4">
        <v>2009</v>
      </c>
      <c r="E8" s="10">
        <f>SUM(I8:O8)+SUM(I8:M8)*0.0000001+SUM(I8)*0.0000000000001</f>
        <v>142.20001422000479</v>
      </c>
      <c r="F8" s="3" t="str">
        <f>IF(OR(AND(AM8&gt;=AR$18,AN8&gt;=AR$22,AM8&lt;&gt;"",AL8=""),AND(AP8&gt;=AR$18,AQ8&gt;=AR$22,AP8&lt;&gt;"",AL8=""),AND(BN8&gt;=BS$18,BO8&gt;=BS$22,BN8&lt;&gt;"",BM8=""),AND(BQ8&gt;=BS$18,BR8&gt;=BS$22,BQ8&lt;&gt;"",BM8=""),AND(CO8&gt;=CT$18,CP8&gt;=CT$22,CO8&lt;&gt;"",CN8=""),AND(CR8&gt;=CT$18,CS8&gt;=CT$22,CR8&lt;&gt;""),AND(DQ8&gt;=DV$18,DR8&gt;=DV$22,DQ8&lt;&gt;""),AND(DT8&gt;=DV$18,DU8&gt;=DV$22,DT8&lt;&gt;""),AND(EQ8&gt;=EV$18,ER8&gt;=EV$22,EQ8&lt;&gt;""),AND(ET8&gt;=EV$18,EU8&gt;=EV$22,ET8&lt;&gt;""),AND(FQ8&gt;=FV$18,FR8&gt;=FV$22,FQ8&lt;&gt;""),AND(FT8&gt;=FV$18,FU8&gt;=FV$22,FT8&lt;&gt;""),AND(GQ8&gt;=GV$18,GR8&gt;=GV$22,GQ8&lt;&gt;""),AND(GT8&gt;=GV$18,GU8&gt;=GV$22,GT8&lt;&gt;""),AND(HQ8&gt;=HV$18,HR8&gt;=HV$22,HQ8&lt;&gt;""),AND(HT8&gt;=HV$18,HU8&gt;=HV$22,HT8&lt;&gt;""),AND(IQ8&gt;=IV$18,IR8&gt;=IV$22,IQ8&lt;&gt;""),AND(IT8&gt;=IV$18,IU8&gt;=IV$22,IT8&lt;&gt;""),AND(JQ8&gt;=JV$18,JR8&gt;=JV$22,JQ8&lt;&gt;""),AND(JT8&gt;=JV$18,JU8&gt;=JV$22,JT8&lt;&gt;""),AND(KQ8&gt;=KV$18,KR8&gt;=KV$22,KQ8&lt;&gt;""),AND(KT8&gt;=KV$18,KU8&gt;=KV$22,KT8&lt;&gt;""),AND(LQ8&gt;=LV$18,LR8&gt;=LV$22,LQ8&lt;&gt;""),AND(LT8&gt;=LV$18,LU8&gt;=LV$22,LT8&lt;&gt;""),AND(MQ8&gt;=MV$18,MR8&gt;=MV$22,MQ8&lt;&gt;""),AND(MT8&gt;=MV$18,MU8&gt;=MV$22,MT8&lt;&gt;""),AND(NQ8&gt;=NV$18,NR8&gt;=NV$22,NQ8&lt;&gt;""),AND(NT8&gt;=NV$18,NU8&gt;=NV$22,NT8&lt;&gt;""),AND(OQ8&gt;=OV$18,OR8&gt;=OV$22,OQ8&lt;&gt;""),AND(OT8&gt;=OV$18,OU8&gt;=OV$22,OT8&lt;&gt;"")),"P","")</f>
        <v/>
      </c>
      <c r="G8" s="3" t="str">
        <f>IF(OR(AND(AN8&gt;=AR$22,AN8&lt;&gt;"",AL8=""),AND(AQ8&gt;=AR$22,AQ8&lt;&gt;"",AL8=""),AND(BO8&gt;=BS$22,BO8&lt;&gt;"",BM8=""),AND(BR8&gt;=BS$22,BR8&lt;&gt;"",BM8=""),AND(CP8&gt;=CT$22,CP8&lt;&gt;"",CN8=""),AND(CS8&gt;=CT$22,CS8&lt;&gt;"",CN8=""),AND(DR8&gt;=DV$22,DR8&lt;&gt;""),AND(DU8&gt;=DV$22,DU8&lt;&gt;""),AND(ER8&gt;=EV$22,ER8&lt;&gt;""),AND(EU8&gt;=EV$22,EU8&lt;&gt;""),AND(FR8&gt;=FV$22,FR8&lt;&gt;""),AND(FU8&gt;=FV$22,FU8&lt;&gt;""),AND(GR8&gt;=GV$22,GR8&lt;&gt;""),AND(GU8&gt;=GV$22,GU8&lt;&gt;""),AND(HR8&gt;=HV$22,HR8&lt;&gt;""),AND(HU8&gt;=HV$22,HU8&lt;&gt;""),AND(IR8&gt;=IV$22,IR8&lt;&gt;""),AND(IU8&gt;=IV$22,IU8&lt;&gt;""),AND(JR8&gt;=JV$22,JR8&lt;&gt;""),AND(JU8&gt;=JV$22,JU8&lt;&gt;""),AND(KR8&gt;=KV$22,KR8&lt;&gt;""),AND(KU8&gt;=KV$22,KU8&lt;&gt;""),AND(LR8&gt;=LV$22,LR8&lt;&gt;""),AND(LU8&gt;=LV$22,LU8&lt;&gt;""),AND(MR8&gt;=MV$22,MR8&lt;&gt;""),AND(MU8&gt;=MV$22,MU8&lt;&gt;""),AND(NR8&gt;=NV$22,NR8&lt;&gt;""),AND(NU8&gt;=NV$22,NU8&lt;&gt;""),AND(OR8&gt;=OV$22,OR8&lt;&gt;""),AND(OU8&gt;=OV$22,OU8&lt;&gt;"")),"P","")</f>
        <v/>
      </c>
      <c r="H8" s="47" t="str">
        <f>IF(AND(G8="P",F8=""),"No DD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Merit",IF(OR(AND(AM8&gt;=AR$20,AN8&gt;=AR$24,AM8&lt;&gt;"",AL8=""),AND(AP8&gt;=AR$20,AQ8&gt;=AR$24,AP8&lt;&gt;"",AL8=""),AND(BN8&gt;=BS$20,BO8&gt;=BS$24,BN8&lt;&gt;"",BM8=""),AND(BQ8&gt;=BS$20,BR8&gt;=BS$24,BQ8&lt;&gt;"",BM8=""),AND(CO8&gt;=CT$20,CP8&gt;=CT$24,CO8&lt;&gt;"",CN8=""),AND(CR8&gt;=CT$20,CS8&gt;=CT$24,CR8&lt;&gt;""),AND(DQ8&gt;=DV$20,DR8&gt;=DV$24,DQ8&lt;&gt;""),AND(DT8&gt;=DV$20,DU8&gt;=DV$24,DT8&lt;&gt;""),AND(EQ8&gt;=EV$20,ER8&gt;=EV$24,EQ8&lt;&gt;""),AND(ET8&gt;=EV$20,EU8&gt;=EV$24,ET8&lt;&gt;""),AND(FQ8&gt;=FV$20,FR8&gt;=FV$24,FQ8&lt;&gt;""),AND(FT8&gt;=FV$20,FU8&gt;=FV$24,FT8&lt;&gt;""),AND(GQ8&gt;=GV$20,GR8&gt;=GV$24,GQ8&lt;&gt;""),AND(GT8&gt;=GV$20,GU8&gt;=GV$24,GT8&lt;&gt;""),AND(HQ8&gt;=HV$20,HR8&gt;=HV$24,HQ8&lt;&gt;""),AND(HT8&gt;=HV$20,HU8&gt;=HV$24,HT8&lt;&gt;""),AND(IQ8&gt;=IV$20,IR8&gt;=IV$24,IQ8&lt;&gt;""),AND(IT8&gt;=IV$20,IU8&gt;=IV$24,IT8&lt;&gt;""),AND(JQ8&gt;=JV$20,JR8&gt;=JV$24,JQ8&lt;&gt;""),AND(JT8&gt;=JV$20,JU8&gt;=JV$24,JT8&lt;&gt;""),AND(KQ8&gt;=KV$20,KR8&gt;=KV$24,KQ8&lt;&gt;""),AND(KT8&gt;=KV$20,KU8&gt;=KV$24,KT8&lt;&gt;""),AND(LQ8&gt;=LV$20,LR8&gt;=LV$24,LQ8&lt;&gt;""),AND(LT8&gt;=LV$20,LU8&gt;=LV$24,LT8&lt;&gt;""),AND(MQ8&gt;=MV$20,MR8&gt;=MV$24,MQ8&lt;&gt;""),AND(MT8&gt;=MV$20,MU8&gt;=MV$24,MT8&lt;&gt;""),AND(NQ8&gt;=NV$20,NR8&gt;=NV$24,NQ8&lt;&gt;""),AND(NT8&gt;=NV$20,NU8&gt;=NV$24,NT8&lt;&gt;""),AND(OQ8&gt;=OV$20,OR8&gt;=OV$24,OQ8&lt;&gt;""),AND(OT8&gt;=OV$20,OU8&gt;=OV$24,OT8&lt;&gt;"")),"Excellence",IF(F8="P","National Team",""))))</f>
        <v/>
      </c>
      <c r="I8" s="9">
        <f>IF(COUNT(AN8,BO8,CP8)&gt;0,LARGE((AN8,BO8,CP8),1),0)</f>
        <v>48.1</v>
      </c>
      <c r="J8" s="9" t="str">
        <f>IF(I8=0,"",IF(I8=CP8,$BT$1,IF(I8=BO8,$AS$1,IF(I8=AN8,$R$1,""))))</f>
        <v>2025 3rd Domestic Trial</v>
      </c>
      <c r="K8" s="9">
        <f>IF(COUNT(AN8,BO8,CP8)&gt;1,LARGE((AN8,BO8,CP8),2),0)</f>
        <v>45.6</v>
      </c>
      <c r="L8" s="9" t="str">
        <f>IF(K8=0,"",IF(AND(K8=I8,K8=AN8,K8=BO8),$R$1,IF(AND(K8=I8,K8=AN8,K8=CP8),$R$1,IF(AND(K8=I8,K8=CP8,K8=BO8),$AS$1,IF(K8=CP8,$BT$1,IF(K8=BO8,$AS$1,IF(K8=AN8,$R$1,"")))))))</f>
        <v>2025 Elite Canada</v>
      </c>
      <c r="M8" s="9">
        <f>IF(MAX(AQ8,BR8,CS8)&gt;0,MAX(AQ8,BR8,CS8),0)</f>
        <v>48.5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18.2</v>
      </c>
      <c r="S8" s="20">
        <v>4.8</v>
      </c>
      <c r="T8" s="20">
        <v>0.6</v>
      </c>
      <c r="U8" s="20">
        <v>0</v>
      </c>
      <c r="V8" s="20">
        <v>18</v>
      </c>
      <c r="W8" s="20">
        <v>6</v>
      </c>
      <c r="X8" s="20">
        <v>0.8</v>
      </c>
      <c r="Y8" s="20">
        <v>0</v>
      </c>
      <c r="Z8" s="20"/>
      <c r="AA8" s="20"/>
      <c r="AB8" s="20"/>
      <c r="AC8" s="20"/>
      <c r="AD8" s="20">
        <v>17.100000000000001</v>
      </c>
      <c r="AE8" s="20">
        <v>6.4</v>
      </c>
      <c r="AF8" s="20">
        <v>0.8</v>
      </c>
      <c r="AG8" s="20">
        <v>0</v>
      </c>
      <c r="AH8" s="20">
        <v>17.5</v>
      </c>
      <c r="AI8" s="20">
        <v>6</v>
      </c>
      <c r="AJ8" s="20">
        <v>0.8</v>
      </c>
      <c r="AK8" s="20">
        <v>0</v>
      </c>
      <c r="AL8" s="32"/>
      <c r="AM8" s="55">
        <f>IF(SUM(S8,W8)&gt;0,SUM(S8,W8),"")</f>
        <v>10.8</v>
      </c>
      <c r="AN8" s="55">
        <f>IF(SUM(R8:S8,U8:W8,Y8)-T8-X8&gt;0,SUM(R8:S8,U8:W8,Y8)-T8-X8,"")</f>
        <v>45.6</v>
      </c>
      <c r="AO8" s="55" t="str">
        <f>IF(SUM(Z8:AA8,AC8)-AB8&gt;0,SUM(Z8:AA8,AC8)-AB8,"")</f>
        <v/>
      </c>
      <c r="AP8" s="55">
        <f>IF(SUM(AE8,AI8)&gt;0,SUM(AE8,AI8),"")</f>
        <v>12.4</v>
      </c>
      <c r="AQ8" s="55">
        <f>IF(SUM(AD8:AE8,AG8:AI8,AK8)-SUM(AF8,AJ8)&gt;0,SUM(AD8:AE8,AG8:AI8,AK8)-SUM(AF8,AJ8),"")</f>
        <v>45.4</v>
      </c>
      <c r="AR8" s="55">
        <f>IF(SUM(AN8,AO8,AQ8)&gt;0,SUM(AN8,AO8,AQ8),"")</f>
        <v>91</v>
      </c>
      <c r="AS8" s="19">
        <v>15.4</v>
      </c>
      <c r="AT8" s="19">
        <v>2.4</v>
      </c>
      <c r="AU8" s="19">
        <v>0</v>
      </c>
      <c r="AV8" s="19">
        <v>0</v>
      </c>
      <c r="AW8" s="19">
        <v>18.3</v>
      </c>
      <c r="AX8" s="19">
        <v>5.6</v>
      </c>
      <c r="AY8" s="19">
        <v>0.2</v>
      </c>
      <c r="AZ8" s="19">
        <v>0</v>
      </c>
      <c r="BA8" s="19"/>
      <c r="BB8" s="19"/>
      <c r="BC8" s="19"/>
      <c r="BD8" s="19"/>
      <c r="BE8" s="19">
        <v>18.7</v>
      </c>
      <c r="BF8" s="19">
        <v>6.8</v>
      </c>
      <c r="BG8" s="19">
        <v>0.8</v>
      </c>
      <c r="BH8" s="19">
        <v>0</v>
      </c>
      <c r="BI8" s="19">
        <v>18.399999999999999</v>
      </c>
      <c r="BJ8" s="19">
        <v>5.6</v>
      </c>
      <c r="BK8" s="19">
        <v>0.2</v>
      </c>
      <c r="BL8" s="19">
        <v>0</v>
      </c>
      <c r="BM8" s="33"/>
      <c r="BN8" s="14">
        <f>IF(SUM(AT8,AX8)&gt;0,SUM(AT8,AX8),"")</f>
        <v>8</v>
      </c>
      <c r="BO8" s="14">
        <f>IF(SUM(AS8:AT8,AV8:AX8,AZ8)-AU8-AY8&gt;0,SUM(AS8:AT8,AV8:AX8,AZ8)-AU8-AY8,"")</f>
        <v>41.5</v>
      </c>
      <c r="BP8" s="14" t="str">
        <f>IF(SUM(BA8:BB8,BD8)-BC8&gt;0,SUM(BA8:BB8,BD8)-BC8,"")</f>
        <v/>
      </c>
      <c r="BQ8" s="14">
        <f>IF(SUM(BF8,BJ8)&gt;0,SUM(BF8,BJ8),"")</f>
        <v>12.399999999999999</v>
      </c>
      <c r="BR8" s="14">
        <f>IF(SUM(BE8:BF8,BH8:BJ8,BL8)-SUM(BG8,BK8)&gt;0,SUM(BE8:BF8,BH8:BJ8,BL8)-SUM(BG8,BK8),"")</f>
        <v>48.5</v>
      </c>
      <c r="BS8" s="14">
        <f>IF(SUM(BO8,BP8,BR8)&gt;0,SUM(BO8,BP8,BR8),"")</f>
        <v>90</v>
      </c>
      <c r="BT8" s="20">
        <v>18.100000000000001</v>
      </c>
      <c r="BU8" s="20">
        <v>7.2</v>
      </c>
      <c r="BV8" s="20">
        <v>0.2</v>
      </c>
      <c r="BW8" s="20">
        <v>0</v>
      </c>
      <c r="BX8" s="20">
        <v>17.8</v>
      </c>
      <c r="BY8" s="20">
        <v>6</v>
      </c>
      <c r="BZ8" s="20">
        <v>0.8</v>
      </c>
      <c r="CA8" s="20">
        <v>0</v>
      </c>
      <c r="CB8" s="20"/>
      <c r="CC8" s="20"/>
      <c r="CD8" s="20"/>
      <c r="CE8" s="20"/>
      <c r="CF8" s="20">
        <v>0</v>
      </c>
      <c r="CG8" s="20">
        <v>0</v>
      </c>
      <c r="CH8" s="20">
        <v>0</v>
      </c>
      <c r="CI8" s="20">
        <v>0</v>
      </c>
      <c r="CJ8" s="20">
        <v>18.100000000000001</v>
      </c>
      <c r="CK8" s="20">
        <v>7.6</v>
      </c>
      <c r="CL8" s="20">
        <v>0.8</v>
      </c>
      <c r="CM8" s="20">
        <v>0</v>
      </c>
      <c r="CN8" s="32"/>
      <c r="CO8" s="55">
        <f>IF(SUM(BU8,BY8)&gt;0,SUM(BU8,BY8),"")</f>
        <v>13.2</v>
      </c>
      <c r="CP8" s="55">
        <f>IF(SUM(BT8:BU8,BW8:BY8,CA8)-BV8-BZ8&gt;0,SUM(BT8:BU8,BW8:BY8,CA8)-BV8-BZ8,"")</f>
        <v>48.1</v>
      </c>
      <c r="CQ8" s="55" t="str">
        <f>IF(SUM(CB8:CC8,CE8)-CD8&gt;0,SUM(CB8:CC8,CE8)-CD8,"")</f>
        <v/>
      </c>
      <c r="CR8" s="55">
        <f>IF(SUM(CG8,CK8)&gt;0,SUM(CG8,CK8),"")</f>
        <v>7.6</v>
      </c>
      <c r="CS8" s="55">
        <f>IF(SUM(CF8:CG8,CI8:CK8,CM8)-SUM(CH8,CL8)&gt;0,SUM(CF8:CG8,CI8:CK8,CM8)-SUM(CH8,CL8),"")</f>
        <v>24.900000000000002</v>
      </c>
      <c r="CT8" s="55">
        <f>IF(SUM(CP8,CQ8,CS8)&gt;0,SUM(CP8,CQ8,CS8),"")</f>
        <v>73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16.75</v>
      </c>
      <c r="OX8" s="27">
        <f>IF($CN8="P",BU8,(BU8+AT8)/2)</f>
        <v>4.8</v>
      </c>
      <c r="OY8" s="27">
        <f>IF($CN8="P",BV8,(BV8+AU8)/2)</f>
        <v>0.1</v>
      </c>
      <c r="OZ8" s="27">
        <f>IF($CN8="P",BW8,(BW8+AV8)/2)</f>
        <v>0</v>
      </c>
      <c r="PA8" s="27">
        <f>IF($CN8="P",BX8,(BX8+AW8)/2)</f>
        <v>18.05</v>
      </c>
      <c r="PB8" s="27">
        <f>IF($CN8="P",BY8,(BY8+AX8)/2)</f>
        <v>5.8</v>
      </c>
      <c r="PC8" s="27">
        <f>IF($CN8="P",BZ8,(BZ8+AY8)/2)</f>
        <v>0.5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9.35</v>
      </c>
      <c r="PJ8" s="27">
        <f>IF($CN8="P",CG8,(CG8+BF8)/2)</f>
        <v>3.4</v>
      </c>
      <c r="PK8" s="27">
        <f>IF($CN8="P",CH8,(CH8+BG8)/2)</f>
        <v>0.4</v>
      </c>
      <c r="PL8" s="27">
        <f>IF($CN8="P",CI8,(CI8+BH8)/2)</f>
        <v>0</v>
      </c>
      <c r="PM8" s="27">
        <f>IF($CN8="P",CJ8,(CJ8+BI8)/2)</f>
        <v>18.25</v>
      </c>
      <c r="PN8" s="27">
        <f>IF($CN8="P",CK8,(CK8+BJ8)/2)</f>
        <v>6.6</v>
      </c>
      <c r="PO8" s="27">
        <f>IF($CN8="P",CL8,(CL8+BK8)/2)</f>
        <v>0.5</v>
      </c>
      <c r="PP8" s="27">
        <f>IF($CN8="P",CM8,(CM8+BL8)/2)</f>
        <v>0</v>
      </c>
      <c r="PQ8" s="32" t="s">
        <v>44</v>
      </c>
      <c r="PR8" s="55">
        <f>IF(SUM(OX8,PB8)&gt;0,SUM(OX8,PB8),"")</f>
        <v>10.6</v>
      </c>
      <c r="PS8" s="55">
        <f>IF(SUM(OW8:OX8,OZ8:PB8,PD8)-OY8-PC8&gt;0,SUM(OW8:OX8,OZ8:PB8,PD8)-OY8-PC8,"")</f>
        <v>44.8</v>
      </c>
      <c r="PT8" s="55" t="str">
        <f>IF(SUM(PE8:PF8,PH8)-PG8&gt;0,SUM(PE8:PF8,PH8)-PG8,"")</f>
        <v/>
      </c>
      <c r="PU8" s="55">
        <f>IF(SUM(PJ8,PN8)&gt;0,SUM(PJ8,PN8),"")</f>
        <v>10</v>
      </c>
      <c r="PV8" s="55">
        <f>IF(SUM(PI8:PJ8,PL8:PN8,PP8)-SUM(PK8,PO8)&gt;0,SUM(PI8:PJ8,PL8:PN8,PP8)-SUM(PK8,PO8),"")</f>
        <v>36.700000000000003</v>
      </c>
      <c r="PW8" s="55">
        <f>IF(SUM(PS8,PT8,PV8)&gt;0,SUM(PS8,PT8,PV8),"")</f>
        <v>81.5</v>
      </c>
    </row>
    <row r="9" spans="1:439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88</v>
      </c>
      <c r="C9" s="4" t="s">
        <v>89</v>
      </c>
      <c r="D9" s="4">
        <v>2009</v>
      </c>
      <c r="E9" s="10">
        <f>SUM(I9:O9)+SUM(I9:M9)*0.0000001+SUM(I9)*0.0000000000001</f>
        <v>139.10001391000486</v>
      </c>
      <c r="F9" s="3" t="str">
        <f>IF(OR(AND(AM9&gt;=AR$18,AN9&gt;=AR$22,AM9&lt;&gt;"",AL9=""),AND(AP9&gt;=AR$18,AQ9&gt;=AR$22,AP9&lt;&gt;"",AL9=""),AND(BN9&gt;=BS$18,BO9&gt;=BS$22,BN9&lt;&gt;"",BM9=""),AND(BQ9&gt;=BS$18,BR9&gt;=BS$22,BQ9&lt;&gt;"",BM9=""),AND(CO9&gt;=CT$18,CP9&gt;=CT$22,CO9&lt;&gt;"",CN9=""),AND(CR9&gt;=CT$18,CS9&gt;=CT$22,CR9&lt;&gt;""),AND(DQ9&gt;=DV$18,DR9&gt;=DV$22,DQ9&lt;&gt;""),AND(DT9&gt;=DV$18,DU9&gt;=DV$22,DT9&lt;&gt;""),AND(EQ9&gt;=EV$18,ER9&gt;=EV$22,EQ9&lt;&gt;""),AND(ET9&gt;=EV$18,EU9&gt;=EV$22,ET9&lt;&gt;""),AND(FQ9&gt;=FV$18,FR9&gt;=FV$22,FQ9&lt;&gt;""),AND(FT9&gt;=FV$18,FU9&gt;=FV$22,FT9&lt;&gt;""),AND(GQ9&gt;=GV$18,GR9&gt;=GV$22,GQ9&lt;&gt;""),AND(GT9&gt;=GV$18,GU9&gt;=GV$22,GT9&lt;&gt;""),AND(HQ9&gt;=HV$18,HR9&gt;=HV$22,HQ9&lt;&gt;""),AND(HT9&gt;=HV$18,HU9&gt;=HV$22,HT9&lt;&gt;""),AND(IQ9&gt;=IV$18,IR9&gt;=IV$22,IQ9&lt;&gt;""),AND(IT9&gt;=IV$18,IU9&gt;=IV$22,IT9&lt;&gt;""),AND(JQ9&gt;=JV$18,JR9&gt;=JV$22,JQ9&lt;&gt;""),AND(JT9&gt;=JV$18,JU9&gt;=JV$22,JT9&lt;&gt;""),AND(KQ9&gt;=KV$18,KR9&gt;=KV$22,KQ9&lt;&gt;""),AND(KT9&gt;=KV$18,KU9&gt;=KV$22,KT9&lt;&gt;""),AND(LQ9&gt;=LV$18,LR9&gt;=LV$22,LQ9&lt;&gt;""),AND(LT9&gt;=LV$18,LU9&gt;=LV$22,LT9&lt;&gt;""),AND(MQ9&gt;=MV$18,MR9&gt;=MV$22,MQ9&lt;&gt;""),AND(MT9&gt;=MV$18,MU9&gt;=MV$22,MT9&lt;&gt;""),AND(NQ9&gt;=NV$18,NR9&gt;=NV$22,NQ9&lt;&gt;""),AND(NT9&gt;=NV$18,NU9&gt;=NV$22,NT9&lt;&gt;""),AND(OQ9&gt;=OV$18,OR9&gt;=OV$22,OQ9&lt;&gt;""),AND(OT9&gt;=OV$18,OU9&gt;=OV$22,OT9&lt;&gt;"")),"P","")</f>
        <v/>
      </c>
      <c r="G9" s="3" t="str">
        <f>IF(OR(AND(AN9&gt;=AR$22,AN9&lt;&gt;"",AL9=""),AND(AQ9&gt;=AR$22,AQ9&lt;&gt;"",AL9=""),AND(BO9&gt;=BS$22,BO9&lt;&gt;"",BM9=""),AND(BR9&gt;=BS$22,BR9&lt;&gt;"",BM9=""),AND(CP9&gt;=CT$22,CP9&lt;&gt;"",CN9=""),AND(CS9&gt;=CT$22,CS9&lt;&gt;"",CN9=""),AND(DR9&gt;=DV$22,DR9&lt;&gt;""),AND(DU9&gt;=DV$22,DU9&lt;&gt;""),AND(ER9&gt;=EV$22,ER9&lt;&gt;""),AND(EU9&gt;=EV$22,EU9&lt;&gt;""),AND(FR9&gt;=FV$22,FR9&lt;&gt;""),AND(FU9&gt;=FV$22,FU9&lt;&gt;""),AND(GR9&gt;=GV$22,GR9&lt;&gt;""),AND(GU9&gt;=GV$22,GU9&lt;&gt;""),AND(HR9&gt;=HV$22,HR9&lt;&gt;""),AND(HU9&gt;=HV$22,HU9&lt;&gt;""),AND(IR9&gt;=IV$22,IR9&lt;&gt;""),AND(IU9&gt;=IV$22,IU9&lt;&gt;""),AND(JR9&gt;=JV$22,JR9&lt;&gt;""),AND(JU9&gt;=JV$22,JU9&lt;&gt;""),AND(KR9&gt;=KV$22,KR9&lt;&gt;""),AND(KU9&gt;=KV$22,KU9&lt;&gt;""),AND(LR9&gt;=LV$22,LR9&lt;&gt;""),AND(LU9&gt;=LV$22,LU9&lt;&gt;""),AND(MR9&gt;=MV$22,MR9&lt;&gt;""),AND(MU9&gt;=MV$22,MU9&lt;&gt;""),AND(NR9&gt;=NV$22,NR9&lt;&gt;""),AND(NU9&gt;=NV$22,NU9&lt;&gt;""),AND(OR9&gt;=OV$22,OR9&lt;&gt;""),AND(OU9&gt;=OV$22,OU9&lt;&gt;"")),"P","")</f>
        <v/>
      </c>
      <c r="H9" s="47" t="str">
        <f>IF(AND(G9="P",F9=""),"No DD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Merit",IF(OR(AND(AM9&gt;=AR$20,AN9&gt;=AR$24,AM9&lt;&gt;"",AL9=""),AND(AP9&gt;=AR$20,AQ9&gt;=AR$24,AP9&lt;&gt;"",AL9=""),AND(BN9&gt;=BS$20,BO9&gt;=BS$24,BN9&lt;&gt;"",BM9=""),AND(BQ9&gt;=BS$20,BR9&gt;=BS$24,BQ9&lt;&gt;"",BM9=""),AND(CO9&gt;=CT$20,CP9&gt;=CT$24,CO9&lt;&gt;"",CN9=""),AND(CR9&gt;=CT$20,CS9&gt;=CT$24,CR9&lt;&gt;""),AND(DQ9&gt;=DV$20,DR9&gt;=DV$24,DQ9&lt;&gt;""),AND(DT9&gt;=DV$20,DU9&gt;=DV$24,DT9&lt;&gt;""),AND(EQ9&gt;=EV$20,ER9&gt;=EV$24,EQ9&lt;&gt;""),AND(ET9&gt;=EV$20,EU9&gt;=EV$24,ET9&lt;&gt;""),AND(FQ9&gt;=FV$20,FR9&gt;=FV$24,FQ9&lt;&gt;""),AND(FT9&gt;=FV$20,FU9&gt;=FV$24,FT9&lt;&gt;""),AND(GQ9&gt;=GV$20,GR9&gt;=GV$24,GQ9&lt;&gt;""),AND(GT9&gt;=GV$20,GU9&gt;=GV$24,GT9&lt;&gt;""),AND(HQ9&gt;=HV$20,HR9&gt;=HV$24,HQ9&lt;&gt;""),AND(HT9&gt;=HV$20,HU9&gt;=HV$24,HT9&lt;&gt;""),AND(IQ9&gt;=IV$20,IR9&gt;=IV$24,IQ9&lt;&gt;""),AND(IT9&gt;=IV$20,IU9&gt;=IV$24,IT9&lt;&gt;""),AND(JQ9&gt;=JV$20,JR9&gt;=JV$24,JQ9&lt;&gt;""),AND(JT9&gt;=JV$20,JU9&gt;=JV$24,JT9&lt;&gt;""),AND(KQ9&gt;=KV$20,KR9&gt;=KV$24,KQ9&lt;&gt;""),AND(KT9&gt;=KV$20,KU9&gt;=KV$24,KT9&lt;&gt;""),AND(LQ9&gt;=LV$20,LR9&gt;=LV$24,LQ9&lt;&gt;""),AND(LT9&gt;=LV$20,LU9&gt;=LV$24,LT9&lt;&gt;""),AND(MQ9&gt;=MV$20,MR9&gt;=MV$24,MQ9&lt;&gt;""),AND(MT9&gt;=MV$20,MU9&gt;=MV$24,MT9&lt;&gt;""),AND(NQ9&gt;=NV$20,NR9&gt;=NV$24,NQ9&lt;&gt;""),AND(NT9&gt;=NV$20,NU9&gt;=NV$24,NT9&lt;&gt;""),AND(OQ9&gt;=OV$20,OR9&gt;=OV$24,OQ9&lt;&gt;""),AND(OT9&gt;=OV$20,OU9&gt;=OV$24,OT9&lt;&gt;"")),"Excellence",IF(F9="P","National Team",""))))</f>
        <v/>
      </c>
      <c r="I9" s="9">
        <f>IF(COUNT(AN9,BO9,CP9)&gt;0,LARGE((AN9,BO9,CP9),1),0)</f>
        <v>48.6</v>
      </c>
      <c r="J9" s="9" t="str">
        <f>IF(I9=0,"",IF(I9=CP9,$BT$1,IF(I9=BO9,$AS$1,IF(I9=AN9,$R$1,""))))</f>
        <v>2025 3rd Domestic Trial</v>
      </c>
      <c r="K9" s="9">
        <f>IF(COUNT(AN9,BO9,CP9)&gt;1,LARGE((AN9,BO9,CP9),2),0)</f>
        <v>41.699999999999996</v>
      </c>
      <c r="L9" s="9" t="str">
        <f>IF(K9=0,"",IF(AND(K9=I9,K9=AN9,K9=BO9),$R$1,IF(AND(K9=I9,K9=AN9,K9=CP9),$R$1,IF(AND(K9=I9,K9=CP9,K9=BO9),$AS$1,IF(K9=CP9,$BT$1,IF(K9=BO9,$AS$1,IF(K9=AN9,$R$1,"")))))))</f>
        <v>2025 Nationals</v>
      </c>
      <c r="M9" s="9">
        <f>IF(MAX(AQ9,BR9,CS9)&gt;0,MAX(AQ9,BR9,CS9),0)</f>
        <v>48.800000000000004</v>
      </c>
      <c r="N9" s="9" t="str">
        <f>IF(M9=0,"",IF(M9=CS9,$BT$1,IF(M9=BR9,$AS$1,IF(M9=AQ9,$R$1,""))))</f>
        <v>2025 3rd Domestic Trial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0</v>
      </c>
      <c r="S9" s="20">
        <v>0</v>
      </c>
      <c r="T9" s="20">
        <v>0</v>
      </c>
      <c r="U9" s="20">
        <v>0</v>
      </c>
      <c r="V9" s="20">
        <v>16.5</v>
      </c>
      <c r="W9" s="20">
        <v>6.4</v>
      </c>
      <c r="X9" s="20">
        <v>0</v>
      </c>
      <c r="Y9" s="20">
        <v>0</v>
      </c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>
        <f>IF(SUM(S9,W9)&gt;0,SUM(S9,W9),"")</f>
        <v>6.4</v>
      </c>
      <c r="AN9" s="55">
        <f>IF(SUM(R9:S9,U9:W9,Y9)-T9-X9&gt;0,SUM(R9:S9,U9:W9,Y9)-T9-X9,"")</f>
        <v>22.9</v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>
        <f>IF(SUM(AN9,AO9,AQ9)&gt;0,SUM(AN9,AO9,AQ9),"")</f>
        <v>22.9</v>
      </c>
      <c r="AS9" s="19">
        <v>15.3</v>
      </c>
      <c r="AT9" s="19">
        <v>2.4</v>
      </c>
      <c r="AU9" s="19">
        <v>0</v>
      </c>
      <c r="AV9" s="19">
        <v>0</v>
      </c>
      <c r="AW9" s="19">
        <v>18.399999999999999</v>
      </c>
      <c r="AX9" s="19">
        <v>6.4</v>
      </c>
      <c r="AY9" s="19">
        <v>0.8</v>
      </c>
      <c r="AZ9" s="19">
        <v>0</v>
      </c>
      <c r="BA9" s="19"/>
      <c r="BB9" s="19"/>
      <c r="BC9" s="19"/>
      <c r="BD9" s="19"/>
      <c r="BE9" s="19">
        <v>18.100000000000001</v>
      </c>
      <c r="BF9" s="19">
        <v>5.2</v>
      </c>
      <c r="BG9" s="19">
        <v>0.8</v>
      </c>
      <c r="BH9" s="19">
        <v>0</v>
      </c>
      <c r="BI9" s="19">
        <v>15.2</v>
      </c>
      <c r="BJ9" s="19">
        <v>2.8</v>
      </c>
      <c r="BK9" s="19">
        <v>0.2</v>
      </c>
      <c r="BL9" s="19">
        <v>0</v>
      </c>
      <c r="BM9" s="33"/>
      <c r="BN9" s="14">
        <f>IF(SUM(AT9,AX9)&gt;0,SUM(AT9,AX9),"")</f>
        <v>8.8000000000000007</v>
      </c>
      <c r="BO9" s="14">
        <f>IF(SUM(AS9:AT9,AV9:AX9,AZ9)-AU9-AY9&gt;0,SUM(AS9:AT9,AV9:AX9,AZ9)-AU9-AY9,"")</f>
        <v>41.699999999999996</v>
      </c>
      <c r="BP9" s="14" t="str">
        <f>IF(SUM(BA9:BB9,BD9)-BC9&gt;0,SUM(BA9:BB9,BD9)-BC9,"")</f>
        <v/>
      </c>
      <c r="BQ9" s="14">
        <f>IF(SUM(BF9,BJ9)&gt;0,SUM(BF9,BJ9),"")</f>
        <v>8</v>
      </c>
      <c r="BR9" s="14">
        <f>IF(SUM(BE9:BF9,BH9:BJ9,BL9)-SUM(BG9,BK9)&gt;0,SUM(BE9:BF9,BH9:BJ9,BL9)-SUM(BG9,BK9),"")</f>
        <v>40.299999999999997</v>
      </c>
      <c r="BS9" s="14">
        <f>IF(SUM(BO9,BP9,BR9)&gt;0,SUM(BO9,BP9,BR9),"")</f>
        <v>82</v>
      </c>
      <c r="BT9" s="20">
        <v>18.7</v>
      </c>
      <c r="BU9" s="20">
        <v>6</v>
      </c>
      <c r="BV9" s="20">
        <v>0</v>
      </c>
      <c r="BW9" s="20">
        <v>0</v>
      </c>
      <c r="BX9" s="20">
        <v>18.5</v>
      </c>
      <c r="BY9" s="20">
        <v>5.6</v>
      </c>
      <c r="BZ9" s="20">
        <v>0.2</v>
      </c>
      <c r="CA9" s="20">
        <v>0</v>
      </c>
      <c r="CB9" s="20"/>
      <c r="CC9" s="20"/>
      <c r="CD9" s="20"/>
      <c r="CE9" s="20"/>
      <c r="CF9" s="20">
        <v>18.5</v>
      </c>
      <c r="CG9" s="20">
        <v>6</v>
      </c>
      <c r="CH9" s="20">
        <v>0</v>
      </c>
      <c r="CI9" s="20">
        <v>0</v>
      </c>
      <c r="CJ9" s="20">
        <v>18.7</v>
      </c>
      <c r="CK9" s="20">
        <v>5.6</v>
      </c>
      <c r="CL9" s="20">
        <v>0</v>
      </c>
      <c r="CM9" s="20">
        <v>0</v>
      </c>
      <c r="CN9" s="32"/>
      <c r="CO9" s="55">
        <f>IF(SUM(BU9,BY9)&gt;0,SUM(BU9,BY9),"")</f>
        <v>11.6</v>
      </c>
      <c r="CP9" s="55">
        <f>IF(SUM(BT9:BU9,BW9:BY9,CA9)-BV9-BZ9&gt;0,SUM(BT9:BU9,BW9:BY9,CA9)-BV9-BZ9,"")</f>
        <v>48.6</v>
      </c>
      <c r="CQ9" s="55" t="str">
        <f>IF(SUM(CB9:CC9,CE9)-CD9&gt;0,SUM(CB9:CC9,CE9)-CD9,"")</f>
        <v/>
      </c>
      <c r="CR9" s="55">
        <f>IF(SUM(CG9,CK9)&gt;0,SUM(CG9,CK9),"")</f>
        <v>11.6</v>
      </c>
      <c r="CS9" s="55">
        <f>IF(SUM(CF9:CG9,CI9:CK9,CM9)-SUM(CH9,CL9)&gt;0,SUM(CF9:CG9,CI9:CK9,CM9)-SUM(CH9,CL9),"")</f>
        <v>48.800000000000004</v>
      </c>
      <c r="CT9" s="55">
        <f>IF(SUM(CP9,CQ9,CS9)&gt;0,SUM(CP9,CQ9,CS9),"")</f>
        <v>97.4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17</v>
      </c>
      <c r="OX9" s="27">
        <f>IF($CN9="P",BU9,(BU9+AT9)/2)</f>
        <v>4.2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18.45</v>
      </c>
      <c r="PB9" s="27">
        <f>IF($CN9="P",BY9,(BY9+AX9)/2)</f>
        <v>6</v>
      </c>
      <c r="PC9" s="27">
        <f>IF($CN9="P",BZ9,(BZ9+AY9)/2)</f>
        <v>0.5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18.3</v>
      </c>
      <c r="PJ9" s="27">
        <f>IF($CN9="P",CG9,(CG9+BF9)/2)</f>
        <v>5.6</v>
      </c>
      <c r="PK9" s="27">
        <f>IF($CN9="P",CH9,(CH9+BG9)/2)</f>
        <v>0.4</v>
      </c>
      <c r="PL9" s="27">
        <f>IF($CN9="P",CI9,(CI9+BH9)/2)</f>
        <v>0</v>
      </c>
      <c r="PM9" s="27">
        <f>IF($CN9="P",CJ9,(CJ9+BI9)/2)</f>
        <v>16.95</v>
      </c>
      <c r="PN9" s="27">
        <f>IF($CN9="P",CK9,(CK9+BJ9)/2)</f>
        <v>4.1999999999999993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10.199999999999999</v>
      </c>
      <c r="PS9" s="55">
        <f>IF(SUM(OW9:OX9,OZ9:PB9,PD9)-OY9-PC9&gt;0,SUM(OW9:OX9,OZ9:PB9,PD9)-OY9-PC9,"")</f>
        <v>45.15</v>
      </c>
      <c r="PT9" s="55" t="str">
        <f>IF(SUM(PE9:PF9,PH9)-PG9&gt;0,SUM(PE9:PF9,PH9)-PG9,"")</f>
        <v/>
      </c>
      <c r="PU9" s="55">
        <f>IF(SUM(PJ9,PN9)&gt;0,SUM(PJ9,PN9),"")</f>
        <v>9.7999999999999989</v>
      </c>
      <c r="PV9" s="55">
        <f>IF(SUM(PI9:PJ9,PL9:PN9,PP9)-SUM(PK9,PO9)&gt;0,SUM(PI9:PJ9,PL9:PN9,PP9)-SUM(PK9,PO9),"")</f>
        <v>44.55</v>
      </c>
      <c r="PW9" s="55">
        <f>IF(SUM(PS9,PT9,PV9)&gt;0,SUM(PS9,PT9,PV9),"")</f>
        <v>89.699999999999989</v>
      </c>
    </row>
    <row r="10" spans="1:439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112</v>
      </c>
      <c r="C10" s="4" t="s">
        <v>67</v>
      </c>
      <c r="D10" s="4">
        <v>2012</v>
      </c>
      <c r="E10" s="10">
        <f>SUM(I10:O10)+SUM(I10:M10)*0.0000001+SUM(I10)*0.0000000000001</f>
        <v>138.50001385000473</v>
      </c>
      <c r="F10" s="3" t="str">
        <f>IF(OR(AND(AM10&gt;=AR$18,AN10&gt;=AR$22,AM10&lt;&gt;"",AL10=""),AND(AP10&gt;=AR$18,AQ10&gt;=AR$22,AP10&lt;&gt;"",AL10=""),AND(BN10&gt;=BS$18,BO10&gt;=BS$22,BN10&lt;&gt;"",BM10=""),AND(BQ10&gt;=BS$18,BR10&gt;=BS$22,BQ10&lt;&gt;"",BM10=""),AND(CO10&gt;=CT$18,CP10&gt;=CT$22,CO10&lt;&gt;"",CN10=""),AND(CR10&gt;=CT$18,CS10&gt;=CT$22,CR10&lt;&gt;""),AND(DQ10&gt;=DV$18,DR10&gt;=DV$22,DQ10&lt;&gt;""),AND(DT10&gt;=DV$18,DU10&gt;=DV$22,DT10&lt;&gt;""),AND(EQ10&gt;=EV$18,ER10&gt;=EV$22,EQ10&lt;&gt;""),AND(ET10&gt;=EV$18,EU10&gt;=EV$22,ET10&lt;&gt;""),AND(FQ10&gt;=FV$18,FR10&gt;=FV$22,FQ10&lt;&gt;""),AND(FT10&gt;=FV$18,FU10&gt;=FV$22,FT10&lt;&gt;""),AND(GQ10&gt;=GV$18,GR10&gt;=GV$22,GQ10&lt;&gt;""),AND(GT10&gt;=GV$18,GU10&gt;=GV$22,GT10&lt;&gt;""),AND(HQ10&gt;=HV$18,HR10&gt;=HV$22,HQ10&lt;&gt;""),AND(HT10&gt;=HV$18,HU10&gt;=HV$22,HT10&lt;&gt;""),AND(IQ10&gt;=IV$18,IR10&gt;=IV$22,IQ10&lt;&gt;""),AND(IT10&gt;=IV$18,IU10&gt;=IV$22,IT10&lt;&gt;""),AND(JQ10&gt;=JV$18,JR10&gt;=JV$22,JQ10&lt;&gt;""),AND(JT10&gt;=JV$18,JU10&gt;=JV$22,JT10&lt;&gt;""),AND(KQ10&gt;=KV$18,KR10&gt;=KV$22,KQ10&lt;&gt;""),AND(KT10&gt;=KV$18,KU10&gt;=KV$22,KT10&lt;&gt;""),AND(LQ10&gt;=LV$18,LR10&gt;=LV$22,LQ10&lt;&gt;""),AND(LT10&gt;=LV$18,LU10&gt;=LV$22,LT10&lt;&gt;""),AND(MQ10&gt;=MV$18,MR10&gt;=MV$22,MQ10&lt;&gt;""),AND(MT10&gt;=MV$18,MU10&gt;=MV$22,MT10&lt;&gt;""),AND(NQ10&gt;=NV$18,NR10&gt;=NV$22,NQ10&lt;&gt;""),AND(NT10&gt;=NV$18,NU10&gt;=NV$22,NT10&lt;&gt;""),AND(OQ10&gt;=OV$18,OR10&gt;=OV$22,OQ10&lt;&gt;""),AND(OT10&gt;=OV$18,OU10&gt;=OV$22,OT10&lt;&gt;"")),"P","")</f>
        <v/>
      </c>
      <c r="G10" s="3" t="str">
        <f>IF(OR(AND(AN10&gt;=AR$22,AN10&lt;&gt;"",AL10=""),AND(AQ10&gt;=AR$22,AQ10&lt;&gt;"",AL10=""),AND(BO10&gt;=BS$22,BO10&lt;&gt;"",BM10=""),AND(BR10&gt;=BS$22,BR10&lt;&gt;"",BM10=""),AND(CP10&gt;=CT$22,CP10&lt;&gt;"",CN10=""),AND(CS10&gt;=CT$22,CS10&lt;&gt;"",CN10=""),AND(DR10&gt;=DV$22,DR10&lt;&gt;""),AND(DU10&gt;=DV$22,DU10&lt;&gt;""),AND(ER10&gt;=EV$22,ER10&lt;&gt;""),AND(EU10&gt;=EV$22,EU10&lt;&gt;""),AND(FR10&gt;=FV$22,FR10&lt;&gt;""),AND(FU10&gt;=FV$22,FU10&lt;&gt;""),AND(GR10&gt;=GV$22,GR10&lt;&gt;""),AND(GU10&gt;=GV$22,GU10&lt;&gt;""),AND(HR10&gt;=HV$22,HR10&lt;&gt;""),AND(HU10&gt;=HV$22,HU10&lt;&gt;""),AND(IR10&gt;=IV$22,IR10&lt;&gt;""),AND(IU10&gt;=IV$22,IU10&lt;&gt;""),AND(JR10&gt;=JV$22,JR10&lt;&gt;""),AND(JU10&gt;=JV$22,JU10&lt;&gt;""),AND(KR10&gt;=KV$22,KR10&lt;&gt;""),AND(KU10&gt;=KV$22,KU10&lt;&gt;""),AND(LR10&gt;=LV$22,LR10&lt;&gt;""),AND(LU10&gt;=LV$22,LU10&lt;&gt;""),AND(MR10&gt;=MV$22,MR10&lt;&gt;""),AND(MU10&gt;=MV$22,MU10&lt;&gt;""),AND(NR10&gt;=NV$22,NR10&lt;&gt;""),AND(NU10&gt;=NV$22,NU10&lt;&gt;""),AND(OR10&gt;=OV$22,OR10&lt;&gt;""),AND(OU10&gt;=OV$22,OU10&lt;&gt;"")),"P","")</f>
        <v/>
      </c>
      <c r="H10" s="47" t="str">
        <f>IF(AND(G10="P",F10=""),"No DD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Merit",IF(OR(AND(AM10&gt;=AR$20,AN10&gt;=AR$24,AM10&lt;&gt;"",AL10=""),AND(AP10&gt;=AR$20,AQ10&gt;=AR$24,AP10&lt;&gt;"",AL10=""),AND(BN10&gt;=BS$20,BO10&gt;=BS$24,BN10&lt;&gt;"",BM10=""),AND(BQ10&gt;=BS$20,BR10&gt;=BS$24,BQ10&lt;&gt;"",BM10=""),AND(CO10&gt;=CT$20,CP10&gt;=CT$24,CO10&lt;&gt;"",CN10=""),AND(CR10&gt;=CT$20,CS10&gt;=CT$24,CR10&lt;&gt;""),AND(DQ10&gt;=DV$20,DR10&gt;=DV$24,DQ10&lt;&gt;""),AND(DT10&gt;=DV$20,DU10&gt;=DV$24,DT10&lt;&gt;""),AND(EQ10&gt;=EV$20,ER10&gt;=EV$24,EQ10&lt;&gt;""),AND(ET10&gt;=EV$20,EU10&gt;=EV$24,ET10&lt;&gt;""),AND(FQ10&gt;=FV$20,FR10&gt;=FV$24,FQ10&lt;&gt;""),AND(FT10&gt;=FV$20,FU10&gt;=FV$24,FT10&lt;&gt;""),AND(GQ10&gt;=GV$20,GR10&gt;=GV$24,GQ10&lt;&gt;""),AND(GT10&gt;=GV$20,GU10&gt;=GV$24,GT10&lt;&gt;""),AND(HQ10&gt;=HV$20,HR10&gt;=HV$24,HQ10&lt;&gt;""),AND(HT10&gt;=HV$20,HU10&gt;=HV$24,HT10&lt;&gt;""),AND(IQ10&gt;=IV$20,IR10&gt;=IV$24,IQ10&lt;&gt;""),AND(IT10&gt;=IV$20,IU10&gt;=IV$24,IT10&lt;&gt;""),AND(JQ10&gt;=JV$20,JR10&gt;=JV$24,JQ10&lt;&gt;""),AND(JT10&gt;=JV$20,JU10&gt;=JV$24,JT10&lt;&gt;""),AND(KQ10&gt;=KV$20,KR10&gt;=KV$24,KQ10&lt;&gt;""),AND(KT10&gt;=KV$20,KU10&gt;=KV$24,KT10&lt;&gt;""),AND(LQ10&gt;=LV$20,LR10&gt;=LV$24,LQ10&lt;&gt;""),AND(LT10&gt;=LV$20,LU10&gt;=LV$24,LT10&lt;&gt;""),AND(MQ10&gt;=MV$20,MR10&gt;=MV$24,MQ10&lt;&gt;""),AND(MT10&gt;=MV$20,MU10&gt;=MV$24,MT10&lt;&gt;""),AND(NQ10&gt;=NV$20,NR10&gt;=NV$24,NQ10&lt;&gt;""),AND(NT10&gt;=NV$20,NU10&gt;=NV$24,NT10&lt;&gt;""),AND(OQ10&gt;=OV$20,OR10&gt;=OV$24,OQ10&lt;&gt;""),AND(OT10&gt;=OV$20,OU10&gt;=OV$24,OT10&lt;&gt;"")),"Excellence",IF(F10="P","National Team",""))))</f>
        <v/>
      </c>
      <c r="I10" s="9">
        <f>IF(COUNT(AN10,BO10,CP10)&gt;0,LARGE((AN10,BO10,CP10),1),0)</f>
        <v>47.5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43.399999999999991</v>
      </c>
      <c r="L10" s="9" t="str">
        <f>IF(K10=0,"",IF(AND(K10=I10,K10=AN10,K10=BO10),$R$1,IF(AND(K10=I10,K10=AN10,K10=CP10),$R$1,IF(AND(K10=I10,K10=CP10,K10=BO10),$AS$1,IF(K10=CP10,$BT$1,IF(K10=BO10,$AS$1,IF(K10=AN10,$R$1,"")))))))</f>
        <v>2025 3rd Domestic Trial</v>
      </c>
      <c r="M10" s="9">
        <f>IF(MAX(AQ10,BR10,CS10)&gt;0,MAX(AQ10,BR10,CS10),0)</f>
        <v>47.599999999999994</v>
      </c>
      <c r="N10" s="9" t="str">
        <f>IF(M10=0,"",IF(M10=CS10,$BT$1,IF(M10=BR10,$AS$1,IF(M10=AQ10,$R$1,""))))</f>
        <v>2025 Nationals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32"/>
      <c r="AM10" s="55" t="str">
        <f>IF(SUM(S10,W10)&gt;0,SUM(S10,W10),"")</f>
        <v/>
      </c>
      <c r="AN10" s="55" t="str">
        <f>IF(SUM(R10:S10,U10:W10,Y10)-T10-X10&gt;0,SUM(R10:S10,U10:W10,Y10)-T10-X10,"")</f>
        <v/>
      </c>
      <c r="AO10" s="55" t="str">
        <f>IF(SUM(Z10:AA10,AC10)-AB10&gt;0,SUM(Z10:AA10,AC10)-AB10,"")</f>
        <v/>
      </c>
      <c r="AP10" s="55" t="str">
        <f>IF(SUM(AE10,AI10)&gt;0,SUM(AE10,AI10),"")</f>
        <v/>
      </c>
      <c r="AQ10" s="55" t="str">
        <f>IF(SUM(AD10:AE10,AG10:AI10,AK10)-SUM(AF10,AJ10)&gt;0,SUM(AD10:AE10,AG10:AI10,AK10)-SUM(AF10,AJ10),"")</f>
        <v/>
      </c>
      <c r="AR10" s="55" t="str">
        <f>IF(SUM(AN10,AO10,AQ10)&gt;0,SUM(AN10,AO10,AQ10),"")</f>
        <v/>
      </c>
      <c r="AS10" s="19">
        <v>18.3</v>
      </c>
      <c r="AT10" s="19">
        <v>5.6</v>
      </c>
      <c r="AU10" s="19">
        <v>0</v>
      </c>
      <c r="AV10" s="19">
        <v>0</v>
      </c>
      <c r="AW10" s="19">
        <v>18.8</v>
      </c>
      <c r="AX10" s="19">
        <v>4.8</v>
      </c>
      <c r="AY10" s="19">
        <v>0</v>
      </c>
      <c r="AZ10" s="19">
        <v>0</v>
      </c>
      <c r="BA10" s="19"/>
      <c r="BB10" s="19"/>
      <c r="BC10" s="19"/>
      <c r="BD10" s="19"/>
      <c r="BE10" s="19">
        <v>18.7</v>
      </c>
      <c r="BF10" s="19">
        <v>5.6</v>
      </c>
      <c r="BG10" s="19">
        <v>0</v>
      </c>
      <c r="BH10" s="19">
        <v>0</v>
      </c>
      <c r="BI10" s="19">
        <v>18.5</v>
      </c>
      <c r="BJ10" s="19">
        <v>4.8</v>
      </c>
      <c r="BK10" s="19">
        <v>0</v>
      </c>
      <c r="BL10" s="19">
        <v>0</v>
      </c>
      <c r="BM10" s="33"/>
      <c r="BN10" s="14">
        <f>IF(SUM(AT10,AX10)&gt;0,SUM(AT10,AX10),"")</f>
        <v>10.399999999999999</v>
      </c>
      <c r="BO10" s="14">
        <f>IF(SUM(AS10:AT10,AV10:AX10,AZ10)-AU10-AY10&gt;0,SUM(AS10:AT10,AV10:AX10,AZ10)-AU10-AY10,"")</f>
        <v>47.5</v>
      </c>
      <c r="BP10" s="14" t="str">
        <f>IF(SUM(BA10:BB10,BD10)-BC10&gt;0,SUM(BA10:BB10,BD10)-BC10,"")</f>
        <v/>
      </c>
      <c r="BQ10" s="14">
        <f>IF(SUM(BF10,BJ10)&gt;0,SUM(BF10,BJ10),"")</f>
        <v>10.399999999999999</v>
      </c>
      <c r="BR10" s="14">
        <f>IF(SUM(BE10:BF10,BH10:BJ10,BL10)-SUM(BG10,BK10)&gt;0,SUM(BE10:BF10,BH10:BJ10,BL10)-SUM(BG10,BK10),"")</f>
        <v>47.599999999999994</v>
      </c>
      <c r="BS10" s="14">
        <f>IF(SUM(BO10,BP10,BR10)&gt;0,SUM(BO10,BP10,BR10),"")</f>
        <v>95.1</v>
      </c>
      <c r="BT10" s="20">
        <v>18.100000000000001</v>
      </c>
      <c r="BU10" s="20">
        <v>5.2</v>
      </c>
      <c r="BV10" s="20">
        <v>0.2</v>
      </c>
      <c r="BW10" s="20">
        <v>0</v>
      </c>
      <c r="BX10" s="20">
        <v>18.5</v>
      </c>
      <c r="BY10" s="20">
        <v>2.8</v>
      </c>
      <c r="BZ10" s="20">
        <v>1</v>
      </c>
      <c r="CA10" s="20">
        <v>0</v>
      </c>
      <c r="CB10" s="20"/>
      <c r="CC10" s="20"/>
      <c r="CD10" s="20"/>
      <c r="CE10" s="20"/>
      <c r="CF10" s="20">
        <v>18.2</v>
      </c>
      <c r="CG10" s="20">
        <v>6</v>
      </c>
      <c r="CH10" s="20">
        <v>0.2</v>
      </c>
      <c r="CI10" s="20">
        <v>0</v>
      </c>
      <c r="CJ10" s="20">
        <v>18.399999999999999</v>
      </c>
      <c r="CK10" s="20">
        <v>5.2</v>
      </c>
      <c r="CL10" s="20">
        <v>0.2</v>
      </c>
      <c r="CM10" s="20">
        <v>0</v>
      </c>
      <c r="CN10" s="32"/>
      <c r="CO10" s="55">
        <f>IF(SUM(BU10,BY10)&gt;0,SUM(BU10,BY10),"")</f>
        <v>8</v>
      </c>
      <c r="CP10" s="55">
        <f>IF(SUM(BT10:BU10,BW10:BY10,CA10)-BV10-BZ10&gt;0,SUM(BT10:BU10,BW10:BY10,CA10)-BV10-BZ10,"")</f>
        <v>43.399999999999991</v>
      </c>
      <c r="CQ10" s="55" t="str">
        <f>IF(SUM(CB10:CC10,CE10)-CD10&gt;0,SUM(CB10:CC10,CE10)-CD10,"")</f>
        <v/>
      </c>
      <c r="CR10" s="55">
        <f>IF(SUM(CG10,CK10)&gt;0,SUM(CG10,CK10),"")</f>
        <v>11.2</v>
      </c>
      <c r="CS10" s="55">
        <f>IF(SUM(CF10:CG10,CI10:CK10,CM10)-SUM(CH10,CL10)&gt;0,SUM(CF10:CG10,CI10:CK10,CM10)-SUM(CH10,CL10),"")</f>
        <v>47.4</v>
      </c>
      <c r="CT10" s="55">
        <f>IF(SUM(CP10,CQ10,CS10)&gt;0,SUM(CP10,CQ10,CS10),"")</f>
        <v>90.799999999999983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18.200000000000003</v>
      </c>
      <c r="OX10" s="27">
        <f>IF($CN10="P",BU10,(BU10+AT10)/2)</f>
        <v>5.4</v>
      </c>
      <c r="OY10" s="27">
        <f>IF($CN10="P",BV10,(BV10+AU10)/2)</f>
        <v>0.1</v>
      </c>
      <c r="OZ10" s="27">
        <f>IF($CN10="P",BW10,(BW10+AV10)/2)</f>
        <v>0</v>
      </c>
      <c r="PA10" s="27">
        <f>IF($CN10="P",BX10,(BX10+AW10)/2)</f>
        <v>18.649999999999999</v>
      </c>
      <c r="PB10" s="27">
        <f>IF($CN10="P",BY10,(BY10+AX10)/2)</f>
        <v>3.8</v>
      </c>
      <c r="PC10" s="27">
        <f>IF($CN10="P",BZ10,(BZ10+AY10)/2)</f>
        <v>0.5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18.45</v>
      </c>
      <c r="PJ10" s="27">
        <f>IF($CN10="P",CG10,(CG10+BF10)/2)</f>
        <v>5.8</v>
      </c>
      <c r="PK10" s="27">
        <f>IF($CN10="P",CH10,(CH10+BG10)/2)</f>
        <v>0.1</v>
      </c>
      <c r="PL10" s="27">
        <f>IF($CN10="P",CI10,(CI10+BH10)/2)</f>
        <v>0</v>
      </c>
      <c r="PM10" s="27">
        <f>IF($CN10="P",CJ10,(CJ10+BI10)/2)</f>
        <v>18.45</v>
      </c>
      <c r="PN10" s="27">
        <f>IF($CN10="P",CK10,(CK10+BJ10)/2)</f>
        <v>5</v>
      </c>
      <c r="PO10" s="27">
        <f>IF($CN10="P",CL10,(CL10+BK10)/2)</f>
        <v>0.1</v>
      </c>
      <c r="PP10" s="27">
        <f>IF($CN10="P",CM10,(CM10+BL10)/2)</f>
        <v>0</v>
      </c>
      <c r="PQ10" s="32" t="s">
        <v>44</v>
      </c>
      <c r="PR10" s="55">
        <f>IF(SUM(OX10,PB10)&gt;0,SUM(OX10,PB10),"")</f>
        <v>9.1999999999999993</v>
      </c>
      <c r="PS10" s="55">
        <f>IF(SUM(OW10:OX10,OZ10:PB10,PD10)-OY10-PC10&gt;0,SUM(OW10:OX10,OZ10:PB10,PD10)-OY10-PC10,"")</f>
        <v>45.449999999999996</v>
      </c>
      <c r="PT10" s="55" t="str">
        <f>IF(SUM(PE10:PF10,PH10)-PG10&gt;0,SUM(PE10:PF10,PH10)-PG10,"")</f>
        <v/>
      </c>
      <c r="PU10" s="55">
        <f>IF(SUM(PJ10,PN10)&gt;0,SUM(PJ10,PN10),"")</f>
        <v>10.8</v>
      </c>
      <c r="PV10" s="55">
        <f>IF(SUM(PI10:PJ10,PL10:PN10,PP10)-SUM(PK10,PO10)&gt;0,SUM(PI10:PJ10,PL10:PN10,PP10)-SUM(PK10,PO10),"")</f>
        <v>47.5</v>
      </c>
      <c r="PW10" s="55">
        <f>IF(SUM(PS10,PT10,PV10)&gt;0,SUM(PS10,PT10,PV10),"")</f>
        <v>92.949999999999989</v>
      </c>
    </row>
    <row r="11" spans="1:439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97</v>
      </c>
      <c r="C11" s="4" t="s">
        <v>65</v>
      </c>
      <c r="D11" s="4">
        <v>2009</v>
      </c>
      <c r="E11" s="10">
        <f>SUM(I11:O11)+SUM(I11:M11)*0.0000001+SUM(I11)*0.0000000000001</f>
        <v>134.70001347000462</v>
      </c>
      <c r="F11" s="3" t="str">
        <f>IF(OR(AND(AM11&gt;=AR$18,AN11&gt;=AR$22,AM11&lt;&gt;"",AL11=""),AND(AP11&gt;=AR$18,AQ11&gt;=AR$22,AP11&lt;&gt;"",AL11=""),AND(BN11&gt;=BS$18,BO11&gt;=BS$22,BN11&lt;&gt;"",BM11=""),AND(BQ11&gt;=BS$18,BR11&gt;=BS$22,BQ11&lt;&gt;"",BM11=""),AND(CO11&gt;=CT$18,CP11&gt;=CT$22,CO11&lt;&gt;"",CN11=""),AND(CR11&gt;=CT$18,CS11&gt;=CT$22,CR11&lt;&gt;""),AND(DQ11&gt;=DV$18,DR11&gt;=DV$22,DQ11&lt;&gt;""),AND(DT11&gt;=DV$18,DU11&gt;=DV$22,DT11&lt;&gt;""),AND(EQ11&gt;=EV$18,ER11&gt;=EV$22,EQ11&lt;&gt;""),AND(ET11&gt;=EV$18,EU11&gt;=EV$22,ET11&lt;&gt;""),AND(FQ11&gt;=FV$18,FR11&gt;=FV$22,FQ11&lt;&gt;""),AND(FT11&gt;=FV$18,FU11&gt;=FV$22,FT11&lt;&gt;""),AND(GQ11&gt;=GV$18,GR11&gt;=GV$22,GQ11&lt;&gt;""),AND(GT11&gt;=GV$18,GU11&gt;=GV$22,GT11&lt;&gt;""),AND(HQ11&gt;=HV$18,HR11&gt;=HV$22,HQ11&lt;&gt;""),AND(HT11&gt;=HV$18,HU11&gt;=HV$22,HT11&lt;&gt;""),AND(IQ11&gt;=IV$18,IR11&gt;=IV$22,IQ11&lt;&gt;""),AND(IT11&gt;=IV$18,IU11&gt;=IV$22,IT11&lt;&gt;""),AND(JQ11&gt;=JV$18,JR11&gt;=JV$22,JQ11&lt;&gt;""),AND(JT11&gt;=JV$18,JU11&gt;=JV$22,JT11&lt;&gt;""),AND(KQ11&gt;=KV$18,KR11&gt;=KV$22,KQ11&lt;&gt;""),AND(KT11&gt;=KV$18,KU11&gt;=KV$22,KT11&lt;&gt;""),AND(LQ11&gt;=LV$18,LR11&gt;=LV$22,LQ11&lt;&gt;""),AND(LT11&gt;=LV$18,LU11&gt;=LV$22,LT11&lt;&gt;""),AND(MQ11&gt;=MV$18,MR11&gt;=MV$22,MQ11&lt;&gt;""),AND(MT11&gt;=MV$18,MU11&gt;=MV$22,MT11&lt;&gt;""),AND(NQ11&gt;=NV$18,NR11&gt;=NV$22,NQ11&lt;&gt;""),AND(NT11&gt;=NV$18,NU11&gt;=NV$22,NT11&lt;&gt;""),AND(OQ11&gt;=OV$18,OR11&gt;=OV$22,OQ11&lt;&gt;""),AND(OT11&gt;=OV$18,OU11&gt;=OV$22,OT11&lt;&gt;"")),"P","")</f>
        <v/>
      </c>
      <c r="G11" s="3" t="str">
        <f>IF(OR(AND(AN11&gt;=AR$22,AN11&lt;&gt;"",AL11=""),AND(AQ11&gt;=AR$22,AQ11&lt;&gt;"",AL11=""),AND(BO11&gt;=BS$22,BO11&lt;&gt;"",BM11=""),AND(BR11&gt;=BS$22,BR11&lt;&gt;"",BM11=""),AND(CP11&gt;=CT$22,CP11&lt;&gt;"",CN11=""),AND(CS11&gt;=CT$22,CS11&lt;&gt;"",CN11=""),AND(DR11&gt;=DV$22,DR11&lt;&gt;""),AND(DU11&gt;=DV$22,DU11&lt;&gt;""),AND(ER11&gt;=EV$22,ER11&lt;&gt;""),AND(EU11&gt;=EV$22,EU11&lt;&gt;""),AND(FR11&gt;=FV$22,FR11&lt;&gt;""),AND(FU11&gt;=FV$22,FU11&lt;&gt;""),AND(GR11&gt;=GV$22,GR11&lt;&gt;""),AND(GU11&gt;=GV$22,GU11&lt;&gt;""),AND(HR11&gt;=HV$22,HR11&lt;&gt;""),AND(HU11&gt;=HV$22,HU11&lt;&gt;""),AND(IR11&gt;=IV$22,IR11&lt;&gt;""),AND(IU11&gt;=IV$22,IU11&lt;&gt;""),AND(JR11&gt;=JV$22,JR11&lt;&gt;""),AND(JU11&gt;=JV$22,JU11&lt;&gt;""),AND(KR11&gt;=KV$22,KR11&lt;&gt;""),AND(KU11&gt;=KV$22,KU11&lt;&gt;""),AND(LR11&gt;=LV$22,LR11&lt;&gt;""),AND(LU11&gt;=LV$22,LU11&lt;&gt;""),AND(MR11&gt;=MV$22,MR11&lt;&gt;""),AND(MU11&gt;=MV$22,MU11&lt;&gt;""),AND(NR11&gt;=NV$22,NR11&lt;&gt;""),AND(NU11&gt;=NV$22,NU11&lt;&gt;""),AND(OR11&gt;=OV$22,OR11&lt;&gt;""),AND(OU11&gt;=OV$22,OU11&lt;&gt;"")),"P","")</f>
        <v/>
      </c>
      <c r="H11" s="47" t="str">
        <f>IF(AND(G11="P",F11=""),"No DD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Merit",IF(OR(AND(AM11&gt;=AR$20,AN11&gt;=AR$24,AM11&lt;&gt;"",AL11=""),AND(AP11&gt;=AR$20,AQ11&gt;=AR$24,AP11&lt;&gt;"",AL11=""),AND(BN11&gt;=BS$20,BO11&gt;=BS$24,BN11&lt;&gt;"",BM11=""),AND(BQ11&gt;=BS$20,BR11&gt;=BS$24,BQ11&lt;&gt;"",BM11=""),AND(CO11&gt;=CT$20,CP11&gt;=CT$24,CO11&lt;&gt;"",CN11=""),AND(CR11&gt;=CT$20,CS11&gt;=CT$24,CR11&lt;&gt;""),AND(DQ11&gt;=DV$20,DR11&gt;=DV$24,DQ11&lt;&gt;""),AND(DT11&gt;=DV$20,DU11&gt;=DV$24,DT11&lt;&gt;""),AND(EQ11&gt;=EV$20,ER11&gt;=EV$24,EQ11&lt;&gt;""),AND(ET11&gt;=EV$20,EU11&gt;=EV$24,ET11&lt;&gt;""),AND(FQ11&gt;=FV$20,FR11&gt;=FV$24,FQ11&lt;&gt;""),AND(FT11&gt;=FV$20,FU11&gt;=FV$24,FT11&lt;&gt;""),AND(GQ11&gt;=GV$20,GR11&gt;=GV$24,GQ11&lt;&gt;""),AND(GT11&gt;=GV$20,GU11&gt;=GV$24,GT11&lt;&gt;""),AND(HQ11&gt;=HV$20,HR11&gt;=HV$24,HQ11&lt;&gt;""),AND(HT11&gt;=HV$20,HU11&gt;=HV$24,HT11&lt;&gt;""),AND(IQ11&gt;=IV$20,IR11&gt;=IV$24,IQ11&lt;&gt;""),AND(IT11&gt;=IV$20,IU11&gt;=IV$24,IT11&lt;&gt;""),AND(JQ11&gt;=JV$20,JR11&gt;=JV$24,JQ11&lt;&gt;""),AND(JT11&gt;=JV$20,JU11&gt;=JV$24,JT11&lt;&gt;""),AND(KQ11&gt;=KV$20,KR11&gt;=KV$24,KQ11&lt;&gt;""),AND(KT11&gt;=KV$20,KU11&gt;=KV$24,KT11&lt;&gt;""),AND(LQ11&gt;=LV$20,LR11&gt;=LV$24,LQ11&lt;&gt;""),AND(LT11&gt;=LV$20,LU11&gt;=LV$24,LT11&lt;&gt;""),AND(MQ11&gt;=MV$20,MR11&gt;=MV$24,MQ11&lt;&gt;""),AND(MT11&gt;=MV$20,MU11&gt;=MV$24,MT11&lt;&gt;""),AND(NQ11&gt;=NV$20,NR11&gt;=NV$24,NQ11&lt;&gt;""),AND(NT11&gt;=NV$20,NU11&gt;=NV$24,NT11&lt;&gt;""),AND(OQ11&gt;=OV$20,OR11&gt;=OV$24,OQ11&lt;&gt;""),AND(OT11&gt;=OV$20,OU11&gt;=OV$24,OT11&lt;&gt;"")),"Excellence",IF(F11="P","National Team",""))))</f>
        <v/>
      </c>
      <c r="I11" s="9">
        <f>IF(COUNT(AN11,BO11,CP11)&gt;0,LARGE((AN11,BO11,CP11),1),0)</f>
        <v>46.000000000000007</v>
      </c>
      <c r="J11" s="9" t="str">
        <f>IF(I11=0,"",IF(I11=CP11,$BT$1,IF(I11=BO11,$AS$1,IF(I11=AN11,$R$1,""))))</f>
        <v>2025 Elite Canada</v>
      </c>
      <c r="K11" s="9">
        <f>IF(COUNT(AN11,BO11,CP11)&gt;1,LARGE((AN11,BO11,CP11),2),0)</f>
        <v>41.000000000000007</v>
      </c>
      <c r="L11" s="9" t="str">
        <f>IF(K11=0,"",IF(AND(K11=I11,K11=AN11,K11=BO11),$R$1,IF(AND(K11=I11,K11=AN11,K11=CP11),$R$1,IF(AND(K11=I11,K11=CP11,K11=BO11),$AS$1,IF(K11=CP11,$BT$1,IF(K11=BO11,$AS$1,IF(K11=AN11,$R$1,"")))))))</f>
        <v>2025 Nationals</v>
      </c>
      <c r="M11" s="9">
        <f>IF(MAX(AQ11,BR11,CS11)&gt;0,MAX(AQ11,BR11,CS11),0)</f>
        <v>47.7</v>
      </c>
      <c r="N11" s="9" t="str">
        <f>IF(M11=0,"",IF(M11=CS11,$BT$1,IF(M11=BR11,$AS$1,IF(M11=AQ11,$R$1,""))))</f>
        <v>2025 Nationals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>
        <v>18.600000000000001</v>
      </c>
      <c r="S11" s="20">
        <v>5.2</v>
      </c>
      <c r="T11" s="20">
        <v>0.8</v>
      </c>
      <c r="U11" s="20">
        <v>0</v>
      </c>
      <c r="V11" s="20">
        <v>18.2</v>
      </c>
      <c r="W11" s="20">
        <v>5.6</v>
      </c>
      <c r="X11" s="20">
        <v>0.8</v>
      </c>
      <c r="Y11" s="20">
        <v>0</v>
      </c>
      <c r="Z11" s="20"/>
      <c r="AA11" s="20"/>
      <c r="AB11" s="20"/>
      <c r="AC11" s="20"/>
      <c r="AD11" s="20">
        <v>18.2</v>
      </c>
      <c r="AE11" s="20">
        <v>5.6</v>
      </c>
      <c r="AF11" s="20">
        <v>0.2</v>
      </c>
      <c r="AG11" s="20">
        <v>0</v>
      </c>
      <c r="AH11" s="20">
        <v>18.2</v>
      </c>
      <c r="AI11" s="20">
        <v>6</v>
      </c>
      <c r="AJ11" s="20">
        <v>0.4</v>
      </c>
      <c r="AK11" s="20">
        <v>0</v>
      </c>
      <c r="AL11" s="32"/>
      <c r="AM11" s="55">
        <f>IF(SUM(S11,W11)&gt;0,SUM(S11,W11),"")</f>
        <v>10.8</v>
      </c>
      <c r="AN11" s="55">
        <f>IF(SUM(R11:S11,U11:W11,Y11)-T11-X11&gt;0,SUM(R11:S11,U11:W11,Y11)-T11-X11,"")</f>
        <v>46.000000000000007</v>
      </c>
      <c r="AO11" s="55" t="str">
        <f>IF(SUM(Z11:AA11,AC11)-AB11&gt;0,SUM(Z11:AA11,AC11)-AB11,"")</f>
        <v/>
      </c>
      <c r="AP11" s="55">
        <f>IF(SUM(AE11,AI11)&gt;0,SUM(AE11,AI11),"")</f>
        <v>11.6</v>
      </c>
      <c r="AQ11" s="55">
        <f>IF(SUM(AD11:AE11,AG11:AI11,AK11)-SUM(AF11,AJ11)&gt;0,SUM(AD11:AE11,AG11:AI11,AK11)-SUM(AF11,AJ11),"")</f>
        <v>47.4</v>
      </c>
      <c r="AR11" s="55">
        <f>IF(SUM(AN11,AO11,AQ11)&gt;0,SUM(AN11,AO11,AQ11),"")</f>
        <v>93.4</v>
      </c>
      <c r="AS11" s="19">
        <v>17.899999999999999</v>
      </c>
      <c r="AT11" s="19">
        <v>5.6</v>
      </c>
      <c r="AU11" s="19">
        <v>0.8</v>
      </c>
      <c r="AV11" s="19">
        <v>0</v>
      </c>
      <c r="AW11" s="19">
        <v>15.1</v>
      </c>
      <c r="AX11" s="19">
        <v>3.2</v>
      </c>
      <c r="AY11" s="19">
        <v>0</v>
      </c>
      <c r="AZ11" s="19">
        <v>0</v>
      </c>
      <c r="BA11" s="19"/>
      <c r="BB11" s="19"/>
      <c r="BC11" s="19"/>
      <c r="BD11" s="19"/>
      <c r="BE11" s="19">
        <v>18</v>
      </c>
      <c r="BF11" s="19">
        <v>6.8</v>
      </c>
      <c r="BG11" s="19">
        <v>1</v>
      </c>
      <c r="BH11" s="19">
        <v>0</v>
      </c>
      <c r="BI11" s="19">
        <v>17.899999999999999</v>
      </c>
      <c r="BJ11" s="19">
        <v>6</v>
      </c>
      <c r="BK11" s="19">
        <v>0</v>
      </c>
      <c r="BL11" s="19">
        <v>0</v>
      </c>
      <c r="BM11" s="33"/>
      <c r="BN11" s="14">
        <f>IF(SUM(AT11,AX11)&gt;0,SUM(AT11,AX11),"")</f>
        <v>8.8000000000000007</v>
      </c>
      <c r="BO11" s="14">
        <f>IF(SUM(AS11:AT11,AV11:AX11,AZ11)-AU11-AY11&gt;0,SUM(AS11:AT11,AV11:AX11,AZ11)-AU11-AY11,"")</f>
        <v>41.000000000000007</v>
      </c>
      <c r="BP11" s="14" t="str">
        <f>IF(SUM(BA11:BB11,BD11)-BC11&gt;0,SUM(BA11:BB11,BD11)-BC11,"")</f>
        <v/>
      </c>
      <c r="BQ11" s="14">
        <f>IF(SUM(BF11,BJ11)&gt;0,SUM(BF11,BJ11),"")</f>
        <v>12.8</v>
      </c>
      <c r="BR11" s="14">
        <f>IF(SUM(BE11:BF11,BH11:BJ11,BL11)-SUM(BG11,BK11)&gt;0,SUM(BE11:BF11,BH11:BJ11,BL11)-SUM(BG11,BK11),"")</f>
        <v>47.7</v>
      </c>
      <c r="BS11" s="14">
        <f>IF(SUM(BO11,BP11,BR11)&gt;0,SUM(BO11,BP11,BR11),"")</f>
        <v>88.700000000000017</v>
      </c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32"/>
      <c r="CO11" s="55" t="str">
        <f>IF(SUM(BU11,BY11)&gt;0,SUM(BU11,BY11),"")</f>
        <v/>
      </c>
      <c r="CP11" s="55" t="str">
        <f>IF(SUM(BT11:BU11,BW11:BY11,CA11)-BV11-BZ11&gt;0,SUM(BT11:BU11,BW11:BY11,CA11)-BV11-BZ11,"")</f>
        <v/>
      </c>
      <c r="CQ11" s="55" t="str">
        <f>IF(SUM(CB11:CC11,CE11)-CD11&gt;0,SUM(CB11:CC11,CE11)-CD11,"")</f>
        <v/>
      </c>
      <c r="CR11" s="55" t="str">
        <f>IF(SUM(CG11,CK11)&gt;0,SUM(CG11,CK11),"")</f>
        <v/>
      </c>
      <c r="CS11" s="55" t="str">
        <f>IF(SUM(CF11:CG11,CI11:CK11,CM11)-SUM(CH11,CL11)&gt;0,SUM(CF11:CG11,CI11:CK11,CM11)-SUM(CH11,CL11),"")</f>
        <v/>
      </c>
      <c r="CT11" s="55" t="str">
        <f>IF(SUM(CP11,CQ11,CS11)&gt;0,SUM(CP11,CQ11,CS11),"")</f>
        <v/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8.9499999999999993</v>
      </c>
      <c r="OX11" s="27">
        <f>IF($CN11="P",BU11,(BU11+AT11)/2)</f>
        <v>2.8</v>
      </c>
      <c r="OY11" s="27">
        <f>IF($CN11="P",BV11,(BV11+AU11)/2)</f>
        <v>0.4</v>
      </c>
      <c r="OZ11" s="27">
        <f>IF($CN11="P",BW11,(BW11+AV11)/2)</f>
        <v>0</v>
      </c>
      <c r="PA11" s="27">
        <f>IF($CN11="P",BX11,(BX11+AW11)/2)</f>
        <v>7.55</v>
      </c>
      <c r="PB11" s="27">
        <f>IF($CN11="P",BY11,(BY11+AX11)/2)</f>
        <v>1.6</v>
      </c>
      <c r="PC11" s="27">
        <f>IF($CN11="P",BZ11,(BZ11+AY11)/2)</f>
        <v>0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9</v>
      </c>
      <c r="PJ11" s="27">
        <f>IF($CN11="P",CG11,(CG11+BF11)/2)</f>
        <v>3.4</v>
      </c>
      <c r="PK11" s="27">
        <f>IF($CN11="P",CH11,(CH11+BG11)/2)</f>
        <v>0.5</v>
      </c>
      <c r="PL11" s="27">
        <f>IF($CN11="P",CI11,(CI11+BH11)/2)</f>
        <v>0</v>
      </c>
      <c r="PM11" s="27">
        <f>IF($CN11="P",CJ11,(CJ11+BI11)/2)</f>
        <v>8.9499999999999993</v>
      </c>
      <c r="PN11" s="27">
        <f>IF($CN11="P",CK11,(CK11+BJ11)/2)</f>
        <v>3</v>
      </c>
      <c r="PO11" s="27">
        <f>IF($CN11="P",CL11,(CL11+BK11)/2)</f>
        <v>0</v>
      </c>
      <c r="PP11" s="27">
        <f>IF($CN11="P",CM11,(CM11+BL11)/2)</f>
        <v>0</v>
      </c>
      <c r="PQ11" s="32" t="s">
        <v>44</v>
      </c>
      <c r="PR11" s="55">
        <f>IF(SUM(OX11,PB11)&gt;0,SUM(OX11,PB11),"")</f>
        <v>4.4000000000000004</v>
      </c>
      <c r="PS11" s="55">
        <f>IF(SUM(OW11:OX11,OZ11:PB11,PD11)-OY11-PC11&gt;0,SUM(OW11:OX11,OZ11:PB11,PD11)-OY11-PC11,"")</f>
        <v>20.500000000000004</v>
      </c>
      <c r="PT11" s="55" t="str">
        <f>IF(SUM(PE11:PF11,PH11)-PG11&gt;0,SUM(PE11:PF11,PH11)-PG11,"")</f>
        <v/>
      </c>
      <c r="PU11" s="55">
        <f>IF(SUM(PJ11,PN11)&gt;0,SUM(PJ11,PN11),"")</f>
        <v>6.4</v>
      </c>
      <c r="PV11" s="55">
        <f>IF(SUM(PI11:PJ11,PL11:PN11,PP11)-SUM(PK11,PO11)&gt;0,SUM(PI11:PJ11,PL11:PN11,PP11)-SUM(PK11,PO11),"")</f>
        <v>23.85</v>
      </c>
      <c r="PW11" s="55">
        <f>IF(SUM(PS11,PT11,PV11)&gt;0,SUM(PS11,PT11,PV11),"")</f>
        <v>44.350000000000009</v>
      </c>
    </row>
    <row r="12" spans="1:439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114</v>
      </c>
      <c r="C12" s="4" t="s">
        <v>67</v>
      </c>
      <c r="D12" s="4">
        <v>2012</v>
      </c>
      <c r="E12" s="10">
        <f>SUM(I12:O12)+SUM(I12:M12)*0.0000001+SUM(I12)*0.0000000000001</f>
        <v>108.90001089000411</v>
      </c>
      <c r="F12" s="3" t="str">
        <f>IF(OR(AND(AM12&gt;=AR$18,AN12&gt;=AR$22,AM12&lt;&gt;"",AL12=""),AND(AP12&gt;=AR$18,AQ12&gt;=AR$22,AP12&lt;&gt;"",AL12=""),AND(BN12&gt;=BS$18,BO12&gt;=BS$22,BN12&lt;&gt;"",BM12=""),AND(BQ12&gt;=BS$18,BR12&gt;=BS$22,BQ12&lt;&gt;"",BM12=""),AND(CO12&gt;=CT$18,CP12&gt;=CT$22,CO12&lt;&gt;"",CN12=""),AND(CR12&gt;=CT$18,CS12&gt;=CT$22,CR12&lt;&gt;""),AND(DQ12&gt;=DV$18,DR12&gt;=DV$22,DQ12&lt;&gt;""),AND(DT12&gt;=DV$18,DU12&gt;=DV$22,DT12&lt;&gt;""),AND(EQ12&gt;=EV$18,ER12&gt;=EV$22,EQ12&lt;&gt;""),AND(ET12&gt;=EV$18,EU12&gt;=EV$22,ET12&lt;&gt;""),AND(FQ12&gt;=FV$18,FR12&gt;=FV$22,FQ12&lt;&gt;""),AND(FT12&gt;=FV$18,FU12&gt;=FV$22,FT12&lt;&gt;""),AND(GQ12&gt;=GV$18,GR12&gt;=GV$22,GQ12&lt;&gt;""),AND(GT12&gt;=GV$18,GU12&gt;=GV$22,GT12&lt;&gt;""),AND(HQ12&gt;=HV$18,HR12&gt;=HV$22,HQ12&lt;&gt;""),AND(HT12&gt;=HV$18,HU12&gt;=HV$22,HT12&lt;&gt;""),AND(IQ12&gt;=IV$18,IR12&gt;=IV$22,IQ12&lt;&gt;""),AND(IT12&gt;=IV$18,IU12&gt;=IV$22,IT12&lt;&gt;""),AND(JQ12&gt;=JV$18,JR12&gt;=JV$22,JQ12&lt;&gt;""),AND(JT12&gt;=JV$18,JU12&gt;=JV$22,JT12&lt;&gt;""),AND(KQ12&gt;=KV$18,KR12&gt;=KV$22,KQ12&lt;&gt;""),AND(KT12&gt;=KV$18,KU12&gt;=KV$22,KT12&lt;&gt;""),AND(LQ12&gt;=LV$18,LR12&gt;=LV$22,LQ12&lt;&gt;""),AND(LT12&gt;=LV$18,LU12&gt;=LV$22,LT12&lt;&gt;""),AND(MQ12&gt;=MV$18,MR12&gt;=MV$22,MQ12&lt;&gt;""),AND(MT12&gt;=MV$18,MU12&gt;=MV$22,MT12&lt;&gt;""),AND(NQ12&gt;=NV$18,NR12&gt;=NV$22,NQ12&lt;&gt;""),AND(NT12&gt;=NV$18,NU12&gt;=NV$22,NT12&lt;&gt;""),AND(OQ12&gt;=OV$18,OR12&gt;=OV$22,OQ12&lt;&gt;""),AND(OT12&gt;=OV$18,OU12&gt;=OV$22,OT12&lt;&gt;"")),"P","")</f>
        <v/>
      </c>
      <c r="G12" s="3" t="str">
        <f>IF(OR(AND(AN12&gt;=AR$22,AN12&lt;&gt;"",AL12=""),AND(AQ12&gt;=AR$22,AQ12&lt;&gt;"",AL12=""),AND(BO12&gt;=BS$22,BO12&lt;&gt;"",BM12=""),AND(BR12&gt;=BS$22,BR12&lt;&gt;"",BM12=""),AND(CP12&gt;=CT$22,CP12&lt;&gt;"",CN12=""),AND(CS12&gt;=CT$22,CS12&lt;&gt;"",CN12=""),AND(DR12&gt;=DV$22,DR12&lt;&gt;""),AND(DU12&gt;=DV$22,DU12&lt;&gt;""),AND(ER12&gt;=EV$22,ER12&lt;&gt;""),AND(EU12&gt;=EV$22,EU12&lt;&gt;""),AND(FR12&gt;=FV$22,FR12&lt;&gt;""),AND(FU12&gt;=FV$22,FU12&lt;&gt;""),AND(GR12&gt;=GV$22,GR12&lt;&gt;""),AND(GU12&gt;=GV$22,GU12&lt;&gt;""),AND(HR12&gt;=HV$22,HR12&lt;&gt;""),AND(HU12&gt;=HV$22,HU12&lt;&gt;""),AND(IR12&gt;=IV$22,IR12&lt;&gt;""),AND(IU12&gt;=IV$22,IU12&lt;&gt;""),AND(JR12&gt;=JV$22,JR12&lt;&gt;""),AND(JU12&gt;=JV$22,JU12&lt;&gt;""),AND(KR12&gt;=KV$22,KR12&lt;&gt;""),AND(KU12&gt;=KV$22,KU12&lt;&gt;""),AND(LR12&gt;=LV$22,LR12&lt;&gt;""),AND(LU12&gt;=LV$22,LU12&lt;&gt;""),AND(MR12&gt;=MV$22,MR12&lt;&gt;""),AND(MU12&gt;=MV$22,MU12&lt;&gt;""),AND(NR12&gt;=NV$22,NR12&lt;&gt;""),AND(NU12&gt;=NV$22,NU12&lt;&gt;""),AND(OR12&gt;=OV$22,OR12&lt;&gt;""),AND(OU12&gt;=OV$22,OU12&lt;&gt;"")),"P","")</f>
        <v/>
      </c>
      <c r="H12" s="47" t="str">
        <f>IF(AND(G12="P",F12=""),"No DD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Merit",IF(OR(AND(AM12&gt;=AR$20,AN12&gt;=AR$24,AM12&lt;&gt;"",AL12=""),AND(AP12&gt;=AR$20,AQ12&gt;=AR$24,AP12&lt;&gt;"",AL12=""),AND(BN12&gt;=BS$20,BO12&gt;=BS$24,BN12&lt;&gt;"",BM12=""),AND(BQ12&gt;=BS$20,BR12&gt;=BS$24,BQ12&lt;&gt;"",BM12=""),AND(CO12&gt;=CT$20,CP12&gt;=CT$24,CO12&lt;&gt;"",CN12=""),AND(CR12&gt;=CT$20,CS12&gt;=CT$24,CR12&lt;&gt;""),AND(DQ12&gt;=DV$20,DR12&gt;=DV$24,DQ12&lt;&gt;""),AND(DT12&gt;=DV$20,DU12&gt;=DV$24,DT12&lt;&gt;""),AND(EQ12&gt;=EV$20,ER12&gt;=EV$24,EQ12&lt;&gt;""),AND(ET12&gt;=EV$20,EU12&gt;=EV$24,ET12&lt;&gt;""),AND(FQ12&gt;=FV$20,FR12&gt;=FV$24,FQ12&lt;&gt;""),AND(FT12&gt;=FV$20,FU12&gt;=FV$24,FT12&lt;&gt;""),AND(GQ12&gt;=GV$20,GR12&gt;=GV$24,GQ12&lt;&gt;""),AND(GT12&gt;=GV$20,GU12&gt;=GV$24,GT12&lt;&gt;""),AND(HQ12&gt;=HV$20,HR12&gt;=HV$24,HQ12&lt;&gt;""),AND(HT12&gt;=HV$20,HU12&gt;=HV$24,HT12&lt;&gt;""),AND(IQ12&gt;=IV$20,IR12&gt;=IV$24,IQ12&lt;&gt;""),AND(IT12&gt;=IV$20,IU12&gt;=IV$24,IT12&lt;&gt;""),AND(JQ12&gt;=JV$20,JR12&gt;=JV$24,JQ12&lt;&gt;""),AND(JT12&gt;=JV$20,JU12&gt;=JV$24,JT12&lt;&gt;""),AND(KQ12&gt;=KV$20,KR12&gt;=KV$24,KQ12&lt;&gt;""),AND(KT12&gt;=KV$20,KU12&gt;=KV$24,KT12&lt;&gt;""),AND(LQ12&gt;=LV$20,LR12&gt;=LV$24,LQ12&lt;&gt;""),AND(LT12&gt;=LV$20,LU12&gt;=LV$24,LT12&lt;&gt;""),AND(MQ12&gt;=MV$20,MR12&gt;=MV$24,MQ12&lt;&gt;""),AND(MT12&gt;=MV$20,MU12&gt;=MV$24,MT12&lt;&gt;""),AND(NQ12&gt;=NV$20,NR12&gt;=NV$24,NQ12&lt;&gt;""),AND(NT12&gt;=NV$20,NU12&gt;=NV$24,NT12&lt;&gt;""),AND(OQ12&gt;=OV$20,OR12&gt;=OV$24,OQ12&lt;&gt;""),AND(OT12&gt;=OV$20,OU12&gt;=OV$24,OT12&lt;&gt;"")),"Excellence",IF(F12="P","National Team",""))))</f>
        <v/>
      </c>
      <c r="I12" s="9">
        <f>IF(COUNT(AN12,BO12,CP12)&gt;0,LARGE((AN12,BO12,CP12),1),0)</f>
        <v>41.099999999999994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22.1</v>
      </c>
      <c r="L12" s="9" t="str">
        <f>IF(K12=0,"",IF(AND(K12=I12,K12=AN12,K12=BO12),$R$1,IF(AND(K12=I12,K12=AN12,K12=CP12),$R$1,IF(AND(K12=I12,K12=CP12,K12=BO12),$AS$1,IF(K12=CP12,$BT$1,IF(K12=BO12,$AS$1,IF(K12=AN12,$R$1,"")))))))</f>
        <v>2025 3rd Domestic Trial</v>
      </c>
      <c r="M12" s="9">
        <f>IF(MAX(AQ12,BR12,CS12)&gt;0,MAX(AQ12,BR12,CS12),0)</f>
        <v>45.7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 t="str">
        <f>IF(SUM(S12,W12)&gt;0,SUM(S12,W12),"")</f>
        <v/>
      </c>
      <c r="AN12" s="55" t="str">
        <f>IF(SUM(R12:S12,U12:W12,Y12)-T12-X12&gt;0,SUM(R12:S12,U12:W12,Y12)-T12-X12,"")</f>
        <v/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 t="str">
        <f>IF(SUM(AN12,AO12,AQ12)&gt;0,SUM(AN12,AO12,AQ12),"")</f>
        <v/>
      </c>
      <c r="AS12" s="19">
        <v>17.899999999999999</v>
      </c>
      <c r="AT12" s="19">
        <v>5.2</v>
      </c>
      <c r="AU12" s="19">
        <v>0.2</v>
      </c>
      <c r="AV12" s="19">
        <v>0</v>
      </c>
      <c r="AW12" s="19">
        <v>15</v>
      </c>
      <c r="AX12" s="19">
        <v>3.2</v>
      </c>
      <c r="AY12" s="19">
        <v>0</v>
      </c>
      <c r="AZ12" s="19">
        <v>0</v>
      </c>
      <c r="BA12" s="19"/>
      <c r="BB12" s="19"/>
      <c r="BC12" s="19"/>
      <c r="BD12" s="19"/>
      <c r="BE12" s="19">
        <v>18.399999999999999</v>
      </c>
      <c r="BF12" s="19">
        <v>5.2</v>
      </c>
      <c r="BG12" s="19">
        <v>0.2</v>
      </c>
      <c r="BH12" s="19">
        <v>0</v>
      </c>
      <c r="BI12" s="19">
        <v>18.100000000000001</v>
      </c>
      <c r="BJ12" s="19">
        <v>4.8</v>
      </c>
      <c r="BK12" s="19">
        <v>0.6</v>
      </c>
      <c r="BL12" s="19">
        <v>0</v>
      </c>
      <c r="BM12" s="33"/>
      <c r="BN12" s="14">
        <f>IF(SUM(AT12,AX12)&gt;0,SUM(AT12,AX12),"")</f>
        <v>8.4</v>
      </c>
      <c r="BO12" s="14">
        <f>IF(SUM(AS12:AT12,AV12:AX12,AZ12)-AU12-AY12&gt;0,SUM(AS12:AT12,AV12:AX12,AZ12)-AU12-AY12,"")</f>
        <v>41.099999999999994</v>
      </c>
      <c r="BP12" s="14" t="str">
        <f>IF(SUM(BA12:BB12,BD12)-BC12&gt;0,SUM(BA12:BB12,BD12)-BC12,"")</f>
        <v/>
      </c>
      <c r="BQ12" s="14">
        <f>IF(SUM(BF12,BJ12)&gt;0,SUM(BF12,BJ12),"")</f>
        <v>10</v>
      </c>
      <c r="BR12" s="14">
        <f>IF(SUM(BE12:BF12,BH12:BJ12,BL12)-SUM(BG12,BK12)&gt;0,SUM(BE12:BF12,BH12:BJ12,BL12)-SUM(BG12,BK12),"")</f>
        <v>45.7</v>
      </c>
      <c r="BS12" s="14">
        <f>IF(SUM(BO12,BP12,BR12)&gt;0,SUM(BO12,BP12,BR12),"")</f>
        <v>86.8</v>
      </c>
      <c r="BT12" s="20">
        <v>0</v>
      </c>
      <c r="BU12" s="20">
        <v>0</v>
      </c>
      <c r="BV12" s="20">
        <v>0</v>
      </c>
      <c r="BW12" s="20">
        <v>0</v>
      </c>
      <c r="BX12" s="20">
        <v>18.100000000000001</v>
      </c>
      <c r="BY12" s="20">
        <v>4.4000000000000004</v>
      </c>
      <c r="BZ12" s="20">
        <v>0.4</v>
      </c>
      <c r="CA12" s="20">
        <v>0</v>
      </c>
      <c r="CB12" s="20"/>
      <c r="CC12" s="20"/>
      <c r="CD12" s="20"/>
      <c r="CE12" s="20"/>
      <c r="CF12" s="20">
        <v>18.100000000000001</v>
      </c>
      <c r="CG12" s="20">
        <v>4.4000000000000004</v>
      </c>
      <c r="CH12" s="20">
        <v>0.6</v>
      </c>
      <c r="CI12" s="20">
        <v>0</v>
      </c>
      <c r="CJ12" s="20">
        <v>18.2</v>
      </c>
      <c r="CK12" s="20">
        <v>1.2</v>
      </c>
      <c r="CL12" s="20">
        <v>1.4</v>
      </c>
      <c r="CM12" s="20">
        <v>0</v>
      </c>
      <c r="CN12" s="32"/>
      <c r="CO12" s="55">
        <f>IF(SUM(BU12,BY12)&gt;0,SUM(BU12,BY12),"")</f>
        <v>4.4000000000000004</v>
      </c>
      <c r="CP12" s="55">
        <f>IF(SUM(BT12:BU12,BW12:BY12,CA12)-BV12-BZ12&gt;0,SUM(BT12:BU12,BW12:BY12,CA12)-BV12-BZ12,"")</f>
        <v>22.1</v>
      </c>
      <c r="CQ12" s="55" t="str">
        <f>IF(SUM(CB12:CC12,CE12)-CD12&gt;0,SUM(CB12:CC12,CE12)-CD12,"")</f>
        <v/>
      </c>
      <c r="CR12" s="55">
        <f>IF(SUM(CG12,CK12)&gt;0,SUM(CG12,CK12),"")</f>
        <v>5.6000000000000005</v>
      </c>
      <c r="CS12" s="55">
        <f>IF(SUM(CF12:CG12,CI12:CK12,CM12)-SUM(CH12,CL12)&gt;0,SUM(CF12:CG12,CI12:CK12,CM12)-SUM(CH12,CL12),"")</f>
        <v>39.900000000000006</v>
      </c>
      <c r="CT12" s="55">
        <f>IF(SUM(CP12,CQ12,CS12)&gt;0,SUM(CP12,CQ12,CS12),"")</f>
        <v>62.000000000000007</v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8.9499999999999993</v>
      </c>
      <c r="OX12" s="27">
        <f>IF($CN12="P",BU12,(BU12+AT12)/2)</f>
        <v>2.6</v>
      </c>
      <c r="OY12" s="27">
        <f>IF($CN12="P",BV12,(BV12+AU12)/2)</f>
        <v>0.1</v>
      </c>
      <c r="OZ12" s="27">
        <f>IF($CN12="P",BW12,(BW12+AV12)/2)</f>
        <v>0</v>
      </c>
      <c r="PA12" s="27">
        <f>IF($CN12="P",BX12,(BX12+AW12)/2)</f>
        <v>16.55</v>
      </c>
      <c r="PB12" s="27">
        <f>IF($CN12="P",BY12,(BY12+AX12)/2)</f>
        <v>3.8000000000000003</v>
      </c>
      <c r="PC12" s="27">
        <f>IF($CN12="P",BZ12,(BZ12+AY12)/2)</f>
        <v>0.2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18.25</v>
      </c>
      <c r="PJ12" s="27">
        <f>IF($CN12="P",CG12,(CG12+BF12)/2)</f>
        <v>4.8000000000000007</v>
      </c>
      <c r="PK12" s="27">
        <f>IF($CN12="P",CH12,(CH12+BG12)/2)</f>
        <v>0.4</v>
      </c>
      <c r="PL12" s="27">
        <f>IF($CN12="P",CI12,(CI12+BH12)/2)</f>
        <v>0</v>
      </c>
      <c r="PM12" s="27">
        <f>IF($CN12="P",CJ12,(CJ12+BI12)/2)</f>
        <v>18.149999999999999</v>
      </c>
      <c r="PN12" s="27">
        <f>IF($CN12="P",CK12,(CK12+BJ12)/2)</f>
        <v>3</v>
      </c>
      <c r="PO12" s="27">
        <f>IF($CN12="P",CL12,(CL12+BK12)/2)</f>
        <v>1</v>
      </c>
      <c r="PP12" s="27">
        <f>IF($CN12="P",CM12,(CM12+BL12)/2)</f>
        <v>0</v>
      </c>
      <c r="PQ12" s="32" t="s">
        <v>44</v>
      </c>
      <c r="PR12" s="55">
        <f>IF(SUM(OX12,PB12)&gt;0,SUM(OX12,PB12),"")</f>
        <v>6.4</v>
      </c>
      <c r="PS12" s="55">
        <f>IF(SUM(OW12:OX12,OZ12:PB12,PD12)-OY12-PC12&gt;0,SUM(OW12:OX12,OZ12:PB12,PD12)-OY12-PC12,"")</f>
        <v>31.6</v>
      </c>
      <c r="PT12" s="55" t="str">
        <f>IF(SUM(PE12:PF12,PH12)-PG12&gt;0,SUM(PE12:PF12,PH12)-PG12,"")</f>
        <v/>
      </c>
      <c r="PU12" s="55">
        <f>IF(SUM(PJ12,PN12)&gt;0,SUM(PJ12,PN12),"")</f>
        <v>7.8000000000000007</v>
      </c>
      <c r="PV12" s="55">
        <f>IF(SUM(PI12:PJ12,PL12:PN12,PP12)-SUM(PK12,PO12)&gt;0,SUM(PI12:PJ12,PL12:PN12,PP12)-SUM(PK12,PO12),"")</f>
        <v>42.800000000000004</v>
      </c>
      <c r="PW12" s="55">
        <f>IF(SUM(PS12,PT12,PV12)&gt;0,SUM(PS12,PT12,PV12),"")</f>
        <v>74.400000000000006</v>
      </c>
    </row>
    <row r="13" spans="1:439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113</v>
      </c>
      <c r="C13" s="4" t="s">
        <v>65</v>
      </c>
      <c r="D13" s="4">
        <v>2009</v>
      </c>
      <c r="E13" s="10">
        <f>SUM(I13:O13)+SUM(I13:M13)*0.0000001+SUM(I13)*0.0000000000001</f>
        <v>92.000009200004484</v>
      </c>
      <c r="F13" s="3" t="str">
        <f>IF(OR(AND(AM13&gt;=AR$18,AN13&gt;=AR$22,AM13&lt;&gt;"",AL13=""),AND(AP13&gt;=AR$18,AQ13&gt;=AR$22,AP13&lt;&gt;"",AL13=""),AND(BN13&gt;=BS$18,BO13&gt;=BS$22,BN13&lt;&gt;"",BM13=""),AND(BQ13&gt;=BS$18,BR13&gt;=BS$22,BQ13&lt;&gt;"",BM13=""),AND(CO13&gt;=CT$18,CP13&gt;=CT$22,CO13&lt;&gt;"",CN13=""),AND(CR13&gt;=CT$18,CS13&gt;=CT$22,CR13&lt;&gt;""),AND(DQ13&gt;=DV$18,DR13&gt;=DV$22,DQ13&lt;&gt;""),AND(DT13&gt;=DV$18,DU13&gt;=DV$22,DT13&lt;&gt;""),AND(EQ13&gt;=EV$18,ER13&gt;=EV$22,EQ13&lt;&gt;""),AND(ET13&gt;=EV$18,EU13&gt;=EV$22,ET13&lt;&gt;""),AND(FQ13&gt;=FV$18,FR13&gt;=FV$22,FQ13&lt;&gt;""),AND(FT13&gt;=FV$18,FU13&gt;=FV$22,FT13&lt;&gt;""),AND(GQ13&gt;=GV$18,GR13&gt;=GV$22,GQ13&lt;&gt;""),AND(GT13&gt;=GV$18,GU13&gt;=GV$22,GT13&lt;&gt;""),AND(HQ13&gt;=HV$18,HR13&gt;=HV$22,HQ13&lt;&gt;""),AND(HT13&gt;=HV$18,HU13&gt;=HV$22,HT13&lt;&gt;""),AND(IQ13&gt;=IV$18,IR13&gt;=IV$22,IQ13&lt;&gt;""),AND(IT13&gt;=IV$18,IU13&gt;=IV$22,IT13&lt;&gt;""),AND(JQ13&gt;=JV$18,JR13&gt;=JV$22,JQ13&lt;&gt;""),AND(JT13&gt;=JV$18,JU13&gt;=JV$22,JT13&lt;&gt;""),AND(KQ13&gt;=KV$18,KR13&gt;=KV$22,KQ13&lt;&gt;""),AND(KT13&gt;=KV$18,KU13&gt;=KV$22,KT13&lt;&gt;""),AND(LQ13&gt;=LV$18,LR13&gt;=LV$22,LQ13&lt;&gt;""),AND(LT13&gt;=LV$18,LU13&gt;=LV$22,LT13&lt;&gt;""),AND(MQ13&gt;=MV$18,MR13&gt;=MV$22,MQ13&lt;&gt;""),AND(MT13&gt;=MV$18,MU13&gt;=MV$22,MT13&lt;&gt;""),AND(NQ13&gt;=NV$18,NR13&gt;=NV$22,NQ13&lt;&gt;""),AND(NT13&gt;=NV$18,NU13&gt;=NV$22,NT13&lt;&gt;""),AND(OQ13&gt;=OV$18,OR13&gt;=OV$22,OQ13&lt;&gt;""),AND(OT13&gt;=OV$18,OU13&gt;=OV$22,OT13&lt;&gt;"")),"P","")</f>
        <v/>
      </c>
      <c r="G13" s="3" t="str">
        <f>IF(OR(AND(AN13&gt;=AR$22,AN13&lt;&gt;"",AL13=""),AND(AQ13&gt;=AR$22,AQ13&lt;&gt;"",AL13=""),AND(BO13&gt;=BS$22,BO13&lt;&gt;"",BM13=""),AND(BR13&gt;=BS$22,BR13&lt;&gt;"",BM13=""),AND(CP13&gt;=CT$22,CP13&lt;&gt;"",CN13=""),AND(CS13&gt;=CT$22,CS13&lt;&gt;"",CN13=""),AND(DR13&gt;=DV$22,DR13&lt;&gt;""),AND(DU13&gt;=DV$22,DU13&lt;&gt;""),AND(ER13&gt;=EV$22,ER13&lt;&gt;""),AND(EU13&gt;=EV$22,EU13&lt;&gt;""),AND(FR13&gt;=FV$22,FR13&lt;&gt;""),AND(FU13&gt;=FV$22,FU13&lt;&gt;""),AND(GR13&gt;=GV$22,GR13&lt;&gt;""),AND(GU13&gt;=GV$22,GU13&lt;&gt;""),AND(HR13&gt;=HV$22,HR13&lt;&gt;""),AND(HU13&gt;=HV$22,HU13&lt;&gt;""),AND(IR13&gt;=IV$22,IR13&lt;&gt;""),AND(IU13&gt;=IV$22,IU13&lt;&gt;""),AND(JR13&gt;=JV$22,JR13&lt;&gt;""),AND(JU13&gt;=JV$22,JU13&lt;&gt;""),AND(KR13&gt;=KV$22,KR13&lt;&gt;""),AND(KU13&gt;=KV$22,KU13&lt;&gt;""),AND(LR13&gt;=LV$22,LR13&lt;&gt;""),AND(LU13&gt;=LV$22,LU13&lt;&gt;""),AND(MR13&gt;=MV$22,MR13&lt;&gt;""),AND(MU13&gt;=MV$22,MU13&lt;&gt;""),AND(NR13&gt;=NV$22,NR13&lt;&gt;""),AND(NU13&gt;=NV$22,NU13&lt;&gt;""),AND(OR13&gt;=OV$22,OR13&lt;&gt;""),AND(OU13&gt;=OV$22,OU13&lt;&gt;"")),"P","")</f>
        <v/>
      </c>
      <c r="H13" s="47" t="str">
        <f>IF(AND(G13="P",F13=""),"No DD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Merit",IF(OR(AND(AM13&gt;=AR$20,AN13&gt;=AR$24,AM13&lt;&gt;"",AL13=""),AND(AP13&gt;=AR$20,AQ13&gt;=AR$24,AP13&lt;&gt;"",AL13=""),AND(BN13&gt;=BS$20,BO13&gt;=BS$24,BN13&lt;&gt;"",BM13=""),AND(BQ13&gt;=BS$20,BR13&gt;=BS$24,BQ13&lt;&gt;"",BM13=""),AND(CO13&gt;=CT$20,CP13&gt;=CT$24,CO13&lt;&gt;"",CN13=""),AND(CR13&gt;=CT$20,CS13&gt;=CT$24,CR13&lt;&gt;""),AND(DQ13&gt;=DV$20,DR13&gt;=DV$24,DQ13&lt;&gt;""),AND(DT13&gt;=DV$20,DU13&gt;=DV$24,DT13&lt;&gt;""),AND(EQ13&gt;=EV$20,ER13&gt;=EV$24,EQ13&lt;&gt;""),AND(ET13&gt;=EV$20,EU13&gt;=EV$24,ET13&lt;&gt;""),AND(FQ13&gt;=FV$20,FR13&gt;=FV$24,FQ13&lt;&gt;""),AND(FT13&gt;=FV$20,FU13&gt;=FV$24,FT13&lt;&gt;""),AND(GQ13&gt;=GV$20,GR13&gt;=GV$24,GQ13&lt;&gt;""),AND(GT13&gt;=GV$20,GU13&gt;=GV$24,GT13&lt;&gt;""),AND(HQ13&gt;=HV$20,HR13&gt;=HV$24,HQ13&lt;&gt;""),AND(HT13&gt;=HV$20,HU13&gt;=HV$24,HT13&lt;&gt;""),AND(IQ13&gt;=IV$20,IR13&gt;=IV$24,IQ13&lt;&gt;""),AND(IT13&gt;=IV$20,IU13&gt;=IV$24,IT13&lt;&gt;""),AND(JQ13&gt;=JV$20,JR13&gt;=JV$24,JQ13&lt;&gt;""),AND(JT13&gt;=JV$20,JU13&gt;=JV$24,JT13&lt;&gt;""),AND(KQ13&gt;=KV$20,KR13&gt;=KV$24,KQ13&lt;&gt;""),AND(KT13&gt;=KV$20,KU13&gt;=KV$24,KT13&lt;&gt;""),AND(LQ13&gt;=LV$20,LR13&gt;=LV$24,LQ13&lt;&gt;""),AND(LT13&gt;=LV$20,LU13&gt;=LV$24,LT13&lt;&gt;""),AND(MQ13&gt;=MV$20,MR13&gt;=MV$24,MQ13&lt;&gt;""),AND(MT13&gt;=MV$20,MU13&gt;=MV$24,MT13&lt;&gt;""),AND(NQ13&gt;=NV$20,NR13&gt;=NV$24,NQ13&lt;&gt;""),AND(NT13&gt;=NV$20,NU13&gt;=NV$24,NT13&lt;&gt;""),AND(OQ13&gt;=OV$20,OR13&gt;=OV$24,OQ13&lt;&gt;""),AND(OT13&gt;=OV$20,OU13&gt;=OV$24,OT13&lt;&gt;"")),"Excellence",IF(F13="P","National Team",""))))</f>
        <v/>
      </c>
      <c r="I13" s="9">
        <f>IF(COUNT(AN13,BO13,CP13)&gt;0,LARGE((AN13,BO13,CP13),1),0)</f>
        <v>44.900000000000006</v>
      </c>
      <c r="J13" s="9" t="str">
        <f>IF(I13=0,"",IF(I13=CP13,$BT$1,IF(I13=BO13,$AS$1,IF(I13=AN13,$R$1,""))))</f>
        <v>2025 Nationals</v>
      </c>
      <c r="K13" s="9">
        <f>IF(COUNT(AN13,BO13,CP13)&gt;1,LARGE((AN13,BO13,CP13),2),0)</f>
        <v>0</v>
      </c>
      <c r="L13" s="9" t="str">
        <f>IF(K13=0,"",IF(AND(K13=I13,K13=AN13,K13=BO13),$R$1,IF(AND(K13=I13,K13=AN13,K13=CP13),$R$1,IF(AND(K13=I13,K13=CP13,K13=BO13),$AS$1,IF(K13=CP13,$BT$1,IF(K13=BO13,$AS$1,IF(K13=AN13,$R$1,"")))))))</f>
        <v/>
      </c>
      <c r="M13" s="9">
        <f>IF(MAX(AQ13,BR13,CS13)&gt;0,MAX(AQ13,BR13,CS13),0)</f>
        <v>47.1</v>
      </c>
      <c r="N13" s="9" t="str">
        <f>IF(M13=0,"",IF(M13=CS13,$BT$1,IF(M13=BR13,$AS$1,IF(M13=AQ13,$R$1,""))))</f>
        <v>2025 Nationals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32"/>
      <c r="AM13" s="55" t="str">
        <f>IF(SUM(S13,W13)&gt;0,SUM(S13,W13),"")</f>
        <v/>
      </c>
      <c r="AN13" s="55" t="str">
        <f>IF(SUM(R13:S13,U13:W13,Y13)-T13-X13&gt;0,SUM(R13:S13,U13:W13,Y13)-T13-X13,"")</f>
        <v/>
      </c>
      <c r="AO13" s="55" t="str">
        <f>IF(SUM(Z13:AA13,AC13)-AB13&gt;0,SUM(Z13:AA13,AC13)-AB13,"")</f>
        <v/>
      </c>
      <c r="AP13" s="55" t="str">
        <f>IF(SUM(AE13,AI13)&gt;0,SUM(AE13,AI13),"")</f>
        <v/>
      </c>
      <c r="AQ13" s="55" t="str">
        <f>IF(SUM(AD13:AE13,AG13:AI13,AK13)-SUM(AF13,AJ13)&gt;0,SUM(AD13:AE13,AG13:AI13,AK13)-SUM(AF13,AJ13),"")</f>
        <v/>
      </c>
      <c r="AR13" s="55" t="str">
        <f>IF(SUM(AN13,AO13,AQ13)&gt;0,SUM(AN13,AO13,AQ13),"")</f>
        <v/>
      </c>
      <c r="AS13" s="19">
        <v>18.399999999999999</v>
      </c>
      <c r="AT13" s="19">
        <v>6</v>
      </c>
      <c r="AU13" s="19">
        <v>0</v>
      </c>
      <c r="AV13" s="19">
        <v>0</v>
      </c>
      <c r="AW13" s="19">
        <v>16.3</v>
      </c>
      <c r="AX13" s="19">
        <v>5.2</v>
      </c>
      <c r="AY13" s="19">
        <v>1</v>
      </c>
      <c r="AZ13" s="19">
        <v>0</v>
      </c>
      <c r="BA13" s="19"/>
      <c r="BB13" s="19"/>
      <c r="BC13" s="19"/>
      <c r="BD13" s="19"/>
      <c r="BE13" s="19">
        <v>18.5</v>
      </c>
      <c r="BF13" s="19">
        <v>6.4</v>
      </c>
      <c r="BG13" s="19">
        <v>0</v>
      </c>
      <c r="BH13" s="19">
        <v>0</v>
      </c>
      <c r="BI13" s="19">
        <v>18</v>
      </c>
      <c r="BJ13" s="19">
        <v>5.2</v>
      </c>
      <c r="BK13" s="19">
        <v>1</v>
      </c>
      <c r="BL13" s="19">
        <v>0</v>
      </c>
      <c r="BM13" s="33"/>
      <c r="BN13" s="14">
        <f>IF(SUM(AT13,AX13)&gt;0,SUM(AT13,AX13),"")</f>
        <v>11.2</v>
      </c>
      <c r="BO13" s="14">
        <f>IF(SUM(AS13:AT13,AV13:AX13,AZ13)-AU13-AY13&gt;0,SUM(AS13:AT13,AV13:AX13,AZ13)-AU13-AY13,"")</f>
        <v>44.900000000000006</v>
      </c>
      <c r="BP13" s="14" t="str">
        <f>IF(SUM(BA13:BB13,BD13)-BC13&gt;0,SUM(BA13:BB13,BD13)-BC13,"")</f>
        <v/>
      </c>
      <c r="BQ13" s="14">
        <f>IF(SUM(BF13,BJ13)&gt;0,SUM(BF13,BJ13),"")</f>
        <v>11.600000000000001</v>
      </c>
      <c r="BR13" s="14">
        <f>IF(SUM(BE13:BF13,BH13:BJ13,BL13)-SUM(BG13,BK13)&gt;0,SUM(BE13:BF13,BH13:BJ13,BL13)-SUM(BG13,BK13),"")</f>
        <v>47.1</v>
      </c>
      <c r="BS13" s="14">
        <f>IF(SUM(BO13,BP13,BR13)&gt;0,SUM(BO13,BP13,BR13),"")</f>
        <v>92</v>
      </c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32"/>
      <c r="CO13" s="55" t="str">
        <f>IF(SUM(BU13,BY13)&gt;0,SUM(BU13,BY13),"")</f>
        <v/>
      </c>
      <c r="CP13" s="55" t="str">
        <f>IF(SUM(BT13:BU13,BW13:BY13,CA13)-BV13-BZ13&gt;0,SUM(BT13:BU13,BW13:BY13,CA13)-BV13-BZ13,"")</f>
        <v/>
      </c>
      <c r="CQ13" s="55" t="str">
        <f>IF(SUM(CB13:CC13,CE13)-CD13&gt;0,SUM(CB13:CC13,CE13)-CD13,"")</f>
        <v/>
      </c>
      <c r="CR13" s="55" t="str">
        <f>IF(SUM(CG13,CK13)&gt;0,SUM(CG13,CK13),"")</f>
        <v/>
      </c>
      <c r="CS13" s="55" t="str">
        <f>IF(SUM(CF13:CG13,CI13:CK13,CM13)-SUM(CH13,CL13)&gt;0,SUM(CF13:CG13,CI13:CK13,CM13)-SUM(CH13,CL13),"")</f>
        <v/>
      </c>
      <c r="CT13" s="55" t="str">
        <f>IF(SUM(CP13,CQ13,CS13)&gt;0,SUM(CP13,CQ13,CS13),"")</f>
        <v/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9.1999999999999993</v>
      </c>
      <c r="OX13" s="27">
        <f>IF($CN13="P",BU13,(BU13+AT13)/2)</f>
        <v>3</v>
      </c>
      <c r="OY13" s="27">
        <f>IF($CN13="P",BV13,(BV13+AU13)/2)</f>
        <v>0</v>
      </c>
      <c r="OZ13" s="27">
        <f>IF($CN13="P",BW13,(BW13+AV13)/2)</f>
        <v>0</v>
      </c>
      <c r="PA13" s="27">
        <f>IF($CN13="P",BX13,(BX13+AW13)/2)</f>
        <v>8.15</v>
      </c>
      <c r="PB13" s="27">
        <f>IF($CN13="P",BY13,(BY13+AX13)/2)</f>
        <v>2.6</v>
      </c>
      <c r="PC13" s="27">
        <f>IF($CN13="P",BZ13,(BZ13+AY13)/2)</f>
        <v>0.5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9.25</v>
      </c>
      <c r="PJ13" s="27">
        <f>IF($CN13="P",CG13,(CG13+BF13)/2)</f>
        <v>3.2</v>
      </c>
      <c r="PK13" s="27">
        <f>IF($CN13="P",CH13,(CH13+BG13)/2)</f>
        <v>0</v>
      </c>
      <c r="PL13" s="27">
        <f>IF($CN13="P",CI13,(CI13+BH13)/2)</f>
        <v>0</v>
      </c>
      <c r="PM13" s="27">
        <f>IF($CN13="P",CJ13,(CJ13+BI13)/2)</f>
        <v>9</v>
      </c>
      <c r="PN13" s="27">
        <f>IF($CN13="P",CK13,(CK13+BJ13)/2)</f>
        <v>2.6</v>
      </c>
      <c r="PO13" s="27">
        <f>IF($CN13="P",CL13,(CL13+BK13)/2)</f>
        <v>0.5</v>
      </c>
      <c r="PP13" s="27">
        <f>IF($CN13="P",CM13,(CM13+BL13)/2)</f>
        <v>0</v>
      </c>
      <c r="PQ13" s="32" t="s">
        <v>44</v>
      </c>
      <c r="PR13" s="55">
        <f>IF(SUM(OX13,PB13)&gt;0,SUM(OX13,PB13),"")</f>
        <v>5.6</v>
      </c>
      <c r="PS13" s="55">
        <f>IF(SUM(OW13:OX13,OZ13:PB13,PD13)-OY13-PC13&gt;0,SUM(OW13:OX13,OZ13:PB13,PD13)-OY13-PC13,"")</f>
        <v>22.450000000000003</v>
      </c>
      <c r="PT13" s="55" t="str">
        <f>IF(SUM(PE13:PF13,PH13)-PG13&gt;0,SUM(PE13:PF13,PH13)-PG13,"")</f>
        <v/>
      </c>
      <c r="PU13" s="55">
        <f>IF(SUM(PJ13,PN13)&gt;0,SUM(PJ13,PN13),"")</f>
        <v>5.8000000000000007</v>
      </c>
      <c r="PV13" s="55">
        <f>IF(SUM(PI13:PJ13,PL13:PN13,PP13)-SUM(PK13,PO13)&gt;0,SUM(PI13:PJ13,PL13:PN13,PP13)-SUM(PK13,PO13),"")</f>
        <v>23.55</v>
      </c>
      <c r="PW13" s="55">
        <f>IF(SUM(PS13,PT13,PV13)&gt;0,SUM(PS13,PT13,PV13),"")</f>
        <v>46</v>
      </c>
    </row>
    <row r="14" spans="1:439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99</v>
      </c>
      <c r="C14" s="4" t="s">
        <v>65</v>
      </c>
      <c r="D14" s="4">
        <v>2010</v>
      </c>
      <c r="E14" s="10">
        <f>SUM(I14:O14)+SUM(I14:M14)*0.0000001+SUM(I14)*0.0000000000001</f>
        <v>83.930008393004471</v>
      </c>
      <c r="F14" s="3" t="str">
        <f>IF(OR(AND(AM14&gt;=AR$18,AN14&gt;=AR$22,AM14&lt;&gt;"",AL14=""),AND(AP14&gt;=AR$18,AQ14&gt;=AR$22,AP14&lt;&gt;"",AL14=""),AND(BN14&gt;=BS$18,BO14&gt;=BS$22,BN14&lt;&gt;"",BM14=""),AND(BQ14&gt;=BS$18,BR14&gt;=BS$22,BQ14&lt;&gt;"",BM14=""),AND(CO14&gt;=CT$18,CP14&gt;=CT$22,CO14&lt;&gt;"",CN14=""),AND(CR14&gt;=CT$18,CS14&gt;=CT$22,CR14&lt;&gt;""),AND(DQ14&gt;=DV$18,DR14&gt;=DV$22,DQ14&lt;&gt;""),AND(DT14&gt;=DV$18,DU14&gt;=DV$22,DT14&lt;&gt;""),AND(EQ14&gt;=EV$18,ER14&gt;=EV$22,EQ14&lt;&gt;""),AND(ET14&gt;=EV$18,EU14&gt;=EV$22,ET14&lt;&gt;""),AND(FQ14&gt;=FV$18,FR14&gt;=FV$22,FQ14&lt;&gt;""),AND(FT14&gt;=FV$18,FU14&gt;=FV$22,FT14&lt;&gt;""),AND(GQ14&gt;=GV$18,GR14&gt;=GV$22,GQ14&lt;&gt;""),AND(GT14&gt;=GV$18,GU14&gt;=GV$22,GT14&lt;&gt;""),AND(HQ14&gt;=HV$18,HR14&gt;=HV$22,HQ14&lt;&gt;""),AND(HT14&gt;=HV$18,HU14&gt;=HV$22,HT14&lt;&gt;""),AND(IQ14&gt;=IV$18,IR14&gt;=IV$22,IQ14&lt;&gt;""),AND(IT14&gt;=IV$18,IU14&gt;=IV$22,IT14&lt;&gt;""),AND(JQ14&gt;=JV$18,JR14&gt;=JV$22,JQ14&lt;&gt;""),AND(JT14&gt;=JV$18,JU14&gt;=JV$22,JT14&lt;&gt;""),AND(KQ14&gt;=KV$18,KR14&gt;=KV$22,KQ14&lt;&gt;""),AND(KT14&gt;=KV$18,KU14&gt;=KV$22,KT14&lt;&gt;""),AND(LQ14&gt;=LV$18,LR14&gt;=LV$22,LQ14&lt;&gt;""),AND(LT14&gt;=LV$18,LU14&gt;=LV$22,LT14&lt;&gt;""),AND(MQ14&gt;=MV$18,MR14&gt;=MV$22,MQ14&lt;&gt;""),AND(MT14&gt;=MV$18,MU14&gt;=MV$22,MT14&lt;&gt;""),AND(NQ14&gt;=NV$18,NR14&gt;=NV$22,NQ14&lt;&gt;""),AND(NT14&gt;=NV$18,NU14&gt;=NV$22,NT14&lt;&gt;""),AND(OQ14&gt;=OV$18,OR14&gt;=OV$22,OQ14&lt;&gt;""),AND(OT14&gt;=OV$18,OU14&gt;=OV$22,OT14&lt;&gt;"")),"P","")</f>
        <v/>
      </c>
      <c r="G14" s="3" t="str">
        <f>IF(OR(AND(AN14&gt;=AR$22,AN14&lt;&gt;"",AL14=""),AND(AQ14&gt;=AR$22,AQ14&lt;&gt;"",AL14=""),AND(BO14&gt;=BS$22,BO14&lt;&gt;"",BM14=""),AND(BR14&gt;=BS$22,BR14&lt;&gt;"",BM14=""),AND(CP14&gt;=CT$22,CP14&lt;&gt;"",CN14=""),AND(CS14&gt;=CT$22,CS14&lt;&gt;"",CN14=""),AND(DR14&gt;=DV$22,DR14&lt;&gt;""),AND(DU14&gt;=DV$22,DU14&lt;&gt;""),AND(ER14&gt;=EV$22,ER14&lt;&gt;""),AND(EU14&gt;=EV$22,EU14&lt;&gt;""),AND(FR14&gt;=FV$22,FR14&lt;&gt;""),AND(FU14&gt;=FV$22,FU14&lt;&gt;""),AND(GR14&gt;=GV$22,GR14&lt;&gt;""),AND(GU14&gt;=GV$22,GU14&lt;&gt;""),AND(HR14&gt;=HV$22,HR14&lt;&gt;""),AND(HU14&gt;=HV$22,HU14&lt;&gt;""),AND(IR14&gt;=IV$22,IR14&lt;&gt;""),AND(IU14&gt;=IV$22,IU14&lt;&gt;""),AND(JR14&gt;=JV$22,JR14&lt;&gt;""),AND(JU14&gt;=JV$22,JU14&lt;&gt;""),AND(KR14&gt;=KV$22,KR14&lt;&gt;""),AND(KU14&gt;=KV$22,KU14&lt;&gt;""),AND(LR14&gt;=LV$22,LR14&lt;&gt;""),AND(LU14&gt;=LV$22,LU14&lt;&gt;""),AND(MR14&gt;=MV$22,MR14&lt;&gt;""),AND(MU14&gt;=MV$22,MU14&lt;&gt;""),AND(NR14&gt;=NV$22,NR14&lt;&gt;""),AND(NU14&gt;=NV$22,NU14&lt;&gt;""),AND(OR14&gt;=OV$22,OR14&lt;&gt;""),AND(OU14&gt;=OV$22,OU14&lt;&gt;"")),"P","")</f>
        <v/>
      </c>
      <c r="H14" s="47" t="str">
        <f>IF(AND(G14="P",F14=""),"No DD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Merit",IF(OR(AND(AM14&gt;=AR$20,AN14&gt;=AR$24,AM14&lt;&gt;"",AL14=""),AND(AP14&gt;=AR$20,AQ14&gt;=AR$24,AP14&lt;&gt;"",AL14=""),AND(BN14&gt;=BS$20,BO14&gt;=BS$24,BN14&lt;&gt;"",BM14=""),AND(BQ14&gt;=BS$20,BR14&gt;=BS$24,BQ14&lt;&gt;"",BM14=""),AND(CO14&gt;=CT$20,CP14&gt;=CT$24,CO14&lt;&gt;"",CN14=""),AND(CR14&gt;=CT$20,CS14&gt;=CT$24,CR14&lt;&gt;""),AND(DQ14&gt;=DV$20,DR14&gt;=DV$24,DQ14&lt;&gt;""),AND(DT14&gt;=DV$20,DU14&gt;=DV$24,DT14&lt;&gt;""),AND(EQ14&gt;=EV$20,ER14&gt;=EV$24,EQ14&lt;&gt;""),AND(ET14&gt;=EV$20,EU14&gt;=EV$24,ET14&lt;&gt;""),AND(FQ14&gt;=FV$20,FR14&gt;=FV$24,FQ14&lt;&gt;""),AND(FT14&gt;=FV$20,FU14&gt;=FV$24,FT14&lt;&gt;""),AND(GQ14&gt;=GV$20,GR14&gt;=GV$24,GQ14&lt;&gt;""),AND(GT14&gt;=GV$20,GU14&gt;=GV$24,GT14&lt;&gt;""),AND(HQ14&gt;=HV$20,HR14&gt;=HV$24,HQ14&lt;&gt;""),AND(HT14&gt;=HV$20,HU14&gt;=HV$24,HT14&lt;&gt;""),AND(IQ14&gt;=IV$20,IR14&gt;=IV$24,IQ14&lt;&gt;""),AND(IT14&gt;=IV$20,IU14&gt;=IV$24,IT14&lt;&gt;""),AND(JQ14&gt;=JV$20,JR14&gt;=JV$24,JQ14&lt;&gt;""),AND(JT14&gt;=JV$20,JU14&gt;=JV$24,JT14&lt;&gt;""),AND(KQ14&gt;=KV$20,KR14&gt;=KV$24,KQ14&lt;&gt;""),AND(KT14&gt;=KV$20,KU14&gt;=KV$24,KT14&lt;&gt;""),AND(LQ14&gt;=LV$20,LR14&gt;=LV$24,LQ14&lt;&gt;""),AND(LT14&gt;=LV$20,LU14&gt;=LV$24,LT14&lt;&gt;""),AND(MQ14&gt;=MV$20,MR14&gt;=MV$24,MQ14&lt;&gt;""),AND(MT14&gt;=MV$20,MU14&gt;=MV$24,MT14&lt;&gt;""),AND(NQ14&gt;=NV$20,NR14&gt;=NV$24,NQ14&lt;&gt;""),AND(NT14&gt;=NV$20,NU14&gt;=NV$24,NT14&lt;&gt;""),AND(OQ14&gt;=OV$20,OR14&gt;=OV$24,OQ14&lt;&gt;""),AND(OT14&gt;=OV$20,OU14&gt;=OV$24,OT14&lt;&gt;"")),"Excellence",IF(F14="P","National Team",""))))</f>
        <v/>
      </c>
      <c r="I14" s="9">
        <f>IF(COUNT(AN14,BO14,CP14)&gt;0,LARGE((AN14,BO14,CP14),1),0)</f>
        <v>44.63</v>
      </c>
      <c r="J14" s="9" t="str">
        <f>IF(I14=0,"",IF(I14=CP14,$BT$1,IF(I14=BO14,$AS$1,IF(I14=AN14,$R$1,""))))</f>
        <v>2025 Elite Canada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39.299999999999997</v>
      </c>
      <c r="N14" s="9" t="str">
        <f>IF(M14=0,"",IF(M14=CS14,$BT$1,IF(M14=BR14,$AS$1,IF(M14=AQ14,$R$1,""))))</f>
        <v>2025 Elite Canada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>
        <v>17.63</v>
      </c>
      <c r="S14" s="20">
        <v>4.4000000000000004</v>
      </c>
      <c r="T14" s="20">
        <v>0.8</v>
      </c>
      <c r="U14" s="20">
        <v>0</v>
      </c>
      <c r="V14" s="20">
        <v>18</v>
      </c>
      <c r="W14" s="20">
        <v>5.6</v>
      </c>
      <c r="X14" s="20">
        <v>0.2</v>
      </c>
      <c r="Y14" s="20">
        <v>0</v>
      </c>
      <c r="Z14" s="20"/>
      <c r="AA14" s="20"/>
      <c r="AB14" s="20"/>
      <c r="AC14" s="20"/>
      <c r="AD14" s="20">
        <v>15.2</v>
      </c>
      <c r="AE14" s="20">
        <v>2.8</v>
      </c>
      <c r="AF14" s="20">
        <v>0</v>
      </c>
      <c r="AG14" s="20">
        <v>0</v>
      </c>
      <c r="AH14" s="20">
        <v>16.3</v>
      </c>
      <c r="AI14" s="20">
        <v>5.2</v>
      </c>
      <c r="AJ14" s="20">
        <v>0.2</v>
      </c>
      <c r="AK14" s="20">
        <v>0</v>
      </c>
      <c r="AL14" s="32"/>
      <c r="AM14" s="55">
        <f>IF(SUM(S14,W14)&gt;0,SUM(S14,W14),"")</f>
        <v>10</v>
      </c>
      <c r="AN14" s="55">
        <f>IF(SUM(R14:S14,U14:W14,Y14)-T14-X14&gt;0,SUM(R14:S14,U14:W14,Y14)-T14-X14,"")</f>
        <v>44.63</v>
      </c>
      <c r="AO14" s="55" t="str">
        <f>IF(SUM(Z14:AA14,AC14)-AB14&gt;0,SUM(Z14:AA14,AC14)-AB14,"")</f>
        <v/>
      </c>
      <c r="AP14" s="55">
        <f>IF(SUM(AE14,AI14)&gt;0,SUM(AE14,AI14),"")</f>
        <v>8</v>
      </c>
      <c r="AQ14" s="55">
        <f>IF(SUM(AD14:AE14,AG14:AI14,AK14)-SUM(AF14,AJ14)&gt;0,SUM(AD14:AE14,AG14:AI14,AK14)-SUM(AF14,AJ14),"")</f>
        <v>39.299999999999997</v>
      </c>
      <c r="AR14" s="55">
        <f>IF(SUM(AN14,AO14,AQ14)&gt;0,SUM(AN14,AO14,AQ14),"")</f>
        <v>83.93</v>
      </c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33"/>
      <c r="BN14" s="14" t="str">
        <f>IF(SUM(AT14,AX14)&gt;0,SUM(AT14,AX14),"")</f>
        <v/>
      </c>
      <c r="BO14" s="14" t="str">
        <f>IF(SUM(AS14:AT14,AV14:AX14,AZ14)-AU14-AY14&gt;0,SUM(AS14:AT14,AV14:AX14,AZ14)-AU14-AY14,"")</f>
        <v/>
      </c>
      <c r="BP14" s="14" t="str">
        <f>IF(SUM(BA14:BB14,BD14)-BC14&gt;0,SUM(BA14:BB14,BD14)-BC14,"")</f>
        <v/>
      </c>
      <c r="BQ14" s="14" t="str">
        <f>IF(SUM(BF14,BJ14)&gt;0,SUM(BF14,BJ14),"")</f>
        <v/>
      </c>
      <c r="BR14" s="14" t="str">
        <f>IF(SUM(BE14:BF14,BH14:BJ14,BL14)-SUM(BG14,BK14)&gt;0,SUM(BE14:BF14,BH14:BJ14,BL14)-SUM(BG14,BK14),"")</f>
        <v/>
      </c>
      <c r="BS14" s="14" t="str">
        <f>IF(SUM(BO14,BP14,BR14)&gt;0,SUM(BO14,BP14,BR14),"")</f>
        <v/>
      </c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32"/>
      <c r="CO14" s="55" t="str">
        <f>IF(SUM(BU14,BY14)&gt;0,SUM(BU14,BY14),"")</f>
        <v/>
      </c>
      <c r="CP14" s="55" t="str">
        <f>IF(SUM(BT14:BU14,BW14:BY14,CA14)-BV14-BZ14&gt;0,SUM(BT14:BU14,BW14:BY14,CA14)-BV14-BZ14,"")</f>
        <v/>
      </c>
      <c r="CQ14" s="55" t="str">
        <f>IF(SUM(CB14:CC14,CE14)-CD14&gt;0,SUM(CB14:CC14,CE14)-CD14,"")</f>
        <v/>
      </c>
      <c r="CR14" s="55" t="str">
        <f>IF(SUM(CG14,CK14)&gt;0,SUM(CG14,CK14),"")</f>
        <v/>
      </c>
      <c r="CS14" s="55" t="str">
        <f>IF(SUM(CF14:CG14,CI14:CK14,CM14)-SUM(CH14,CL14)&gt;0,SUM(CF14:CG14,CI14:CK14,CM14)-SUM(CH14,CL14),"")</f>
        <v/>
      </c>
      <c r="CT14" s="55" t="str">
        <f>IF(SUM(CP14,CQ14,CS14)&gt;0,SUM(CP14,CQ14,CS14),"")</f>
        <v/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0</v>
      </c>
      <c r="OX14" s="27">
        <f>IF($CN14="P",BU14,(BU14+AT14)/2)</f>
        <v>0</v>
      </c>
      <c r="OY14" s="27">
        <f>IF($CN14="P",BV14,(BV14+AU14)/2)</f>
        <v>0</v>
      </c>
      <c r="OZ14" s="27">
        <f>IF($CN14="P",BW14,(BW14+AV14)/2)</f>
        <v>0</v>
      </c>
      <c r="PA14" s="27">
        <f>IF($CN14="P",BX14,(BX14+AW14)/2)</f>
        <v>0</v>
      </c>
      <c r="PB14" s="27">
        <f>IF($CN14="P",BY14,(BY14+AX14)/2)</f>
        <v>0</v>
      </c>
      <c r="PC14" s="27">
        <f>IF($CN14="P",BZ14,(BZ14+AY14)/2)</f>
        <v>0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0</v>
      </c>
      <c r="PJ14" s="27">
        <f>IF($CN14="P",CG14,(CG14+BF14)/2)</f>
        <v>0</v>
      </c>
      <c r="PK14" s="27">
        <f>IF($CN14="P",CH14,(CH14+BG14)/2)</f>
        <v>0</v>
      </c>
      <c r="PL14" s="27">
        <f>IF($CN14="P",CI14,(CI14+BH14)/2)</f>
        <v>0</v>
      </c>
      <c r="PM14" s="27">
        <f>IF($CN14="P",CJ14,(CJ14+BI14)/2)</f>
        <v>0</v>
      </c>
      <c r="PN14" s="27">
        <f>IF($CN14="P",CK14,(CK14+BJ14)/2)</f>
        <v>0</v>
      </c>
      <c r="PO14" s="27">
        <f>IF($CN14="P",CL14,(CL14+BK14)/2)</f>
        <v>0</v>
      </c>
      <c r="PP14" s="27">
        <f>IF($CN14="P",CM14,(CM14+BL14)/2)</f>
        <v>0</v>
      </c>
      <c r="PQ14" s="32" t="s">
        <v>44</v>
      </c>
      <c r="PR14" s="55" t="str">
        <f>IF(SUM(OX14,PB14)&gt;0,SUM(OX14,PB14),"")</f>
        <v/>
      </c>
      <c r="PS14" s="55" t="str">
        <f>IF(SUM(OW14:OX14,OZ14:PB14,PD14)-OY14-PC14&gt;0,SUM(OW14:OX14,OZ14:PB14,PD14)-OY14-PC14,"")</f>
        <v/>
      </c>
      <c r="PT14" s="55" t="str">
        <f>IF(SUM(PE14:PF14,PH14)-PG14&gt;0,SUM(PE14:PF14,PH14)-PG14,"")</f>
        <v/>
      </c>
      <c r="PU14" s="55" t="str">
        <f>IF(SUM(PJ14,PN14)&gt;0,SUM(PJ14,PN14),"")</f>
        <v/>
      </c>
      <c r="PV14" s="55" t="str">
        <f>IF(SUM(PI14:PJ14,PL14:PN14,PP14)-SUM(PK14,PO14)&gt;0,SUM(PI14:PJ14,PL14:PN14,PP14)-SUM(PK14,PO14),"")</f>
        <v/>
      </c>
      <c r="PW14" s="55" t="str">
        <f>IF(SUM(PS14,PT14,PV14)&gt;0,SUM(PS14,PT14,PV14),"")</f>
        <v/>
      </c>
    </row>
    <row r="15" spans="1:439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120</v>
      </c>
      <c r="C15" s="4" t="s">
        <v>67</v>
      </c>
      <c r="D15" s="4">
        <v>2011</v>
      </c>
      <c r="E15" s="10">
        <f>SUM(I15:O15)+SUM(I15:M15)*0.0000001+SUM(I15)*0.0000000000001</f>
        <v>80.800008080004218</v>
      </c>
      <c r="F15" s="3" t="str">
        <f>IF(OR(AND(AM15&gt;=AR$18,AN15&gt;=AR$22,AM15&lt;&gt;"",AL15=""),AND(AP15&gt;=AR$18,AQ15&gt;=AR$22,AP15&lt;&gt;"",AL15=""),AND(BN15&gt;=BS$18,BO15&gt;=BS$22,BN15&lt;&gt;"",BM15=""),AND(BQ15&gt;=BS$18,BR15&gt;=BS$22,BQ15&lt;&gt;"",BM15=""),AND(CO15&gt;=CT$18,CP15&gt;=CT$22,CO15&lt;&gt;"",CN15=""),AND(CR15&gt;=CT$18,CS15&gt;=CT$22,CR15&lt;&gt;""),AND(DQ15&gt;=DV$18,DR15&gt;=DV$22,DQ15&lt;&gt;""),AND(DT15&gt;=DV$18,DU15&gt;=DV$22,DT15&lt;&gt;""),AND(EQ15&gt;=EV$18,ER15&gt;=EV$22,EQ15&lt;&gt;""),AND(ET15&gt;=EV$18,EU15&gt;=EV$22,ET15&lt;&gt;""),AND(FQ15&gt;=FV$18,FR15&gt;=FV$22,FQ15&lt;&gt;""),AND(FT15&gt;=FV$18,FU15&gt;=FV$22,FT15&lt;&gt;""),AND(GQ15&gt;=GV$18,GR15&gt;=GV$22,GQ15&lt;&gt;""),AND(GT15&gt;=GV$18,GU15&gt;=GV$22,GT15&lt;&gt;""),AND(HQ15&gt;=HV$18,HR15&gt;=HV$22,HQ15&lt;&gt;""),AND(HT15&gt;=HV$18,HU15&gt;=HV$22,HT15&lt;&gt;""),AND(IQ15&gt;=IV$18,IR15&gt;=IV$22,IQ15&lt;&gt;""),AND(IT15&gt;=IV$18,IU15&gt;=IV$22,IT15&lt;&gt;""),AND(JQ15&gt;=JV$18,JR15&gt;=JV$22,JQ15&lt;&gt;""),AND(JT15&gt;=JV$18,JU15&gt;=JV$22,JT15&lt;&gt;""),AND(KQ15&gt;=KV$18,KR15&gt;=KV$22,KQ15&lt;&gt;""),AND(KT15&gt;=KV$18,KU15&gt;=KV$22,KT15&lt;&gt;""),AND(LQ15&gt;=LV$18,LR15&gt;=LV$22,LQ15&lt;&gt;""),AND(LT15&gt;=LV$18,LU15&gt;=LV$22,LT15&lt;&gt;""),AND(MQ15&gt;=MV$18,MR15&gt;=MV$22,MQ15&lt;&gt;""),AND(MT15&gt;=MV$18,MU15&gt;=MV$22,MT15&lt;&gt;""),AND(NQ15&gt;=NV$18,NR15&gt;=NV$22,NQ15&lt;&gt;""),AND(NT15&gt;=NV$18,NU15&gt;=NV$22,NT15&lt;&gt;""),AND(OQ15&gt;=OV$18,OR15&gt;=OV$22,OQ15&lt;&gt;""),AND(OT15&gt;=OV$18,OU15&gt;=OV$22,OT15&lt;&gt;"")),"P","")</f>
        <v/>
      </c>
      <c r="G15" s="3" t="str">
        <f>IF(OR(AND(AN15&gt;=AR$22,AN15&lt;&gt;"",AL15=""),AND(AQ15&gt;=AR$22,AQ15&lt;&gt;"",AL15=""),AND(BO15&gt;=BS$22,BO15&lt;&gt;"",BM15=""),AND(BR15&gt;=BS$22,BR15&lt;&gt;"",BM15=""),AND(CP15&gt;=CT$22,CP15&lt;&gt;"",CN15=""),AND(CS15&gt;=CT$22,CS15&lt;&gt;"",CN15=""),AND(DR15&gt;=DV$22,DR15&lt;&gt;""),AND(DU15&gt;=DV$22,DU15&lt;&gt;""),AND(ER15&gt;=EV$22,ER15&lt;&gt;""),AND(EU15&gt;=EV$22,EU15&lt;&gt;""),AND(FR15&gt;=FV$22,FR15&lt;&gt;""),AND(FU15&gt;=FV$22,FU15&lt;&gt;""),AND(GR15&gt;=GV$22,GR15&lt;&gt;""),AND(GU15&gt;=GV$22,GU15&lt;&gt;""),AND(HR15&gt;=HV$22,HR15&lt;&gt;""),AND(HU15&gt;=HV$22,HU15&lt;&gt;""),AND(IR15&gt;=IV$22,IR15&lt;&gt;""),AND(IU15&gt;=IV$22,IU15&lt;&gt;""),AND(JR15&gt;=JV$22,JR15&lt;&gt;""),AND(JU15&gt;=JV$22,JU15&lt;&gt;""),AND(KR15&gt;=KV$22,KR15&lt;&gt;""),AND(KU15&gt;=KV$22,KU15&lt;&gt;""),AND(LR15&gt;=LV$22,LR15&lt;&gt;""),AND(LU15&gt;=LV$22,LU15&lt;&gt;""),AND(MR15&gt;=MV$22,MR15&lt;&gt;""),AND(MU15&gt;=MV$22,MU15&lt;&gt;""),AND(NR15&gt;=NV$22,NR15&lt;&gt;""),AND(NU15&gt;=NV$22,NU15&lt;&gt;""),AND(OR15&gt;=OV$22,OR15&lt;&gt;""),AND(OU15&gt;=OV$22,OU15&lt;&gt;"")),"P","")</f>
        <v/>
      </c>
      <c r="H15" s="47" t="str">
        <f>IF(AND(G15="P",F15=""),"No DD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Merit",IF(OR(AND(AM15&gt;=AR$20,AN15&gt;=AR$24,AM15&lt;&gt;"",AL15=""),AND(AP15&gt;=AR$20,AQ15&gt;=AR$24,AP15&lt;&gt;"",AL15=""),AND(BN15&gt;=BS$20,BO15&gt;=BS$24,BN15&lt;&gt;"",BM15=""),AND(BQ15&gt;=BS$20,BR15&gt;=BS$24,BQ15&lt;&gt;"",BM15=""),AND(CO15&gt;=CT$20,CP15&gt;=CT$24,CO15&lt;&gt;"",CN15=""),AND(CR15&gt;=CT$20,CS15&gt;=CT$24,CR15&lt;&gt;""),AND(DQ15&gt;=DV$20,DR15&gt;=DV$24,DQ15&lt;&gt;""),AND(DT15&gt;=DV$20,DU15&gt;=DV$24,DT15&lt;&gt;""),AND(EQ15&gt;=EV$20,ER15&gt;=EV$24,EQ15&lt;&gt;""),AND(ET15&gt;=EV$20,EU15&gt;=EV$24,ET15&lt;&gt;""),AND(FQ15&gt;=FV$20,FR15&gt;=FV$24,FQ15&lt;&gt;""),AND(FT15&gt;=FV$20,FU15&gt;=FV$24,FT15&lt;&gt;""),AND(GQ15&gt;=GV$20,GR15&gt;=GV$24,GQ15&lt;&gt;""),AND(GT15&gt;=GV$20,GU15&gt;=GV$24,GT15&lt;&gt;""),AND(HQ15&gt;=HV$20,HR15&gt;=HV$24,HQ15&lt;&gt;""),AND(HT15&gt;=HV$20,HU15&gt;=HV$24,HT15&lt;&gt;""),AND(IQ15&gt;=IV$20,IR15&gt;=IV$24,IQ15&lt;&gt;""),AND(IT15&gt;=IV$20,IU15&gt;=IV$24,IT15&lt;&gt;""),AND(JQ15&gt;=JV$20,JR15&gt;=JV$24,JQ15&lt;&gt;""),AND(JT15&gt;=JV$20,JU15&gt;=JV$24,JT15&lt;&gt;""),AND(KQ15&gt;=KV$20,KR15&gt;=KV$24,KQ15&lt;&gt;""),AND(KT15&gt;=KV$20,KU15&gt;=KV$24,KT15&lt;&gt;""),AND(LQ15&gt;=LV$20,LR15&gt;=LV$24,LQ15&lt;&gt;""),AND(LT15&gt;=LV$20,LU15&gt;=LV$24,LT15&lt;&gt;""),AND(MQ15&gt;=MV$20,MR15&gt;=MV$24,MQ15&lt;&gt;""),AND(MT15&gt;=MV$20,MU15&gt;=MV$24,MT15&lt;&gt;""),AND(NQ15&gt;=NV$20,NR15&gt;=NV$24,NQ15&lt;&gt;""),AND(NT15&gt;=NV$20,NU15&gt;=NV$24,NT15&lt;&gt;""),AND(OQ15&gt;=OV$20,OR15&gt;=OV$24,OQ15&lt;&gt;""),AND(OT15&gt;=OV$20,OU15&gt;=OV$24,OT15&lt;&gt;"")),"Excellence",IF(F15="P","National Team",""))))</f>
        <v/>
      </c>
      <c r="I15" s="9">
        <f>IF(COUNT(AN15,BO15,CP15)&gt;0,LARGE((AN15,BO15,CP15),1),0)</f>
        <v>42.2</v>
      </c>
      <c r="J15" s="9" t="str">
        <f>IF(I15=0,"",IF(I15=CP15,$BT$1,IF(I15=BO15,$AS$1,IF(I15=AN15,$R$1,""))))</f>
        <v>2025 3rd Domestic Trial</v>
      </c>
      <c r="K15" s="9">
        <f>IF(COUNT(AN15,BO15,CP15)&gt;1,LARGE((AN15,BO15,CP15),2),0)</f>
        <v>0</v>
      </c>
      <c r="L15" s="9" t="str">
        <f>IF(K15=0,"",IF(AND(K15=I15,K15=AN15,K15=BO15),$R$1,IF(AND(K15=I15,K15=AN15,K15=CP15),$R$1,IF(AND(K15=I15,K15=CP15,K15=BO15),$AS$1,IF(K15=CP15,$BT$1,IF(K15=BO15,$AS$1,IF(K15=AN15,$R$1,"")))))))</f>
        <v/>
      </c>
      <c r="M15" s="9">
        <f>IF(MAX(AQ15,BR15,CS15)&gt;0,MAX(AQ15,BR15,CS15),0)</f>
        <v>38.599999999999994</v>
      </c>
      <c r="N15" s="9" t="str">
        <f>IF(M15=0,"",IF(M15=CS15,$BT$1,IF(M15=BR15,$AS$1,IF(M15=AQ15,$R$1,""))))</f>
        <v>2025 3rd Domestic Trial</v>
      </c>
      <c r="O15" s="9" t="str">
        <f>IF(MAX(CU15:CV15)&gt;0,MAX(CU15:CV15),"")</f>
        <v/>
      </c>
      <c r="P15" s="14" t="str">
        <f>IF(O15="","",IF(O15=CU15,"("&amp;CU$2&amp;")",IF(O15=CV15,"("&amp;CV$2&amp;")")))</f>
        <v/>
      </c>
      <c r="Q15" s="9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>IF(SUM(S15,W15)&gt;0,SUM(S15,W15),"")</f>
        <v/>
      </c>
      <c r="AN15" s="55" t="str">
        <f>IF(SUM(R15:S15,U15:W15,Y15)-T15-X15&gt;0,SUM(R15:S15,U15:W15,Y15)-T15-X15,"")</f>
        <v/>
      </c>
      <c r="AO15" s="55" t="str">
        <f>IF(SUM(Z15:AA15,AC15)-AB15&gt;0,SUM(Z15:AA15,AC15)-AB15,"")</f>
        <v/>
      </c>
      <c r="AP15" s="55" t="str">
        <f>IF(SUM(AE15,AI15)&gt;0,SUM(AE15,AI15),"")</f>
        <v/>
      </c>
      <c r="AQ15" s="55" t="str">
        <f>IF(SUM(AD15:AE15,AG15:AI15,AK15)-SUM(AF15,AJ15)&gt;0,SUM(AD15:AE15,AG15:AI15,AK15)-SUM(AF15,AJ15),"")</f>
        <v/>
      </c>
      <c r="AR15" s="55" t="str">
        <f>IF(SUM(AN15,AO15,AQ15)&gt;0,SUM(AN15,AO15,AQ15),"")</f>
        <v/>
      </c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33"/>
      <c r="BN15" s="14" t="str">
        <f>IF(SUM(AT15,AX15)&gt;0,SUM(AT15,AX15),"")</f>
        <v/>
      </c>
      <c r="BO15" s="14" t="str">
        <f>IF(SUM(AS15:AT15,AV15:AX15,AZ15)-AU15-AY15&gt;0,SUM(AS15:AT15,AV15:AX15,AZ15)-AU15-AY15,"")</f>
        <v/>
      </c>
      <c r="BP15" s="14" t="str">
        <f>IF(SUM(BA15:BB15,BD15)-BC15&gt;0,SUM(BA15:BB15,BD15)-BC15,"")</f>
        <v/>
      </c>
      <c r="BQ15" s="14" t="str">
        <f>IF(SUM(BF15,BJ15)&gt;0,SUM(BF15,BJ15),"")</f>
        <v/>
      </c>
      <c r="BR15" s="14" t="str">
        <f>IF(SUM(BE15:BF15,BH15:BJ15,BL15)-SUM(BG15,BK15)&gt;0,SUM(BE15:BF15,BH15:BJ15,BL15)-SUM(BG15,BK15),"")</f>
        <v/>
      </c>
      <c r="BS15" s="14" t="str">
        <f>IF(SUM(BO15,BP15,BR15)&gt;0,SUM(BO15,BP15,BR15),"")</f>
        <v/>
      </c>
      <c r="BT15" s="20">
        <v>15.2</v>
      </c>
      <c r="BU15" s="20">
        <v>2.8</v>
      </c>
      <c r="BV15" s="20">
        <v>0</v>
      </c>
      <c r="BW15" s="20">
        <v>0</v>
      </c>
      <c r="BX15" s="20">
        <v>19</v>
      </c>
      <c r="BY15" s="20">
        <v>5.2</v>
      </c>
      <c r="BZ15" s="20">
        <v>0</v>
      </c>
      <c r="CA15" s="20">
        <v>0</v>
      </c>
      <c r="CB15" s="20"/>
      <c r="CC15" s="20"/>
      <c r="CD15" s="20"/>
      <c r="CE15" s="20"/>
      <c r="CF15" s="20">
        <v>18.3</v>
      </c>
      <c r="CG15" s="20">
        <v>5.2</v>
      </c>
      <c r="CH15" s="20">
        <v>0.2</v>
      </c>
      <c r="CI15" s="20">
        <v>0</v>
      </c>
      <c r="CJ15" s="20">
        <v>15.3</v>
      </c>
      <c r="CK15" s="20">
        <v>0</v>
      </c>
      <c r="CL15" s="20">
        <v>0</v>
      </c>
      <c r="CM15" s="20">
        <v>0</v>
      </c>
      <c r="CN15" s="32"/>
      <c r="CO15" s="55">
        <f>IF(SUM(BU15,BY15)&gt;0,SUM(BU15,BY15),"")</f>
        <v>8</v>
      </c>
      <c r="CP15" s="55">
        <f>IF(SUM(BT15:BU15,BW15:BY15,CA15)-BV15-BZ15&gt;0,SUM(BT15:BU15,BW15:BY15,CA15)-BV15-BZ15,"")</f>
        <v>42.2</v>
      </c>
      <c r="CQ15" s="55" t="str">
        <f>IF(SUM(CB15:CC15,CE15)-CD15&gt;0,SUM(CB15:CC15,CE15)-CD15,"")</f>
        <v/>
      </c>
      <c r="CR15" s="55">
        <f>IF(SUM(CG15,CK15)&gt;0,SUM(CG15,CK15),"")</f>
        <v>5.2</v>
      </c>
      <c r="CS15" s="55">
        <f>IF(SUM(CF15:CG15,CI15:CK15,CM15)-SUM(CH15,CL15)&gt;0,SUM(CF15:CG15,CI15:CK15,CM15)-SUM(CH15,CL15),"")</f>
        <v>38.599999999999994</v>
      </c>
      <c r="CT15" s="55">
        <f>IF(SUM(CP15,CQ15,CS15)&gt;0,SUM(CP15,CQ15,CS15),"")</f>
        <v>80.8</v>
      </c>
      <c r="CU15" s="56" t="str">
        <f>IF(MAX(DR15,ER15,FR15,GR15,HR15,IR15,JR15,KR15,LR15,MR15,NR15,OR15)-IF(K15="",0,K15)&gt;0.001,MAX(DR15,ER15,FR15,GR15,HR15,IR15,JR15,KR15,LR15,MR15,NR15,OR15)-IF(K15="",0,K15),"")</f>
        <v/>
      </c>
      <c r="CV15" s="56" t="str">
        <f>IF(MAX(DU15,EU15,FU15,GU15,HU15,IU15,JU15,KU15,LU15,MU15,NU15,OU15)-IF(M15="",0,M15)&gt;0.001,MAX(DU15,EU15,FU15,GU15,HU15,IU15,JU15,KU15,LU15,MU15,NU15,OU15)-IF(M15="",0,M15),"")</f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>IF(SUM(CX15,DB15)&gt;0,SUM(CX15,DB15),"")</f>
        <v/>
      </c>
      <c r="DR15" s="55" t="str">
        <f>IF(SUM(CW15:CX15,CZ15:DB15,DD15)-CY15-DC15&gt;0,SUM(CW15:CX15,CZ15:DB15,DD15)-CY15-DC15,"")</f>
        <v/>
      </c>
      <c r="DS15" s="55" t="str">
        <f>IF(SUM(DE15:DF15,DH15)-DG15&gt;0,SUM(DE15:DF15,DH15)-DG15,"")</f>
        <v/>
      </c>
      <c r="DT15" s="55" t="str">
        <f>IF(SUM(DJ15,DN15)&gt;0,SUM(DJ15,DN15),"")</f>
        <v/>
      </c>
      <c r="DU15" s="55" t="str">
        <f>IF(SUM(DI15:DJ15,DL15:DN15,DP15)-SUM(DK15,DO15)&gt;0,SUM(DI15:DJ15,DL15:DN15,DP15)-SUM(DK15,DO15),"")</f>
        <v/>
      </c>
      <c r="DV15" s="55" t="str">
        <f>IF(SUM(DR15,DS15,DU15)&gt;0,SUM(DR15,DS15,DU15),"")</f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>IF(SUM(DX15,EB15)&gt;0,SUM(DX15,EB15),"")</f>
        <v/>
      </c>
      <c r="ER15" s="14" t="str">
        <f>IF(SUM(DW15:DX15,DZ15:EB15,ED15)-DY15-EC15&gt;0,SUM(DW15:DX15,DZ15:EB15,ED15)-DY15-EC15,"")</f>
        <v/>
      </c>
      <c r="ES15" s="14" t="str">
        <f>IF(SUM(EE15:EF15,EH15)-EG15&gt;0,SUM(EE15:EF15,EH15)-EG15,"")</f>
        <v/>
      </c>
      <c r="ET15" s="14" t="str">
        <f>IF(SUM(EJ15,EN15)&gt;0,SUM(EJ15,EN15),"")</f>
        <v/>
      </c>
      <c r="EU15" s="14" t="str">
        <f>IF(SUM(EI15:EJ15,EL15:EN15,EP15)-SUM(EK15,EO15)&gt;0,SUM(EI15:EJ15,EL15:EN15,EP15)-SUM(EK15,EO15),"")</f>
        <v/>
      </c>
      <c r="EV15" s="14" t="str">
        <f>IF(SUM(ER15,ES15,EU15)&gt;0,SUM(ER15,ES15,EU15),"")</f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>IF(SUM(EX15,FB15)&gt;0,SUM(EX15,FB15),"")</f>
        <v/>
      </c>
      <c r="FR15" s="55" t="str">
        <f>IF(SUM(EW15:EX15,EZ15:FB15,FD15)-EY15-FC15&gt;0,SUM(EW15:EX15,EZ15:FB15,FD15)-EY15-FC15,"")</f>
        <v/>
      </c>
      <c r="FS15" s="55" t="str">
        <f>IF(SUM(FE15:FF15,FH15)-FG15&gt;0,SUM(FE15:FF15,FH15)-FG15,"")</f>
        <v/>
      </c>
      <c r="FT15" s="55" t="str">
        <f>IF(SUM(FJ15,FN15)&gt;0,SUM(FJ15,FN15),"")</f>
        <v/>
      </c>
      <c r="FU15" s="55" t="str">
        <f>IF(SUM(FI15:FJ15,FL15:FN15,FP15)-SUM(FK15,FO15)&gt;0,SUM(FI15:FJ15,FL15:FN15,FP15)-SUM(FK15,FO15),"")</f>
        <v/>
      </c>
      <c r="FV15" s="55" t="str">
        <f>IF(SUM(FR15,FS15,FU15)&gt;0,SUM(FR15,FS15,FU15),"")</f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>IF(SUM(FX15,GB15)&gt;0,SUM(FX15,GB15),"")</f>
        <v/>
      </c>
      <c r="GR15" s="14" t="str">
        <f>IF(SUM(FW15:FX15,FZ15:GB15,GD15)-FY15-GC15&gt;0,SUM(FW15:FX15,FZ15:GB15,GD15)-FY15-GC15,"")</f>
        <v/>
      </c>
      <c r="GS15" s="14" t="str">
        <f>IF(SUM(GE15:GF15,GH15)-GG15&gt;0,SUM(GE15:GF15,GH15)-GG15,"")</f>
        <v/>
      </c>
      <c r="GT15" s="14" t="str">
        <f>IF(SUM(GJ15,GN15)&gt;0,SUM(GJ15,GN15),"")</f>
        <v/>
      </c>
      <c r="GU15" s="14" t="str">
        <f>IF(SUM(GI15:GJ15,GL15:GN15,GP15)-SUM(GK15,GO15)&gt;0,SUM(GI15:GJ15,GL15:GN15,GP15)-SUM(GK15,GO15),"")</f>
        <v/>
      </c>
      <c r="GV15" s="14" t="str">
        <f>IF(SUM(GR15,GS15,GU15)&gt;0,SUM(GR15,GS15,GU15),"")</f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>IF(SUM(GX15,HB15)&gt;0,SUM(GX15,HB15),"")</f>
        <v/>
      </c>
      <c r="HR15" s="55" t="str">
        <f>IF(SUM(GW15:GX15,GZ15:HB15,HD15)-GY15-HC15&gt;0,SUM(GW15:GX15,GZ15:HB15,HD15)-GY15-HC15,"")</f>
        <v/>
      </c>
      <c r="HS15" s="55" t="str">
        <f>IF(SUM(HE15:HF15,HH15)-HG15&gt;0,SUM(HE15:HF15,HH15)-HG15,"")</f>
        <v/>
      </c>
      <c r="HT15" s="55" t="str">
        <f>IF(SUM(HJ15,HN15)&gt;0,SUM(HJ15,HN15),"")</f>
        <v/>
      </c>
      <c r="HU15" s="55" t="str">
        <f>IF(SUM(HI15:HJ15,HL15:HN15,HP15)-SUM(HK15,HO15)&gt;0,SUM(HI15:HJ15,HL15:HN15,HP15)-SUM(HK15,HO15),"")</f>
        <v/>
      </c>
      <c r="HV15" s="55" t="str">
        <f>IF(SUM(HR15,HS15,HU15)&gt;0,SUM(HR15,HS15,HU15),"")</f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>IF(SUM(HX15,IB15)&gt;0,SUM(HX15,IB15),"")</f>
        <v/>
      </c>
      <c r="IR15" s="14" t="str">
        <f>IF(SUM(HW15:HX15,HZ15:IB15,ID15)-HY15-IC15&gt;0,SUM(HW15:HX15,HZ15:IB15,ID15)-HY15-IC15,"")</f>
        <v/>
      </c>
      <c r="IS15" s="14" t="str">
        <f>IF(SUM(IE15:IF15,IH15)-IG15&gt;0,SUM(IE15:IF15,IH15)-IG15,"")</f>
        <v/>
      </c>
      <c r="IT15" s="14" t="str">
        <f>IF(SUM(IJ15,IN15)&gt;0,SUM(IJ15,IN15),"")</f>
        <v/>
      </c>
      <c r="IU15" s="14" t="str">
        <f>IF(SUM(II15:IJ15,IL15:IN15,IP15)-SUM(IK15,IO15)&gt;0,SUM(II15:IJ15,IL15:IN15,IP15)-SUM(IK15,IO15),"")</f>
        <v/>
      </c>
      <c r="IV15" s="14" t="str">
        <f>IF(SUM(IR15,IS15,IU15)&gt;0,SUM(IR15,IS15,IU15),"")</f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>IF(SUM(IX15,JB15)&gt;0,SUM(IX15,JB15),"")</f>
        <v/>
      </c>
      <c r="JR15" s="55" t="str">
        <f>IF(SUM(IW15:IX15,IZ15:JB15,JD15)-IY15-JC15&gt;0,SUM(IW15:IX15,IZ15:JB15,JD15)-IY15-JC15,"")</f>
        <v/>
      </c>
      <c r="JS15" s="55" t="str">
        <f>IF(SUM(JE15:JF15,JH15)-JG15&gt;0,SUM(JE15:JF15,JH15)-JG15,"")</f>
        <v/>
      </c>
      <c r="JT15" s="55" t="str">
        <f>IF(SUM(JJ15,JN15)&gt;0,SUM(JJ15,JN15),"")</f>
        <v/>
      </c>
      <c r="JU15" s="55" t="str">
        <f>IF(SUM(JI15:JJ15,JL15:JN15,JP15)-SUM(JK15,JO15)&gt;0,SUM(JI15:JJ15,JL15:JN15,JP15)-SUM(JK15,JO15),"")</f>
        <v/>
      </c>
      <c r="JV15" s="55" t="str">
        <f>IF(SUM(JR15,JS15,JU15)&gt;0,SUM(JR15,JS15,JU15),"")</f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>IF(SUM(JX15,KB15)&gt;0,SUM(JX15,KB15),"")</f>
        <v/>
      </c>
      <c r="KR15" s="14" t="str">
        <f>IF(SUM(JW15:JX15,JZ15:KB15,KD15)-JY15-KC15&gt;0,SUM(JW15:JX15,JZ15:KB15,KD15)-JY15-KC15,"")</f>
        <v/>
      </c>
      <c r="KS15" s="14" t="str">
        <f>IF(SUM(KE15:KF15,KH15)-KG15&gt;0,SUM(KE15:KF15,KH15)-KG15,"")</f>
        <v/>
      </c>
      <c r="KT15" s="14" t="str">
        <f>IF(SUM(KJ15,KN15)&gt;0,SUM(KJ15,KN15),"")</f>
        <v/>
      </c>
      <c r="KU15" s="14" t="str">
        <f>IF(SUM(KI15:KJ15,KL15:KN15,KP15)-SUM(KK15,KO15)&gt;0,SUM(KI15:KJ15,KL15:KN15,KP15)-SUM(KK15,KO15),"")</f>
        <v/>
      </c>
      <c r="KV15" s="14" t="str">
        <f>IF(SUM(KR15,KS15,KU15)&gt;0,SUM(KR15,KS15,KU15),"")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>IF(SUM(KX15,LB15)&gt;0,SUM(KX15,LB15),"")</f>
        <v/>
      </c>
      <c r="LR15" s="55" t="str">
        <f>IF(SUM(KW15:KX15,KZ15:LB15,LD15)-KY15-LC15&gt;0,SUM(KW15:KX15,KZ15:LB15,LD15)-KY15-LC15,"")</f>
        <v/>
      </c>
      <c r="LS15" s="55" t="str">
        <f>IF(SUM(LE15:LF15,LH15)-LG15&gt;0,SUM(LE15:LF15,LH15)-LG15,"")</f>
        <v/>
      </c>
      <c r="LT15" s="55" t="str">
        <f>IF(SUM(LJ15,LN15)&gt;0,SUM(LJ15,LN15),"")</f>
        <v/>
      </c>
      <c r="LU15" s="55" t="str">
        <f>IF(SUM(LI15:LJ15,LL15:LN15,LP15)-SUM(LK15,LO15)&gt;0,SUM(LI15:LJ15,LL15:LN15,LP15)-SUM(LK15,LO15),"")</f>
        <v/>
      </c>
      <c r="LV15" s="55" t="str">
        <f>IF(SUM(LR15,LS15,LU15)&gt;0,SUM(LR15,LS15,LU15),"")</f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>IF(SUM(LX15,MB15)&gt;0,SUM(LX15,MB15),"")</f>
        <v/>
      </c>
      <c r="MR15" s="14" t="str">
        <f>IF(SUM(LW15:LX15,LZ15:MB15,MD15)-LY15-MC15&gt;0,SUM(LW15:LX15,LZ15:MB15,MD15)-LY15-MC15,"")</f>
        <v/>
      </c>
      <c r="MS15" s="14" t="str">
        <f>IF(SUM(ME15:MF15,MH15)-MG15&gt;0,SUM(ME15:MF15,MH15)-MG15,"")</f>
        <v/>
      </c>
      <c r="MT15" s="14" t="str">
        <f>IF(SUM(MJ15,MN15)&gt;0,SUM(MJ15,MN15),"")</f>
        <v/>
      </c>
      <c r="MU15" s="14" t="str">
        <f>IF(SUM(MI15:MJ15,ML15:MN15,MP15)-SUM(MK15,MO15)&gt;0,SUM(MI15:MJ15,ML15:MN15,MP15)-SUM(MK15,MO15),"")</f>
        <v/>
      </c>
      <c r="MV15" s="14" t="str">
        <f>IF(SUM(MR15,MS15,MU15)&gt;0,SUM(MR15,MS15,MU15),"")</f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>IF(SUM(MX15,NB15)&gt;0,SUM(MX15,NB15),"")</f>
        <v/>
      </c>
      <c r="NR15" s="55" t="str">
        <f>IF(SUM(MW15:MX15,MZ15:NB15,ND15)-MY15-NC15&gt;0,SUM(MW15:MX15,MZ15:NB15,ND15)-MY15-NC15,"")</f>
        <v/>
      </c>
      <c r="NS15" s="55" t="str">
        <f>IF(SUM(NE15:NF15,NH15)-NG15&gt;0,SUM(NE15:NF15,NH15)-NG15,"")</f>
        <v/>
      </c>
      <c r="NT15" s="55" t="str">
        <f>IF(SUM(NJ15,NN15)&gt;0,SUM(NJ15,NN15),"")</f>
        <v/>
      </c>
      <c r="NU15" s="55" t="str">
        <f>IF(SUM(NI15:NJ15,NL15:NN15,NP15)-SUM(NK15,NO15)&gt;0,SUM(NI15:NJ15,NL15:NN15,NP15)-SUM(NK15,NO15),"")</f>
        <v/>
      </c>
      <c r="NV15" s="55" t="str">
        <f>IF(SUM(NR15,NS15,NU15)&gt;0,SUM(NR15,NS15,NU15),"")</f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>IF(SUM(NX15,OB15)&gt;0,SUM(NX15,OB15),"")</f>
        <v/>
      </c>
      <c r="OR15" s="14" t="str">
        <f>IF(SUM(NW15:NX15,NZ15:OB15,OD15)-NY15-OC15&gt;0,SUM(NW15:NX15,NZ15:OB15,OD15)-NY15-OC15,"")</f>
        <v/>
      </c>
      <c r="OS15" s="14" t="str">
        <f>IF(SUM(OE15:OF15,OH15)-OG15&gt;0,SUM(OE15:OF15,OH15)-OG15,"")</f>
        <v/>
      </c>
      <c r="OT15" s="14" t="str">
        <f>IF(SUM(OJ15,ON15)&gt;0,SUM(OJ15,ON15),"")</f>
        <v/>
      </c>
      <c r="OU15" s="14" t="str">
        <f>IF(SUM(OI15:OJ15,OL15:ON15,OP15)-SUM(OK15,OO15)&gt;0,SUM(OI15:OJ15,OL15:ON15,OP15)-SUM(OK15,OO15),"")</f>
        <v/>
      </c>
      <c r="OV15" s="14" t="str">
        <f>IF(SUM(OR15,OS15,OU15)&gt;0,SUM(OR15,OS15,OU15),"")</f>
        <v/>
      </c>
      <c r="OW15" s="27">
        <f>IF($CN15="P",BT15,(BT15+AS15)/2)</f>
        <v>7.6</v>
      </c>
      <c r="OX15" s="27">
        <f>IF($CN15="P",BU15,(BU15+AT15)/2)</f>
        <v>1.4</v>
      </c>
      <c r="OY15" s="27">
        <f>IF($CN15="P",BV15,(BV15+AU15)/2)</f>
        <v>0</v>
      </c>
      <c r="OZ15" s="27">
        <f>IF($CN15="P",BW15,(BW15+AV15)/2)</f>
        <v>0</v>
      </c>
      <c r="PA15" s="27">
        <f>IF($CN15="P",BX15,(BX15+AW15)/2)</f>
        <v>9.5</v>
      </c>
      <c r="PB15" s="27">
        <f>IF($CN15="P",BY15,(BY15+AX15)/2)</f>
        <v>2.6</v>
      </c>
      <c r="PC15" s="27">
        <f>IF($CN15="P",BZ15,(BZ15+AY15)/2)</f>
        <v>0</v>
      </c>
      <c r="PD15" s="27">
        <f>IF($CN15="P",CA15,(CA15+AZ15)/2)</f>
        <v>0</v>
      </c>
      <c r="PE15" s="27">
        <f>IF($CN15="P",CB15,(CB15+BA15)/2)</f>
        <v>0</v>
      </c>
      <c r="PF15" s="27">
        <f>IF($CN15="P",CC15,(CC15+BB15)/2)</f>
        <v>0</v>
      </c>
      <c r="PG15" s="27">
        <f>IF($CN15="P",CD15,(CD15+BC15)/2)</f>
        <v>0</v>
      </c>
      <c r="PH15" s="27">
        <f>IF($CN15="P",CE15,(CE15+BD15)/2)</f>
        <v>0</v>
      </c>
      <c r="PI15" s="27">
        <f>IF($CN15="P",CF15,(CF15+BE15)/2)</f>
        <v>9.15</v>
      </c>
      <c r="PJ15" s="27">
        <f>IF($CN15="P",CG15,(CG15+BF15)/2)</f>
        <v>2.6</v>
      </c>
      <c r="PK15" s="27">
        <f>IF($CN15="P",CH15,(CH15+BG15)/2)</f>
        <v>0.1</v>
      </c>
      <c r="PL15" s="27">
        <f>IF($CN15="P",CI15,(CI15+BH15)/2)</f>
        <v>0</v>
      </c>
      <c r="PM15" s="27">
        <f>IF($CN15="P",CJ15,(CJ15+BI15)/2)</f>
        <v>7.65</v>
      </c>
      <c r="PN15" s="27">
        <f>IF($CN15="P",CK15,(CK15+BJ15)/2)</f>
        <v>0</v>
      </c>
      <c r="PO15" s="27">
        <f>IF($CN15="P",CL15,(CL15+BK15)/2)</f>
        <v>0</v>
      </c>
      <c r="PP15" s="27">
        <f>IF($CN15="P",CM15,(CM15+BL15)/2)</f>
        <v>0</v>
      </c>
      <c r="PQ15" s="32" t="s">
        <v>44</v>
      </c>
      <c r="PR15" s="55">
        <f>IF(SUM(OX15,PB15)&gt;0,SUM(OX15,PB15),"")</f>
        <v>4</v>
      </c>
      <c r="PS15" s="55">
        <f>IF(SUM(OW15:OX15,OZ15:PB15,PD15)-OY15-PC15&gt;0,SUM(OW15:OX15,OZ15:PB15,PD15)-OY15-PC15,"")</f>
        <v>21.1</v>
      </c>
      <c r="PT15" s="55" t="str">
        <f>IF(SUM(PE15:PF15,PH15)-PG15&gt;0,SUM(PE15:PF15,PH15)-PG15,"")</f>
        <v/>
      </c>
      <c r="PU15" s="55">
        <f>IF(SUM(PJ15,PN15)&gt;0,SUM(PJ15,PN15),"")</f>
        <v>2.6</v>
      </c>
      <c r="PV15" s="55">
        <f>IF(SUM(PI15:PJ15,PL15:PN15,PP15)-SUM(PK15,PO15)&gt;0,SUM(PI15:PJ15,PL15:PN15,PP15)-SUM(PK15,PO15),"")</f>
        <v>19.299999999999997</v>
      </c>
      <c r="PW15" s="55">
        <f>IF(SUM(PS15,PT15,PV15)&gt;0,SUM(PS15,PT15,PV15),"")</f>
        <v>40.4</v>
      </c>
    </row>
    <row r="16" spans="1:439" ht="17" x14ac:dyDescent="0.2">
      <c r="O16" s="11"/>
      <c r="P16" s="11"/>
      <c r="Q16" s="11"/>
    </row>
    <row r="17" spans="1:412" ht="17" x14ac:dyDescent="0.2">
      <c r="O17" s="11"/>
      <c r="P17" s="11"/>
      <c r="Q17" s="11"/>
    </row>
    <row r="18" spans="1:412" ht="17" x14ac:dyDescent="0.2">
      <c r="B18" s="28" t="s">
        <v>42</v>
      </c>
      <c r="O18" s="11"/>
      <c r="P18" s="11"/>
      <c r="Q18" s="11"/>
      <c r="AM18" s="4"/>
      <c r="AR18" s="57">
        <v>13.2</v>
      </c>
      <c r="BN18" s="4"/>
      <c r="BS18" s="57">
        <v>13.2</v>
      </c>
      <c r="CO18" s="4"/>
      <c r="CT18" s="57">
        <v>13.2</v>
      </c>
      <c r="DQ18" s="4"/>
      <c r="DV18" s="57">
        <v>13.2</v>
      </c>
      <c r="EQ18" s="4"/>
      <c r="EV18" s="57">
        <v>13.2</v>
      </c>
      <c r="FQ18" s="4"/>
      <c r="FV18" s="57">
        <v>13.2</v>
      </c>
      <c r="GQ18" s="4"/>
      <c r="GV18" s="57">
        <v>13.2</v>
      </c>
      <c r="HQ18" s="4"/>
      <c r="HV18" s="57">
        <v>13.2</v>
      </c>
      <c r="IQ18" s="4"/>
      <c r="IV18" s="57">
        <v>13.2</v>
      </c>
      <c r="JQ18" s="4"/>
      <c r="JV18" s="57">
        <v>13.2</v>
      </c>
      <c r="KQ18" s="4"/>
      <c r="KV18" s="57">
        <v>13.2</v>
      </c>
      <c r="LQ18" s="4"/>
      <c r="LV18" s="57">
        <v>13.2</v>
      </c>
      <c r="MQ18" s="4"/>
      <c r="MV18" s="57">
        <v>13.2</v>
      </c>
      <c r="NQ18" s="4"/>
      <c r="NV18" s="57">
        <v>13.2</v>
      </c>
      <c r="OQ18" s="4"/>
      <c r="OV18" s="57">
        <v>13.2</v>
      </c>
    </row>
    <row r="19" spans="1:412" ht="17" hidden="1" x14ac:dyDescent="0.2">
      <c r="B19" s="35" t="s">
        <v>41</v>
      </c>
      <c r="O19" s="11"/>
      <c r="P19" s="11"/>
      <c r="Q19" s="11"/>
      <c r="AM19" s="4"/>
      <c r="AR19" s="58">
        <v>1000</v>
      </c>
      <c r="BN19" s="4"/>
      <c r="BS19" s="58">
        <v>1000</v>
      </c>
      <c r="CO19" s="4"/>
      <c r="CT19" s="58">
        <v>1000</v>
      </c>
      <c r="DQ19" s="4"/>
      <c r="DV19" s="58">
        <v>1000</v>
      </c>
      <c r="EQ19" s="4"/>
      <c r="EV19" s="58">
        <v>1000</v>
      </c>
      <c r="FQ19" s="4"/>
      <c r="FV19" s="58">
        <v>1000</v>
      </c>
      <c r="GQ19" s="4"/>
      <c r="GV19" s="58">
        <v>1000</v>
      </c>
      <c r="HQ19" s="4"/>
      <c r="HV19" s="58">
        <v>1000</v>
      </c>
      <c r="IQ19" s="4"/>
      <c r="IV19" s="58">
        <v>1000</v>
      </c>
      <c r="JQ19" s="4"/>
      <c r="JV19" s="58">
        <v>1000</v>
      </c>
      <c r="KQ19" s="4"/>
      <c r="KV19" s="58">
        <v>1000</v>
      </c>
      <c r="LQ19" s="4"/>
      <c r="LV19" s="58">
        <v>1000</v>
      </c>
      <c r="MQ19" s="4"/>
      <c r="MV19" s="58">
        <v>1000</v>
      </c>
      <c r="NQ19" s="4"/>
      <c r="NV19" s="58">
        <v>1000</v>
      </c>
      <c r="OQ19" s="4"/>
      <c r="OV19" s="58">
        <v>1000</v>
      </c>
    </row>
    <row r="20" spans="1:412" ht="17" hidden="1" x14ac:dyDescent="0.2">
      <c r="A20" s="5"/>
      <c r="B20" s="36" t="s">
        <v>54</v>
      </c>
      <c r="C20" s="22"/>
      <c r="O20" s="11"/>
      <c r="P20" s="11"/>
      <c r="Q20" s="11"/>
      <c r="AM20" s="4"/>
      <c r="AR20" s="59">
        <v>1000</v>
      </c>
      <c r="BN20" s="4"/>
      <c r="BS20" s="59">
        <v>1000</v>
      </c>
      <c r="CO20" s="4"/>
      <c r="CT20" s="59">
        <v>1000</v>
      </c>
      <c r="DQ20" s="4"/>
      <c r="DV20" s="59">
        <v>1000</v>
      </c>
      <c r="EQ20" s="4"/>
      <c r="EV20" s="59">
        <v>1000</v>
      </c>
      <c r="FQ20" s="4"/>
      <c r="FV20" s="59">
        <v>1000</v>
      </c>
      <c r="GQ20" s="4"/>
      <c r="GV20" s="59">
        <v>1000</v>
      </c>
      <c r="HQ20" s="4"/>
      <c r="HV20" s="59">
        <v>1000</v>
      </c>
      <c r="IQ20" s="4"/>
      <c r="IV20" s="59">
        <v>1000</v>
      </c>
      <c r="JQ20" s="4"/>
      <c r="JV20" s="59">
        <v>1000</v>
      </c>
      <c r="KQ20" s="4"/>
      <c r="KV20" s="59">
        <v>1000</v>
      </c>
      <c r="LQ20" s="4"/>
      <c r="LV20" s="59">
        <v>1000</v>
      </c>
      <c r="MQ20" s="4"/>
      <c r="MV20" s="59">
        <v>1000</v>
      </c>
      <c r="NQ20" s="4"/>
      <c r="NV20" s="59">
        <v>1000</v>
      </c>
      <c r="OQ20" s="4"/>
      <c r="OV20" s="59">
        <v>1000</v>
      </c>
    </row>
    <row r="21" spans="1:412" ht="17" hidden="1" x14ac:dyDescent="0.2">
      <c r="A21" s="5"/>
      <c r="B21" s="44" t="s">
        <v>59</v>
      </c>
      <c r="C21" s="22"/>
      <c r="O21" s="11"/>
      <c r="P21" s="11"/>
      <c r="Q21" s="11"/>
      <c r="AM21" s="4"/>
      <c r="AR21" s="65">
        <v>1000</v>
      </c>
      <c r="BN21" s="4"/>
      <c r="BS21" s="65">
        <v>1000</v>
      </c>
      <c r="CO21" s="4"/>
      <c r="CT21" s="65">
        <v>1000</v>
      </c>
      <c r="DQ21" s="4"/>
      <c r="DV21" s="65">
        <v>1000</v>
      </c>
      <c r="EQ21" s="4"/>
      <c r="EV21" s="65">
        <v>1000</v>
      </c>
      <c r="FQ21" s="4"/>
      <c r="FV21" s="65">
        <v>1000</v>
      </c>
      <c r="GQ21" s="4"/>
      <c r="GV21" s="65">
        <v>1000</v>
      </c>
      <c r="HQ21" s="4"/>
      <c r="HV21" s="65">
        <v>1000</v>
      </c>
      <c r="IQ21" s="4"/>
      <c r="IV21" s="65">
        <v>1000</v>
      </c>
      <c r="JQ21" s="4"/>
      <c r="JV21" s="65">
        <v>1000</v>
      </c>
      <c r="KQ21" s="4"/>
      <c r="KV21" s="65">
        <v>1000</v>
      </c>
      <c r="LQ21" s="4"/>
      <c r="LV21" s="65">
        <v>1000</v>
      </c>
      <c r="MQ21" s="4"/>
      <c r="MV21" s="65">
        <v>1000</v>
      </c>
      <c r="NQ21" s="4"/>
      <c r="NV21" s="65">
        <v>1000</v>
      </c>
      <c r="OQ21" s="4"/>
      <c r="OV21" s="65">
        <v>1000</v>
      </c>
    </row>
    <row r="22" spans="1:412" ht="17" x14ac:dyDescent="0.2">
      <c r="A22" s="5"/>
      <c r="B22" s="42" t="s">
        <v>39</v>
      </c>
      <c r="C22" s="22"/>
      <c r="O22" s="11"/>
      <c r="P22" s="11"/>
      <c r="Q22" s="11"/>
      <c r="AM22" s="4"/>
      <c r="AR22" s="66">
        <v>50</v>
      </c>
      <c r="BN22" s="4"/>
      <c r="BS22" s="66">
        <v>50</v>
      </c>
      <c r="CO22" s="4"/>
      <c r="CT22" s="66">
        <v>50</v>
      </c>
      <c r="DQ22" s="4"/>
      <c r="DV22" s="66">
        <v>50</v>
      </c>
      <c r="EQ22" s="4"/>
      <c r="EV22" s="66">
        <v>50</v>
      </c>
      <c r="FQ22" s="4"/>
      <c r="FV22" s="66">
        <v>50</v>
      </c>
      <c r="GQ22" s="4"/>
      <c r="GV22" s="66">
        <v>50</v>
      </c>
      <c r="HQ22" s="4"/>
      <c r="HV22" s="66">
        <v>50</v>
      </c>
      <c r="IQ22" s="4"/>
      <c r="IV22" s="66">
        <v>50</v>
      </c>
      <c r="JQ22" s="4"/>
      <c r="JV22" s="66">
        <v>50</v>
      </c>
      <c r="KQ22" s="4"/>
      <c r="KV22" s="66">
        <v>50</v>
      </c>
      <c r="LQ22" s="4"/>
      <c r="LV22" s="66">
        <v>50</v>
      </c>
      <c r="MQ22" s="4"/>
      <c r="MV22" s="66">
        <v>50</v>
      </c>
      <c r="NQ22" s="4"/>
      <c r="NV22" s="66">
        <v>50</v>
      </c>
      <c r="OQ22" s="4"/>
      <c r="OV22" s="66">
        <v>50</v>
      </c>
    </row>
    <row r="23" spans="1:412" ht="17" hidden="1" x14ac:dyDescent="0.2">
      <c r="A23" s="5"/>
      <c r="B23" s="29" t="s">
        <v>40</v>
      </c>
      <c r="C23" s="22"/>
      <c r="O23" s="11"/>
      <c r="P23" s="11"/>
      <c r="Q23" s="11"/>
      <c r="AM23" s="4"/>
      <c r="AR23" s="62">
        <v>1000</v>
      </c>
      <c r="BN23" s="4"/>
      <c r="BS23" s="62">
        <v>1000</v>
      </c>
      <c r="CO23" s="4"/>
      <c r="CT23" s="62">
        <v>1000</v>
      </c>
      <c r="DQ23" s="4"/>
      <c r="DV23" s="62">
        <v>1000</v>
      </c>
      <c r="EQ23" s="4"/>
      <c r="EV23" s="62">
        <v>1000</v>
      </c>
      <c r="FQ23" s="4"/>
      <c r="FV23" s="62">
        <v>1000</v>
      </c>
      <c r="GQ23" s="4"/>
      <c r="GV23" s="62">
        <v>1000</v>
      </c>
      <c r="HQ23" s="4"/>
      <c r="HV23" s="62">
        <v>1000</v>
      </c>
      <c r="IQ23" s="4"/>
      <c r="IV23" s="62">
        <v>1000</v>
      </c>
      <c r="JQ23" s="4"/>
      <c r="JV23" s="62">
        <v>1000</v>
      </c>
      <c r="KQ23" s="4"/>
      <c r="KV23" s="62">
        <v>1000</v>
      </c>
      <c r="LQ23" s="4"/>
      <c r="LV23" s="62">
        <v>1000</v>
      </c>
      <c r="MQ23" s="4"/>
      <c r="MV23" s="62">
        <v>1000</v>
      </c>
      <c r="NQ23" s="4"/>
      <c r="NV23" s="62">
        <v>1000</v>
      </c>
      <c r="OQ23" s="4"/>
      <c r="OV23" s="62">
        <v>1000</v>
      </c>
    </row>
    <row r="24" spans="1:412" ht="17" hidden="1" x14ac:dyDescent="0.2">
      <c r="A24" s="5"/>
      <c r="B24" s="40" t="s">
        <v>53</v>
      </c>
      <c r="C24" s="22"/>
      <c r="O24" s="11"/>
      <c r="P24" s="11"/>
      <c r="Q24" s="11"/>
      <c r="AM24" s="4"/>
      <c r="AR24" s="63">
        <v>1000</v>
      </c>
      <c r="BN24" s="4"/>
      <c r="BS24" s="63">
        <v>1000</v>
      </c>
      <c r="CO24" s="4"/>
      <c r="CT24" s="63">
        <v>1000</v>
      </c>
      <c r="DQ24" s="4"/>
      <c r="DV24" s="63">
        <v>1000</v>
      </c>
      <c r="EQ24" s="4"/>
      <c r="EV24" s="63">
        <v>1000</v>
      </c>
      <c r="FQ24" s="4"/>
      <c r="FV24" s="63">
        <v>1000</v>
      </c>
      <c r="GQ24" s="4"/>
      <c r="GV24" s="63">
        <v>1000</v>
      </c>
      <c r="HQ24" s="4"/>
      <c r="HV24" s="63">
        <v>1000</v>
      </c>
      <c r="IQ24" s="4"/>
      <c r="IV24" s="63">
        <v>1000</v>
      </c>
      <c r="JQ24" s="4"/>
      <c r="JV24" s="63">
        <v>1000</v>
      </c>
      <c r="KQ24" s="4"/>
      <c r="KV24" s="63">
        <v>1000</v>
      </c>
      <c r="LQ24" s="4"/>
      <c r="LV24" s="63">
        <v>1000</v>
      </c>
      <c r="MQ24" s="4"/>
      <c r="MV24" s="63">
        <v>1000</v>
      </c>
      <c r="NQ24" s="4"/>
      <c r="NV24" s="63">
        <v>1000</v>
      </c>
      <c r="OQ24" s="4"/>
      <c r="OV24" s="63">
        <v>1000</v>
      </c>
    </row>
    <row r="25" spans="1:412" ht="17" hidden="1" x14ac:dyDescent="0.2">
      <c r="A25" s="5"/>
      <c r="B25" s="30" t="s">
        <v>26</v>
      </c>
      <c r="C25" s="22"/>
      <c r="O25" s="11"/>
      <c r="P25" s="11"/>
      <c r="Q25" s="11"/>
      <c r="AM25" s="4"/>
      <c r="AR25" s="64">
        <v>1000</v>
      </c>
      <c r="BN25" s="4"/>
      <c r="BS25" s="64">
        <v>1000</v>
      </c>
      <c r="CO25" s="4"/>
      <c r="CT25" s="64">
        <v>1000</v>
      </c>
      <c r="DQ25" s="4"/>
      <c r="DV25" s="64">
        <v>1000</v>
      </c>
      <c r="EQ25" s="4"/>
      <c r="EV25" s="64">
        <v>1000</v>
      </c>
      <c r="FQ25" s="4"/>
      <c r="FV25" s="64">
        <v>1000</v>
      </c>
      <c r="GQ25" s="4"/>
      <c r="GV25" s="64">
        <v>1000</v>
      </c>
      <c r="HQ25" s="4"/>
      <c r="HV25" s="64">
        <v>1000</v>
      </c>
      <c r="IQ25" s="4"/>
      <c r="IV25" s="64">
        <v>1000</v>
      </c>
      <c r="JQ25" s="4"/>
      <c r="JV25" s="64">
        <v>1000</v>
      </c>
      <c r="KQ25" s="4"/>
      <c r="KV25" s="64">
        <v>1000</v>
      </c>
      <c r="LQ25" s="4"/>
      <c r="LV25" s="64">
        <v>1000</v>
      </c>
      <c r="MQ25" s="4"/>
      <c r="MV25" s="64">
        <v>1000</v>
      </c>
      <c r="NQ25" s="4"/>
      <c r="NV25" s="64">
        <v>1000</v>
      </c>
      <c r="OQ25" s="4"/>
      <c r="OV25" s="64">
        <v>1000</v>
      </c>
    </row>
    <row r="26" spans="1:412" x14ac:dyDescent="0.2">
      <c r="B26" s="34" t="s">
        <v>45</v>
      </c>
      <c r="C26" s="2"/>
    </row>
    <row r="27" spans="1:412" x14ac:dyDescent="0.2">
      <c r="A27" s="5"/>
      <c r="B27" s="5"/>
      <c r="C27" s="2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5">
      <sortCondition descending="1" ref="F1:F1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5">
    <cfRule type="expression" dxfId="57" priority="2" stopIfTrue="1">
      <formula>IF($AL4&lt;&gt;"",1,0)</formula>
    </cfRule>
  </conditionalFormatting>
  <conditionalFormatting sqref="AS4:BS15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5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69741" operator="between">
      <formula>AR$21</formula>
      <formula>1000</formula>
    </cfRule>
    <cfRule type="cellIs" dxfId="43" priority="69742" operator="between">
      <formula>AR$20</formula>
      <formula>AR$21</formula>
    </cfRule>
    <cfRule type="cellIs" dxfId="42" priority="69743" operator="between">
      <formula>AR$19</formula>
      <formula>AR$20</formula>
    </cfRule>
    <cfRule type="cellIs" dxfId="41" priority="69744" operator="between">
      <formula>AR$18</formula>
      <formula>AR$19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69921" operator="between">
      <formula>AR$25</formula>
      <formula>1000</formula>
    </cfRule>
    <cfRule type="cellIs" dxfId="39" priority="69922" operator="between">
      <formula>AR$24</formula>
      <formula>AR$25</formula>
    </cfRule>
    <cfRule type="cellIs" dxfId="38" priority="69923" operator="between">
      <formula>AR$23</formula>
      <formula>AR$24</formula>
    </cfRule>
    <cfRule type="cellIs" dxfId="37" priority="69924" operator="between">
      <formula>AR$22</formula>
      <formula>AR$23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70101" operator="between">
      <formula>AR$21</formula>
      <formula>1000</formula>
    </cfRule>
    <cfRule type="cellIs" dxfId="35" priority="70102" operator="between">
      <formula>AR$20</formula>
      <formula>AR$21</formula>
    </cfRule>
    <cfRule type="cellIs" dxfId="34" priority="70103" operator="between">
      <formula>AR$19</formula>
      <formula>AR$20</formula>
    </cfRule>
    <cfRule type="cellIs" dxfId="33" priority="70104" operator="between">
      <formula>AR$18</formula>
      <formula>AR$19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70281" operator="between">
      <formula>AR$22</formula>
      <formula>AR$23</formula>
    </cfRule>
    <cfRule type="cellIs" dxfId="31" priority="70282" operator="between">
      <formula>AR$23</formula>
      <formula>AR$24</formula>
    </cfRule>
    <cfRule type="cellIs" dxfId="30" priority="70283" operator="between">
      <formula>AR$24</formula>
      <formula>AR$25</formula>
    </cfRule>
    <cfRule type="cellIs" dxfId="29" priority="70284" operator="between">
      <formula>AR$25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68</v>
      </c>
      <c r="J1" s="75" t="s">
        <v>24</v>
      </c>
      <c r="K1" s="81" t="s">
        <v>69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83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103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122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70</v>
      </c>
      <c r="S2" s="69"/>
      <c r="T2" s="69"/>
      <c r="U2" s="69"/>
      <c r="V2" s="69" t="s">
        <v>71</v>
      </c>
      <c r="W2" s="69"/>
      <c r="X2" s="69"/>
      <c r="Y2" s="69"/>
      <c r="Z2" s="69" t="s">
        <v>72</v>
      </c>
      <c r="AA2" s="69"/>
      <c r="AB2" s="69"/>
      <c r="AC2" s="69"/>
      <c r="AD2" s="69" t="s">
        <v>73</v>
      </c>
      <c r="AE2" s="69"/>
      <c r="AF2" s="69"/>
      <c r="AG2" s="69"/>
      <c r="AH2" s="78" t="s">
        <v>74</v>
      </c>
      <c r="AI2" s="78"/>
      <c r="AJ2" s="78"/>
      <c r="AK2" s="78"/>
      <c r="AL2" s="16"/>
      <c r="AM2" s="16" t="s">
        <v>75</v>
      </c>
      <c r="AN2" s="16" t="s">
        <v>76</v>
      </c>
      <c r="AO2" s="16" t="s">
        <v>72</v>
      </c>
      <c r="AP2" s="16" t="s">
        <v>56</v>
      </c>
      <c r="AQ2" s="16" t="s">
        <v>77</v>
      </c>
      <c r="AR2" s="16" t="s">
        <v>14</v>
      </c>
      <c r="AS2" s="70" t="s">
        <v>70</v>
      </c>
      <c r="AT2" s="70"/>
      <c r="AU2" s="70"/>
      <c r="AV2" s="70"/>
      <c r="AW2" s="70" t="s">
        <v>71</v>
      </c>
      <c r="AX2" s="70"/>
      <c r="AY2" s="70"/>
      <c r="AZ2" s="70"/>
      <c r="BA2" s="70" t="s">
        <v>72</v>
      </c>
      <c r="BB2" s="70"/>
      <c r="BC2" s="70"/>
      <c r="BD2" s="70"/>
      <c r="BE2" s="70" t="s">
        <v>73</v>
      </c>
      <c r="BF2" s="70"/>
      <c r="BG2" s="70"/>
      <c r="BH2" s="70"/>
      <c r="BI2" s="79" t="s">
        <v>74</v>
      </c>
      <c r="BJ2" s="79"/>
      <c r="BK2" s="79"/>
      <c r="BL2" s="79"/>
      <c r="BM2" s="17"/>
      <c r="BN2" s="17" t="s">
        <v>75</v>
      </c>
      <c r="BO2" s="17" t="s">
        <v>76</v>
      </c>
      <c r="BP2" s="17" t="s">
        <v>72</v>
      </c>
      <c r="BQ2" s="17" t="s">
        <v>56</v>
      </c>
      <c r="BR2" s="17" t="s">
        <v>77</v>
      </c>
      <c r="BS2" s="17" t="s">
        <v>14</v>
      </c>
      <c r="BT2" s="69" t="s">
        <v>70</v>
      </c>
      <c r="BU2" s="69"/>
      <c r="BV2" s="69"/>
      <c r="BW2" s="69"/>
      <c r="BX2" s="69" t="s">
        <v>71</v>
      </c>
      <c r="BY2" s="69"/>
      <c r="BZ2" s="69"/>
      <c r="CA2" s="69"/>
      <c r="CB2" s="69" t="s">
        <v>72</v>
      </c>
      <c r="CC2" s="69"/>
      <c r="CD2" s="69"/>
      <c r="CE2" s="69"/>
      <c r="CF2" s="69" t="s">
        <v>73</v>
      </c>
      <c r="CG2" s="69"/>
      <c r="CH2" s="69"/>
      <c r="CI2" s="69"/>
      <c r="CJ2" s="78" t="s">
        <v>74</v>
      </c>
      <c r="CK2" s="78"/>
      <c r="CL2" s="78"/>
      <c r="CM2" s="78"/>
      <c r="CN2" s="16"/>
      <c r="CO2" s="16" t="s">
        <v>75</v>
      </c>
      <c r="CP2" s="16" t="s">
        <v>76</v>
      </c>
      <c r="CQ2" s="16" t="s">
        <v>72</v>
      </c>
      <c r="CR2" s="16" t="s">
        <v>56</v>
      </c>
      <c r="CS2" s="16" t="s">
        <v>77</v>
      </c>
      <c r="CT2" s="16" t="s">
        <v>14</v>
      </c>
      <c r="CU2" s="54" t="s">
        <v>76</v>
      </c>
      <c r="CV2" s="54" t="s">
        <v>19</v>
      </c>
      <c r="CW2" s="69" t="s">
        <v>70</v>
      </c>
      <c r="CX2" s="69"/>
      <c r="CY2" s="69"/>
      <c r="CZ2" s="69"/>
      <c r="DA2" s="69" t="s">
        <v>71</v>
      </c>
      <c r="DB2" s="69"/>
      <c r="DC2" s="69"/>
      <c r="DD2" s="69"/>
      <c r="DE2" s="69" t="s">
        <v>72</v>
      </c>
      <c r="DF2" s="69"/>
      <c r="DG2" s="69"/>
      <c r="DH2" s="69"/>
      <c r="DI2" s="69" t="s">
        <v>73</v>
      </c>
      <c r="DJ2" s="69"/>
      <c r="DK2" s="69"/>
      <c r="DL2" s="69"/>
      <c r="DM2" s="80" t="s">
        <v>74</v>
      </c>
      <c r="DN2" s="80"/>
      <c r="DO2" s="80"/>
      <c r="DP2" s="80"/>
      <c r="DQ2" s="16" t="s">
        <v>75</v>
      </c>
      <c r="DR2" s="16" t="s">
        <v>76</v>
      </c>
      <c r="DS2" s="16" t="s">
        <v>72</v>
      </c>
      <c r="DT2" s="16" t="s">
        <v>56</v>
      </c>
      <c r="DU2" s="16" t="s">
        <v>77</v>
      </c>
      <c r="DV2" s="16" t="s">
        <v>14</v>
      </c>
      <c r="DW2" s="70" t="s">
        <v>70</v>
      </c>
      <c r="DX2" s="70"/>
      <c r="DY2" s="70"/>
      <c r="DZ2" s="70"/>
      <c r="EA2" s="70" t="s">
        <v>71</v>
      </c>
      <c r="EB2" s="70"/>
      <c r="EC2" s="70"/>
      <c r="ED2" s="70"/>
      <c r="EE2" s="70" t="s">
        <v>72</v>
      </c>
      <c r="EF2" s="70"/>
      <c r="EG2" s="70"/>
      <c r="EH2" s="70"/>
      <c r="EI2" s="70" t="s">
        <v>73</v>
      </c>
      <c r="EJ2" s="70"/>
      <c r="EK2" s="70"/>
      <c r="EL2" s="70"/>
      <c r="EM2" s="79" t="s">
        <v>74</v>
      </c>
      <c r="EN2" s="79"/>
      <c r="EO2" s="79"/>
      <c r="EP2" s="79"/>
      <c r="EQ2" s="17" t="s">
        <v>75</v>
      </c>
      <c r="ER2" s="17" t="s">
        <v>76</v>
      </c>
      <c r="ES2" s="17" t="s">
        <v>72</v>
      </c>
      <c r="ET2" s="17" t="s">
        <v>56</v>
      </c>
      <c r="EU2" s="17" t="s">
        <v>77</v>
      </c>
      <c r="EV2" s="17" t="s">
        <v>14</v>
      </c>
      <c r="EW2" s="69" t="s">
        <v>70</v>
      </c>
      <c r="EX2" s="69"/>
      <c r="EY2" s="69"/>
      <c r="EZ2" s="69"/>
      <c r="FA2" s="69" t="s">
        <v>71</v>
      </c>
      <c r="FB2" s="69"/>
      <c r="FC2" s="69"/>
      <c r="FD2" s="69"/>
      <c r="FE2" s="69" t="s">
        <v>72</v>
      </c>
      <c r="FF2" s="69"/>
      <c r="FG2" s="69"/>
      <c r="FH2" s="69"/>
      <c r="FI2" s="69" t="s">
        <v>73</v>
      </c>
      <c r="FJ2" s="69"/>
      <c r="FK2" s="69"/>
      <c r="FL2" s="69"/>
      <c r="FM2" s="80" t="s">
        <v>74</v>
      </c>
      <c r="FN2" s="80"/>
      <c r="FO2" s="80"/>
      <c r="FP2" s="80"/>
      <c r="FQ2" s="16" t="s">
        <v>75</v>
      </c>
      <c r="FR2" s="16" t="s">
        <v>76</v>
      </c>
      <c r="FS2" s="16" t="s">
        <v>72</v>
      </c>
      <c r="FT2" s="16" t="s">
        <v>56</v>
      </c>
      <c r="FU2" s="16" t="s">
        <v>77</v>
      </c>
      <c r="FV2" s="16" t="s">
        <v>14</v>
      </c>
      <c r="FW2" s="70" t="s">
        <v>70</v>
      </c>
      <c r="FX2" s="70"/>
      <c r="FY2" s="70"/>
      <c r="FZ2" s="70"/>
      <c r="GA2" s="70" t="s">
        <v>71</v>
      </c>
      <c r="GB2" s="70"/>
      <c r="GC2" s="70"/>
      <c r="GD2" s="70"/>
      <c r="GE2" s="70" t="s">
        <v>72</v>
      </c>
      <c r="GF2" s="70"/>
      <c r="GG2" s="70"/>
      <c r="GH2" s="70"/>
      <c r="GI2" s="70" t="s">
        <v>73</v>
      </c>
      <c r="GJ2" s="70"/>
      <c r="GK2" s="70"/>
      <c r="GL2" s="70"/>
      <c r="GM2" s="79" t="s">
        <v>74</v>
      </c>
      <c r="GN2" s="79"/>
      <c r="GO2" s="79"/>
      <c r="GP2" s="79"/>
      <c r="GQ2" s="17" t="s">
        <v>75</v>
      </c>
      <c r="GR2" s="17" t="s">
        <v>76</v>
      </c>
      <c r="GS2" s="17" t="s">
        <v>72</v>
      </c>
      <c r="GT2" s="17" t="s">
        <v>56</v>
      </c>
      <c r="GU2" s="17" t="s">
        <v>77</v>
      </c>
      <c r="GV2" s="17" t="s">
        <v>14</v>
      </c>
      <c r="GW2" s="69" t="s">
        <v>70</v>
      </c>
      <c r="GX2" s="69"/>
      <c r="GY2" s="69"/>
      <c r="GZ2" s="69"/>
      <c r="HA2" s="69" t="s">
        <v>71</v>
      </c>
      <c r="HB2" s="69"/>
      <c r="HC2" s="69"/>
      <c r="HD2" s="69"/>
      <c r="HE2" s="69" t="s">
        <v>72</v>
      </c>
      <c r="HF2" s="69"/>
      <c r="HG2" s="69"/>
      <c r="HH2" s="69"/>
      <c r="HI2" s="69" t="s">
        <v>73</v>
      </c>
      <c r="HJ2" s="69"/>
      <c r="HK2" s="69"/>
      <c r="HL2" s="69"/>
      <c r="HM2" s="80" t="s">
        <v>74</v>
      </c>
      <c r="HN2" s="80"/>
      <c r="HO2" s="80"/>
      <c r="HP2" s="80"/>
      <c r="HQ2" s="16" t="s">
        <v>75</v>
      </c>
      <c r="HR2" s="16" t="s">
        <v>76</v>
      </c>
      <c r="HS2" s="16" t="s">
        <v>72</v>
      </c>
      <c r="HT2" s="16" t="s">
        <v>56</v>
      </c>
      <c r="HU2" s="16" t="s">
        <v>77</v>
      </c>
      <c r="HV2" s="16" t="s">
        <v>14</v>
      </c>
      <c r="HW2" s="70" t="s">
        <v>70</v>
      </c>
      <c r="HX2" s="70"/>
      <c r="HY2" s="70"/>
      <c r="HZ2" s="70"/>
      <c r="IA2" s="70" t="s">
        <v>71</v>
      </c>
      <c r="IB2" s="70"/>
      <c r="IC2" s="70"/>
      <c r="ID2" s="70"/>
      <c r="IE2" s="70" t="s">
        <v>72</v>
      </c>
      <c r="IF2" s="70"/>
      <c r="IG2" s="70"/>
      <c r="IH2" s="70"/>
      <c r="II2" s="70" t="s">
        <v>73</v>
      </c>
      <c r="IJ2" s="70"/>
      <c r="IK2" s="70"/>
      <c r="IL2" s="70"/>
      <c r="IM2" s="79" t="s">
        <v>74</v>
      </c>
      <c r="IN2" s="79"/>
      <c r="IO2" s="79"/>
      <c r="IP2" s="79"/>
      <c r="IQ2" s="17" t="s">
        <v>75</v>
      </c>
      <c r="IR2" s="17" t="s">
        <v>76</v>
      </c>
      <c r="IS2" s="17" t="s">
        <v>72</v>
      </c>
      <c r="IT2" s="17" t="s">
        <v>56</v>
      </c>
      <c r="IU2" s="17" t="s">
        <v>77</v>
      </c>
      <c r="IV2" s="17" t="s">
        <v>14</v>
      </c>
      <c r="IW2" s="69" t="s">
        <v>70</v>
      </c>
      <c r="IX2" s="69"/>
      <c r="IY2" s="69"/>
      <c r="IZ2" s="69"/>
      <c r="JA2" s="69" t="s">
        <v>71</v>
      </c>
      <c r="JB2" s="69"/>
      <c r="JC2" s="69"/>
      <c r="JD2" s="69"/>
      <c r="JE2" s="69" t="s">
        <v>72</v>
      </c>
      <c r="JF2" s="69"/>
      <c r="JG2" s="69"/>
      <c r="JH2" s="69"/>
      <c r="JI2" s="69" t="s">
        <v>73</v>
      </c>
      <c r="JJ2" s="69"/>
      <c r="JK2" s="69"/>
      <c r="JL2" s="69"/>
      <c r="JM2" s="80" t="s">
        <v>74</v>
      </c>
      <c r="JN2" s="80"/>
      <c r="JO2" s="80"/>
      <c r="JP2" s="80"/>
      <c r="JQ2" s="16" t="s">
        <v>75</v>
      </c>
      <c r="JR2" s="16" t="s">
        <v>76</v>
      </c>
      <c r="JS2" s="16" t="s">
        <v>72</v>
      </c>
      <c r="JT2" s="16" t="s">
        <v>56</v>
      </c>
      <c r="JU2" s="16" t="s">
        <v>77</v>
      </c>
      <c r="JV2" s="16" t="s">
        <v>14</v>
      </c>
      <c r="JW2" s="70" t="s">
        <v>70</v>
      </c>
      <c r="JX2" s="70"/>
      <c r="JY2" s="70"/>
      <c r="JZ2" s="70"/>
      <c r="KA2" s="70" t="s">
        <v>71</v>
      </c>
      <c r="KB2" s="70"/>
      <c r="KC2" s="70"/>
      <c r="KD2" s="70"/>
      <c r="KE2" s="70" t="s">
        <v>72</v>
      </c>
      <c r="KF2" s="70"/>
      <c r="KG2" s="70"/>
      <c r="KH2" s="70"/>
      <c r="KI2" s="70" t="s">
        <v>73</v>
      </c>
      <c r="KJ2" s="70"/>
      <c r="KK2" s="70"/>
      <c r="KL2" s="70"/>
      <c r="KM2" s="79" t="s">
        <v>74</v>
      </c>
      <c r="KN2" s="79"/>
      <c r="KO2" s="79"/>
      <c r="KP2" s="79"/>
      <c r="KQ2" s="17" t="s">
        <v>75</v>
      </c>
      <c r="KR2" s="17" t="s">
        <v>76</v>
      </c>
      <c r="KS2" s="17" t="s">
        <v>72</v>
      </c>
      <c r="KT2" s="17" t="s">
        <v>56</v>
      </c>
      <c r="KU2" s="17" t="s">
        <v>77</v>
      </c>
      <c r="KV2" s="17" t="s">
        <v>14</v>
      </c>
      <c r="KW2" s="69" t="s">
        <v>70</v>
      </c>
      <c r="KX2" s="69"/>
      <c r="KY2" s="69"/>
      <c r="KZ2" s="69"/>
      <c r="LA2" s="69" t="s">
        <v>71</v>
      </c>
      <c r="LB2" s="69"/>
      <c r="LC2" s="69"/>
      <c r="LD2" s="69"/>
      <c r="LE2" s="69" t="s">
        <v>72</v>
      </c>
      <c r="LF2" s="69"/>
      <c r="LG2" s="69"/>
      <c r="LH2" s="69"/>
      <c r="LI2" s="69" t="s">
        <v>73</v>
      </c>
      <c r="LJ2" s="69"/>
      <c r="LK2" s="69"/>
      <c r="LL2" s="69"/>
      <c r="LM2" s="80" t="s">
        <v>74</v>
      </c>
      <c r="LN2" s="80"/>
      <c r="LO2" s="80"/>
      <c r="LP2" s="80"/>
      <c r="LQ2" s="16" t="s">
        <v>75</v>
      </c>
      <c r="LR2" s="16" t="s">
        <v>76</v>
      </c>
      <c r="LS2" s="16" t="s">
        <v>72</v>
      </c>
      <c r="LT2" s="16" t="s">
        <v>56</v>
      </c>
      <c r="LU2" s="16" t="s">
        <v>77</v>
      </c>
      <c r="LV2" s="16" t="s">
        <v>14</v>
      </c>
      <c r="LW2" s="70" t="s">
        <v>70</v>
      </c>
      <c r="LX2" s="70"/>
      <c r="LY2" s="70"/>
      <c r="LZ2" s="70"/>
      <c r="MA2" s="70" t="s">
        <v>71</v>
      </c>
      <c r="MB2" s="70"/>
      <c r="MC2" s="70"/>
      <c r="MD2" s="70"/>
      <c r="ME2" s="70" t="s">
        <v>72</v>
      </c>
      <c r="MF2" s="70"/>
      <c r="MG2" s="70"/>
      <c r="MH2" s="70"/>
      <c r="MI2" s="70" t="s">
        <v>73</v>
      </c>
      <c r="MJ2" s="70"/>
      <c r="MK2" s="70"/>
      <c r="ML2" s="70"/>
      <c r="MM2" s="79" t="s">
        <v>74</v>
      </c>
      <c r="MN2" s="79"/>
      <c r="MO2" s="79"/>
      <c r="MP2" s="79"/>
      <c r="MQ2" s="17" t="s">
        <v>75</v>
      </c>
      <c r="MR2" s="17" t="s">
        <v>76</v>
      </c>
      <c r="MS2" s="17" t="s">
        <v>72</v>
      </c>
      <c r="MT2" s="17" t="s">
        <v>56</v>
      </c>
      <c r="MU2" s="17" t="s">
        <v>77</v>
      </c>
      <c r="MV2" s="17" t="s">
        <v>14</v>
      </c>
      <c r="MW2" s="69" t="s">
        <v>70</v>
      </c>
      <c r="MX2" s="69"/>
      <c r="MY2" s="69"/>
      <c r="MZ2" s="69"/>
      <c r="NA2" s="69" t="s">
        <v>71</v>
      </c>
      <c r="NB2" s="69"/>
      <c r="NC2" s="69"/>
      <c r="ND2" s="69"/>
      <c r="NE2" s="69" t="s">
        <v>72</v>
      </c>
      <c r="NF2" s="69"/>
      <c r="NG2" s="69"/>
      <c r="NH2" s="69"/>
      <c r="NI2" s="69" t="s">
        <v>73</v>
      </c>
      <c r="NJ2" s="69"/>
      <c r="NK2" s="69"/>
      <c r="NL2" s="69"/>
      <c r="NM2" s="80" t="s">
        <v>74</v>
      </c>
      <c r="NN2" s="80"/>
      <c r="NO2" s="80"/>
      <c r="NP2" s="80"/>
      <c r="NQ2" s="16" t="s">
        <v>75</v>
      </c>
      <c r="NR2" s="16" t="s">
        <v>76</v>
      </c>
      <c r="NS2" s="16" t="s">
        <v>72</v>
      </c>
      <c r="NT2" s="16" t="s">
        <v>56</v>
      </c>
      <c r="NU2" s="16" t="s">
        <v>77</v>
      </c>
      <c r="NV2" s="16" t="s">
        <v>14</v>
      </c>
      <c r="NW2" s="70" t="s">
        <v>70</v>
      </c>
      <c r="NX2" s="70"/>
      <c r="NY2" s="70"/>
      <c r="NZ2" s="70"/>
      <c r="OA2" s="70" t="s">
        <v>71</v>
      </c>
      <c r="OB2" s="70"/>
      <c r="OC2" s="70"/>
      <c r="OD2" s="70"/>
      <c r="OE2" s="70" t="s">
        <v>72</v>
      </c>
      <c r="OF2" s="70"/>
      <c r="OG2" s="70"/>
      <c r="OH2" s="70"/>
      <c r="OI2" s="70" t="s">
        <v>73</v>
      </c>
      <c r="OJ2" s="70"/>
      <c r="OK2" s="70"/>
      <c r="OL2" s="70"/>
      <c r="OM2" s="79" t="s">
        <v>74</v>
      </c>
      <c r="ON2" s="79"/>
      <c r="OO2" s="79"/>
      <c r="OP2" s="79"/>
      <c r="OQ2" s="17" t="s">
        <v>75</v>
      </c>
      <c r="OR2" s="17" t="s">
        <v>76</v>
      </c>
      <c r="OS2" s="17" t="s">
        <v>72</v>
      </c>
      <c r="OT2" s="17" t="s">
        <v>56</v>
      </c>
      <c r="OU2" s="17" t="s">
        <v>77</v>
      </c>
      <c r="OV2" s="17" t="s">
        <v>14</v>
      </c>
      <c r="OW2" s="69" t="s">
        <v>70</v>
      </c>
      <c r="OX2" s="69"/>
      <c r="OY2" s="69"/>
      <c r="OZ2" s="69"/>
      <c r="PA2" s="69" t="s">
        <v>71</v>
      </c>
      <c r="PB2" s="69"/>
      <c r="PC2" s="69"/>
      <c r="PD2" s="69"/>
      <c r="PE2" s="69" t="s">
        <v>72</v>
      </c>
      <c r="PF2" s="69"/>
      <c r="PG2" s="69"/>
      <c r="PH2" s="69"/>
      <c r="PI2" s="69" t="s">
        <v>73</v>
      </c>
      <c r="PJ2" s="69"/>
      <c r="PK2" s="69"/>
      <c r="PL2" s="69"/>
      <c r="PM2" s="78" t="s">
        <v>74</v>
      </c>
      <c r="PN2" s="78"/>
      <c r="PO2" s="78"/>
      <c r="PP2" s="78"/>
      <c r="PQ2" s="16"/>
      <c r="PR2" s="16" t="s">
        <v>75</v>
      </c>
      <c r="PS2" s="16" t="s">
        <v>76</v>
      </c>
      <c r="PT2" s="16" t="s">
        <v>72</v>
      </c>
      <c r="PU2" s="16" t="s">
        <v>56</v>
      </c>
      <c r="PV2" s="16" t="s">
        <v>77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66</v>
      </c>
      <c r="C4" s="4" t="s">
        <v>67</v>
      </c>
      <c r="D4" s="4">
        <v>2009</v>
      </c>
      <c r="E4" s="10">
        <f>SUM(I4:O4)+SUM(I4:M4)*0.0000001+SUM(I4)*0.0000000000001</f>
        <v>154.20001542000512</v>
      </c>
      <c r="F4" s="3" t="str">
        <f>IF(OR(AND(AM4&gt;=AR$19,AN4&gt;=AR$23,AM4&lt;&gt;"",AL4=""),AND(AP4&gt;=AR$19,AQ4&gt;=AR$23,AP4&lt;&gt;"",AL4=""),AND(BN4&gt;=BS$19,BO4&gt;=BS$23,BN4&lt;&gt;"",BM4=""),AND(BQ4&gt;=BS$19,BR4&gt;=BS$23,BQ4&lt;&gt;"",BM4=""),AND(CO4&gt;=CT$19,CP4&gt;=CT$23,CO4&lt;&gt;"",CN4=""),AND(CR4&gt;=CT$19,CS4&gt;=CT$23,CR4&lt;&gt;""),AND(DQ4&gt;=DV$19,DR4&gt;=DV$23,DQ4&lt;&gt;""),AND(DT4&gt;=DV$19,DU4&gt;=DV$23,DT4&lt;&gt;""),AND(EQ4&gt;=EV$19,ER4&gt;=EV$23,EQ4&lt;&gt;""),AND(ET4&gt;=EV$19,EU4&gt;=EV$23,ET4&lt;&gt;""),AND(FQ4&gt;=FV$19,FR4&gt;=FV$23,FQ4&lt;&gt;""),AND(FT4&gt;=FV$19,FU4&gt;=FV$23,FT4&lt;&gt;""),AND(GQ4&gt;=GV$19,GR4&gt;=GV$23,GQ4&lt;&gt;""),AND(GT4&gt;=GV$19,GU4&gt;=GV$23,GT4&lt;&gt;""),AND(HQ4&gt;=HV$19,HR4&gt;=HV$23,HQ4&lt;&gt;""),AND(HT4&gt;=HV$19,HU4&gt;=HV$23,HT4&lt;&gt;""),AND(IQ4&gt;=IV$19,IR4&gt;=IV$23,IQ4&lt;&gt;""),AND(IT4&gt;=IV$19,IU4&gt;=IV$23,IT4&lt;&gt;""),AND(JQ4&gt;=JV$19,JR4&gt;=JV$23,JQ4&lt;&gt;""),AND(JT4&gt;=JV$19,JU4&gt;=JV$23,JT4&lt;&gt;""),AND(KQ4&gt;=KV$19,KR4&gt;=KV$23,KQ4&lt;&gt;""),AND(KT4&gt;=KV$19,KU4&gt;=KV$23,KT4&lt;&gt;""),AND(LQ4&gt;=LV$19,LR4&gt;=LV$23,LQ4&lt;&gt;""),AND(LT4&gt;=LV$19,LU4&gt;=LV$23,LT4&lt;&gt;""),AND(MQ4&gt;=MV$19,MR4&gt;=MV$23,MQ4&lt;&gt;""),AND(MT4&gt;=MV$19,MU4&gt;=MV$23,MT4&lt;&gt;""),AND(NQ4&gt;=NV$19,NR4&gt;=NV$23,NQ4&lt;&gt;""),AND(NT4&gt;=NV$19,NU4&gt;=NV$23,NT4&lt;&gt;""),AND(OQ4&gt;=OV$19,OR4&gt;=OV$23,OQ4&lt;&gt;""),AND(OT4&gt;=OV$19,OU4&gt;=OV$23,OT4&lt;&gt;"")),"P","")</f>
        <v>P</v>
      </c>
      <c r="G4" s="3" t="str">
        <f>IF(OR(AND(AN4&gt;=AR$23,AN4&lt;&gt;"",AL4=""),AND(AQ4&gt;=AR$23,AQ4&lt;&gt;"",AL4=""),AND(BO4&gt;=BS$23,BO4&lt;&gt;"",BM4=""),AND(BR4&gt;=BS$23,BR4&lt;&gt;"",BM4=""),AND(CP4&gt;=CT$23,CP4&lt;&gt;"",CN4=""),AND(CS4&gt;=CT$23,CS4&lt;&gt;"",CN4=""),AND(DR4&gt;=DV$23,DR4&lt;&gt;""),AND(DU4&gt;=DV$23,DU4&lt;&gt;""),AND(ER4&gt;=EV$23,ER4&lt;&gt;""),AND(EU4&gt;=EV$23,EU4&lt;&gt;""),AND(FR4&gt;=FV$23,FR4&lt;&gt;""),AND(FU4&gt;=FV$23,FU4&lt;&gt;""),AND(GR4&gt;=GV$23,GR4&lt;&gt;""),AND(GU4&gt;=GV$23,GU4&lt;&gt;""),AND(HR4&gt;=HV$23,HR4&lt;&gt;""),AND(HU4&gt;=HV$23,HU4&lt;&gt;""),AND(IR4&gt;=IV$23,IR4&lt;&gt;""),AND(IU4&gt;=IV$23,IU4&lt;&gt;""),AND(JR4&gt;=JV$23,JR4&lt;&gt;""),AND(JU4&gt;=JV$23,JU4&lt;&gt;""),AND(KR4&gt;=KV$23,KR4&lt;&gt;""),AND(KU4&gt;=KV$23,KU4&lt;&gt;""),AND(LR4&gt;=LV$23,LR4&lt;&gt;""),AND(LU4&gt;=LV$23,LU4&lt;&gt;""),AND(MR4&gt;=MV$23,MR4&lt;&gt;""),AND(MU4&gt;=MV$23,MU4&lt;&gt;""),AND(NR4&gt;=NV$23,NR4&lt;&gt;""),AND(NU4&gt;=NV$23,NU4&lt;&gt;""),AND(OR4&gt;=OV$23,OR4&lt;&gt;""),AND(OU4&gt;=OV$23,OU4&lt;&gt;"")),"P","")</f>
        <v>P</v>
      </c>
      <c r="H4" s="47" t="str">
        <f>IF(AND(G4="P",F4=""),"No DD",IF(OR(AND(AM4&gt;=AR$22,AN4&gt;=AR$26,AM4&lt;&gt;"",AL4=""),AND(AP4&gt;=AR$22,AQ4&gt;=AR$26,AP4&lt;&gt;"",AL4=""),AND(BN4&gt;=BS$22,BO4&gt;=BS$26,BN4&lt;&gt;"",BM4=""),AND(BQ4&gt;=BS$22,BR4&gt;=BS$26,BQ4&lt;&gt;"",BM4=""),AND(CO4&gt;=CT$22,CP4&gt;=CT$26,CO4&lt;&gt;"",CN4=""),AND(CR4&gt;=CT$22,CS4&gt;=CT$26,CR4&lt;&gt;""),AND(DQ4&gt;=DV$22,DR4&gt;=DV$26,DQ4&lt;&gt;""),AND(DT4&gt;=DV$22,DU4&gt;=DV$26,DT4&lt;&gt;""),AND(EQ4&gt;=EV$22,ER4&gt;=EV$26,EQ4&lt;&gt;""),AND(ET4&gt;=EV$22,EU4&gt;=EV$26,ET4&lt;&gt;""),AND(FQ4&gt;=FV$22,FR4&gt;=FV$26,FQ4&lt;&gt;""),AND(FT4&gt;=FV$22,FU4&gt;=FV$26,FT4&lt;&gt;""),AND(GQ4&gt;=GV$22,GR4&gt;=GV$26,GQ4&lt;&gt;""),AND(GT4&gt;=GV$22,GU4&gt;=GV$26,GT4&lt;&gt;""),AND(HQ4&gt;=HV$22,HR4&gt;=HV$26,HQ4&lt;&gt;""),AND(HT4&gt;=HV$22,HU4&gt;=HV$26,HT4&lt;&gt;""),AND(IQ4&gt;=IV$22,IR4&gt;=IV$26,IQ4&lt;&gt;""),AND(IT4&gt;=IV$22,IU4&gt;=IV$26,IT4&lt;&gt;""),AND(JQ4&gt;=JV$22,JR4&gt;=JV$26,JQ4&lt;&gt;""),AND(JT4&gt;=JV$22,JU4&gt;=JV$26,JT4&lt;&gt;""),AND(KQ4&gt;=KV$22,KR4&gt;=KV$26,KQ4&lt;&gt;""),AND(KT4&gt;=KV$22,KU4&gt;=KV$26,KT4&lt;&gt;""),AND(LQ4&gt;=LV$22,LR4&gt;=LV$26,LQ4&lt;&gt;""),AND(LT4&gt;=LV$22,LU4&gt;=LV$26,LT4&lt;&gt;""),AND(MQ4&gt;=MV$22,MR4&gt;=MV$26,MQ4&lt;&gt;""),AND(MT4&gt;=MV$22,MU4&gt;=MV$26,MT4&lt;&gt;""),AND(NQ4&gt;=NV$22,NR4&gt;=NV$26,NQ4&lt;&gt;""),AND(NT4&gt;=NV$22,NU4&gt;=NV$26,NT4&lt;&gt;""),AND(OQ4&gt;=OV$22,OR4&gt;=OV$26,OQ4&lt;&gt;""),AND(OT4&gt;=OV$22,OU4&gt;=OV$26,OT4&lt;&gt;"")),"Merit",IF(OR(AND(AM4&gt;=AR$21,AN4&gt;=AR$25,AM4&lt;&gt;"",AL4=""),AND(AP4&gt;=AR$21,AQ4&gt;=AR$25,AP4&lt;&gt;"",AL4=""),AND(BN4&gt;=BS$21,BO4&gt;=BS$25,BN4&lt;&gt;"",BM4=""),AND(BQ4&gt;=BS$21,BR4&gt;=BS$25,BQ4&lt;&gt;"",BM4=""),AND(CO4&gt;=CT$21,CP4&gt;=CT$25,CO4&lt;&gt;"",CN4=""),AND(CR4&gt;=CT$21,CS4&gt;=CT$25,CR4&lt;&gt;""),AND(DQ4&gt;=DV$21,DR4&gt;=DV$25,DQ4&lt;&gt;""),AND(DT4&gt;=DV$21,DU4&gt;=DV$25,DT4&lt;&gt;""),AND(EQ4&gt;=EV$21,ER4&gt;=EV$25,EQ4&lt;&gt;""),AND(ET4&gt;=EV$21,EU4&gt;=EV$25,ET4&lt;&gt;""),AND(FQ4&gt;=FV$21,FR4&gt;=FV$25,FQ4&lt;&gt;""),AND(FT4&gt;=FV$21,FU4&gt;=FV$25,FT4&lt;&gt;""),AND(GQ4&gt;=GV$21,GR4&gt;=GV$25,GQ4&lt;&gt;""),AND(GT4&gt;=GV$21,GU4&gt;=GV$25,GT4&lt;&gt;""),AND(HQ4&gt;=HV$21,HR4&gt;=HV$25,HQ4&lt;&gt;""),AND(HT4&gt;=HV$21,HU4&gt;=HV$25,HT4&lt;&gt;""),AND(IQ4&gt;=IV$21,IR4&gt;=IV$25,IQ4&lt;&gt;""),AND(IT4&gt;=IV$21,IU4&gt;=IV$25,IT4&lt;&gt;""),AND(JQ4&gt;=JV$21,JR4&gt;=JV$25,JQ4&lt;&gt;""),AND(JT4&gt;=JV$21,JU4&gt;=JV$25,JT4&lt;&gt;""),AND(KQ4&gt;=KV$21,KR4&gt;=KV$25,KQ4&lt;&gt;""),AND(KT4&gt;=KV$21,KU4&gt;=KV$25,KT4&lt;&gt;""),AND(LQ4&gt;=LV$21,LR4&gt;=LV$25,LQ4&lt;&gt;""),AND(LT4&gt;=LV$21,LU4&gt;=LV$25,LT4&lt;&gt;""),AND(MQ4&gt;=MV$21,MR4&gt;=MV$25,MQ4&lt;&gt;""),AND(MT4&gt;=MV$21,MU4&gt;=MV$25,MT4&lt;&gt;""),AND(NQ4&gt;=NV$21,NR4&gt;=NV$25,NQ4&lt;&gt;""),AND(NT4&gt;=NV$21,NU4&gt;=NV$25,NT4&lt;&gt;""),AND(OQ4&gt;=OV$21,OR4&gt;=OV$25,OQ4&lt;&gt;""),AND(OT4&gt;=OV$21,OU4&gt;=OV$25,OT4&lt;&gt;"")),"Excellence",IF(F4="P","National Team",""))))</f>
        <v>National Team</v>
      </c>
      <c r="I4" s="9">
        <f>IF(COUNT(AN4,BO4,CP4)&gt;0,LARGE((AN4,BO4,CP4),1),0)</f>
        <v>51.199999999999996</v>
      </c>
      <c r="J4" s="9" t="str">
        <f>IF(I4=0,"",IF(I4=CP4,$BT$1,IF(I4=BO4,$AS$1,IF(I4=AN4,$R$1,""))))</f>
        <v>2025 Elite Canada</v>
      </c>
      <c r="K4" s="9">
        <f>IF(COUNT(AN4,BO4,CP4)&gt;1,LARGE((AN4,BO4,CP4),2),0)</f>
        <v>50.9</v>
      </c>
      <c r="L4" s="9" t="str">
        <f>IF(K4=0,"",IF(AND(K4=I4,K4=AN4,K4=BO4),$R$1,IF(AND(K4=I4,K4=AN4,K4=CP4),$R$1,IF(AND(K4=I4,K4=CP4,K4=BO4),$AS$1,IF(K4=CP4,$BT$1,IF(K4=BO4,$AS$1,IF(K4=AN4,$R$1,"")))))))</f>
        <v>2025 Nationals</v>
      </c>
      <c r="M4" s="9">
        <f>IF(MAX(AQ4,BR4,CS4)&gt;0,MAX(AQ4,BR4,CS4),0)</f>
        <v>52.1</v>
      </c>
      <c r="N4" s="9" t="str">
        <f>IF(M4=0,"",IF(M4=CS4,$BT$1,IF(M4=BR4,$AS$1,IF(M4=AQ4,$R$1,""))))</f>
        <v>2025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19</v>
      </c>
      <c r="S4" s="20">
        <v>6.4</v>
      </c>
      <c r="T4" s="20">
        <v>0</v>
      </c>
      <c r="U4" s="20">
        <v>0</v>
      </c>
      <c r="V4" s="20">
        <v>19</v>
      </c>
      <c r="W4" s="20">
        <v>6.8</v>
      </c>
      <c r="X4" s="20">
        <v>0</v>
      </c>
      <c r="Y4" s="20">
        <v>0</v>
      </c>
      <c r="Z4" s="20"/>
      <c r="AA4" s="20"/>
      <c r="AB4" s="20"/>
      <c r="AC4" s="20"/>
      <c r="AD4" s="20">
        <v>18.7</v>
      </c>
      <c r="AE4" s="20">
        <v>6.4</v>
      </c>
      <c r="AF4" s="20">
        <v>0</v>
      </c>
      <c r="AG4" s="20">
        <v>0</v>
      </c>
      <c r="AH4" s="20">
        <v>18.5</v>
      </c>
      <c r="AI4" s="20">
        <v>7.6</v>
      </c>
      <c r="AJ4" s="20">
        <v>0.2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51.199999999999996</v>
      </c>
      <c r="AO4" s="55" t="str">
        <f>IF(SUM(Z4:AA4,AC4)-AB4&gt;0,SUM(Z4:AA4,AC4)-AB4,"")</f>
        <v/>
      </c>
      <c r="AP4" s="55">
        <f>IF(SUM(AE4,AI4)&gt;0,SUM(AE4,AI4),"")</f>
        <v>14</v>
      </c>
      <c r="AQ4" s="55">
        <f>IF(SUM(AD4:AE4,AG4:AI4,AK4)-SUM(AF4,AJ4)&gt;0,SUM(AD4:AE4,AG4:AI4,AK4)-SUM(AF4,AJ4),"")</f>
        <v>51</v>
      </c>
      <c r="AR4" s="55">
        <f>IF(SUM(AN4,AO4,AQ4)&gt;0,SUM(AN4,AO4,AQ4),"")</f>
        <v>102.19999999999999</v>
      </c>
      <c r="AS4" s="19">
        <v>19.2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0.6</v>
      </c>
      <c r="AZ4" s="19">
        <v>0</v>
      </c>
      <c r="BA4" s="19"/>
      <c r="BB4" s="19"/>
      <c r="BC4" s="19"/>
      <c r="BD4" s="19"/>
      <c r="BE4" s="19">
        <v>18.7</v>
      </c>
      <c r="BF4" s="19">
        <v>6.8</v>
      </c>
      <c r="BG4" s="19">
        <v>0</v>
      </c>
      <c r="BH4" s="19">
        <v>0</v>
      </c>
      <c r="BI4" s="19">
        <v>18.600000000000001</v>
      </c>
      <c r="BJ4" s="19">
        <v>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50.9</v>
      </c>
      <c r="BP4" s="14" t="str">
        <f>IF(SUM(BA4:BB4,BD4)-BC4&gt;0,SUM(BA4:BB4,BD4)-BC4,"")</f>
        <v/>
      </c>
      <c r="BQ4" s="14">
        <f>IF(SUM(BF4,BJ4)&gt;0,SUM(BF4,BJ4),"")</f>
        <v>14.8</v>
      </c>
      <c r="BR4" s="14">
        <f>IF(SUM(BE4:BF4,BH4:BJ4,BL4)-SUM(BG4,BK4)&gt;0,SUM(BE4:BF4,BH4:BJ4,BL4)-SUM(BG4,BK4),"")</f>
        <v>52.1</v>
      </c>
      <c r="BS4" s="14">
        <f>IF(SUM(BO4,BP4,BR4)&gt;0,SUM(BO4,BP4,BR4),"")</f>
        <v>103</v>
      </c>
      <c r="BT4" s="20">
        <v>18.8</v>
      </c>
      <c r="BU4" s="20">
        <v>6.4</v>
      </c>
      <c r="BV4" s="20">
        <v>0</v>
      </c>
      <c r="BW4" s="20">
        <v>0</v>
      </c>
      <c r="BX4" s="20">
        <v>15.3</v>
      </c>
      <c r="BY4" s="20">
        <v>3.2</v>
      </c>
      <c r="BZ4" s="20">
        <v>0</v>
      </c>
      <c r="CA4" s="20">
        <v>0</v>
      </c>
      <c r="CB4" s="20"/>
      <c r="CC4" s="20"/>
      <c r="CD4" s="20"/>
      <c r="CE4" s="20"/>
      <c r="CF4" s="20">
        <v>18.100000000000001</v>
      </c>
      <c r="CG4" s="20">
        <v>4.8</v>
      </c>
      <c r="CH4" s="20">
        <v>0</v>
      </c>
      <c r="CI4" s="20">
        <v>0</v>
      </c>
      <c r="CJ4" s="20">
        <v>18.8</v>
      </c>
      <c r="CK4" s="20">
        <v>5.2</v>
      </c>
      <c r="CL4" s="20">
        <v>0.2</v>
      </c>
      <c r="CM4" s="20">
        <v>0</v>
      </c>
      <c r="CN4" s="32"/>
      <c r="CO4" s="55">
        <f>IF(SUM(BU4,BY4)&gt;0,SUM(BU4,BY4),"")</f>
        <v>9.6000000000000014</v>
      </c>
      <c r="CP4" s="55">
        <f>IF(SUM(BT4:BU4,BW4:BY4,CA4)-BV4-BZ4&gt;0,SUM(BT4:BU4,BW4:BY4,CA4)-BV4-BZ4,"")</f>
        <v>43.7</v>
      </c>
      <c r="CQ4" s="55" t="str">
        <f>IF(SUM(CB4:CC4,CE4)-CD4&gt;0,SUM(CB4:CC4,CE4)-CD4,"")</f>
        <v/>
      </c>
      <c r="CR4" s="55">
        <f>IF(SUM(CG4,CK4)&gt;0,SUM(CG4,CK4),"")</f>
        <v>10</v>
      </c>
      <c r="CS4" s="55">
        <f>IF(SUM(CF4:CG4,CI4:CK4,CM4)-SUM(CH4,CL4)&gt;0,SUM(CF4:CG4,CI4:CK4,CM4)-SUM(CH4,CL4),"")</f>
        <v>46.7</v>
      </c>
      <c r="CT4" s="55">
        <f>IF(SUM(CP4,CQ4,CS4)&gt;0,SUM(CP4,CQ4,CS4),"")</f>
        <v>90.4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</v>
      </c>
      <c r="OX4" s="27">
        <f>IF($CN4="P",BU4,(BU4+AT4)/2)</f>
        <v>6.4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17.200000000000003</v>
      </c>
      <c r="PB4" s="27">
        <f>IF($CN4="P",BY4,(BY4+AX4)/2)</f>
        <v>5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0</v>
      </c>
      <c r="PF4" s="27">
        <f>IF($CN4="P",CC4,(CC4+BB4)/2)</f>
        <v>0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18.399999999999999</v>
      </c>
      <c r="PJ4" s="27">
        <f>IF($CN4="P",CG4,(CG4+BF4)/2)</f>
        <v>5.8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18.700000000000003</v>
      </c>
      <c r="PN4" s="27">
        <f>IF($CN4="P",CK4,(CK4+BJ4)/2)</f>
        <v>6.6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11.4</v>
      </c>
      <c r="PS4" s="55">
        <f>IF(SUM(OW4:OX4,OZ4:PB4,PD4)-OY4-PC4&gt;0,SUM(OW4:OX4,OZ4:PB4,PD4)-OY4-PC4,"")</f>
        <v>47.300000000000004</v>
      </c>
      <c r="PT4" s="55" t="str">
        <f>IF(SUM(PE4:PF4,PH4)-PG4&gt;0,SUM(PE4:PF4,PH4)-PG4,"")</f>
        <v/>
      </c>
      <c r="PU4" s="55">
        <f>IF(SUM(PJ4,PN4)&gt;0,SUM(PJ4,PN4),"")</f>
        <v>12.399999999999999</v>
      </c>
      <c r="PV4" s="55">
        <f>IF(SUM(PI4:PJ4,PL4:PN4,PP4)-SUM(PK4,PO4)&gt;0,SUM(PI4:PJ4,PL4:PN4,PP4)-SUM(PK4,PO4),"")</f>
        <v>49.400000000000006</v>
      </c>
      <c r="PW4" s="55">
        <f>IF(SUM(PS4,PT4,PV4)&gt;0,SUM(PS4,PT4,PV4),"")</f>
        <v>96.700000000000017</v>
      </c>
    </row>
    <row r="5" spans="1:43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79</v>
      </c>
      <c r="C5" s="4" t="s">
        <v>67</v>
      </c>
      <c r="D5" s="4">
        <v>2009</v>
      </c>
      <c r="E5" s="10">
        <f>SUM(I5:O5)+SUM(I5:M5)*0.0000001+SUM(I5)*0.0000000000001</f>
        <v>143.90001439000486</v>
      </c>
      <c r="F5" s="3" t="str">
        <f>IF(OR(AND(AM5&gt;=AR$19,AN5&gt;=AR$23,AM5&lt;&gt;"",AL5=""),AND(AP5&gt;=AR$19,AQ5&gt;=AR$23,AP5&lt;&gt;"",AL5=""),AND(BN5&gt;=BS$19,BO5&gt;=BS$23,BN5&lt;&gt;"",BM5=""),AND(BQ5&gt;=BS$19,BR5&gt;=BS$23,BQ5&lt;&gt;"",BM5=""),AND(CO5&gt;=CT$19,CP5&gt;=CT$23,CO5&lt;&gt;"",CN5=""),AND(CR5&gt;=CT$19,CS5&gt;=CT$23,CR5&lt;&gt;""),AND(DQ5&gt;=DV$19,DR5&gt;=DV$23,DQ5&lt;&gt;""),AND(DT5&gt;=DV$19,DU5&gt;=DV$23,DT5&lt;&gt;""),AND(EQ5&gt;=EV$19,ER5&gt;=EV$23,EQ5&lt;&gt;""),AND(ET5&gt;=EV$19,EU5&gt;=EV$23,ET5&lt;&gt;""),AND(FQ5&gt;=FV$19,FR5&gt;=FV$23,FQ5&lt;&gt;""),AND(FT5&gt;=FV$19,FU5&gt;=FV$23,FT5&lt;&gt;""),AND(GQ5&gt;=GV$19,GR5&gt;=GV$23,GQ5&lt;&gt;""),AND(GT5&gt;=GV$19,GU5&gt;=GV$23,GT5&lt;&gt;""),AND(HQ5&gt;=HV$19,HR5&gt;=HV$23,HQ5&lt;&gt;""),AND(HT5&gt;=HV$19,HU5&gt;=HV$23,HT5&lt;&gt;""),AND(IQ5&gt;=IV$19,IR5&gt;=IV$23,IQ5&lt;&gt;""),AND(IT5&gt;=IV$19,IU5&gt;=IV$23,IT5&lt;&gt;""),AND(JQ5&gt;=JV$19,JR5&gt;=JV$23,JQ5&lt;&gt;""),AND(JT5&gt;=JV$19,JU5&gt;=JV$23,JT5&lt;&gt;""),AND(KQ5&gt;=KV$19,KR5&gt;=KV$23,KQ5&lt;&gt;""),AND(KT5&gt;=KV$19,KU5&gt;=KV$23,KT5&lt;&gt;""),AND(LQ5&gt;=LV$19,LR5&gt;=LV$23,LQ5&lt;&gt;""),AND(LT5&gt;=LV$19,LU5&gt;=LV$23,LT5&lt;&gt;""),AND(MQ5&gt;=MV$19,MR5&gt;=MV$23,MQ5&lt;&gt;""),AND(MT5&gt;=MV$19,MU5&gt;=MV$23,MT5&lt;&gt;""),AND(NQ5&gt;=NV$19,NR5&gt;=NV$23,NQ5&lt;&gt;""),AND(NT5&gt;=NV$19,NU5&gt;=NV$23,NT5&lt;&gt;""),AND(OQ5&gt;=OV$19,OR5&gt;=OV$23,OQ5&lt;&gt;""),AND(OT5&gt;=OV$19,OU5&gt;=OV$23,OT5&lt;&gt;"")),"P","")</f>
        <v>P</v>
      </c>
      <c r="G5" s="3" t="str">
        <f>IF(OR(AND(AN5&gt;=AR$23,AN5&lt;&gt;"",AL5=""),AND(AQ5&gt;=AR$23,AQ5&lt;&gt;"",AL5=""),AND(BO5&gt;=BS$23,BO5&lt;&gt;"",BM5=""),AND(BR5&gt;=BS$23,BR5&lt;&gt;"",BM5=""),AND(CP5&gt;=CT$23,CP5&lt;&gt;"",CN5=""),AND(CS5&gt;=CT$23,CS5&lt;&gt;"",CN5=""),AND(DR5&gt;=DV$23,DR5&lt;&gt;""),AND(DU5&gt;=DV$23,DU5&lt;&gt;""),AND(ER5&gt;=EV$23,ER5&lt;&gt;""),AND(EU5&gt;=EV$23,EU5&lt;&gt;""),AND(FR5&gt;=FV$23,FR5&lt;&gt;""),AND(FU5&gt;=FV$23,FU5&lt;&gt;""),AND(GR5&gt;=GV$23,GR5&lt;&gt;""),AND(GU5&gt;=GV$23,GU5&lt;&gt;""),AND(HR5&gt;=HV$23,HR5&lt;&gt;""),AND(HU5&gt;=HV$23,HU5&lt;&gt;""),AND(IR5&gt;=IV$23,IR5&lt;&gt;""),AND(IU5&gt;=IV$23,IU5&lt;&gt;""),AND(JR5&gt;=JV$23,JR5&lt;&gt;""),AND(JU5&gt;=JV$23,JU5&lt;&gt;""),AND(KR5&gt;=KV$23,KR5&lt;&gt;""),AND(KU5&gt;=KV$23,KU5&lt;&gt;""),AND(LR5&gt;=LV$23,LR5&lt;&gt;""),AND(LU5&gt;=LV$23,LU5&lt;&gt;""),AND(MR5&gt;=MV$23,MR5&lt;&gt;""),AND(MU5&gt;=MV$23,MU5&lt;&gt;""),AND(NR5&gt;=NV$23,NR5&lt;&gt;""),AND(NU5&gt;=NV$23,NU5&lt;&gt;""),AND(OR5&gt;=OV$23,OR5&lt;&gt;""),AND(OU5&gt;=OV$23,OU5&lt;&gt;"")),"P","")</f>
        <v>P</v>
      </c>
      <c r="H5" s="47" t="str">
        <f>IF(AND(G5="P",F5=""),"No DD",IF(OR(AND(AM5&gt;=AR$22,AN5&gt;=AR$26,AM5&lt;&gt;"",AL5=""),AND(AP5&gt;=AR$22,AQ5&gt;=AR$26,AP5&lt;&gt;"",AL5=""),AND(BN5&gt;=BS$22,BO5&gt;=BS$26,BN5&lt;&gt;"",BM5=""),AND(BQ5&gt;=BS$22,BR5&gt;=BS$26,BQ5&lt;&gt;"",BM5=""),AND(CO5&gt;=CT$22,CP5&gt;=CT$26,CO5&lt;&gt;"",CN5=""),AND(CR5&gt;=CT$22,CS5&gt;=CT$26,CR5&lt;&gt;""),AND(DQ5&gt;=DV$22,DR5&gt;=DV$26,DQ5&lt;&gt;""),AND(DT5&gt;=DV$22,DU5&gt;=DV$26,DT5&lt;&gt;""),AND(EQ5&gt;=EV$22,ER5&gt;=EV$26,EQ5&lt;&gt;""),AND(ET5&gt;=EV$22,EU5&gt;=EV$26,ET5&lt;&gt;""),AND(FQ5&gt;=FV$22,FR5&gt;=FV$26,FQ5&lt;&gt;""),AND(FT5&gt;=FV$22,FU5&gt;=FV$26,FT5&lt;&gt;""),AND(GQ5&gt;=GV$22,GR5&gt;=GV$26,GQ5&lt;&gt;""),AND(GT5&gt;=GV$22,GU5&gt;=GV$26,GT5&lt;&gt;""),AND(HQ5&gt;=HV$22,HR5&gt;=HV$26,HQ5&lt;&gt;""),AND(HT5&gt;=HV$22,HU5&gt;=HV$26,HT5&lt;&gt;""),AND(IQ5&gt;=IV$22,IR5&gt;=IV$26,IQ5&lt;&gt;""),AND(IT5&gt;=IV$22,IU5&gt;=IV$26,IT5&lt;&gt;""),AND(JQ5&gt;=JV$22,JR5&gt;=JV$26,JQ5&lt;&gt;""),AND(JT5&gt;=JV$22,JU5&gt;=JV$26,JT5&lt;&gt;""),AND(KQ5&gt;=KV$22,KR5&gt;=KV$26,KQ5&lt;&gt;""),AND(KT5&gt;=KV$22,KU5&gt;=KV$26,KT5&lt;&gt;""),AND(LQ5&gt;=LV$22,LR5&gt;=LV$26,LQ5&lt;&gt;""),AND(LT5&gt;=LV$22,LU5&gt;=LV$26,LT5&lt;&gt;""),AND(MQ5&gt;=MV$22,MR5&gt;=MV$26,MQ5&lt;&gt;""),AND(MT5&gt;=MV$22,MU5&gt;=MV$26,MT5&lt;&gt;""),AND(NQ5&gt;=NV$22,NR5&gt;=NV$26,NQ5&lt;&gt;""),AND(NT5&gt;=NV$22,NU5&gt;=NV$26,NT5&lt;&gt;""),AND(OQ5&gt;=OV$22,OR5&gt;=OV$26,OQ5&lt;&gt;""),AND(OT5&gt;=OV$22,OU5&gt;=OV$26,OT5&lt;&gt;"")),"Merit",IF(OR(AND(AM5&gt;=AR$21,AN5&gt;=AR$25,AM5&lt;&gt;"",AL5=""),AND(AP5&gt;=AR$21,AQ5&gt;=AR$25,AP5&lt;&gt;"",AL5=""),AND(BN5&gt;=BS$21,BO5&gt;=BS$25,BN5&lt;&gt;"",BM5=""),AND(BQ5&gt;=BS$21,BR5&gt;=BS$25,BQ5&lt;&gt;"",BM5=""),AND(CO5&gt;=CT$21,CP5&gt;=CT$25,CO5&lt;&gt;"",CN5=""),AND(CR5&gt;=CT$21,CS5&gt;=CT$25,CR5&lt;&gt;""),AND(DQ5&gt;=DV$21,DR5&gt;=DV$25,DQ5&lt;&gt;""),AND(DT5&gt;=DV$21,DU5&gt;=DV$25,DT5&lt;&gt;""),AND(EQ5&gt;=EV$21,ER5&gt;=EV$25,EQ5&lt;&gt;""),AND(ET5&gt;=EV$21,EU5&gt;=EV$25,ET5&lt;&gt;""),AND(FQ5&gt;=FV$21,FR5&gt;=FV$25,FQ5&lt;&gt;""),AND(FT5&gt;=FV$21,FU5&gt;=FV$25,FT5&lt;&gt;""),AND(GQ5&gt;=GV$21,GR5&gt;=GV$25,GQ5&lt;&gt;""),AND(GT5&gt;=GV$21,GU5&gt;=GV$25,GT5&lt;&gt;""),AND(HQ5&gt;=HV$21,HR5&gt;=HV$25,HQ5&lt;&gt;""),AND(HT5&gt;=HV$21,HU5&gt;=HV$25,HT5&lt;&gt;""),AND(IQ5&gt;=IV$21,IR5&gt;=IV$25,IQ5&lt;&gt;""),AND(IT5&gt;=IV$21,IU5&gt;=IV$25,IT5&lt;&gt;""),AND(JQ5&gt;=JV$21,JR5&gt;=JV$25,JQ5&lt;&gt;""),AND(JT5&gt;=JV$21,JU5&gt;=JV$25,JT5&lt;&gt;""),AND(KQ5&gt;=KV$21,KR5&gt;=KV$25,KQ5&lt;&gt;""),AND(KT5&gt;=KV$21,KU5&gt;=KV$25,KT5&lt;&gt;""),AND(LQ5&gt;=LV$21,LR5&gt;=LV$25,LQ5&lt;&gt;""),AND(LT5&gt;=LV$21,LU5&gt;=LV$25,LT5&lt;&gt;""),AND(MQ5&gt;=MV$21,MR5&gt;=MV$25,MQ5&lt;&gt;""),AND(MT5&gt;=MV$21,MU5&gt;=MV$25,MT5&lt;&gt;""),AND(NQ5&gt;=NV$21,NR5&gt;=NV$25,NQ5&lt;&gt;""),AND(NT5&gt;=NV$21,NU5&gt;=NV$25,NT5&lt;&gt;""),AND(OQ5&gt;=OV$21,OR5&gt;=OV$25,OQ5&lt;&gt;""),AND(OT5&gt;=OV$21,OU5&gt;=OV$25,OT5&lt;&gt;"")),"Excellence",IF(F5="P","National Team",""))))</f>
        <v>National Team</v>
      </c>
      <c r="I5" s="9">
        <f>IF(COUNT(AN5,BO5,CP5)&gt;0,LARGE((AN5,BO5,CP5),1),0)</f>
        <v>48.800000000000004</v>
      </c>
      <c r="J5" s="9" t="str">
        <f>IF(I5=0,"",IF(I5=CP5,$BT$1,IF(I5=BO5,$AS$1,IF(I5=AN5,$R$1,""))))</f>
        <v>2025 Elite Canada</v>
      </c>
      <c r="K5" s="9">
        <f>IF(COUNT(AN5,BO5,CP5)&gt;1,LARGE((AN5,BO5,CP5),2),0)</f>
        <v>46.8</v>
      </c>
      <c r="L5" s="9" t="str">
        <f>IF(K5=0,"",IF(AND(K5=I5,K5=AN5,K5=BO5),$R$1,IF(AND(K5=I5,K5=AN5,K5=CP5),$R$1,IF(AND(K5=I5,K5=CP5,K5=BO5),$AS$1,IF(K5=CP5,$BT$1,IF(K5=BO5,$AS$1,IF(K5=AN5,$R$1,"")))))))</f>
        <v>2025 Nationals</v>
      </c>
      <c r="M5" s="9">
        <f>IF(MAX(AQ5,BR5,CS5)&gt;0,MAX(AQ5,BR5,CS5),0)</f>
        <v>48.3</v>
      </c>
      <c r="N5" s="9" t="str">
        <f>IF(M5=0,"",IF(M5=CS5,$BT$1,IF(M5=BR5,$AS$1,IF(M5=AQ5,$R$1,""))))</f>
        <v>2025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18.600000000000001</v>
      </c>
      <c r="S5" s="20">
        <v>5.6</v>
      </c>
      <c r="T5" s="20">
        <v>0</v>
      </c>
      <c r="U5" s="20">
        <v>0</v>
      </c>
      <c r="V5" s="20">
        <v>18.600000000000001</v>
      </c>
      <c r="W5" s="20">
        <v>6</v>
      </c>
      <c r="X5" s="20">
        <v>0</v>
      </c>
      <c r="Y5" s="20">
        <v>0</v>
      </c>
      <c r="Z5" s="20"/>
      <c r="AA5" s="20"/>
      <c r="AB5" s="20"/>
      <c r="AC5" s="20"/>
      <c r="AD5" s="20">
        <v>18.2</v>
      </c>
      <c r="AE5" s="20">
        <v>5.6</v>
      </c>
      <c r="AF5" s="20">
        <v>0.2</v>
      </c>
      <c r="AG5" s="20">
        <v>0</v>
      </c>
      <c r="AH5" s="20">
        <v>18</v>
      </c>
      <c r="AI5" s="20">
        <v>5.2</v>
      </c>
      <c r="AJ5" s="20">
        <v>0.2</v>
      </c>
      <c r="AK5" s="20">
        <v>0</v>
      </c>
      <c r="AL5" s="32"/>
      <c r="AM5" s="55">
        <f>IF(SUM(S5,W5)&gt;0,SUM(S5,W5),"")</f>
        <v>11.6</v>
      </c>
      <c r="AN5" s="55">
        <f>IF(SUM(R5:S5,U5:W5,Y5)-T5-X5&gt;0,SUM(R5:S5,U5:W5,Y5)-T5-X5,"")</f>
        <v>48.800000000000004</v>
      </c>
      <c r="AO5" s="55" t="str">
        <f>IF(SUM(Z5:AA5,AC5)-AB5&gt;0,SUM(Z5:AA5,AC5)-AB5,"")</f>
        <v/>
      </c>
      <c r="AP5" s="55">
        <f>IF(SUM(AE5,AI5)&gt;0,SUM(AE5,AI5),"")</f>
        <v>10.8</v>
      </c>
      <c r="AQ5" s="55">
        <f>IF(SUM(AD5:AE5,AG5:AI5,AK5)-SUM(AF5,AJ5)&gt;0,SUM(AD5:AE5,AG5:AI5,AK5)-SUM(AF5,AJ5),"")</f>
        <v>46.6</v>
      </c>
      <c r="AR5" s="55">
        <f>IF(SUM(AN5,AO5,AQ5)&gt;0,SUM(AN5,AO5,AQ5),"")</f>
        <v>95.4</v>
      </c>
      <c r="AS5" s="19">
        <v>17.899999999999999</v>
      </c>
      <c r="AT5" s="19">
        <v>5.6</v>
      </c>
      <c r="AU5" s="19">
        <v>0.2</v>
      </c>
      <c r="AV5" s="19">
        <v>0</v>
      </c>
      <c r="AW5" s="19">
        <v>18.3</v>
      </c>
      <c r="AX5" s="19">
        <v>6</v>
      </c>
      <c r="AY5" s="19">
        <v>0.8</v>
      </c>
      <c r="AZ5" s="19">
        <v>0</v>
      </c>
      <c r="BA5" s="19"/>
      <c r="BB5" s="19"/>
      <c r="BC5" s="19"/>
      <c r="BD5" s="19"/>
      <c r="BE5" s="19">
        <v>18.7</v>
      </c>
      <c r="BF5" s="19">
        <v>5.6</v>
      </c>
      <c r="BG5" s="19">
        <v>0</v>
      </c>
      <c r="BH5" s="19">
        <v>0</v>
      </c>
      <c r="BI5" s="19">
        <v>18.2</v>
      </c>
      <c r="BJ5" s="19">
        <v>6</v>
      </c>
      <c r="BK5" s="19">
        <v>0.2</v>
      </c>
      <c r="BL5" s="19">
        <v>0</v>
      </c>
      <c r="BM5" s="33"/>
      <c r="BN5" s="14">
        <f>IF(SUM(AT5,AX5)&gt;0,SUM(AT5,AX5),"")</f>
        <v>11.6</v>
      </c>
      <c r="BO5" s="14">
        <f>IF(SUM(AS5:AT5,AV5:AX5,AZ5)-AU5-AY5&gt;0,SUM(AS5:AT5,AV5:AX5,AZ5)-AU5-AY5,"")</f>
        <v>46.8</v>
      </c>
      <c r="BP5" s="14" t="str">
        <f>IF(SUM(BA5:BB5,BD5)-BC5&gt;0,SUM(BA5:BB5,BD5)-BC5,"")</f>
        <v/>
      </c>
      <c r="BQ5" s="14">
        <f>IF(SUM(BF5,BJ5)&gt;0,SUM(BF5,BJ5),"")</f>
        <v>11.6</v>
      </c>
      <c r="BR5" s="14">
        <f>IF(SUM(BE5:BF5,BH5:BJ5,BL5)-SUM(BG5,BK5)&gt;0,SUM(BE5:BF5,BH5:BJ5,BL5)-SUM(BG5,BK5),"")</f>
        <v>48.3</v>
      </c>
      <c r="BS5" s="14">
        <f>IF(SUM(BO5,BP5,BR5)&gt;0,SUM(BO5,BP5,BR5),"")</f>
        <v>95.1</v>
      </c>
      <c r="BT5" s="20">
        <v>17.7</v>
      </c>
      <c r="BU5" s="20">
        <v>4.4000000000000004</v>
      </c>
      <c r="BV5" s="20">
        <v>0</v>
      </c>
      <c r="BW5" s="20">
        <v>0</v>
      </c>
      <c r="BX5" s="20">
        <v>18.8</v>
      </c>
      <c r="BY5" s="20">
        <v>4.3</v>
      </c>
      <c r="BZ5" s="20">
        <v>0</v>
      </c>
      <c r="CA5" s="20">
        <v>0</v>
      </c>
      <c r="CB5" s="20"/>
      <c r="CC5" s="20"/>
      <c r="CD5" s="20"/>
      <c r="CE5" s="20"/>
      <c r="CF5" s="20">
        <v>17.8</v>
      </c>
      <c r="CG5" s="20">
        <v>5.2</v>
      </c>
      <c r="CH5" s="20">
        <v>0</v>
      </c>
      <c r="CI5" s="20">
        <v>0</v>
      </c>
      <c r="CJ5" s="20">
        <v>19.100000000000001</v>
      </c>
      <c r="CK5" s="20">
        <v>4.3</v>
      </c>
      <c r="CL5" s="20">
        <v>0</v>
      </c>
      <c r="CM5" s="20">
        <v>0</v>
      </c>
      <c r="CN5" s="32"/>
      <c r="CO5" s="55">
        <f>IF(SUM(BU5,BY5)&gt;0,SUM(BU5,BY5),"")</f>
        <v>8.6999999999999993</v>
      </c>
      <c r="CP5" s="55">
        <f>IF(SUM(BT5:BU5,BW5:BY5,CA5)-BV5-BZ5&gt;0,SUM(BT5:BU5,BW5:BY5,CA5)-BV5-BZ5,"")</f>
        <v>45.2</v>
      </c>
      <c r="CQ5" s="55" t="str">
        <f>IF(SUM(CB5:CC5,CE5)-CD5&gt;0,SUM(CB5:CC5,CE5)-CD5,"")</f>
        <v/>
      </c>
      <c r="CR5" s="55">
        <f>IF(SUM(CG5,CK5)&gt;0,SUM(CG5,CK5),"")</f>
        <v>9.5</v>
      </c>
      <c r="CS5" s="55">
        <f>IF(SUM(CF5:CG5,CI5:CK5,CM5)-SUM(CH5,CL5)&gt;0,SUM(CF5:CG5,CI5:CK5,CM5)-SUM(CH5,CL5),"")</f>
        <v>46.4</v>
      </c>
      <c r="CT5" s="55">
        <f>IF(SUM(CP5,CQ5,CS5)&gt;0,SUM(CP5,CQ5,CS5),"")</f>
        <v>91.6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17.799999999999997</v>
      </c>
      <c r="OX5" s="27">
        <f>IF($CN5="P",BU5,(BU5+AT5)/2)</f>
        <v>5</v>
      </c>
      <c r="OY5" s="27">
        <f>IF($CN5="P",BV5,(BV5+AU5)/2)</f>
        <v>0.1</v>
      </c>
      <c r="OZ5" s="27">
        <f>IF($CN5="P",BW5,(BW5+AV5)/2)</f>
        <v>0</v>
      </c>
      <c r="PA5" s="27">
        <f>IF($CN5="P",BX5,(BX5+AW5)/2)</f>
        <v>18.55</v>
      </c>
      <c r="PB5" s="27">
        <f>IF($CN5="P",BY5,(BY5+AX5)/2)</f>
        <v>5.15</v>
      </c>
      <c r="PC5" s="27">
        <f>IF($CN5="P",BZ5,(BZ5+AY5)/2)</f>
        <v>0.4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18.25</v>
      </c>
      <c r="PJ5" s="27">
        <f>IF($CN5="P",CG5,(CG5+BF5)/2)</f>
        <v>5.4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18.649999999999999</v>
      </c>
      <c r="PN5" s="27">
        <f>IF($CN5="P",CK5,(CK5+BJ5)/2)</f>
        <v>5.15</v>
      </c>
      <c r="PO5" s="27">
        <f>IF($CN5="P",CL5,(CL5+BK5)/2)</f>
        <v>0.1</v>
      </c>
      <c r="PP5" s="27">
        <f>IF($CN5="P",CM5,(CM5+BL5)/2)</f>
        <v>0</v>
      </c>
      <c r="PQ5" s="32" t="s">
        <v>44</v>
      </c>
      <c r="PR5" s="55">
        <f>IF(SUM(OX5,PB5)&gt;0,SUM(OX5,PB5),"")</f>
        <v>10.15</v>
      </c>
      <c r="PS5" s="55">
        <f>IF(SUM(OW5:OX5,OZ5:PB5,PD5)-OY5-PC5&gt;0,SUM(OW5:OX5,OZ5:PB5,PD5)-OY5-PC5,"")</f>
        <v>45.999999999999993</v>
      </c>
      <c r="PT5" s="55" t="str">
        <f>IF(SUM(PE5:PF5,PH5)-PG5&gt;0,SUM(PE5:PF5,PH5)-PG5,"")</f>
        <v/>
      </c>
      <c r="PU5" s="55">
        <f>IF(SUM(PJ5,PN5)&gt;0,SUM(PJ5,PN5),"")</f>
        <v>10.55</v>
      </c>
      <c r="PV5" s="55">
        <f>IF(SUM(PI5:PJ5,PL5:PN5,PP5)-SUM(PK5,PO5)&gt;0,SUM(PI5:PJ5,PL5:PN5,PP5)-SUM(PK5,PO5),"")</f>
        <v>47.349999999999994</v>
      </c>
      <c r="PW5" s="55">
        <f>IF(SUM(PS5,PT5,PV5)&gt;0,SUM(PS5,PT5,PV5),"")</f>
        <v>93.35</v>
      </c>
    </row>
    <row r="6" spans="1:43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80</v>
      </c>
      <c r="C6" s="4" t="s">
        <v>3</v>
      </c>
      <c r="D6" s="4">
        <v>2009</v>
      </c>
      <c r="E6" s="10">
        <f>SUM(I6:O6)+SUM(I6:M6)*0.0000001+SUM(I6)*0.0000000000001</f>
        <v>140.10001401000468</v>
      </c>
      <c r="F6" s="3" t="str">
        <f>IF(OR(AND(AM6&gt;=AR$19,AN6&gt;=AR$23,AM6&lt;&gt;"",AL6=""),AND(AP6&gt;=AR$19,AQ6&gt;=AR$23,AP6&lt;&gt;"",AL6=""),AND(BN6&gt;=BS$19,BO6&gt;=BS$23,BN6&lt;&gt;"",BM6=""),AND(BQ6&gt;=BS$19,BR6&gt;=BS$23,BQ6&lt;&gt;"",BM6=""),AND(CO6&gt;=CT$19,CP6&gt;=CT$23,CO6&lt;&gt;"",CN6=""),AND(CR6&gt;=CT$19,CS6&gt;=CT$23,CR6&lt;&gt;""),AND(DQ6&gt;=DV$19,DR6&gt;=DV$23,DQ6&lt;&gt;""),AND(DT6&gt;=DV$19,DU6&gt;=DV$23,DT6&lt;&gt;""),AND(EQ6&gt;=EV$19,ER6&gt;=EV$23,EQ6&lt;&gt;""),AND(ET6&gt;=EV$19,EU6&gt;=EV$23,ET6&lt;&gt;""),AND(FQ6&gt;=FV$19,FR6&gt;=FV$23,FQ6&lt;&gt;""),AND(FT6&gt;=FV$19,FU6&gt;=FV$23,FT6&lt;&gt;""),AND(GQ6&gt;=GV$19,GR6&gt;=GV$23,GQ6&lt;&gt;""),AND(GT6&gt;=GV$19,GU6&gt;=GV$23,GT6&lt;&gt;""),AND(HQ6&gt;=HV$19,HR6&gt;=HV$23,HQ6&lt;&gt;""),AND(HT6&gt;=HV$19,HU6&gt;=HV$23,HT6&lt;&gt;""),AND(IQ6&gt;=IV$19,IR6&gt;=IV$23,IQ6&lt;&gt;""),AND(IT6&gt;=IV$19,IU6&gt;=IV$23,IT6&lt;&gt;""),AND(JQ6&gt;=JV$19,JR6&gt;=JV$23,JQ6&lt;&gt;""),AND(JT6&gt;=JV$19,JU6&gt;=JV$23,JT6&lt;&gt;""),AND(KQ6&gt;=KV$19,KR6&gt;=KV$23,KQ6&lt;&gt;""),AND(KT6&gt;=KV$19,KU6&gt;=KV$23,KT6&lt;&gt;""),AND(LQ6&gt;=LV$19,LR6&gt;=LV$23,LQ6&lt;&gt;""),AND(LT6&gt;=LV$19,LU6&gt;=LV$23,LT6&lt;&gt;""),AND(MQ6&gt;=MV$19,MR6&gt;=MV$23,MQ6&lt;&gt;""),AND(MT6&gt;=MV$19,MU6&gt;=MV$23,MT6&lt;&gt;""),AND(NQ6&gt;=NV$19,NR6&gt;=NV$23,NQ6&lt;&gt;""),AND(NT6&gt;=NV$19,NU6&gt;=NV$23,NT6&lt;&gt;""),AND(OQ6&gt;=OV$19,OR6&gt;=OV$23,OQ6&lt;&gt;""),AND(OT6&gt;=OV$19,OU6&gt;=OV$23,OT6&lt;&gt;"")),"P","")</f>
        <v>P</v>
      </c>
      <c r="G6" s="3" t="str">
        <f>IF(OR(AND(AN6&gt;=AR$23,AN6&lt;&gt;"",AL6=""),AND(AQ6&gt;=AR$23,AQ6&lt;&gt;"",AL6=""),AND(BO6&gt;=BS$23,BO6&lt;&gt;"",BM6=""),AND(BR6&gt;=BS$23,BR6&lt;&gt;"",BM6=""),AND(CP6&gt;=CT$23,CP6&lt;&gt;"",CN6=""),AND(CS6&gt;=CT$23,CS6&lt;&gt;"",CN6=""),AND(DR6&gt;=DV$23,DR6&lt;&gt;""),AND(DU6&gt;=DV$23,DU6&lt;&gt;""),AND(ER6&gt;=EV$23,ER6&lt;&gt;""),AND(EU6&gt;=EV$23,EU6&lt;&gt;""),AND(FR6&gt;=FV$23,FR6&lt;&gt;""),AND(FU6&gt;=FV$23,FU6&lt;&gt;""),AND(GR6&gt;=GV$23,GR6&lt;&gt;""),AND(GU6&gt;=GV$23,GU6&lt;&gt;""),AND(HR6&gt;=HV$23,HR6&lt;&gt;""),AND(HU6&gt;=HV$23,HU6&lt;&gt;""),AND(IR6&gt;=IV$23,IR6&lt;&gt;""),AND(IU6&gt;=IV$23,IU6&lt;&gt;""),AND(JR6&gt;=JV$23,JR6&lt;&gt;""),AND(JU6&gt;=JV$23,JU6&lt;&gt;""),AND(KR6&gt;=KV$23,KR6&lt;&gt;""),AND(KU6&gt;=KV$23,KU6&lt;&gt;""),AND(LR6&gt;=LV$23,LR6&lt;&gt;""),AND(LU6&gt;=LV$23,LU6&lt;&gt;""),AND(MR6&gt;=MV$23,MR6&lt;&gt;""),AND(MU6&gt;=MV$23,MU6&lt;&gt;""),AND(NR6&gt;=NV$23,NR6&lt;&gt;""),AND(NU6&gt;=NV$23,NU6&lt;&gt;""),AND(OR6&gt;=OV$23,OR6&lt;&gt;""),AND(OU6&gt;=OV$23,OU6&lt;&gt;"")),"P","")</f>
        <v>P</v>
      </c>
      <c r="H6" s="47" t="str">
        <f>IF(AND(G6="P",F6=""),"No DD",IF(OR(AND(AM6&gt;=AR$22,AN6&gt;=AR$26,AM6&lt;&gt;"",AL6=""),AND(AP6&gt;=AR$22,AQ6&gt;=AR$26,AP6&lt;&gt;"",AL6=""),AND(BN6&gt;=BS$22,BO6&gt;=BS$26,BN6&lt;&gt;"",BM6=""),AND(BQ6&gt;=BS$22,BR6&gt;=BS$26,BQ6&lt;&gt;"",BM6=""),AND(CO6&gt;=CT$22,CP6&gt;=CT$26,CO6&lt;&gt;"",CN6=""),AND(CR6&gt;=CT$22,CS6&gt;=CT$26,CR6&lt;&gt;""),AND(DQ6&gt;=DV$22,DR6&gt;=DV$26,DQ6&lt;&gt;""),AND(DT6&gt;=DV$22,DU6&gt;=DV$26,DT6&lt;&gt;""),AND(EQ6&gt;=EV$22,ER6&gt;=EV$26,EQ6&lt;&gt;""),AND(ET6&gt;=EV$22,EU6&gt;=EV$26,ET6&lt;&gt;""),AND(FQ6&gt;=FV$22,FR6&gt;=FV$26,FQ6&lt;&gt;""),AND(FT6&gt;=FV$22,FU6&gt;=FV$26,FT6&lt;&gt;""),AND(GQ6&gt;=GV$22,GR6&gt;=GV$26,GQ6&lt;&gt;""),AND(GT6&gt;=GV$22,GU6&gt;=GV$26,GT6&lt;&gt;""),AND(HQ6&gt;=HV$22,HR6&gt;=HV$26,HQ6&lt;&gt;""),AND(HT6&gt;=HV$22,HU6&gt;=HV$26,HT6&lt;&gt;""),AND(IQ6&gt;=IV$22,IR6&gt;=IV$26,IQ6&lt;&gt;""),AND(IT6&gt;=IV$22,IU6&gt;=IV$26,IT6&lt;&gt;""),AND(JQ6&gt;=JV$22,JR6&gt;=JV$26,JQ6&lt;&gt;""),AND(JT6&gt;=JV$22,JU6&gt;=JV$26,JT6&lt;&gt;""),AND(KQ6&gt;=KV$22,KR6&gt;=KV$26,KQ6&lt;&gt;""),AND(KT6&gt;=KV$22,KU6&gt;=KV$26,KT6&lt;&gt;""),AND(LQ6&gt;=LV$22,LR6&gt;=LV$26,LQ6&lt;&gt;""),AND(LT6&gt;=LV$22,LU6&gt;=LV$26,LT6&lt;&gt;""),AND(MQ6&gt;=MV$22,MR6&gt;=MV$26,MQ6&lt;&gt;""),AND(MT6&gt;=MV$22,MU6&gt;=MV$26,MT6&lt;&gt;""),AND(NQ6&gt;=NV$22,NR6&gt;=NV$26,NQ6&lt;&gt;""),AND(NT6&gt;=NV$22,NU6&gt;=NV$26,NT6&lt;&gt;""),AND(OQ6&gt;=OV$22,OR6&gt;=OV$26,OQ6&lt;&gt;""),AND(OT6&gt;=OV$22,OU6&gt;=OV$26,OT6&lt;&gt;"")),"Merit",IF(OR(AND(AM6&gt;=AR$21,AN6&gt;=AR$25,AM6&lt;&gt;"",AL6=""),AND(AP6&gt;=AR$21,AQ6&gt;=AR$25,AP6&lt;&gt;"",AL6=""),AND(BN6&gt;=BS$21,BO6&gt;=BS$25,BN6&lt;&gt;"",BM6=""),AND(BQ6&gt;=BS$21,BR6&gt;=BS$25,BQ6&lt;&gt;"",BM6=""),AND(CO6&gt;=CT$21,CP6&gt;=CT$25,CO6&lt;&gt;"",CN6=""),AND(CR6&gt;=CT$21,CS6&gt;=CT$25,CR6&lt;&gt;""),AND(DQ6&gt;=DV$21,DR6&gt;=DV$25,DQ6&lt;&gt;""),AND(DT6&gt;=DV$21,DU6&gt;=DV$25,DT6&lt;&gt;""),AND(EQ6&gt;=EV$21,ER6&gt;=EV$25,EQ6&lt;&gt;""),AND(ET6&gt;=EV$21,EU6&gt;=EV$25,ET6&lt;&gt;""),AND(FQ6&gt;=FV$21,FR6&gt;=FV$25,FQ6&lt;&gt;""),AND(FT6&gt;=FV$21,FU6&gt;=FV$25,FT6&lt;&gt;""),AND(GQ6&gt;=GV$21,GR6&gt;=GV$25,GQ6&lt;&gt;""),AND(GT6&gt;=GV$21,GU6&gt;=GV$25,GT6&lt;&gt;""),AND(HQ6&gt;=HV$21,HR6&gt;=HV$25,HQ6&lt;&gt;""),AND(HT6&gt;=HV$21,HU6&gt;=HV$25,HT6&lt;&gt;""),AND(IQ6&gt;=IV$21,IR6&gt;=IV$25,IQ6&lt;&gt;""),AND(IT6&gt;=IV$21,IU6&gt;=IV$25,IT6&lt;&gt;""),AND(JQ6&gt;=JV$21,JR6&gt;=JV$25,JQ6&lt;&gt;""),AND(JT6&gt;=JV$21,JU6&gt;=JV$25,JT6&lt;&gt;""),AND(KQ6&gt;=KV$21,KR6&gt;=KV$25,KQ6&lt;&gt;""),AND(KT6&gt;=KV$21,KU6&gt;=KV$25,KT6&lt;&gt;""),AND(LQ6&gt;=LV$21,LR6&gt;=LV$25,LQ6&lt;&gt;""),AND(LT6&gt;=LV$21,LU6&gt;=LV$25,LT6&lt;&gt;""),AND(MQ6&gt;=MV$21,MR6&gt;=MV$25,MQ6&lt;&gt;""),AND(MT6&gt;=MV$21,MU6&gt;=MV$25,MT6&lt;&gt;""),AND(NQ6&gt;=NV$21,NR6&gt;=NV$25,NQ6&lt;&gt;""),AND(NT6&gt;=NV$21,NU6&gt;=NV$25,NT6&lt;&gt;""),AND(OQ6&gt;=OV$21,OR6&gt;=OV$25,OQ6&lt;&gt;""),AND(OT6&gt;=OV$21,OU6&gt;=OV$25,OT6&lt;&gt;"")),"Excellence",IF(F6="P","National Team",""))))</f>
        <v>National Team</v>
      </c>
      <c r="I6" s="9">
        <f>IF(COUNT(AN6,BO6,CP6)&gt;0,LARGE((AN6,BO6,CP6),1),0)</f>
        <v>47</v>
      </c>
      <c r="J6" s="9" t="str">
        <f>IF(I6=0,"",IF(I6=CP6,$BT$1,IF(I6=BO6,$AS$1,IF(I6=AN6,$R$1,""))))</f>
        <v>2025 Nationals</v>
      </c>
      <c r="K6" s="9">
        <f>IF(COUNT(AN6,BO6,CP6)&gt;1,LARGE((AN6,BO6,CP6),2),0)</f>
        <v>46.2</v>
      </c>
      <c r="L6" s="9" t="str">
        <f>IF(K6=0,"",IF(AND(K6=I6,K6=AN6,K6=BO6),$R$1,IF(AND(K6=I6,K6=AN6,K6=CP6),$R$1,IF(AND(K6=I6,K6=CP6,K6=BO6),$AS$1,IF(K6=CP6,$BT$1,IF(K6=BO6,$AS$1,IF(K6=AN6,$R$1,"")))))))</f>
        <v>2025 3rd Domestic Trial</v>
      </c>
      <c r="M6" s="9">
        <f>IF(MAX(AQ6,BR6,CS6)&gt;0,MAX(AQ6,BR6,CS6),0)</f>
        <v>46.9</v>
      </c>
      <c r="N6" s="9" t="str">
        <f>IF(M6=0,"",IF(M6=CS6,$BT$1,IF(M6=BR6,$AS$1,IF(M6=AQ6,$R$1,""))))</f>
        <v>2025 3rd Domestic Trial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18.7</v>
      </c>
      <c r="S6" s="20">
        <v>3.9</v>
      </c>
      <c r="T6" s="20">
        <v>0.2</v>
      </c>
      <c r="U6" s="20">
        <v>0</v>
      </c>
      <c r="V6" s="20">
        <v>18.5</v>
      </c>
      <c r="W6" s="20">
        <v>5.2</v>
      </c>
      <c r="X6" s="20">
        <v>0</v>
      </c>
      <c r="Y6" s="20">
        <v>0</v>
      </c>
      <c r="Z6" s="20"/>
      <c r="AA6" s="20"/>
      <c r="AB6" s="20"/>
      <c r="AC6" s="20"/>
      <c r="AD6" s="20">
        <v>18.3</v>
      </c>
      <c r="AE6" s="20">
        <v>4.8</v>
      </c>
      <c r="AF6" s="20">
        <v>0.2</v>
      </c>
      <c r="AG6" s="20">
        <v>0</v>
      </c>
      <c r="AH6" s="20">
        <v>18.3</v>
      </c>
      <c r="AI6" s="20">
        <v>5.2</v>
      </c>
      <c r="AJ6" s="20">
        <v>1</v>
      </c>
      <c r="AK6" s="20">
        <v>0</v>
      </c>
      <c r="AL6" s="32"/>
      <c r="AM6" s="55">
        <f>IF(SUM(S6,W6)&gt;0,SUM(S6,W6),"")</f>
        <v>9.1</v>
      </c>
      <c r="AN6" s="55">
        <f>IF(SUM(R6:S6,U6:W6,Y6)-T6-X6&gt;0,SUM(R6:S6,U6:W6,Y6)-T6-X6,"")</f>
        <v>46.099999999999994</v>
      </c>
      <c r="AO6" s="55" t="str">
        <f>IF(SUM(Z6:AA6,AC6)-AB6&gt;0,SUM(Z6:AA6,AC6)-AB6,"")</f>
        <v/>
      </c>
      <c r="AP6" s="55">
        <f>IF(SUM(AE6,AI6)&gt;0,SUM(AE6,AI6),"")</f>
        <v>10</v>
      </c>
      <c r="AQ6" s="55">
        <f>IF(SUM(AD6:AE6,AG6:AI6,AK6)-SUM(AF6,AJ6)&gt;0,SUM(AD6:AE6,AG6:AI6,AK6)-SUM(AF6,AJ6),"")</f>
        <v>45.400000000000006</v>
      </c>
      <c r="AR6" s="55">
        <f>IF(SUM(AN6,AO6,AQ6)&gt;0,SUM(AN6,AO6,AQ6),"")</f>
        <v>91.5</v>
      </c>
      <c r="AS6" s="19">
        <v>18.5</v>
      </c>
      <c r="AT6" s="19">
        <v>4.3</v>
      </c>
      <c r="AU6" s="19">
        <v>0</v>
      </c>
      <c r="AV6" s="19">
        <v>0</v>
      </c>
      <c r="AW6" s="19">
        <v>18.8</v>
      </c>
      <c r="AX6" s="19">
        <v>5.6</v>
      </c>
      <c r="AY6" s="19">
        <v>0.2</v>
      </c>
      <c r="AZ6" s="19">
        <v>0</v>
      </c>
      <c r="BA6" s="19"/>
      <c r="BB6" s="19"/>
      <c r="BC6" s="19"/>
      <c r="BD6" s="19"/>
      <c r="BE6" s="19">
        <v>18.600000000000001</v>
      </c>
      <c r="BF6" s="19">
        <v>5.2</v>
      </c>
      <c r="BG6" s="19">
        <v>0</v>
      </c>
      <c r="BH6" s="19">
        <v>0</v>
      </c>
      <c r="BI6" s="19">
        <v>18.899999999999999</v>
      </c>
      <c r="BJ6" s="19">
        <v>4.3</v>
      </c>
      <c r="BK6" s="19">
        <v>0.6</v>
      </c>
      <c r="BL6" s="19">
        <v>0</v>
      </c>
      <c r="BM6" s="33"/>
      <c r="BN6" s="14">
        <f>IF(SUM(AT6,AX6)&gt;0,SUM(AT6,AX6),"")</f>
        <v>9.8999999999999986</v>
      </c>
      <c r="BO6" s="14">
        <f>IF(SUM(AS6:AT6,AV6:AX6,AZ6)-AU6-AY6&gt;0,SUM(AS6:AT6,AV6:AX6,AZ6)-AU6-AY6,"")</f>
        <v>47</v>
      </c>
      <c r="BP6" s="14" t="str">
        <f>IF(SUM(BA6:BB6,BD6)-BC6&gt;0,SUM(BA6:BB6,BD6)-BC6,"")</f>
        <v/>
      </c>
      <c r="BQ6" s="14">
        <f>IF(SUM(BF6,BJ6)&gt;0,SUM(BF6,BJ6),"")</f>
        <v>9.5</v>
      </c>
      <c r="BR6" s="14">
        <f>IF(SUM(BE6:BF6,BH6:BJ6,BL6)-SUM(BG6,BK6)&gt;0,SUM(BE6:BF6,BH6:BJ6,BL6)-SUM(BG6,BK6),"")</f>
        <v>46.4</v>
      </c>
      <c r="BS6" s="14">
        <f>IF(SUM(BO6,BP6,BR6)&gt;0,SUM(BO6,BP6,BR6),"")</f>
        <v>93.4</v>
      </c>
      <c r="BT6" s="20">
        <v>17.600000000000001</v>
      </c>
      <c r="BU6" s="20">
        <v>5.6</v>
      </c>
      <c r="BV6" s="20">
        <v>1</v>
      </c>
      <c r="BW6" s="20">
        <v>0</v>
      </c>
      <c r="BX6" s="20">
        <v>18.399999999999999</v>
      </c>
      <c r="BY6" s="20">
        <v>6</v>
      </c>
      <c r="BZ6" s="20">
        <v>0.4</v>
      </c>
      <c r="CA6" s="20">
        <v>0</v>
      </c>
      <c r="CB6" s="20"/>
      <c r="CC6" s="20"/>
      <c r="CD6" s="20"/>
      <c r="CE6" s="20"/>
      <c r="CF6" s="20">
        <v>16.5</v>
      </c>
      <c r="CG6" s="20">
        <v>6.4</v>
      </c>
      <c r="CH6" s="20">
        <v>0.4</v>
      </c>
      <c r="CI6" s="20">
        <v>0</v>
      </c>
      <c r="CJ6" s="20">
        <v>18.600000000000001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11.6</v>
      </c>
      <c r="CP6" s="55">
        <f>IF(SUM(BT6:BU6,BW6:BY6,CA6)-BV6-BZ6&gt;0,SUM(BT6:BU6,BW6:BY6,CA6)-BV6-BZ6,"")</f>
        <v>46.2</v>
      </c>
      <c r="CQ6" s="55" t="str">
        <f>IF(SUM(CB6:CC6,CE6)-CD6&gt;0,SUM(CB6:CC6,CE6)-CD6,"")</f>
        <v/>
      </c>
      <c r="CR6" s="55">
        <f>IF(SUM(CG6,CK6)&gt;0,SUM(CG6,CK6),"")</f>
        <v>12.4</v>
      </c>
      <c r="CS6" s="55">
        <f>IF(SUM(CF6:CG6,CI6:CK6,CM6)-SUM(CH6,CL6)&gt;0,SUM(CF6:CG6,CI6:CK6,CM6)-SUM(CH6,CL6),"")</f>
        <v>46.9</v>
      </c>
      <c r="CT6" s="55">
        <f>IF(SUM(CP6,CQ6,CS6)&gt;0,SUM(CP6,CQ6,CS6),"")</f>
        <v>93.1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18.05</v>
      </c>
      <c r="OX6" s="27">
        <f>IF($CN6="P",BU6,(BU6+AT6)/2)</f>
        <v>4.9499999999999993</v>
      </c>
      <c r="OY6" s="27">
        <f>IF($CN6="P",BV6,(BV6+AU6)/2)</f>
        <v>0.5</v>
      </c>
      <c r="OZ6" s="27">
        <f>IF($CN6="P",BW6,(BW6+AV6)/2)</f>
        <v>0</v>
      </c>
      <c r="PA6" s="27">
        <f>IF($CN6="P",BX6,(BX6+AW6)/2)</f>
        <v>18.600000000000001</v>
      </c>
      <c r="PB6" s="27">
        <f>IF($CN6="P",BY6,(BY6+AX6)/2)</f>
        <v>5.8</v>
      </c>
      <c r="PC6" s="27">
        <f>IF($CN6="P",BZ6,(BZ6+AY6)/2)</f>
        <v>0.30000000000000004</v>
      </c>
      <c r="PD6" s="27">
        <f>IF($CN6="P",CA6,(CA6+AZ6)/2)</f>
        <v>0</v>
      </c>
      <c r="PE6" s="27">
        <f>IF($CN6="P",CB6,(CB6+BA6)/2)</f>
        <v>0</v>
      </c>
      <c r="PF6" s="27">
        <f>IF($CN6="P",CC6,(CC6+BB6)/2)</f>
        <v>0</v>
      </c>
      <c r="PG6" s="27">
        <f>IF($CN6="P",CD6,(CD6+BC6)/2)</f>
        <v>0</v>
      </c>
      <c r="PH6" s="27">
        <f>IF($CN6="P",CE6,(CE6+BD6)/2)</f>
        <v>0</v>
      </c>
      <c r="PI6" s="27">
        <f>IF($CN6="P",CF6,(CF6+BE6)/2)</f>
        <v>17.55</v>
      </c>
      <c r="PJ6" s="27">
        <f>IF($CN6="P",CG6,(CG6+BF6)/2)</f>
        <v>5.8000000000000007</v>
      </c>
      <c r="PK6" s="27">
        <f>IF($CN6="P",CH6,(CH6+BG6)/2)</f>
        <v>0.2</v>
      </c>
      <c r="PL6" s="27">
        <f>IF($CN6="P",CI6,(CI6+BH6)/2)</f>
        <v>0</v>
      </c>
      <c r="PM6" s="27">
        <f>IF($CN6="P",CJ6,(CJ6+BI6)/2)</f>
        <v>18.75</v>
      </c>
      <c r="PN6" s="27">
        <f>IF($CN6="P",CK6,(CK6+BJ6)/2)</f>
        <v>5.15</v>
      </c>
      <c r="PO6" s="27">
        <f>IF($CN6="P",CL6,(CL6+BK6)/2)</f>
        <v>0.4</v>
      </c>
      <c r="PP6" s="27">
        <f>IF($CN6="P",CM6,(CM6+BL6)/2)</f>
        <v>0</v>
      </c>
      <c r="PQ6" s="32" t="s">
        <v>44</v>
      </c>
      <c r="PR6" s="55">
        <f>IF(SUM(OX6,PB6)&gt;0,SUM(OX6,PB6),"")</f>
        <v>10.75</v>
      </c>
      <c r="PS6" s="55">
        <f>IF(SUM(OW6:OX6,OZ6:PB6,PD6)-OY6-PC6&gt;0,SUM(OW6:OX6,OZ6:PB6,PD6)-OY6-PC6,"")</f>
        <v>46.6</v>
      </c>
      <c r="PT6" s="55" t="str">
        <f>IF(SUM(PE6:PF6,PH6)-PG6&gt;0,SUM(PE6:PF6,PH6)-PG6,"")</f>
        <v/>
      </c>
      <c r="PU6" s="55">
        <f>IF(SUM(PJ6,PN6)&gt;0,SUM(PJ6,PN6),"")</f>
        <v>10.950000000000001</v>
      </c>
      <c r="PV6" s="55">
        <f>IF(SUM(PI6:PJ6,PL6:PN6,PP6)-SUM(PK6,PO6)&gt;0,SUM(PI6:PJ6,PL6:PN6,PP6)-SUM(PK6,PO6),"")</f>
        <v>46.65</v>
      </c>
      <c r="PW6" s="55">
        <f>IF(SUM(PS6,PT6,PV6)&gt;0,SUM(PS6,PT6,PV6),"")</f>
        <v>93.25</v>
      </c>
    </row>
    <row r="7" spans="1:43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82</v>
      </c>
      <c r="C7" s="4" t="s">
        <v>67</v>
      </c>
      <c r="D7" s="4">
        <v>2009</v>
      </c>
      <c r="E7" s="10">
        <f>SUM(I7:O7)+SUM(I7:M7)*0.0000001+SUM(I7)*0.0000000000001</f>
        <v>132.50001325000446</v>
      </c>
      <c r="F7" s="3" t="str">
        <f>IF(OR(AND(AM7&gt;=AR$19,AN7&gt;=AR$23,AM7&lt;&gt;"",AL7=""),AND(AP7&gt;=AR$19,AQ7&gt;=AR$23,AP7&lt;&gt;"",AL7=""),AND(BN7&gt;=BS$19,BO7&gt;=BS$23,BN7&lt;&gt;"",BM7=""),AND(BQ7&gt;=BS$19,BR7&gt;=BS$23,BQ7&lt;&gt;"",BM7=""),AND(CO7&gt;=CT$19,CP7&gt;=CT$23,CO7&lt;&gt;"",CN7=""),AND(CR7&gt;=CT$19,CS7&gt;=CT$23,CR7&lt;&gt;""),AND(DQ7&gt;=DV$19,DR7&gt;=DV$23,DQ7&lt;&gt;""),AND(DT7&gt;=DV$19,DU7&gt;=DV$23,DT7&lt;&gt;""),AND(EQ7&gt;=EV$19,ER7&gt;=EV$23,EQ7&lt;&gt;""),AND(ET7&gt;=EV$19,EU7&gt;=EV$23,ET7&lt;&gt;""),AND(FQ7&gt;=FV$19,FR7&gt;=FV$23,FQ7&lt;&gt;""),AND(FT7&gt;=FV$19,FU7&gt;=FV$23,FT7&lt;&gt;""),AND(GQ7&gt;=GV$19,GR7&gt;=GV$23,GQ7&lt;&gt;""),AND(GT7&gt;=GV$19,GU7&gt;=GV$23,GT7&lt;&gt;""),AND(HQ7&gt;=HV$19,HR7&gt;=HV$23,HQ7&lt;&gt;""),AND(HT7&gt;=HV$19,HU7&gt;=HV$23,HT7&lt;&gt;""),AND(IQ7&gt;=IV$19,IR7&gt;=IV$23,IQ7&lt;&gt;""),AND(IT7&gt;=IV$19,IU7&gt;=IV$23,IT7&lt;&gt;""),AND(JQ7&gt;=JV$19,JR7&gt;=JV$23,JQ7&lt;&gt;""),AND(JT7&gt;=JV$19,JU7&gt;=JV$23,JT7&lt;&gt;""),AND(KQ7&gt;=KV$19,KR7&gt;=KV$23,KQ7&lt;&gt;""),AND(KT7&gt;=KV$19,KU7&gt;=KV$23,KT7&lt;&gt;""),AND(LQ7&gt;=LV$19,LR7&gt;=LV$23,LQ7&lt;&gt;""),AND(LT7&gt;=LV$19,LU7&gt;=LV$23,LT7&lt;&gt;""),AND(MQ7&gt;=MV$19,MR7&gt;=MV$23,MQ7&lt;&gt;""),AND(MT7&gt;=MV$19,MU7&gt;=MV$23,MT7&lt;&gt;""),AND(NQ7&gt;=NV$19,NR7&gt;=NV$23,NQ7&lt;&gt;""),AND(NT7&gt;=NV$19,NU7&gt;=NV$23,NT7&lt;&gt;""),AND(OQ7&gt;=OV$19,OR7&gt;=OV$23,OQ7&lt;&gt;""),AND(OT7&gt;=OV$19,OU7&gt;=OV$23,OT7&lt;&gt;"")),"P","")</f>
        <v>P</v>
      </c>
      <c r="G7" s="3" t="str">
        <f>IF(OR(AND(AN7&gt;=AR$23,AN7&lt;&gt;"",AL7=""),AND(AQ7&gt;=AR$23,AQ7&lt;&gt;"",AL7=""),AND(BO7&gt;=BS$23,BO7&lt;&gt;"",BM7=""),AND(BR7&gt;=BS$23,BR7&lt;&gt;"",BM7=""),AND(CP7&gt;=CT$23,CP7&lt;&gt;"",CN7=""),AND(CS7&gt;=CT$23,CS7&lt;&gt;"",CN7=""),AND(DR7&gt;=DV$23,DR7&lt;&gt;""),AND(DU7&gt;=DV$23,DU7&lt;&gt;""),AND(ER7&gt;=EV$23,ER7&lt;&gt;""),AND(EU7&gt;=EV$23,EU7&lt;&gt;""),AND(FR7&gt;=FV$23,FR7&lt;&gt;""),AND(FU7&gt;=FV$23,FU7&lt;&gt;""),AND(GR7&gt;=GV$23,GR7&lt;&gt;""),AND(GU7&gt;=GV$23,GU7&lt;&gt;""),AND(HR7&gt;=HV$23,HR7&lt;&gt;""),AND(HU7&gt;=HV$23,HU7&lt;&gt;""),AND(IR7&gt;=IV$23,IR7&lt;&gt;""),AND(IU7&gt;=IV$23,IU7&lt;&gt;""),AND(JR7&gt;=JV$23,JR7&lt;&gt;""),AND(JU7&gt;=JV$23,JU7&lt;&gt;""),AND(KR7&gt;=KV$23,KR7&lt;&gt;""),AND(KU7&gt;=KV$23,KU7&lt;&gt;""),AND(LR7&gt;=LV$23,LR7&lt;&gt;""),AND(LU7&gt;=LV$23,LU7&lt;&gt;""),AND(MR7&gt;=MV$23,MR7&lt;&gt;""),AND(MU7&gt;=MV$23,MU7&lt;&gt;""),AND(NR7&gt;=NV$23,NR7&lt;&gt;""),AND(NU7&gt;=NV$23,NU7&lt;&gt;""),AND(OR7&gt;=OV$23,OR7&lt;&gt;""),AND(OU7&gt;=OV$23,OU7&lt;&gt;"")),"P","")</f>
        <v>P</v>
      </c>
      <c r="H7" s="47" t="str">
        <f>IF(AND(G7="P",F7=""),"No DD",IF(OR(AND(AM7&gt;=AR$22,AN7&gt;=AR$26,AM7&lt;&gt;"",AL7=""),AND(AP7&gt;=AR$22,AQ7&gt;=AR$26,AP7&lt;&gt;"",AL7=""),AND(BN7&gt;=BS$22,BO7&gt;=BS$26,BN7&lt;&gt;"",BM7=""),AND(BQ7&gt;=BS$22,BR7&gt;=BS$26,BQ7&lt;&gt;"",BM7=""),AND(CO7&gt;=CT$22,CP7&gt;=CT$26,CO7&lt;&gt;"",CN7=""),AND(CR7&gt;=CT$22,CS7&gt;=CT$26,CR7&lt;&gt;""),AND(DQ7&gt;=DV$22,DR7&gt;=DV$26,DQ7&lt;&gt;""),AND(DT7&gt;=DV$22,DU7&gt;=DV$26,DT7&lt;&gt;""),AND(EQ7&gt;=EV$22,ER7&gt;=EV$26,EQ7&lt;&gt;""),AND(ET7&gt;=EV$22,EU7&gt;=EV$26,ET7&lt;&gt;""),AND(FQ7&gt;=FV$22,FR7&gt;=FV$26,FQ7&lt;&gt;""),AND(FT7&gt;=FV$22,FU7&gt;=FV$26,FT7&lt;&gt;""),AND(GQ7&gt;=GV$22,GR7&gt;=GV$26,GQ7&lt;&gt;""),AND(GT7&gt;=GV$22,GU7&gt;=GV$26,GT7&lt;&gt;""),AND(HQ7&gt;=HV$22,HR7&gt;=HV$26,HQ7&lt;&gt;""),AND(HT7&gt;=HV$22,HU7&gt;=HV$26,HT7&lt;&gt;""),AND(IQ7&gt;=IV$22,IR7&gt;=IV$26,IQ7&lt;&gt;""),AND(IT7&gt;=IV$22,IU7&gt;=IV$26,IT7&lt;&gt;""),AND(JQ7&gt;=JV$22,JR7&gt;=JV$26,JQ7&lt;&gt;""),AND(JT7&gt;=JV$22,JU7&gt;=JV$26,JT7&lt;&gt;""),AND(KQ7&gt;=KV$22,KR7&gt;=KV$26,KQ7&lt;&gt;""),AND(KT7&gt;=KV$22,KU7&gt;=KV$26,KT7&lt;&gt;""),AND(LQ7&gt;=LV$22,LR7&gt;=LV$26,LQ7&lt;&gt;""),AND(LT7&gt;=LV$22,LU7&gt;=LV$26,LT7&lt;&gt;""),AND(MQ7&gt;=MV$22,MR7&gt;=MV$26,MQ7&lt;&gt;""),AND(MT7&gt;=MV$22,MU7&gt;=MV$26,MT7&lt;&gt;""),AND(NQ7&gt;=NV$22,NR7&gt;=NV$26,NQ7&lt;&gt;""),AND(NT7&gt;=NV$22,NU7&gt;=NV$26,NT7&lt;&gt;""),AND(OQ7&gt;=OV$22,OR7&gt;=OV$26,OQ7&lt;&gt;""),AND(OT7&gt;=OV$22,OU7&gt;=OV$26,OT7&lt;&gt;"")),"Merit",IF(OR(AND(AM7&gt;=AR$21,AN7&gt;=AR$25,AM7&lt;&gt;"",AL7=""),AND(AP7&gt;=AR$21,AQ7&gt;=AR$25,AP7&lt;&gt;"",AL7=""),AND(BN7&gt;=BS$21,BO7&gt;=BS$25,BN7&lt;&gt;"",BM7=""),AND(BQ7&gt;=BS$21,BR7&gt;=BS$25,BQ7&lt;&gt;"",BM7=""),AND(CO7&gt;=CT$21,CP7&gt;=CT$25,CO7&lt;&gt;"",CN7=""),AND(CR7&gt;=CT$21,CS7&gt;=CT$25,CR7&lt;&gt;""),AND(DQ7&gt;=DV$21,DR7&gt;=DV$25,DQ7&lt;&gt;""),AND(DT7&gt;=DV$21,DU7&gt;=DV$25,DT7&lt;&gt;""),AND(EQ7&gt;=EV$21,ER7&gt;=EV$25,EQ7&lt;&gt;""),AND(ET7&gt;=EV$21,EU7&gt;=EV$25,ET7&lt;&gt;""),AND(FQ7&gt;=FV$21,FR7&gt;=FV$25,FQ7&lt;&gt;""),AND(FT7&gt;=FV$21,FU7&gt;=FV$25,FT7&lt;&gt;""),AND(GQ7&gt;=GV$21,GR7&gt;=GV$25,GQ7&lt;&gt;""),AND(GT7&gt;=GV$21,GU7&gt;=GV$25,GT7&lt;&gt;""),AND(HQ7&gt;=HV$21,HR7&gt;=HV$25,HQ7&lt;&gt;""),AND(HT7&gt;=HV$21,HU7&gt;=HV$25,HT7&lt;&gt;""),AND(IQ7&gt;=IV$21,IR7&gt;=IV$25,IQ7&lt;&gt;""),AND(IT7&gt;=IV$21,IU7&gt;=IV$25,IT7&lt;&gt;""),AND(JQ7&gt;=JV$21,JR7&gt;=JV$25,JQ7&lt;&gt;""),AND(JT7&gt;=JV$21,JU7&gt;=JV$25,JT7&lt;&gt;""),AND(KQ7&gt;=KV$21,KR7&gt;=KV$25,KQ7&lt;&gt;""),AND(KT7&gt;=KV$21,KU7&gt;=KV$25,KT7&lt;&gt;""),AND(LQ7&gt;=LV$21,LR7&gt;=LV$25,LQ7&lt;&gt;""),AND(LT7&gt;=LV$21,LU7&gt;=LV$25,LT7&lt;&gt;""),AND(MQ7&gt;=MV$21,MR7&gt;=MV$25,MQ7&lt;&gt;""),AND(MT7&gt;=MV$21,MU7&gt;=MV$25,MT7&lt;&gt;""),AND(NQ7&gt;=NV$21,NR7&gt;=NV$25,NQ7&lt;&gt;""),AND(NT7&gt;=NV$21,NU7&gt;=NV$25,NT7&lt;&gt;""),AND(OQ7&gt;=OV$21,OR7&gt;=OV$25,OQ7&lt;&gt;""),AND(OT7&gt;=OV$21,OU7&gt;=OV$25,OT7&lt;&gt;"")),"Excellence",IF(F7="P","National Team",""))))</f>
        <v>National Team</v>
      </c>
      <c r="I7" s="9">
        <f>IF(COUNT(AN7,BO7,CP7)&gt;0,LARGE((AN7,BO7,CP7),1),0)</f>
        <v>44.699999999999996</v>
      </c>
      <c r="J7" s="9" t="str">
        <f>IF(I7=0,"",IF(I7=CP7,$BT$1,IF(I7=BO7,$AS$1,IF(I7=AN7,$R$1,""))))</f>
        <v>2025 Nationals</v>
      </c>
      <c r="K7" s="9">
        <f>IF(COUNT(AN7,BO7,CP7)&gt;1,LARGE((AN7,BO7,CP7),2),0)</f>
        <v>41.4</v>
      </c>
      <c r="L7" s="9" t="str">
        <f>IF(K7=0,"",IF(AND(K7=I7,K7=AN7,K7=BO7),$R$1,IF(AND(K7=I7,K7=AN7,K7=CP7),$R$1,IF(AND(K7=I7,K7=CP7,K7=BO7),$AS$1,IF(K7=CP7,$BT$1,IF(K7=BO7,$AS$1,IF(K7=AN7,$R$1,"")))))))</f>
        <v>2025 Elite Canada</v>
      </c>
      <c r="M7" s="9">
        <f>IF(MAX(AQ7,BR7,CS7)&gt;0,MAX(AQ7,BR7,CS7),0)</f>
        <v>46.4</v>
      </c>
      <c r="N7" s="9" t="str">
        <f>IF(M7=0,"",IF(M7=CS7,$BT$1,IF(M7=BR7,$AS$1,IF(M7=AQ7,$R$1,""))))</f>
        <v>2025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</v>
      </c>
      <c r="S7" s="20">
        <v>6</v>
      </c>
      <c r="T7" s="20">
        <v>0.6</v>
      </c>
      <c r="U7" s="20">
        <v>0</v>
      </c>
      <c r="V7" s="20">
        <v>15.2</v>
      </c>
      <c r="W7" s="20">
        <v>2.8</v>
      </c>
      <c r="X7" s="20">
        <v>0</v>
      </c>
      <c r="Y7" s="20">
        <v>0</v>
      </c>
      <c r="Z7" s="20"/>
      <c r="AA7" s="20"/>
      <c r="AB7" s="20"/>
      <c r="AC7" s="20"/>
      <c r="AD7" s="20">
        <v>18.399999999999999</v>
      </c>
      <c r="AE7" s="20">
        <v>5.2</v>
      </c>
      <c r="AF7" s="20">
        <v>0.2</v>
      </c>
      <c r="AG7" s="20">
        <v>0</v>
      </c>
      <c r="AH7" s="20">
        <v>18</v>
      </c>
      <c r="AI7" s="20">
        <v>5.2</v>
      </c>
      <c r="AJ7" s="20">
        <v>0.2</v>
      </c>
      <c r="AK7" s="20">
        <v>0</v>
      </c>
      <c r="AL7" s="32"/>
      <c r="AM7" s="55">
        <f>IF(SUM(S7,W7)&gt;0,SUM(S7,W7),"")</f>
        <v>8.8000000000000007</v>
      </c>
      <c r="AN7" s="55">
        <f>IF(SUM(R7:S7,U7:W7,Y7)-T7-X7&gt;0,SUM(R7:S7,U7:W7,Y7)-T7-X7,"")</f>
        <v>41.4</v>
      </c>
      <c r="AO7" s="55" t="str">
        <f>IF(SUM(Z7:AA7,AC7)-AB7&gt;0,SUM(Z7:AA7,AC7)-AB7,"")</f>
        <v/>
      </c>
      <c r="AP7" s="55">
        <f>IF(SUM(AE7,AI7)&gt;0,SUM(AE7,AI7),"")</f>
        <v>10.4</v>
      </c>
      <c r="AQ7" s="55">
        <f>IF(SUM(AD7:AE7,AG7:AI7,AK7)-SUM(AF7,AJ7)&gt;0,SUM(AD7:AE7,AG7:AI7,AK7)-SUM(AF7,AJ7),"")</f>
        <v>46.4</v>
      </c>
      <c r="AR7" s="55">
        <f>IF(SUM(AN7,AO7,AQ7)&gt;0,SUM(AN7,AO7,AQ7),"")</f>
        <v>87.8</v>
      </c>
      <c r="AS7" s="19">
        <v>16.7</v>
      </c>
      <c r="AT7" s="19">
        <v>5.2</v>
      </c>
      <c r="AU7" s="19">
        <v>0.2</v>
      </c>
      <c r="AV7" s="19">
        <v>0</v>
      </c>
      <c r="AW7" s="19">
        <v>18</v>
      </c>
      <c r="AX7" s="19">
        <v>5.2</v>
      </c>
      <c r="AY7" s="19">
        <v>0.2</v>
      </c>
      <c r="AZ7" s="19">
        <v>0</v>
      </c>
      <c r="BA7" s="19"/>
      <c r="BB7" s="19"/>
      <c r="BC7" s="19"/>
      <c r="BD7" s="19"/>
      <c r="BE7" s="19">
        <v>15.4</v>
      </c>
      <c r="BF7" s="19">
        <v>2.4</v>
      </c>
      <c r="BG7" s="19">
        <v>0</v>
      </c>
      <c r="BH7" s="19">
        <v>0</v>
      </c>
      <c r="BI7" s="19">
        <v>18.2</v>
      </c>
      <c r="BJ7" s="19">
        <v>5.2</v>
      </c>
      <c r="BK7" s="19">
        <v>0</v>
      </c>
      <c r="BL7" s="19">
        <v>0</v>
      </c>
      <c r="BM7" s="33"/>
      <c r="BN7" s="14">
        <f>IF(SUM(AT7,AX7)&gt;0,SUM(AT7,AX7),"")</f>
        <v>10.4</v>
      </c>
      <c r="BO7" s="14">
        <f>IF(SUM(AS7:AT7,AV7:AX7,AZ7)-AU7-AY7&gt;0,SUM(AS7:AT7,AV7:AX7,AZ7)-AU7-AY7,"")</f>
        <v>44.699999999999996</v>
      </c>
      <c r="BP7" s="14" t="str">
        <f>IF(SUM(BA7:BB7,BD7)-BC7&gt;0,SUM(BA7:BB7,BD7)-BC7,"")</f>
        <v/>
      </c>
      <c r="BQ7" s="14">
        <f>IF(SUM(BF7,BJ7)&gt;0,SUM(BF7,BJ7),"")</f>
        <v>7.6</v>
      </c>
      <c r="BR7" s="14">
        <f>IF(SUM(BE7:BF7,BH7:BJ7,BL7)-SUM(BG7,BK7)&gt;0,SUM(BE7:BF7,BH7:BJ7,BL7)-SUM(BG7,BK7),"")</f>
        <v>41.2</v>
      </c>
      <c r="BS7" s="14">
        <f>IF(SUM(BO7,BP7,BR7)&gt;0,SUM(BO7,BP7,BR7),"")</f>
        <v>85.9</v>
      </c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32"/>
      <c r="CO7" s="55" t="str">
        <f>IF(SUM(BU7,BY7)&gt;0,SUM(BU7,BY7),"")</f>
        <v/>
      </c>
      <c r="CP7" s="55" t="str">
        <f>IF(SUM(BT7:BU7,BW7:BY7,CA7)-BV7-BZ7&gt;0,SUM(BT7:BU7,BW7:BY7,CA7)-BV7-BZ7,"")</f>
        <v/>
      </c>
      <c r="CQ7" s="55" t="str">
        <f>IF(SUM(CB7:CC7,CE7)-CD7&gt;0,SUM(CB7:CC7,CE7)-CD7,"")</f>
        <v/>
      </c>
      <c r="CR7" s="55" t="str">
        <f>IF(SUM(CG7,CK7)&gt;0,SUM(CG7,CK7),"")</f>
        <v/>
      </c>
      <c r="CS7" s="55" t="str">
        <f>IF(SUM(CF7:CG7,CI7:CK7,CM7)-SUM(CH7,CL7)&gt;0,SUM(CF7:CG7,CI7:CK7,CM7)-SUM(CH7,CL7),"")</f>
        <v/>
      </c>
      <c r="CT7" s="55" t="str">
        <f>IF(SUM(CP7,CQ7,CS7)&gt;0,SUM(CP7,CQ7,CS7),"")</f>
        <v/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8.35</v>
      </c>
      <c r="OX7" s="27">
        <f>IF($CN7="P",BU7,(BU7+AT7)/2)</f>
        <v>2.6</v>
      </c>
      <c r="OY7" s="27">
        <f>IF($CN7="P",BV7,(BV7+AU7)/2)</f>
        <v>0.1</v>
      </c>
      <c r="OZ7" s="27">
        <f>IF($CN7="P",BW7,(BW7+AV7)/2)</f>
        <v>0</v>
      </c>
      <c r="PA7" s="27">
        <f>IF($CN7="P",BX7,(BX7+AW7)/2)</f>
        <v>9</v>
      </c>
      <c r="PB7" s="27">
        <f>IF($CN7="P",BY7,(BY7+AX7)/2)</f>
        <v>2.6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0</v>
      </c>
      <c r="PF7" s="27">
        <f>IF($CN7="P",CC7,(CC7+BB7)/2)</f>
        <v>0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7.7</v>
      </c>
      <c r="PJ7" s="27">
        <f>IF($CN7="P",CG7,(CG7+BF7)/2)</f>
        <v>1.2</v>
      </c>
      <c r="PK7" s="27">
        <f>IF($CN7="P",CH7,(CH7+BG7)/2)</f>
        <v>0</v>
      </c>
      <c r="PL7" s="27">
        <f>IF($CN7="P",CI7,(CI7+BH7)/2)</f>
        <v>0</v>
      </c>
      <c r="PM7" s="27">
        <f>IF($CN7="P",CJ7,(CJ7+BI7)/2)</f>
        <v>9.1</v>
      </c>
      <c r="PN7" s="27">
        <f>IF($CN7="P",CK7,(CK7+BJ7)/2)</f>
        <v>2.6</v>
      </c>
      <c r="PO7" s="27">
        <f>IF($CN7="P",CL7,(CL7+BK7)/2)</f>
        <v>0</v>
      </c>
      <c r="PP7" s="27">
        <f>IF($CN7="P",CM7,(CM7+BL7)/2)</f>
        <v>0</v>
      </c>
      <c r="PQ7" s="32" t="s">
        <v>44</v>
      </c>
      <c r="PR7" s="55">
        <f>IF(SUM(OX7,PB7)&gt;0,SUM(OX7,PB7),"")</f>
        <v>5.2</v>
      </c>
      <c r="PS7" s="55">
        <f>IF(SUM(OW7:OX7,OZ7:PB7,PD7)-OY7-PC7&gt;0,SUM(OW7:OX7,OZ7:PB7,PD7)-OY7-PC7,"")</f>
        <v>22.349999999999998</v>
      </c>
      <c r="PT7" s="55" t="str">
        <f>IF(SUM(PE7:PF7,PH7)-PG7&gt;0,SUM(PE7:PF7,PH7)-PG7,"")</f>
        <v/>
      </c>
      <c r="PU7" s="55">
        <f>IF(SUM(PJ7,PN7)&gt;0,SUM(PJ7,PN7),"")</f>
        <v>3.8</v>
      </c>
      <c r="PV7" s="55">
        <f>IF(SUM(PI7:PJ7,PL7:PN7,PP7)-SUM(PK7,PO7)&gt;0,SUM(PI7:PJ7,PL7:PN7,PP7)-SUM(PK7,PO7),"")</f>
        <v>20.6</v>
      </c>
      <c r="PW7" s="55">
        <f>IF(SUM(PS7,PT7,PV7)&gt;0,SUM(PS7,PT7,PV7),"")</f>
        <v>42.95</v>
      </c>
    </row>
    <row r="8" spans="1:43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93</v>
      </c>
      <c r="C8" s="4" t="s">
        <v>89</v>
      </c>
      <c r="D8" s="4">
        <v>2009</v>
      </c>
      <c r="E8" s="10">
        <f>SUM(I8:O8)+SUM(I8:M8)*0.0000001+SUM(I8)*0.0000000000001</f>
        <v>129.30001293000447</v>
      </c>
      <c r="F8" s="3" t="str">
        <f>IF(OR(AND(AM8&gt;=AR$19,AN8&gt;=AR$23,AM8&lt;&gt;"",AL8=""),AND(AP8&gt;=AR$19,AQ8&gt;=AR$23,AP8&lt;&gt;"",AL8=""),AND(BN8&gt;=BS$19,BO8&gt;=BS$23,BN8&lt;&gt;"",BM8=""),AND(BQ8&gt;=BS$19,BR8&gt;=BS$23,BQ8&lt;&gt;"",BM8=""),AND(CO8&gt;=CT$19,CP8&gt;=CT$23,CO8&lt;&gt;"",CN8=""),AND(CR8&gt;=CT$19,CS8&gt;=CT$23,CR8&lt;&gt;""),AND(DQ8&gt;=DV$19,DR8&gt;=DV$23,DQ8&lt;&gt;""),AND(DT8&gt;=DV$19,DU8&gt;=DV$23,DT8&lt;&gt;""),AND(EQ8&gt;=EV$19,ER8&gt;=EV$23,EQ8&lt;&gt;""),AND(ET8&gt;=EV$19,EU8&gt;=EV$23,ET8&lt;&gt;""),AND(FQ8&gt;=FV$19,FR8&gt;=FV$23,FQ8&lt;&gt;""),AND(FT8&gt;=FV$19,FU8&gt;=FV$23,FT8&lt;&gt;""),AND(GQ8&gt;=GV$19,GR8&gt;=GV$23,GQ8&lt;&gt;""),AND(GT8&gt;=GV$19,GU8&gt;=GV$23,GT8&lt;&gt;""),AND(HQ8&gt;=HV$19,HR8&gt;=HV$23,HQ8&lt;&gt;""),AND(HT8&gt;=HV$19,HU8&gt;=HV$23,HT8&lt;&gt;""),AND(IQ8&gt;=IV$19,IR8&gt;=IV$23,IQ8&lt;&gt;""),AND(IT8&gt;=IV$19,IU8&gt;=IV$23,IT8&lt;&gt;""),AND(JQ8&gt;=JV$19,JR8&gt;=JV$23,JQ8&lt;&gt;""),AND(JT8&gt;=JV$19,JU8&gt;=JV$23,JT8&lt;&gt;""),AND(KQ8&gt;=KV$19,KR8&gt;=KV$23,KQ8&lt;&gt;""),AND(KT8&gt;=KV$19,KU8&gt;=KV$23,KT8&lt;&gt;""),AND(LQ8&gt;=LV$19,LR8&gt;=LV$23,LQ8&lt;&gt;""),AND(LT8&gt;=LV$19,LU8&gt;=LV$23,LT8&lt;&gt;""),AND(MQ8&gt;=MV$19,MR8&gt;=MV$23,MQ8&lt;&gt;""),AND(MT8&gt;=MV$19,MU8&gt;=MV$23,MT8&lt;&gt;""),AND(NQ8&gt;=NV$19,NR8&gt;=NV$23,NQ8&lt;&gt;""),AND(NT8&gt;=NV$19,NU8&gt;=NV$23,NT8&lt;&gt;""),AND(OQ8&gt;=OV$19,OR8&gt;=OV$23,OQ8&lt;&gt;""),AND(OT8&gt;=OV$19,OU8&gt;=OV$23,OT8&lt;&gt;"")),"P","")</f>
        <v/>
      </c>
      <c r="G8" s="3" t="str">
        <f>IF(OR(AND(AN8&gt;=AR$23,AN8&lt;&gt;"",AL8=""),AND(AQ8&gt;=AR$23,AQ8&lt;&gt;"",AL8=""),AND(BO8&gt;=BS$23,BO8&lt;&gt;"",BM8=""),AND(BR8&gt;=BS$23,BR8&lt;&gt;"",BM8=""),AND(CP8&gt;=CT$23,CP8&lt;&gt;"",CN8=""),AND(CS8&gt;=CT$23,CS8&lt;&gt;"",CN8=""),AND(DR8&gt;=DV$23,DR8&lt;&gt;""),AND(DU8&gt;=DV$23,DU8&lt;&gt;""),AND(ER8&gt;=EV$23,ER8&lt;&gt;""),AND(EU8&gt;=EV$23,EU8&lt;&gt;""),AND(FR8&gt;=FV$23,FR8&lt;&gt;""),AND(FU8&gt;=FV$23,FU8&lt;&gt;""),AND(GR8&gt;=GV$23,GR8&lt;&gt;""),AND(GU8&gt;=GV$23,GU8&lt;&gt;""),AND(HR8&gt;=HV$23,HR8&lt;&gt;""),AND(HU8&gt;=HV$23,HU8&lt;&gt;""),AND(IR8&gt;=IV$23,IR8&lt;&gt;""),AND(IU8&gt;=IV$23,IU8&lt;&gt;""),AND(JR8&gt;=JV$23,JR8&lt;&gt;""),AND(JU8&gt;=JV$23,JU8&lt;&gt;""),AND(KR8&gt;=KV$23,KR8&lt;&gt;""),AND(KU8&gt;=KV$23,KU8&lt;&gt;""),AND(LR8&gt;=LV$23,LR8&lt;&gt;""),AND(LU8&gt;=LV$23,LU8&lt;&gt;""),AND(MR8&gt;=MV$23,MR8&lt;&gt;""),AND(MU8&gt;=MV$23,MU8&lt;&gt;""),AND(NR8&gt;=NV$23,NR8&lt;&gt;""),AND(NU8&gt;=NV$23,NU8&lt;&gt;""),AND(OR8&gt;=OV$23,OR8&lt;&gt;""),AND(OU8&gt;=OV$23,OU8&lt;&gt;"")),"P","")</f>
        <v/>
      </c>
      <c r="H8" s="47" t="str">
        <f>IF(AND(G8="P",F8=""),"No DD",IF(OR(AND(AM8&gt;=AR$22,AN8&gt;=AR$26,AM8&lt;&gt;"",AL8=""),AND(AP8&gt;=AR$22,AQ8&gt;=AR$26,AP8&lt;&gt;"",AL8=""),AND(BN8&gt;=BS$22,BO8&gt;=BS$26,BN8&lt;&gt;"",BM8=""),AND(BQ8&gt;=BS$22,BR8&gt;=BS$26,BQ8&lt;&gt;"",BM8=""),AND(CO8&gt;=CT$22,CP8&gt;=CT$26,CO8&lt;&gt;"",CN8=""),AND(CR8&gt;=CT$22,CS8&gt;=CT$26,CR8&lt;&gt;""),AND(DQ8&gt;=DV$22,DR8&gt;=DV$26,DQ8&lt;&gt;""),AND(DT8&gt;=DV$22,DU8&gt;=DV$26,DT8&lt;&gt;""),AND(EQ8&gt;=EV$22,ER8&gt;=EV$26,EQ8&lt;&gt;""),AND(ET8&gt;=EV$22,EU8&gt;=EV$26,ET8&lt;&gt;""),AND(FQ8&gt;=FV$22,FR8&gt;=FV$26,FQ8&lt;&gt;""),AND(FT8&gt;=FV$22,FU8&gt;=FV$26,FT8&lt;&gt;""),AND(GQ8&gt;=GV$22,GR8&gt;=GV$26,GQ8&lt;&gt;""),AND(GT8&gt;=GV$22,GU8&gt;=GV$26,GT8&lt;&gt;""),AND(HQ8&gt;=HV$22,HR8&gt;=HV$26,HQ8&lt;&gt;""),AND(HT8&gt;=HV$22,HU8&gt;=HV$26,HT8&lt;&gt;""),AND(IQ8&gt;=IV$22,IR8&gt;=IV$26,IQ8&lt;&gt;""),AND(IT8&gt;=IV$22,IU8&gt;=IV$26,IT8&lt;&gt;""),AND(JQ8&gt;=JV$22,JR8&gt;=JV$26,JQ8&lt;&gt;""),AND(JT8&gt;=JV$22,JU8&gt;=JV$26,JT8&lt;&gt;""),AND(KQ8&gt;=KV$22,KR8&gt;=KV$26,KQ8&lt;&gt;""),AND(KT8&gt;=KV$22,KU8&gt;=KV$26,KT8&lt;&gt;""),AND(LQ8&gt;=LV$22,LR8&gt;=LV$26,LQ8&lt;&gt;""),AND(LT8&gt;=LV$22,LU8&gt;=LV$26,LT8&lt;&gt;""),AND(MQ8&gt;=MV$22,MR8&gt;=MV$26,MQ8&lt;&gt;""),AND(MT8&gt;=MV$22,MU8&gt;=MV$26,MT8&lt;&gt;""),AND(NQ8&gt;=NV$22,NR8&gt;=NV$26,NQ8&lt;&gt;""),AND(NT8&gt;=NV$22,NU8&gt;=NV$26,NT8&lt;&gt;""),AND(OQ8&gt;=OV$22,OR8&gt;=OV$26,OQ8&lt;&gt;""),AND(OT8&gt;=OV$22,OU8&gt;=OV$26,OT8&lt;&gt;"")),"Merit",IF(OR(AND(AM8&gt;=AR$21,AN8&gt;=AR$25,AM8&lt;&gt;"",AL8=""),AND(AP8&gt;=AR$21,AQ8&gt;=AR$25,AP8&lt;&gt;"",AL8=""),AND(BN8&gt;=BS$21,BO8&gt;=BS$25,BN8&lt;&gt;"",BM8=""),AND(BQ8&gt;=BS$21,BR8&gt;=BS$25,BQ8&lt;&gt;"",BM8=""),AND(CO8&gt;=CT$21,CP8&gt;=CT$25,CO8&lt;&gt;"",CN8=""),AND(CR8&gt;=CT$21,CS8&gt;=CT$25,CR8&lt;&gt;""),AND(DQ8&gt;=DV$21,DR8&gt;=DV$25,DQ8&lt;&gt;""),AND(DT8&gt;=DV$21,DU8&gt;=DV$25,DT8&lt;&gt;""),AND(EQ8&gt;=EV$21,ER8&gt;=EV$25,EQ8&lt;&gt;""),AND(ET8&gt;=EV$21,EU8&gt;=EV$25,ET8&lt;&gt;""),AND(FQ8&gt;=FV$21,FR8&gt;=FV$25,FQ8&lt;&gt;""),AND(FT8&gt;=FV$21,FU8&gt;=FV$25,FT8&lt;&gt;""),AND(GQ8&gt;=GV$21,GR8&gt;=GV$25,GQ8&lt;&gt;""),AND(GT8&gt;=GV$21,GU8&gt;=GV$25,GT8&lt;&gt;""),AND(HQ8&gt;=HV$21,HR8&gt;=HV$25,HQ8&lt;&gt;""),AND(HT8&gt;=HV$21,HU8&gt;=HV$25,HT8&lt;&gt;""),AND(IQ8&gt;=IV$21,IR8&gt;=IV$25,IQ8&lt;&gt;""),AND(IT8&gt;=IV$21,IU8&gt;=IV$25,IT8&lt;&gt;""),AND(JQ8&gt;=JV$21,JR8&gt;=JV$25,JQ8&lt;&gt;""),AND(JT8&gt;=JV$21,JU8&gt;=JV$25,JT8&lt;&gt;""),AND(KQ8&gt;=KV$21,KR8&gt;=KV$25,KQ8&lt;&gt;""),AND(KT8&gt;=KV$21,KU8&gt;=KV$25,KT8&lt;&gt;""),AND(LQ8&gt;=LV$21,LR8&gt;=LV$25,LQ8&lt;&gt;""),AND(LT8&gt;=LV$21,LU8&gt;=LV$25,LT8&lt;&gt;""),AND(MQ8&gt;=MV$21,MR8&gt;=MV$25,MQ8&lt;&gt;""),AND(MT8&gt;=MV$21,MU8&gt;=MV$25,MT8&lt;&gt;""),AND(NQ8&gt;=NV$21,NR8&gt;=NV$25,NQ8&lt;&gt;""),AND(NT8&gt;=NV$21,NU8&gt;=NV$25,NT8&lt;&gt;""),AND(OQ8&gt;=OV$21,OR8&gt;=OV$25,OQ8&lt;&gt;""),AND(OT8&gt;=OV$21,OU8&gt;=OV$25,OT8&lt;&gt;"")),"Excellence",IF(F8="P","National Team",""))))</f>
        <v/>
      </c>
      <c r="I8" s="9">
        <f>IF(COUNT(AN8,BO8,CP8)&gt;0,LARGE((AN8,BO8,CP8),1),0)</f>
        <v>44.699999999999996</v>
      </c>
      <c r="J8" s="9" t="str">
        <f>IF(I8=0,"",IF(I8=CP8,$BT$1,IF(I8=BO8,$AS$1,IF(I8=AN8,$R$1,""))))</f>
        <v>2025 Nationals</v>
      </c>
      <c r="K8" s="9">
        <f>IF(COUNT(AN8,BO8,CP8)&gt;1,LARGE((AN8,BO8,CP8),2),0)</f>
        <v>40.700000000000003</v>
      </c>
      <c r="L8" s="9" t="str">
        <f>IF(K8=0,"",IF(AND(K8=I8,K8=AN8,K8=BO8),$R$1,IF(AND(K8=I8,K8=AN8,K8=CP8),$R$1,IF(AND(K8=I8,K8=CP8,K8=BO8),$AS$1,IF(K8=CP8,$BT$1,IF(K8=BO8,$AS$1,IF(K8=AN8,$R$1,"")))))))</f>
        <v>2025 Elite Canada</v>
      </c>
      <c r="M8" s="9">
        <f>IF(MAX(AQ8,BR8,CS8)&gt;0,MAX(AQ8,BR8,CS8),0)</f>
        <v>43.9</v>
      </c>
      <c r="N8" s="9" t="str">
        <f>IF(M8=0,"",IF(M8=CS8,$BT$1,IF(M8=BR8,$AS$1,IF(M8=AQ8,$R$1,""))))</f>
        <v>2025 Nationals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18.2</v>
      </c>
      <c r="S8" s="20">
        <v>3.5</v>
      </c>
      <c r="T8" s="20">
        <v>0.6</v>
      </c>
      <c r="U8" s="20">
        <v>0</v>
      </c>
      <c r="V8" s="20">
        <v>16</v>
      </c>
      <c r="W8" s="20">
        <v>4.4000000000000004</v>
      </c>
      <c r="X8" s="20">
        <v>0.8</v>
      </c>
      <c r="Y8" s="20">
        <v>0</v>
      </c>
      <c r="Z8" s="20"/>
      <c r="AA8" s="20"/>
      <c r="AB8" s="20"/>
      <c r="AC8" s="20"/>
      <c r="AD8" s="20">
        <v>15.6</v>
      </c>
      <c r="AE8" s="20">
        <v>0.7</v>
      </c>
      <c r="AF8" s="20">
        <v>0</v>
      </c>
      <c r="AG8" s="20">
        <v>0</v>
      </c>
      <c r="AH8" s="20">
        <v>17.899999999999999</v>
      </c>
      <c r="AI8" s="20">
        <v>4.4000000000000004</v>
      </c>
      <c r="AJ8" s="20">
        <v>0</v>
      </c>
      <c r="AK8" s="20">
        <v>0</v>
      </c>
      <c r="AL8" s="32"/>
      <c r="AM8" s="55">
        <f>IF(SUM(S8,W8)&gt;0,SUM(S8,W8),"")</f>
        <v>7.9</v>
      </c>
      <c r="AN8" s="55">
        <f>IF(SUM(R8:S8,U8:W8,Y8)-T8-X8&gt;0,SUM(R8:S8,U8:W8,Y8)-T8-X8,"")</f>
        <v>40.700000000000003</v>
      </c>
      <c r="AO8" s="55" t="str">
        <f>IF(SUM(Z8:AA8,AC8)-AB8&gt;0,SUM(Z8:AA8,AC8)-AB8,"")</f>
        <v/>
      </c>
      <c r="AP8" s="55">
        <f>IF(SUM(AE8,AI8)&gt;0,SUM(AE8,AI8),"")</f>
        <v>5.1000000000000005</v>
      </c>
      <c r="AQ8" s="55">
        <f>IF(SUM(AD8:AE8,AG8:AI8,AK8)-SUM(AF8,AJ8)&gt;0,SUM(AD8:AE8,AG8:AI8,AK8)-SUM(AF8,AJ8),"")</f>
        <v>38.6</v>
      </c>
      <c r="AR8" s="55">
        <f>IF(SUM(AN8,AO8,AQ8)&gt;0,SUM(AN8,AO8,AQ8),"")</f>
        <v>79.300000000000011</v>
      </c>
      <c r="AS8" s="19">
        <v>18.600000000000001</v>
      </c>
      <c r="AT8" s="19">
        <v>3.5</v>
      </c>
      <c r="AU8" s="19">
        <v>0</v>
      </c>
      <c r="AV8" s="19">
        <v>0</v>
      </c>
      <c r="AW8" s="19">
        <v>18.2</v>
      </c>
      <c r="AX8" s="19">
        <v>4.4000000000000004</v>
      </c>
      <c r="AY8" s="19">
        <v>0</v>
      </c>
      <c r="AZ8" s="19">
        <v>0</v>
      </c>
      <c r="BA8" s="19"/>
      <c r="BB8" s="19"/>
      <c r="BC8" s="19"/>
      <c r="BD8" s="19"/>
      <c r="BE8" s="19">
        <v>18.600000000000001</v>
      </c>
      <c r="BF8" s="19">
        <v>3.5</v>
      </c>
      <c r="BG8" s="19">
        <v>0</v>
      </c>
      <c r="BH8" s="19">
        <v>0</v>
      </c>
      <c r="BI8" s="19">
        <v>18</v>
      </c>
      <c r="BJ8" s="19">
        <v>4.4000000000000004</v>
      </c>
      <c r="BK8" s="19">
        <v>0.6</v>
      </c>
      <c r="BL8" s="19">
        <v>0</v>
      </c>
      <c r="BM8" s="33"/>
      <c r="BN8" s="14">
        <f>IF(SUM(AT8,AX8)&gt;0,SUM(AT8,AX8),"")</f>
        <v>7.9</v>
      </c>
      <c r="BO8" s="14">
        <f>IF(SUM(AS8:AT8,AV8:AX8,AZ8)-AU8-AY8&gt;0,SUM(AS8:AT8,AV8:AX8,AZ8)-AU8-AY8,"")</f>
        <v>44.699999999999996</v>
      </c>
      <c r="BP8" s="14" t="str">
        <f>IF(SUM(BA8:BB8,BD8)-BC8&gt;0,SUM(BA8:BB8,BD8)-BC8,"")</f>
        <v/>
      </c>
      <c r="BQ8" s="14">
        <f>IF(SUM(BF8,BJ8)&gt;0,SUM(BF8,BJ8),"")</f>
        <v>7.9</v>
      </c>
      <c r="BR8" s="14">
        <f>IF(SUM(BE8:BF8,BH8:BJ8,BL8)-SUM(BG8,BK8)&gt;0,SUM(BE8:BF8,BH8:BJ8,BL8)-SUM(BG8,BK8),"")</f>
        <v>43.9</v>
      </c>
      <c r="BS8" s="14">
        <f>IF(SUM(BO8,BP8,BR8)&gt;0,SUM(BO8,BP8,BR8),"")</f>
        <v>88.6</v>
      </c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32"/>
      <c r="CO8" s="55" t="str">
        <f>IF(SUM(BU8,BY8)&gt;0,SUM(BU8,BY8),"")</f>
        <v/>
      </c>
      <c r="CP8" s="55" t="str">
        <f>IF(SUM(BT8:BU8,BW8:BY8,CA8)-BV8-BZ8&gt;0,SUM(BT8:BU8,BW8:BY8,CA8)-BV8-BZ8,"")</f>
        <v/>
      </c>
      <c r="CQ8" s="55" t="str">
        <f>IF(SUM(CB8:CC8,CE8)-CD8&gt;0,SUM(CB8:CC8,CE8)-CD8,"")</f>
        <v/>
      </c>
      <c r="CR8" s="55" t="str">
        <f>IF(SUM(CG8,CK8)&gt;0,SUM(CG8,CK8),"")</f>
        <v/>
      </c>
      <c r="CS8" s="55" t="str">
        <f>IF(SUM(CF8:CG8,CI8:CK8,CM8)-SUM(CH8,CL8)&gt;0,SUM(CF8:CG8,CI8:CK8,CM8)-SUM(CH8,CL8),"")</f>
        <v/>
      </c>
      <c r="CT8" s="55" t="str">
        <f>IF(SUM(CP8,CQ8,CS8)&gt;0,SUM(CP8,CQ8,CS8),"")</f>
        <v/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9.3000000000000007</v>
      </c>
      <c r="OX8" s="27">
        <f>IF($CN8="P",BU8,(BU8+AT8)/2)</f>
        <v>1.75</v>
      </c>
      <c r="OY8" s="27">
        <f>IF($CN8="P",BV8,(BV8+AU8)/2)</f>
        <v>0</v>
      </c>
      <c r="OZ8" s="27">
        <f>IF($CN8="P",BW8,(BW8+AV8)/2)</f>
        <v>0</v>
      </c>
      <c r="PA8" s="27">
        <f>IF($CN8="P",BX8,(BX8+AW8)/2)</f>
        <v>9.1</v>
      </c>
      <c r="PB8" s="27">
        <f>IF($CN8="P",BY8,(BY8+AX8)/2)</f>
        <v>2.2000000000000002</v>
      </c>
      <c r="PC8" s="27">
        <f>IF($CN8="P",BZ8,(BZ8+AY8)/2)</f>
        <v>0</v>
      </c>
      <c r="PD8" s="27">
        <f>IF($CN8="P",CA8,(CA8+AZ8)/2)</f>
        <v>0</v>
      </c>
      <c r="PE8" s="27">
        <f>IF($CN8="P",CB8,(CB8+BA8)/2)</f>
        <v>0</v>
      </c>
      <c r="PF8" s="27">
        <f>IF($CN8="P",CC8,(CC8+BB8)/2)</f>
        <v>0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9.3000000000000007</v>
      </c>
      <c r="PJ8" s="27">
        <f>IF($CN8="P",CG8,(CG8+BF8)/2)</f>
        <v>1.75</v>
      </c>
      <c r="PK8" s="27">
        <f>IF($CN8="P",CH8,(CH8+BG8)/2)</f>
        <v>0</v>
      </c>
      <c r="PL8" s="27">
        <f>IF($CN8="P",CI8,(CI8+BH8)/2)</f>
        <v>0</v>
      </c>
      <c r="PM8" s="27">
        <f>IF($CN8="P",CJ8,(CJ8+BI8)/2)</f>
        <v>9</v>
      </c>
      <c r="PN8" s="27">
        <f>IF($CN8="P",CK8,(CK8+BJ8)/2)</f>
        <v>2.2000000000000002</v>
      </c>
      <c r="PO8" s="27">
        <f>IF($CN8="P",CL8,(CL8+BK8)/2)</f>
        <v>0.3</v>
      </c>
      <c r="PP8" s="27">
        <f>IF($CN8="P",CM8,(CM8+BL8)/2)</f>
        <v>0</v>
      </c>
      <c r="PQ8" s="32" t="s">
        <v>44</v>
      </c>
      <c r="PR8" s="55">
        <f>IF(SUM(OX8,PB8)&gt;0,SUM(OX8,PB8),"")</f>
        <v>3.95</v>
      </c>
      <c r="PS8" s="55">
        <f>IF(SUM(OW8:OX8,OZ8:PB8,PD8)-OY8-PC8&gt;0,SUM(OW8:OX8,OZ8:PB8,PD8)-OY8-PC8,"")</f>
        <v>22.349999999999998</v>
      </c>
      <c r="PT8" s="55" t="str">
        <f>IF(SUM(PE8:PF8,PH8)-PG8&gt;0,SUM(PE8:PF8,PH8)-PG8,"")</f>
        <v/>
      </c>
      <c r="PU8" s="55">
        <f>IF(SUM(PJ8,PN8)&gt;0,SUM(PJ8,PN8),"")</f>
        <v>3.95</v>
      </c>
      <c r="PV8" s="55">
        <f>IF(SUM(PI8:PJ8,PL8:PN8,PP8)-SUM(PK8,PO8)&gt;0,SUM(PI8:PJ8,PL8:PN8,PP8)-SUM(PK8,PO8),"")</f>
        <v>21.95</v>
      </c>
      <c r="PW8" s="55">
        <f>IF(SUM(PS8,PT8,PV8)&gt;0,SUM(PS8,PT8,PV8),"")</f>
        <v>44.3</v>
      </c>
    </row>
    <row r="9" spans="1:43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101</v>
      </c>
      <c r="C9" s="4" t="s">
        <v>67</v>
      </c>
      <c r="D9" s="4">
        <v>2010</v>
      </c>
      <c r="E9" s="10">
        <f>SUM(I9:O9)+SUM(I9:M9)*0.0000001+SUM(I9)*0.0000000000001</f>
        <v>127.10001271000451</v>
      </c>
      <c r="F9" s="3" t="str">
        <f>IF(OR(AND(AM9&gt;=AR$19,AN9&gt;=AR$23,AM9&lt;&gt;"",AL9=""),AND(AP9&gt;=AR$19,AQ9&gt;=AR$23,AP9&lt;&gt;"",AL9=""),AND(BN9&gt;=BS$19,BO9&gt;=BS$23,BN9&lt;&gt;"",BM9=""),AND(BQ9&gt;=BS$19,BR9&gt;=BS$23,BQ9&lt;&gt;"",BM9=""),AND(CO9&gt;=CT$19,CP9&gt;=CT$23,CO9&lt;&gt;"",CN9=""),AND(CR9&gt;=CT$19,CS9&gt;=CT$23,CR9&lt;&gt;""),AND(DQ9&gt;=DV$19,DR9&gt;=DV$23,DQ9&lt;&gt;""),AND(DT9&gt;=DV$19,DU9&gt;=DV$23,DT9&lt;&gt;""),AND(EQ9&gt;=EV$19,ER9&gt;=EV$23,EQ9&lt;&gt;""),AND(ET9&gt;=EV$19,EU9&gt;=EV$23,ET9&lt;&gt;""),AND(FQ9&gt;=FV$19,FR9&gt;=FV$23,FQ9&lt;&gt;""),AND(FT9&gt;=FV$19,FU9&gt;=FV$23,FT9&lt;&gt;""),AND(GQ9&gt;=GV$19,GR9&gt;=GV$23,GQ9&lt;&gt;""),AND(GT9&gt;=GV$19,GU9&gt;=GV$23,GT9&lt;&gt;""),AND(HQ9&gt;=HV$19,HR9&gt;=HV$23,HQ9&lt;&gt;""),AND(HT9&gt;=HV$19,HU9&gt;=HV$23,HT9&lt;&gt;""),AND(IQ9&gt;=IV$19,IR9&gt;=IV$23,IQ9&lt;&gt;""),AND(IT9&gt;=IV$19,IU9&gt;=IV$23,IT9&lt;&gt;""),AND(JQ9&gt;=JV$19,JR9&gt;=JV$23,JQ9&lt;&gt;""),AND(JT9&gt;=JV$19,JU9&gt;=JV$23,JT9&lt;&gt;""),AND(KQ9&gt;=KV$19,KR9&gt;=KV$23,KQ9&lt;&gt;""),AND(KT9&gt;=KV$19,KU9&gt;=KV$23,KT9&lt;&gt;""),AND(LQ9&gt;=LV$19,LR9&gt;=LV$23,LQ9&lt;&gt;""),AND(LT9&gt;=LV$19,LU9&gt;=LV$23,LT9&lt;&gt;""),AND(MQ9&gt;=MV$19,MR9&gt;=MV$23,MQ9&lt;&gt;""),AND(MT9&gt;=MV$19,MU9&gt;=MV$23,MT9&lt;&gt;""),AND(NQ9&gt;=NV$19,NR9&gt;=NV$23,NQ9&lt;&gt;""),AND(NT9&gt;=NV$19,NU9&gt;=NV$23,NT9&lt;&gt;""),AND(OQ9&gt;=OV$19,OR9&gt;=OV$23,OQ9&lt;&gt;""),AND(OT9&gt;=OV$19,OU9&gt;=OV$23,OT9&lt;&gt;"")),"P","")</f>
        <v/>
      </c>
      <c r="G9" s="3" t="str">
        <f>IF(OR(AND(AN9&gt;=AR$23,AN9&lt;&gt;"",AL9=""),AND(AQ9&gt;=AR$23,AQ9&lt;&gt;"",AL9=""),AND(BO9&gt;=BS$23,BO9&lt;&gt;"",BM9=""),AND(BR9&gt;=BS$23,BR9&lt;&gt;"",BM9=""),AND(CP9&gt;=CT$23,CP9&lt;&gt;"",CN9=""),AND(CS9&gt;=CT$23,CS9&lt;&gt;"",CN9=""),AND(DR9&gt;=DV$23,DR9&lt;&gt;""),AND(DU9&gt;=DV$23,DU9&lt;&gt;""),AND(ER9&gt;=EV$23,ER9&lt;&gt;""),AND(EU9&gt;=EV$23,EU9&lt;&gt;""),AND(FR9&gt;=FV$23,FR9&lt;&gt;""),AND(FU9&gt;=FV$23,FU9&lt;&gt;""),AND(GR9&gt;=GV$23,GR9&lt;&gt;""),AND(GU9&gt;=GV$23,GU9&lt;&gt;""),AND(HR9&gt;=HV$23,HR9&lt;&gt;""),AND(HU9&gt;=HV$23,HU9&lt;&gt;""),AND(IR9&gt;=IV$23,IR9&lt;&gt;""),AND(IU9&gt;=IV$23,IU9&lt;&gt;""),AND(JR9&gt;=JV$23,JR9&lt;&gt;""),AND(JU9&gt;=JV$23,JU9&lt;&gt;""),AND(KR9&gt;=KV$23,KR9&lt;&gt;""),AND(KU9&gt;=KV$23,KU9&lt;&gt;""),AND(LR9&gt;=LV$23,LR9&lt;&gt;""),AND(LU9&gt;=LV$23,LU9&lt;&gt;""),AND(MR9&gt;=MV$23,MR9&lt;&gt;""),AND(MU9&gt;=MV$23,MU9&lt;&gt;""),AND(NR9&gt;=NV$23,NR9&lt;&gt;""),AND(NU9&gt;=NV$23,NU9&lt;&gt;""),AND(OR9&gt;=OV$23,OR9&lt;&gt;""),AND(OU9&gt;=OV$23,OU9&lt;&gt;"")),"P","")</f>
        <v/>
      </c>
      <c r="H9" s="47" t="str">
        <f>IF(AND(G9="P",F9=""),"No DD",IF(OR(AND(AM9&gt;=AR$22,AN9&gt;=AR$26,AM9&lt;&gt;"",AL9=""),AND(AP9&gt;=AR$22,AQ9&gt;=AR$26,AP9&lt;&gt;"",AL9=""),AND(BN9&gt;=BS$22,BO9&gt;=BS$26,BN9&lt;&gt;"",BM9=""),AND(BQ9&gt;=BS$22,BR9&gt;=BS$26,BQ9&lt;&gt;"",BM9=""),AND(CO9&gt;=CT$22,CP9&gt;=CT$26,CO9&lt;&gt;"",CN9=""),AND(CR9&gt;=CT$22,CS9&gt;=CT$26,CR9&lt;&gt;""),AND(DQ9&gt;=DV$22,DR9&gt;=DV$26,DQ9&lt;&gt;""),AND(DT9&gt;=DV$22,DU9&gt;=DV$26,DT9&lt;&gt;""),AND(EQ9&gt;=EV$22,ER9&gt;=EV$26,EQ9&lt;&gt;""),AND(ET9&gt;=EV$22,EU9&gt;=EV$26,ET9&lt;&gt;""),AND(FQ9&gt;=FV$22,FR9&gt;=FV$26,FQ9&lt;&gt;""),AND(FT9&gt;=FV$22,FU9&gt;=FV$26,FT9&lt;&gt;""),AND(GQ9&gt;=GV$22,GR9&gt;=GV$26,GQ9&lt;&gt;""),AND(GT9&gt;=GV$22,GU9&gt;=GV$26,GT9&lt;&gt;""),AND(HQ9&gt;=HV$22,HR9&gt;=HV$26,HQ9&lt;&gt;""),AND(HT9&gt;=HV$22,HU9&gt;=HV$26,HT9&lt;&gt;""),AND(IQ9&gt;=IV$22,IR9&gt;=IV$26,IQ9&lt;&gt;""),AND(IT9&gt;=IV$22,IU9&gt;=IV$26,IT9&lt;&gt;""),AND(JQ9&gt;=JV$22,JR9&gt;=JV$26,JQ9&lt;&gt;""),AND(JT9&gt;=JV$22,JU9&gt;=JV$26,JT9&lt;&gt;""),AND(KQ9&gt;=KV$22,KR9&gt;=KV$26,KQ9&lt;&gt;""),AND(KT9&gt;=KV$22,KU9&gt;=KV$26,KT9&lt;&gt;""),AND(LQ9&gt;=LV$22,LR9&gt;=LV$26,LQ9&lt;&gt;""),AND(LT9&gt;=LV$22,LU9&gt;=LV$26,LT9&lt;&gt;""),AND(MQ9&gt;=MV$22,MR9&gt;=MV$26,MQ9&lt;&gt;""),AND(MT9&gt;=MV$22,MU9&gt;=MV$26,MT9&lt;&gt;""),AND(NQ9&gt;=NV$22,NR9&gt;=NV$26,NQ9&lt;&gt;""),AND(NT9&gt;=NV$22,NU9&gt;=NV$26,NT9&lt;&gt;""),AND(OQ9&gt;=OV$22,OR9&gt;=OV$26,OQ9&lt;&gt;""),AND(OT9&gt;=OV$22,OU9&gt;=OV$26,OT9&lt;&gt;"")),"Merit",IF(OR(AND(AM9&gt;=AR$21,AN9&gt;=AR$25,AM9&lt;&gt;"",AL9=""),AND(AP9&gt;=AR$21,AQ9&gt;=AR$25,AP9&lt;&gt;"",AL9=""),AND(BN9&gt;=BS$21,BO9&gt;=BS$25,BN9&lt;&gt;"",BM9=""),AND(BQ9&gt;=BS$21,BR9&gt;=BS$25,BQ9&lt;&gt;"",BM9=""),AND(CO9&gt;=CT$21,CP9&gt;=CT$25,CO9&lt;&gt;"",CN9=""),AND(CR9&gt;=CT$21,CS9&gt;=CT$25,CR9&lt;&gt;""),AND(DQ9&gt;=DV$21,DR9&gt;=DV$25,DQ9&lt;&gt;""),AND(DT9&gt;=DV$21,DU9&gt;=DV$25,DT9&lt;&gt;""),AND(EQ9&gt;=EV$21,ER9&gt;=EV$25,EQ9&lt;&gt;""),AND(ET9&gt;=EV$21,EU9&gt;=EV$25,ET9&lt;&gt;""),AND(FQ9&gt;=FV$21,FR9&gt;=FV$25,FQ9&lt;&gt;""),AND(FT9&gt;=FV$21,FU9&gt;=FV$25,FT9&lt;&gt;""),AND(GQ9&gt;=GV$21,GR9&gt;=GV$25,GQ9&lt;&gt;""),AND(GT9&gt;=GV$21,GU9&gt;=GV$25,GT9&lt;&gt;""),AND(HQ9&gt;=HV$21,HR9&gt;=HV$25,HQ9&lt;&gt;""),AND(HT9&gt;=HV$21,HU9&gt;=HV$25,HT9&lt;&gt;""),AND(IQ9&gt;=IV$21,IR9&gt;=IV$25,IQ9&lt;&gt;""),AND(IT9&gt;=IV$21,IU9&gt;=IV$25,IT9&lt;&gt;""),AND(JQ9&gt;=JV$21,JR9&gt;=JV$25,JQ9&lt;&gt;""),AND(JT9&gt;=JV$21,JU9&gt;=JV$25,JT9&lt;&gt;""),AND(KQ9&gt;=KV$21,KR9&gt;=KV$25,KQ9&lt;&gt;""),AND(KT9&gt;=KV$21,KU9&gt;=KV$25,KT9&lt;&gt;""),AND(LQ9&gt;=LV$21,LR9&gt;=LV$25,LQ9&lt;&gt;""),AND(LT9&gt;=LV$21,LU9&gt;=LV$25,LT9&lt;&gt;""),AND(MQ9&gt;=MV$21,MR9&gt;=MV$25,MQ9&lt;&gt;""),AND(MT9&gt;=MV$21,MU9&gt;=MV$25,MT9&lt;&gt;""),AND(NQ9&gt;=NV$21,NR9&gt;=NV$25,NQ9&lt;&gt;""),AND(NT9&gt;=NV$21,NU9&gt;=NV$25,NT9&lt;&gt;""),AND(OQ9&gt;=OV$21,OR9&gt;=OV$25,OQ9&lt;&gt;""),AND(OT9&gt;=OV$21,OU9&gt;=OV$25,OT9&lt;&gt;"")),"Excellence",IF(F9="P","National Team",""))))</f>
        <v/>
      </c>
      <c r="I9" s="9">
        <f>IF(COUNT(AN9,BO9,CP9)&gt;0,LARGE((AN9,BO9,CP9),1),0)</f>
        <v>45.199999999999996</v>
      </c>
      <c r="J9" s="9" t="str">
        <f>IF(I9=0,"",IF(I9=CP9,$BT$1,IF(I9=BO9,$AS$1,IF(I9=AN9,$R$1,""))))</f>
        <v>2025 Elite Canada</v>
      </c>
      <c r="K9" s="9">
        <f>IF(COUNT(AN9,BO9,CP9)&gt;1,LARGE((AN9,BO9,CP9),2),0)</f>
        <v>40.400000000000006</v>
      </c>
      <c r="L9" s="9" t="str">
        <f>IF(K9=0,"",IF(AND(K9=I9,K9=AN9,K9=BO9),$R$1,IF(AND(K9=I9,K9=AN9,K9=CP9),$R$1,IF(AND(K9=I9,K9=CP9,K9=BO9),$AS$1,IF(K9=CP9,$BT$1,IF(K9=BO9,$AS$1,IF(K9=AN9,$R$1,"")))))))</f>
        <v>2025 3rd Domestic Trial</v>
      </c>
      <c r="M9" s="9">
        <f>IF(MAX(AQ9,BR9,CS9)&gt;0,MAX(AQ9,BR9,CS9),0)</f>
        <v>41.5</v>
      </c>
      <c r="N9" s="9" t="str">
        <f>IF(M9=0,"",IF(M9=CS9,$BT$1,IF(M9=BR9,$AS$1,IF(M9=AQ9,$R$1,""))))</f>
        <v>2025 Elite Canada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19</v>
      </c>
      <c r="S9" s="20">
        <v>3.5</v>
      </c>
      <c r="T9" s="20">
        <v>0</v>
      </c>
      <c r="U9" s="20">
        <v>0</v>
      </c>
      <c r="V9" s="20">
        <v>17.899999999999999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18.600000000000001</v>
      </c>
      <c r="AE9" s="20">
        <v>4</v>
      </c>
      <c r="AF9" s="20">
        <v>0</v>
      </c>
      <c r="AG9" s="20">
        <v>0</v>
      </c>
      <c r="AH9" s="20">
        <v>17.399999999999999</v>
      </c>
      <c r="AI9" s="20">
        <v>2.9</v>
      </c>
      <c r="AJ9" s="20">
        <v>1.4</v>
      </c>
      <c r="AK9" s="20">
        <v>0</v>
      </c>
      <c r="AL9" s="32"/>
      <c r="AM9" s="55">
        <f>IF(SUM(S9,W9)&gt;0,SUM(S9,W9),"")</f>
        <v>8.3000000000000007</v>
      </c>
      <c r="AN9" s="55">
        <f>IF(SUM(R9:S9,U9:W9,Y9)-T9-X9&gt;0,SUM(R9:S9,U9:W9,Y9)-T9-X9,"")</f>
        <v>45.199999999999996</v>
      </c>
      <c r="AO9" s="55" t="str">
        <f>IF(SUM(Z9:AA9,AC9)-AB9&gt;0,SUM(Z9:AA9,AC9)-AB9,"")</f>
        <v/>
      </c>
      <c r="AP9" s="55">
        <f>IF(SUM(AE9,AI9)&gt;0,SUM(AE9,AI9),"")</f>
        <v>6.9</v>
      </c>
      <c r="AQ9" s="55">
        <f>IF(SUM(AD9:AE9,AG9:AI9,AK9)-SUM(AF9,AJ9)&gt;0,SUM(AD9:AE9,AG9:AI9,AK9)-SUM(AF9,AJ9),"")</f>
        <v>41.5</v>
      </c>
      <c r="AR9" s="55">
        <f>IF(SUM(AN9,AO9,AQ9)&gt;0,SUM(AN9,AO9,AQ9),"")</f>
        <v>86.699999999999989</v>
      </c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33"/>
      <c r="BN9" s="14" t="str">
        <f>IF(SUM(AT9,AX9)&gt;0,SUM(AT9,AX9),"")</f>
        <v/>
      </c>
      <c r="BO9" s="14" t="str">
        <f>IF(SUM(AS9:AT9,AV9:AX9,AZ9)-AU9-AY9&gt;0,SUM(AS9:AT9,AV9:AX9,AZ9)-AU9-AY9,"")</f>
        <v/>
      </c>
      <c r="BP9" s="14" t="str">
        <f>IF(SUM(BA9:BB9,BD9)-BC9&gt;0,SUM(BA9:BB9,BD9)-BC9,"")</f>
        <v/>
      </c>
      <c r="BQ9" s="14" t="str">
        <f>IF(SUM(BF9,BJ9)&gt;0,SUM(BF9,BJ9),"")</f>
        <v/>
      </c>
      <c r="BR9" s="14" t="str">
        <f>IF(SUM(BE9:BF9,BH9:BJ9,BL9)-SUM(BG9,BK9)&gt;0,SUM(BE9:BF9,BH9:BJ9,BL9)-SUM(BG9,BK9),"")</f>
        <v/>
      </c>
      <c r="BS9" s="14" t="str">
        <f>IF(SUM(BO9,BP9,BR9)&gt;0,SUM(BO9,BP9,BR9),"")</f>
        <v/>
      </c>
      <c r="BT9" s="20">
        <v>18.5</v>
      </c>
      <c r="BU9" s="20">
        <v>3.6</v>
      </c>
      <c r="BV9" s="20">
        <v>0</v>
      </c>
      <c r="BW9" s="20">
        <v>0</v>
      </c>
      <c r="BX9" s="20">
        <v>16.600000000000001</v>
      </c>
      <c r="BY9" s="20">
        <v>2.7</v>
      </c>
      <c r="BZ9" s="20">
        <v>1</v>
      </c>
      <c r="CA9" s="20">
        <v>0</v>
      </c>
      <c r="CB9" s="20"/>
      <c r="CC9" s="20"/>
      <c r="CD9" s="20"/>
      <c r="CE9" s="20"/>
      <c r="CF9" s="20">
        <v>15.77</v>
      </c>
      <c r="CG9" s="20">
        <v>0.7</v>
      </c>
      <c r="CH9" s="20">
        <v>0</v>
      </c>
      <c r="CI9" s="20">
        <v>0</v>
      </c>
      <c r="CJ9" s="20">
        <v>16.8</v>
      </c>
      <c r="CK9" s="20">
        <v>3.6</v>
      </c>
      <c r="CL9" s="20">
        <v>0.2</v>
      </c>
      <c r="CM9" s="20">
        <v>0</v>
      </c>
      <c r="CN9" s="32"/>
      <c r="CO9" s="55">
        <f>IF(SUM(BU9,BY9)&gt;0,SUM(BU9,BY9),"")</f>
        <v>6.3000000000000007</v>
      </c>
      <c r="CP9" s="55">
        <f>IF(SUM(BT9:BU9,BW9:BY9,CA9)-BV9-BZ9&gt;0,SUM(BT9:BU9,BW9:BY9,CA9)-BV9-BZ9,"")</f>
        <v>40.400000000000006</v>
      </c>
      <c r="CQ9" s="55" t="str">
        <f>IF(SUM(CB9:CC9,CE9)-CD9&gt;0,SUM(CB9:CC9,CE9)-CD9,"")</f>
        <v/>
      </c>
      <c r="CR9" s="55">
        <f>IF(SUM(CG9,CK9)&gt;0,SUM(CG9,CK9),"")</f>
        <v>4.3</v>
      </c>
      <c r="CS9" s="55">
        <f>IF(SUM(CF9:CG9,CI9:CK9,CM9)-SUM(CH9,CL9)&gt;0,SUM(CF9:CG9,CI9:CK9,CM9)-SUM(CH9,CL9),"")</f>
        <v>36.669999999999995</v>
      </c>
      <c r="CT9" s="55">
        <f>IF(SUM(CP9,CQ9,CS9)&gt;0,SUM(CP9,CQ9,CS9),"")</f>
        <v>77.069999999999993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9.25</v>
      </c>
      <c r="OX9" s="27">
        <f>IF($CN9="P",BU9,(BU9+AT9)/2)</f>
        <v>1.8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8.3000000000000007</v>
      </c>
      <c r="PB9" s="27">
        <f>IF($CN9="P",BY9,(BY9+AX9)/2)</f>
        <v>1.35</v>
      </c>
      <c r="PC9" s="27">
        <f>IF($CN9="P",BZ9,(BZ9+AY9)/2)</f>
        <v>0.5</v>
      </c>
      <c r="PD9" s="27">
        <f>IF($CN9="P",CA9,(CA9+AZ9)/2)</f>
        <v>0</v>
      </c>
      <c r="PE9" s="27">
        <f>IF($CN9="P",CB9,(CB9+BA9)/2)</f>
        <v>0</v>
      </c>
      <c r="PF9" s="27">
        <f>IF($CN9="P",CC9,(CC9+BB9)/2)</f>
        <v>0</v>
      </c>
      <c r="PG9" s="27">
        <f>IF($CN9="P",CD9,(CD9+BC9)/2)</f>
        <v>0</v>
      </c>
      <c r="PH9" s="27">
        <f>IF($CN9="P",CE9,(CE9+BD9)/2)</f>
        <v>0</v>
      </c>
      <c r="PI9" s="27">
        <f>IF($CN9="P",CF9,(CF9+BE9)/2)</f>
        <v>7.8849999999999998</v>
      </c>
      <c r="PJ9" s="27">
        <f>IF($CN9="P",CG9,(CG9+BF9)/2)</f>
        <v>0.35</v>
      </c>
      <c r="PK9" s="27">
        <f>IF($CN9="P",CH9,(CH9+BG9)/2)</f>
        <v>0</v>
      </c>
      <c r="PL9" s="27">
        <f>IF($CN9="P",CI9,(CI9+BH9)/2)</f>
        <v>0</v>
      </c>
      <c r="PM9" s="27">
        <f>IF($CN9="P",CJ9,(CJ9+BI9)/2)</f>
        <v>8.4</v>
      </c>
      <c r="PN9" s="27">
        <f>IF($CN9="P",CK9,(CK9+BJ9)/2)</f>
        <v>1.8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3.1500000000000004</v>
      </c>
      <c r="PS9" s="55">
        <f>IF(SUM(OW9:OX9,OZ9:PB9,PD9)-OY9-PC9&gt;0,SUM(OW9:OX9,OZ9:PB9,PD9)-OY9-PC9,"")</f>
        <v>20.200000000000003</v>
      </c>
      <c r="PT9" s="55" t="str">
        <f>IF(SUM(PE9:PF9,PH9)-PG9&gt;0,SUM(PE9:PF9,PH9)-PG9,"")</f>
        <v/>
      </c>
      <c r="PU9" s="55">
        <f>IF(SUM(PJ9,PN9)&gt;0,SUM(PJ9,PN9),"")</f>
        <v>2.15</v>
      </c>
      <c r="PV9" s="55">
        <f>IF(SUM(PI9:PJ9,PL9:PN9,PP9)-SUM(PK9,PO9)&gt;0,SUM(PI9:PJ9,PL9:PN9,PP9)-SUM(PK9,PO9),"")</f>
        <v>18.334999999999997</v>
      </c>
      <c r="PW9" s="55">
        <f>IF(SUM(PS9,PT9,PV9)&gt;0,SUM(PS9,PT9,PV9),"")</f>
        <v>38.534999999999997</v>
      </c>
    </row>
    <row r="10" spans="1:43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100</v>
      </c>
      <c r="C10" s="4" t="s">
        <v>67</v>
      </c>
      <c r="D10" s="4">
        <v>2010</v>
      </c>
      <c r="E10" s="10">
        <f>SUM(I10:O10)+SUM(I10:M10)*0.0000001+SUM(I10)*0.0000000000001</f>
        <v>126.60001266000444</v>
      </c>
      <c r="F10" s="3" t="str">
        <f>IF(OR(AND(AM10&gt;=AR$19,AN10&gt;=AR$23,AM10&lt;&gt;"",AL10=""),AND(AP10&gt;=AR$19,AQ10&gt;=AR$23,AP10&lt;&gt;"",AL10=""),AND(BN10&gt;=BS$19,BO10&gt;=BS$23,BN10&lt;&gt;"",BM10=""),AND(BQ10&gt;=BS$19,BR10&gt;=BS$23,BQ10&lt;&gt;"",BM10=""),AND(CO10&gt;=CT$19,CP10&gt;=CT$23,CO10&lt;&gt;"",CN10=""),AND(CR10&gt;=CT$19,CS10&gt;=CT$23,CR10&lt;&gt;""),AND(DQ10&gt;=DV$19,DR10&gt;=DV$23,DQ10&lt;&gt;""),AND(DT10&gt;=DV$19,DU10&gt;=DV$23,DT10&lt;&gt;""),AND(EQ10&gt;=EV$19,ER10&gt;=EV$23,EQ10&lt;&gt;""),AND(ET10&gt;=EV$19,EU10&gt;=EV$23,ET10&lt;&gt;""),AND(FQ10&gt;=FV$19,FR10&gt;=FV$23,FQ10&lt;&gt;""),AND(FT10&gt;=FV$19,FU10&gt;=FV$23,FT10&lt;&gt;""),AND(GQ10&gt;=GV$19,GR10&gt;=GV$23,GQ10&lt;&gt;""),AND(GT10&gt;=GV$19,GU10&gt;=GV$23,GT10&lt;&gt;""),AND(HQ10&gt;=HV$19,HR10&gt;=HV$23,HQ10&lt;&gt;""),AND(HT10&gt;=HV$19,HU10&gt;=HV$23,HT10&lt;&gt;""),AND(IQ10&gt;=IV$19,IR10&gt;=IV$23,IQ10&lt;&gt;""),AND(IT10&gt;=IV$19,IU10&gt;=IV$23,IT10&lt;&gt;""),AND(JQ10&gt;=JV$19,JR10&gt;=JV$23,JQ10&lt;&gt;""),AND(JT10&gt;=JV$19,JU10&gt;=JV$23,JT10&lt;&gt;""),AND(KQ10&gt;=KV$19,KR10&gt;=KV$23,KQ10&lt;&gt;""),AND(KT10&gt;=KV$19,KU10&gt;=KV$23,KT10&lt;&gt;""),AND(LQ10&gt;=LV$19,LR10&gt;=LV$23,LQ10&lt;&gt;""),AND(LT10&gt;=LV$19,LU10&gt;=LV$23,LT10&lt;&gt;""),AND(MQ10&gt;=MV$19,MR10&gt;=MV$23,MQ10&lt;&gt;""),AND(MT10&gt;=MV$19,MU10&gt;=MV$23,MT10&lt;&gt;""),AND(NQ10&gt;=NV$19,NR10&gt;=NV$23,NQ10&lt;&gt;""),AND(NT10&gt;=NV$19,NU10&gt;=NV$23,NT10&lt;&gt;""),AND(OQ10&gt;=OV$19,OR10&gt;=OV$23,OQ10&lt;&gt;""),AND(OT10&gt;=OV$19,OU10&gt;=OV$23,OT10&lt;&gt;"")),"P","")</f>
        <v/>
      </c>
      <c r="G10" s="3" t="str">
        <f>IF(OR(AND(AN10&gt;=AR$23,AN10&lt;&gt;"",AL10=""),AND(AQ10&gt;=AR$23,AQ10&lt;&gt;"",AL10=""),AND(BO10&gt;=BS$23,BO10&lt;&gt;"",BM10=""),AND(BR10&gt;=BS$23,BR10&lt;&gt;"",BM10=""),AND(CP10&gt;=CT$23,CP10&lt;&gt;"",CN10=""),AND(CS10&gt;=CT$23,CS10&lt;&gt;"",CN10=""),AND(DR10&gt;=DV$23,DR10&lt;&gt;""),AND(DU10&gt;=DV$23,DU10&lt;&gt;""),AND(ER10&gt;=EV$23,ER10&lt;&gt;""),AND(EU10&gt;=EV$23,EU10&lt;&gt;""),AND(FR10&gt;=FV$23,FR10&lt;&gt;""),AND(FU10&gt;=FV$23,FU10&lt;&gt;""),AND(GR10&gt;=GV$23,GR10&lt;&gt;""),AND(GU10&gt;=GV$23,GU10&lt;&gt;""),AND(HR10&gt;=HV$23,HR10&lt;&gt;""),AND(HU10&gt;=HV$23,HU10&lt;&gt;""),AND(IR10&gt;=IV$23,IR10&lt;&gt;""),AND(IU10&gt;=IV$23,IU10&lt;&gt;""),AND(JR10&gt;=JV$23,JR10&lt;&gt;""),AND(JU10&gt;=JV$23,JU10&lt;&gt;""),AND(KR10&gt;=KV$23,KR10&lt;&gt;""),AND(KU10&gt;=KV$23,KU10&lt;&gt;""),AND(LR10&gt;=LV$23,LR10&lt;&gt;""),AND(LU10&gt;=LV$23,LU10&lt;&gt;""),AND(MR10&gt;=MV$23,MR10&lt;&gt;""),AND(MU10&gt;=MV$23,MU10&lt;&gt;""),AND(NR10&gt;=NV$23,NR10&lt;&gt;""),AND(NU10&gt;=NV$23,NU10&lt;&gt;""),AND(OR10&gt;=OV$23,OR10&lt;&gt;""),AND(OU10&gt;=OV$23,OU10&lt;&gt;"")),"P","")</f>
        <v/>
      </c>
      <c r="H10" s="47" t="str">
        <f>IF(AND(G10="P",F10=""),"No DD",IF(OR(AND(AM10&gt;=AR$22,AN10&gt;=AR$26,AM10&lt;&gt;"",AL10=""),AND(AP10&gt;=AR$22,AQ10&gt;=AR$26,AP10&lt;&gt;"",AL10=""),AND(BN10&gt;=BS$22,BO10&gt;=BS$26,BN10&lt;&gt;"",BM10=""),AND(BQ10&gt;=BS$22,BR10&gt;=BS$26,BQ10&lt;&gt;"",BM10=""),AND(CO10&gt;=CT$22,CP10&gt;=CT$26,CO10&lt;&gt;"",CN10=""),AND(CR10&gt;=CT$22,CS10&gt;=CT$26,CR10&lt;&gt;""),AND(DQ10&gt;=DV$22,DR10&gt;=DV$26,DQ10&lt;&gt;""),AND(DT10&gt;=DV$22,DU10&gt;=DV$26,DT10&lt;&gt;""),AND(EQ10&gt;=EV$22,ER10&gt;=EV$26,EQ10&lt;&gt;""),AND(ET10&gt;=EV$22,EU10&gt;=EV$26,ET10&lt;&gt;""),AND(FQ10&gt;=FV$22,FR10&gt;=FV$26,FQ10&lt;&gt;""),AND(FT10&gt;=FV$22,FU10&gt;=FV$26,FT10&lt;&gt;""),AND(GQ10&gt;=GV$22,GR10&gt;=GV$26,GQ10&lt;&gt;""),AND(GT10&gt;=GV$22,GU10&gt;=GV$26,GT10&lt;&gt;""),AND(HQ10&gt;=HV$22,HR10&gt;=HV$26,HQ10&lt;&gt;""),AND(HT10&gt;=HV$22,HU10&gt;=HV$26,HT10&lt;&gt;""),AND(IQ10&gt;=IV$22,IR10&gt;=IV$26,IQ10&lt;&gt;""),AND(IT10&gt;=IV$22,IU10&gt;=IV$26,IT10&lt;&gt;""),AND(JQ10&gt;=JV$22,JR10&gt;=JV$26,JQ10&lt;&gt;""),AND(JT10&gt;=JV$22,JU10&gt;=JV$26,JT10&lt;&gt;""),AND(KQ10&gt;=KV$22,KR10&gt;=KV$26,KQ10&lt;&gt;""),AND(KT10&gt;=KV$22,KU10&gt;=KV$26,KT10&lt;&gt;""),AND(LQ10&gt;=LV$22,LR10&gt;=LV$26,LQ10&lt;&gt;""),AND(LT10&gt;=LV$22,LU10&gt;=LV$26,LT10&lt;&gt;""),AND(MQ10&gt;=MV$22,MR10&gt;=MV$26,MQ10&lt;&gt;""),AND(MT10&gt;=MV$22,MU10&gt;=MV$26,MT10&lt;&gt;""),AND(NQ10&gt;=NV$22,NR10&gt;=NV$26,NQ10&lt;&gt;""),AND(NT10&gt;=NV$22,NU10&gt;=NV$26,NT10&lt;&gt;""),AND(OQ10&gt;=OV$22,OR10&gt;=OV$26,OQ10&lt;&gt;""),AND(OT10&gt;=OV$22,OU10&gt;=OV$26,OT10&lt;&gt;"")),"Merit",IF(OR(AND(AM10&gt;=AR$21,AN10&gt;=AR$25,AM10&lt;&gt;"",AL10=""),AND(AP10&gt;=AR$21,AQ10&gt;=AR$25,AP10&lt;&gt;"",AL10=""),AND(BN10&gt;=BS$21,BO10&gt;=BS$25,BN10&lt;&gt;"",BM10=""),AND(BQ10&gt;=BS$21,BR10&gt;=BS$25,BQ10&lt;&gt;"",BM10=""),AND(CO10&gt;=CT$21,CP10&gt;=CT$25,CO10&lt;&gt;"",CN10=""),AND(CR10&gt;=CT$21,CS10&gt;=CT$25,CR10&lt;&gt;""),AND(DQ10&gt;=DV$21,DR10&gt;=DV$25,DQ10&lt;&gt;""),AND(DT10&gt;=DV$21,DU10&gt;=DV$25,DT10&lt;&gt;""),AND(EQ10&gt;=EV$21,ER10&gt;=EV$25,EQ10&lt;&gt;""),AND(ET10&gt;=EV$21,EU10&gt;=EV$25,ET10&lt;&gt;""),AND(FQ10&gt;=FV$21,FR10&gt;=FV$25,FQ10&lt;&gt;""),AND(FT10&gt;=FV$21,FU10&gt;=FV$25,FT10&lt;&gt;""),AND(GQ10&gt;=GV$21,GR10&gt;=GV$25,GQ10&lt;&gt;""),AND(GT10&gt;=GV$21,GU10&gt;=GV$25,GT10&lt;&gt;""),AND(HQ10&gt;=HV$21,HR10&gt;=HV$25,HQ10&lt;&gt;""),AND(HT10&gt;=HV$21,HU10&gt;=HV$25,HT10&lt;&gt;""),AND(IQ10&gt;=IV$21,IR10&gt;=IV$25,IQ10&lt;&gt;""),AND(IT10&gt;=IV$21,IU10&gt;=IV$25,IT10&lt;&gt;""),AND(JQ10&gt;=JV$21,JR10&gt;=JV$25,JQ10&lt;&gt;""),AND(JT10&gt;=JV$21,JU10&gt;=JV$25,JT10&lt;&gt;""),AND(KQ10&gt;=KV$21,KR10&gt;=KV$25,KQ10&lt;&gt;""),AND(KT10&gt;=KV$21,KU10&gt;=KV$25,KT10&lt;&gt;""),AND(LQ10&gt;=LV$21,LR10&gt;=LV$25,LQ10&lt;&gt;""),AND(LT10&gt;=LV$21,LU10&gt;=LV$25,LT10&lt;&gt;""),AND(MQ10&gt;=MV$21,MR10&gt;=MV$25,MQ10&lt;&gt;""),AND(MT10&gt;=MV$21,MU10&gt;=MV$25,MT10&lt;&gt;""),AND(NQ10&gt;=NV$21,NR10&gt;=NV$25,NQ10&lt;&gt;""),AND(NT10&gt;=NV$21,NU10&gt;=NV$25,NT10&lt;&gt;""),AND(OQ10&gt;=OV$21,OR10&gt;=OV$25,OQ10&lt;&gt;""),AND(OT10&gt;=OV$21,OU10&gt;=OV$25,OT10&lt;&gt;"")),"Excellence",IF(F10="P","National Team",""))))</f>
        <v/>
      </c>
      <c r="I10" s="9">
        <f>IF(COUNT(AN10,BO10,CP10)&gt;0,LARGE((AN10,BO10,CP10),1),0)</f>
        <v>44.499999999999993</v>
      </c>
      <c r="J10" s="9" t="str">
        <f>IF(I10=0,"",IF(I10=CP10,$BT$1,IF(I10=BO10,$AS$1,IF(I10=AN10,$R$1,""))))</f>
        <v>2025 Nationals</v>
      </c>
      <c r="K10" s="9">
        <f>IF(COUNT(AN10,BO10,CP10)&gt;1,LARGE((AN10,BO10,CP10),2),0)</f>
        <v>38.099999999999994</v>
      </c>
      <c r="L10" s="9" t="str">
        <f>IF(K10=0,"",IF(AND(K10=I10,K10=AN10,K10=BO10),$R$1,IF(AND(K10=I10,K10=AN10,K10=CP10),$R$1,IF(AND(K10=I10,K10=CP10,K10=BO10),$AS$1,IF(K10=CP10,$BT$1,IF(K10=BO10,$AS$1,IF(K10=AN10,$R$1,"")))))))</f>
        <v>2025 Elite Canada</v>
      </c>
      <c r="M10" s="9">
        <f>IF(MAX(AQ10,BR10,CS10)&gt;0,MAX(AQ10,BR10,CS10),0)</f>
        <v>44</v>
      </c>
      <c r="N10" s="9" t="str">
        <f>IF(M10=0,"",IF(M10=CS10,$BT$1,IF(M10=BR10,$AS$1,IF(M10=AQ10,$R$1,""))))</f>
        <v>2025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>
        <v>15.4</v>
      </c>
      <c r="S10" s="20">
        <v>1.2</v>
      </c>
      <c r="T10" s="20">
        <v>0</v>
      </c>
      <c r="U10" s="20">
        <v>0</v>
      </c>
      <c r="V10" s="20">
        <v>17.7</v>
      </c>
      <c r="W10" s="20">
        <v>4.4000000000000004</v>
      </c>
      <c r="X10" s="20">
        <v>0.6</v>
      </c>
      <c r="Y10" s="20">
        <v>0</v>
      </c>
      <c r="Z10" s="20"/>
      <c r="AA10" s="20"/>
      <c r="AB10" s="20"/>
      <c r="AC10" s="20"/>
      <c r="AD10" s="20">
        <v>18.5</v>
      </c>
      <c r="AE10" s="20">
        <v>3.6</v>
      </c>
      <c r="AF10" s="20">
        <v>0</v>
      </c>
      <c r="AG10" s="20">
        <v>0</v>
      </c>
      <c r="AH10" s="20">
        <v>18.100000000000001</v>
      </c>
      <c r="AI10" s="20">
        <v>4.4000000000000004</v>
      </c>
      <c r="AJ10" s="20">
        <v>0.6</v>
      </c>
      <c r="AK10" s="20">
        <v>0</v>
      </c>
      <c r="AL10" s="32"/>
      <c r="AM10" s="55">
        <f>IF(SUM(S10,W10)&gt;0,SUM(S10,W10),"")</f>
        <v>5.6000000000000005</v>
      </c>
      <c r="AN10" s="55">
        <f>IF(SUM(R10:S10,U10:W10,Y10)-T10-X10&gt;0,SUM(R10:S10,U10:W10,Y10)-T10-X10,"")</f>
        <v>38.099999999999994</v>
      </c>
      <c r="AO10" s="55" t="str">
        <f>IF(SUM(Z10:AA10,AC10)-AB10&gt;0,SUM(Z10:AA10,AC10)-AB10,"")</f>
        <v/>
      </c>
      <c r="AP10" s="55">
        <f>IF(SUM(AE10,AI10)&gt;0,SUM(AE10,AI10),"")</f>
        <v>8</v>
      </c>
      <c r="AQ10" s="55">
        <f>IF(SUM(AD10:AE10,AG10:AI10,AK10)-SUM(AF10,AJ10)&gt;0,SUM(AD10:AE10,AG10:AI10,AK10)-SUM(AF10,AJ10),"")</f>
        <v>44</v>
      </c>
      <c r="AR10" s="55">
        <f>IF(SUM(AN10,AO10,AQ10)&gt;0,SUM(AN10,AO10,AQ10),"")</f>
        <v>82.1</v>
      </c>
      <c r="AS10" s="19">
        <v>18.399999999999999</v>
      </c>
      <c r="AT10" s="19">
        <v>4.4000000000000004</v>
      </c>
      <c r="AU10" s="19">
        <v>0</v>
      </c>
      <c r="AV10" s="19">
        <v>0</v>
      </c>
      <c r="AW10" s="19">
        <v>18.3</v>
      </c>
      <c r="AX10" s="19">
        <v>3.6</v>
      </c>
      <c r="AY10" s="19">
        <v>0.2</v>
      </c>
      <c r="AZ10" s="19">
        <v>0</v>
      </c>
      <c r="BA10" s="19"/>
      <c r="BB10" s="19"/>
      <c r="BC10" s="19"/>
      <c r="BD10" s="19"/>
      <c r="BE10" s="19">
        <v>18.2</v>
      </c>
      <c r="BF10" s="19">
        <v>4.4000000000000004</v>
      </c>
      <c r="BG10" s="19">
        <v>0.8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33"/>
      <c r="BN10" s="14">
        <f>IF(SUM(AT10,AX10)&gt;0,SUM(AT10,AX10),"")</f>
        <v>8</v>
      </c>
      <c r="BO10" s="14">
        <f>IF(SUM(AS10:AT10,AV10:AX10,AZ10)-AU10-AY10&gt;0,SUM(AS10:AT10,AV10:AX10,AZ10)-AU10-AY10,"")</f>
        <v>44.499999999999993</v>
      </c>
      <c r="BP10" s="14" t="str">
        <f>IF(SUM(BA10:BB10,BD10)-BC10&gt;0,SUM(BA10:BB10,BD10)-BC10,"")</f>
        <v/>
      </c>
      <c r="BQ10" s="14">
        <f>IF(SUM(BF10,BJ10)&gt;0,SUM(BF10,BJ10),"")</f>
        <v>4.4000000000000004</v>
      </c>
      <c r="BR10" s="14">
        <f>IF(SUM(BE10:BF10,BH10:BJ10,BL10)-SUM(BG10,BK10)&gt;0,SUM(BE10:BF10,BH10:BJ10,BL10)-SUM(BG10,BK10),"")</f>
        <v>21.8</v>
      </c>
      <c r="BS10" s="14">
        <f>IF(SUM(BO10,BP10,BR10)&gt;0,SUM(BO10,BP10,BR10),"")</f>
        <v>66.3</v>
      </c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32"/>
      <c r="CO10" s="55" t="str">
        <f>IF(SUM(BU10,BY10)&gt;0,SUM(BU10,BY10),"")</f>
        <v/>
      </c>
      <c r="CP10" s="55" t="str">
        <f>IF(SUM(BT10:BU10,BW10:BY10,CA10)-BV10-BZ10&gt;0,SUM(BT10:BU10,BW10:BY10,CA10)-BV10-BZ10,"")</f>
        <v/>
      </c>
      <c r="CQ10" s="55" t="str">
        <f>IF(SUM(CB10:CC10,CE10)-CD10&gt;0,SUM(CB10:CC10,CE10)-CD10,"")</f>
        <v/>
      </c>
      <c r="CR10" s="55" t="str">
        <f>IF(SUM(CG10,CK10)&gt;0,SUM(CG10,CK10),"")</f>
        <v/>
      </c>
      <c r="CS10" s="55" t="str">
        <f>IF(SUM(CF10:CG10,CI10:CK10,CM10)-SUM(CH10,CL10)&gt;0,SUM(CF10:CG10,CI10:CK10,CM10)-SUM(CH10,CL10),"")</f>
        <v/>
      </c>
      <c r="CT10" s="55" t="str">
        <f>IF(SUM(CP10,CQ10,CS10)&gt;0,SUM(CP10,CQ10,CS10),"")</f>
        <v/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9.1999999999999993</v>
      </c>
      <c r="OX10" s="27">
        <f>IF($CN10="P",BU10,(BU10+AT10)/2)</f>
        <v>2.2000000000000002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9.15</v>
      </c>
      <c r="PB10" s="27">
        <f>IF($CN10="P",BY10,(BY10+AX10)/2)</f>
        <v>1.8</v>
      </c>
      <c r="PC10" s="27">
        <f>IF($CN10="P",BZ10,(BZ10+AY10)/2)</f>
        <v>0.1</v>
      </c>
      <c r="PD10" s="27">
        <f>IF($CN10="P",CA10,(CA10+AZ10)/2)</f>
        <v>0</v>
      </c>
      <c r="PE10" s="27">
        <f>IF($CN10="P",CB10,(CB10+BA10)/2)</f>
        <v>0</v>
      </c>
      <c r="PF10" s="27">
        <f>IF($CN10="P",CC10,(CC10+BB10)/2)</f>
        <v>0</v>
      </c>
      <c r="PG10" s="27">
        <f>IF($CN10="P",CD10,(CD10+BC10)/2)</f>
        <v>0</v>
      </c>
      <c r="PH10" s="27">
        <f>IF($CN10="P",CE10,(CE10+BD10)/2)</f>
        <v>0</v>
      </c>
      <c r="PI10" s="27">
        <f>IF($CN10="P",CF10,(CF10+BE10)/2)</f>
        <v>9.1</v>
      </c>
      <c r="PJ10" s="27">
        <f>IF($CN10="P",CG10,(CG10+BF10)/2)</f>
        <v>2.2000000000000002</v>
      </c>
      <c r="PK10" s="27">
        <f>IF($CN10="P",CH10,(CH10+BG10)/2)</f>
        <v>0.4</v>
      </c>
      <c r="PL10" s="27">
        <f>IF($CN10="P",CI10,(CI10+BH10)/2)</f>
        <v>0</v>
      </c>
      <c r="PM10" s="27">
        <f>IF($CN10="P",CJ10,(CJ10+BI10)/2)</f>
        <v>0</v>
      </c>
      <c r="PN10" s="27">
        <f>IF($CN10="P",CK10,(CK10+BJ10)/2)</f>
        <v>0</v>
      </c>
      <c r="PO10" s="27">
        <f>IF($CN10="P",CL10,(CL10+BK10)/2)</f>
        <v>0</v>
      </c>
      <c r="PP10" s="27">
        <f>IF($CN10="P",CM10,(CM10+BL10)/2)</f>
        <v>0</v>
      </c>
      <c r="PQ10" s="32" t="s">
        <v>44</v>
      </c>
      <c r="PR10" s="55">
        <f>IF(SUM(OX10,PB10)&gt;0,SUM(OX10,PB10),"")</f>
        <v>4</v>
      </c>
      <c r="PS10" s="55">
        <f>IF(SUM(OW10:OX10,OZ10:PB10,PD10)-OY10-PC10&gt;0,SUM(OW10:OX10,OZ10:PB10,PD10)-OY10-PC10,"")</f>
        <v>22.249999999999996</v>
      </c>
      <c r="PT10" s="55" t="str">
        <f>IF(SUM(PE10:PF10,PH10)-PG10&gt;0,SUM(PE10:PF10,PH10)-PG10,"")</f>
        <v/>
      </c>
      <c r="PU10" s="55">
        <f>IF(SUM(PJ10,PN10)&gt;0,SUM(PJ10,PN10),"")</f>
        <v>2.2000000000000002</v>
      </c>
      <c r="PV10" s="55">
        <f>IF(SUM(PI10:PJ10,PL10:PN10,PP10)-SUM(PK10,PO10)&gt;0,SUM(PI10:PJ10,PL10:PN10,PP10)-SUM(PK10,PO10),"")</f>
        <v>10.9</v>
      </c>
      <c r="PW10" s="55">
        <f>IF(SUM(PS10,PT10,PV10)&gt;0,SUM(PS10,PT10,PV10),"")</f>
        <v>33.15</v>
      </c>
    </row>
    <row r="11" spans="1:43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116</v>
      </c>
      <c r="C11" s="4" t="s">
        <v>67</v>
      </c>
      <c r="D11" s="4">
        <v>2009</v>
      </c>
      <c r="E11" s="10">
        <f>SUM(I11:O11)+SUM(I11:M11)*0.0000001+SUM(I11)*0.0000000000001</f>
        <v>125.70001257000415</v>
      </c>
      <c r="F11" s="3" t="str">
        <f>IF(OR(AND(AM11&gt;=AR$19,AN11&gt;=AR$23,AM11&lt;&gt;"",AL11=""),AND(AP11&gt;=AR$19,AQ11&gt;=AR$23,AP11&lt;&gt;"",AL11=""),AND(BN11&gt;=BS$19,BO11&gt;=BS$23,BN11&lt;&gt;"",BM11=""),AND(BQ11&gt;=BS$19,BR11&gt;=BS$23,BQ11&lt;&gt;"",BM11=""),AND(CO11&gt;=CT$19,CP11&gt;=CT$23,CO11&lt;&gt;"",CN11=""),AND(CR11&gt;=CT$19,CS11&gt;=CT$23,CR11&lt;&gt;""),AND(DQ11&gt;=DV$19,DR11&gt;=DV$23,DQ11&lt;&gt;""),AND(DT11&gt;=DV$19,DU11&gt;=DV$23,DT11&lt;&gt;""),AND(EQ11&gt;=EV$19,ER11&gt;=EV$23,EQ11&lt;&gt;""),AND(ET11&gt;=EV$19,EU11&gt;=EV$23,ET11&lt;&gt;""),AND(FQ11&gt;=FV$19,FR11&gt;=FV$23,FQ11&lt;&gt;""),AND(FT11&gt;=FV$19,FU11&gt;=FV$23,FT11&lt;&gt;""),AND(GQ11&gt;=GV$19,GR11&gt;=GV$23,GQ11&lt;&gt;""),AND(GT11&gt;=GV$19,GU11&gt;=GV$23,GT11&lt;&gt;""),AND(HQ11&gt;=HV$19,HR11&gt;=HV$23,HQ11&lt;&gt;""),AND(HT11&gt;=HV$19,HU11&gt;=HV$23,HT11&lt;&gt;""),AND(IQ11&gt;=IV$19,IR11&gt;=IV$23,IQ11&lt;&gt;""),AND(IT11&gt;=IV$19,IU11&gt;=IV$23,IT11&lt;&gt;""),AND(JQ11&gt;=JV$19,JR11&gt;=JV$23,JQ11&lt;&gt;""),AND(JT11&gt;=JV$19,JU11&gt;=JV$23,JT11&lt;&gt;""),AND(KQ11&gt;=KV$19,KR11&gt;=KV$23,KQ11&lt;&gt;""),AND(KT11&gt;=KV$19,KU11&gt;=KV$23,KT11&lt;&gt;""),AND(LQ11&gt;=LV$19,LR11&gt;=LV$23,LQ11&lt;&gt;""),AND(LT11&gt;=LV$19,LU11&gt;=LV$23,LT11&lt;&gt;""),AND(MQ11&gt;=MV$19,MR11&gt;=MV$23,MQ11&lt;&gt;""),AND(MT11&gt;=MV$19,MU11&gt;=MV$23,MT11&lt;&gt;""),AND(NQ11&gt;=NV$19,NR11&gt;=NV$23,NQ11&lt;&gt;""),AND(NT11&gt;=NV$19,NU11&gt;=NV$23,NT11&lt;&gt;""),AND(OQ11&gt;=OV$19,OR11&gt;=OV$23,OQ11&lt;&gt;""),AND(OT11&gt;=OV$19,OU11&gt;=OV$23,OT11&lt;&gt;"")),"P","")</f>
        <v/>
      </c>
      <c r="G11" s="3" t="str">
        <f>IF(OR(AND(AN11&gt;=AR$23,AN11&lt;&gt;"",AL11=""),AND(AQ11&gt;=AR$23,AQ11&lt;&gt;"",AL11=""),AND(BO11&gt;=BS$23,BO11&lt;&gt;"",BM11=""),AND(BR11&gt;=BS$23,BR11&lt;&gt;"",BM11=""),AND(CP11&gt;=CT$23,CP11&lt;&gt;"",CN11=""),AND(CS11&gt;=CT$23,CS11&lt;&gt;"",CN11=""),AND(DR11&gt;=DV$23,DR11&lt;&gt;""),AND(DU11&gt;=DV$23,DU11&lt;&gt;""),AND(ER11&gt;=EV$23,ER11&lt;&gt;""),AND(EU11&gt;=EV$23,EU11&lt;&gt;""),AND(FR11&gt;=FV$23,FR11&lt;&gt;""),AND(FU11&gt;=FV$23,FU11&lt;&gt;""),AND(GR11&gt;=GV$23,GR11&lt;&gt;""),AND(GU11&gt;=GV$23,GU11&lt;&gt;""),AND(HR11&gt;=HV$23,HR11&lt;&gt;""),AND(HU11&gt;=HV$23,HU11&lt;&gt;""),AND(IR11&gt;=IV$23,IR11&lt;&gt;""),AND(IU11&gt;=IV$23,IU11&lt;&gt;""),AND(JR11&gt;=JV$23,JR11&lt;&gt;""),AND(JU11&gt;=JV$23,JU11&lt;&gt;""),AND(KR11&gt;=KV$23,KR11&lt;&gt;""),AND(KU11&gt;=KV$23,KU11&lt;&gt;""),AND(LR11&gt;=LV$23,LR11&lt;&gt;""),AND(LU11&gt;=LV$23,LU11&lt;&gt;""),AND(MR11&gt;=MV$23,MR11&lt;&gt;""),AND(MU11&gt;=MV$23,MU11&lt;&gt;""),AND(NR11&gt;=NV$23,NR11&lt;&gt;""),AND(NU11&gt;=NV$23,NU11&lt;&gt;""),AND(OR11&gt;=OV$23,OR11&lt;&gt;""),AND(OU11&gt;=OV$23,OU11&lt;&gt;"")),"P","")</f>
        <v/>
      </c>
      <c r="H11" s="47" t="str">
        <f>IF(AND(G11="P",F11=""),"No DD",IF(OR(AND(AM11&gt;=AR$22,AN11&gt;=AR$26,AM11&lt;&gt;"",AL11=""),AND(AP11&gt;=AR$22,AQ11&gt;=AR$26,AP11&lt;&gt;"",AL11=""),AND(BN11&gt;=BS$22,BO11&gt;=BS$26,BN11&lt;&gt;"",BM11=""),AND(BQ11&gt;=BS$22,BR11&gt;=BS$26,BQ11&lt;&gt;"",BM11=""),AND(CO11&gt;=CT$22,CP11&gt;=CT$26,CO11&lt;&gt;"",CN11=""),AND(CR11&gt;=CT$22,CS11&gt;=CT$26,CR11&lt;&gt;""),AND(DQ11&gt;=DV$22,DR11&gt;=DV$26,DQ11&lt;&gt;""),AND(DT11&gt;=DV$22,DU11&gt;=DV$26,DT11&lt;&gt;""),AND(EQ11&gt;=EV$22,ER11&gt;=EV$26,EQ11&lt;&gt;""),AND(ET11&gt;=EV$22,EU11&gt;=EV$26,ET11&lt;&gt;""),AND(FQ11&gt;=FV$22,FR11&gt;=FV$26,FQ11&lt;&gt;""),AND(FT11&gt;=FV$22,FU11&gt;=FV$26,FT11&lt;&gt;""),AND(GQ11&gt;=GV$22,GR11&gt;=GV$26,GQ11&lt;&gt;""),AND(GT11&gt;=GV$22,GU11&gt;=GV$26,GT11&lt;&gt;""),AND(HQ11&gt;=HV$22,HR11&gt;=HV$26,HQ11&lt;&gt;""),AND(HT11&gt;=HV$22,HU11&gt;=HV$26,HT11&lt;&gt;""),AND(IQ11&gt;=IV$22,IR11&gt;=IV$26,IQ11&lt;&gt;""),AND(IT11&gt;=IV$22,IU11&gt;=IV$26,IT11&lt;&gt;""),AND(JQ11&gt;=JV$22,JR11&gt;=JV$26,JQ11&lt;&gt;""),AND(JT11&gt;=JV$22,JU11&gt;=JV$26,JT11&lt;&gt;""),AND(KQ11&gt;=KV$22,KR11&gt;=KV$26,KQ11&lt;&gt;""),AND(KT11&gt;=KV$22,KU11&gt;=KV$26,KT11&lt;&gt;""),AND(LQ11&gt;=LV$22,LR11&gt;=LV$26,LQ11&lt;&gt;""),AND(LT11&gt;=LV$22,LU11&gt;=LV$26,LT11&lt;&gt;""),AND(MQ11&gt;=MV$22,MR11&gt;=MV$26,MQ11&lt;&gt;""),AND(MT11&gt;=MV$22,MU11&gt;=MV$26,MT11&lt;&gt;""),AND(NQ11&gt;=NV$22,NR11&gt;=NV$26,NQ11&lt;&gt;""),AND(NT11&gt;=NV$22,NU11&gt;=NV$26,NT11&lt;&gt;""),AND(OQ11&gt;=OV$22,OR11&gt;=OV$26,OQ11&lt;&gt;""),AND(OT11&gt;=OV$22,OU11&gt;=OV$26,OT11&lt;&gt;"")),"Merit",IF(OR(AND(AM11&gt;=AR$21,AN11&gt;=AR$25,AM11&lt;&gt;"",AL11=""),AND(AP11&gt;=AR$21,AQ11&gt;=AR$25,AP11&lt;&gt;"",AL11=""),AND(BN11&gt;=BS$21,BO11&gt;=BS$25,BN11&lt;&gt;"",BM11=""),AND(BQ11&gt;=BS$21,BR11&gt;=BS$25,BQ11&lt;&gt;"",BM11=""),AND(CO11&gt;=CT$21,CP11&gt;=CT$25,CO11&lt;&gt;"",CN11=""),AND(CR11&gt;=CT$21,CS11&gt;=CT$25,CR11&lt;&gt;""),AND(DQ11&gt;=DV$21,DR11&gt;=DV$25,DQ11&lt;&gt;""),AND(DT11&gt;=DV$21,DU11&gt;=DV$25,DT11&lt;&gt;""),AND(EQ11&gt;=EV$21,ER11&gt;=EV$25,EQ11&lt;&gt;""),AND(ET11&gt;=EV$21,EU11&gt;=EV$25,ET11&lt;&gt;""),AND(FQ11&gt;=FV$21,FR11&gt;=FV$25,FQ11&lt;&gt;""),AND(FT11&gt;=FV$21,FU11&gt;=FV$25,FT11&lt;&gt;""),AND(GQ11&gt;=GV$21,GR11&gt;=GV$25,GQ11&lt;&gt;""),AND(GT11&gt;=GV$21,GU11&gt;=GV$25,GT11&lt;&gt;""),AND(HQ11&gt;=HV$21,HR11&gt;=HV$25,HQ11&lt;&gt;""),AND(HT11&gt;=HV$21,HU11&gt;=HV$25,HT11&lt;&gt;""),AND(IQ11&gt;=IV$21,IR11&gt;=IV$25,IQ11&lt;&gt;""),AND(IT11&gt;=IV$21,IU11&gt;=IV$25,IT11&lt;&gt;""),AND(JQ11&gt;=JV$21,JR11&gt;=JV$25,JQ11&lt;&gt;""),AND(JT11&gt;=JV$21,JU11&gt;=JV$25,JT11&lt;&gt;""),AND(KQ11&gt;=KV$21,KR11&gt;=KV$25,KQ11&lt;&gt;""),AND(KT11&gt;=KV$21,KU11&gt;=KV$25,KT11&lt;&gt;""),AND(LQ11&gt;=LV$21,LR11&gt;=LV$25,LQ11&lt;&gt;""),AND(LT11&gt;=LV$21,LU11&gt;=LV$25,LT11&lt;&gt;""),AND(MQ11&gt;=MV$21,MR11&gt;=MV$25,MQ11&lt;&gt;""),AND(MT11&gt;=MV$21,MU11&gt;=MV$25,MT11&lt;&gt;""),AND(NQ11&gt;=NV$21,NR11&gt;=NV$25,NQ11&lt;&gt;""),AND(NT11&gt;=NV$21,NU11&gt;=NV$25,NT11&lt;&gt;""),AND(OQ11&gt;=OV$21,OR11&gt;=OV$25,OQ11&lt;&gt;""),AND(OT11&gt;=OV$21,OU11&gt;=OV$25,OT11&lt;&gt;"")),"Excellence",IF(F11="P","National Team",""))))</f>
        <v/>
      </c>
      <c r="I11" s="9">
        <f>IF(COUNT(AN11,BO11,CP11)&gt;0,LARGE((AN11,BO11,CP11),1),0)</f>
        <v>41.699999999999996</v>
      </c>
      <c r="J11" s="9" t="str">
        <f>IF(I11=0,"",IF(I11=CP11,$BT$1,IF(I11=BO11,$AS$1,IF(I11=AN11,$R$1,""))))</f>
        <v>2025 Nationals</v>
      </c>
      <c r="K11" s="9">
        <f>IF(COUNT(AN11,BO11,CP11)&gt;1,LARGE((AN11,BO11,CP11),2),0)</f>
        <v>39.799999999999997</v>
      </c>
      <c r="L11" s="9" t="str">
        <f>IF(K11=0,"",IF(AND(K11=I11,K11=AN11,K11=BO11),$R$1,IF(AND(K11=I11,K11=AN11,K11=CP11),$R$1,IF(AND(K11=I11,K11=CP11,K11=BO11),$AS$1,IF(K11=CP11,$BT$1,IF(K11=BO11,$AS$1,IF(K11=AN11,$R$1,"")))))))</f>
        <v>2025 3rd Domestic Trial</v>
      </c>
      <c r="M11" s="9">
        <f>IF(MAX(AQ11,BR11,CS11)&gt;0,MAX(AQ11,BR11,CS11),0)</f>
        <v>44.199999999999996</v>
      </c>
      <c r="N11" s="9" t="str">
        <f>IF(M11=0,"",IF(M11=CS11,$BT$1,IF(M11=BR11,$AS$1,IF(M11=AQ11,$R$1,""))))</f>
        <v>2025 Nationals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18.7</v>
      </c>
      <c r="AT11" s="19">
        <v>3.5</v>
      </c>
      <c r="AU11" s="19">
        <v>0.2</v>
      </c>
      <c r="AV11" s="19">
        <v>0</v>
      </c>
      <c r="AW11" s="19">
        <v>16.3</v>
      </c>
      <c r="AX11" s="19">
        <v>4.4000000000000004</v>
      </c>
      <c r="AY11" s="19">
        <v>1</v>
      </c>
      <c r="AZ11" s="19">
        <v>0</v>
      </c>
      <c r="BA11" s="19"/>
      <c r="BB11" s="19"/>
      <c r="BC11" s="19"/>
      <c r="BD11" s="19"/>
      <c r="BE11" s="19">
        <v>18.399999999999999</v>
      </c>
      <c r="BF11" s="19">
        <v>3.5</v>
      </c>
      <c r="BG11" s="19">
        <v>0</v>
      </c>
      <c r="BH11" s="19">
        <v>0</v>
      </c>
      <c r="BI11" s="19">
        <v>18.100000000000001</v>
      </c>
      <c r="BJ11" s="19">
        <v>4.8</v>
      </c>
      <c r="BK11" s="19">
        <v>0.6</v>
      </c>
      <c r="BL11" s="19">
        <v>0</v>
      </c>
      <c r="BM11" s="33"/>
      <c r="BN11" s="14">
        <f>IF(SUM(AT11,AX11)&gt;0,SUM(AT11,AX11),"")</f>
        <v>7.9</v>
      </c>
      <c r="BO11" s="14">
        <f>IF(SUM(AS11:AT11,AV11:AX11,AZ11)-AU11-AY11&gt;0,SUM(AS11:AT11,AV11:AX11,AZ11)-AU11-AY11,"")</f>
        <v>41.699999999999996</v>
      </c>
      <c r="BP11" s="14" t="str">
        <f>IF(SUM(BA11:BB11,BD11)-BC11&gt;0,SUM(BA11:BB11,BD11)-BC11,"")</f>
        <v/>
      </c>
      <c r="BQ11" s="14">
        <f>IF(SUM(BF11,BJ11)&gt;0,SUM(BF11,BJ11),"")</f>
        <v>8.3000000000000007</v>
      </c>
      <c r="BR11" s="14">
        <f>IF(SUM(BE11:BF11,BH11:BJ11,BL11)-SUM(BG11,BK11)&gt;0,SUM(BE11:BF11,BH11:BJ11,BL11)-SUM(BG11,BK11),"")</f>
        <v>44.199999999999996</v>
      </c>
      <c r="BS11" s="14">
        <f>IF(SUM(BO11,BP11,BR11)&gt;0,SUM(BO11,BP11,BR11),"")</f>
        <v>85.899999999999991</v>
      </c>
      <c r="BT11" s="20">
        <v>18.2</v>
      </c>
      <c r="BU11" s="20">
        <v>2.7</v>
      </c>
      <c r="BV11" s="20">
        <v>1.4</v>
      </c>
      <c r="BW11" s="20">
        <v>0</v>
      </c>
      <c r="BX11" s="20">
        <v>18</v>
      </c>
      <c r="BY11" s="20">
        <v>3</v>
      </c>
      <c r="BZ11" s="20">
        <v>0.7</v>
      </c>
      <c r="CA11" s="20">
        <v>0</v>
      </c>
      <c r="CB11" s="20"/>
      <c r="CC11" s="20"/>
      <c r="CD11" s="20"/>
      <c r="CE11" s="20"/>
      <c r="CF11" s="20">
        <v>18.3</v>
      </c>
      <c r="CG11" s="20">
        <v>3.5</v>
      </c>
      <c r="CH11" s="20">
        <v>0</v>
      </c>
      <c r="CI11" s="20">
        <v>0</v>
      </c>
      <c r="CJ11" s="20">
        <v>17.899999999999999</v>
      </c>
      <c r="CK11" s="20">
        <v>2.9</v>
      </c>
      <c r="CL11" s="20">
        <v>1.2</v>
      </c>
      <c r="CM11" s="20">
        <v>0</v>
      </c>
      <c r="CN11" s="32"/>
      <c r="CO11" s="55">
        <f>IF(SUM(BU11,BY11)&gt;0,SUM(BU11,BY11),"")</f>
        <v>5.7</v>
      </c>
      <c r="CP11" s="55">
        <f>IF(SUM(BT11:BU11,BW11:BY11,CA11)-BV11-BZ11&gt;0,SUM(BT11:BU11,BW11:BY11,CA11)-BV11-BZ11,"")</f>
        <v>39.799999999999997</v>
      </c>
      <c r="CQ11" s="55" t="str">
        <f>IF(SUM(CB11:CC11,CE11)-CD11&gt;0,SUM(CB11:CC11,CE11)-CD11,"")</f>
        <v/>
      </c>
      <c r="CR11" s="55">
        <f>IF(SUM(CG11,CK11)&gt;0,SUM(CG11,CK11),"")</f>
        <v>6.4</v>
      </c>
      <c r="CS11" s="55">
        <f>IF(SUM(CF11:CG11,CI11:CK11,CM11)-SUM(CH11,CL11)&gt;0,SUM(CF11:CG11,CI11:CK11,CM11)-SUM(CH11,CL11),"")</f>
        <v>41.4</v>
      </c>
      <c r="CT11" s="55">
        <f>IF(SUM(CP11,CQ11,CS11)&gt;0,SUM(CP11,CQ11,CS11),"")</f>
        <v>81.199999999999989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 t="str">
        <f>IF(SUM(FJ11,FN11)&gt;0,SUM(FJ11,FN11),"")</f>
        <v/>
      </c>
      <c r="FU11" s="55" t="str">
        <f>IF(SUM(FI11:FJ11,FL11:FN11,FP11)-SUM(FK11,FO11)&gt;0,SUM(FI11:FJ11,FL11:FN11,FP11)-SUM(FK11,FO11),"")</f>
        <v/>
      </c>
      <c r="FV11" s="55" t="str">
        <f>IF(SUM(FR11,FS11,FU11)&gt;0,SUM(FR11,FS11,FU11),"")</f>
        <v/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18.45</v>
      </c>
      <c r="OX11" s="27">
        <f>IF($CN11="P",BU11,(BU11+AT11)/2)</f>
        <v>3.1</v>
      </c>
      <c r="OY11" s="27">
        <f>IF($CN11="P",BV11,(BV11+AU11)/2)</f>
        <v>0.79999999999999993</v>
      </c>
      <c r="OZ11" s="27">
        <f>IF($CN11="P",BW11,(BW11+AV11)/2)</f>
        <v>0</v>
      </c>
      <c r="PA11" s="27">
        <f>IF($CN11="P",BX11,(BX11+AW11)/2)</f>
        <v>17.149999999999999</v>
      </c>
      <c r="PB11" s="27">
        <f>IF($CN11="P",BY11,(BY11+AX11)/2)</f>
        <v>3.7</v>
      </c>
      <c r="PC11" s="27">
        <f>IF($CN11="P",BZ11,(BZ11+AY11)/2)</f>
        <v>0.85</v>
      </c>
      <c r="PD11" s="27">
        <f>IF($CN11="P",CA11,(CA11+AZ11)/2)</f>
        <v>0</v>
      </c>
      <c r="PE11" s="27">
        <f>IF($CN11="P",CB11,(CB11+BA11)/2)</f>
        <v>0</v>
      </c>
      <c r="PF11" s="27">
        <f>IF($CN11="P",CC11,(CC11+BB11)/2)</f>
        <v>0</v>
      </c>
      <c r="PG11" s="27">
        <f>IF($CN11="P",CD11,(CD11+BC11)/2)</f>
        <v>0</v>
      </c>
      <c r="PH11" s="27">
        <f>IF($CN11="P",CE11,(CE11+BD11)/2)</f>
        <v>0</v>
      </c>
      <c r="PI11" s="27">
        <f>IF($CN11="P",CF11,(CF11+BE11)/2)</f>
        <v>18.350000000000001</v>
      </c>
      <c r="PJ11" s="27">
        <f>IF($CN11="P",CG11,(CG11+BF11)/2)</f>
        <v>3.5</v>
      </c>
      <c r="PK11" s="27">
        <f>IF($CN11="P",CH11,(CH11+BG11)/2)</f>
        <v>0</v>
      </c>
      <c r="PL11" s="27">
        <f>IF($CN11="P",CI11,(CI11+BH11)/2)</f>
        <v>0</v>
      </c>
      <c r="PM11" s="27">
        <f>IF($CN11="P",CJ11,(CJ11+BI11)/2)</f>
        <v>18</v>
      </c>
      <c r="PN11" s="27">
        <f>IF($CN11="P",CK11,(CK11+BJ11)/2)</f>
        <v>3.8499999999999996</v>
      </c>
      <c r="PO11" s="27">
        <f>IF($CN11="P",CL11,(CL11+BK11)/2)</f>
        <v>0.89999999999999991</v>
      </c>
      <c r="PP11" s="27">
        <f>IF($CN11="P",CM11,(CM11+BL11)/2)</f>
        <v>0</v>
      </c>
      <c r="PQ11" s="32" t="s">
        <v>44</v>
      </c>
      <c r="PR11" s="55">
        <f>IF(SUM(OX11,PB11)&gt;0,SUM(OX11,PB11),"")</f>
        <v>6.8000000000000007</v>
      </c>
      <c r="PS11" s="55">
        <f>IF(SUM(OW11:OX11,OZ11:PB11,PD11)-OY11-PC11&gt;0,SUM(OW11:OX11,OZ11:PB11,PD11)-OY11-PC11,"")</f>
        <v>40.750000000000007</v>
      </c>
      <c r="PT11" s="55" t="str">
        <f>IF(SUM(PE11:PF11,PH11)-PG11&gt;0,SUM(PE11:PF11,PH11)-PG11,"")</f>
        <v/>
      </c>
      <c r="PU11" s="55">
        <f>IF(SUM(PJ11,PN11)&gt;0,SUM(PJ11,PN11),"")</f>
        <v>7.35</v>
      </c>
      <c r="PV11" s="55">
        <f>IF(SUM(PI11:PJ11,PL11:PN11,PP11)-SUM(PK11,PO11)&gt;0,SUM(PI11:PJ11,PL11:PN11,PP11)-SUM(PK11,PO11),"")</f>
        <v>42.800000000000004</v>
      </c>
      <c r="PW11" s="55">
        <f>IF(SUM(PS11,PT11,PV11)&gt;0,SUM(PS11,PT11,PV11),"")</f>
        <v>83.550000000000011</v>
      </c>
    </row>
    <row r="12" spans="1:43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102</v>
      </c>
      <c r="C12" s="4" t="s">
        <v>89</v>
      </c>
      <c r="D12" s="4">
        <v>2009</v>
      </c>
      <c r="E12" s="10">
        <f>SUM(I12:O12)+SUM(I12:M12)*0.0000001+SUM(I12)*0.0000000000001</f>
        <v>122.80001228000448</v>
      </c>
      <c r="F12" s="3" t="str">
        <f>IF(OR(AND(AM12&gt;=AR$19,AN12&gt;=AR$23,AM12&lt;&gt;"",AL12=""),AND(AP12&gt;=AR$19,AQ12&gt;=AR$23,AP12&lt;&gt;"",AL12=""),AND(BN12&gt;=BS$19,BO12&gt;=BS$23,BN12&lt;&gt;"",BM12=""),AND(BQ12&gt;=BS$19,BR12&gt;=BS$23,BQ12&lt;&gt;"",BM12=""),AND(CO12&gt;=CT$19,CP12&gt;=CT$23,CO12&lt;&gt;"",CN12=""),AND(CR12&gt;=CT$19,CS12&gt;=CT$23,CR12&lt;&gt;""),AND(DQ12&gt;=DV$19,DR12&gt;=DV$23,DQ12&lt;&gt;""),AND(DT12&gt;=DV$19,DU12&gt;=DV$23,DT12&lt;&gt;""),AND(EQ12&gt;=EV$19,ER12&gt;=EV$23,EQ12&lt;&gt;""),AND(ET12&gt;=EV$19,EU12&gt;=EV$23,ET12&lt;&gt;""),AND(FQ12&gt;=FV$19,FR12&gt;=FV$23,FQ12&lt;&gt;""),AND(FT12&gt;=FV$19,FU12&gt;=FV$23,FT12&lt;&gt;""),AND(GQ12&gt;=GV$19,GR12&gt;=GV$23,GQ12&lt;&gt;""),AND(GT12&gt;=GV$19,GU12&gt;=GV$23,GT12&lt;&gt;""),AND(HQ12&gt;=HV$19,HR12&gt;=HV$23,HQ12&lt;&gt;""),AND(HT12&gt;=HV$19,HU12&gt;=HV$23,HT12&lt;&gt;""),AND(IQ12&gt;=IV$19,IR12&gt;=IV$23,IQ12&lt;&gt;""),AND(IT12&gt;=IV$19,IU12&gt;=IV$23,IT12&lt;&gt;""),AND(JQ12&gt;=JV$19,JR12&gt;=JV$23,JQ12&lt;&gt;""),AND(JT12&gt;=JV$19,JU12&gt;=JV$23,JT12&lt;&gt;""),AND(KQ12&gt;=KV$19,KR12&gt;=KV$23,KQ12&lt;&gt;""),AND(KT12&gt;=KV$19,KU12&gt;=KV$23,KT12&lt;&gt;""),AND(LQ12&gt;=LV$19,LR12&gt;=LV$23,LQ12&lt;&gt;""),AND(LT12&gt;=LV$19,LU12&gt;=LV$23,LT12&lt;&gt;""),AND(MQ12&gt;=MV$19,MR12&gt;=MV$23,MQ12&lt;&gt;""),AND(MT12&gt;=MV$19,MU12&gt;=MV$23,MT12&lt;&gt;""),AND(NQ12&gt;=NV$19,NR12&gt;=NV$23,NQ12&lt;&gt;""),AND(NT12&gt;=NV$19,NU12&gt;=NV$23,NT12&lt;&gt;""),AND(OQ12&gt;=OV$19,OR12&gt;=OV$23,OQ12&lt;&gt;""),AND(OT12&gt;=OV$19,OU12&gt;=OV$23,OT12&lt;&gt;"")),"P","")</f>
        <v/>
      </c>
      <c r="G12" s="3" t="str">
        <f>IF(OR(AND(AN12&gt;=AR$23,AN12&lt;&gt;"",AL12=""),AND(AQ12&gt;=AR$23,AQ12&lt;&gt;"",AL12=""),AND(BO12&gt;=BS$23,BO12&lt;&gt;"",BM12=""),AND(BR12&gt;=BS$23,BR12&lt;&gt;"",BM12=""),AND(CP12&gt;=CT$23,CP12&lt;&gt;"",CN12=""),AND(CS12&gt;=CT$23,CS12&lt;&gt;"",CN12=""),AND(DR12&gt;=DV$23,DR12&lt;&gt;""),AND(DU12&gt;=DV$23,DU12&lt;&gt;""),AND(ER12&gt;=EV$23,ER12&lt;&gt;""),AND(EU12&gt;=EV$23,EU12&lt;&gt;""),AND(FR12&gt;=FV$23,FR12&lt;&gt;""),AND(FU12&gt;=FV$23,FU12&lt;&gt;""),AND(GR12&gt;=GV$23,GR12&lt;&gt;""),AND(GU12&gt;=GV$23,GU12&lt;&gt;""),AND(HR12&gt;=HV$23,HR12&lt;&gt;""),AND(HU12&gt;=HV$23,HU12&lt;&gt;""),AND(IR12&gt;=IV$23,IR12&lt;&gt;""),AND(IU12&gt;=IV$23,IU12&lt;&gt;""),AND(JR12&gt;=JV$23,JR12&lt;&gt;""),AND(JU12&gt;=JV$23,JU12&lt;&gt;""),AND(KR12&gt;=KV$23,KR12&lt;&gt;""),AND(KU12&gt;=KV$23,KU12&lt;&gt;""),AND(LR12&gt;=LV$23,LR12&lt;&gt;""),AND(LU12&gt;=LV$23,LU12&lt;&gt;""),AND(MR12&gt;=MV$23,MR12&lt;&gt;""),AND(MU12&gt;=MV$23,MU12&lt;&gt;""),AND(NR12&gt;=NV$23,NR12&lt;&gt;""),AND(NU12&gt;=NV$23,NU12&lt;&gt;""),AND(OR12&gt;=OV$23,OR12&lt;&gt;""),AND(OU12&gt;=OV$23,OU12&lt;&gt;"")),"P","")</f>
        <v/>
      </c>
      <c r="H12" s="47" t="str">
        <f>IF(AND(G12="P",F12=""),"No DD",IF(OR(AND(AM12&gt;=AR$22,AN12&gt;=AR$26,AM12&lt;&gt;"",AL12=""),AND(AP12&gt;=AR$22,AQ12&gt;=AR$26,AP12&lt;&gt;"",AL12=""),AND(BN12&gt;=BS$22,BO12&gt;=BS$26,BN12&lt;&gt;"",BM12=""),AND(BQ12&gt;=BS$22,BR12&gt;=BS$26,BQ12&lt;&gt;"",BM12=""),AND(CO12&gt;=CT$22,CP12&gt;=CT$26,CO12&lt;&gt;"",CN12=""),AND(CR12&gt;=CT$22,CS12&gt;=CT$26,CR12&lt;&gt;""),AND(DQ12&gt;=DV$22,DR12&gt;=DV$26,DQ12&lt;&gt;""),AND(DT12&gt;=DV$22,DU12&gt;=DV$26,DT12&lt;&gt;""),AND(EQ12&gt;=EV$22,ER12&gt;=EV$26,EQ12&lt;&gt;""),AND(ET12&gt;=EV$22,EU12&gt;=EV$26,ET12&lt;&gt;""),AND(FQ12&gt;=FV$22,FR12&gt;=FV$26,FQ12&lt;&gt;""),AND(FT12&gt;=FV$22,FU12&gt;=FV$26,FT12&lt;&gt;""),AND(GQ12&gt;=GV$22,GR12&gt;=GV$26,GQ12&lt;&gt;""),AND(GT12&gt;=GV$22,GU12&gt;=GV$26,GT12&lt;&gt;""),AND(HQ12&gt;=HV$22,HR12&gt;=HV$26,HQ12&lt;&gt;""),AND(HT12&gt;=HV$22,HU12&gt;=HV$26,HT12&lt;&gt;""),AND(IQ12&gt;=IV$22,IR12&gt;=IV$26,IQ12&lt;&gt;""),AND(IT12&gt;=IV$22,IU12&gt;=IV$26,IT12&lt;&gt;""),AND(JQ12&gt;=JV$22,JR12&gt;=JV$26,JQ12&lt;&gt;""),AND(JT12&gt;=JV$22,JU12&gt;=JV$26,JT12&lt;&gt;""),AND(KQ12&gt;=KV$22,KR12&gt;=KV$26,KQ12&lt;&gt;""),AND(KT12&gt;=KV$22,KU12&gt;=KV$26,KT12&lt;&gt;""),AND(LQ12&gt;=LV$22,LR12&gt;=LV$26,LQ12&lt;&gt;""),AND(LT12&gt;=LV$22,LU12&gt;=LV$26,LT12&lt;&gt;""),AND(MQ12&gt;=MV$22,MR12&gt;=MV$26,MQ12&lt;&gt;""),AND(MT12&gt;=MV$22,MU12&gt;=MV$26,MT12&lt;&gt;""),AND(NQ12&gt;=NV$22,NR12&gt;=NV$26,NQ12&lt;&gt;""),AND(NT12&gt;=NV$22,NU12&gt;=NV$26,NT12&lt;&gt;""),AND(OQ12&gt;=OV$22,OR12&gt;=OV$26,OQ12&lt;&gt;""),AND(OT12&gt;=OV$22,OU12&gt;=OV$26,OT12&lt;&gt;"")),"Merit",IF(OR(AND(AM12&gt;=AR$21,AN12&gt;=AR$25,AM12&lt;&gt;"",AL12=""),AND(AP12&gt;=AR$21,AQ12&gt;=AR$25,AP12&lt;&gt;"",AL12=""),AND(BN12&gt;=BS$21,BO12&gt;=BS$25,BN12&lt;&gt;"",BM12=""),AND(BQ12&gt;=BS$21,BR12&gt;=BS$25,BQ12&lt;&gt;"",BM12=""),AND(CO12&gt;=CT$21,CP12&gt;=CT$25,CO12&lt;&gt;"",CN12=""),AND(CR12&gt;=CT$21,CS12&gt;=CT$25,CR12&lt;&gt;""),AND(DQ12&gt;=DV$21,DR12&gt;=DV$25,DQ12&lt;&gt;""),AND(DT12&gt;=DV$21,DU12&gt;=DV$25,DT12&lt;&gt;""),AND(EQ12&gt;=EV$21,ER12&gt;=EV$25,EQ12&lt;&gt;""),AND(ET12&gt;=EV$21,EU12&gt;=EV$25,ET12&lt;&gt;""),AND(FQ12&gt;=FV$21,FR12&gt;=FV$25,FQ12&lt;&gt;""),AND(FT12&gt;=FV$21,FU12&gt;=FV$25,FT12&lt;&gt;""),AND(GQ12&gt;=GV$21,GR12&gt;=GV$25,GQ12&lt;&gt;""),AND(GT12&gt;=GV$21,GU12&gt;=GV$25,GT12&lt;&gt;""),AND(HQ12&gt;=HV$21,HR12&gt;=HV$25,HQ12&lt;&gt;""),AND(HT12&gt;=HV$21,HU12&gt;=HV$25,HT12&lt;&gt;""),AND(IQ12&gt;=IV$21,IR12&gt;=IV$25,IQ12&lt;&gt;""),AND(IT12&gt;=IV$21,IU12&gt;=IV$25,IT12&lt;&gt;""),AND(JQ12&gt;=JV$21,JR12&gt;=JV$25,JQ12&lt;&gt;""),AND(JT12&gt;=JV$21,JU12&gt;=JV$25,JT12&lt;&gt;""),AND(KQ12&gt;=KV$21,KR12&gt;=KV$25,KQ12&lt;&gt;""),AND(KT12&gt;=KV$21,KU12&gt;=KV$25,KT12&lt;&gt;""),AND(LQ12&gt;=LV$21,LR12&gt;=LV$25,LQ12&lt;&gt;""),AND(LT12&gt;=LV$21,LU12&gt;=LV$25,LT12&lt;&gt;""),AND(MQ12&gt;=MV$21,MR12&gt;=MV$25,MQ12&lt;&gt;""),AND(MT12&gt;=MV$21,MU12&gt;=MV$25,MT12&lt;&gt;""),AND(NQ12&gt;=NV$21,NR12&gt;=NV$25,NQ12&lt;&gt;""),AND(NT12&gt;=NV$21,NU12&gt;=NV$25,NT12&lt;&gt;""),AND(OQ12&gt;=OV$21,OR12&gt;=OV$25,OQ12&lt;&gt;""),AND(OT12&gt;=OV$21,OU12&gt;=OV$25,OT12&lt;&gt;"")),"Excellence",IF(F12="P","National Team",""))))</f>
        <v/>
      </c>
      <c r="I12" s="9">
        <f>IF(COUNT(AN12,BO12,CP12)&gt;0,LARGE((AN12,BO12,CP12),1),0)</f>
        <v>44.6</v>
      </c>
      <c r="J12" s="9" t="str">
        <f>IF(I12=0,"",IF(I12=CP12,$BT$1,IF(I12=BO12,$AS$1,IF(I12=AN12,$R$1,""))))</f>
        <v>2025 Nationals</v>
      </c>
      <c r="K12" s="9">
        <f>IF(COUNT(AN12,BO12,CP12)&gt;1,LARGE((AN12,BO12,CP12),2),0)</f>
        <v>33.1</v>
      </c>
      <c r="L12" s="9" t="str">
        <f>IF(K12=0,"",IF(AND(K12=I12,K12=AN12,K12=BO12),$R$1,IF(AND(K12=I12,K12=AN12,K12=CP12),$R$1,IF(AND(K12=I12,K12=CP12,K12=BO12),$AS$1,IF(K12=CP12,$BT$1,IF(K12=BO12,$AS$1,IF(K12=AN12,$R$1,"")))))))</f>
        <v>2025 Elite Canada</v>
      </c>
      <c r="M12" s="9">
        <f>IF(MAX(AQ12,BR12,CS12)&gt;0,MAX(AQ12,BR12,CS12),0)</f>
        <v>45.1</v>
      </c>
      <c r="N12" s="9" t="str">
        <f>IF(M12=0,"",IF(M12=CS12,$BT$1,IF(M12=BR12,$AS$1,IF(M12=AQ12,$R$1,""))))</f>
        <v>2025 Nationals</v>
      </c>
      <c r="O12" s="9" t="str">
        <f>IF(MAX(CU12:CV12)&gt;0,MAX(CU12:CV12),"")</f>
        <v/>
      </c>
      <c r="P12" s="14" t="str">
        <f>IF(O12="","",IF(O12=CU12,"("&amp;CU$2&amp;")",IF(O12=CV12,"("&amp;CV$2&amp;")")))</f>
        <v/>
      </c>
      <c r="Q12" s="9" t="str">
        <f>IF(O12="","",IF(O12=CU12,IF(O12+IF(K12="",0,K12)=OR12,$NW$1,IF(O12+IF(K12="",0,K12)=NR12,$MW$1,IF(O12+IF(K12="",0,K12)=MR12,$LW$1,IF(O12+IF(K12="",0,K12)=LR12,$KW$1,IF(O12+IF(K12="",0,K12)=KR12,$JW$1,IF(O12+IF(K12="",0,K12)=JR12,$IW$1,IF(O12+IF(K12="",0,K12)=IR12,$HW$1,IF(O12+IF(K12="",0,K12)=HR12,$GW$1,IF(O12+IF(K12="",0,K12)=GR12,$FW$1,IF(O12+IF(K12="",0,K12)=FR12,$EW$1,IF(O12+IF(K12="",0,K12)=ER12,$DW$1,IF(O12+IF(K12="",0,K12)=DR12,$CW$1)))))))))))),IF(O12=CV12,IF(O12+IF(M12="",0,M12)=OU12,$NW$1,IF(O12+IF(M12="",0,M12)=NU12,$MW$1,IF(O12+IF(M12="",0,M12)=MU12,$LW$1,IF(O12+IF(M12="",0,M12)=LU12,$KW$1,IF(O12+IF(M12="",0,M12)=KU12,$JW$1,IF(O12+IF(M12="",0,M12)=JU12,$IW$1,IF(O12+IF(M12="",0,M12)=IU12,$HW$1,IF(O12+IF(M12="",0,M12)=HU12,$GW$1,IF(O12+IF(M12="",0,M12)=GU12,$FW$1,IF(O12+IF(M12="",0,M12)=FU12,$EW$1,IF(O12+IF(M12="",0,M12)=EU12,$DW$1,IF(O12+IF(M12="",0,M12)=DU12,$CW$1)))))))))))))))</f>
        <v/>
      </c>
      <c r="R12" s="20">
        <v>15.8</v>
      </c>
      <c r="S12" s="20">
        <v>0.7</v>
      </c>
      <c r="T12" s="20">
        <v>0</v>
      </c>
      <c r="U12" s="20">
        <v>0</v>
      </c>
      <c r="V12" s="20">
        <v>15.4</v>
      </c>
      <c r="W12" s="20">
        <v>1.2</v>
      </c>
      <c r="X12" s="20">
        <v>0</v>
      </c>
      <c r="Y12" s="20">
        <v>0</v>
      </c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32"/>
      <c r="AM12" s="55">
        <f>IF(SUM(S12,W12)&gt;0,SUM(S12,W12),"")</f>
        <v>1.9</v>
      </c>
      <c r="AN12" s="55">
        <f>IF(SUM(R12:S12,U12:W12,Y12)-T12-X12&gt;0,SUM(R12:S12,U12:W12,Y12)-T12-X12,"")</f>
        <v>33.1</v>
      </c>
      <c r="AO12" s="55" t="str">
        <f>IF(SUM(Z12:AA12,AC12)-AB12&gt;0,SUM(Z12:AA12,AC12)-AB12,"")</f>
        <v/>
      </c>
      <c r="AP12" s="55" t="str">
        <f>IF(SUM(AE12,AI12)&gt;0,SUM(AE12,AI12),"")</f>
        <v/>
      </c>
      <c r="AQ12" s="55" t="str">
        <f>IF(SUM(AD12:AE12,AG12:AI12,AK12)-SUM(AF12,AJ12)&gt;0,SUM(AD12:AE12,AG12:AI12,AK12)-SUM(AF12,AJ12),"")</f>
        <v/>
      </c>
      <c r="AR12" s="55">
        <f>IF(SUM(AN12,AO12,AQ12)&gt;0,SUM(AN12,AO12,AQ12),"")</f>
        <v>33.1</v>
      </c>
      <c r="AS12" s="19">
        <v>19</v>
      </c>
      <c r="AT12" s="19">
        <v>3.6</v>
      </c>
      <c r="AU12" s="19">
        <v>0</v>
      </c>
      <c r="AV12" s="19">
        <v>0</v>
      </c>
      <c r="AW12" s="19">
        <v>19.100000000000001</v>
      </c>
      <c r="AX12" s="19">
        <v>3.5</v>
      </c>
      <c r="AY12" s="19">
        <v>0.6</v>
      </c>
      <c r="AZ12" s="19">
        <v>0</v>
      </c>
      <c r="BA12" s="19"/>
      <c r="BB12" s="19"/>
      <c r="BC12" s="19"/>
      <c r="BD12" s="19"/>
      <c r="BE12" s="19">
        <v>18.8</v>
      </c>
      <c r="BF12" s="19">
        <v>3.6</v>
      </c>
      <c r="BG12" s="19">
        <v>0</v>
      </c>
      <c r="BH12" s="19">
        <v>0</v>
      </c>
      <c r="BI12" s="19">
        <v>19.2</v>
      </c>
      <c r="BJ12" s="19">
        <v>3.5</v>
      </c>
      <c r="BK12" s="19">
        <v>0</v>
      </c>
      <c r="BL12" s="19">
        <v>0</v>
      </c>
      <c r="BM12" s="33"/>
      <c r="BN12" s="14">
        <f>IF(SUM(AT12,AX12)&gt;0,SUM(AT12,AX12),"")</f>
        <v>7.1</v>
      </c>
      <c r="BO12" s="14">
        <f>IF(SUM(AS12:AT12,AV12:AX12,AZ12)-AU12-AY12&gt;0,SUM(AS12:AT12,AV12:AX12,AZ12)-AU12-AY12,"")</f>
        <v>44.6</v>
      </c>
      <c r="BP12" s="14" t="str">
        <f>IF(SUM(BA12:BB12,BD12)-BC12&gt;0,SUM(BA12:BB12,BD12)-BC12,"")</f>
        <v/>
      </c>
      <c r="BQ12" s="14">
        <f>IF(SUM(BF12,BJ12)&gt;0,SUM(BF12,BJ12),"")</f>
        <v>7.1</v>
      </c>
      <c r="BR12" s="14">
        <f>IF(SUM(BE12:BF12,BH12:BJ12,BL12)-SUM(BG12,BK12)&gt;0,SUM(BE12:BF12,BH12:BJ12,BL12)-SUM(BG12,BK12),"")</f>
        <v>45.1</v>
      </c>
      <c r="BS12" s="14">
        <f>IF(SUM(BO12,BP12,BR12)&gt;0,SUM(BO12,BP12,BR12),"")</f>
        <v>89.7</v>
      </c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32"/>
      <c r="CO12" s="55" t="str">
        <f>IF(SUM(BU12,BY12)&gt;0,SUM(BU12,BY12),"")</f>
        <v/>
      </c>
      <c r="CP12" s="55" t="str">
        <f>IF(SUM(BT12:BU12,BW12:BY12,CA12)-BV12-BZ12&gt;0,SUM(BT12:BU12,BW12:BY12,CA12)-BV12-BZ12,"")</f>
        <v/>
      </c>
      <c r="CQ12" s="55" t="str">
        <f>IF(SUM(CB12:CC12,CE12)-CD12&gt;0,SUM(CB12:CC12,CE12)-CD12,"")</f>
        <v/>
      </c>
      <c r="CR12" s="55" t="str">
        <f>IF(SUM(CG12,CK12)&gt;0,SUM(CG12,CK12),"")</f>
        <v/>
      </c>
      <c r="CS12" s="55" t="str">
        <f>IF(SUM(CF12:CG12,CI12:CK12,CM12)-SUM(CH12,CL12)&gt;0,SUM(CF12:CG12,CI12:CK12,CM12)-SUM(CH12,CL12),"")</f>
        <v/>
      </c>
      <c r="CT12" s="55" t="str">
        <f>IF(SUM(CP12,CQ12,CS12)&gt;0,SUM(CP12,CQ12,CS12),"")</f>
        <v/>
      </c>
      <c r="CU12" s="56" t="str">
        <f>IF(MAX(DR12,ER12,FR12,GR12,HR12,IR12,JR12,KR12,LR12,MR12,NR12,OR12)-IF(K12="",0,K12)&gt;0.001,MAX(DR12,ER12,FR12,GR12,HR12,IR12,JR12,KR12,LR12,MR12,NR12,OR12)-IF(K12="",0,K12),"")</f>
        <v/>
      </c>
      <c r="CV12" s="56" t="str">
        <f>IF(MAX(DU12,EU12,FU12,GU12,HU12,IU12,JU12,KU12,LU12,MU12,NU12,OU12)-IF(M12="",0,M12)&gt;0.001,MAX(DU12,EU12,FU12,GU12,HU12,IU12,JU12,KU12,LU12,MU12,NU12,OU12)-IF(M12="",0,M12),"")</f>
        <v/>
      </c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55" t="str">
        <f>IF(SUM(CX12,DB12)&gt;0,SUM(CX12,DB12),"")</f>
        <v/>
      </c>
      <c r="DR12" s="55" t="str">
        <f>IF(SUM(CW12:CX12,CZ12:DB12,DD12)-CY12-DC12&gt;0,SUM(CW12:CX12,CZ12:DB12,DD12)-CY12-DC12,"")</f>
        <v/>
      </c>
      <c r="DS12" s="55" t="str">
        <f>IF(SUM(DE12:DF12,DH12)-DG12&gt;0,SUM(DE12:DF12,DH12)-DG12,"")</f>
        <v/>
      </c>
      <c r="DT12" s="55" t="str">
        <f>IF(SUM(DJ12,DN12)&gt;0,SUM(DJ12,DN12),"")</f>
        <v/>
      </c>
      <c r="DU12" s="55" t="str">
        <f>IF(SUM(DI12:DJ12,DL12:DN12,DP12)-SUM(DK12,DO12)&gt;0,SUM(DI12:DJ12,DL12:DN12,DP12)-SUM(DK12,DO12),"")</f>
        <v/>
      </c>
      <c r="DV12" s="55" t="str">
        <f>IF(SUM(DR12,DS12,DU12)&gt;0,SUM(DR12,DS12,DU12),"")</f>
        <v/>
      </c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4" t="str">
        <f>IF(SUM(DX12,EB12)&gt;0,SUM(DX12,EB12),"")</f>
        <v/>
      </c>
      <c r="ER12" s="14" t="str">
        <f>IF(SUM(DW12:DX12,DZ12:EB12,ED12)-DY12-EC12&gt;0,SUM(DW12:DX12,DZ12:EB12,ED12)-DY12-EC12,"")</f>
        <v/>
      </c>
      <c r="ES12" s="14" t="str">
        <f>IF(SUM(EE12:EF12,EH12)-EG12&gt;0,SUM(EE12:EF12,EH12)-EG12,"")</f>
        <v/>
      </c>
      <c r="ET12" s="14" t="str">
        <f>IF(SUM(EJ12,EN12)&gt;0,SUM(EJ12,EN12),"")</f>
        <v/>
      </c>
      <c r="EU12" s="14" t="str">
        <f>IF(SUM(EI12:EJ12,EL12:EN12,EP12)-SUM(EK12,EO12)&gt;0,SUM(EI12:EJ12,EL12:EN12,EP12)-SUM(EK12,EO12),"")</f>
        <v/>
      </c>
      <c r="EV12" s="14" t="str">
        <f>IF(SUM(ER12,ES12,EU12)&gt;0,SUM(ER12,ES12,EU12),"")</f>
        <v/>
      </c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55" t="str">
        <f>IF(SUM(EX12,FB12)&gt;0,SUM(EX12,FB12),"")</f>
        <v/>
      </c>
      <c r="FR12" s="55" t="str">
        <f>IF(SUM(EW12:EX12,EZ12:FB12,FD12)-EY12-FC12&gt;0,SUM(EW12:EX12,EZ12:FB12,FD12)-EY12-FC12,"")</f>
        <v/>
      </c>
      <c r="FS12" s="55" t="str">
        <f>IF(SUM(FE12:FF12,FH12)-FG12&gt;0,SUM(FE12:FF12,FH12)-FG12,"")</f>
        <v/>
      </c>
      <c r="FT12" s="55" t="str">
        <f>IF(SUM(FJ12,FN12)&gt;0,SUM(FJ12,FN12),"")</f>
        <v/>
      </c>
      <c r="FU12" s="55" t="str">
        <f>IF(SUM(FI12:FJ12,FL12:FN12,FP12)-SUM(FK12,FO12)&gt;0,SUM(FI12:FJ12,FL12:FN12,FP12)-SUM(FK12,FO12),"")</f>
        <v/>
      </c>
      <c r="FV12" s="55" t="str">
        <f>IF(SUM(FR12,FS12,FU12)&gt;0,SUM(FR12,FS12,FU12),"")</f>
        <v/>
      </c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4" t="str">
        <f>IF(SUM(FX12,GB12)&gt;0,SUM(FX12,GB12),"")</f>
        <v/>
      </c>
      <c r="GR12" s="14" t="str">
        <f>IF(SUM(FW12:FX12,FZ12:GB12,GD12)-FY12-GC12&gt;0,SUM(FW12:FX12,FZ12:GB12,GD12)-FY12-GC12,"")</f>
        <v/>
      </c>
      <c r="GS12" s="14" t="str">
        <f>IF(SUM(GE12:GF12,GH12)-GG12&gt;0,SUM(GE12:GF12,GH12)-GG12,"")</f>
        <v/>
      </c>
      <c r="GT12" s="14" t="str">
        <f>IF(SUM(GJ12,GN12)&gt;0,SUM(GJ12,GN12),"")</f>
        <v/>
      </c>
      <c r="GU12" s="14" t="str">
        <f>IF(SUM(GI12:GJ12,GL12:GN12,GP12)-SUM(GK12,GO12)&gt;0,SUM(GI12:GJ12,GL12:GN12,GP12)-SUM(GK12,GO12),"")</f>
        <v/>
      </c>
      <c r="GV12" s="14" t="str">
        <f>IF(SUM(GR12,GS12,GU12)&gt;0,SUM(GR12,GS12,GU12),"")</f>
        <v/>
      </c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55" t="str">
        <f>IF(SUM(GX12,HB12)&gt;0,SUM(GX12,HB12),"")</f>
        <v/>
      </c>
      <c r="HR12" s="55" t="str">
        <f>IF(SUM(GW12:GX12,GZ12:HB12,HD12)-GY12-HC12&gt;0,SUM(GW12:GX12,GZ12:HB12,HD12)-GY12-HC12,"")</f>
        <v/>
      </c>
      <c r="HS12" s="55" t="str">
        <f>IF(SUM(HE12:HF12,HH12)-HG12&gt;0,SUM(HE12:HF12,HH12)-HG12,"")</f>
        <v/>
      </c>
      <c r="HT12" s="55" t="str">
        <f>IF(SUM(HJ12,HN12)&gt;0,SUM(HJ12,HN12),"")</f>
        <v/>
      </c>
      <c r="HU12" s="55" t="str">
        <f>IF(SUM(HI12:HJ12,HL12:HN12,HP12)-SUM(HK12,HO12)&gt;0,SUM(HI12:HJ12,HL12:HN12,HP12)-SUM(HK12,HO12),"")</f>
        <v/>
      </c>
      <c r="HV12" s="55" t="str">
        <f>IF(SUM(HR12,HS12,HU12)&gt;0,SUM(HR12,HS12,HU12),"")</f>
        <v/>
      </c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4" t="str">
        <f>IF(SUM(HX12,IB12)&gt;0,SUM(HX12,IB12),"")</f>
        <v/>
      </c>
      <c r="IR12" s="14" t="str">
        <f>IF(SUM(HW12:HX12,HZ12:IB12,ID12)-HY12-IC12&gt;0,SUM(HW12:HX12,HZ12:IB12,ID12)-HY12-IC12,"")</f>
        <v/>
      </c>
      <c r="IS12" s="14" t="str">
        <f>IF(SUM(IE12:IF12,IH12)-IG12&gt;0,SUM(IE12:IF12,IH12)-IG12,"")</f>
        <v/>
      </c>
      <c r="IT12" s="14" t="str">
        <f>IF(SUM(IJ12,IN12)&gt;0,SUM(IJ12,IN12),"")</f>
        <v/>
      </c>
      <c r="IU12" s="14" t="str">
        <f>IF(SUM(II12:IJ12,IL12:IN12,IP12)-SUM(IK12,IO12)&gt;0,SUM(II12:IJ12,IL12:IN12,IP12)-SUM(IK12,IO12),"")</f>
        <v/>
      </c>
      <c r="IV12" s="14" t="str">
        <f>IF(SUM(IR12,IS12,IU12)&gt;0,SUM(IR12,IS12,IU12),"")</f>
        <v/>
      </c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55" t="str">
        <f>IF(SUM(IX12,JB12)&gt;0,SUM(IX12,JB12),"")</f>
        <v/>
      </c>
      <c r="JR12" s="55" t="str">
        <f>IF(SUM(IW12:IX12,IZ12:JB12,JD12)-IY12-JC12&gt;0,SUM(IW12:IX12,IZ12:JB12,JD12)-IY12-JC12,"")</f>
        <v/>
      </c>
      <c r="JS12" s="55" t="str">
        <f>IF(SUM(JE12:JF12,JH12)-JG12&gt;0,SUM(JE12:JF12,JH12)-JG12,"")</f>
        <v/>
      </c>
      <c r="JT12" s="55" t="str">
        <f>IF(SUM(JJ12,JN12)&gt;0,SUM(JJ12,JN12),"")</f>
        <v/>
      </c>
      <c r="JU12" s="55" t="str">
        <f>IF(SUM(JI12:JJ12,JL12:JN12,JP12)-SUM(JK12,JO12)&gt;0,SUM(JI12:JJ12,JL12:JN12,JP12)-SUM(JK12,JO12),"")</f>
        <v/>
      </c>
      <c r="JV12" s="55" t="str">
        <f>IF(SUM(JR12,JS12,JU12)&gt;0,SUM(JR12,JS12,JU12),"")</f>
        <v/>
      </c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4" t="str">
        <f>IF(SUM(JX12,KB12)&gt;0,SUM(JX12,KB12),"")</f>
        <v/>
      </c>
      <c r="KR12" s="14" t="str">
        <f>IF(SUM(JW12:JX12,JZ12:KB12,KD12)-JY12-KC12&gt;0,SUM(JW12:JX12,JZ12:KB12,KD12)-JY12-KC12,"")</f>
        <v/>
      </c>
      <c r="KS12" s="14" t="str">
        <f>IF(SUM(KE12:KF12,KH12)-KG12&gt;0,SUM(KE12:KF12,KH12)-KG12,"")</f>
        <v/>
      </c>
      <c r="KT12" s="14" t="str">
        <f>IF(SUM(KJ12,KN12)&gt;0,SUM(KJ12,KN12),"")</f>
        <v/>
      </c>
      <c r="KU12" s="14" t="str">
        <f>IF(SUM(KI12:KJ12,KL12:KN12,KP12)-SUM(KK12,KO12)&gt;0,SUM(KI12:KJ12,KL12:KN12,KP12)-SUM(KK12,KO12),"")</f>
        <v/>
      </c>
      <c r="KV12" s="14" t="str">
        <f>IF(SUM(KR12,KS12,KU12)&gt;0,SUM(KR12,KS12,KU12),"")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55" t="str">
        <f>IF(SUM(KX12,LB12)&gt;0,SUM(KX12,LB12),"")</f>
        <v/>
      </c>
      <c r="LR12" s="55" t="str">
        <f>IF(SUM(KW12:KX12,KZ12:LB12,LD12)-KY12-LC12&gt;0,SUM(KW12:KX12,KZ12:LB12,LD12)-KY12-LC12,"")</f>
        <v/>
      </c>
      <c r="LS12" s="55" t="str">
        <f>IF(SUM(LE12:LF12,LH12)-LG12&gt;0,SUM(LE12:LF12,LH12)-LG12,"")</f>
        <v/>
      </c>
      <c r="LT12" s="55" t="str">
        <f>IF(SUM(LJ12,LN12)&gt;0,SUM(LJ12,LN12),"")</f>
        <v/>
      </c>
      <c r="LU12" s="55" t="str">
        <f>IF(SUM(LI12:LJ12,LL12:LN12,LP12)-SUM(LK12,LO12)&gt;0,SUM(LI12:LJ12,LL12:LN12,LP12)-SUM(LK12,LO12),"")</f>
        <v/>
      </c>
      <c r="LV12" s="55" t="str">
        <f>IF(SUM(LR12,LS12,LU12)&gt;0,SUM(LR12,LS12,LU12),"")</f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4" t="str">
        <f>IF(SUM(LX12,MB12)&gt;0,SUM(LX12,MB12),"")</f>
        <v/>
      </c>
      <c r="MR12" s="14" t="str">
        <f>IF(SUM(LW12:LX12,LZ12:MB12,MD12)-LY12-MC12&gt;0,SUM(LW12:LX12,LZ12:MB12,MD12)-LY12-MC12,"")</f>
        <v/>
      </c>
      <c r="MS12" s="14" t="str">
        <f>IF(SUM(ME12:MF12,MH12)-MG12&gt;0,SUM(ME12:MF12,MH12)-MG12,"")</f>
        <v/>
      </c>
      <c r="MT12" s="14" t="str">
        <f>IF(SUM(MJ12,MN12)&gt;0,SUM(MJ12,MN12),"")</f>
        <v/>
      </c>
      <c r="MU12" s="14" t="str">
        <f>IF(SUM(MI12:MJ12,ML12:MN12,MP12)-SUM(MK12,MO12)&gt;0,SUM(MI12:MJ12,ML12:MN12,MP12)-SUM(MK12,MO12),"")</f>
        <v/>
      </c>
      <c r="MV12" s="14" t="str">
        <f>IF(SUM(MR12,MS12,MU12)&gt;0,SUM(MR12,MS12,MU12),"")</f>
        <v/>
      </c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55" t="str">
        <f>IF(SUM(MX12,NB12)&gt;0,SUM(MX12,NB12),"")</f>
        <v/>
      </c>
      <c r="NR12" s="55" t="str">
        <f>IF(SUM(MW12:MX12,MZ12:NB12,ND12)-MY12-NC12&gt;0,SUM(MW12:MX12,MZ12:NB12,ND12)-MY12-NC12,"")</f>
        <v/>
      </c>
      <c r="NS12" s="55" t="str">
        <f>IF(SUM(NE12:NF12,NH12)-NG12&gt;0,SUM(NE12:NF12,NH12)-NG12,"")</f>
        <v/>
      </c>
      <c r="NT12" s="55" t="str">
        <f>IF(SUM(NJ12,NN12)&gt;0,SUM(NJ12,NN12),"")</f>
        <v/>
      </c>
      <c r="NU12" s="55" t="str">
        <f>IF(SUM(NI12:NJ12,NL12:NN12,NP12)-SUM(NK12,NO12)&gt;0,SUM(NI12:NJ12,NL12:NN12,NP12)-SUM(NK12,NO12),"")</f>
        <v/>
      </c>
      <c r="NV12" s="55" t="str">
        <f>IF(SUM(NR12,NS12,NU12)&gt;0,SUM(NR12,NS12,NU12),"")</f>
        <v/>
      </c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4" t="str">
        <f>IF(SUM(NX12,OB12)&gt;0,SUM(NX12,OB12),"")</f>
        <v/>
      </c>
      <c r="OR12" s="14" t="str">
        <f>IF(SUM(NW12:NX12,NZ12:OB12,OD12)-NY12-OC12&gt;0,SUM(NW12:NX12,NZ12:OB12,OD12)-NY12-OC12,"")</f>
        <v/>
      </c>
      <c r="OS12" s="14" t="str">
        <f>IF(SUM(OE12:OF12,OH12)-OG12&gt;0,SUM(OE12:OF12,OH12)-OG12,"")</f>
        <v/>
      </c>
      <c r="OT12" s="14" t="str">
        <f>IF(SUM(OJ12,ON12)&gt;0,SUM(OJ12,ON12),"")</f>
        <v/>
      </c>
      <c r="OU12" s="14" t="str">
        <f>IF(SUM(OI12:OJ12,OL12:ON12,OP12)-SUM(OK12,OO12)&gt;0,SUM(OI12:OJ12,OL12:ON12,OP12)-SUM(OK12,OO12),"")</f>
        <v/>
      </c>
      <c r="OV12" s="14" t="str">
        <f>IF(SUM(OR12,OS12,OU12)&gt;0,SUM(OR12,OS12,OU12),"")</f>
        <v/>
      </c>
      <c r="OW12" s="27">
        <f>IF($CN12="P",BT12,(BT12+AS12)/2)</f>
        <v>9.5</v>
      </c>
      <c r="OX12" s="27">
        <f>IF($CN12="P",BU12,(BU12+AT12)/2)</f>
        <v>1.8</v>
      </c>
      <c r="OY12" s="27">
        <f>IF($CN12="P",BV12,(BV12+AU12)/2)</f>
        <v>0</v>
      </c>
      <c r="OZ12" s="27">
        <f>IF($CN12="P",BW12,(BW12+AV12)/2)</f>
        <v>0</v>
      </c>
      <c r="PA12" s="27">
        <f>IF($CN12="P",BX12,(BX12+AW12)/2)</f>
        <v>9.5500000000000007</v>
      </c>
      <c r="PB12" s="27">
        <f>IF($CN12="P",BY12,(BY12+AX12)/2)</f>
        <v>1.75</v>
      </c>
      <c r="PC12" s="27">
        <f>IF($CN12="P",BZ12,(BZ12+AY12)/2)</f>
        <v>0.3</v>
      </c>
      <c r="PD12" s="27">
        <f>IF($CN12="P",CA12,(CA12+AZ12)/2)</f>
        <v>0</v>
      </c>
      <c r="PE12" s="27">
        <f>IF($CN12="P",CB12,(CB12+BA12)/2)</f>
        <v>0</v>
      </c>
      <c r="PF12" s="27">
        <f>IF($CN12="P",CC12,(CC12+BB12)/2)</f>
        <v>0</v>
      </c>
      <c r="PG12" s="27">
        <f>IF($CN12="P",CD12,(CD12+BC12)/2)</f>
        <v>0</v>
      </c>
      <c r="PH12" s="27">
        <f>IF($CN12="P",CE12,(CE12+BD12)/2)</f>
        <v>0</v>
      </c>
      <c r="PI12" s="27">
        <f>IF($CN12="P",CF12,(CF12+BE12)/2)</f>
        <v>9.4</v>
      </c>
      <c r="PJ12" s="27">
        <f>IF($CN12="P",CG12,(CG12+BF12)/2)</f>
        <v>1.8</v>
      </c>
      <c r="PK12" s="27">
        <f>IF($CN12="P",CH12,(CH12+BG12)/2)</f>
        <v>0</v>
      </c>
      <c r="PL12" s="27">
        <f>IF($CN12="P",CI12,(CI12+BH12)/2)</f>
        <v>0</v>
      </c>
      <c r="PM12" s="27">
        <f>IF($CN12="P",CJ12,(CJ12+BI12)/2)</f>
        <v>9.6</v>
      </c>
      <c r="PN12" s="27">
        <f>IF($CN12="P",CK12,(CK12+BJ12)/2)</f>
        <v>1.75</v>
      </c>
      <c r="PO12" s="27">
        <f>IF($CN12="P",CL12,(CL12+BK12)/2)</f>
        <v>0</v>
      </c>
      <c r="PP12" s="27">
        <f>IF($CN12="P",CM12,(CM12+BL12)/2)</f>
        <v>0</v>
      </c>
      <c r="PQ12" s="32" t="s">
        <v>44</v>
      </c>
      <c r="PR12" s="55">
        <f>IF(SUM(OX12,PB12)&gt;0,SUM(OX12,PB12),"")</f>
        <v>3.55</v>
      </c>
      <c r="PS12" s="55">
        <f>IF(SUM(OW12:OX12,OZ12:PB12,PD12)-OY12-PC12&gt;0,SUM(OW12:OX12,OZ12:PB12,PD12)-OY12-PC12,"")</f>
        <v>22.3</v>
      </c>
      <c r="PT12" s="55" t="str">
        <f>IF(SUM(PE12:PF12,PH12)-PG12&gt;0,SUM(PE12:PF12,PH12)-PG12,"")</f>
        <v/>
      </c>
      <c r="PU12" s="55">
        <f>IF(SUM(PJ12,PN12)&gt;0,SUM(PJ12,PN12),"")</f>
        <v>3.55</v>
      </c>
      <c r="PV12" s="55">
        <f>IF(SUM(PI12:PJ12,PL12:PN12,PP12)-SUM(PK12,PO12)&gt;0,SUM(PI12:PJ12,PL12:PN12,PP12)-SUM(PK12,PO12),"")</f>
        <v>22.55</v>
      </c>
      <c r="PW12" s="55">
        <f>IF(SUM(PS12,PT12,PV12)&gt;0,SUM(PS12,PT12,PV12),"")</f>
        <v>44.85</v>
      </c>
    </row>
    <row r="13" spans="1:43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91</v>
      </c>
      <c r="C13" s="4" t="s">
        <v>89</v>
      </c>
      <c r="D13" s="4">
        <v>2010</v>
      </c>
      <c r="E13" s="10">
        <f>SUM(I13:O13)+SUM(I13:M13)*0.0000001+SUM(I13)*0.0000000000001</f>
        <v>122.30001223000438</v>
      </c>
      <c r="F13" s="3" t="str">
        <f>IF(OR(AND(AM13&gt;=AR$19,AN13&gt;=AR$23,AM13&lt;&gt;"",AL13=""),AND(AP13&gt;=AR$19,AQ13&gt;=AR$23,AP13&lt;&gt;"",AL13=""),AND(BN13&gt;=BS$19,BO13&gt;=BS$23,BN13&lt;&gt;"",BM13=""),AND(BQ13&gt;=BS$19,BR13&gt;=BS$23,BQ13&lt;&gt;"",BM13=""),AND(CO13&gt;=CT$19,CP13&gt;=CT$23,CO13&lt;&gt;"",CN13=""),AND(CR13&gt;=CT$19,CS13&gt;=CT$23,CR13&lt;&gt;""),AND(DQ13&gt;=DV$19,DR13&gt;=DV$23,DQ13&lt;&gt;""),AND(DT13&gt;=DV$19,DU13&gt;=DV$23,DT13&lt;&gt;""),AND(EQ13&gt;=EV$19,ER13&gt;=EV$23,EQ13&lt;&gt;""),AND(ET13&gt;=EV$19,EU13&gt;=EV$23,ET13&lt;&gt;""),AND(FQ13&gt;=FV$19,FR13&gt;=FV$23,FQ13&lt;&gt;""),AND(FT13&gt;=FV$19,FU13&gt;=FV$23,FT13&lt;&gt;""),AND(GQ13&gt;=GV$19,GR13&gt;=GV$23,GQ13&lt;&gt;""),AND(GT13&gt;=GV$19,GU13&gt;=GV$23,GT13&lt;&gt;""),AND(HQ13&gt;=HV$19,HR13&gt;=HV$23,HQ13&lt;&gt;""),AND(HT13&gt;=HV$19,HU13&gt;=HV$23,HT13&lt;&gt;""),AND(IQ13&gt;=IV$19,IR13&gt;=IV$23,IQ13&lt;&gt;""),AND(IT13&gt;=IV$19,IU13&gt;=IV$23,IT13&lt;&gt;""),AND(JQ13&gt;=JV$19,JR13&gt;=JV$23,JQ13&lt;&gt;""),AND(JT13&gt;=JV$19,JU13&gt;=JV$23,JT13&lt;&gt;""),AND(KQ13&gt;=KV$19,KR13&gt;=KV$23,KQ13&lt;&gt;""),AND(KT13&gt;=KV$19,KU13&gt;=KV$23,KT13&lt;&gt;""),AND(LQ13&gt;=LV$19,LR13&gt;=LV$23,LQ13&lt;&gt;""),AND(LT13&gt;=LV$19,LU13&gt;=LV$23,LT13&lt;&gt;""),AND(MQ13&gt;=MV$19,MR13&gt;=MV$23,MQ13&lt;&gt;""),AND(MT13&gt;=MV$19,MU13&gt;=MV$23,MT13&lt;&gt;""),AND(NQ13&gt;=NV$19,NR13&gt;=NV$23,NQ13&lt;&gt;""),AND(NT13&gt;=NV$19,NU13&gt;=NV$23,NT13&lt;&gt;""),AND(OQ13&gt;=OV$19,OR13&gt;=OV$23,OQ13&lt;&gt;""),AND(OT13&gt;=OV$19,OU13&gt;=OV$23,OT13&lt;&gt;"")),"P","")</f>
        <v/>
      </c>
      <c r="G13" s="3" t="str">
        <f>IF(OR(AND(AN13&gt;=AR$23,AN13&lt;&gt;"",AL13=""),AND(AQ13&gt;=AR$23,AQ13&lt;&gt;"",AL13=""),AND(BO13&gt;=BS$23,BO13&lt;&gt;"",BM13=""),AND(BR13&gt;=BS$23,BR13&lt;&gt;"",BM13=""),AND(CP13&gt;=CT$23,CP13&lt;&gt;"",CN13=""),AND(CS13&gt;=CT$23,CS13&lt;&gt;"",CN13=""),AND(DR13&gt;=DV$23,DR13&lt;&gt;""),AND(DU13&gt;=DV$23,DU13&lt;&gt;""),AND(ER13&gt;=EV$23,ER13&lt;&gt;""),AND(EU13&gt;=EV$23,EU13&lt;&gt;""),AND(FR13&gt;=FV$23,FR13&lt;&gt;""),AND(FU13&gt;=FV$23,FU13&lt;&gt;""),AND(GR13&gt;=GV$23,GR13&lt;&gt;""),AND(GU13&gt;=GV$23,GU13&lt;&gt;""),AND(HR13&gt;=HV$23,HR13&lt;&gt;""),AND(HU13&gt;=HV$23,HU13&lt;&gt;""),AND(IR13&gt;=IV$23,IR13&lt;&gt;""),AND(IU13&gt;=IV$23,IU13&lt;&gt;""),AND(JR13&gt;=JV$23,JR13&lt;&gt;""),AND(JU13&gt;=JV$23,JU13&lt;&gt;""),AND(KR13&gt;=KV$23,KR13&lt;&gt;""),AND(KU13&gt;=KV$23,KU13&lt;&gt;""),AND(LR13&gt;=LV$23,LR13&lt;&gt;""),AND(LU13&gt;=LV$23,LU13&lt;&gt;""),AND(MR13&gt;=MV$23,MR13&lt;&gt;""),AND(MU13&gt;=MV$23,MU13&lt;&gt;""),AND(NR13&gt;=NV$23,NR13&lt;&gt;""),AND(NU13&gt;=NV$23,NU13&lt;&gt;""),AND(OR13&gt;=OV$23,OR13&lt;&gt;""),AND(OU13&gt;=OV$23,OU13&lt;&gt;"")),"P","")</f>
        <v/>
      </c>
      <c r="H13" s="47" t="str">
        <f>IF(AND(G13="P",F13=""),"No DD",IF(OR(AND(AM13&gt;=AR$22,AN13&gt;=AR$26,AM13&lt;&gt;"",AL13=""),AND(AP13&gt;=AR$22,AQ13&gt;=AR$26,AP13&lt;&gt;"",AL13=""),AND(BN13&gt;=BS$22,BO13&gt;=BS$26,BN13&lt;&gt;"",BM13=""),AND(BQ13&gt;=BS$22,BR13&gt;=BS$26,BQ13&lt;&gt;"",BM13=""),AND(CO13&gt;=CT$22,CP13&gt;=CT$26,CO13&lt;&gt;"",CN13=""),AND(CR13&gt;=CT$22,CS13&gt;=CT$26,CR13&lt;&gt;""),AND(DQ13&gt;=DV$22,DR13&gt;=DV$26,DQ13&lt;&gt;""),AND(DT13&gt;=DV$22,DU13&gt;=DV$26,DT13&lt;&gt;""),AND(EQ13&gt;=EV$22,ER13&gt;=EV$26,EQ13&lt;&gt;""),AND(ET13&gt;=EV$22,EU13&gt;=EV$26,ET13&lt;&gt;""),AND(FQ13&gt;=FV$22,FR13&gt;=FV$26,FQ13&lt;&gt;""),AND(FT13&gt;=FV$22,FU13&gt;=FV$26,FT13&lt;&gt;""),AND(GQ13&gt;=GV$22,GR13&gt;=GV$26,GQ13&lt;&gt;""),AND(GT13&gt;=GV$22,GU13&gt;=GV$26,GT13&lt;&gt;""),AND(HQ13&gt;=HV$22,HR13&gt;=HV$26,HQ13&lt;&gt;""),AND(HT13&gt;=HV$22,HU13&gt;=HV$26,HT13&lt;&gt;""),AND(IQ13&gt;=IV$22,IR13&gt;=IV$26,IQ13&lt;&gt;""),AND(IT13&gt;=IV$22,IU13&gt;=IV$26,IT13&lt;&gt;""),AND(JQ13&gt;=JV$22,JR13&gt;=JV$26,JQ13&lt;&gt;""),AND(JT13&gt;=JV$22,JU13&gt;=JV$26,JT13&lt;&gt;""),AND(KQ13&gt;=KV$22,KR13&gt;=KV$26,KQ13&lt;&gt;""),AND(KT13&gt;=KV$22,KU13&gt;=KV$26,KT13&lt;&gt;""),AND(LQ13&gt;=LV$22,LR13&gt;=LV$26,LQ13&lt;&gt;""),AND(LT13&gt;=LV$22,LU13&gt;=LV$26,LT13&lt;&gt;""),AND(MQ13&gt;=MV$22,MR13&gt;=MV$26,MQ13&lt;&gt;""),AND(MT13&gt;=MV$22,MU13&gt;=MV$26,MT13&lt;&gt;""),AND(NQ13&gt;=NV$22,NR13&gt;=NV$26,NQ13&lt;&gt;""),AND(NT13&gt;=NV$22,NU13&gt;=NV$26,NT13&lt;&gt;""),AND(OQ13&gt;=OV$22,OR13&gt;=OV$26,OQ13&lt;&gt;""),AND(OT13&gt;=OV$22,OU13&gt;=OV$26,OT13&lt;&gt;"")),"Merit",IF(OR(AND(AM13&gt;=AR$21,AN13&gt;=AR$25,AM13&lt;&gt;"",AL13=""),AND(AP13&gt;=AR$21,AQ13&gt;=AR$25,AP13&lt;&gt;"",AL13=""),AND(BN13&gt;=BS$21,BO13&gt;=BS$25,BN13&lt;&gt;"",BM13=""),AND(BQ13&gt;=BS$21,BR13&gt;=BS$25,BQ13&lt;&gt;"",BM13=""),AND(CO13&gt;=CT$21,CP13&gt;=CT$25,CO13&lt;&gt;"",CN13=""),AND(CR13&gt;=CT$21,CS13&gt;=CT$25,CR13&lt;&gt;""),AND(DQ13&gt;=DV$21,DR13&gt;=DV$25,DQ13&lt;&gt;""),AND(DT13&gt;=DV$21,DU13&gt;=DV$25,DT13&lt;&gt;""),AND(EQ13&gt;=EV$21,ER13&gt;=EV$25,EQ13&lt;&gt;""),AND(ET13&gt;=EV$21,EU13&gt;=EV$25,ET13&lt;&gt;""),AND(FQ13&gt;=FV$21,FR13&gt;=FV$25,FQ13&lt;&gt;""),AND(FT13&gt;=FV$21,FU13&gt;=FV$25,FT13&lt;&gt;""),AND(GQ13&gt;=GV$21,GR13&gt;=GV$25,GQ13&lt;&gt;""),AND(GT13&gt;=GV$21,GU13&gt;=GV$25,GT13&lt;&gt;""),AND(HQ13&gt;=HV$21,HR13&gt;=HV$25,HQ13&lt;&gt;""),AND(HT13&gt;=HV$21,HU13&gt;=HV$25,HT13&lt;&gt;""),AND(IQ13&gt;=IV$21,IR13&gt;=IV$25,IQ13&lt;&gt;""),AND(IT13&gt;=IV$21,IU13&gt;=IV$25,IT13&lt;&gt;""),AND(JQ13&gt;=JV$21,JR13&gt;=JV$25,JQ13&lt;&gt;""),AND(JT13&gt;=JV$21,JU13&gt;=JV$25,JT13&lt;&gt;""),AND(KQ13&gt;=KV$21,KR13&gt;=KV$25,KQ13&lt;&gt;""),AND(KT13&gt;=KV$21,KU13&gt;=KV$25,KT13&lt;&gt;""),AND(LQ13&gt;=LV$21,LR13&gt;=LV$25,LQ13&lt;&gt;""),AND(LT13&gt;=LV$21,LU13&gt;=LV$25,LT13&lt;&gt;""),AND(MQ13&gt;=MV$21,MR13&gt;=MV$25,MQ13&lt;&gt;""),AND(MT13&gt;=MV$21,MU13&gt;=MV$25,MT13&lt;&gt;""),AND(NQ13&gt;=NV$21,NR13&gt;=NV$25,NQ13&lt;&gt;""),AND(NT13&gt;=NV$21,NU13&gt;=NV$25,NT13&lt;&gt;""),AND(OQ13&gt;=OV$21,OR13&gt;=OV$25,OQ13&lt;&gt;""),AND(OT13&gt;=OV$21,OU13&gt;=OV$25,OT13&lt;&gt;"")),"Excellence",IF(F13="P","National Team",""))))</f>
        <v/>
      </c>
      <c r="I13" s="9">
        <f>IF(COUNT(AN13,BO13,CP13)&gt;0,LARGE((AN13,BO13,CP13),1),0)</f>
        <v>43.7</v>
      </c>
      <c r="J13" s="9" t="str">
        <f>IF(I13=0,"",IF(I13=CP13,$BT$1,IF(I13=BO13,$AS$1,IF(I13=AN13,$R$1,""))))</f>
        <v>2025 Elite Canada</v>
      </c>
      <c r="K13" s="9">
        <f>IF(COUNT(AN13,BO13,CP13)&gt;1,LARGE((AN13,BO13,CP13),2),0)</f>
        <v>34.1</v>
      </c>
      <c r="L13" s="9" t="str">
        <f>IF(K13=0,"",IF(AND(K13=I13,K13=AN13,K13=BO13),$R$1,IF(AND(K13=I13,K13=AN13,K13=CP13),$R$1,IF(AND(K13=I13,K13=CP13,K13=BO13),$AS$1,IF(K13=CP13,$BT$1,IF(K13=BO13,$AS$1,IF(K13=AN13,$R$1,"")))))))</f>
        <v>2025 Nationals</v>
      </c>
      <c r="M13" s="9">
        <f>IF(MAX(AQ13,BR13,CS13)&gt;0,MAX(AQ13,BR13,CS13),0)</f>
        <v>44.499999999999993</v>
      </c>
      <c r="N13" s="9" t="str">
        <f>IF(M13=0,"",IF(M13=CS13,$BT$1,IF(M13=BR13,$AS$1,IF(M13=AQ13,$R$1,""))))</f>
        <v>2025 Elite Canada</v>
      </c>
      <c r="O13" s="9" t="str">
        <f>IF(MAX(CU13:CV13)&gt;0,MAX(CU13:CV13),"")</f>
        <v/>
      </c>
      <c r="P13" s="14" t="str">
        <f>IF(O13="","",IF(O13=CU13,"("&amp;CU$2&amp;")",IF(O13=CV13,"("&amp;CV$2&amp;")")))</f>
        <v/>
      </c>
      <c r="Q13" s="9" t="str">
        <f>IF(O13="","",IF(O13=CU13,IF(O13+IF(K13="",0,K13)=OR13,$NW$1,IF(O13+IF(K13="",0,K13)=NR13,$MW$1,IF(O13+IF(K13="",0,K13)=MR13,$LW$1,IF(O13+IF(K13="",0,K13)=LR13,$KW$1,IF(O13+IF(K13="",0,K13)=KR13,$JW$1,IF(O13+IF(K13="",0,K13)=JR13,$IW$1,IF(O13+IF(K13="",0,K13)=IR13,$HW$1,IF(O13+IF(K13="",0,K13)=HR13,$GW$1,IF(O13+IF(K13="",0,K13)=GR13,$FW$1,IF(O13+IF(K13="",0,K13)=FR13,$EW$1,IF(O13+IF(K13="",0,K13)=ER13,$DW$1,IF(O13+IF(K13="",0,K13)=DR13,$CW$1)))))))))))),IF(O13=CV13,IF(O13+IF(M13="",0,M13)=OU13,$NW$1,IF(O13+IF(M13="",0,M13)=NU13,$MW$1,IF(O13+IF(M13="",0,M13)=MU13,$LW$1,IF(O13+IF(M13="",0,M13)=LU13,$KW$1,IF(O13+IF(M13="",0,M13)=KU13,$JW$1,IF(O13+IF(M13="",0,M13)=JU13,$IW$1,IF(O13+IF(M13="",0,M13)=IU13,$HW$1,IF(O13+IF(M13="",0,M13)=HU13,$GW$1,IF(O13+IF(M13="",0,M13)=GU13,$FW$1,IF(O13+IF(M13="",0,M13)=FU13,$EW$1,IF(O13+IF(M13="",0,M13)=EU13,$DW$1,IF(O13+IF(M13="",0,M13)=DU13,$CW$1)))))))))))))))</f>
        <v/>
      </c>
      <c r="R13" s="20">
        <v>18.600000000000001</v>
      </c>
      <c r="S13" s="20">
        <v>3.5</v>
      </c>
      <c r="T13" s="20">
        <v>0</v>
      </c>
      <c r="U13" s="20">
        <v>0</v>
      </c>
      <c r="V13" s="20">
        <v>17.8</v>
      </c>
      <c r="W13" s="20">
        <v>4.4000000000000004</v>
      </c>
      <c r="X13" s="20">
        <v>0.6</v>
      </c>
      <c r="Y13" s="20">
        <v>0</v>
      </c>
      <c r="Z13" s="20"/>
      <c r="AA13" s="20"/>
      <c r="AB13" s="20"/>
      <c r="AC13" s="20"/>
      <c r="AD13" s="20">
        <v>18.399999999999999</v>
      </c>
      <c r="AE13" s="20">
        <v>3.5</v>
      </c>
      <c r="AF13" s="20">
        <v>0</v>
      </c>
      <c r="AG13" s="20">
        <v>0</v>
      </c>
      <c r="AH13" s="20">
        <v>18.2</v>
      </c>
      <c r="AI13" s="20">
        <v>4.4000000000000004</v>
      </c>
      <c r="AJ13" s="20">
        <v>0</v>
      </c>
      <c r="AK13" s="20">
        <v>0</v>
      </c>
      <c r="AL13" s="32"/>
      <c r="AM13" s="55">
        <f>IF(SUM(S13,W13)&gt;0,SUM(S13,W13),"")</f>
        <v>7.9</v>
      </c>
      <c r="AN13" s="55">
        <f>IF(SUM(R13:S13,U13:W13,Y13)-T13-X13&gt;0,SUM(R13:S13,U13:W13,Y13)-T13-X13,"")</f>
        <v>43.7</v>
      </c>
      <c r="AO13" s="55" t="str">
        <f>IF(SUM(Z13:AA13,AC13)-AB13&gt;0,SUM(Z13:AA13,AC13)-AB13,"")</f>
        <v/>
      </c>
      <c r="AP13" s="55">
        <f>IF(SUM(AE13,AI13)&gt;0,SUM(AE13,AI13),"")</f>
        <v>7.9</v>
      </c>
      <c r="AQ13" s="55">
        <f>IF(SUM(AD13:AE13,AG13:AI13,AK13)-SUM(AF13,AJ13)&gt;0,SUM(AD13:AE13,AG13:AI13,AK13)-SUM(AF13,AJ13),"")</f>
        <v>44.499999999999993</v>
      </c>
      <c r="AR13" s="55">
        <f>IF(SUM(AN13,AO13,AQ13)&gt;0,SUM(AN13,AO13,AQ13),"")</f>
        <v>88.199999999999989</v>
      </c>
      <c r="AS13" s="19">
        <v>15.8</v>
      </c>
      <c r="AT13" s="19">
        <v>0.7</v>
      </c>
      <c r="AU13" s="19">
        <v>0</v>
      </c>
      <c r="AV13" s="19">
        <v>0</v>
      </c>
      <c r="AW13" s="19">
        <v>15.2</v>
      </c>
      <c r="AX13" s="19">
        <v>2.4</v>
      </c>
      <c r="AY13" s="19">
        <v>0</v>
      </c>
      <c r="AZ13" s="19">
        <v>0</v>
      </c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33"/>
      <c r="BN13" s="14">
        <f>IF(SUM(AT13,AX13)&gt;0,SUM(AT13,AX13),"")</f>
        <v>3.0999999999999996</v>
      </c>
      <c r="BO13" s="14">
        <f>IF(SUM(AS13:AT13,AV13:AX13,AZ13)-AU13-AY13&gt;0,SUM(AS13:AT13,AV13:AX13,AZ13)-AU13-AY13,"")</f>
        <v>34.1</v>
      </c>
      <c r="BP13" s="14" t="str">
        <f>IF(SUM(BA13:BB13,BD13)-BC13&gt;0,SUM(BA13:BB13,BD13)-BC13,"")</f>
        <v/>
      </c>
      <c r="BQ13" s="14" t="str">
        <f>IF(SUM(BF13,BJ13)&gt;0,SUM(BF13,BJ13),"")</f>
        <v/>
      </c>
      <c r="BR13" s="14" t="str">
        <f>IF(SUM(BE13:BF13,BH13:BJ13,BL13)-SUM(BG13,BK13)&gt;0,SUM(BE13:BF13,BH13:BJ13,BL13)-SUM(BG13,BK13),"")</f>
        <v/>
      </c>
      <c r="BS13" s="14">
        <f>IF(SUM(BO13,BP13,BR13)&gt;0,SUM(BO13,BP13,BR13),"")</f>
        <v>34.1</v>
      </c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32"/>
      <c r="CO13" s="55" t="str">
        <f>IF(SUM(BU13,BY13)&gt;0,SUM(BU13,BY13),"")</f>
        <v/>
      </c>
      <c r="CP13" s="55" t="str">
        <f>IF(SUM(BT13:BU13,BW13:BY13,CA13)-BV13-BZ13&gt;0,SUM(BT13:BU13,BW13:BY13,CA13)-BV13-BZ13,"")</f>
        <v/>
      </c>
      <c r="CQ13" s="55" t="str">
        <f>IF(SUM(CB13:CC13,CE13)-CD13&gt;0,SUM(CB13:CC13,CE13)-CD13,"")</f>
        <v/>
      </c>
      <c r="CR13" s="55" t="str">
        <f>IF(SUM(CG13,CK13)&gt;0,SUM(CG13,CK13),"")</f>
        <v/>
      </c>
      <c r="CS13" s="55" t="str">
        <f>IF(SUM(CF13:CG13,CI13:CK13,CM13)-SUM(CH13,CL13)&gt;0,SUM(CF13:CG13,CI13:CK13,CM13)-SUM(CH13,CL13),"")</f>
        <v/>
      </c>
      <c r="CT13" s="55" t="str">
        <f>IF(SUM(CP13,CQ13,CS13)&gt;0,SUM(CP13,CQ13,CS13),"")</f>
        <v/>
      </c>
      <c r="CU13" s="56" t="str">
        <f>IF(MAX(DR13,ER13,FR13,GR13,HR13,IR13,JR13,KR13,LR13,MR13,NR13,OR13)-IF(K13="",0,K13)&gt;0.001,MAX(DR13,ER13,FR13,GR13,HR13,IR13,JR13,KR13,LR13,MR13,NR13,OR13)-IF(K13="",0,K13),"")</f>
        <v/>
      </c>
      <c r="CV13" s="56" t="str">
        <f>IF(MAX(DU13,EU13,FU13,GU13,HU13,IU13,JU13,KU13,LU13,MU13,NU13,OU13)-IF(M13="",0,M13)&gt;0.001,MAX(DU13,EU13,FU13,GU13,HU13,IU13,JU13,KU13,LU13,MU13,NU13,OU13)-IF(M13="",0,M13),"")</f>
        <v/>
      </c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55" t="str">
        <f>IF(SUM(CX13,DB13)&gt;0,SUM(CX13,DB13),"")</f>
        <v/>
      </c>
      <c r="DR13" s="55" t="str">
        <f>IF(SUM(CW13:CX13,CZ13:DB13,DD13)-CY13-DC13&gt;0,SUM(CW13:CX13,CZ13:DB13,DD13)-CY13-DC13,"")</f>
        <v/>
      </c>
      <c r="DS13" s="55" t="str">
        <f>IF(SUM(DE13:DF13,DH13)-DG13&gt;0,SUM(DE13:DF13,DH13)-DG13,"")</f>
        <v/>
      </c>
      <c r="DT13" s="55" t="str">
        <f>IF(SUM(DJ13,DN13)&gt;0,SUM(DJ13,DN13),"")</f>
        <v/>
      </c>
      <c r="DU13" s="55" t="str">
        <f>IF(SUM(DI13:DJ13,DL13:DN13,DP13)-SUM(DK13,DO13)&gt;0,SUM(DI13:DJ13,DL13:DN13,DP13)-SUM(DK13,DO13),"")</f>
        <v/>
      </c>
      <c r="DV13" s="55" t="str">
        <f>IF(SUM(DR13,DS13,DU13)&gt;0,SUM(DR13,DS13,DU13),"")</f>
        <v/>
      </c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4" t="str">
        <f>IF(SUM(DX13,EB13)&gt;0,SUM(DX13,EB13),"")</f>
        <v/>
      </c>
      <c r="ER13" s="14" t="str">
        <f>IF(SUM(DW13:DX13,DZ13:EB13,ED13)-DY13-EC13&gt;0,SUM(DW13:DX13,DZ13:EB13,ED13)-DY13-EC13,"")</f>
        <v/>
      </c>
      <c r="ES13" s="14" t="str">
        <f>IF(SUM(EE13:EF13,EH13)-EG13&gt;0,SUM(EE13:EF13,EH13)-EG13,"")</f>
        <v/>
      </c>
      <c r="ET13" s="14" t="str">
        <f>IF(SUM(EJ13,EN13)&gt;0,SUM(EJ13,EN13),"")</f>
        <v/>
      </c>
      <c r="EU13" s="14" t="str">
        <f>IF(SUM(EI13:EJ13,EL13:EN13,EP13)-SUM(EK13,EO13)&gt;0,SUM(EI13:EJ13,EL13:EN13,EP13)-SUM(EK13,EO13),"")</f>
        <v/>
      </c>
      <c r="EV13" s="14" t="str">
        <f>IF(SUM(ER13,ES13,EU13)&gt;0,SUM(ER13,ES13,EU13),"")</f>
        <v/>
      </c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55" t="str">
        <f>IF(SUM(EX13,FB13)&gt;0,SUM(EX13,FB13),"")</f>
        <v/>
      </c>
      <c r="FR13" s="55" t="str">
        <f>IF(SUM(EW13:EX13,EZ13:FB13,FD13)-EY13-FC13&gt;0,SUM(EW13:EX13,EZ13:FB13,FD13)-EY13-FC13,"")</f>
        <v/>
      </c>
      <c r="FS13" s="55" t="str">
        <f>IF(SUM(FE13:FF13,FH13)-FG13&gt;0,SUM(FE13:FF13,FH13)-FG13,"")</f>
        <v/>
      </c>
      <c r="FT13" s="55" t="str">
        <f>IF(SUM(FJ13,FN13)&gt;0,SUM(FJ13,FN13),"")</f>
        <v/>
      </c>
      <c r="FU13" s="55" t="str">
        <f>IF(SUM(FI13:FJ13,FL13:FN13,FP13)-SUM(FK13,FO13)&gt;0,SUM(FI13:FJ13,FL13:FN13,FP13)-SUM(FK13,FO13),"")</f>
        <v/>
      </c>
      <c r="FV13" s="55" t="str">
        <f>IF(SUM(FR13,FS13,FU13)&gt;0,SUM(FR13,FS13,FU13),"")</f>
        <v/>
      </c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4" t="str">
        <f>IF(SUM(FX13,GB13)&gt;0,SUM(FX13,GB13),"")</f>
        <v/>
      </c>
      <c r="GR13" s="14" t="str">
        <f>IF(SUM(FW13:FX13,FZ13:GB13,GD13)-FY13-GC13&gt;0,SUM(FW13:FX13,FZ13:GB13,GD13)-FY13-GC13,"")</f>
        <v/>
      </c>
      <c r="GS13" s="14" t="str">
        <f>IF(SUM(GE13:GF13,GH13)-GG13&gt;0,SUM(GE13:GF13,GH13)-GG13,"")</f>
        <v/>
      </c>
      <c r="GT13" s="14" t="str">
        <f>IF(SUM(GJ13,GN13)&gt;0,SUM(GJ13,GN13),"")</f>
        <v/>
      </c>
      <c r="GU13" s="14" t="str">
        <f>IF(SUM(GI13:GJ13,GL13:GN13,GP13)-SUM(GK13,GO13)&gt;0,SUM(GI13:GJ13,GL13:GN13,GP13)-SUM(GK13,GO13),"")</f>
        <v/>
      </c>
      <c r="GV13" s="14" t="str">
        <f>IF(SUM(GR13,GS13,GU13)&gt;0,SUM(GR13,GS13,GU13),"")</f>
        <v/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55" t="str">
        <f>IF(SUM(GX13,HB13)&gt;0,SUM(GX13,HB13),"")</f>
        <v/>
      </c>
      <c r="HR13" s="55" t="str">
        <f>IF(SUM(GW13:GX13,GZ13:HB13,HD13)-GY13-HC13&gt;0,SUM(GW13:GX13,GZ13:HB13,HD13)-GY13-HC13,"")</f>
        <v/>
      </c>
      <c r="HS13" s="55" t="str">
        <f>IF(SUM(HE13:HF13,HH13)-HG13&gt;0,SUM(HE13:HF13,HH13)-HG13,"")</f>
        <v/>
      </c>
      <c r="HT13" s="55" t="str">
        <f>IF(SUM(HJ13,HN13)&gt;0,SUM(HJ13,HN13),"")</f>
        <v/>
      </c>
      <c r="HU13" s="55" t="str">
        <f>IF(SUM(HI13:HJ13,HL13:HN13,HP13)-SUM(HK13,HO13)&gt;0,SUM(HI13:HJ13,HL13:HN13,HP13)-SUM(HK13,HO13),"")</f>
        <v/>
      </c>
      <c r="HV13" s="55" t="str">
        <f>IF(SUM(HR13,HS13,HU13)&gt;0,SUM(HR13,HS13,HU13),"")</f>
        <v/>
      </c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4" t="str">
        <f>IF(SUM(HX13,IB13)&gt;0,SUM(HX13,IB13),"")</f>
        <v/>
      </c>
      <c r="IR13" s="14" t="str">
        <f>IF(SUM(HW13:HX13,HZ13:IB13,ID13)-HY13-IC13&gt;0,SUM(HW13:HX13,HZ13:IB13,ID13)-HY13-IC13,"")</f>
        <v/>
      </c>
      <c r="IS13" s="14" t="str">
        <f>IF(SUM(IE13:IF13,IH13)-IG13&gt;0,SUM(IE13:IF13,IH13)-IG13,"")</f>
        <v/>
      </c>
      <c r="IT13" s="14" t="str">
        <f>IF(SUM(IJ13,IN13)&gt;0,SUM(IJ13,IN13),"")</f>
        <v/>
      </c>
      <c r="IU13" s="14" t="str">
        <f>IF(SUM(II13:IJ13,IL13:IN13,IP13)-SUM(IK13,IO13)&gt;0,SUM(II13:IJ13,IL13:IN13,IP13)-SUM(IK13,IO13),"")</f>
        <v/>
      </c>
      <c r="IV13" s="14" t="str">
        <f>IF(SUM(IR13,IS13,IU13)&gt;0,SUM(IR13,IS13,IU13),"")</f>
        <v/>
      </c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8"/>
      <c r="JQ13" s="55" t="str">
        <f>IF(SUM(IX13,JB13)&gt;0,SUM(IX13,JB13),"")</f>
        <v/>
      </c>
      <c r="JR13" s="55" t="str">
        <f>IF(SUM(IW13:IX13,IZ13:JB13,JD13)-IY13-JC13&gt;0,SUM(IW13:IX13,IZ13:JB13,JD13)-IY13-JC13,"")</f>
        <v/>
      </c>
      <c r="JS13" s="55" t="str">
        <f>IF(SUM(JE13:JF13,JH13)-JG13&gt;0,SUM(JE13:JF13,JH13)-JG13,"")</f>
        <v/>
      </c>
      <c r="JT13" s="55" t="str">
        <f>IF(SUM(JJ13,JN13)&gt;0,SUM(JJ13,JN13),"")</f>
        <v/>
      </c>
      <c r="JU13" s="55" t="str">
        <f>IF(SUM(JI13:JJ13,JL13:JN13,JP13)-SUM(JK13,JO13)&gt;0,SUM(JI13:JJ13,JL13:JN13,JP13)-SUM(JK13,JO13),"")</f>
        <v/>
      </c>
      <c r="JV13" s="55" t="str">
        <f>IF(SUM(JR13,JS13,JU13)&gt;0,SUM(JR13,JS13,JU13),"")</f>
        <v/>
      </c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4" t="str">
        <f>IF(SUM(JX13,KB13)&gt;0,SUM(JX13,KB13),"")</f>
        <v/>
      </c>
      <c r="KR13" s="14" t="str">
        <f>IF(SUM(JW13:JX13,JZ13:KB13,KD13)-JY13-KC13&gt;0,SUM(JW13:JX13,JZ13:KB13,KD13)-JY13-KC13,"")</f>
        <v/>
      </c>
      <c r="KS13" s="14" t="str">
        <f>IF(SUM(KE13:KF13,KH13)-KG13&gt;0,SUM(KE13:KF13,KH13)-KG13,"")</f>
        <v/>
      </c>
      <c r="KT13" s="14" t="str">
        <f>IF(SUM(KJ13,KN13)&gt;0,SUM(KJ13,KN13),"")</f>
        <v/>
      </c>
      <c r="KU13" s="14" t="str">
        <f>IF(SUM(KI13:KJ13,KL13:KN13,KP13)-SUM(KK13,KO13)&gt;0,SUM(KI13:KJ13,KL13:KN13,KP13)-SUM(KK13,KO13),"")</f>
        <v/>
      </c>
      <c r="KV13" s="14" t="str">
        <f>IF(SUM(KR13,KS13,KU13)&gt;0,SUM(KR13,KS13,KU13),"")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55" t="str">
        <f>IF(SUM(KX13,LB13)&gt;0,SUM(KX13,LB13),"")</f>
        <v/>
      </c>
      <c r="LR13" s="55" t="str">
        <f>IF(SUM(KW13:KX13,KZ13:LB13,LD13)-KY13-LC13&gt;0,SUM(KW13:KX13,KZ13:LB13,LD13)-KY13-LC13,"")</f>
        <v/>
      </c>
      <c r="LS13" s="55" t="str">
        <f>IF(SUM(LE13:LF13,LH13)-LG13&gt;0,SUM(LE13:LF13,LH13)-LG13,"")</f>
        <v/>
      </c>
      <c r="LT13" s="55" t="str">
        <f>IF(SUM(LJ13,LN13)&gt;0,SUM(LJ13,LN13),"")</f>
        <v/>
      </c>
      <c r="LU13" s="55" t="str">
        <f>IF(SUM(LI13:LJ13,LL13:LN13,LP13)-SUM(LK13,LO13)&gt;0,SUM(LI13:LJ13,LL13:LN13,LP13)-SUM(LK13,LO13),"")</f>
        <v/>
      </c>
      <c r="LV13" s="55" t="str">
        <f>IF(SUM(LR13,LS13,LU13)&gt;0,SUM(LR13,LS13,LU13),"")</f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4" t="str">
        <f>IF(SUM(LX13,MB13)&gt;0,SUM(LX13,MB13),"")</f>
        <v/>
      </c>
      <c r="MR13" s="14" t="str">
        <f>IF(SUM(LW13:LX13,LZ13:MB13,MD13)-LY13-MC13&gt;0,SUM(LW13:LX13,LZ13:MB13,MD13)-LY13-MC13,"")</f>
        <v/>
      </c>
      <c r="MS13" s="14" t="str">
        <f>IF(SUM(ME13:MF13,MH13)-MG13&gt;0,SUM(ME13:MF13,MH13)-MG13,"")</f>
        <v/>
      </c>
      <c r="MT13" s="14" t="str">
        <f>IF(SUM(MJ13,MN13)&gt;0,SUM(MJ13,MN13),"")</f>
        <v/>
      </c>
      <c r="MU13" s="14" t="str">
        <f>IF(SUM(MI13:MJ13,ML13:MN13,MP13)-SUM(MK13,MO13)&gt;0,SUM(MI13:MJ13,ML13:MN13,MP13)-SUM(MK13,MO13),"")</f>
        <v/>
      </c>
      <c r="MV13" s="14" t="str">
        <f>IF(SUM(MR13,MS13,MU13)&gt;0,SUM(MR13,MS13,MU13),"")</f>
        <v/>
      </c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55" t="str">
        <f>IF(SUM(MX13,NB13)&gt;0,SUM(MX13,NB13),"")</f>
        <v/>
      </c>
      <c r="NR13" s="55" t="str">
        <f>IF(SUM(MW13:MX13,MZ13:NB13,ND13)-MY13-NC13&gt;0,SUM(MW13:MX13,MZ13:NB13,ND13)-MY13-NC13,"")</f>
        <v/>
      </c>
      <c r="NS13" s="55" t="str">
        <f>IF(SUM(NE13:NF13,NH13)-NG13&gt;0,SUM(NE13:NF13,NH13)-NG13,"")</f>
        <v/>
      </c>
      <c r="NT13" s="55" t="str">
        <f>IF(SUM(NJ13,NN13)&gt;0,SUM(NJ13,NN13),"")</f>
        <v/>
      </c>
      <c r="NU13" s="55" t="str">
        <f>IF(SUM(NI13:NJ13,NL13:NN13,NP13)-SUM(NK13,NO13)&gt;0,SUM(NI13:NJ13,NL13:NN13,NP13)-SUM(NK13,NO13),"")</f>
        <v/>
      </c>
      <c r="NV13" s="55" t="str">
        <f>IF(SUM(NR13,NS13,NU13)&gt;0,SUM(NR13,NS13,NU13),"")</f>
        <v/>
      </c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4" t="str">
        <f>IF(SUM(NX13,OB13)&gt;0,SUM(NX13,OB13),"")</f>
        <v/>
      </c>
      <c r="OR13" s="14" t="str">
        <f>IF(SUM(NW13:NX13,NZ13:OB13,OD13)-NY13-OC13&gt;0,SUM(NW13:NX13,NZ13:OB13,OD13)-NY13-OC13,"")</f>
        <v/>
      </c>
      <c r="OS13" s="14" t="str">
        <f>IF(SUM(OE13:OF13,OH13)-OG13&gt;0,SUM(OE13:OF13,OH13)-OG13,"")</f>
        <v/>
      </c>
      <c r="OT13" s="14" t="str">
        <f>IF(SUM(OJ13,ON13)&gt;0,SUM(OJ13,ON13),"")</f>
        <v/>
      </c>
      <c r="OU13" s="14" t="str">
        <f>IF(SUM(OI13:OJ13,OL13:ON13,OP13)-SUM(OK13,OO13)&gt;0,SUM(OI13:OJ13,OL13:ON13,OP13)-SUM(OK13,OO13),"")</f>
        <v/>
      </c>
      <c r="OV13" s="14" t="str">
        <f>IF(SUM(OR13,OS13,OU13)&gt;0,SUM(OR13,OS13,OU13),"")</f>
        <v/>
      </c>
      <c r="OW13" s="27">
        <f>IF($CN13="P",BT13,(BT13+AS13)/2)</f>
        <v>7.9</v>
      </c>
      <c r="OX13" s="27">
        <f>IF($CN13="P",BU13,(BU13+AT13)/2)</f>
        <v>0.35</v>
      </c>
      <c r="OY13" s="27">
        <f>IF($CN13="P",BV13,(BV13+AU13)/2)</f>
        <v>0</v>
      </c>
      <c r="OZ13" s="27">
        <f>IF($CN13="P",BW13,(BW13+AV13)/2)</f>
        <v>0</v>
      </c>
      <c r="PA13" s="27">
        <f>IF($CN13="P",BX13,(BX13+AW13)/2)</f>
        <v>7.6</v>
      </c>
      <c r="PB13" s="27">
        <f>IF($CN13="P",BY13,(BY13+AX13)/2)</f>
        <v>1.2</v>
      </c>
      <c r="PC13" s="27">
        <f>IF($CN13="P",BZ13,(BZ13+AY13)/2)</f>
        <v>0</v>
      </c>
      <c r="PD13" s="27">
        <f>IF($CN13="P",CA13,(CA13+AZ13)/2)</f>
        <v>0</v>
      </c>
      <c r="PE13" s="27">
        <f>IF($CN13="P",CB13,(CB13+BA13)/2)</f>
        <v>0</v>
      </c>
      <c r="PF13" s="27">
        <f>IF($CN13="P",CC13,(CC13+BB13)/2)</f>
        <v>0</v>
      </c>
      <c r="PG13" s="27">
        <f>IF($CN13="P",CD13,(CD13+BC13)/2)</f>
        <v>0</v>
      </c>
      <c r="PH13" s="27">
        <f>IF($CN13="P",CE13,(CE13+BD13)/2)</f>
        <v>0</v>
      </c>
      <c r="PI13" s="27">
        <f>IF($CN13="P",CF13,(CF13+BE13)/2)</f>
        <v>0</v>
      </c>
      <c r="PJ13" s="27">
        <f>IF($CN13="P",CG13,(CG13+BF13)/2)</f>
        <v>0</v>
      </c>
      <c r="PK13" s="27">
        <f>IF($CN13="P",CH13,(CH13+BG13)/2)</f>
        <v>0</v>
      </c>
      <c r="PL13" s="27">
        <f>IF($CN13="P",CI13,(CI13+BH13)/2)</f>
        <v>0</v>
      </c>
      <c r="PM13" s="27">
        <f>IF($CN13="P",CJ13,(CJ13+BI13)/2)</f>
        <v>0</v>
      </c>
      <c r="PN13" s="27">
        <f>IF($CN13="P",CK13,(CK13+BJ13)/2)</f>
        <v>0</v>
      </c>
      <c r="PO13" s="27">
        <f>IF($CN13="P",CL13,(CL13+BK13)/2)</f>
        <v>0</v>
      </c>
      <c r="PP13" s="27">
        <f>IF($CN13="P",CM13,(CM13+BL13)/2)</f>
        <v>0</v>
      </c>
      <c r="PQ13" s="32" t="s">
        <v>44</v>
      </c>
      <c r="PR13" s="55">
        <f>IF(SUM(OX13,PB13)&gt;0,SUM(OX13,PB13),"")</f>
        <v>1.5499999999999998</v>
      </c>
      <c r="PS13" s="55">
        <f>IF(SUM(OW13:OX13,OZ13:PB13,PD13)-OY13-PC13&gt;0,SUM(OW13:OX13,OZ13:PB13,PD13)-OY13-PC13,"")</f>
        <v>17.05</v>
      </c>
      <c r="PT13" s="55" t="str">
        <f>IF(SUM(PE13:PF13,PH13)-PG13&gt;0,SUM(PE13:PF13,PH13)-PG13,"")</f>
        <v/>
      </c>
      <c r="PU13" s="55" t="str">
        <f>IF(SUM(PJ13,PN13)&gt;0,SUM(PJ13,PN13),"")</f>
        <v/>
      </c>
      <c r="PV13" s="55" t="str">
        <f>IF(SUM(PI13:PJ13,PL13:PN13,PP13)-SUM(PK13,PO13)&gt;0,SUM(PI13:PJ13,PL13:PN13,PP13)-SUM(PK13,PO13),"")</f>
        <v/>
      </c>
      <c r="PW13" s="55">
        <f>IF(SUM(PS13,PT13,PV13)&gt;0,SUM(PS13,PT13,PV13),"")</f>
        <v>17.05</v>
      </c>
    </row>
    <row r="14" spans="1:43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115</v>
      </c>
      <c r="C14" s="4" t="s">
        <v>3</v>
      </c>
      <c r="D14" s="4">
        <v>2009</v>
      </c>
      <c r="E14" s="10">
        <f>SUM(I14:O14)+SUM(I14:M14)*0.0000001+SUM(I14)*0.0000000000001</f>
        <v>89.100008910004505</v>
      </c>
      <c r="F14" s="3" t="str">
        <f>IF(OR(AND(AM14&gt;=AR$19,AN14&gt;=AR$23,AM14&lt;&gt;"",AL14=""),AND(AP14&gt;=AR$19,AQ14&gt;=AR$23,AP14&lt;&gt;"",AL14=""),AND(BN14&gt;=BS$19,BO14&gt;=BS$23,BN14&lt;&gt;"",BM14=""),AND(BQ14&gt;=BS$19,BR14&gt;=BS$23,BQ14&lt;&gt;"",BM14=""),AND(CO14&gt;=CT$19,CP14&gt;=CT$23,CO14&lt;&gt;"",CN14=""),AND(CR14&gt;=CT$19,CS14&gt;=CT$23,CR14&lt;&gt;""),AND(DQ14&gt;=DV$19,DR14&gt;=DV$23,DQ14&lt;&gt;""),AND(DT14&gt;=DV$19,DU14&gt;=DV$23,DT14&lt;&gt;""),AND(EQ14&gt;=EV$19,ER14&gt;=EV$23,EQ14&lt;&gt;""),AND(ET14&gt;=EV$19,EU14&gt;=EV$23,ET14&lt;&gt;""),AND(FQ14&gt;=FV$19,FR14&gt;=FV$23,FQ14&lt;&gt;""),AND(FT14&gt;=FV$19,FU14&gt;=FV$23,FT14&lt;&gt;""),AND(GQ14&gt;=GV$19,GR14&gt;=GV$23,GQ14&lt;&gt;""),AND(GT14&gt;=GV$19,GU14&gt;=GV$23,GT14&lt;&gt;""),AND(HQ14&gt;=HV$19,HR14&gt;=HV$23,HQ14&lt;&gt;""),AND(HT14&gt;=HV$19,HU14&gt;=HV$23,HT14&lt;&gt;""),AND(IQ14&gt;=IV$19,IR14&gt;=IV$23,IQ14&lt;&gt;""),AND(IT14&gt;=IV$19,IU14&gt;=IV$23,IT14&lt;&gt;""),AND(JQ14&gt;=JV$19,JR14&gt;=JV$23,JQ14&lt;&gt;""),AND(JT14&gt;=JV$19,JU14&gt;=JV$23,JT14&lt;&gt;""),AND(KQ14&gt;=KV$19,KR14&gt;=KV$23,KQ14&lt;&gt;""),AND(KT14&gt;=KV$19,KU14&gt;=KV$23,KT14&lt;&gt;""),AND(LQ14&gt;=LV$19,LR14&gt;=LV$23,LQ14&lt;&gt;""),AND(LT14&gt;=LV$19,LU14&gt;=LV$23,LT14&lt;&gt;""),AND(MQ14&gt;=MV$19,MR14&gt;=MV$23,MQ14&lt;&gt;""),AND(MT14&gt;=MV$19,MU14&gt;=MV$23,MT14&lt;&gt;""),AND(NQ14&gt;=NV$19,NR14&gt;=NV$23,NQ14&lt;&gt;""),AND(NT14&gt;=NV$19,NU14&gt;=NV$23,NT14&lt;&gt;""),AND(OQ14&gt;=OV$19,OR14&gt;=OV$23,OQ14&lt;&gt;""),AND(OT14&gt;=OV$19,OU14&gt;=OV$23,OT14&lt;&gt;"")),"P","")</f>
        <v/>
      </c>
      <c r="G14" s="3" t="str">
        <f>IF(OR(AND(AN14&gt;=AR$23,AN14&lt;&gt;"",AL14=""),AND(AQ14&gt;=AR$23,AQ14&lt;&gt;"",AL14=""),AND(BO14&gt;=BS$23,BO14&lt;&gt;"",BM14=""),AND(BR14&gt;=BS$23,BR14&lt;&gt;"",BM14=""),AND(CP14&gt;=CT$23,CP14&lt;&gt;"",CN14=""),AND(CS14&gt;=CT$23,CS14&lt;&gt;"",CN14=""),AND(DR14&gt;=DV$23,DR14&lt;&gt;""),AND(DU14&gt;=DV$23,DU14&lt;&gt;""),AND(ER14&gt;=EV$23,ER14&lt;&gt;""),AND(EU14&gt;=EV$23,EU14&lt;&gt;""),AND(FR14&gt;=FV$23,FR14&lt;&gt;""),AND(FU14&gt;=FV$23,FU14&lt;&gt;""),AND(GR14&gt;=GV$23,GR14&lt;&gt;""),AND(GU14&gt;=GV$23,GU14&lt;&gt;""),AND(HR14&gt;=HV$23,HR14&lt;&gt;""),AND(HU14&gt;=HV$23,HU14&lt;&gt;""),AND(IR14&gt;=IV$23,IR14&lt;&gt;""),AND(IU14&gt;=IV$23,IU14&lt;&gt;""),AND(JR14&gt;=JV$23,JR14&lt;&gt;""),AND(JU14&gt;=JV$23,JU14&lt;&gt;""),AND(KR14&gt;=KV$23,KR14&lt;&gt;""),AND(KU14&gt;=KV$23,KU14&lt;&gt;""),AND(LR14&gt;=LV$23,LR14&lt;&gt;""),AND(LU14&gt;=LV$23,LU14&lt;&gt;""),AND(MR14&gt;=MV$23,MR14&lt;&gt;""),AND(MU14&gt;=MV$23,MU14&lt;&gt;""),AND(NR14&gt;=NV$23,NR14&lt;&gt;""),AND(NU14&gt;=NV$23,NU14&lt;&gt;""),AND(OR14&gt;=OV$23,OR14&lt;&gt;""),AND(OU14&gt;=OV$23,OU14&lt;&gt;"")),"P","")</f>
        <v/>
      </c>
      <c r="H14" s="47" t="str">
        <f>IF(AND(G14="P",F14=""),"No DD",IF(OR(AND(AM14&gt;=AR$22,AN14&gt;=AR$26,AM14&lt;&gt;"",AL14=""),AND(AP14&gt;=AR$22,AQ14&gt;=AR$26,AP14&lt;&gt;"",AL14=""),AND(BN14&gt;=BS$22,BO14&gt;=BS$26,BN14&lt;&gt;"",BM14=""),AND(BQ14&gt;=BS$22,BR14&gt;=BS$26,BQ14&lt;&gt;"",BM14=""),AND(CO14&gt;=CT$22,CP14&gt;=CT$26,CO14&lt;&gt;"",CN14=""),AND(CR14&gt;=CT$22,CS14&gt;=CT$26,CR14&lt;&gt;""),AND(DQ14&gt;=DV$22,DR14&gt;=DV$26,DQ14&lt;&gt;""),AND(DT14&gt;=DV$22,DU14&gt;=DV$26,DT14&lt;&gt;""),AND(EQ14&gt;=EV$22,ER14&gt;=EV$26,EQ14&lt;&gt;""),AND(ET14&gt;=EV$22,EU14&gt;=EV$26,ET14&lt;&gt;""),AND(FQ14&gt;=FV$22,FR14&gt;=FV$26,FQ14&lt;&gt;""),AND(FT14&gt;=FV$22,FU14&gt;=FV$26,FT14&lt;&gt;""),AND(GQ14&gt;=GV$22,GR14&gt;=GV$26,GQ14&lt;&gt;""),AND(GT14&gt;=GV$22,GU14&gt;=GV$26,GT14&lt;&gt;""),AND(HQ14&gt;=HV$22,HR14&gt;=HV$26,HQ14&lt;&gt;""),AND(HT14&gt;=HV$22,HU14&gt;=HV$26,HT14&lt;&gt;""),AND(IQ14&gt;=IV$22,IR14&gt;=IV$26,IQ14&lt;&gt;""),AND(IT14&gt;=IV$22,IU14&gt;=IV$26,IT14&lt;&gt;""),AND(JQ14&gt;=JV$22,JR14&gt;=JV$26,JQ14&lt;&gt;""),AND(JT14&gt;=JV$22,JU14&gt;=JV$26,JT14&lt;&gt;""),AND(KQ14&gt;=KV$22,KR14&gt;=KV$26,KQ14&lt;&gt;""),AND(KT14&gt;=KV$22,KU14&gt;=KV$26,KT14&lt;&gt;""),AND(LQ14&gt;=LV$22,LR14&gt;=LV$26,LQ14&lt;&gt;""),AND(LT14&gt;=LV$22,LU14&gt;=LV$26,LT14&lt;&gt;""),AND(MQ14&gt;=MV$22,MR14&gt;=MV$26,MQ14&lt;&gt;""),AND(MT14&gt;=MV$22,MU14&gt;=MV$26,MT14&lt;&gt;""),AND(NQ14&gt;=NV$22,NR14&gt;=NV$26,NQ14&lt;&gt;""),AND(NT14&gt;=NV$22,NU14&gt;=NV$26,NT14&lt;&gt;""),AND(OQ14&gt;=OV$22,OR14&gt;=OV$26,OQ14&lt;&gt;""),AND(OT14&gt;=OV$22,OU14&gt;=OV$26,OT14&lt;&gt;"")),"Merit",IF(OR(AND(AM14&gt;=AR$21,AN14&gt;=AR$25,AM14&lt;&gt;"",AL14=""),AND(AP14&gt;=AR$21,AQ14&gt;=AR$25,AP14&lt;&gt;"",AL14=""),AND(BN14&gt;=BS$21,BO14&gt;=BS$25,BN14&lt;&gt;"",BM14=""),AND(BQ14&gt;=BS$21,BR14&gt;=BS$25,BQ14&lt;&gt;"",BM14=""),AND(CO14&gt;=CT$21,CP14&gt;=CT$25,CO14&lt;&gt;"",CN14=""),AND(CR14&gt;=CT$21,CS14&gt;=CT$25,CR14&lt;&gt;""),AND(DQ14&gt;=DV$21,DR14&gt;=DV$25,DQ14&lt;&gt;""),AND(DT14&gt;=DV$21,DU14&gt;=DV$25,DT14&lt;&gt;""),AND(EQ14&gt;=EV$21,ER14&gt;=EV$25,EQ14&lt;&gt;""),AND(ET14&gt;=EV$21,EU14&gt;=EV$25,ET14&lt;&gt;""),AND(FQ14&gt;=FV$21,FR14&gt;=FV$25,FQ14&lt;&gt;""),AND(FT14&gt;=FV$21,FU14&gt;=FV$25,FT14&lt;&gt;""),AND(GQ14&gt;=GV$21,GR14&gt;=GV$25,GQ14&lt;&gt;""),AND(GT14&gt;=GV$21,GU14&gt;=GV$25,GT14&lt;&gt;""),AND(HQ14&gt;=HV$21,HR14&gt;=HV$25,HQ14&lt;&gt;""),AND(HT14&gt;=HV$21,HU14&gt;=HV$25,HT14&lt;&gt;""),AND(IQ14&gt;=IV$21,IR14&gt;=IV$25,IQ14&lt;&gt;""),AND(IT14&gt;=IV$21,IU14&gt;=IV$25,IT14&lt;&gt;""),AND(JQ14&gt;=JV$21,JR14&gt;=JV$25,JQ14&lt;&gt;""),AND(JT14&gt;=JV$21,JU14&gt;=JV$25,JT14&lt;&gt;""),AND(KQ14&gt;=KV$21,KR14&gt;=KV$25,KQ14&lt;&gt;""),AND(KT14&gt;=KV$21,KU14&gt;=KV$25,KT14&lt;&gt;""),AND(LQ14&gt;=LV$21,LR14&gt;=LV$25,LQ14&lt;&gt;""),AND(LT14&gt;=LV$21,LU14&gt;=LV$25,LT14&lt;&gt;""),AND(MQ14&gt;=MV$21,MR14&gt;=MV$25,MQ14&lt;&gt;""),AND(MT14&gt;=MV$21,MU14&gt;=MV$25,MT14&lt;&gt;""),AND(NQ14&gt;=NV$21,NR14&gt;=NV$25,NQ14&lt;&gt;""),AND(NT14&gt;=NV$21,NU14&gt;=NV$25,NT14&lt;&gt;""),AND(OQ14&gt;=OV$21,OR14&gt;=OV$25,OQ14&lt;&gt;""),AND(OT14&gt;=OV$21,OU14&gt;=OV$25,OT14&lt;&gt;"")),"Excellence",IF(F14="P","National Team",""))))</f>
        <v/>
      </c>
      <c r="I14" s="9">
        <f>IF(COUNT(AN14,BO14,CP14)&gt;0,LARGE((AN14,BO14,CP14),1),0)</f>
        <v>45.099999999999994</v>
      </c>
      <c r="J14" s="9" t="str">
        <f>IF(I14=0,"",IF(I14=CP14,$BT$1,IF(I14=BO14,$AS$1,IF(I14=AN14,$R$1,""))))</f>
        <v>2025 Nationals</v>
      </c>
      <c r="K14" s="9">
        <f>IF(COUNT(AN14,BO14,CP14)&gt;1,LARGE((AN14,BO14,CP14),2),0)</f>
        <v>0</v>
      </c>
      <c r="L14" s="9" t="str">
        <f>IF(K14=0,"",IF(AND(K14=I14,K14=AN14,K14=BO14),$R$1,IF(AND(K14=I14,K14=AN14,K14=CP14),$R$1,IF(AND(K14=I14,K14=CP14,K14=BO14),$AS$1,IF(K14=CP14,$BT$1,IF(K14=BO14,$AS$1,IF(K14=AN14,$R$1,"")))))))</f>
        <v/>
      </c>
      <c r="M14" s="9">
        <f>IF(MAX(AQ14,BR14,CS14)&gt;0,MAX(AQ14,BR14,CS14),0)</f>
        <v>44</v>
      </c>
      <c r="N14" s="9" t="str">
        <f>IF(M14=0,"",IF(M14=CS14,$BT$1,IF(M14=BR14,$AS$1,IF(M14=AQ14,$R$1,""))))</f>
        <v>2025 Nationals</v>
      </c>
      <c r="O14" s="9" t="str">
        <f>IF(MAX(CU14:CV14)&gt;0,MAX(CU14:CV14),"")</f>
        <v/>
      </c>
      <c r="P14" s="14" t="str">
        <f>IF(O14="","",IF(O14=CU14,"("&amp;CU$2&amp;")",IF(O14=CV14,"("&amp;CV$2&amp;")")))</f>
        <v/>
      </c>
      <c r="Q14" s="9" t="str">
        <f>IF(O14="","",IF(O14=CU14,IF(O14+IF(K14="",0,K14)=OR14,$NW$1,IF(O14+IF(K14="",0,K14)=NR14,$MW$1,IF(O14+IF(K14="",0,K14)=MR14,$LW$1,IF(O14+IF(K14="",0,K14)=LR14,$KW$1,IF(O14+IF(K14="",0,K14)=KR14,$JW$1,IF(O14+IF(K14="",0,K14)=JR14,$IW$1,IF(O14+IF(K14="",0,K14)=IR14,$HW$1,IF(O14+IF(K14="",0,K14)=HR14,$GW$1,IF(O14+IF(K14="",0,K14)=GR14,$FW$1,IF(O14+IF(K14="",0,K14)=FR14,$EW$1,IF(O14+IF(K14="",0,K14)=ER14,$DW$1,IF(O14+IF(K14="",0,K14)=DR14,$CW$1)))))))))))),IF(O14=CV14,IF(O14+IF(M14="",0,M14)=OU14,$NW$1,IF(O14+IF(M14="",0,M14)=NU14,$MW$1,IF(O14+IF(M14="",0,M14)=MU14,$LW$1,IF(O14+IF(M14="",0,M14)=LU14,$KW$1,IF(O14+IF(M14="",0,M14)=KU14,$JW$1,IF(O14+IF(M14="",0,M14)=JU14,$IW$1,IF(O14+IF(M14="",0,M14)=IU14,$HW$1,IF(O14+IF(M14="",0,M14)=HU14,$GW$1,IF(O14+IF(M14="",0,M14)=GU14,$FW$1,IF(O14+IF(M14="",0,M14)=FU14,$EW$1,IF(O14+IF(M14="",0,M14)=EU14,$DW$1,IF(O14+IF(M14="",0,M14)=DU14,$CW$1)))))))))))))))</f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32"/>
      <c r="AM14" s="55" t="str">
        <f>IF(SUM(S14,W14)&gt;0,SUM(S14,W14),"")</f>
        <v/>
      </c>
      <c r="AN14" s="55" t="str">
        <f>IF(SUM(R14:S14,U14:W14,Y14)-T14-X14&gt;0,SUM(R14:S14,U14:W14,Y14)-T14-X14,"")</f>
        <v/>
      </c>
      <c r="AO14" s="55" t="str">
        <f>IF(SUM(Z14:AA14,AC14)-AB14&gt;0,SUM(Z14:AA14,AC14)-AB14,"")</f>
        <v/>
      </c>
      <c r="AP14" s="55" t="str">
        <f>IF(SUM(AE14,AI14)&gt;0,SUM(AE14,AI14),"")</f>
        <v/>
      </c>
      <c r="AQ14" s="55" t="str">
        <f>IF(SUM(AD14:AE14,AG14:AI14,AK14)-SUM(AF14,AJ14)&gt;0,SUM(AD14:AE14,AG14:AI14,AK14)-SUM(AF14,AJ14),"")</f>
        <v/>
      </c>
      <c r="AR14" s="55" t="str">
        <f>IF(SUM(AN14,AO14,AQ14)&gt;0,SUM(AN14,AO14,AQ14),"")</f>
        <v/>
      </c>
      <c r="AS14" s="19">
        <v>19</v>
      </c>
      <c r="AT14" s="19">
        <v>3.7</v>
      </c>
      <c r="AU14" s="19">
        <v>0</v>
      </c>
      <c r="AV14" s="19">
        <v>0</v>
      </c>
      <c r="AW14" s="19">
        <v>18.899999999999999</v>
      </c>
      <c r="AX14" s="19">
        <v>3.5</v>
      </c>
      <c r="AY14" s="19">
        <v>0</v>
      </c>
      <c r="AZ14" s="19">
        <v>0</v>
      </c>
      <c r="BA14" s="19"/>
      <c r="BB14" s="19"/>
      <c r="BC14" s="19"/>
      <c r="BD14" s="19"/>
      <c r="BE14" s="19">
        <v>18.8</v>
      </c>
      <c r="BF14" s="19">
        <v>3.7</v>
      </c>
      <c r="BG14" s="19">
        <v>0</v>
      </c>
      <c r="BH14" s="19">
        <v>0</v>
      </c>
      <c r="BI14" s="19">
        <v>18.600000000000001</v>
      </c>
      <c r="BJ14" s="19">
        <v>3.5</v>
      </c>
      <c r="BK14" s="19">
        <v>0.6</v>
      </c>
      <c r="BL14" s="19">
        <v>0</v>
      </c>
      <c r="BM14" s="33"/>
      <c r="BN14" s="14">
        <f>IF(SUM(AT14,AX14)&gt;0,SUM(AT14,AX14),"")</f>
        <v>7.2</v>
      </c>
      <c r="BO14" s="14">
        <f>IF(SUM(AS14:AT14,AV14:AX14,AZ14)-AU14-AY14&gt;0,SUM(AS14:AT14,AV14:AX14,AZ14)-AU14-AY14,"")</f>
        <v>45.099999999999994</v>
      </c>
      <c r="BP14" s="14" t="str">
        <f>IF(SUM(BA14:BB14,BD14)-BC14&gt;0,SUM(BA14:BB14,BD14)-BC14,"")</f>
        <v/>
      </c>
      <c r="BQ14" s="14">
        <f>IF(SUM(BF14,BJ14)&gt;0,SUM(BF14,BJ14),"")</f>
        <v>7.2</v>
      </c>
      <c r="BR14" s="14">
        <f>IF(SUM(BE14:BF14,BH14:BJ14,BL14)-SUM(BG14,BK14)&gt;0,SUM(BE14:BF14,BH14:BJ14,BL14)-SUM(BG14,BK14),"")</f>
        <v>44</v>
      </c>
      <c r="BS14" s="14">
        <f>IF(SUM(BO14,BP14,BR14)&gt;0,SUM(BO14,BP14,BR14),"")</f>
        <v>89.1</v>
      </c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32"/>
      <c r="CO14" s="55" t="str">
        <f>IF(SUM(BU14,BY14)&gt;0,SUM(BU14,BY14),"")</f>
        <v/>
      </c>
      <c r="CP14" s="55" t="str">
        <f>IF(SUM(BT14:BU14,BW14:BY14,CA14)-BV14-BZ14&gt;0,SUM(BT14:BU14,BW14:BY14,CA14)-BV14-BZ14,"")</f>
        <v/>
      </c>
      <c r="CQ14" s="55" t="str">
        <f>IF(SUM(CB14:CC14,CE14)-CD14&gt;0,SUM(CB14:CC14,CE14)-CD14,"")</f>
        <v/>
      </c>
      <c r="CR14" s="55" t="str">
        <f>IF(SUM(CG14,CK14)&gt;0,SUM(CG14,CK14),"")</f>
        <v/>
      </c>
      <c r="CS14" s="55" t="str">
        <f>IF(SUM(CF14:CG14,CI14:CK14,CM14)-SUM(CH14,CL14)&gt;0,SUM(CF14:CG14,CI14:CK14,CM14)-SUM(CH14,CL14),"")</f>
        <v/>
      </c>
      <c r="CT14" s="55" t="str">
        <f>IF(SUM(CP14,CQ14,CS14)&gt;0,SUM(CP14,CQ14,CS14),"")</f>
        <v/>
      </c>
      <c r="CU14" s="56" t="str">
        <f>IF(MAX(DR14,ER14,FR14,GR14,HR14,IR14,JR14,KR14,LR14,MR14,NR14,OR14)-IF(K14="",0,K14)&gt;0.001,MAX(DR14,ER14,FR14,GR14,HR14,IR14,JR14,KR14,LR14,MR14,NR14,OR14)-IF(K14="",0,K14),"")</f>
        <v/>
      </c>
      <c r="CV14" s="56" t="str">
        <f>IF(MAX(DU14,EU14,FU14,GU14,HU14,IU14,JU14,KU14,LU14,MU14,NU14,OU14)-IF(M14="",0,M14)&gt;0.001,MAX(DU14,EU14,FU14,GU14,HU14,IU14,JU14,KU14,LU14,MU14,NU14,OU14)-IF(M14="",0,M14),"")</f>
        <v/>
      </c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55" t="str">
        <f>IF(SUM(CX14,DB14)&gt;0,SUM(CX14,DB14),"")</f>
        <v/>
      </c>
      <c r="DR14" s="55" t="str">
        <f>IF(SUM(CW14:CX14,CZ14:DB14,DD14)-CY14-DC14&gt;0,SUM(CW14:CX14,CZ14:DB14,DD14)-CY14-DC14,"")</f>
        <v/>
      </c>
      <c r="DS14" s="55" t="str">
        <f>IF(SUM(DE14:DF14,DH14)-DG14&gt;0,SUM(DE14:DF14,DH14)-DG14,"")</f>
        <v/>
      </c>
      <c r="DT14" s="55" t="str">
        <f>IF(SUM(DJ14,DN14)&gt;0,SUM(DJ14,DN14),"")</f>
        <v/>
      </c>
      <c r="DU14" s="55" t="str">
        <f>IF(SUM(DI14:DJ14,DL14:DN14,DP14)-SUM(DK14,DO14)&gt;0,SUM(DI14:DJ14,DL14:DN14,DP14)-SUM(DK14,DO14),"")</f>
        <v/>
      </c>
      <c r="DV14" s="55" t="str">
        <f>IF(SUM(DR14,DS14,DU14)&gt;0,SUM(DR14,DS14,DU14),"")</f>
        <v/>
      </c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4" t="str">
        <f>IF(SUM(DX14,EB14)&gt;0,SUM(DX14,EB14),"")</f>
        <v/>
      </c>
      <c r="ER14" s="14" t="str">
        <f>IF(SUM(DW14:DX14,DZ14:EB14,ED14)-DY14-EC14&gt;0,SUM(DW14:DX14,DZ14:EB14,ED14)-DY14-EC14,"")</f>
        <v/>
      </c>
      <c r="ES14" s="14" t="str">
        <f>IF(SUM(EE14:EF14,EH14)-EG14&gt;0,SUM(EE14:EF14,EH14)-EG14,"")</f>
        <v/>
      </c>
      <c r="ET14" s="14" t="str">
        <f>IF(SUM(EJ14,EN14)&gt;0,SUM(EJ14,EN14),"")</f>
        <v/>
      </c>
      <c r="EU14" s="14" t="str">
        <f>IF(SUM(EI14:EJ14,EL14:EN14,EP14)-SUM(EK14,EO14)&gt;0,SUM(EI14:EJ14,EL14:EN14,EP14)-SUM(EK14,EO14),"")</f>
        <v/>
      </c>
      <c r="EV14" s="14" t="str">
        <f>IF(SUM(ER14,ES14,EU14)&gt;0,SUM(ER14,ES14,EU14),"")</f>
        <v/>
      </c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55" t="str">
        <f>IF(SUM(EX14,FB14)&gt;0,SUM(EX14,FB14),"")</f>
        <v/>
      </c>
      <c r="FR14" s="55" t="str">
        <f>IF(SUM(EW14:EX14,EZ14:FB14,FD14)-EY14-FC14&gt;0,SUM(EW14:EX14,EZ14:FB14,FD14)-EY14-FC14,"")</f>
        <v/>
      </c>
      <c r="FS14" s="55" t="str">
        <f>IF(SUM(FE14:FF14,FH14)-FG14&gt;0,SUM(FE14:FF14,FH14)-FG14,"")</f>
        <v/>
      </c>
      <c r="FT14" s="55" t="str">
        <f>IF(SUM(FJ14,FN14)&gt;0,SUM(FJ14,FN14),"")</f>
        <v/>
      </c>
      <c r="FU14" s="55" t="str">
        <f>IF(SUM(FI14:FJ14,FL14:FN14,FP14)-SUM(FK14,FO14)&gt;0,SUM(FI14:FJ14,FL14:FN14,FP14)-SUM(FK14,FO14),"")</f>
        <v/>
      </c>
      <c r="FV14" s="55" t="str">
        <f>IF(SUM(FR14,FS14,FU14)&gt;0,SUM(FR14,FS14,FU14),"")</f>
        <v/>
      </c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4" t="str">
        <f>IF(SUM(FX14,GB14)&gt;0,SUM(FX14,GB14),"")</f>
        <v/>
      </c>
      <c r="GR14" s="14" t="str">
        <f>IF(SUM(FW14:FX14,FZ14:GB14,GD14)-FY14-GC14&gt;0,SUM(FW14:FX14,FZ14:GB14,GD14)-FY14-GC14,"")</f>
        <v/>
      </c>
      <c r="GS14" s="14" t="str">
        <f>IF(SUM(GE14:GF14,GH14)-GG14&gt;0,SUM(GE14:GF14,GH14)-GG14,"")</f>
        <v/>
      </c>
      <c r="GT14" s="14" t="str">
        <f>IF(SUM(GJ14,GN14)&gt;0,SUM(GJ14,GN14),"")</f>
        <v/>
      </c>
      <c r="GU14" s="14" t="str">
        <f>IF(SUM(GI14:GJ14,GL14:GN14,GP14)-SUM(GK14,GO14)&gt;0,SUM(GI14:GJ14,GL14:GN14,GP14)-SUM(GK14,GO14),"")</f>
        <v/>
      </c>
      <c r="GV14" s="14" t="str">
        <f>IF(SUM(GR14,GS14,GU14)&gt;0,SUM(GR14,GS14,GU14),"")</f>
        <v/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55" t="str">
        <f>IF(SUM(GX14,HB14)&gt;0,SUM(GX14,HB14),"")</f>
        <v/>
      </c>
      <c r="HR14" s="55" t="str">
        <f>IF(SUM(GW14:GX14,GZ14:HB14,HD14)-GY14-HC14&gt;0,SUM(GW14:GX14,GZ14:HB14,HD14)-GY14-HC14,"")</f>
        <v/>
      </c>
      <c r="HS14" s="55" t="str">
        <f>IF(SUM(HE14:HF14,HH14)-HG14&gt;0,SUM(HE14:HF14,HH14)-HG14,"")</f>
        <v/>
      </c>
      <c r="HT14" s="55" t="str">
        <f>IF(SUM(HJ14,HN14)&gt;0,SUM(HJ14,HN14),"")</f>
        <v/>
      </c>
      <c r="HU14" s="55" t="str">
        <f>IF(SUM(HI14:HJ14,HL14:HN14,HP14)-SUM(HK14,HO14)&gt;0,SUM(HI14:HJ14,HL14:HN14,HP14)-SUM(HK14,HO14),"")</f>
        <v/>
      </c>
      <c r="HV14" s="55" t="str">
        <f>IF(SUM(HR14,HS14,HU14)&gt;0,SUM(HR14,HS14,HU14),"")</f>
        <v/>
      </c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4" t="str">
        <f>IF(SUM(HX14,IB14)&gt;0,SUM(HX14,IB14),"")</f>
        <v/>
      </c>
      <c r="IR14" s="14" t="str">
        <f>IF(SUM(HW14:HX14,HZ14:IB14,ID14)-HY14-IC14&gt;0,SUM(HW14:HX14,HZ14:IB14,ID14)-HY14-IC14,"")</f>
        <v/>
      </c>
      <c r="IS14" s="14" t="str">
        <f>IF(SUM(IE14:IF14,IH14)-IG14&gt;0,SUM(IE14:IF14,IH14)-IG14,"")</f>
        <v/>
      </c>
      <c r="IT14" s="14" t="str">
        <f>IF(SUM(IJ14,IN14)&gt;0,SUM(IJ14,IN14),"")</f>
        <v/>
      </c>
      <c r="IU14" s="14" t="str">
        <f>IF(SUM(II14:IJ14,IL14:IN14,IP14)-SUM(IK14,IO14)&gt;0,SUM(II14:IJ14,IL14:IN14,IP14)-SUM(IK14,IO14),"")</f>
        <v/>
      </c>
      <c r="IV14" s="14" t="str">
        <f>IF(SUM(IR14,IS14,IU14)&gt;0,SUM(IR14,IS14,IU14),"")</f>
        <v/>
      </c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55" t="str">
        <f>IF(SUM(IX14,JB14)&gt;0,SUM(IX14,JB14),"")</f>
        <v/>
      </c>
      <c r="JR14" s="55" t="str">
        <f>IF(SUM(IW14:IX14,IZ14:JB14,JD14)-IY14-JC14&gt;0,SUM(IW14:IX14,IZ14:JB14,JD14)-IY14-JC14,"")</f>
        <v/>
      </c>
      <c r="JS14" s="55" t="str">
        <f>IF(SUM(JE14:JF14,JH14)-JG14&gt;0,SUM(JE14:JF14,JH14)-JG14,"")</f>
        <v/>
      </c>
      <c r="JT14" s="55" t="str">
        <f>IF(SUM(JJ14,JN14)&gt;0,SUM(JJ14,JN14),"")</f>
        <v/>
      </c>
      <c r="JU14" s="55" t="str">
        <f>IF(SUM(JI14:JJ14,JL14:JN14,JP14)-SUM(JK14,JO14)&gt;0,SUM(JI14:JJ14,JL14:JN14,JP14)-SUM(JK14,JO14),"")</f>
        <v/>
      </c>
      <c r="JV14" s="55" t="str">
        <f>IF(SUM(JR14,JS14,JU14)&gt;0,SUM(JR14,JS14,JU14),"")</f>
        <v/>
      </c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4" t="str">
        <f>IF(SUM(JX14,KB14)&gt;0,SUM(JX14,KB14),"")</f>
        <v/>
      </c>
      <c r="KR14" s="14" t="str">
        <f>IF(SUM(JW14:JX14,JZ14:KB14,KD14)-JY14-KC14&gt;0,SUM(JW14:JX14,JZ14:KB14,KD14)-JY14-KC14,"")</f>
        <v/>
      </c>
      <c r="KS14" s="14" t="str">
        <f>IF(SUM(KE14:KF14,KH14)-KG14&gt;0,SUM(KE14:KF14,KH14)-KG14,"")</f>
        <v/>
      </c>
      <c r="KT14" s="14" t="str">
        <f>IF(SUM(KJ14,KN14)&gt;0,SUM(KJ14,KN14),"")</f>
        <v/>
      </c>
      <c r="KU14" s="14" t="str">
        <f>IF(SUM(KI14:KJ14,KL14:KN14,KP14)-SUM(KK14,KO14)&gt;0,SUM(KI14:KJ14,KL14:KN14,KP14)-SUM(KK14,KO14),"")</f>
        <v/>
      </c>
      <c r="KV14" s="14" t="str">
        <f>IF(SUM(KR14,KS14,KU14)&gt;0,SUM(KR14,KS14,KU14),"")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55" t="str">
        <f>IF(SUM(KX14,LB14)&gt;0,SUM(KX14,LB14),"")</f>
        <v/>
      </c>
      <c r="LR14" s="55" t="str">
        <f>IF(SUM(KW14:KX14,KZ14:LB14,LD14)-KY14-LC14&gt;0,SUM(KW14:KX14,KZ14:LB14,LD14)-KY14-LC14,"")</f>
        <v/>
      </c>
      <c r="LS14" s="55" t="str">
        <f>IF(SUM(LE14:LF14,LH14)-LG14&gt;0,SUM(LE14:LF14,LH14)-LG14,"")</f>
        <v/>
      </c>
      <c r="LT14" s="55" t="str">
        <f>IF(SUM(LJ14,LN14)&gt;0,SUM(LJ14,LN14),"")</f>
        <v/>
      </c>
      <c r="LU14" s="55" t="str">
        <f>IF(SUM(LI14:LJ14,LL14:LN14,LP14)-SUM(LK14,LO14)&gt;0,SUM(LI14:LJ14,LL14:LN14,LP14)-SUM(LK14,LO14),"")</f>
        <v/>
      </c>
      <c r="LV14" s="55" t="str">
        <f>IF(SUM(LR14,LS14,LU14)&gt;0,SUM(LR14,LS14,LU14),"")</f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4" t="str">
        <f>IF(SUM(LX14,MB14)&gt;0,SUM(LX14,MB14),"")</f>
        <v/>
      </c>
      <c r="MR14" s="14" t="str">
        <f>IF(SUM(LW14:LX14,LZ14:MB14,MD14)-LY14-MC14&gt;0,SUM(LW14:LX14,LZ14:MB14,MD14)-LY14-MC14,"")</f>
        <v/>
      </c>
      <c r="MS14" s="14" t="str">
        <f>IF(SUM(ME14:MF14,MH14)-MG14&gt;0,SUM(ME14:MF14,MH14)-MG14,"")</f>
        <v/>
      </c>
      <c r="MT14" s="14" t="str">
        <f>IF(SUM(MJ14,MN14)&gt;0,SUM(MJ14,MN14),"")</f>
        <v/>
      </c>
      <c r="MU14" s="14" t="str">
        <f>IF(SUM(MI14:MJ14,ML14:MN14,MP14)-SUM(MK14,MO14)&gt;0,SUM(MI14:MJ14,ML14:MN14,MP14)-SUM(MK14,MO14),"")</f>
        <v/>
      </c>
      <c r="MV14" s="14" t="str">
        <f>IF(SUM(MR14,MS14,MU14)&gt;0,SUM(MR14,MS14,MU14),"")</f>
        <v/>
      </c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55" t="str">
        <f>IF(SUM(MX14,NB14)&gt;0,SUM(MX14,NB14),"")</f>
        <v/>
      </c>
      <c r="NR14" s="55" t="str">
        <f>IF(SUM(MW14:MX14,MZ14:NB14,ND14)-MY14-NC14&gt;0,SUM(MW14:MX14,MZ14:NB14,ND14)-MY14-NC14,"")</f>
        <v/>
      </c>
      <c r="NS14" s="55" t="str">
        <f>IF(SUM(NE14:NF14,NH14)-NG14&gt;0,SUM(NE14:NF14,NH14)-NG14,"")</f>
        <v/>
      </c>
      <c r="NT14" s="55" t="str">
        <f>IF(SUM(NJ14,NN14)&gt;0,SUM(NJ14,NN14),"")</f>
        <v/>
      </c>
      <c r="NU14" s="55" t="str">
        <f>IF(SUM(NI14:NJ14,NL14:NN14,NP14)-SUM(NK14,NO14)&gt;0,SUM(NI14:NJ14,NL14:NN14,NP14)-SUM(NK14,NO14),"")</f>
        <v/>
      </c>
      <c r="NV14" s="55" t="str">
        <f>IF(SUM(NR14,NS14,NU14)&gt;0,SUM(NR14,NS14,NU14),"")</f>
        <v/>
      </c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4" t="str">
        <f>IF(SUM(NX14,OB14)&gt;0,SUM(NX14,OB14),"")</f>
        <v/>
      </c>
      <c r="OR14" s="14" t="str">
        <f>IF(SUM(NW14:NX14,NZ14:OB14,OD14)-NY14-OC14&gt;0,SUM(NW14:NX14,NZ14:OB14,OD14)-NY14-OC14,"")</f>
        <v/>
      </c>
      <c r="OS14" s="14" t="str">
        <f>IF(SUM(OE14:OF14,OH14)-OG14&gt;0,SUM(OE14:OF14,OH14)-OG14,"")</f>
        <v/>
      </c>
      <c r="OT14" s="14" t="str">
        <f>IF(SUM(OJ14,ON14)&gt;0,SUM(OJ14,ON14),"")</f>
        <v/>
      </c>
      <c r="OU14" s="14" t="str">
        <f>IF(SUM(OI14:OJ14,OL14:ON14,OP14)-SUM(OK14,OO14)&gt;0,SUM(OI14:OJ14,OL14:ON14,OP14)-SUM(OK14,OO14),"")</f>
        <v/>
      </c>
      <c r="OV14" s="14" t="str">
        <f>IF(SUM(OR14,OS14,OU14)&gt;0,SUM(OR14,OS14,OU14),"")</f>
        <v/>
      </c>
      <c r="OW14" s="27">
        <f>IF($CN14="P",BT14,(BT14+AS14)/2)</f>
        <v>9.5</v>
      </c>
      <c r="OX14" s="27">
        <f>IF($CN14="P",BU14,(BU14+AT14)/2)</f>
        <v>1.85</v>
      </c>
      <c r="OY14" s="27">
        <f>IF($CN14="P",BV14,(BV14+AU14)/2)</f>
        <v>0</v>
      </c>
      <c r="OZ14" s="27">
        <f>IF($CN14="P",BW14,(BW14+AV14)/2)</f>
        <v>0</v>
      </c>
      <c r="PA14" s="27">
        <f>IF($CN14="P",BX14,(BX14+AW14)/2)</f>
        <v>9.4499999999999993</v>
      </c>
      <c r="PB14" s="27">
        <f>IF($CN14="P",BY14,(BY14+AX14)/2)</f>
        <v>1.75</v>
      </c>
      <c r="PC14" s="27">
        <f>IF($CN14="P",BZ14,(BZ14+AY14)/2)</f>
        <v>0</v>
      </c>
      <c r="PD14" s="27">
        <f>IF($CN14="P",CA14,(CA14+AZ14)/2)</f>
        <v>0</v>
      </c>
      <c r="PE14" s="27">
        <f>IF($CN14="P",CB14,(CB14+BA14)/2)</f>
        <v>0</v>
      </c>
      <c r="PF14" s="27">
        <f>IF($CN14="P",CC14,(CC14+BB14)/2)</f>
        <v>0</v>
      </c>
      <c r="PG14" s="27">
        <f>IF($CN14="P",CD14,(CD14+BC14)/2)</f>
        <v>0</v>
      </c>
      <c r="PH14" s="27">
        <f>IF($CN14="P",CE14,(CE14+BD14)/2)</f>
        <v>0</v>
      </c>
      <c r="PI14" s="27">
        <f>IF($CN14="P",CF14,(CF14+BE14)/2)</f>
        <v>9.4</v>
      </c>
      <c r="PJ14" s="27">
        <f>IF($CN14="P",CG14,(CG14+BF14)/2)</f>
        <v>1.85</v>
      </c>
      <c r="PK14" s="27">
        <f>IF($CN14="P",CH14,(CH14+BG14)/2)</f>
        <v>0</v>
      </c>
      <c r="PL14" s="27">
        <f>IF($CN14="P",CI14,(CI14+BH14)/2)</f>
        <v>0</v>
      </c>
      <c r="PM14" s="27">
        <f>IF($CN14="P",CJ14,(CJ14+BI14)/2)</f>
        <v>9.3000000000000007</v>
      </c>
      <c r="PN14" s="27">
        <f>IF($CN14="P",CK14,(CK14+BJ14)/2)</f>
        <v>1.75</v>
      </c>
      <c r="PO14" s="27">
        <f>IF($CN14="P",CL14,(CL14+BK14)/2)</f>
        <v>0.3</v>
      </c>
      <c r="PP14" s="27">
        <f>IF($CN14="P",CM14,(CM14+BL14)/2)</f>
        <v>0</v>
      </c>
      <c r="PQ14" s="32" t="s">
        <v>44</v>
      </c>
      <c r="PR14" s="55">
        <f>IF(SUM(OX14,PB14)&gt;0,SUM(OX14,PB14),"")</f>
        <v>3.6</v>
      </c>
      <c r="PS14" s="55">
        <f>IF(SUM(OW14:OX14,OZ14:PB14,PD14)-OY14-PC14&gt;0,SUM(OW14:OX14,OZ14:PB14,PD14)-OY14-PC14,"")</f>
        <v>22.549999999999997</v>
      </c>
      <c r="PT14" s="55" t="str">
        <f>IF(SUM(PE14:PF14,PH14)-PG14&gt;0,SUM(PE14:PF14,PH14)-PG14,"")</f>
        <v/>
      </c>
      <c r="PU14" s="55">
        <f>IF(SUM(PJ14,PN14)&gt;0,SUM(PJ14,PN14),"")</f>
        <v>3.6</v>
      </c>
      <c r="PV14" s="55">
        <f>IF(SUM(PI14:PJ14,PL14:PN14,PP14)-SUM(PK14,PO14)&gt;0,SUM(PI14:PJ14,PL14:PN14,PP14)-SUM(PK14,PO14),"")</f>
        <v>22</v>
      </c>
      <c r="PW14" s="55">
        <f>IF(SUM(PS14,PT14,PV14)&gt;0,SUM(PS14,PT14,PV14),"")</f>
        <v>44.55</v>
      </c>
    </row>
    <row r="15" spans="1:43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117</v>
      </c>
      <c r="C15" s="4" t="s">
        <v>67</v>
      </c>
      <c r="D15" s="4">
        <v>2009</v>
      </c>
      <c r="E15" s="10">
        <f>SUM(I15:O15)+SUM(I15:M15)*0.0000001+SUM(I15)*0.0000000000001</f>
        <v>78.100007810004428</v>
      </c>
      <c r="F15" s="3" t="str">
        <f>IF(OR(AND(AM15&gt;=AR$19,AN15&gt;=AR$23,AM15&lt;&gt;"",AL15=""),AND(AP15&gt;=AR$19,AQ15&gt;=AR$23,AP15&lt;&gt;"",AL15=""),AND(BN15&gt;=BS$19,BO15&gt;=BS$23,BN15&lt;&gt;"",BM15=""),AND(BQ15&gt;=BS$19,BR15&gt;=BS$23,BQ15&lt;&gt;"",BM15=""),AND(CO15&gt;=CT$19,CP15&gt;=CT$23,CO15&lt;&gt;"",CN15=""),AND(CR15&gt;=CT$19,CS15&gt;=CT$23,CR15&lt;&gt;""),AND(DQ15&gt;=DV$19,DR15&gt;=DV$23,DQ15&lt;&gt;""),AND(DT15&gt;=DV$19,DU15&gt;=DV$23,DT15&lt;&gt;""),AND(EQ15&gt;=EV$19,ER15&gt;=EV$23,EQ15&lt;&gt;""),AND(ET15&gt;=EV$19,EU15&gt;=EV$23,ET15&lt;&gt;""),AND(FQ15&gt;=FV$19,FR15&gt;=FV$23,FQ15&lt;&gt;""),AND(FT15&gt;=FV$19,FU15&gt;=FV$23,FT15&lt;&gt;""),AND(GQ15&gt;=GV$19,GR15&gt;=GV$23,GQ15&lt;&gt;""),AND(GT15&gt;=GV$19,GU15&gt;=GV$23,GT15&lt;&gt;""),AND(HQ15&gt;=HV$19,HR15&gt;=HV$23,HQ15&lt;&gt;""),AND(HT15&gt;=HV$19,HU15&gt;=HV$23,HT15&lt;&gt;""),AND(IQ15&gt;=IV$19,IR15&gt;=IV$23,IQ15&lt;&gt;""),AND(IT15&gt;=IV$19,IU15&gt;=IV$23,IT15&lt;&gt;""),AND(JQ15&gt;=JV$19,JR15&gt;=JV$23,JQ15&lt;&gt;""),AND(JT15&gt;=JV$19,JU15&gt;=JV$23,JT15&lt;&gt;""),AND(KQ15&gt;=KV$19,KR15&gt;=KV$23,KQ15&lt;&gt;""),AND(KT15&gt;=KV$19,KU15&gt;=KV$23,KT15&lt;&gt;""),AND(LQ15&gt;=LV$19,LR15&gt;=LV$23,LQ15&lt;&gt;""),AND(LT15&gt;=LV$19,LU15&gt;=LV$23,LT15&lt;&gt;""),AND(MQ15&gt;=MV$19,MR15&gt;=MV$23,MQ15&lt;&gt;""),AND(MT15&gt;=MV$19,MU15&gt;=MV$23,MT15&lt;&gt;""),AND(NQ15&gt;=NV$19,NR15&gt;=NV$23,NQ15&lt;&gt;""),AND(NT15&gt;=NV$19,NU15&gt;=NV$23,NT15&lt;&gt;""),AND(OQ15&gt;=OV$19,OR15&gt;=OV$23,OQ15&lt;&gt;""),AND(OT15&gt;=OV$19,OU15&gt;=OV$23,OT15&lt;&gt;"")),"P","")</f>
        <v/>
      </c>
      <c r="G15" s="3" t="str">
        <f>IF(OR(AND(AN15&gt;=AR$23,AN15&lt;&gt;"",AL15=""),AND(AQ15&gt;=AR$23,AQ15&lt;&gt;"",AL15=""),AND(BO15&gt;=BS$23,BO15&lt;&gt;"",BM15=""),AND(BR15&gt;=BS$23,BR15&lt;&gt;"",BM15=""),AND(CP15&gt;=CT$23,CP15&lt;&gt;"",CN15=""),AND(CS15&gt;=CT$23,CS15&lt;&gt;"",CN15=""),AND(DR15&gt;=DV$23,DR15&lt;&gt;""),AND(DU15&gt;=DV$23,DU15&lt;&gt;""),AND(ER15&gt;=EV$23,ER15&lt;&gt;""),AND(EU15&gt;=EV$23,EU15&lt;&gt;""),AND(FR15&gt;=FV$23,FR15&lt;&gt;""),AND(FU15&gt;=FV$23,FU15&lt;&gt;""),AND(GR15&gt;=GV$23,GR15&lt;&gt;""),AND(GU15&gt;=GV$23,GU15&lt;&gt;""),AND(HR15&gt;=HV$23,HR15&lt;&gt;""),AND(HU15&gt;=HV$23,HU15&lt;&gt;""),AND(IR15&gt;=IV$23,IR15&lt;&gt;""),AND(IU15&gt;=IV$23,IU15&lt;&gt;""),AND(JR15&gt;=JV$23,JR15&lt;&gt;""),AND(JU15&gt;=JV$23,JU15&lt;&gt;""),AND(KR15&gt;=KV$23,KR15&lt;&gt;""),AND(KU15&gt;=KV$23,KU15&lt;&gt;""),AND(LR15&gt;=LV$23,LR15&lt;&gt;""),AND(LU15&gt;=LV$23,LU15&lt;&gt;""),AND(MR15&gt;=MV$23,MR15&lt;&gt;""),AND(MU15&gt;=MV$23,MU15&lt;&gt;""),AND(NR15&gt;=NV$23,NR15&lt;&gt;""),AND(NU15&gt;=NV$23,NU15&lt;&gt;""),AND(OR15&gt;=OV$23,OR15&lt;&gt;""),AND(OU15&gt;=OV$23,OU15&lt;&gt;"")),"P","")</f>
        <v/>
      </c>
      <c r="H15" s="47" t="str">
        <f>IF(AND(G15="P",F15=""),"No DD",IF(OR(AND(AM15&gt;=AR$22,AN15&gt;=AR$26,AM15&lt;&gt;"",AL15=""),AND(AP15&gt;=AR$22,AQ15&gt;=AR$26,AP15&lt;&gt;"",AL15=""),AND(BN15&gt;=BS$22,BO15&gt;=BS$26,BN15&lt;&gt;"",BM15=""),AND(BQ15&gt;=BS$22,BR15&gt;=BS$26,BQ15&lt;&gt;"",BM15=""),AND(CO15&gt;=CT$22,CP15&gt;=CT$26,CO15&lt;&gt;"",CN15=""),AND(CR15&gt;=CT$22,CS15&gt;=CT$26,CR15&lt;&gt;""),AND(DQ15&gt;=DV$22,DR15&gt;=DV$26,DQ15&lt;&gt;""),AND(DT15&gt;=DV$22,DU15&gt;=DV$26,DT15&lt;&gt;""),AND(EQ15&gt;=EV$22,ER15&gt;=EV$26,EQ15&lt;&gt;""),AND(ET15&gt;=EV$22,EU15&gt;=EV$26,ET15&lt;&gt;""),AND(FQ15&gt;=FV$22,FR15&gt;=FV$26,FQ15&lt;&gt;""),AND(FT15&gt;=FV$22,FU15&gt;=FV$26,FT15&lt;&gt;""),AND(GQ15&gt;=GV$22,GR15&gt;=GV$26,GQ15&lt;&gt;""),AND(GT15&gt;=GV$22,GU15&gt;=GV$26,GT15&lt;&gt;""),AND(HQ15&gt;=HV$22,HR15&gt;=HV$26,HQ15&lt;&gt;""),AND(HT15&gt;=HV$22,HU15&gt;=HV$26,HT15&lt;&gt;""),AND(IQ15&gt;=IV$22,IR15&gt;=IV$26,IQ15&lt;&gt;""),AND(IT15&gt;=IV$22,IU15&gt;=IV$26,IT15&lt;&gt;""),AND(JQ15&gt;=JV$22,JR15&gt;=JV$26,JQ15&lt;&gt;""),AND(JT15&gt;=JV$22,JU15&gt;=JV$26,JT15&lt;&gt;""),AND(KQ15&gt;=KV$22,KR15&gt;=KV$26,KQ15&lt;&gt;""),AND(KT15&gt;=KV$22,KU15&gt;=KV$26,KT15&lt;&gt;""),AND(LQ15&gt;=LV$22,LR15&gt;=LV$26,LQ15&lt;&gt;""),AND(LT15&gt;=LV$22,LU15&gt;=LV$26,LT15&lt;&gt;""),AND(MQ15&gt;=MV$22,MR15&gt;=MV$26,MQ15&lt;&gt;""),AND(MT15&gt;=MV$22,MU15&gt;=MV$26,MT15&lt;&gt;""),AND(NQ15&gt;=NV$22,NR15&gt;=NV$26,NQ15&lt;&gt;""),AND(NT15&gt;=NV$22,NU15&gt;=NV$26,NT15&lt;&gt;""),AND(OQ15&gt;=OV$22,OR15&gt;=OV$26,OQ15&lt;&gt;""),AND(OT15&gt;=OV$22,OU15&gt;=OV$26,OT15&lt;&gt;"")),"Merit",IF(OR(AND(AM15&gt;=AR$21,AN15&gt;=AR$25,AM15&lt;&gt;"",AL15=""),AND(AP15&gt;=AR$21,AQ15&gt;=AR$25,AP15&lt;&gt;"",AL15=""),AND(BN15&gt;=BS$21,BO15&gt;=BS$25,BN15&lt;&gt;"",BM15=""),AND(BQ15&gt;=BS$21,BR15&gt;=BS$25,BQ15&lt;&gt;"",BM15=""),AND(CO15&gt;=CT$21,CP15&gt;=CT$25,CO15&lt;&gt;"",CN15=""),AND(CR15&gt;=CT$21,CS15&gt;=CT$25,CR15&lt;&gt;""),AND(DQ15&gt;=DV$21,DR15&gt;=DV$25,DQ15&lt;&gt;""),AND(DT15&gt;=DV$21,DU15&gt;=DV$25,DT15&lt;&gt;""),AND(EQ15&gt;=EV$21,ER15&gt;=EV$25,EQ15&lt;&gt;""),AND(ET15&gt;=EV$21,EU15&gt;=EV$25,ET15&lt;&gt;""),AND(FQ15&gt;=FV$21,FR15&gt;=FV$25,FQ15&lt;&gt;""),AND(FT15&gt;=FV$21,FU15&gt;=FV$25,FT15&lt;&gt;""),AND(GQ15&gt;=GV$21,GR15&gt;=GV$25,GQ15&lt;&gt;""),AND(GT15&gt;=GV$21,GU15&gt;=GV$25,GT15&lt;&gt;""),AND(HQ15&gt;=HV$21,HR15&gt;=HV$25,HQ15&lt;&gt;""),AND(HT15&gt;=HV$21,HU15&gt;=HV$25,HT15&lt;&gt;""),AND(IQ15&gt;=IV$21,IR15&gt;=IV$25,IQ15&lt;&gt;""),AND(IT15&gt;=IV$21,IU15&gt;=IV$25,IT15&lt;&gt;""),AND(JQ15&gt;=JV$21,JR15&gt;=JV$25,JQ15&lt;&gt;""),AND(JT15&gt;=JV$21,JU15&gt;=JV$25,JT15&lt;&gt;""),AND(KQ15&gt;=KV$21,KR15&gt;=KV$25,KQ15&lt;&gt;""),AND(KT15&gt;=KV$21,KU15&gt;=KV$25,KT15&lt;&gt;""),AND(LQ15&gt;=LV$21,LR15&gt;=LV$25,LQ15&lt;&gt;""),AND(LT15&gt;=LV$21,LU15&gt;=LV$25,LT15&lt;&gt;""),AND(MQ15&gt;=MV$21,MR15&gt;=MV$25,MQ15&lt;&gt;""),AND(MT15&gt;=MV$21,MU15&gt;=MV$25,MT15&lt;&gt;""),AND(NQ15&gt;=NV$21,NR15&gt;=NV$25,NQ15&lt;&gt;""),AND(NT15&gt;=NV$21,NU15&gt;=NV$25,NT15&lt;&gt;""),AND(OQ15&gt;=OV$21,OR15&gt;=OV$25,OQ15&lt;&gt;""),AND(OT15&gt;=OV$21,OU15&gt;=OV$25,OT15&lt;&gt;"")),"Excellence",IF(F15="P","National Team",""))))</f>
        <v/>
      </c>
      <c r="I15" s="9">
        <f>IF(COUNT(AN15,BO15,CP15)&gt;0,LARGE((AN15,BO15,CP15),1),0)</f>
        <v>44.4</v>
      </c>
      <c r="J15" s="9" t="str">
        <f>IF(I15=0,"",IF(I15=CP15,$BT$1,IF(I15=BO15,$AS$1,IF(I15=AN15,$R$1,""))))</f>
        <v>2025 Nationals</v>
      </c>
      <c r="K15" s="9">
        <f>IF(COUNT(AN15,BO15,CP15)&gt;1,LARGE((AN15,BO15,CP15),2),0)</f>
        <v>0</v>
      </c>
      <c r="L15" s="9" t="str">
        <f>IF(K15=0,"",IF(AND(K15=I15,K15=AN15,K15=BO15),$R$1,IF(AND(K15=I15,K15=AN15,K15=CP15),$R$1,IF(AND(K15=I15,K15=CP15,K15=BO15),$AS$1,IF(K15=CP15,$BT$1,IF(K15=BO15,$AS$1,IF(K15=AN15,$R$1,"")))))))</f>
        <v/>
      </c>
      <c r="M15" s="9">
        <f>IF(MAX(AQ15,BR15,CS15)&gt;0,MAX(AQ15,BR15,CS15),0)</f>
        <v>33.700000000000003</v>
      </c>
      <c r="N15" s="9" t="str">
        <f>IF(M15=0,"",IF(M15=CS15,$BT$1,IF(M15=BR15,$AS$1,IF(M15=AQ15,$R$1,""))))</f>
        <v>2025 Nationals</v>
      </c>
      <c r="O15" s="9" t="str">
        <f>IF(MAX(CU15:CV15)&gt;0,MAX(CU15:CV15),"")</f>
        <v/>
      </c>
      <c r="P15" s="14" t="str">
        <f>IF(O15="","",IF(O15=CU15,"("&amp;CU$2&amp;")",IF(O15=CV15,"("&amp;CV$2&amp;")")))</f>
        <v/>
      </c>
      <c r="Q15" s="9" t="str">
        <f>IF(O15="","",IF(O15=CU15,IF(O15+IF(K15="",0,K15)=OR15,$NW$1,IF(O15+IF(K15="",0,K15)=NR15,$MW$1,IF(O15+IF(K15="",0,K15)=MR15,$LW$1,IF(O15+IF(K15="",0,K15)=LR15,$KW$1,IF(O15+IF(K15="",0,K15)=KR15,$JW$1,IF(O15+IF(K15="",0,K15)=JR15,$IW$1,IF(O15+IF(K15="",0,K15)=IR15,$HW$1,IF(O15+IF(K15="",0,K15)=HR15,$GW$1,IF(O15+IF(K15="",0,K15)=GR15,$FW$1,IF(O15+IF(K15="",0,K15)=FR15,$EW$1,IF(O15+IF(K15="",0,K15)=ER15,$DW$1,IF(O15+IF(K15="",0,K15)=DR15,$CW$1)))))))))))),IF(O15=CV15,IF(O15+IF(M15="",0,M15)=OU15,$NW$1,IF(O15+IF(M15="",0,M15)=NU15,$MW$1,IF(O15+IF(M15="",0,M15)=MU15,$LW$1,IF(O15+IF(M15="",0,M15)=LU15,$KW$1,IF(O15+IF(M15="",0,M15)=KU15,$JW$1,IF(O15+IF(M15="",0,M15)=JU15,$IW$1,IF(O15+IF(M15="",0,M15)=IU15,$HW$1,IF(O15+IF(M15="",0,M15)=HU15,$GW$1,IF(O15+IF(M15="",0,M15)=GU15,$FW$1,IF(O15+IF(M15="",0,M15)=FU15,$EW$1,IF(O15+IF(M15="",0,M15)=EU15,$DW$1,IF(O15+IF(M15="",0,M15)=DU15,$CW$1)))))))))))))))</f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32"/>
      <c r="AM15" s="55" t="str">
        <f>IF(SUM(S15,W15)&gt;0,SUM(S15,W15),"")</f>
        <v/>
      </c>
      <c r="AN15" s="55" t="str">
        <f>IF(SUM(R15:S15,U15:W15,Y15)-T15-X15&gt;0,SUM(R15:S15,U15:W15,Y15)-T15-X15,"")</f>
        <v/>
      </c>
      <c r="AO15" s="55" t="str">
        <f>IF(SUM(Z15:AA15,AC15)-AB15&gt;0,SUM(Z15:AA15,AC15)-AB15,"")</f>
        <v/>
      </c>
      <c r="AP15" s="55" t="str">
        <f>IF(SUM(AE15,AI15)&gt;0,SUM(AE15,AI15),"")</f>
        <v/>
      </c>
      <c r="AQ15" s="55" t="str">
        <f>IF(SUM(AD15:AE15,AG15:AI15,AK15)-SUM(AF15,AJ15)&gt;0,SUM(AD15:AE15,AG15:AI15,AK15)-SUM(AF15,AJ15),"")</f>
        <v/>
      </c>
      <c r="AR15" s="55" t="str">
        <f>IF(SUM(AN15,AO15,AQ15)&gt;0,SUM(AN15,AO15,AQ15),"")</f>
        <v/>
      </c>
      <c r="AS15" s="19">
        <v>18.5</v>
      </c>
      <c r="AT15" s="19">
        <v>3.5</v>
      </c>
      <c r="AU15" s="19">
        <v>0.2</v>
      </c>
      <c r="AV15" s="19">
        <v>0</v>
      </c>
      <c r="AW15" s="19">
        <v>18.2</v>
      </c>
      <c r="AX15" s="19">
        <v>4.4000000000000004</v>
      </c>
      <c r="AY15" s="19">
        <v>0</v>
      </c>
      <c r="AZ15" s="19">
        <v>0</v>
      </c>
      <c r="BA15" s="19"/>
      <c r="BB15" s="19"/>
      <c r="BC15" s="19"/>
      <c r="BD15" s="19"/>
      <c r="BE15" s="19">
        <v>15.6</v>
      </c>
      <c r="BF15" s="19">
        <v>0.7</v>
      </c>
      <c r="BG15" s="19">
        <v>0</v>
      </c>
      <c r="BH15" s="19">
        <v>0</v>
      </c>
      <c r="BI15" s="19">
        <v>15</v>
      </c>
      <c r="BJ15" s="19">
        <v>2.4</v>
      </c>
      <c r="BK15" s="19">
        <v>0</v>
      </c>
      <c r="BL15" s="19">
        <v>0</v>
      </c>
      <c r="BM15" s="33"/>
      <c r="BN15" s="14">
        <f>IF(SUM(AT15,AX15)&gt;0,SUM(AT15,AX15),"")</f>
        <v>7.9</v>
      </c>
      <c r="BO15" s="14">
        <f>IF(SUM(AS15:AT15,AV15:AX15,AZ15)-AU15-AY15&gt;0,SUM(AS15:AT15,AV15:AX15,AZ15)-AU15-AY15,"")</f>
        <v>44.4</v>
      </c>
      <c r="BP15" s="14" t="str">
        <f>IF(SUM(BA15:BB15,BD15)-BC15&gt;0,SUM(BA15:BB15,BD15)-BC15,"")</f>
        <v/>
      </c>
      <c r="BQ15" s="14">
        <f>IF(SUM(BF15,BJ15)&gt;0,SUM(BF15,BJ15),"")</f>
        <v>3.0999999999999996</v>
      </c>
      <c r="BR15" s="14">
        <f>IF(SUM(BE15:BF15,BH15:BJ15,BL15)-SUM(BG15,BK15)&gt;0,SUM(BE15:BF15,BH15:BJ15,BL15)-SUM(BG15,BK15),"")</f>
        <v>33.700000000000003</v>
      </c>
      <c r="BS15" s="14">
        <f>IF(SUM(BO15,BP15,BR15)&gt;0,SUM(BO15,BP15,BR15),"")</f>
        <v>78.099999999999994</v>
      </c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32"/>
      <c r="CO15" s="55" t="str">
        <f>IF(SUM(BU15,BY15)&gt;0,SUM(BU15,BY15),"")</f>
        <v/>
      </c>
      <c r="CP15" s="55" t="str">
        <f>IF(SUM(BT15:BU15,BW15:BY15,CA15)-BV15-BZ15&gt;0,SUM(BT15:BU15,BW15:BY15,CA15)-BV15-BZ15,"")</f>
        <v/>
      </c>
      <c r="CQ15" s="55" t="str">
        <f>IF(SUM(CB15:CC15,CE15)-CD15&gt;0,SUM(CB15:CC15,CE15)-CD15,"")</f>
        <v/>
      </c>
      <c r="CR15" s="55" t="str">
        <f>IF(SUM(CG15,CK15)&gt;0,SUM(CG15,CK15),"")</f>
        <v/>
      </c>
      <c r="CS15" s="55" t="str">
        <f>IF(SUM(CF15:CG15,CI15:CK15,CM15)-SUM(CH15,CL15)&gt;0,SUM(CF15:CG15,CI15:CK15,CM15)-SUM(CH15,CL15),"")</f>
        <v/>
      </c>
      <c r="CT15" s="55" t="str">
        <f>IF(SUM(CP15,CQ15,CS15)&gt;0,SUM(CP15,CQ15,CS15),"")</f>
        <v/>
      </c>
      <c r="CU15" s="56" t="str">
        <f>IF(MAX(DR15,ER15,FR15,GR15,HR15,IR15,JR15,KR15,LR15,MR15,NR15,OR15)-IF(K15="",0,K15)&gt;0.001,MAX(DR15,ER15,FR15,GR15,HR15,IR15,JR15,KR15,LR15,MR15,NR15,OR15)-IF(K15="",0,K15),"")</f>
        <v/>
      </c>
      <c r="CV15" s="56" t="str">
        <f>IF(MAX(DU15,EU15,FU15,GU15,HU15,IU15,JU15,KU15,LU15,MU15,NU15,OU15)-IF(M15="",0,M15)&gt;0.001,MAX(DU15,EU15,FU15,GU15,HU15,IU15,JU15,KU15,LU15,MU15,NU15,OU15)-IF(M15="",0,M15),"")</f>
        <v/>
      </c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55" t="str">
        <f>IF(SUM(CX15,DB15)&gt;0,SUM(CX15,DB15),"")</f>
        <v/>
      </c>
      <c r="DR15" s="55" t="str">
        <f>IF(SUM(CW15:CX15,CZ15:DB15,DD15)-CY15-DC15&gt;0,SUM(CW15:CX15,CZ15:DB15,DD15)-CY15-DC15,"")</f>
        <v/>
      </c>
      <c r="DS15" s="55" t="str">
        <f>IF(SUM(DE15:DF15,DH15)-DG15&gt;0,SUM(DE15:DF15,DH15)-DG15,"")</f>
        <v/>
      </c>
      <c r="DT15" s="55" t="str">
        <f>IF(SUM(DJ15,DN15)&gt;0,SUM(DJ15,DN15),"")</f>
        <v/>
      </c>
      <c r="DU15" s="55" t="str">
        <f>IF(SUM(DI15:DJ15,DL15:DN15,DP15)-SUM(DK15,DO15)&gt;0,SUM(DI15:DJ15,DL15:DN15,DP15)-SUM(DK15,DO15),"")</f>
        <v/>
      </c>
      <c r="DV15" s="55" t="str">
        <f>IF(SUM(DR15,DS15,DU15)&gt;0,SUM(DR15,DS15,DU15),"")</f>
        <v/>
      </c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4" t="str">
        <f>IF(SUM(DX15,EB15)&gt;0,SUM(DX15,EB15),"")</f>
        <v/>
      </c>
      <c r="ER15" s="14" t="str">
        <f>IF(SUM(DW15:DX15,DZ15:EB15,ED15)-DY15-EC15&gt;0,SUM(DW15:DX15,DZ15:EB15,ED15)-DY15-EC15,"")</f>
        <v/>
      </c>
      <c r="ES15" s="14" t="str">
        <f>IF(SUM(EE15:EF15,EH15)-EG15&gt;0,SUM(EE15:EF15,EH15)-EG15,"")</f>
        <v/>
      </c>
      <c r="ET15" s="14" t="str">
        <f>IF(SUM(EJ15,EN15)&gt;0,SUM(EJ15,EN15),"")</f>
        <v/>
      </c>
      <c r="EU15" s="14" t="str">
        <f>IF(SUM(EI15:EJ15,EL15:EN15,EP15)-SUM(EK15,EO15)&gt;0,SUM(EI15:EJ15,EL15:EN15,EP15)-SUM(EK15,EO15),"")</f>
        <v/>
      </c>
      <c r="EV15" s="14" t="str">
        <f>IF(SUM(ER15,ES15,EU15)&gt;0,SUM(ER15,ES15,EU15),"")</f>
        <v/>
      </c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55" t="str">
        <f>IF(SUM(EX15,FB15)&gt;0,SUM(EX15,FB15),"")</f>
        <v/>
      </c>
      <c r="FR15" s="55" t="str">
        <f>IF(SUM(EW15:EX15,EZ15:FB15,FD15)-EY15-FC15&gt;0,SUM(EW15:EX15,EZ15:FB15,FD15)-EY15-FC15,"")</f>
        <v/>
      </c>
      <c r="FS15" s="55" t="str">
        <f>IF(SUM(FE15:FF15,FH15)-FG15&gt;0,SUM(FE15:FF15,FH15)-FG15,"")</f>
        <v/>
      </c>
      <c r="FT15" s="55" t="str">
        <f>IF(SUM(FJ15,FN15)&gt;0,SUM(FJ15,FN15),"")</f>
        <v/>
      </c>
      <c r="FU15" s="55" t="str">
        <f>IF(SUM(FI15:FJ15,FL15:FN15,FP15)-SUM(FK15,FO15)&gt;0,SUM(FI15:FJ15,FL15:FN15,FP15)-SUM(FK15,FO15),"")</f>
        <v/>
      </c>
      <c r="FV15" s="55" t="str">
        <f>IF(SUM(FR15,FS15,FU15)&gt;0,SUM(FR15,FS15,FU15),"")</f>
        <v/>
      </c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4" t="str">
        <f>IF(SUM(FX15,GB15)&gt;0,SUM(FX15,GB15),"")</f>
        <v/>
      </c>
      <c r="GR15" s="14" t="str">
        <f>IF(SUM(FW15:FX15,FZ15:GB15,GD15)-FY15-GC15&gt;0,SUM(FW15:FX15,FZ15:GB15,GD15)-FY15-GC15,"")</f>
        <v/>
      </c>
      <c r="GS15" s="14" t="str">
        <f>IF(SUM(GE15:GF15,GH15)-GG15&gt;0,SUM(GE15:GF15,GH15)-GG15,"")</f>
        <v/>
      </c>
      <c r="GT15" s="14" t="str">
        <f>IF(SUM(GJ15,GN15)&gt;0,SUM(GJ15,GN15),"")</f>
        <v/>
      </c>
      <c r="GU15" s="14" t="str">
        <f>IF(SUM(GI15:GJ15,GL15:GN15,GP15)-SUM(GK15,GO15)&gt;0,SUM(GI15:GJ15,GL15:GN15,GP15)-SUM(GK15,GO15),"")</f>
        <v/>
      </c>
      <c r="GV15" s="14" t="str">
        <f>IF(SUM(GR15,GS15,GU15)&gt;0,SUM(GR15,GS15,GU15),"")</f>
        <v/>
      </c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55" t="str">
        <f>IF(SUM(GX15,HB15)&gt;0,SUM(GX15,HB15),"")</f>
        <v/>
      </c>
      <c r="HR15" s="55" t="str">
        <f>IF(SUM(GW15:GX15,GZ15:HB15,HD15)-GY15-HC15&gt;0,SUM(GW15:GX15,GZ15:HB15,HD15)-GY15-HC15,"")</f>
        <v/>
      </c>
      <c r="HS15" s="55" t="str">
        <f>IF(SUM(HE15:HF15,HH15)-HG15&gt;0,SUM(HE15:HF15,HH15)-HG15,"")</f>
        <v/>
      </c>
      <c r="HT15" s="55" t="str">
        <f>IF(SUM(HJ15,HN15)&gt;0,SUM(HJ15,HN15),"")</f>
        <v/>
      </c>
      <c r="HU15" s="55" t="str">
        <f>IF(SUM(HI15:HJ15,HL15:HN15,HP15)-SUM(HK15,HO15)&gt;0,SUM(HI15:HJ15,HL15:HN15,HP15)-SUM(HK15,HO15),"")</f>
        <v/>
      </c>
      <c r="HV15" s="55" t="str">
        <f>IF(SUM(HR15,HS15,HU15)&gt;0,SUM(HR15,HS15,HU15),"")</f>
        <v/>
      </c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4" t="str">
        <f>IF(SUM(HX15,IB15)&gt;0,SUM(HX15,IB15),"")</f>
        <v/>
      </c>
      <c r="IR15" s="14" t="str">
        <f>IF(SUM(HW15:HX15,HZ15:IB15,ID15)-HY15-IC15&gt;0,SUM(HW15:HX15,HZ15:IB15,ID15)-HY15-IC15,"")</f>
        <v/>
      </c>
      <c r="IS15" s="14" t="str">
        <f>IF(SUM(IE15:IF15,IH15)-IG15&gt;0,SUM(IE15:IF15,IH15)-IG15,"")</f>
        <v/>
      </c>
      <c r="IT15" s="14" t="str">
        <f>IF(SUM(IJ15,IN15)&gt;0,SUM(IJ15,IN15),"")</f>
        <v/>
      </c>
      <c r="IU15" s="14" t="str">
        <f>IF(SUM(II15:IJ15,IL15:IN15,IP15)-SUM(IK15,IO15)&gt;0,SUM(II15:IJ15,IL15:IN15,IP15)-SUM(IK15,IO15),"")</f>
        <v/>
      </c>
      <c r="IV15" s="14" t="str">
        <f>IF(SUM(IR15,IS15,IU15)&gt;0,SUM(IR15,IS15,IU15),"")</f>
        <v/>
      </c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8"/>
      <c r="JQ15" s="55" t="str">
        <f>IF(SUM(IX15,JB15)&gt;0,SUM(IX15,JB15),"")</f>
        <v/>
      </c>
      <c r="JR15" s="55" t="str">
        <f>IF(SUM(IW15:IX15,IZ15:JB15,JD15)-IY15-JC15&gt;0,SUM(IW15:IX15,IZ15:JB15,JD15)-IY15-JC15,"")</f>
        <v/>
      </c>
      <c r="JS15" s="55" t="str">
        <f>IF(SUM(JE15:JF15,JH15)-JG15&gt;0,SUM(JE15:JF15,JH15)-JG15,"")</f>
        <v/>
      </c>
      <c r="JT15" s="55" t="str">
        <f>IF(SUM(JJ15,JN15)&gt;0,SUM(JJ15,JN15),"")</f>
        <v/>
      </c>
      <c r="JU15" s="55" t="str">
        <f>IF(SUM(JI15:JJ15,JL15:JN15,JP15)-SUM(JK15,JO15)&gt;0,SUM(JI15:JJ15,JL15:JN15,JP15)-SUM(JK15,JO15),"")</f>
        <v/>
      </c>
      <c r="JV15" s="55" t="str">
        <f>IF(SUM(JR15,JS15,JU15)&gt;0,SUM(JR15,JS15,JU15),"")</f>
        <v/>
      </c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4" t="str">
        <f>IF(SUM(JX15,KB15)&gt;0,SUM(JX15,KB15),"")</f>
        <v/>
      </c>
      <c r="KR15" s="14" t="str">
        <f>IF(SUM(JW15:JX15,JZ15:KB15,KD15)-JY15-KC15&gt;0,SUM(JW15:JX15,JZ15:KB15,KD15)-JY15-KC15,"")</f>
        <v/>
      </c>
      <c r="KS15" s="14" t="str">
        <f>IF(SUM(KE15:KF15,KH15)-KG15&gt;0,SUM(KE15:KF15,KH15)-KG15,"")</f>
        <v/>
      </c>
      <c r="KT15" s="14" t="str">
        <f>IF(SUM(KJ15,KN15)&gt;0,SUM(KJ15,KN15),"")</f>
        <v/>
      </c>
      <c r="KU15" s="14" t="str">
        <f>IF(SUM(KI15:KJ15,KL15:KN15,KP15)-SUM(KK15,KO15)&gt;0,SUM(KI15:KJ15,KL15:KN15,KP15)-SUM(KK15,KO15),"")</f>
        <v/>
      </c>
      <c r="KV15" s="14" t="str">
        <f>IF(SUM(KR15,KS15,KU15)&gt;0,SUM(KR15,KS15,KU15),"")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55" t="str">
        <f>IF(SUM(KX15,LB15)&gt;0,SUM(KX15,LB15),"")</f>
        <v/>
      </c>
      <c r="LR15" s="55" t="str">
        <f>IF(SUM(KW15:KX15,KZ15:LB15,LD15)-KY15-LC15&gt;0,SUM(KW15:KX15,KZ15:LB15,LD15)-KY15-LC15,"")</f>
        <v/>
      </c>
      <c r="LS15" s="55" t="str">
        <f>IF(SUM(LE15:LF15,LH15)-LG15&gt;0,SUM(LE15:LF15,LH15)-LG15,"")</f>
        <v/>
      </c>
      <c r="LT15" s="55" t="str">
        <f>IF(SUM(LJ15,LN15)&gt;0,SUM(LJ15,LN15),"")</f>
        <v/>
      </c>
      <c r="LU15" s="55" t="str">
        <f>IF(SUM(LI15:LJ15,LL15:LN15,LP15)-SUM(LK15,LO15)&gt;0,SUM(LI15:LJ15,LL15:LN15,LP15)-SUM(LK15,LO15),"")</f>
        <v/>
      </c>
      <c r="LV15" s="55" t="str">
        <f>IF(SUM(LR15,LS15,LU15)&gt;0,SUM(LR15,LS15,LU15),"")</f>
        <v/>
      </c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4" t="str">
        <f>IF(SUM(LX15,MB15)&gt;0,SUM(LX15,MB15),"")</f>
        <v/>
      </c>
      <c r="MR15" s="14" t="str">
        <f>IF(SUM(LW15:LX15,LZ15:MB15,MD15)-LY15-MC15&gt;0,SUM(LW15:LX15,LZ15:MB15,MD15)-LY15-MC15,"")</f>
        <v/>
      </c>
      <c r="MS15" s="14" t="str">
        <f>IF(SUM(ME15:MF15,MH15)-MG15&gt;0,SUM(ME15:MF15,MH15)-MG15,"")</f>
        <v/>
      </c>
      <c r="MT15" s="14" t="str">
        <f>IF(SUM(MJ15,MN15)&gt;0,SUM(MJ15,MN15),"")</f>
        <v/>
      </c>
      <c r="MU15" s="14" t="str">
        <f>IF(SUM(MI15:MJ15,ML15:MN15,MP15)-SUM(MK15,MO15)&gt;0,SUM(MI15:MJ15,ML15:MN15,MP15)-SUM(MK15,MO15),"")</f>
        <v/>
      </c>
      <c r="MV15" s="14" t="str">
        <f>IF(SUM(MR15,MS15,MU15)&gt;0,SUM(MR15,MS15,MU15),"")</f>
        <v/>
      </c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55" t="str">
        <f>IF(SUM(MX15,NB15)&gt;0,SUM(MX15,NB15),"")</f>
        <v/>
      </c>
      <c r="NR15" s="55" t="str">
        <f>IF(SUM(MW15:MX15,MZ15:NB15,ND15)-MY15-NC15&gt;0,SUM(MW15:MX15,MZ15:NB15,ND15)-MY15-NC15,"")</f>
        <v/>
      </c>
      <c r="NS15" s="55" t="str">
        <f>IF(SUM(NE15:NF15,NH15)-NG15&gt;0,SUM(NE15:NF15,NH15)-NG15,"")</f>
        <v/>
      </c>
      <c r="NT15" s="55" t="str">
        <f>IF(SUM(NJ15,NN15)&gt;0,SUM(NJ15,NN15),"")</f>
        <v/>
      </c>
      <c r="NU15" s="55" t="str">
        <f>IF(SUM(NI15:NJ15,NL15:NN15,NP15)-SUM(NK15,NO15)&gt;0,SUM(NI15:NJ15,NL15:NN15,NP15)-SUM(NK15,NO15),"")</f>
        <v/>
      </c>
      <c r="NV15" s="55" t="str">
        <f>IF(SUM(NR15,NS15,NU15)&gt;0,SUM(NR15,NS15,NU15),"")</f>
        <v/>
      </c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4" t="str">
        <f>IF(SUM(NX15,OB15)&gt;0,SUM(NX15,OB15),"")</f>
        <v/>
      </c>
      <c r="OR15" s="14" t="str">
        <f>IF(SUM(NW15:NX15,NZ15:OB15,OD15)-NY15-OC15&gt;0,SUM(NW15:NX15,NZ15:OB15,OD15)-NY15-OC15,"")</f>
        <v/>
      </c>
      <c r="OS15" s="14" t="str">
        <f>IF(SUM(OE15:OF15,OH15)-OG15&gt;0,SUM(OE15:OF15,OH15)-OG15,"")</f>
        <v/>
      </c>
      <c r="OT15" s="14" t="str">
        <f>IF(SUM(OJ15,ON15)&gt;0,SUM(OJ15,ON15),"")</f>
        <v/>
      </c>
      <c r="OU15" s="14" t="str">
        <f>IF(SUM(OI15:OJ15,OL15:ON15,OP15)-SUM(OK15,OO15)&gt;0,SUM(OI15:OJ15,OL15:ON15,OP15)-SUM(OK15,OO15),"")</f>
        <v/>
      </c>
      <c r="OV15" s="14" t="str">
        <f>IF(SUM(OR15,OS15,OU15)&gt;0,SUM(OR15,OS15,OU15),"")</f>
        <v/>
      </c>
      <c r="OW15" s="27">
        <f>IF($CN15="P",BT15,(BT15+AS15)/2)</f>
        <v>9.25</v>
      </c>
      <c r="OX15" s="27">
        <f>IF($CN15="P",BU15,(BU15+AT15)/2)</f>
        <v>1.75</v>
      </c>
      <c r="OY15" s="27">
        <f>IF($CN15="P",BV15,(BV15+AU15)/2)</f>
        <v>0.1</v>
      </c>
      <c r="OZ15" s="27">
        <f>IF($CN15="P",BW15,(BW15+AV15)/2)</f>
        <v>0</v>
      </c>
      <c r="PA15" s="27">
        <f>IF($CN15="P",BX15,(BX15+AW15)/2)</f>
        <v>9.1</v>
      </c>
      <c r="PB15" s="27">
        <f>IF($CN15="P",BY15,(BY15+AX15)/2)</f>
        <v>2.2000000000000002</v>
      </c>
      <c r="PC15" s="27">
        <f>IF($CN15="P",BZ15,(BZ15+AY15)/2)</f>
        <v>0</v>
      </c>
      <c r="PD15" s="27">
        <f>IF($CN15="P",CA15,(CA15+AZ15)/2)</f>
        <v>0</v>
      </c>
      <c r="PE15" s="27">
        <f>IF($CN15="P",CB15,(CB15+BA15)/2)</f>
        <v>0</v>
      </c>
      <c r="PF15" s="27">
        <f>IF($CN15="P",CC15,(CC15+BB15)/2)</f>
        <v>0</v>
      </c>
      <c r="PG15" s="27">
        <f>IF($CN15="P",CD15,(CD15+BC15)/2)</f>
        <v>0</v>
      </c>
      <c r="PH15" s="27">
        <f>IF($CN15="P",CE15,(CE15+BD15)/2)</f>
        <v>0</v>
      </c>
      <c r="PI15" s="27">
        <f>IF($CN15="P",CF15,(CF15+BE15)/2)</f>
        <v>7.8</v>
      </c>
      <c r="PJ15" s="27">
        <f>IF($CN15="P",CG15,(CG15+BF15)/2)</f>
        <v>0.35</v>
      </c>
      <c r="PK15" s="27">
        <f>IF($CN15="P",CH15,(CH15+BG15)/2)</f>
        <v>0</v>
      </c>
      <c r="PL15" s="27">
        <f>IF($CN15="P",CI15,(CI15+BH15)/2)</f>
        <v>0</v>
      </c>
      <c r="PM15" s="27">
        <f>IF($CN15="P",CJ15,(CJ15+BI15)/2)</f>
        <v>7.5</v>
      </c>
      <c r="PN15" s="27">
        <f>IF($CN15="P",CK15,(CK15+BJ15)/2)</f>
        <v>1.2</v>
      </c>
      <c r="PO15" s="27">
        <f>IF($CN15="P",CL15,(CL15+BK15)/2)</f>
        <v>0</v>
      </c>
      <c r="PP15" s="27">
        <f>IF($CN15="P",CM15,(CM15+BL15)/2)</f>
        <v>0</v>
      </c>
      <c r="PQ15" s="32" t="s">
        <v>44</v>
      </c>
      <c r="PR15" s="55">
        <f>IF(SUM(OX15,PB15)&gt;0,SUM(OX15,PB15),"")</f>
        <v>3.95</v>
      </c>
      <c r="PS15" s="55">
        <f>IF(SUM(OW15:OX15,OZ15:PB15,PD15)-OY15-PC15&gt;0,SUM(OW15:OX15,OZ15:PB15,PD15)-OY15-PC15,"")</f>
        <v>22.2</v>
      </c>
      <c r="PT15" s="55" t="str">
        <f>IF(SUM(PE15:PF15,PH15)-PG15&gt;0,SUM(PE15:PF15,PH15)-PG15,"")</f>
        <v/>
      </c>
      <c r="PU15" s="55">
        <f>IF(SUM(PJ15,PN15)&gt;0,SUM(PJ15,PN15),"")</f>
        <v>1.5499999999999998</v>
      </c>
      <c r="PV15" s="55">
        <f>IF(SUM(PI15:PJ15,PL15:PN15,PP15)-SUM(PK15,PO15)&gt;0,SUM(PI15:PJ15,PL15:PN15,PP15)-SUM(PK15,PO15),"")</f>
        <v>16.850000000000001</v>
      </c>
      <c r="PW15" s="55">
        <f>IF(SUM(PS15,PT15,PV15)&gt;0,SUM(PS15,PT15,PV15),"")</f>
        <v>39.049999999999997</v>
      </c>
    </row>
    <row r="16" spans="1:43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118</v>
      </c>
      <c r="C16" s="4" t="s">
        <v>89</v>
      </c>
      <c r="D16" s="4">
        <v>2011</v>
      </c>
      <c r="E16" s="10">
        <f>SUM(I16:O16)+SUM(I16:M16)*0.0000001+SUM(I16)*0.0000000000001</f>
        <v>39.900003990003995</v>
      </c>
      <c r="F16" s="3" t="str">
        <f>IF(OR(AND(AM16&gt;=AR$19,AN16&gt;=AR$23,AM16&lt;&gt;"",AL16=""),AND(AP16&gt;=AR$19,AQ16&gt;=AR$23,AP16&lt;&gt;"",AL16=""),AND(BN16&gt;=BS$19,BO16&gt;=BS$23,BN16&lt;&gt;"",BM16=""),AND(BQ16&gt;=BS$19,BR16&gt;=BS$23,BQ16&lt;&gt;"",BM16=""),AND(CO16&gt;=CT$19,CP16&gt;=CT$23,CO16&lt;&gt;"",CN16=""),AND(CR16&gt;=CT$19,CS16&gt;=CT$23,CR16&lt;&gt;""),AND(DQ16&gt;=DV$19,DR16&gt;=DV$23,DQ16&lt;&gt;""),AND(DT16&gt;=DV$19,DU16&gt;=DV$23,DT16&lt;&gt;""),AND(EQ16&gt;=EV$19,ER16&gt;=EV$23,EQ16&lt;&gt;""),AND(ET16&gt;=EV$19,EU16&gt;=EV$23,ET16&lt;&gt;""),AND(FQ16&gt;=FV$19,FR16&gt;=FV$23,FQ16&lt;&gt;""),AND(FT16&gt;=FV$19,FU16&gt;=FV$23,FT16&lt;&gt;""),AND(GQ16&gt;=GV$19,GR16&gt;=GV$23,GQ16&lt;&gt;""),AND(GT16&gt;=GV$19,GU16&gt;=GV$23,GT16&lt;&gt;""),AND(HQ16&gt;=HV$19,HR16&gt;=HV$23,HQ16&lt;&gt;""),AND(HT16&gt;=HV$19,HU16&gt;=HV$23,HT16&lt;&gt;""),AND(IQ16&gt;=IV$19,IR16&gt;=IV$23,IQ16&lt;&gt;""),AND(IT16&gt;=IV$19,IU16&gt;=IV$23,IT16&lt;&gt;""),AND(JQ16&gt;=JV$19,JR16&gt;=JV$23,JQ16&lt;&gt;""),AND(JT16&gt;=JV$19,JU16&gt;=JV$23,JT16&lt;&gt;""),AND(KQ16&gt;=KV$19,KR16&gt;=KV$23,KQ16&lt;&gt;""),AND(KT16&gt;=KV$19,KU16&gt;=KV$23,KT16&lt;&gt;""),AND(LQ16&gt;=LV$19,LR16&gt;=LV$23,LQ16&lt;&gt;""),AND(LT16&gt;=LV$19,LU16&gt;=LV$23,LT16&lt;&gt;""),AND(MQ16&gt;=MV$19,MR16&gt;=MV$23,MQ16&lt;&gt;""),AND(MT16&gt;=MV$19,MU16&gt;=MV$23,MT16&lt;&gt;""),AND(NQ16&gt;=NV$19,NR16&gt;=NV$23,NQ16&lt;&gt;""),AND(NT16&gt;=NV$19,NU16&gt;=NV$23,NT16&lt;&gt;""),AND(OQ16&gt;=OV$19,OR16&gt;=OV$23,OQ16&lt;&gt;""),AND(OT16&gt;=OV$19,OU16&gt;=OV$23,OT16&lt;&gt;"")),"P","")</f>
        <v/>
      </c>
      <c r="G16" s="3" t="str">
        <f>IF(OR(AND(AN16&gt;=AR$23,AN16&lt;&gt;"",AL16=""),AND(AQ16&gt;=AR$23,AQ16&lt;&gt;"",AL16=""),AND(BO16&gt;=BS$23,BO16&lt;&gt;"",BM16=""),AND(BR16&gt;=BS$23,BR16&lt;&gt;"",BM16=""),AND(CP16&gt;=CT$23,CP16&lt;&gt;"",CN16=""),AND(CS16&gt;=CT$23,CS16&lt;&gt;"",CN16=""),AND(DR16&gt;=DV$23,DR16&lt;&gt;""),AND(DU16&gt;=DV$23,DU16&lt;&gt;""),AND(ER16&gt;=EV$23,ER16&lt;&gt;""),AND(EU16&gt;=EV$23,EU16&lt;&gt;""),AND(FR16&gt;=FV$23,FR16&lt;&gt;""),AND(FU16&gt;=FV$23,FU16&lt;&gt;""),AND(GR16&gt;=GV$23,GR16&lt;&gt;""),AND(GU16&gt;=GV$23,GU16&lt;&gt;""),AND(HR16&gt;=HV$23,HR16&lt;&gt;""),AND(HU16&gt;=HV$23,HU16&lt;&gt;""),AND(IR16&gt;=IV$23,IR16&lt;&gt;""),AND(IU16&gt;=IV$23,IU16&lt;&gt;""),AND(JR16&gt;=JV$23,JR16&lt;&gt;""),AND(JU16&gt;=JV$23,JU16&lt;&gt;""),AND(KR16&gt;=KV$23,KR16&lt;&gt;""),AND(KU16&gt;=KV$23,KU16&lt;&gt;""),AND(LR16&gt;=LV$23,LR16&lt;&gt;""),AND(LU16&gt;=LV$23,LU16&lt;&gt;""),AND(MR16&gt;=MV$23,MR16&lt;&gt;""),AND(MU16&gt;=MV$23,MU16&lt;&gt;""),AND(NR16&gt;=NV$23,NR16&lt;&gt;""),AND(NU16&gt;=NV$23,NU16&lt;&gt;""),AND(OR16&gt;=OV$23,OR16&lt;&gt;""),AND(OU16&gt;=OV$23,OU16&lt;&gt;"")),"P","")</f>
        <v/>
      </c>
      <c r="H16" s="47" t="str">
        <f>IF(AND(G16="P",F16=""),"No DD",IF(OR(AND(AM16&gt;=AR$22,AN16&gt;=AR$26,AM16&lt;&gt;"",AL16=""),AND(AP16&gt;=AR$22,AQ16&gt;=AR$26,AP16&lt;&gt;"",AL16=""),AND(BN16&gt;=BS$22,BO16&gt;=BS$26,BN16&lt;&gt;"",BM16=""),AND(BQ16&gt;=BS$22,BR16&gt;=BS$26,BQ16&lt;&gt;"",BM16=""),AND(CO16&gt;=CT$22,CP16&gt;=CT$26,CO16&lt;&gt;"",CN16=""),AND(CR16&gt;=CT$22,CS16&gt;=CT$26,CR16&lt;&gt;""),AND(DQ16&gt;=DV$22,DR16&gt;=DV$26,DQ16&lt;&gt;""),AND(DT16&gt;=DV$22,DU16&gt;=DV$26,DT16&lt;&gt;""),AND(EQ16&gt;=EV$22,ER16&gt;=EV$26,EQ16&lt;&gt;""),AND(ET16&gt;=EV$22,EU16&gt;=EV$26,ET16&lt;&gt;""),AND(FQ16&gt;=FV$22,FR16&gt;=FV$26,FQ16&lt;&gt;""),AND(FT16&gt;=FV$22,FU16&gt;=FV$26,FT16&lt;&gt;""),AND(GQ16&gt;=GV$22,GR16&gt;=GV$26,GQ16&lt;&gt;""),AND(GT16&gt;=GV$22,GU16&gt;=GV$26,GT16&lt;&gt;""),AND(HQ16&gt;=HV$22,HR16&gt;=HV$26,HQ16&lt;&gt;""),AND(HT16&gt;=HV$22,HU16&gt;=HV$26,HT16&lt;&gt;""),AND(IQ16&gt;=IV$22,IR16&gt;=IV$26,IQ16&lt;&gt;""),AND(IT16&gt;=IV$22,IU16&gt;=IV$26,IT16&lt;&gt;""),AND(JQ16&gt;=JV$22,JR16&gt;=JV$26,JQ16&lt;&gt;""),AND(JT16&gt;=JV$22,JU16&gt;=JV$26,JT16&lt;&gt;""),AND(KQ16&gt;=KV$22,KR16&gt;=KV$26,KQ16&lt;&gt;""),AND(KT16&gt;=KV$22,KU16&gt;=KV$26,KT16&lt;&gt;""),AND(LQ16&gt;=LV$22,LR16&gt;=LV$26,LQ16&lt;&gt;""),AND(LT16&gt;=LV$22,LU16&gt;=LV$26,LT16&lt;&gt;""),AND(MQ16&gt;=MV$22,MR16&gt;=MV$26,MQ16&lt;&gt;""),AND(MT16&gt;=MV$22,MU16&gt;=MV$26,MT16&lt;&gt;""),AND(NQ16&gt;=NV$22,NR16&gt;=NV$26,NQ16&lt;&gt;""),AND(NT16&gt;=NV$22,NU16&gt;=NV$26,NT16&lt;&gt;""),AND(OQ16&gt;=OV$22,OR16&gt;=OV$26,OQ16&lt;&gt;""),AND(OT16&gt;=OV$22,OU16&gt;=OV$26,OT16&lt;&gt;"")),"Merit",IF(OR(AND(AM16&gt;=AR$21,AN16&gt;=AR$25,AM16&lt;&gt;"",AL16=""),AND(AP16&gt;=AR$21,AQ16&gt;=AR$25,AP16&lt;&gt;"",AL16=""),AND(BN16&gt;=BS$21,BO16&gt;=BS$25,BN16&lt;&gt;"",BM16=""),AND(BQ16&gt;=BS$21,BR16&gt;=BS$25,BQ16&lt;&gt;"",BM16=""),AND(CO16&gt;=CT$21,CP16&gt;=CT$25,CO16&lt;&gt;"",CN16=""),AND(CR16&gt;=CT$21,CS16&gt;=CT$25,CR16&lt;&gt;""),AND(DQ16&gt;=DV$21,DR16&gt;=DV$25,DQ16&lt;&gt;""),AND(DT16&gt;=DV$21,DU16&gt;=DV$25,DT16&lt;&gt;""),AND(EQ16&gt;=EV$21,ER16&gt;=EV$25,EQ16&lt;&gt;""),AND(ET16&gt;=EV$21,EU16&gt;=EV$25,ET16&lt;&gt;""),AND(FQ16&gt;=FV$21,FR16&gt;=FV$25,FQ16&lt;&gt;""),AND(FT16&gt;=FV$21,FU16&gt;=FV$25,FT16&lt;&gt;""),AND(GQ16&gt;=GV$21,GR16&gt;=GV$25,GQ16&lt;&gt;""),AND(GT16&gt;=GV$21,GU16&gt;=GV$25,GT16&lt;&gt;""),AND(HQ16&gt;=HV$21,HR16&gt;=HV$25,HQ16&lt;&gt;""),AND(HT16&gt;=HV$21,HU16&gt;=HV$25,HT16&lt;&gt;""),AND(IQ16&gt;=IV$21,IR16&gt;=IV$25,IQ16&lt;&gt;""),AND(IT16&gt;=IV$21,IU16&gt;=IV$25,IT16&lt;&gt;""),AND(JQ16&gt;=JV$21,JR16&gt;=JV$25,JQ16&lt;&gt;""),AND(JT16&gt;=JV$21,JU16&gt;=JV$25,JT16&lt;&gt;""),AND(KQ16&gt;=KV$21,KR16&gt;=KV$25,KQ16&lt;&gt;""),AND(KT16&gt;=KV$21,KU16&gt;=KV$25,KT16&lt;&gt;""),AND(LQ16&gt;=LV$21,LR16&gt;=LV$25,LQ16&lt;&gt;""),AND(LT16&gt;=LV$21,LU16&gt;=LV$25,LT16&lt;&gt;""),AND(MQ16&gt;=MV$21,MR16&gt;=MV$25,MQ16&lt;&gt;""),AND(MT16&gt;=MV$21,MU16&gt;=MV$25,MT16&lt;&gt;""),AND(NQ16&gt;=NV$21,NR16&gt;=NV$25,NQ16&lt;&gt;""),AND(NT16&gt;=NV$21,NU16&gt;=NV$25,NT16&lt;&gt;""),AND(OQ16&gt;=OV$21,OR16&gt;=OV$25,OQ16&lt;&gt;""),AND(OT16&gt;=OV$21,OU16&gt;=OV$25,OT16&lt;&gt;"")),"Excellence",IF(F16="P","National Team",""))))</f>
        <v/>
      </c>
      <c r="I16" s="9">
        <f>IF(COUNT(AN16,BO16,CP16)&gt;0,LARGE((AN16,BO16,CP16),1),0)</f>
        <v>39.9</v>
      </c>
      <c r="J16" s="9" t="str">
        <f>IF(I16=0,"",IF(I16=CP16,$BT$1,IF(I16=BO16,$AS$1,IF(I16=AN16,$R$1,""))))</f>
        <v>2025 Nationals</v>
      </c>
      <c r="K16" s="9">
        <f>IF(COUNT(AN16,BO16,CP16)&gt;1,LARGE((AN16,BO16,CP16),2),0)</f>
        <v>0</v>
      </c>
      <c r="L16" s="9" t="str">
        <f>IF(K16=0,"",IF(AND(K16=I16,K16=AN16,K16=BO16),$R$1,IF(AND(K16=I16,K16=AN16,K16=CP16),$R$1,IF(AND(K16=I16,K16=CP16,K16=BO16),$AS$1,IF(K16=CP16,$BT$1,IF(K16=BO16,$AS$1,IF(K16=AN16,$R$1,"")))))))</f>
        <v/>
      </c>
      <c r="M16" s="9">
        <f>IF(MAX(AQ16,BR16,CS16)&gt;0,MAX(AQ16,BR16,CS16),0)</f>
        <v>0</v>
      </c>
      <c r="N16" s="9" t="str">
        <f>IF(M16=0,"",IF(M16=CS16,$BT$1,IF(M16=BR16,$AS$1,IF(M16=AQ16,$R$1,""))))</f>
        <v/>
      </c>
      <c r="O16" s="9" t="str">
        <f>IF(MAX(CU16:CV16)&gt;0,MAX(CU16:CV16),"")</f>
        <v/>
      </c>
      <c r="P16" s="14" t="str">
        <f>IF(O16="","",IF(O16=CU16,"("&amp;CU$2&amp;")",IF(O16=CV16,"("&amp;CV$2&amp;")")))</f>
        <v/>
      </c>
      <c r="Q16" s="9" t="str">
        <f>IF(O16="","",IF(O16=CU16,IF(O16+IF(K16="",0,K16)=OR16,$NW$1,IF(O16+IF(K16="",0,K16)=NR16,$MW$1,IF(O16+IF(K16="",0,K16)=MR16,$LW$1,IF(O16+IF(K16="",0,K16)=LR16,$KW$1,IF(O16+IF(K16="",0,K16)=KR16,$JW$1,IF(O16+IF(K16="",0,K16)=JR16,$IW$1,IF(O16+IF(K16="",0,K16)=IR16,$HW$1,IF(O16+IF(K16="",0,K16)=HR16,$GW$1,IF(O16+IF(K16="",0,K16)=GR16,$FW$1,IF(O16+IF(K16="",0,K16)=FR16,$EW$1,IF(O16+IF(K16="",0,K16)=ER16,$DW$1,IF(O16+IF(K16="",0,K16)=DR16,$CW$1)))))))))))),IF(O16=CV16,IF(O16+IF(M16="",0,M16)=OU16,$NW$1,IF(O16+IF(M16="",0,M16)=NU16,$MW$1,IF(O16+IF(M16="",0,M16)=MU16,$LW$1,IF(O16+IF(M16="",0,M16)=LU16,$KW$1,IF(O16+IF(M16="",0,M16)=KU16,$JW$1,IF(O16+IF(M16="",0,M16)=JU16,$IW$1,IF(O16+IF(M16="",0,M16)=IU16,$HW$1,IF(O16+IF(M16="",0,M16)=HU16,$GW$1,IF(O16+IF(M16="",0,M16)=GU16,$FW$1,IF(O16+IF(M16="",0,M16)=FU16,$EW$1,IF(O16+IF(M16="",0,M16)=EU16,$DW$1,IF(O16+IF(M16="",0,M16)=DU16,$CW$1)))))))))))))))</f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32"/>
      <c r="AM16" s="55" t="str">
        <f>IF(SUM(S16,W16)&gt;0,SUM(S16,W16),"")</f>
        <v/>
      </c>
      <c r="AN16" s="55" t="str">
        <f>IF(SUM(R16:S16,U16:W16,Y16)-T16-X16&gt;0,SUM(R16:S16,U16:W16,Y16)-T16-X16,"")</f>
        <v/>
      </c>
      <c r="AO16" s="55" t="str">
        <f>IF(SUM(Z16:AA16,AC16)-AB16&gt;0,SUM(Z16:AA16,AC16)-AB16,"")</f>
        <v/>
      </c>
      <c r="AP16" s="55" t="str">
        <f>IF(SUM(AE16,AI16)&gt;0,SUM(AE16,AI16),"")</f>
        <v/>
      </c>
      <c r="AQ16" s="55" t="str">
        <f>IF(SUM(AD16:AE16,AG16:AI16,AK16)-SUM(AF16,AJ16)&gt;0,SUM(AD16:AE16,AG16:AI16,AK16)-SUM(AF16,AJ16),"")</f>
        <v/>
      </c>
      <c r="AR16" s="55" t="str">
        <f>IF(SUM(AN16,AO16,AQ16)&gt;0,SUM(AN16,AO16,AQ16),"")</f>
        <v/>
      </c>
      <c r="AS16" s="19">
        <v>18.8</v>
      </c>
      <c r="AT16" s="19">
        <v>3.5</v>
      </c>
      <c r="AU16" s="19">
        <v>0</v>
      </c>
      <c r="AV16" s="19">
        <v>0</v>
      </c>
      <c r="AW16" s="19">
        <v>15.2</v>
      </c>
      <c r="AX16" s="19">
        <v>2.4</v>
      </c>
      <c r="AY16" s="19">
        <v>0</v>
      </c>
      <c r="AZ16" s="19">
        <v>0</v>
      </c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33"/>
      <c r="BN16" s="14">
        <f>IF(SUM(AT16,AX16)&gt;0,SUM(AT16,AX16),"")</f>
        <v>5.9</v>
      </c>
      <c r="BO16" s="14">
        <f>IF(SUM(AS16:AT16,AV16:AX16,AZ16)-AU16-AY16&gt;0,SUM(AS16:AT16,AV16:AX16,AZ16)-AU16-AY16,"")</f>
        <v>39.9</v>
      </c>
      <c r="BP16" s="14" t="str">
        <f>IF(SUM(BA16:BB16,BD16)-BC16&gt;0,SUM(BA16:BB16,BD16)-BC16,"")</f>
        <v/>
      </c>
      <c r="BQ16" s="14" t="str">
        <f>IF(SUM(BF16,BJ16)&gt;0,SUM(BF16,BJ16),"")</f>
        <v/>
      </c>
      <c r="BR16" s="14" t="str">
        <f>IF(SUM(BE16:BF16,BH16:BJ16,BL16)-SUM(BG16,BK16)&gt;0,SUM(BE16:BF16,BH16:BJ16,BL16)-SUM(BG16,BK16),"")</f>
        <v/>
      </c>
      <c r="BS16" s="14">
        <f>IF(SUM(BO16,BP16,BR16)&gt;0,SUM(BO16,BP16,BR16),"")</f>
        <v>39.9</v>
      </c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32"/>
      <c r="CO16" s="55" t="str">
        <f>IF(SUM(BU16,BY16)&gt;0,SUM(BU16,BY16),"")</f>
        <v/>
      </c>
      <c r="CP16" s="55" t="str">
        <f>IF(SUM(BT16:BU16,BW16:BY16,CA16)-BV16-BZ16&gt;0,SUM(BT16:BU16,BW16:BY16,CA16)-BV16-BZ16,"")</f>
        <v/>
      </c>
      <c r="CQ16" s="55" t="str">
        <f>IF(SUM(CB16:CC16,CE16)-CD16&gt;0,SUM(CB16:CC16,CE16)-CD16,"")</f>
        <v/>
      </c>
      <c r="CR16" s="55" t="str">
        <f>IF(SUM(CG16,CK16)&gt;0,SUM(CG16,CK16),"")</f>
        <v/>
      </c>
      <c r="CS16" s="55" t="str">
        <f>IF(SUM(CF16:CG16,CI16:CK16,CM16)-SUM(CH16,CL16)&gt;0,SUM(CF16:CG16,CI16:CK16,CM16)-SUM(CH16,CL16),"")</f>
        <v/>
      </c>
      <c r="CT16" s="55" t="str">
        <f>IF(SUM(CP16,CQ16,CS16)&gt;0,SUM(CP16,CQ16,CS16),"")</f>
        <v/>
      </c>
      <c r="CU16" s="56" t="str">
        <f>IF(MAX(DR16,ER16,FR16,GR16,HR16,IR16,JR16,KR16,LR16,MR16,NR16,OR16)-IF(K16="",0,K16)&gt;0.001,MAX(DR16,ER16,FR16,GR16,HR16,IR16,JR16,KR16,LR16,MR16,NR16,OR16)-IF(K16="",0,K16),"")</f>
        <v/>
      </c>
      <c r="CV16" s="56" t="str">
        <f>IF(MAX(DU16,EU16,FU16,GU16,HU16,IU16,JU16,KU16,LU16,MU16,NU16,OU16)-IF(M16="",0,M16)&gt;0.001,MAX(DU16,EU16,FU16,GU16,HU16,IU16,JU16,KU16,LU16,MU16,NU16,OU16)-IF(M16="",0,M16),"")</f>
        <v/>
      </c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55" t="str">
        <f>IF(SUM(CX16,DB16)&gt;0,SUM(CX16,DB16),"")</f>
        <v/>
      </c>
      <c r="DR16" s="55" t="str">
        <f>IF(SUM(CW16:CX16,CZ16:DB16,DD16)-CY16-DC16&gt;0,SUM(CW16:CX16,CZ16:DB16,DD16)-CY16-DC16,"")</f>
        <v/>
      </c>
      <c r="DS16" s="55" t="str">
        <f>IF(SUM(DE16:DF16,DH16)-DG16&gt;0,SUM(DE16:DF16,DH16)-DG16,"")</f>
        <v/>
      </c>
      <c r="DT16" s="55" t="str">
        <f>IF(SUM(DJ16,DN16)&gt;0,SUM(DJ16,DN16),"")</f>
        <v/>
      </c>
      <c r="DU16" s="55" t="str">
        <f>IF(SUM(DI16:DJ16,DL16:DN16,DP16)-SUM(DK16,DO16)&gt;0,SUM(DI16:DJ16,DL16:DN16,DP16)-SUM(DK16,DO16),"")</f>
        <v/>
      </c>
      <c r="DV16" s="55" t="str">
        <f>IF(SUM(DR16,DS16,DU16)&gt;0,SUM(DR16,DS16,DU16),"")</f>
        <v/>
      </c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4" t="str">
        <f>IF(SUM(DX16,EB16)&gt;0,SUM(DX16,EB16),"")</f>
        <v/>
      </c>
      <c r="ER16" s="14" t="str">
        <f>IF(SUM(DW16:DX16,DZ16:EB16,ED16)-DY16-EC16&gt;0,SUM(DW16:DX16,DZ16:EB16,ED16)-DY16-EC16,"")</f>
        <v/>
      </c>
      <c r="ES16" s="14" t="str">
        <f>IF(SUM(EE16:EF16,EH16)-EG16&gt;0,SUM(EE16:EF16,EH16)-EG16,"")</f>
        <v/>
      </c>
      <c r="ET16" s="14" t="str">
        <f>IF(SUM(EJ16,EN16)&gt;0,SUM(EJ16,EN16),"")</f>
        <v/>
      </c>
      <c r="EU16" s="14" t="str">
        <f>IF(SUM(EI16:EJ16,EL16:EN16,EP16)-SUM(EK16,EO16)&gt;0,SUM(EI16:EJ16,EL16:EN16,EP16)-SUM(EK16,EO16),"")</f>
        <v/>
      </c>
      <c r="EV16" s="14" t="str">
        <f>IF(SUM(ER16,ES16,EU16)&gt;0,SUM(ER16,ES16,EU16),"")</f>
        <v/>
      </c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55" t="str">
        <f>IF(SUM(EX16,FB16)&gt;0,SUM(EX16,FB16),"")</f>
        <v/>
      </c>
      <c r="FR16" s="55" t="str">
        <f>IF(SUM(EW16:EX16,EZ16:FB16,FD16)-EY16-FC16&gt;0,SUM(EW16:EX16,EZ16:FB16,FD16)-EY16-FC16,"")</f>
        <v/>
      </c>
      <c r="FS16" s="55" t="str">
        <f>IF(SUM(FE16:FF16,FH16)-FG16&gt;0,SUM(FE16:FF16,FH16)-FG16,"")</f>
        <v/>
      </c>
      <c r="FT16" s="55" t="str">
        <f>IF(SUM(FJ16,FN16)&gt;0,SUM(FJ16,FN16),"")</f>
        <v/>
      </c>
      <c r="FU16" s="55" t="str">
        <f>IF(SUM(FI16:FJ16,FL16:FN16,FP16)-SUM(FK16,FO16)&gt;0,SUM(FI16:FJ16,FL16:FN16,FP16)-SUM(FK16,FO16),"")</f>
        <v/>
      </c>
      <c r="FV16" s="55" t="str">
        <f>IF(SUM(FR16,FS16,FU16)&gt;0,SUM(FR16,FS16,FU16),"")</f>
        <v/>
      </c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4" t="str">
        <f>IF(SUM(FX16,GB16)&gt;0,SUM(FX16,GB16),"")</f>
        <v/>
      </c>
      <c r="GR16" s="14" t="str">
        <f>IF(SUM(FW16:FX16,FZ16:GB16,GD16)-FY16-GC16&gt;0,SUM(FW16:FX16,FZ16:GB16,GD16)-FY16-GC16,"")</f>
        <v/>
      </c>
      <c r="GS16" s="14" t="str">
        <f>IF(SUM(GE16:GF16,GH16)-GG16&gt;0,SUM(GE16:GF16,GH16)-GG16,"")</f>
        <v/>
      </c>
      <c r="GT16" s="14" t="str">
        <f>IF(SUM(GJ16,GN16)&gt;0,SUM(GJ16,GN16),"")</f>
        <v/>
      </c>
      <c r="GU16" s="14" t="str">
        <f>IF(SUM(GI16:GJ16,GL16:GN16,GP16)-SUM(GK16,GO16)&gt;0,SUM(GI16:GJ16,GL16:GN16,GP16)-SUM(GK16,GO16),"")</f>
        <v/>
      </c>
      <c r="GV16" s="14" t="str">
        <f>IF(SUM(GR16,GS16,GU16)&gt;0,SUM(GR16,GS16,GU16),"")</f>
        <v/>
      </c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55" t="str">
        <f>IF(SUM(GX16,HB16)&gt;0,SUM(GX16,HB16),"")</f>
        <v/>
      </c>
      <c r="HR16" s="55" t="str">
        <f>IF(SUM(GW16:GX16,GZ16:HB16,HD16)-GY16-HC16&gt;0,SUM(GW16:GX16,GZ16:HB16,HD16)-GY16-HC16,"")</f>
        <v/>
      </c>
      <c r="HS16" s="55" t="str">
        <f>IF(SUM(HE16:HF16,HH16)-HG16&gt;0,SUM(HE16:HF16,HH16)-HG16,"")</f>
        <v/>
      </c>
      <c r="HT16" s="55" t="str">
        <f>IF(SUM(HJ16,HN16)&gt;0,SUM(HJ16,HN16),"")</f>
        <v/>
      </c>
      <c r="HU16" s="55" t="str">
        <f>IF(SUM(HI16:HJ16,HL16:HN16,HP16)-SUM(HK16,HO16)&gt;0,SUM(HI16:HJ16,HL16:HN16,HP16)-SUM(HK16,HO16),"")</f>
        <v/>
      </c>
      <c r="HV16" s="55" t="str">
        <f>IF(SUM(HR16,HS16,HU16)&gt;0,SUM(HR16,HS16,HU16),"")</f>
        <v/>
      </c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4" t="str">
        <f>IF(SUM(HX16,IB16)&gt;0,SUM(HX16,IB16),"")</f>
        <v/>
      </c>
      <c r="IR16" s="14" t="str">
        <f>IF(SUM(HW16:HX16,HZ16:IB16,ID16)-HY16-IC16&gt;0,SUM(HW16:HX16,HZ16:IB16,ID16)-HY16-IC16,"")</f>
        <v/>
      </c>
      <c r="IS16" s="14" t="str">
        <f>IF(SUM(IE16:IF16,IH16)-IG16&gt;0,SUM(IE16:IF16,IH16)-IG16,"")</f>
        <v/>
      </c>
      <c r="IT16" s="14" t="str">
        <f>IF(SUM(IJ16,IN16)&gt;0,SUM(IJ16,IN16),"")</f>
        <v/>
      </c>
      <c r="IU16" s="14" t="str">
        <f>IF(SUM(II16:IJ16,IL16:IN16,IP16)-SUM(IK16,IO16)&gt;0,SUM(II16:IJ16,IL16:IN16,IP16)-SUM(IK16,IO16),"")</f>
        <v/>
      </c>
      <c r="IV16" s="14" t="str">
        <f>IF(SUM(IR16,IS16,IU16)&gt;0,SUM(IR16,IS16,IU16),"")</f>
        <v/>
      </c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8"/>
      <c r="JQ16" s="55" t="str">
        <f>IF(SUM(IX16,JB16)&gt;0,SUM(IX16,JB16),"")</f>
        <v/>
      </c>
      <c r="JR16" s="55" t="str">
        <f>IF(SUM(IW16:IX16,IZ16:JB16,JD16)-IY16-JC16&gt;0,SUM(IW16:IX16,IZ16:JB16,JD16)-IY16-JC16,"")</f>
        <v/>
      </c>
      <c r="JS16" s="55" t="str">
        <f>IF(SUM(JE16:JF16,JH16)-JG16&gt;0,SUM(JE16:JF16,JH16)-JG16,"")</f>
        <v/>
      </c>
      <c r="JT16" s="55" t="str">
        <f>IF(SUM(JJ16,JN16)&gt;0,SUM(JJ16,JN16),"")</f>
        <v/>
      </c>
      <c r="JU16" s="55" t="str">
        <f>IF(SUM(JI16:JJ16,JL16:JN16,JP16)-SUM(JK16,JO16)&gt;0,SUM(JI16:JJ16,JL16:JN16,JP16)-SUM(JK16,JO16),"")</f>
        <v/>
      </c>
      <c r="JV16" s="55" t="str">
        <f>IF(SUM(JR16,JS16,JU16)&gt;0,SUM(JR16,JS16,JU16),"")</f>
        <v/>
      </c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4" t="str">
        <f>IF(SUM(JX16,KB16)&gt;0,SUM(JX16,KB16),"")</f>
        <v/>
      </c>
      <c r="KR16" s="14" t="str">
        <f>IF(SUM(JW16:JX16,JZ16:KB16,KD16)-JY16-KC16&gt;0,SUM(JW16:JX16,JZ16:KB16,KD16)-JY16-KC16,"")</f>
        <v/>
      </c>
      <c r="KS16" s="14" t="str">
        <f>IF(SUM(KE16:KF16,KH16)-KG16&gt;0,SUM(KE16:KF16,KH16)-KG16,"")</f>
        <v/>
      </c>
      <c r="KT16" s="14" t="str">
        <f>IF(SUM(KJ16,KN16)&gt;0,SUM(KJ16,KN16),"")</f>
        <v/>
      </c>
      <c r="KU16" s="14" t="str">
        <f>IF(SUM(KI16:KJ16,KL16:KN16,KP16)-SUM(KK16,KO16)&gt;0,SUM(KI16:KJ16,KL16:KN16,KP16)-SUM(KK16,KO16),"")</f>
        <v/>
      </c>
      <c r="KV16" s="14" t="str">
        <f>IF(SUM(KR16,KS16,KU16)&gt;0,SUM(KR16,KS16,KU16),"")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55" t="str">
        <f>IF(SUM(KX16,LB16)&gt;0,SUM(KX16,LB16),"")</f>
        <v/>
      </c>
      <c r="LR16" s="55" t="str">
        <f>IF(SUM(KW16:KX16,KZ16:LB16,LD16)-KY16-LC16&gt;0,SUM(KW16:KX16,KZ16:LB16,LD16)-KY16-LC16,"")</f>
        <v/>
      </c>
      <c r="LS16" s="55" t="str">
        <f>IF(SUM(LE16:LF16,LH16)-LG16&gt;0,SUM(LE16:LF16,LH16)-LG16,"")</f>
        <v/>
      </c>
      <c r="LT16" s="55" t="str">
        <f>IF(SUM(LJ16,LN16)&gt;0,SUM(LJ16,LN16),"")</f>
        <v/>
      </c>
      <c r="LU16" s="55" t="str">
        <f>IF(SUM(LI16:LJ16,LL16:LN16,LP16)-SUM(LK16,LO16)&gt;0,SUM(LI16:LJ16,LL16:LN16,LP16)-SUM(LK16,LO16),"")</f>
        <v/>
      </c>
      <c r="LV16" s="55" t="str">
        <f>IF(SUM(LR16,LS16,LU16)&gt;0,SUM(LR16,LS16,LU16),"")</f>
        <v/>
      </c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4" t="str">
        <f>IF(SUM(LX16,MB16)&gt;0,SUM(LX16,MB16),"")</f>
        <v/>
      </c>
      <c r="MR16" s="14" t="str">
        <f>IF(SUM(LW16:LX16,LZ16:MB16,MD16)-LY16-MC16&gt;0,SUM(LW16:LX16,LZ16:MB16,MD16)-LY16-MC16,"")</f>
        <v/>
      </c>
      <c r="MS16" s="14" t="str">
        <f>IF(SUM(ME16:MF16,MH16)-MG16&gt;0,SUM(ME16:MF16,MH16)-MG16,"")</f>
        <v/>
      </c>
      <c r="MT16" s="14" t="str">
        <f>IF(SUM(MJ16,MN16)&gt;0,SUM(MJ16,MN16),"")</f>
        <v/>
      </c>
      <c r="MU16" s="14" t="str">
        <f>IF(SUM(MI16:MJ16,ML16:MN16,MP16)-SUM(MK16,MO16)&gt;0,SUM(MI16:MJ16,ML16:MN16,MP16)-SUM(MK16,MO16),"")</f>
        <v/>
      </c>
      <c r="MV16" s="14" t="str">
        <f>IF(SUM(MR16,MS16,MU16)&gt;0,SUM(MR16,MS16,MU16),"")</f>
        <v/>
      </c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55" t="str">
        <f>IF(SUM(MX16,NB16)&gt;0,SUM(MX16,NB16),"")</f>
        <v/>
      </c>
      <c r="NR16" s="55" t="str">
        <f>IF(SUM(MW16:MX16,MZ16:NB16,ND16)-MY16-NC16&gt;0,SUM(MW16:MX16,MZ16:NB16,ND16)-MY16-NC16,"")</f>
        <v/>
      </c>
      <c r="NS16" s="55" t="str">
        <f>IF(SUM(NE16:NF16,NH16)-NG16&gt;0,SUM(NE16:NF16,NH16)-NG16,"")</f>
        <v/>
      </c>
      <c r="NT16" s="55" t="str">
        <f>IF(SUM(NJ16,NN16)&gt;0,SUM(NJ16,NN16),"")</f>
        <v/>
      </c>
      <c r="NU16" s="55" t="str">
        <f>IF(SUM(NI16:NJ16,NL16:NN16,NP16)-SUM(NK16,NO16)&gt;0,SUM(NI16:NJ16,NL16:NN16,NP16)-SUM(NK16,NO16),"")</f>
        <v/>
      </c>
      <c r="NV16" s="55" t="str">
        <f>IF(SUM(NR16,NS16,NU16)&gt;0,SUM(NR16,NS16,NU16),"")</f>
        <v/>
      </c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4" t="str">
        <f>IF(SUM(NX16,OB16)&gt;0,SUM(NX16,OB16),"")</f>
        <v/>
      </c>
      <c r="OR16" s="14" t="str">
        <f>IF(SUM(NW16:NX16,NZ16:OB16,OD16)-NY16-OC16&gt;0,SUM(NW16:NX16,NZ16:OB16,OD16)-NY16-OC16,"")</f>
        <v/>
      </c>
      <c r="OS16" s="14" t="str">
        <f>IF(SUM(OE16:OF16,OH16)-OG16&gt;0,SUM(OE16:OF16,OH16)-OG16,"")</f>
        <v/>
      </c>
      <c r="OT16" s="14" t="str">
        <f>IF(SUM(OJ16,ON16)&gt;0,SUM(OJ16,ON16),"")</f>
        <v/>
      </c>
      <c r="OU16" s="14" t="str">
        <f>IF(SUM(OI16:OJ16,OL16:ON16,OP16)-SUM(OK16,OO16)&gt;0,SUM(OI16:OJ16,OL16:ON16,OP16)-SUM(OK16,OO16),"")</f>
        <v/>
      </c>
      <c r="OV16" s="14" t="str">
        <f>IF(SUM(OR16,OS16,OU16)&gt;0,SUM(OR16,OS16,OU16),"")</f>
        <v/>
      </c>
      <c r="OW16" s="27">
        <f>IF($CN16="P",BT16,(BT16+AS16)/2)</f>
        <v>9.4</v>
      </c>
      <c r="OX16" s="27">
        <f>IF($CN16="P",BU16,(BU16+AT16)/2)</f>
        <v>1.75</v>
      </c>
      <c r="OY16" s="27">
        <f>IF($CN16="P",BV16,(BV16+AU16)/2)</f>
        <v>0</v>
      </c>
      <c r="OZ16" s="27">
        <f>IF($CN16="P",BW16,(BW16+AV16)/2)</f>
        <v>0</v>
      </c>
      <c r="PA16" s="27">
        <f>IF($CN16="P",BX16,(BX16+AW16)/2)</f>
        <v>7.6</v>
      </c>
      <c r="PB16" s="27">
        <f>IF($CN16="P",BY16,(BY16+AX16)/2)</f>
        <v>1.2</v>
      </c>
      <c r="PC16" s="27">
        <f>IF($CN16="P",BZ16,(BZ16+AY16)/2)</f>
        <v>0</v>
      </c>
      <c r="PD16" s="27">
        <f>IF($CN16="P",CA16,(CA16+AZ16)/2)</f>
        <v>0</v>
      </c>
      <c r="PE16" s="27">
        <f>IF($CN16="P",CB16,(CB16+BA16)/2)</f>
        <v>0</v>
      </c>
      <c r="PF16" s="27">
        <f>IF($CN16="P",CC16,(CC16+BB16)/2)</f>
        <v>0</v>
      </c>
      <c r="PG16" s="27">
        <f>IF($CN16="P",CD16,(CD16+BC16)/2)</f>
        <v>0</v>
      </c>
      <c r="PH16" s="27">
        <f>IF($CN16="P",CE16,(CE16+BD16)/2)</f>
        <v>0</v>
      </c>
      <c r="PI16" s="27">
        <f>IF($CN16="P",CF16,(CF16+BE16)/2)</f>
        <v>0</v>
      </c>
      <c r="PJ16" s="27">
        <f>IF($CN16="P",CG16,(CG16+BF16)/2)</f>
        <v>0</v>
      </c>
      <c r="PK16" s="27">
        <f>IF($CN16="P",CH16,(CH16+BG16)/2)</f>
        <v>0</v>
      </c>
      <c r="PL16" s="27">
        <f>IF($CN16="P",CI16,(CI16+BH16)/2)</f>
        <v>0</v>
      </c>
      <c r="PM16" s="27">
        <f>IF($CN16="P",CJ16,(CJ16+BI16)/2)</f>
        <v>0</v>
      </c>
      <c r="PN16" s="27">
        <f>IF($CN16="P",CK16,(CK16+BJ16)/2)</f>
        <v>0</v>
      </c>
      <c r="PO16" s="27">
        <f>IF($CN16="P",CL16,(CL16+BK16)/2)</f>
        <v>0</v>
      </c>
      <c r="PP16" s="27">
        <f>IF($CN16="P",CM16,(CM16+BL16)/2)</f>
        <v>0</v>
      </c>
      <c r="PQ16" s="32" t="s">
        <v>44</v>
      </c>
      <c r="PR16" s="55">
        <f>IF(SUM(OX16,PB16)&gt;0,SUM(OX16,PB16),"")</f>
        <v>2.95</v>
      </c>
      <c r="PS16" s="55">
        <f>IF(SUM(OW16:OX16,OZ16:PB16,PD16)-OY16-PC16&gt;0,SUM(OW16:OX16,OZ16:PB16,PD16)-OY16-PC16,"")</f>
        <v>19.95</v>
      </c>
      <c r="PT16" s="55" t="str">
        <f>IF(SUM(PE16:PF16,PH16)-PG16&gt;0,SUM(PE16:PF16,PH16)-PG16,"")</f>
        <v/>
      </c>
      <c r="PU16" s="55" t="str">
        <f>IF(SUM(PJ16,PN16)&gt;0,SUM(PJ16,PN16),"")</f>
        <v/>
      </c>
      <c r="PV16" s="55" t="str">
        <f>IF(SUM(PI16:PJ16,PL16:PN16,PP16)-SUM(PK16,PO16)&gt;0,SUM(PI16:PJ16,PL16:PN16,PP16)-SUM(PK16,PO16),"")</f>
        <v/>
      </c>
      <c r="PW16" s="55">
        <f>IF(SUM(PS16,PT16,PV16)&gt;0,SUM(PS16,PT16,PV16),"")</f>
        <v>19.95</v>
      </c>
    </row>
    <row r="17" spans="1:412" ht="17" x14ac:dyDescent="0.2">
      <c r="O17" s="11"/>
      <c r="P17" s="11"/>
      <c r="Q17" s="11"/>
    </row>
    <row r="18" spans="1:412" ht="17" x14ac:dyDescent="0.2">
      <c r="O18" s="11"/>
      <c r="P18" s="11"/>
      <c r="Q18" s="11"/>
    </row>
    <row r="19" spans="1:412" ht="17" x14ac:dyDescent="0.2">
      <c r="B19" s="28" t="s">
        <v>42</v>
      </c>
      <c r="O19" s="11"/>
      <c r="P19" s="11"/>
      <c r="Q19" s="11"/>
      <c r="AM19" s="4"/>
      <c r="AR19" s="57">
        <v>9.6</v>
      </c>
      <c r="BN19" s="4"/>
      <c r="BS19" s="57">
        <v>9.6</v>
      </c>
      <c r="CO19" s="4"/>
      <c r="CT19" s="57">
        <v>9.6</v>
      </c>
      <c r="DQ19" s="4"/>
      <c r="DV19" s="57">
        <v>9.6</v>
      </c>
      <c r="EQ19" s="4"/>
      <c r="EV19" s="57">
        <v>9.6</v>
      </c>
      <c r="FQ19" s="4"/>
      <c r="FV19" s="57">
        <v>9.6</v>
      </c>
      <c r="GQ19" s="4"/>
      <c r="GV19" s="57">
        <v>9.6</v>
      </c>
      <c r="HQ19" s="4"/>
      <c r="HV19" s="57">
        <v>9.6</v>
      </c>
      <c r="IQ19" s="4"/>
      <c r="IV19" s="57">
        <v>9.6</v>
      </c>
      <c r="JQ19" s="4"/>
      <c r="JV19" s="57">
        <v>9.6</v>
      </c>
      <c r="KQ19" s="4"/>
      <c r="KV19" s="57">
        <v>9.6</v>
      </c>
      <c r="LQ19" s="4"/>
      <c r="LV19" s="57">
        <v>9.6</v>
      </c>
      <c r="MQ19" s="4"/>
      <c r="MV19" s="57">
        <v>9.6</v>
      </c>
      <c r="NQ19" s="4"/>
      <c r="NV19" s="57">
        <v>9.6</v>
      </c>
      <c r="OQ19" s="4"/>
      <c r="OV19" s="57">
        <v>9.6</v>
      </c>
    </row>
    <row r="20" spans="1:412" ht="17" hidden="1" x14ac:dyDescent="0.2">
      <c r="B20" s="35" t="s">
        <v>41</v>
      </c>
      <c r="O20" s="11"/>
      <c r="P20" s="11"/>
      <c r="Q20" s="11"/>
      <c r="AM20" s="4"/>
      <c r="AR20" s="58">
        <v>1000</v>
      </c>
      <c r="BN20" s="4"/>
      <c r="BS20" s="58">
        <v>1000</v>
      </c>
      <c r="CO20" s="4"/>
      <c r="CT20" s="58">
        <v>1000</v>
      </c>
      <c r="DQ20" s="4"/>
      <c r="DV20" s="58">
        <v>1000</v>
      </c>
      <c r="EQ20" s="4"/>
      <c r="EV20" s="58">
        <v>1000</v>
      </c>
      <c r="FQ20" s="4"/>
      <c r="FV20" s="58">
        <v>1000</v>
      </c>
      <c r="GQ20" s="4"/>
      <c r="GV20" s="58">
        <v>1000</v>
      </c>
      <c r="HQ20" s="4"/>
      <c r="HV20" s="58">
        <v>1000</v>
      </c>
      <c r="IQ20" s="4"/>
      <c r="IV20" s="58">
        <v>1000</v>
      </c>
      <c r="JQ20" s="4"/>
      <c r="JV20" s="58">
        <v>1000</v>
      </c>
      <c r="KQ20" s="4"/>
      <c r="KV20" s="58">
        <v>1000</v>
      </c>
      <c r="LQ20" s="4"/>
      <c r="LV20" s="58">
        <v>1000</v>
      </c>
      <c r="MQ20" s="4"/>
      <c r="MV20" s="58">
        <v>1000</v>
      </c>
      <c r="NQ20" s="4"/>
      <c r="NV20" s="58">
        <v>1000</v>
      </c>
      <c r="OQ20" s="4"/>
      <c r="OV20" s="58">
        <v>1000</v>
      </c>
    </row>
    <row r="21" spans="1:412" ht="17" hidden="1" x14ac:dyDescent="0.2">
      <c r="A21" s="5"/>
      <c r="B21" s="36" t="s">
        <v>54</v>
      </c>
      <c r="C21" s="22"/>
      <c r="O21" s="11"/>
      <c r="P21" s="11"/>
      <c r="Q21" s="11"/>
      <c r="AM21" s="4"/>
      <c r="AR21" s="59">
        <v>1000</v>
      </c>
      <c r="BN21" s="4"/>
      <c r="BS21" s="59">
        <v>1000</v>
      </c>
      <c r="CO21" s="4"/>
      <c r="CT21" s="59">
        <v>1000</v>
      </c>
      <c r="DQ21" s="4"/>
      <c r="DV21" s="59">
        <v>1000</v>
      </c>
      <c r="EQ21" s="4"/>
      <c r="EV21" s="59">
        <v>1000</v>
      </c>
      <c r="FQ21" s="4"/>
      <c r="FV21" s="59">
        <v>1000</v>
      </c>
      <c r="GQ21" s="4"/>
      <c r="GV21" s="59">
        <v>1000</v>
      </c>
      <c r="HQ21" s="4"/>
      <c r="HV21" s="59">
        <v>1000</v>
      </c>
      <c r="IQ21" s="4"/>
      <c r="IV21" s="59">
        <v>1000</v>
      </c>
      <c r="JQ21" s="4"/>
      <c r="JV21" s="59">
        <v>1000</v>
      </c>
      <c r="KQ21" s="4"/>
      <c r="KV21" s="59">
        <v>1000</v>
      </c>
      <c r="LQ21" s="4"/>
      <c r="LV21" s="59">
        <v>1000</v>
      </c>
      <c r="MQ21" s="4"/>
      <c r="MV21" s="59">
        <v>1000</v>
      </c>
      <c r="NQ21" s="4"/>
      <c r="NV21" s="59">
        <v>1000</v>
      </c>
      <c r="OQ21" s="4"/>
      <c r="OV21" s="59">
        <v>1000</v>
      </c>
    </row>
    <row r="22" spans="1:412" ht="17" hidden="1" x14ac:dyDescent="0.2">
      <c r="A22" s="5"/>
      <c r="B22" s="44" t="s">
        <v>59</v>
      </c>
      <c r="C22" s="22"/>
      <c r="O22" s="11"/>
      <c r="P22" s="11"/>
      <c r="Q22" s="11"/>
      <c r="AM22" s="4"/>
      <c r="AR22" s="65">
        <v>1000</v>
      </c>
      <c r="BN22" s="4"/>
      <c r="BS22" s="65">
        <v>1000</v>
      </c>
      <c r="CO22" s="4"/>
      <c r="CT22" s="65">
        <v>1000</v>
      </c>
      <c r="DQ22" s="4"/>
      <c r="DV22" s="65">
        <v>1000</v>
      </c>
      <c r="EQ22" s="4"/>
      <c r="EV22" s="65">
        <v>1000</v>
      </c>
      <c r="FQ22" s="4"/>
      <c r="FV22" s="65">
        <v>1000</v>
      </c>
      <c r="GQ22" s="4"/>
      <c r="GV22" s="65">
        <v>1000</v>
      </c>
      <c r="HQ22" s="4"/>
      <c r="HV22" s="65">
        <v>1000</v>
      </c>
      <c r="IQ22" s="4"/>
      <c r="IV22" s="65">
        <v>1000</v>
      </c>
      <c r="JQ22" s="4"/>
      <c r="JV22" s="65">
        <v>1000</v>
      </c>
      <c r="KQ22" s="4"/>
      <c r="KV22" s="65">
        <v>1000</v>
      </c>
      <c r="LQ22" s="4"/>
      <c r="LV22" s="65">
        <v>1000</v>
      </c>
      <c r="MQ22" s="4"/>
      <c r="MV22" s="65">
        <v>1000</v>
      </c>
      <c r="NQ22" s="4"/>
      <c r="NV22" s="65">
        <v>1000</v>
      </c>
      <c r="OQ22" s="4"/>
      <c r="OV22" s="65">
        <v>1000</v>
      </c>
    </row>
    <row r="23" spans="1:412" ht="17" x14ac:dyDescent="0.2">
      <c r="A23" s="5"/>
      <c r="B23" s="42" t="s">
        <v>39</v>
      </c>
      <c r="C23" s="22"/>
      <c r="O23" s="11"/>
      <c r="P23" s="11"/>
      <c r="Q23" s="11"/>
      <c r="AM23" s="4"/>
      <c r="AR23" s="66">
        <v>46</v>
      </c>
      <c r="BN23" s="4"/>
      <c r="BS23" s="66">
        <v>46</v>
      </c>
      <c r="CO23" s="4"/>
      <c r="CT23" s="66">
        <v>46</v>
      </c>
      <c r="DQ23" s="4"/>
      <c r="DV23" s="66">
        <v>46</v>
      </c>
      <c r="EQ23" s="4"/>
      <c r="EV23" s="66">
        <v>46</v>
      </c>
      <c r="FQ23" s="4"/>
      <c r="FV23" s="66">
        <v>46</v>
      </c>
      <c r="GQ23" s="4"/>
      <c r="GV23" s="66">
        <v>46</v>
      </c>
      <c r="HQ23" s="4"/>
      <c r="HV23" s="66">
        <v>46</v>
      </c>
      <c r="IQ23" s="4"/>
      <c r="IV23" s="66">
        <v>46</v>
      </c>
      <c r="JQ23" s="4"/>
      <c r="JV23" s="66">
        <v>46</v>
      </c>
      <c r="KQ23" s="4"/>
      <c r="KV23" s="66">
        <v>46</v>
      </c>
      <c r="LQ23" s="4"/>
      <c r="LV23" s="66">
        <v>46</v>
      </c>
      <c r="MQ23" s="4"/>
      <c r="MV23" s="66">
        <v>46</v>
      </c>
      <c r="NQ23" s="4"/>
      <c r="NV23" s="66">
        <v>46</v>
      </c>
      <c r="OQ23" s="4"/>
      <c r="OV23" s="66">
        <v>46</v>
      </c>
    </row>
    <row r="24" spans="1:412" ht="17" hidden="1" x14ac:dyDescent="0.2">
      <c r="A24" s="5"/>
      <c r="B24" s="29" t="s">
        <v>40</v>
      </c>
      <c r="C24" s="22"/>
      <c r="O24" s="11"/>
      <c r="P24" s="11"/>
      <c r="Q24" s="11"/>
      <c r="AM24" s="4"/>
      <c r="AR24" s="62">
        <v>1000</v>
      </c>
      <c r="BN24" s="4"/>
      <c r="BS24" s="62">
        <v>1000</v>
      </c>
      <c r="CO24" s="4"/>
      <c r="CT24" s="62">
        <v>1000</v>
      </c>
      <c r="DQ24" s="4"/>
      <c r="DV24" s="62">
        <v>1000</v>
      </c>
      <c r="EQ24" s="4"/>
      <c r="EV24" s="62">
        <v>1000</v>
      </c>
      <c r="FQ24" s="4"/>
      <c r="FV24" s="62">
        <v>1000</v>
      </c>
      <c r="GQ24" s="4"/>
      <c r="GV24" s="62">
        <v>1000</v>
      </c>
      <c r="HQ24" s="4"/>
      <c r="HV24" s="62">
        <v>1000</v>
      </c>
      <c r="IQ24" s="4"/>
      <c r="IV24" s="62">
        <v>1000</v>
      </c>
      <c r="JQ24" s="4"/>
      <c r="JV24" s="62">
        <v>1000</v>
      </c>
      <c r="KQ24" s="4"/>
      <c r="KV24" s="62">
        <v>1000</v>
      </c>
      <c r="LQ24" s="4"/>
      <c r="LV24" s="62">
        <v>1000</v>
      </c>
      <c r="MQ24" s="4"/>
      <c r="MV24" s="62">
        <v>1000</v>
      </c>
      <c r="NQ24" s="4"/>
      <c r="NV24" s="62">
        <v>1000</v>
      </c>
      <c r="OQ24" s="4"/>
      <c r="OV24" s="62">
        <v>1000</v>
      </c>
    </row>
    <row r="25" spans="1:412" ht="17" hidden="1" x14ac:dyDescent="0.2">
      <c r="A25" s="5"/>
      <c r="B25" s="40" t="s">
        <v>53</v>
      </c>
      <c r="C25" s="22"/>
      <c r="O25" s="11"/>
      <c r="P25" s="11"/>
      <c r="Q25" s="11"/>
      <c r="AM25" s="4"/>
      <c r="AR25" s="63">
        <v>1000</v>
      </c>
      <c r="BN25" s="4"/>
      <c r="BS25" s="63">
        <v>1000</v>
      </c>
      <c r="CO25" s="4"/>
      <c r="CT25" s="63">
        <v>1000</v>
      </c>
      <c r="DQ25" s="4"/>
      <c r="DV25" s="63">
        <v>1000</v>
      </c>
      <c r="EQ25" s="4"/>
      <c r="EV25" s="63">
        <v>1000</v>
      </c>
      <c r="FQ25" s="4"/>
      <c r="FV25" s="63">
        <v>1000</v>
      </c>
      <c r="GQ25" s="4"/>
      <c r="GV25" s="63">
        <v>1000</v>
      </c>
      <c r="HQ25" s="4"/>
      <c r="HV25" s="63">
        <v>1000</v>
      </c>
      <c r="IQ25" s="4"/>
      <c r="IV25" s="63">
        <v>1000</v>
      </c>
      <c r="JQ25" s="4"/>
      <c r="JV25" s="63">
        <v>1000</v>
      </c>
      <c r="KQ25" s="4"/>
      <c r="KV25" s="63">
        <v>1000</v>
      </c>
      <c r="LQ25" s="4"/>
      <c r="LV25" s="63">
        <v>1000</v>
      </c>
      <c r="MQ25" s="4"/>
      <c r="MV25" s="63">
        <v>1000</v>
      </c>
      <c r="NQ25" s="4"/>
      <c r="NV25" s="63">
        <v>1000</v>
      </c>
      <c r="OQ25" s="4"/>
      <c r="OV25" s="63">
        <v>1000</v>
      </c>
    </row>
    <row r="26" spans="1:412" ht="17" hidden="1" x14ac:dyDescent="0.2">
      <c r="A26" s="5"/>
      <c r="B26" s="30" t="s">
        <v>26</v>
      </c>
      <c r="C26" s="22"/>
      <c r="O26" s="11"/>
      <c r="P26" s="11"/>
      <c r="Q26" s="11"/>
      <c r="AM26" s="4"/>
      <c r="AR26" s="64">
        <v>1000</v>
      </c>
      <c r="BN26" s="4"/>
      <c r="BS26" s="64">
        <v>1000</v>
      </c>
      <c r="CO26" s="4"/>
      <c r="CT26" s="64">
        <v>1000</v>
      </c>
      <c r="DQ26" s="4"/>
      <c r="DV26" s="64">
        <v>1000</v>
      </c>
      <c r="EQ26" s="4"/>
      <c r="EV26" s="64">
        <v>1000</v>
      </c>
      <c r="FQ26" s="4"/>
      <c r="FV26" s="64">
        <v>1000</v>
      </c>
      <c r="GQ26" s="4"/>
      <c r="GV26" s="64">
        <v>1000</v>
      </c>
      <c r="HQ26" s="4"/>
      <c r="HV26" s="64">
        <v>1000</v>
      </c>
      <c r="IQ26" s="4"/>
      <c r="IV26" s="64">
        <v>1000</v>
      </c>
      <c r="JQ26" s="4"/>
      <c r="JV26" s="64">
        <v>1000</v>
      </c>
      <c r="KQ26" s="4"/>
      <c r="KV26" s="64">
        <v>1000</v>
      </c>
      <c r="LQ26" s="4"/>
      <c r="LV26" s="64">
        <v>1000</v>
      </c>
      <c r="MQ26" s="4"/>
      <c r="MV26" s="64">
        <v>1000</v>
      </c>
      <c r="NQ26" s="4"/>
      <c r="NV26" s="64">
        <v>1000</v>
      </c>
      <c r="OQ26" s="4"/>
      <c r="OV26" s="64">
        <v>1000</v>
      </c>
    </row>
    <row r="27" spans="1:412" x14ac:dyDescent="0.2">
      <c r="B27" s="34" t="s">
        <v>45</v>
      </c>
      <c r="C27" s="2"/>
    </row>
    <row r="28" spans="1:412" x14ac:dyDescent="0.2">
      <c r="A28" s="5"/>
      <c r="B28" s="5"/>
      <c r="C28" s="22"/>
    </row>
    <row r="29" spans="1:412" x14ac:dyDescent="0.2">
      <c r="A29" s="5"/>
      <c r="B29" s="5"/>
      <c r="C29" s="22"/>
    </row>
    <row r="30" spans="1:412" x14ac:dyDescent="0.2">
      <c r="A30" s="5"/>
      <c r="B30" s="5"/>
      <c r="C30" s="22"/>
    </row>
    <row r="31" spans="1:412" x14ac:dyDescent="0.2">
      <c r="A31" s="5"/>
      <c r="B31" s="5"/>
      <c r="C3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6">
      <sortCondition descending="1" ref="F1:F1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6">
    <cfRule type="expression" dxfId="28" priority="2" stopIfTrue="1">
      <formula>IF($AL4&lt;&gt;"",1,0)</formula>
    </cfRule>
  </conditionalFormatting>
  <conditionalFormatting sqref="AS4:BS16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16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67950" operator="between">
      <formula>AR$22</formula>
      <formula>1000</formula>
    </cfRule>
    <cfRule type="cellIs" dxfId="14" priority="67951" operator="between">
      <formula>AR$21</formula>
      <formula>AR$22</formula>
    </cfRule>
    <cfRule type="cellIs" dxfId="13" priority="67952" operator="between">
      <formula>AR$20</formula>
      <formula>AR$21</formula>
    </cfRule>
    <cfRule type="cellIs" dxfId="12" priority="67953" operator="between">
      <formula>AR$19</formula>
      <formula>AR$20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68130" operator="between">
      <formula>AR$26</formula>
      <formula>1000</formula>
    </cfRule>
    <cfRule type="cellIs" dxfId="10" priority="68131" operator="between">
      <formula>AR$25</formula>
      <formula>AR$26</formula>
    </cfRule>
    <cfRule type="cellIs" dxfId="9" priority="68132" operator="between">
      <formula>AR$24</formula>
      <formula>AR$25</formula>
    </cfRule>
    <cfRule type="cellIs" dxfId="8" priority="68133" operator="between">
      <formula>AR$23</formula>
      <formula>AR$24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68310" operator="between">
      <formula>AR$19</formula>
      <formula>AR$20</formula>
    </cfRule>
    <cfRule type="cellIs" dxfId="6" priority="68311" operator="between">
      <formula>AR$20</formula>
      <formula>AR$21</formula>
    </cfRule>
    <cfRule type="cellIs" dxfId="5" priority="68312" operator="between">
      <formula>AR$21</formula>
      <formula>AR$22</formula>
    </cfRule>
    <cfRule type="cellIs" dxfId="4" priority="68313" operator="between">
      <formula>AR$22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68490" operator="between">
      <formula>AR$23</formula>
      <formula>AR$24</formula>
    </cfRule>
    <cfRule type="cellIs" dxfId="2" priority="68491" operator="between">
      <formula>AR$24</formula>
      <formula>AR$25</formula>
    </cfRule>
    <cfRule type="cellIs" dxfId="1" priority="68492" operator="between">
      <formula>AR$25</formula>
      <formula>AR$26</formula>
    </cfRule>
    <cfRule type="cellIs" dxfId="0" priority="68493" operator="between">
      <formula>AR$26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2025-09-19T01:50:43Z</dcterms:modified>
</cp:coreProperties>
</file>