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32A5422-1E36-804A-B9C0-9A992DFAF9A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W6" i="17" l="1"/>
  <c r="PW5" i="17"/>
  <c r="PW4" i="17"/>
  <c r="OV6" i="17"/>
  <c r="OV5" i="17"/>
  <c r="OV4" i="17"/>
  <c r="NV6" i="17"/>
  <c r="NV5" i="17"/>
  <c r="NV4" i="17"/>
  <c r="MV6" i="17"/>
  <c r="MV5" i="17"/>
  <c r="MV4" i="17"/>
  <c r="LV6" i="17"/>
  <c r="LV5" i="17"/>
  <c r="LV4" i="17"/>
  <c r="KV6" i="17"/>
  <c r="KV5" i="17"/>
  <c r="KV4" i="17"/>
  <c r="JV6" i="17"/>
  <c r="JV5" i="17"/>
  <c r="JV4" i="17"/>
  <c r="IV6" i="17"/>
  <c r="IV5" i="17"/>
  <c r="IV4" i="17"/>
  <c r="HV6" i="17"/>
  <c r="HV5" i="17"/>
  <c r="HV4" i="17"/>
  <c r="GV6" i="17"/>
  <c r="GV5" i="17"/>
  <c r="GV4" i="17"/>
  <c r="FV6" i="17"/>
  <c r="FV5" i="17"/>
  <c r="FV4" i="17"/>
  <c r="EV6" i="17"/>
  <c r="EV5" i="17"/>
  <c r="EV4" i="17"/>
  <c r="DV6" i="17"/>
  <c r="DV5" i="17"/>
  <c r="DV4" i="17"/>
  <c r="CT6" i="17"/>
  <c r="CT5" i="17"/>
  <c r="CT4" i="17"/>
  <c r="BS6" i="17"/>
  <c r="BS5" i="17"/>
  <c r="BS4" i="17"/>
  <c r="AR5" i="17"/>
  <c r="AR6" i="17"/>
  <c r="AR4" i="17"/>
  <c r="PW11" i="16"/>
  <c r="PW10" i="16"/>
  <c r="PW9" i="16"/>
  <c r="PW8" i="16"/>
  <c r="PW7" i="16"/>
  <c r="PW6" i="16"/>
  <c r="PW5" i="16"/>
  <c r="PW4" i="16"/>
  <c r="OV11" i="16"/>
  <c r="OV10" i="16"/>
  <c r="OV9" i="16"/>
  <c r="OV8" i="16"/>
  <c r="OV7" i="16"/>
  <c r="OV6" i="16"/>
  <c r="OV5" i="16"/>
  <c r="OV4" i="16"/>
  <c r="NV11" i="16"/>
  <c r="NV10" i="16"/>
  <c r="NV9" i="16"/>
  <c r="NV8" i="16"/>
  <c r="NV7" i="16"/>
  <c r="NV6" i="16"/>
  <c r="NV5" i="16"/>
  <c r="NV4" i="16"/>
  <c r="MV11" i="16"/>
  <c r="MV10" i="16"/>
  <c r="MV9" i="16"/>
  <c r="MV8" i="16"/>
  <c r="MV7" i="16"/>
  <c r="MV6" i="16"/>
  <c r="MV5" i="16"/>
  <c r="MV4" i="16"/>
  <c r="LV11" i="16"/>
  <c r="LV10" i="16"/>
  <c r="LV9" i="16"/>
  <c r="LV8" i="16"/>
  <c r="LV7" i="16"/>
  <c r="LV6" i="16"/>
  <c r="LV5" i="16"/>
  <c r="LV4" i="16"/>
  <c r="KV11" i="16"/>
  <c r="KV10" i="16"/>
  <c r="KV9" i="16"/>
  <c r="KV8" i="16"/>
  <c r="KV7" i="16"/>
  <c r="KV6" i="16"/>
  <c r="KV5" i="16"/>
  <c r="KV4" i="16"/>
  <c r="JV11" i="16"/>
  <c r="JV10" i="16"/>
  <c r="JV9" i="16"/>
  <c r="JV8" i="16"/>
  <c r="JV7" i="16"/>
  <c r="JV6" i="16"/>
  <c r="JV5" i="16"/>
  <c r="JV4" i="16"/>
  <c r="IV11" i="16"/>
  <c r="IV10" i="16"/>
  <c r="IV9" i="16"/>
  <c r="IV8" i="16"/>
  <c r="IV7" i="16"/>
  <c r="IV6" i="16"/>
  <c r="IV5" i="16"/>
  <c r="IV4" i="16"/>
  <c r="HV11" i="16"/>
  <c r="HV10" i="16"/>
  <c r="HV9" i="16"/>
  <c r="HV8" i="16"/>
  <c r="HV7" i="16"/>
  <c r="HV6" i="16"/>
  <c r="HV5" i="16"/>
  <c r="HV4" i="16"/>
  <c r="GV11" i="16"/>
  <c r="GV10" i="16"/>
  <c r="GV9" i="16"/>
  <c r="GV8" i="16"/>
  <c r="GV7" i="16"/>
  <c r="GV6" i="16"/>
  <c r="GV5" i="16"/>
  <c r="GV4" i="16"/>
  <c r="FV11" i="16"/>
  <c r="FV10" i="16"/>
  <c r="FV9" i="16"/>
  <c r="FV8" i="16"/>
  <c r="FV7" i="16"/>
  <c r="FV6" i="16"/>
  <c r="FV5" i="16"/>
  <c r="FV4" i="16"/>
  <c r="EV11" i="16"/>
  <c r="EV10" i="16"/>
  <c r="EV9" i="16"/>
  <c r="EV8" i="16"/>
  <c r="EV7" i="16"/>
  <c r="EV6" i="16"/>
  <c r="EV5" i="16"/>
  <c r="EV4" i="16"/>
  <c r="DV11" i="16"/>
  <c r="DV10" i="16"/>
  <c r="DV9" i="16"/>
  <c r="DV8" i="16"/>
  <c r="DV7" i="16"/>
  <c r="DV6" i="16"/>
  <c r="DV5" i="16"/>
  <c r="DV4" i="16"/>
  <c r="CT11" i="16"/>
  <c r="CT10" i="16"/>
  <c r="CT9" i="16"/>
  <c r="CT8" i="16"/>
  <c r="CT7" i="16"/>
  <c r="CT6" i="16"/>
  <c r="CT5" i="16"/>
  <c r="CT4" i="16"/>
  <c r="BS11" i="16"/>
  <c r="BS10" i="16"/>
  <c r="BS9" i="16"/>
  <c r="BS8" i="16"/>
  <c r="BS7" i="16"/>
  <c r="BS6" i="16"/>
  <c r="BS5" i="16"/>
  <c r="BS4" i="16"/>
  <c r="AR5" i="16"/>
  <c r="AR6" i="16"/>
  <c r="AR7" i="16"/>
  <c r="AR8" i="16"/>
  <c r="AR9" i="16"/>
  <c r="AR10" i="16"/>
  <c r="AR11" i="16"/>
  <c r="AR4" i="16"/>
  <c r="PW5" i="15"/>
  <c r="PW4" i="15"/>
  <c r="OV5" i="15"/>
  <c r="OV4" i="15"/>
  <c r="NV5" i="15"/>
  <c r="NV4" i="15"/>
  <c r="MV5" i="15"/>
  <c r="MV4" i="15"/>
  <c r="LV5" i="15"/>
  <c r="LV4" i="15"/>
  <c r="KV5" i="15"/>
  <c r="KV4" i="15"/>
  <c r="JV5" i="15"/>
  <c r="JV4" i="15"/>
  <c r="IV5" i="15"/>
  <c r="IV4" i="15"/>
  <c r="HV5" i="15"/>
  <c r="HV4" i="15"/>
  <c r="GV5" i="15"/>
  <c r="GV4" i="15"/>
  <c r="FV5" i="15"/>
  <c r="FV4" i="15"/>
  <c r="EV5" i="15"/>
  <c r="EV4" i="15"/>
  <c r="DV5" i="15"/>
  <c r="DV4" i="15"/>
  <c r="CT5" i="15"/>
  <c r="CT4" i="15"/>
  <c r="BS5" i="15"/>
  <c r="BS4" i="15"/>
  <c r="AR5" i="15"/>
  <c r="AR4" i="15"/>
  <c r="AW4" i="13"/>
  <c r="PW6" i="14"/>
  <c r="PW5" i="14"/>
  <c r="PW4" i="14"/>
  <c r="OV6" i="14"/>
  <c r="OV5" i="14"/>
  <c r="OV4" i="14"/>
  <c r="NV6" i="14"/>
  <c r="NV5" i="14"/>
  <c r="NV4" i="14"/>
  <c r="MV6" i="14"/>
  <c r="MV5" i="14"/>
  <c r="MV4" i="14"/>
  <c r="LV6" i="14"/>
  <c r="LV5" i="14"/>
  <c r="LV4" i="14"/>
  <c r="KV6" i="14"/>
  <c r="KV5" i="14"/>
  <c r="KV4" i="14"/>
  <c r="JV6" i="14"/>
  <c r="JV5" i="14"/>
  <c r="JV4" i="14"/>
  <c r="IV6" i="14"/>
  <c r="IV5" i="14"/>
  <c r="IV4" i="14"/>
  <c r="HV6" i="14"/>
  <c r="HV5" i="14"/>
  <c r="HV4" i="14"/>
  <c r="GV6" i="14"/>
  <c r="GV5" i="14"/>
  <c r="GV4" i="14"/>
  <c r="FV6" i="14"/>
  <c r="FV5" i="14"/>
  <c r="FV4" i="14"/>
  <c r="EV6" i="14"/>
  <c r="EV5" i="14"/>
  <c r="EV4" i="14"/>
  <c r="DV6" i="14"/>
  <c r="DV5" i="14"/>
  <c r="DV4" i="14"/>
  <c r="CT6" i="14"/>
  <c r="CT5" i="14"/>
  <c r="CT4" i="14"/>
  <c r="BS6" i="14"/>
  <c r="BS5" i="14"/>
  <c r="BS4" i="14"/>
  <c r="AR5" i="14"/>
  <c r="AR6" i="14"/>
  <c r="AR4" i="14"/>
  <c r="BS14" i="17" l="1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N11" i="16"/>
  <c r="BR10" i="16"/>
  <c r="BQ10" i="16"/>
  <c r="BP10" i="16"/>
  <c r="BO10" i="16"/>
  <c r="BN10" i="16"/>
  <c r="BR9" i="16"/>
  <c r="BQ9" i="16"/>
  <c r="BP9" i="16"/>
  <c r="BO9" i="16"/>
  <c r="BN9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9" i="16"/>
  <c r="AR15" i="16"/>
  <c r="AQ11" i="16"/>
  <c r="AP11" i="16"/>
  <c r="AO11" i="16"/>
  <c r="AN11" i="16"/>
  <c r="AM11" i="16"/>
  <c r="AQ10" i="16"/>
  <c r="AP10" i="16"/>
  <c r="AO10" i="16"/>
  <c r="AN10" i="16"/>
  <c r="AM10" i="16"/>
  <c r="AQ9" i="16"/>
  <c r="AP9" i="16"/>
  <c r="AO9" i="16"/>
  <c r="AN9" i="16"/>
  <c r="AM9" i="16"/>
  <c r="AQ7" i="16"/>
  <c r="AP7" i="16"/>
  <c r="AO7" i="16"/>
  <c r="AN7" i="16"/>
  <c r="AM7" i="16"/>
  <c r="AQ6" i="16"/>
  <c r="AP6" i="16"/>
  <c r="AO6" i="16"/>
  <c r="AN6" i="16"/>
  <c r="AM6" i="16"/>
  <c r="AQ5" i="16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M4" i="16"/>
  <c r="BR5" i="15"/>
  <c r="BQ5" i="15"/>
  <c r="BP5" i="15"/>
  <c r="BO5" i="15"/>
  <c r="BN5" i="15"/>
  <c r="BR4" i="15"/>
  <c r="BQ4" i="15"/>
  <c r="BP4" i="15"/>
  <c r="BO4" i="15"/>
  <c r="BN4" i="15"/>
  <c r="AQ5" i="15"/>
  <c r="AP5" i="15"/>
  <c r="AO5" i="15"/>
  <c r="AN5" i="15"/>
  <c r="AM5" i="15"/>
  <c r="AQ4" i="15"/>
  <c r="AP4" i="15"/>
  <c r="AO4" i="15"/>
  <c r="AN4" i="15"/>
  <c r="AM4" i="15"/>
  <c r="BS14" i="14"/>
  <c r="BS10" i="14"/>
  <c r="BR6" i="14"/>
  <c r="BQ6" i="14"/>
  <c r="BP6" i="14"/>
  <c r="BO6" i="14"/>
  <c r="BN6" i="14"/>
  <c r="BR4" i="14"/>
  <c r="BQ4" i="14"/>
  <c r="BP4" i="14"/>
  <c r="BO4" i="14"/>
  <c r="BN4" i="14"/>
  <c r="BR5" i="14"/>
  <c r="BQ5" i="14"/>
  <c r="BP5" i="14"/>
  <c r="BO5" i="14"/>
  <c r="BN5" i="14"/>
  <c r="AR14" i="14"/>
  <c r="AR10" i="14"/>
  <c r="AQ6" i="14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8" i="4"/>
  <c r="BY8" i="4"/>
  <c r="BW8" i="4"/>
  <c r="BV8" i="4"/>
  <c r="BU8" i="4"/>
  <c r="BT8" i="4"/>
  <c r="BS8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8" i="4"/>
  <c r="AU8" i="4"/>
  <c r="AS8" i="4"/>
  <c r="AR8" i="4"/>
  <c r="AQ8" i="4"/>
  <c r="AP8" i="4"/>
  <c r="AO8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R7" i="4" s="1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8" i="16"/>
  <c r="JT8" i="16"/>
  <c r="JS8" i="16"/>
  <c r="JR8" i="16"/>
  <c r="JQ8" i="16"/>
  <c r="JU4" i="16"/>
  <c r="JT4" i="16"/>
  <c r="JS4" i="16"/>
  <c r="JR4" i="16"/>
  <c r="JQ4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8" i="16"/>
  <c r="FT8" i="16"/>
  <c r="FS8" i="16"/>
  <c r="FR8" i="16"/>
  <c r="FQ8" i="16"/>
  <c r="FU4" i="16"/>
  <c r="FT4" i="16"/>
  <c r="FS4" i="16"/>
  <c r="FR4" i="16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Q4" i="15"/>
  <c r="MP10" i="13"/>
  <c r="MO10" i="13"/>
  <c r="MM10" i="13"/>
  <c r="ML10" i="13"/>
  <c r="MN10" i="13" s="1"/>
  <c r="MK10" i="13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8" i="13"/>
  <c r="HM8" i="13"/>
  <c r="HK8" i="13"/>
  <c r="HJ8" i="13"/>
  <c r="HI8" i="13"/>
  <c r="HN9" i="13"/>
  <c r="HM9" i="13"/>
  <c r="HK9" i="13"/>
  <c r="HJ9" i="13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8" i="13"/>
  <c r="EC8" i="13"/>
  <c r="EA8" i="13"/>
  <c r="DZ8" i="13"/>
  <c r="DY8" i="13"/>
  <c r="ED9" i="13"/>
  <c r="EC9" i="13"/>
  <c r="EA9" i="13"/>
  <c r="DZ9" i="13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IH11" i="13" l="1"/>
  <c r="AT8" i="13"/>
  <c r="AW8" i="13" s="1"/>
  <c r="CA5" i="13"/>
  <c r="BX11" i="13"/>
  <c r="CA11" i="13" s="1"/>
  <c r="AT10" i="13"/>
  <c r="AW10" i="13" s="1"/>
  <c r="BX4" i="4"/>
  <c r="CA4" i="4" s="1"/>
  <c r="BX7" i="4"/>
  <c r="CA7" i="4" s="1"/>
  <c r="KV11" i="13"/>
  <c r="KY11" i="13" s="1"/>
  <c r="EB11" i="13"/>
  <c r="EE11" i="13" s="1"/>
  <c r="AT4" i="13"/>
  <c r="GP11" i="13"/>
  <c r="GS11" i="13" s="1"/>
  <c r="IH6" i="13"/>
  <c r="JD7" i="13"/>
  <c r="JG7" i="13" s="1"/>
  <c r="AT7" i="13"/>
  <c r="AW7" i="13" s="1"/>
  <c r="BX7" i="13"/>
  <c r="CA7" i="13" s="1"/>
  <c r="AT9" i="13"/>
  <c r="AW9" i="13" s="1"/>
  <c r="BX4" i="13"/>
  <c r="CA4" i="13" s="1"/>
  <c r="BX8" i="13"/>
  <c r="CA8" i="13" s="1"/>
  <c r="JZ11" i="13"/>
  <c r="KC11" i="13" s="1"/>
  <c r="HL11" i="13"/>
  <c r="HO11" i="13" s="1"/>
  <c r="O11" i="13"/>
  <c r="P11" i="13" s="1"/>
  <c r="BX9" i="13"/>
  <c r="CA9" i="13" s="1"/>
  <c r="EX8" i="13"/>
  <c r="AT11" i="13"/>
  <c r="AW11" i="13" s="1"/>
  <c r="JD11" i="13"/>
  <c r="AT6" i="13"/>
  <c r="AW6" i="13" s="1"/>
  <c r="BX10" i="13"/>
  <c r="CA10" i="13" s="1"/>
  <c r="AT5" i="13"/>
  <c r="AW5" i="13" s="1"/>
  <c r="BX6" i="13"/>
  <c r="CA6" i="13" s="1"/>
  <c r="AT4" i="4"/>
  <c r="AW4" i="4" s="1"/>
  <c r="AT6" i="4"/>
  <c r="AW6" i="4" s="1"/>
  <c r="HL7" i="4"/>
  <c r="HO7" i="4" s="1"/>
  <c r="BX8" i="4"/>
  <c r="CA8" i="4" s="1"/>
  <c r="EX7" i="4"/>
  <c r="FA7" i="4" s="1"/>
  <c r="KV5" i="4"/>
  <c r="KY5" i="4" s="1"/>
  <c r="AT5" i="4"/>
  <c r="AW5" i="4" s="1"/>
  <c r="AT7" i="4"/>
  <c r="AW7" i="4" s="1"/>
  <c r="BX6" i="4"/>
  <c r="CA6" i="4" s="1"/>
  <c r="IH7" i="4"/>
  <c r="IK7" i="4" s="1"/>
  <c r="MN7" i="4"/>
  <c r="MQ7" i="4" s="1"/>
  <c r="JZ7" i="4"/>
  <c r="KC7" i="4" s="1"/>
  <c r="FT7" i="4"/>
  <c r="FW7" i="4" s="1"/>
  <c r="AT8" i="4"/>
  <c r="AW8" i="4" s="1"/>
  <c r="BX5" i="4"/>
  <c r="CA5" i="4" s="1"/>
  <c r="OM7" i="4"/>
  <c r="NJ11" i="13"/>
  <c r="NM11" i="13" s="1"/>
  <c r="MN11" i="13"/>
  <c r="MQ11" i="13" s="1"/>
  <c r="LR11" i="13"/>
  <c r="LU11" i="13" s="1"/>
  <c r="JG11" i="13"/>
  <c r="IK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MQ10" i="13"/>
  <c r="HL6" i="13"/>
  <c r="HO6" i="13" s="1"/>
  <c r="IH7" i="13"/>
  <c r="JD9" i="13"/>
  <c r="JG9" i="13" s="1"/>
  <c r="MN4" i="13"/>
  <c r="MQ4" i="13" s="1"/>
  <c r="DB7" i="4"/>
  <c r="DE7" i="4" s="1"/>
  <c r="OK7" i="4"/>
  <c r="NJ7" i="4"/>
  <c r="NM7" i="4" s="1"/>
  <c r="LU7" i="4"/>
  <c r="KV7" i="4"/>
  <c r="KY7" i="4" s="1"/>
  <c r="JD7" i="4"/>
  <c r="JG7" i="4" s="1"/>
  <c r="GP7" i="4"/>
  <c r="GS7" i="4" s="1"/>
  <c r="EB7" i="4"/>
  <c r="EE7" i="4" s="1"/>
  <c r="O7" i="4"/>
  <c r="P7" i="4" s="1"/>
  <c r="OP8" i="4"/>
  <c r="OI7" i="4"/>
  <c r="EB6" i="13"/>
  <c r="EE6" i="13" s="1"/>
  <c r="EX7" i="13"/>
  <c r="FA7" i="13" s="1"/>
  <c r="FT9" i="13"/>
  <c r="FW9" i="13" s="1"/>
  <c r="GP8" i="13"/>
  <c r="GS8" i="13" s="1"/>
  <c r="JD4" i="13"/>
  <c r="JG4" i="13" s="1"/>
  <c r="FT7" i="13"/>
  <c r="FW7" i="13" s="1"/>
  <c r="LR6" i="13"/>
  <c r="LU6" i="13" s="1"/>
  <c r="IH4" i="13"/>
  <c r="IK4" i="13" s="1"/>
  <c r="JZ6" i="13"/>
  <c r="KC6" i="13" s="1"/>
  <c r="KV7" i="13"/>
  <c r="KY7" i="13" s="1"/>
  <c r="JZ5" i="13"/>
  <c r="KC5" i="13" s="1"/>
  <c r="EX6" i="13"/>
  <c r="FA6" i="13" s="1"/>
  <c r="GP9" i="13"/>
  <c r="GS9" i="13" s="1"/>
  <c r="EB4" i="13"/>
  <c r="EE4" i="13" s="1"/>
  <c r="FT6" i="13"/>
  <c r="FW6" i="13" s="1"/>
  <c r="GP7" i="13"/>
  <c r="GS7" i="13" s="1"/>
  <c r="MN6" i="13"/>
  <c r="MQ6" i="13" s="1"/>
  <c r="JZ8" i="4"/>
  <c r="KC8" i="4" s="1"/>
  <c r="KV5" i="13"/>
  <c r="KY5" i="13" s="1"/>
  <c r="MN5" i="13"/>
  <c r="MQ5" i="13" s="1"/>
  <c r="GP4" i="13"/>
  <c r="GS4" i="13" s="1"/>
  <c r="HL9" i="13"/>
  <c r="HO9" i="13" s="1"/>
  <c r="FA8" i="13"/>
  <c r="IK6" i="13"/>
  <c r="MN7" i="13"/>
  <c r="MQ7" i="13" s="1"/>
  <c r="EB5" i="13"/>
  <c r="EE5" i="13" s="1"/>
  <c r="EB10" i="13"/>
  <c r="EE10" i="13" s="1"/>
  <c r="GP6" i="13"/>
  <c r="GS6" i="13" s="1"/>
  <c r="LR9" i="13"/>
  <c r="LU9" i="13" s="1"/>
  <c r="EB7" i="13"/>
  <c r="EE7" i="13" s="1"/>
  <c r="FT4" i="13"/>
  <c r="FW4" i="13" s="1"/>
  <c r="KV6" i="13"/>
  <c r="KY6" i="13" s="1"/>
  <c r="KV8" i="13"/>
  <c r="KY8" i="13" s="1"/>
  <c r="MN8" i="13"/>
  <c r="MQ8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 s="1"/>
  <c r="HL5" i="13"/>
  <c r="HO5" i="13" s="1"/>
  <c r="LR5" i="13"/>
  <c r="LU5" i="13" s="1"/>
  <c r="FT10" i="13"/>
  <c r="FW10" i="13" s="1"/>
  <c r="HL10" i="13"/>
  <c r="HO10" i="13" s="1"/>
  <c r="IH8" i="13"/>
  <c r="IK8" i="13" s="1"/>
  <c r="JD5" i="13"/>
  <c r="JG5" i="13" s="1"/>
  <c r="EB8" i="13"/>
  <c r="EE8" i="13" s="1"/>
  <c r="EX9" i="13"/>
  <c r="FA9" i="13" s="1"/>
  <c r="HL4" i="13"/>
  <c r="HO4" i="13" s="1"/>
  <c r="HL7" i="13"/>
  <c r="HO7" i="13" s="1"/>
  <c r="IK7" i="13"/>
  <c r="JD10" i="13"/>
  <c r="JG10" i="13" s="1"/>
  <c r="JZ8" i="13"/>
  <c r="KC8" i="13" s="1"/>
  <c r="LR4" i="13"/>
  <c r="LU4" i="13" s="1"/>
  <c r="LR10" i="13"/>
  <c r="LU10" i="13" s="1"/>
  <c r="FT5" i="13"/>
  <c r="FW5" i="13" s="1"/>
  <c r="KY9" i="13"/>
  <c r="EX4" i="13"/>
  <c r="FA4" i="13" s="1"/>
  <c r="EX10" i="13"/>
  <c r="FA10" i="13" s="1"/>
  <c r="FT8" i="13"/>
  <c r="FW8" i="13" s="1"/>
  <c r="GP5" i="13"/>
  <c r="GS5" i="13" s="1"/>
  <c r="HL8" i="13"/>
  <c r="HO8" i="13" s="1"/>
  <c r="IH5" i="13"/>
  <c r="IK5" i="13" s="1"/>
  <c r="IH9" i="13"/>
  <c r="IK9" i="13" s="1"/>
  <c r="KV4" i="13"/>
  <c r="KY4" i="13" s="1"/>
  <c r="EB9" i="13"/>
  <c r="EE9" i="13" s="1"/>
  <c r="GP10" i="13"/>
  <c r="GS10" i="13" s="1"/>
  <c r="JD8" i="13"/>
  <c r="JG8" i="13" s="1"/>
  <c r="JZ9" i="13"/>
  <c r="KC9" i="13" s="1"/>
  <c r="KV10" i="13"/>
  <c r="KY10" i="13" s="1"/>
  <c r="LR8" i="13"/>
  <c r="LU8" i="13" s="1"/>
  <c r="MN9" i="13"/>
  <c r="MQ9" i="13" s="1"/>
  <c r="JZ6" i="4"/>
  <c r="KC6" i="4" s="1"/>
  <c r="IH6" i="4"/>
  <c r="IK6" i="4" s="1"/>
  <c r="DB6" i="13"/>
  <c r="DE6" i="13" s="1"/>
  <c r="O6" i="13"/>
  <c r="P6" i="13" s="1"/>
  <c r="OP8" i="13"/>
  <c r="LR5" i="4"/>
  <c r="LU5" i="4" s="1"/>
  <c r="JD8" i="4"/>
  <c r="JG8" i="4" s="1"/>
  <c r="LR8" i="4"/>
  <c r="LU8" i="4" s="1"/>
  <c r="EX8" i="4"/>
  <c r="FA8" i="4" s="1"/>
  <c r="EB6" i="4"/>
  <c r="EE6" i="4" s="1"/>
  <c r="FT8" i="4"/>
  <c r="FW8" i="4" s="1"/>
  <c r="GP6" i="4"/>
  <c r="GS6" i="4" s="1"/>
  <c r="GP5" i="4"/>
  <c r="GS5" i="4" s="1"/>
  <c r="JD6" i="4"/>
  <c r="JG6" i="4" s="1"/>
  <c r="HL6" i="4"/>
  <c r="HO6" i="4" s="1"/>
  <c r="HL8" i="4"/>
  <c r="HO8" i="4" s="1"/>
  <c r="PS11" i="16"/>
  <c r="PU9" i="16"/>
  <c r="PR9" i="16"/>
  <c r="PU11" i="16"/>
  <c r="PR11" i="16"/>
  <c r="M11" i="16"/>
  <c r="N11" i="16" s="1"/>
  <c r="PV11" i="16"/>
  <c r="PT11" i="16"/>
  <c r="G11" i="16"/>
  <c r="F11" i="16"/>
  <c r="K11" i="16"/>
  <c r="I11" i="16"/>
  <c r="M9" i="16"/>
  <c r="CV9" i="16" s="1"/>
  <c r="PT9" i="16"/>
  <c r="PS9" i="16"/>
  <c r="PV9" i="16"/>
  <c r="G9" i="16"/>
  <c r="F9" i="16"/>
  <c r="K9" i="16"/>
  <c r="I9" i="16"/>
  <c r="PU5" i="16"/>
  <c r="PR5" i="16"/>
  <c r="M5" i="16"/>
  <c r="CV5" i="16" s="1"/>
  <c r="PS5" i="16"/>
  <c r="PV5" i="16"/>
  <c r="PT5" i="16"/>
  <c r="G5" i="16"/>
  <c r="F5" i="16"/>
  <c r="K5" i="16"/>
  <c r="I5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6" i="13"/>
  <c r="NM6" i="13" s="1"/>
  <c r="OM6" i="13"/>
  <c r="OK6" i="13"/>
  <c r="OI6" i="13"/>
  <c r="DB9" i="13"/>
  <c r="DE9" i="13" s="1"/>
  <c r="NJ10" i="13"/>
  <c r="NM10" i="13" s="1"/>
  <c r="OP9" i="13"/>
  <c r="OM10" i="13"/>
  <c r="OK10" i="13"/>
  <c r="OI10" i="13"/>
  <c r="O10" i="13"/>
  <c r="P10" i="13" s="1"/>
  <c r="DB8" i="13"/>
  <c r="DE8" i="13" s="1"/>
  <c r="OK9" i="13"/>
  <c r="NJ8" i="13"/>
  <c r="NM8" i="13" s="1"/>
  <c r="O9" i="13"/>
  <c r="DI9" i="13" s="1"/>
  <c r="NJ9" i="13"/>
  <c r="NM9" i="13" s="1"/>
  <c r="OM9" i="13"/>
  <c r="OI9" i="13"/>
  <c r="OM8" i="13"/>
  <c r="OK8" i="13"/>
  <c r="OI8" i="13"/>
  <c r="O8" i="13"/>
  <c r="P8" i="13" s="1"/>
  <c r="OP7" i="4"/>
  <c r="DB8" i="4"/>
  <c r="DE8" i="4" s="1"/>
  <c r="NJ8" i="4"/>
  <c r="NM8" i="4" s="1"/>
  <c r="MN8" i="4"/>
  <c r="MQ8" i="4" s="1"/>
  <c r="KV8" i="4"/>
  <c r="KY8" i="4" s="1"/>
  <c r="IH8" i="4"/>
  <c r="IK8" i="4" s="1"/>
  <c r="GP8" i="4"/>
  <c r="GS8" i="4" s="1"/>
  <c r="EB8" i="4"/>
  <c r="EE8" i="4" s="1"/>
  <c r="O8" i="4"/>
  <c r="P8" i="4" s="1"/>
  <c r="OK8" i="4"/>
  <c r="OI8" i="4"/>
  <c r="OM8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M4" i="14"/>
  <c r="N4" i="14" s="1"/>
  <c r="PS4" i="14"/>
  <c r="PV4" i="14"/>
  <c r="PT4" i="14"/>
  <c r="PU4" i="14"/>
  <c r="PR4" i="14"/>
  <c r="G4" i="14"/>
  <c r="F4" i="14"/>
  <c r="I4" i="14"/>
  <c r="K4" i="14"/>
  <c r="PR5" i="17"/>
  <c r="PU5" i="17"/>
  <c r="M5" i="17"/>
  <c r="N5" i="17" s="1"/>
  <c r="PS5" i="17"/>
  <c r="PV5" i="17"/>
  <c r="PT5" i="17"/>
  <c r="F5" i="17"/>
  <c r="G5" i="17"/>
  <c r="I5" i="17"/>
  <c r="K5" i="17"/>
  <c r="PU6" i="16"/>
  <c r="PR6" i="16"/>
  <c r="M6" i="16"/>
  <c r="N6" i="16" s="1"/>
  <c r="PT6" i="16"/>
  <c r="PS6" i="16"/>
  <c r="I6" i="16"/>
  <c r="J6" i="16" s="1"/>
  <c r="PV6" i="16"/>
  <c r="F6" i="16"/>
  <c r="G6" i="16"/>
  <c r="K6" i="16"/>
  <c r="PU10" i="16"/>
  <c r="PR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DI11" i="13" l="1"/>
  <c r="I5" i="4"/>
  <c r="J5" i="4" s="1"/>
  <c r="F7" i="4"/>
  <c r="ON7" i="4"/>
  <c r="DI7" i="4"/>
  <c r="G11" i="13"/>
  <c r="H11" i="13" s="1"/>
  <c r="A11" i="13" s="1" a="1"/>
  <c r="A11" i="13" s="1"/>
  <c r="I11" i="13"/>
  <c r="DH11" i="13" s="1"/>
  <c r="F11" i="13"/>
  <c r="ON11" i="13"/>
  <c r="G7" i="4"/>
  <c r="H7" i="4" s="1"/>
  <c r="A7" i="4" s="1" a="1"/>
  <c r="A7" i="4" s="1"/>
  <c r="I7" i="4"/>
  <c r="K7" i="4" s="1"/>
  <c r="CV4" i="15"/>
  <c r="I6" i="13"/>
  <c r="J6" i="13" s="1"/>
  <c r="I10" i="13"/>
  <c r="K10" i="13" s="1"/>
  <c r="DI6" i="13"/>
  <c r="ON8" i="4"/>
  <c r="OQ7" i="4" s="1"/>
  <c r="G6" i="13"/>
  <c r="H6" i="13" s="1"/>
  <c r="A6" i="13" s="1" a="1"/>
  <c r="A6" i="13" s="1"/>
  <c r="F6" i="13"/>
  <c r="G10" i="13"/>
  <c r="H10" i="13" s="1"/>
  <c r="A10" i="13" s="1" a="1"/>
  <c r="A10" i="13" s="1"/>
  <c r="ON10" i="13"/>
  <c r="I8" i="4"/>
  <c r="M8" i="4" s="1"/>
  <c r="DI8" i="4"/>
  <c r="DI6" i="4"/>
  <c r="CV11" i="16"/>
  <c r="N9" i="16"/>
  <c r="H11" i="16"/>
  <c r="L11" i="16"/>
  <c r="CU11" i="16"/>
  <c r="J11" i="16"/>
  <c r="H7" i="16"/>
  <c r="N5" i="16"/>
  <c r="H9" i="16"/>
  <c r="J9" i="16"/>
  <c r="L9" i="16"/>
  <c r="CU9" i="16"/>
  <c r="O9" i="16" s="1"/>
  <c r="H5" i="16"/>
  <c r="J5" i="16"/>
  <c r="L5" i="16"/>
  <c r="CU5" i="16"/>
  <c r="O5" i="16" s="1"/>
  <c r="N7" i="16"/>
  <c r="J7" i="16"/>
  <c r="L7" i="16"/>
  <c r="CU7" i="16"/>
  <c r="O7" i="16" s="1"/>
  <c r="H4" i="15"/>
  <c r="J4" i="15"/>
  <c r="L4" i="15"/>
  <c r="CU4" i="15"/>
  <c r="N6" i="14"/>
  <c r="O6" i="14"/>
  <c r="P6" i="14" s="1"/>
  <c r="L6" i="14"/>
  <c r="H6" i="14"/>
  <c r="J6" i="14"/>
  <c r="ON6" i="13"/>
  <c r="DI10" i="13"/>
  <c r="ON8" i="13"/>
  <c r="K6" i="13"/>
  <c r="M6" i="13"/>
  <c r="DH6" i="13"/>
  <c r="I9" i="13"/>
  <c r="DH9" i="13" s="1"/>
  <c r="F9" i="13"/>
  <c r="I8" i="13"/>
  <c r="M8" i="13" s="1"/>
  <c r="F10" i="13"/>
  <c r="G8" i="13"/>
  <c r="H8" i="13" s="1"/>
  <c r="A8" i="13" s="1" a="1"/>
  <c r="A8" i="13" s="1"/>
  <c r="G9" i="13"/>
  <c r="H9" i="13" s="1"/>
  <c r="A9" i="13" s="1" a="1"/>
  <c r="A9" i="13" s="1"/>
  <c r="P9" i="13"/>
  <c r="ON9" i="13"/>
  <c r="OQ8" i="13" s="1"/>
  <c r="F8" i="13"/>
  <c r="DI8" i="13"/>
  <c r="F8" i="4"/>
  <c r="F6" i="4"/>
  <c r="ON6" i="4"/>
  <c r="OQ6" i="4" s="1"/>
  <c r="I6" i="4"/>
  <c r="K6" i="4" s="1"/>
  <c r="ON5" i="4"/>
  <c r="OQ5" i="4" s="1"/>
  <c r="G8" i="4"/>
  <c r="H8" i="4" s="1"/>
  <c r="A8" i="4" s="1" a="1"/>
  <c r="A8" i="4" s="1"/>
  <c r="DI5" i="4"/>
  <c r="G6" i="4"/>
  <c r="H6" i="4" s="1"/>
  <c r="A6" i="4" s="1" a="1"/>
  <c r="A6" i="4" s="1"/>
  <c r="F5" i="4"/>
  <c r="DE5" i="4"/>
  <c r="G5" i="4"/>
  <c r="H5" i="4" s="1"/>
  <c r="K5" i="4"/>
  <c r="M5" i="4"/>
  <c r="DH5" i="4"/>
  <c r="HL4" i="4"/>
  <c r="HO4" i="4" s="1"/>
  <c r="CV4" i="14"/>
  <c r="EX4" i="4"/>
  <c r="FA4" i="4" s="1"/>
  <c r="H4" i="14"/>
  <c r="J4" i="14"/>
  <c r="L4" i="14"/>
  <c r="CU4" i="14"/>
  <c r="CV5" i="17"/>
  <c r="CV10" i="16"/>
  <c r="H5" i="17"/>
  <c r="L5" i="17"/>
  <c r="CU5" i="17"/>
  <c r="J5" i="17"/>
  <c r="CV6" i="16"/>
  <c r="H6" i="16"/>
  <c r="L6" i="16"/>
  <c r="CU6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PU8" i="16"/>
  <c r="PR8" i="16"/>
  <c r="PT8" i="16"/>
  <c r="M8" i="16"/>
  <c r="CV8" i="16" s="1"/>
  <c r="PS8" i="16"/>
  <c r="PV8" i="16"/>
  <c r="G8" i="16"/>
  <c r="F8" i="16"/>
  <c r="I8" i="16"/>
  <c r="K8" i="16"/>
  <c r="CU8" i="16" s="1"/>
  <c r="O4" i="15" l="1"/>
  <c r="OQ9" i="13"/>
  <c r="OQ11" i="13"/>
  <c r="OQ8" i="4"/>
  <c r="J10" i="13"/>
  <c r="OQ10" i="13"/>
  <c r="DH10" i="13"/>
  <c r="M10" i="13"/>
  <c r="N10" i="13" s="1"/>
  <c r="M11" i="13"/>
  <c r="DG11" i="13" s="1"/>
  <c r="J11" i="13"/>
  <c r="K11" i="13"/>
  <c r="DF11" i="13" s="1"/>
  <c r="M7" i="4"/>
  <c r="J7" i="4"/>
  <c r="L7" i="4" s="1"/>
  <c r="DH7" i="4"/>
  <c r="DF7" i="4"/>
  <c r="F4" i="4"/>
  <c r="G4" i="4"/>
  <c r="H4" i="4" s="1"/>
  <c r="O11" i="16"/>
  <c r="Q11" i="16" s="1"/>
  <c r="DH6" i="4"/>
  <c r="J6" i="4"/>
  <c r="L6" i="4" s="1"/>
  <c r="DH8" i="4"/>
  <c r="J8" i="4"/>
  <c r="N8" i="4" s="1"/>
  <c r="K8" i="4"/>
  <c r="DF8" i="4" s="1"/>
  <c r="K8" i="13"/>
  <c r="DF8" i="13" s="1"/>
  <c r="M6" i="4"/>
  <c r="E9" i="16"/>
  <c r="P9" i="16"/>
  <c r="Q9" i="16"/>
  <c r="E5" i="16"/>
  <c r="P5" i="16"/>
  <c r="Q5" i="16"/>
  <c r="E7" i="16"/>
  <c r="P7" i="16"/>
  <c r="Q7" i="16"/>
  <c r="E4" i="15"/>
  <c r="P4" i="15"/>
  <c r="Q4" i="15"/>
  <c r="E6" i="14"/>
  <c r="Q6" i="14"/>
  <c r="K9" i="13"/>
  <c r="DF9" i="13" s="1"/>
  <c r="M9" i="13"/>
  <c r="DG9" i="13" s="1"/>
  <c r="J9" i="13"/>
  <c r="N6" i="13"/>
  <c r="DG6" i="13"/>
  <c r="L6" i="13"/>
  <c r="DF6" i="13"/>
  <c r="DH8" i="13"/>
  <c r="J8" i="13"/>
  <c r="N8" i="13" s="1"/>
  <c r="L10" i="13"/>
  <c r="DF10" i="13"/>
  <c r="DG8" i="13"/>
  <c r="O4" i="14"/>
  <c r="E4" i="14" s="1"/>
  <c r="DG8" i="4"/>
  <c r="DF6" i="4"/>
  <c r="N5" i="4"/>
  <c r="DG5" i="4"/>
  <c r="L5" i="4"/>
  <c r="DF5" i="4"/>
  <c r="O5" i="17"/>
  <c r="E5" i="17" s="1"/>
  <c r="O10" i="16"/>
  <c r="Q10" i="16" s="1"/>
  <c r="O6" i="16"/>
  <c r="E6" i="16" s="1"/>
  <c r="I4" i="4"/>
  <c r="DH4" i="4" s="1"/>
  <c r="ON4" i="4"/>
  <c r="OQ4" i="4" s="1"/>
  <c r="P4" i="4"/>
  <c r="H8" i="16"/>
  <c r="N8" i="16"/>
  <c r="L8" i="16"/>
  <c r="O8" i="16"/>
  <c r="J8" i="16"/>
  <c r="N11" i="13" l="1"/>
  <c r="P11" i="16"/>
  <c r="E11" i="16"/>
  <c r="DG10" i="13"/>
  <c r="Q10" i="13" s="1"/>
  <c r="E10" i="13" s="1"/>
  <c r="L11" i="13"/>
  <c r="Q11" i="13"/>
  <c r="S11" i="13" s="1"/>
  <c r="L9" i="13"/>
  <c r="N7" i="4"/>
  <c r="DG7" i="4"/>
  <c r="Q7" i="4" s="1"/>
  <c r="Q8" i="4"/>
  <c r="S8" i="4" s="1"/>
  <c r="L8" i="4"/>
  <c r="N6" i="4"/>
  <c r="DG6" i="4"/>
  <c r="Q6" i="4" s="1"/>
  <c r="R6" i="4" s="1"/>
  <c r="L8" i="13"/>
  <c r="Q4" i="14"/>
  <c r="P4" i="14"/>
  <c r="Q6" i="13"/>
  <c r="S6" i="13" s="1"/>
  <c r="N9" i="13"/>
  <c r="Q9" i="13"/>
  <c r="S9" i="13" s="1"/>
  <c r="Q8" i="13"/>
  <c r="Q5" i="17"/>
  <c r="P5" i="17"/>
  <c r="P10" i="16"/>
  <c r="E10" i="16"/>
  <c r="Q5" i="4"/>
  <c r="E5" i="4" s="1"/>
  <c r="Q6" i="16"/>
  <c r="P6" i="16"/>
  <c r="M4" i="4"/>
  <c r="DG4" i="4" s="1"/>
  <c r="J4" i="4"/>
  <c r="K4" i="4"/>
  <c r="DF4" i="4" s="1"/>
  <c r="E8" i="16"/>
  <c r="P8" i="16"/>
  <c r="Q8" i="16"/>
  <c r="E11" i="13" l="1"/>
  <c r="R11" i="13"/>
  <c r="E7" i="4"/>
  <c r="R7" i="4"/>
  <c r="S7" i="4"/>
  <c r="R8" i="4"/>
  <c r="E8" i="4"/>
  <c r="E8" i="13"/>
  <c r="E6" i="13"/>
  <c r="R6" i="13"/>
  <c r="R10" i="13"/>
  <c r="S10" i="13"/>
  <c r="R9" i="13"/>
  <c r="E9" i="13"/>
  <c r="S8" i="13"/>
  <c r="R8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A4" i="4" l="1" a="1"/>
  <c r="A4" i="4" s="1"/>
  <c r="A5" i="4" a="1"/>
  <c r="A5" i="4" s="1"/>
  <c r="P4" i="13"/>
  <c r="DI4" i="13"/>
  <c r="P7" i="13"/>
  <c r="I7" i="13"/>
  <c r="ON7" i="13"/>
  <c r="OQ7" i="13" s="1"/>
  <c r="F7" i="13"/>
  <c r="G7" i="13"/>
  <c r="H7" i="13" s="1"/>
  <c r="A7" i="13" s="1" a="1"/>
  <c r="A7" i="13" s="1"/>
  <c r="I4" i="13"/>
  <c r="DH4" i="13" s="1"/>
  <c r="F4" i="13"/>
  <c r="G4" i="13"/>
  <c r="H4" i="13" s="1"/>
  <c r="ON4" i="13"/>
  <c r="PU6" i="17"/>
  <c r="G4" i="16"/>
  <c r="I4" i="16"/>
  <c r="J4" i="16" s="1"/>
  <c r="PS4" i="16"/>
  <c r="PT4" i="16"/>
  <c r="M4" i="16"/>
  <c r="CV4" i="16" s="1"/>
  <c r="K4" i="16"/>
  <c r="CU4" i="16" s="1"/>
  <c r="M4" i="17"/>
  <c r="CV4" i="17" s="1"/>
  <c r="PT6" i="17"/>
  <c r="G4" i="17"/>
  <c r="PT4" i="17"/>
  <c r="PR6" i="17"/>
  <c r="PR4" i="17"/>
  <c r="PS6" i="17"/>
  <c r="K6" i="17"/>
  <c r="CU6" i="17" s="1"/>
  <c r="PV4" i="17"/>
  <c r="I6" i="17"/>
  <c r="J6" i="17" s="1"/>
  <c r="PV6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F4" i="16"/>
  <c r="PR5" i="15"/>
  <c r="F5" i="15"/>
  <c r="G5" i="15"/>
  <c r="PS5" i="15"/>
  <c r="PT5" i="15"/>
  <c r="PV5" i="15"/>
  <c r="M5" i="15"/>
  <c r="CV5" i="15" s="1"/>
  <c r="PU5" i="15"/>
  <c r="I5" i="15"/>
  <c r="K5" i="15"/>
  <c r="CU5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K7" i="13" l="1"/>
  <c r="DF7" i="13" s="1"/>
  <c r="DH7" i="13"/>
  <c r="O4" i="16"/>
  <c r="Q4" i="16" s="1"/>
  <c r="N4" i="16"/>
  <c r="J7" i="13"/>
  <c r="M7" i="13"/>
  <c r="DG7" i="13" s="1"/>
  <c r="J4" i="13"/>
  <c r="M4" i="13"/>
  <c r="DG4" i="13" s="1"/>
  <c r="K4" i="13"/>
  <c r="DF4" i="13" s="1"/>
  <c r="L4" i="16"/>
  <c r="N5" i="14"/>
  <c r="L5" i="14"/>
  <c r="H5" i="14"/>
  <c r="N4" i="17"/>
  <c r="H5" i="15"/>
  <c r="H6" i="17"/>
  <c r="H4" i="17"/>
  <c r="H4" i="16"/>
  <c r="L6" i="17"/>
  <c r="J4" i="17"/>
  <c r="N6" i="17"/>
  <c r="O6" i="17"/>
  <c r="L4" i="17"/>
  <c r="N5" i="15"/>
  <c r="J5" i="15"/>
  <c r="O5" i="15"/>
  <c r="L5" i="15"/>
  <c r="J5" i="14"/>
  <c r="A5" i="15" l="1" a="1"/>
  <c r="A5" i="15" s="1"/>
  <c r="L7" i="13"/>
  <c r="L4" i="13"/>
  <c r="P4" i="16"/>
  <c r="E4" i="16"/>
  <c r="A4" i="16" s="1" a="1"/>
  <c r="A4" i="16" s="1"/>
  <c r="N7" i="13"/>
  <c r="N4" i="13"/>
  <c r="Q7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5" i="16" a="1"/>
  <c r="A5" i="16" s="1"/>
  <c r="A7" i="16" a="1"/>
  <c r="A7" i="16" s="1"/>
  <c r="A6" i="16" a="1"/>
  <c r="A6" i="16" s="1"/>
  <c r="A11" i="16" a="1"/>
  <c r="A11" i="16" s="1"/>
  <c r="A9" i="16" a="1"/>
  <c r="A9" i="16" s="1"/>
  <c r="A4" i="14" a="1"/>
  <c r="A4" i="14" s="1"/>
  <c r="E7" i="13"/>
  <c r="E4" i="13"/>
  <c r="R7" i="13"/>
  <c r="S7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<sst xmlns="http://schemas.openxmlformats.org/spreadsheetml/2006/main" count="3200" uniqueCount="108">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</sst>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>BEAULIEU, Alex</v>
      </c>
      <c r="D3" s="16" t="str">
        <f>IF(B3&gt;MAX('TRA-M'!A:A),"",INDEX('TRA-M'!H:H,MATCH(B3,'TRA-M'!A:A,0)))</f>
        <v>National Team</v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ROBERTSON, Griffyn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BLOOM, Tristan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45204</v>
      </c>
      <c r="C34" s="68"/>
    </row>
    <row r="35" spans="1:3" x14ac:dyDescent="0.2">
      <c r="B35" t="s">
        <v>107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8" si="0">IF($CV4="P",CB4,(CB4+AX4)/2)</f>
        <v>17.399999999999999</v>
      </c>
      <c r="NO4" s="27">
        <f t="shared" si="0"/>
        <v>9.6</v>
      </c>
      <c r="NP4" s="27">
        <f t="shared" si="0"/>
        <v>0</v>
      </c>
      <c r="NQ4" s="27">
        <f t="shared" si="0"/>
        <v>15.934999999999999</v>
      </c>
      <c r="NR4" s="27">
        <f t="shared" si="0"/>
        <v>0</v>
      </c>
      <c r="NS4" s="27">
        <f t="shared" si="0"/>
        <v>15.65</v>
      </c>
      <c r="NT4" s="27">
        <f t="shared" si="0"/>
        <v>9.1</v>
      </c>
      <c r="NU4" s="27">
        <f t="shared" si="0"/>
        <v>13.2</v>
      </c>
      <c r="NV4" s="27">
        <f t="shared" si="0"/>
        <v>15.32</v>
      </c>
      <c r="NW4" s="27">
        <f t="shared" si="0"/>
        <v>0</v>
      </c>
      <c r="NX4" s="27">
        <f t="shared" ref="NX4:OG8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14.2</v>
      </c>
      <c r="OD4" s="27">
        <f t="shared" si="1"/>
        <v>9</v>
      </c>
      <c r="OE4" s="27">
        <f t="shared" si="1"/>
        <v>13.8</v>
      </c>
      <c r="OF4" s="27">
        <f t="shared" si="1"/>
        <v>15.030000000000001</v>
      </c>
      <c r="OG4" s="27">
        <f t="shared" si="1"/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2">IF(SUM(OC4:OF4)-OG4&gt;0,SUM(OC4:OF4)-OG4,"")</f>
        <v>52.03</v>
      </c>
      <c r="OQ4" s="7">
        <f t="shared" ref="OQ4" si="3">IF(SUM(ON4,OP4)&gt;0,SUM(ON4,OP4),"")</f>
        <v>148.23500000000001</v>
      </c>
    </row>
    <row r="5" spans="1:407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95</v>
      </c>
      <c r="C5" s="4" t="s">
        <v>3</v>
      </c>
      <c r="D5" s="4">
        <v>2008</v>
      </c>
      <c r="E5" s="10">
        <f>SUM(I5:Q5)</f>
        <v>243.22999999999996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>P</v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>P</v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>National Team</v>
      </c>
      <c r="I5" s="9">
        <f>IF(MAX(AT5,BX5,DB5)&gt;0,MAX(AT5,BX5,DB5),0)</f>
        <v>96.039999999999992</v>
      </c>
      <c r="J5" s="9" t="str">
        <f>IF(I5=0,"",IF(I5=DB5,$CB$1,IF(I5=BX5,$AX$1,IF(I5=AT5,$T$1,""))))</f>
        <v>2023 3rd Domestic Trial</v>
      </c>
      <c r="K5" s="9">
        <f>IF($I5=$AT5,MAX(BS5,CW5),IF($I5=$BX5,MAX(AO5,CW5),IF($I5=$DB5,MAX(AO5,BS5),MAX(AO5,BS5,CW5))))</f>
        <v>43.57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51.54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16.12</v>
      </c>
      <c r="CE5" s="27">
        <v>0</v>
      </c>
      <c r="CF5" s="27">
        <v>0</v>
      </c>
      <c r="CG5" s="27">
        <v>14.9</v>
      </c>
      <c r="CH5" s="27">
        <v>9.5</v>
      </c>
      <c r="CI5" s="27">
        <v>15.22</v>
      </c>
      <c r="CJ5" s="27">
        <v>12.299999999999999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15.18</v>
      </c>
      <c r="CT5" s="27">
        <v>11.899999999999999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15.22</v>
      </c>
      <c r="CY5" s="7">
        <f>IF(SUM(CG5:CJ5)-CK5&gt;0,SUM(CG5:CJ5)-CK5,"")</f>
        <v>51.919999999999995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96.039999999999992</v>
      </c>
      <c r="DC5" s="7">
        <f>IF(CS5&gt;0,CS5,"")</f>
        <v>15.18</v>
      </c>
      <c r="DD5" s="7">
        <f>IF(SUM(CQ5:CT5)-CU5&gt;0,SUM(CQ5:CT5)-CU5,"")</f>
        <v>52.08</v>
      </c>
      <c r="DE5" s="7">
        <f>IF(SUM(DB5,DD5)&gt;0,SUM(DB5,DD5),"")</f>
        <v>148.12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18.45</v>
      </c>
      <c r="NO5" s="27">
        <f t="shared" si="0"/>
        <v>9.6499999999999986</v>
      </c>
      <c r="NP5" s="27">
        <f t="shared" si="0"/>
        <v>8.06</v>
      </c>
      <c r="NQ5" s="27">
        <f t="shared" si="0"/>
        <v>7.6849999999999996</v>
      </c>
      <c r="NR5" s="27">
        <f t="shared" si="0"/>
        <v>0</v>
      </c>
      <c r="NS5" s="27">
        <f t="shared" si="0"/>
        <v>15.45</v>
      </c>
      <c r="NT5" s="27">
        <f t="shared" si="0"/>
        <v>9.35</v>
      </c>
      <c r="NU5" s="27">
        <f t="shared" si="0"/>
        <v>13.66</v>
      </c>
      <c r="NV5" s="27">
        <f t="shared" si="0"/>
        <v>13.27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14.6</v>
      </c>
      <c r="OD5" s="27">
        <f t="shared" si="1"/>
        <v>8.4499999999999993</v>
      </c>
      <c r="OE5" s="27">
        <f t="shared" si="1"/>
        <v>12.39</v>
      </c>
      <c r="OF5" s="27">
        <f t="shared" si="1"/>
        <v>11.68</v>
      </c>
      <c r="OG5" s="27">
        <f t="shared" si="1"/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13.66</v>
      </c>
      <c r="OK5" s="7">
        <f>IF(SUM(NS5:NV5)-NW5&gt;0,SUM(NS5:NV5)-NW5,"")</f>
        <v>51.72999999999999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95.574999999999989</v>
      </c>
      <c r="OO5" s="7">
        <f>IF(OE5&gt;0,OE5,"")</f>
        <v>12.39</v>
      </c>
      <c r="OP5" s="7">
        <f t="shared" ref="OP5" si="4">IF(SUM(OC5:OF5)-OG5&gt;0,SUM(OC5:OF5)-OG5,"")</f>
        <v>47.12</v>
      </c>
      <c r="OQ5" s="7">
        <f t="shared" ref="OQ5" si="5">IF(SUM(ON5,OP5)&gt;0,SUM(ON5,OP5),"")</f>
        <v>142.69499999999999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214.19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16.149999999999999</v>
      </c>
      <c r="NO6" s="27">
        <f t="shared" si="0"/>
        <v>9.4</v>
      </c>
      <c r="NP6" s="27">
        <f t="shared" si="0"/>
        <v>0</v>
      </c>
      <c r="NQ6" s="27">
        <f t="shared" si="0"/>
        <v>14.65</v>
      </c>
      <c r="NR6" s="27">
        <f t="shared" si="0"/>
        <v>0</v>
      </c>
      <c r="NS6" s="27">
        <f t="shared" si="0"/>
        <v>6.9499999999999993</v>
      </c>
      <c r="NT6" s="27">
        <f t="shared" si="0"/>
        <v>5.1499999999999995</v>
      </c>
      <c r="NU6" s="27">
        <f t="shared" si="0"/>
        <v>7.5</v>
      </c>
      <c r="NV6" s="27">
        <f t="shared" si="0"/>
        <v>8.5549999999999997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6.9</v>
      </c>
      <c r="OD6" s="27">
        <f t="shared" si="1"/>
        <v>4.45</v>
      </c>
      <c r="OE6" s="27">
        <f t="shared" si="1"/>
        <v>6.65</v>
      </c>
      <c r="OF6" s="27">
        <f t="shared" si="1"/>
        <v>7.125</v>
      </c>
      <c r="OG6" s="27">
        <f t="shared" si="1"/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6">IF(SUM(OC6:OF6)-OG6&gt;0,SUM(OC6:OF6)-OG6,"")</f>
        <v>25.125</v>
      </c>
      <c r="OQ6" s="7">
        <f t="shared" ref="OQ6" si="7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105</v>
      </c>
      <c r="C7" s="4" t="s">
        <v>65</v>
      </c>
      <c r="D7" s="4">
        <v>2007</v>
      </c>
      <c r="E7" s="10">
        <f>SUM(I7:Q7)</f>
        <v>199.74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92.800000000000011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43.19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11.030000000000001</v>
      </c>
      <c r="N7" s="9" t="str">
        <f>IF(M7=0,"",IF(AND(OR(M7=DA7,M7=CY7),$J7&lt;&gt;$CB$1),$CB$1,IF(AND(OR(M7=BW7,M7=BU7),$J7&lt;&gt;$AX$1),$AX$1,IF(AND(OR(M7=AS7,M7=AQ7),$J7&lt;&gt;$T$1),$T$1,""))))</f>
        <v>2023 Elite Canada</v>
      </c>
      <c r="O7" s="9">
        <f>MAX(AV7,BZ7,DD7)</f>
        <v>52.72</v>
      </c>
      <c r="P7" s="9" t="str">
        <f>IF(O7=0,"",IF(O7=DD7,$CB$1,IF(O7=BZ7,$AX$1,IF(O7=AV7,$T$1,""))))</f>
        <v>2023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15.7</v>
      </c>
      <c r="U7" s="27">
        <v>8.3000000000000007</v>
      </c>
      <c r="V7" s="27">
        <v>0</v>
      </c>
      <c r="W7" s="27">
        <v>13.66</v>
      </c>
      <c r="X7" s="27">
        <v>0</v>
      </c>
      <c r="Y7" s="27">
        <v>3.2</v>
      </c>
      <c r="Z7" s="27">
        <v>1.8</v>
      </c>
      <c r="AA7" s="27">
        <v>2.9</v>
      </c>
      <c r="AB7" s="27">
        <v>3.13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37.659999999999997</v>
      </c>
      <c r="AP7" s="7">
        <f>IF(AA7&gt;0,AA7,"")</f>
        <v>2.9</v>
      </c>
      <c r="AQ7" s="7">
        <f>IF(SUM(Y7:AB7)-AC7&gt;0,SUM(Y7:AB7)-AC7,"")</f>
        <v>11.030000000000001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48.69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48.69</v>
      </c>
      <c r="AX7" s="23">
        <v>17.100000000000001</v>
      </c>
      <c r="AY7" s="23">
        <v>9.3000000000000007</v>
      </c>
      <c r="AZ7" s="23">
        <v>0</v>
      </c>
      <c r="BA7" s="23">
        <v>15.5</v>
      </c>
      <c r="BB7" s="23">
        <v>0</v>
      </c>
      <c r="BC7" s="23">
        <v>15.7</v>
      </c>
      <c r="BD7" s="23">
        <v>9.1</v>
      </c>
      <c r="BE7" s="23">
        <v>11.5</v>
      </c>
      <c r="BF7" s="23">
        <v>14.6</v>
      </c>
      <c r="BG7" s="23">
        <v>0</v>
      </c>
      <c r="BH7" s="23"/>
      <c r="BI7" s="23"/>
      <c r="BJ7" s="23"/>
      <c r="BK7" s="23"/>
      <c r="BL7" s="23"/>
      <c r="BM7" s="23">
        <v>16.899999999999999</v>
      </c>
      <c r="BN7" s="23">
        <v>9.8000000000000007</v>
      </c>
      <c r="BO7" s="23">
        <v>11.5</v>
      </c>
      <c r="BP7" s="23">
        <v>14.52</v>
      </c>
      <c r="BQ7" s="23">
        <v>0</v>
      </c>
      <c r="BR7" s="33"/>
      <c r="BS7" s="9">
        <f>IF(SUM(AX7:BA7)-BB7&gt;0,SUM(AX7:BA7)-BB7,"")</f>
        <v>41.900000000000006</v>
      </c>
      <c r="BT7" s="9">
        <f>IF(BE7&gt;0,BE7,"")</f>
        <v>11.5</v>
      </c>
      <c r="BU7" s="9">
        <f>IF(SUM(BC7:BF7)-BG7&gt;0,SUM(BC7:BF7)-BG7,"")</f>
        <v>50.9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92.800000000000011</v>
      </c>
      <c r="BY7" s="9">
        <f>IF(BO7&gt;0,BO7,"")</f>
        <v>11.5</v>
      </c>
      <c r="BZ7" s="9">
        <f>IF(SUM(BM7:BP7)-BQ7&gt;0,SUM(BM7:BP7)-BQ7,"")</f>
        <v>52.72</v>
      </c>
      <c r="CA7" s="9">
        <f>IF(SUM(BX7,BZ7)&gt;0,SUM(BX7,BZ7),"")</f>
        <v>145.52000000000001</v>
      </c>
      <c r="CB7" s="27">
        <v>17.399999999999999</v>
      </c>
      <c r="CC7" s="27">
        <v>9.4</v>
      </c>
      <c r="CD7" s="27">
        <v>0</v>
      </c>
      <c r="CE7" s="27">
        <v>16.39</v>
      </c>
      <c r="CF7" s="27">
        <v>0</v>
      </c>
      <c r="CG7" s="27">
        <v>1.6</v>
      </c>
      <c r="CH7" s="27">
        <v>0.8</v>
      </c>
      <c r="CI7" s="27">
        <v>2</v>
      </c>
      <c r="CJ7" s="27">
        <v>1.75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43.19</v>
      </c>
      <c r="CX7" s="7">
        <f>IF(CI7&gt;0,CI7,"")</f>
        <v>2</v>
      </c>
      <c r="CY7" s="7">
        <f>IF(SUM(CG7:CJ7)-CK7&gt;0,SUM(CG7:CJ7)-CK7,"")</f>
        <v>6.15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49.339999999999996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49.339999999999996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 t="shared" si="0"/>
        <v>17.25</v>
      </c>
      <c r="NO7" s="27">
        <f t="shared" si="0"/>
        <v>9.3500000000000014</v>
      </c>
      <c r="NP7" s="27">
        <f t="shared" si="0"/>
        <v>0</v>
      </c>
      <c r="NQ7" s="27">
        <f t="shared" si="0"/>
        <v>15.945</v>
      </c>
      <c r="NR7" s="27">
        <f t="shared" si="0"/>
        <v>0</v>
      </c>
      <c r="NS7" s="27">
        <f t="shared" si="0"/>
        <v>8.65</v>
      </c>
      <c r="NT7" s="27">
        <f t="shared" si="0"/>
        <v>4.95</v>
      </c>
      <c r="NU7" s="27">
        <f t="shared" si="0"/>
        <v>6.75</v>
      </c>
      <c r="NV7" s="27">
        <f t="shared" si="0"/>
        <v>8.1750000000000007</v>
      </c>
      <c r="NW7" s="27">
        <f t="shared" si="0"/>
        <v>0</v>
      </c>
      <c r="NX7" s="27">
        <f t="shared" si="1"/>
        <v>0</v>
      </c>
      <c r="NY7" s="27">
        <f t="shared" si="1"/>
        <v>0</v>
      </c>
      <c r="NZ7" s="27">
        <f t="shared" si="1"/>
        <v>0</v>
      </c>
      <c r="OA7" s="27">
        <f t="shared" si="1"/>
        <v>0</v>
      </c>
      <c r="OB7" s="27">
        <f t="shared" si="1"/>
        <v>0</v>
      </c>
      <c r="OC7" s="27">
        <f t="shared" si="1"/>
        <v>8.4499999999999993</v>
      </c>
      <c r="OD7" s="27">
        <f t="shared" si="1"/>
        <v>4.9000000000000004</v>
      </c>
      <c r="OE7" s="27">
        <f t="shared" si="1"/>
        <v>5.75</v>
      </c>
      <c r="OF7" s="27">
        <f t="shared" si="1"/>
        <v>7.26</v>
      </c>
      <c r="OG7" s="27">
        <f t="shared" si="1"/>
        <v>0</v>
      </c>
      <c r="OH7" s="32" t="s">
        <v>44</v>
      </c>
      <c r="OI7" s="7">
        <f>IF(SUM(NN7:NQ7)-NR7&gt;0,SUM(NN7:NQ7)-NR7,"")</f>
        <v>42.545000000000002</v>
      </c>
      <c r="OJ7" s="7">
        <f>IF(NU7&gt;0,NU7,"")</f>
        <v>6.75</v>
      </c>
      <c r="OK7" s="7">
        <f>IF(SUM(NS7:NV7)-NW7&gt;0,SUM(NS7:NV7)-NW7,"")</f>
        <v>28.525000000000002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71.070000000000007</v>
      </c>
      <c r="OO7" s="7">
        <f>IF(OE7&gt;0,OE7,"")</f>
        <v>5.75</v>
      </c>
      <c r="OP7" s="7">
        <f t="shared" ref="OP7" si="8">IF(SUM(OC7:OF7)-OG7&gt;0,SUM(OC7:OF7)-OG7,"")</f>
        <v>26.36</v>
      </c>
      <c r="OQ7" s="7">
        <f t="shared" ref="OQ7" si="9">IF(SUM(ON7,OP7)&gt;0,SUM(ON7,OP7),"")</f>
        <v>97.43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96</v>
      </c>
      <c r="C8" s="4" t="s">
        <v>66</v>
      </c>
      <c r="D8" s="4">
        <v>2007</v>
      </c>
      <c r="E8" s="10">
        <f>SUM(I8:Q8)</f>
        <v>197.58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88.93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33.370000000000005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25.279999999999998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50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>
        <v>17.3</v>
      </c>
      <c r="AY8" s="23">
        <v>9.6999999999999993</v>
      </c>
      <c r="AZ8" s="23">
        <v>0</v>
      </c>
      <c r="BA8" s="23">
        <v>14.99</v>
      </c>
      <c r="BB8" s="23">
        <v>0</v>
      </c>
      <c r="BC8" s="23">
        <v>11.1</v>
      </c>
      <c r="BD8" s="23">
        <v>9.1</v>
      </c>
      <c r="BE8" s="23">
        <v>12.7</v>
      </c>
      <c r="BF8" s="23">
        <v>14.04</v>
      </c>
      <c r="BG8" s="23">
        <v>0</v>
      </c>
      <c r="BH8" s="23"/>
      <c r="BI8" s="23"/>
      <c r="BJ8" s="23"/>
      <c r="BK8" s="23"/>
      <c r="BL8" s="23"/>
      <c r="BM8" s="23">
        <v>4.2</v>
      </c>
      <c r="BN8" s="23">
        <v>2.8</v>
      </c>
      <c r="BO8" s="23">
        <v>4.9000000000000004</v>
      </c>
      <c r="BP8" s="23">
        <v>5</v>
      </c>
      <c r="BQ8" s="23">
        <v>0</v>
      </c>
      <c r="BR8" s="33"/>
      <c r="BS8" s="9">
        <f>IF(SUM(AX8:BA8)-BB8&gt;0,SUM(AX8:BA8)-BB8,"")</f>
        <v>41.99</v>
      </c>
      <c r="BT8" s="9">
        <f>IF(BE8&gt;0,BE8,"")</f>
        <v>12.7</v>
      </c>
      <c r="BU8" s="9">
        <f>IF(SUM(BC8:BF8)-BG8&gt;0,SUM(BC8:BF8)-BG8,"")</f>
        <v>46.94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88.93</v>
      </c>
      <c r="BY8" s="9">
        <f>IF(BO8&gt;0,BO8,"")</f>
        <v>4.9000000000000004</v>
      </c>
      <c r="BZ8" s="9">
        <f>IF(SUM(BM8:BP8)-BQ8&gt;0,SUM(BM8:BP8)-BQ8,"")</f>
        <v>16.899999999999999</v>
      </c>
      <c r="CA8" s="9">
        <f>IF(SUM(BX8,BZ8)&gt;0,SUM(BX8,BZ8),"")</f>
        <v>105.83000000000001</v>
      </c>
      <c r="CB8" s="27">
        <v>13.3</v>
      </c>
      <c r="CC8" s="27">
        <v>7.5</v>
      </c>
      <c r="CD8" s="27">
        <v>0</v>
      </c>
      <c r="CE8" s="27">
        <v>12.57</v>
      </c>
      <c r="CF8" s="27">
        <v>0</v>
      </c>
      <c r="CG8" s="27">
        <v>6.6</v>
      </c>
      <c r="CH8" s="27">
        <v>4.3</v>
      </c>
      <c r="CI8" s="27">
        <v>6.7</v>
      </c>
      <c r="CJ8" s="27">
        <v>7.68</v>
      </c>
      <c r="CK8" s="27">
        <v>0</v>
      </c>
      <c r="CL8" s="27"/>
      <c r="CM8" s="27"/>
      <c r="CN8" s="27"/>
      <c r="CO8" s="27"/>
      <c r="CP8" s="27"/>
      <c r="CQ8" s="27">
        <v>12.9</v>
      </c>
      <c r="CR8" s="27">
        <v>9</v>
      </c>
      <c r="CS8" s="27">
        <v>13.5</v>
      </c>
      <c r="CT8" s="27">
        <v>14.6</v>
      </c>
      <c r="CU8" s="27">
        <v>0</v>
      </c>
      <c r="CV8" s="32"/>
      <c r="CW8" s="7">
        <f>IF(SUM(CB8:CE8)-CF8&gt;0,SUM(CB8:CE8)-CF8,"")</f>
        <v>33.370000000000005</v>
      </c>
      <c r="CX8" s="7">
        <f>IF(CI8&gt;0,CI8,"")</f>
        <v>6.7</v>
      </c>
      <c r="CY8" s="7">
        <f>IF(SUM(CG8:CJ8)-CK8&gt;0,SUM(CG8:CJ8)-CK8,"")</f>
        <v>25.279999999999998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58.650000000000006</v>
      </c>
      <c r="DC8" s="7">
        <f>IF(CS8&gt;0,CS8,"")</f>
        <v>13.5</v>
      </c>
      <c r="DD8" s="7">
        <f>IF(SUM(CQ8:CT8)-CU8&gt;0,SUM(CQ8:CT8)-CU8,"")</f>
        <v>50</v>
      </c>
      <c r="DE8" s="7">
        <f>IF(SUM(DB8,DD8)&gt;0,SUM(DB8,DD8),"")</f>
        <v>108.65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>
        <v>10.4</v>
      </c>
      <c r="FM8" s="18">
        <v>7.4</v>
      </c>
      <c r="FN8" s="18">
        <v>10.6</v>
      </c>
      <c r="FO8" s="18">
        <v>11.99</v>
      </c>
      <c r="FP8" s="18">
        <v>0</v>
      </c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>
        <f>IF(FN8&gt;0,FN8,"")</f>
        <v>10.6</v>
      </c>
      <c r="FV8" s="7">
        <f>IF(SUM(FL8:FO8)-FP8&gt;0,SUM(FL8:FO8)-FP8,"")</f>
        <v>40.39</v>
      </c>
      <c r="FW8" s="7">
        <f>IF(SUM(FT8,FV8)&gt;0,SUM(FT8,FV8),"")</f>
        <v>40.39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 t="shared" si="0"/>
        <v>15.3</v>
      </c>
      <c r="NO8" s="27">
        <f t="shared" si="0"/>
        <v>8.6</v>
      </c>
      <c r="NP8" s="27">
        <f t="shared" si="0"/>
        <v>0</v>
      </c>
      <c r="NQ8" s="27">
        <f t="shared" si="0"/>
        <v>13.780000000000001</v>
      </c>
      <c r="NR8" s="27">
        <f t="shared" si="0"/>
        <v>0</v>
      </c>
      <c r="NS8" s="27">
        <f t="shared" si="0"/>
        <v>8.85</v>
      </c>
      <c r="NT8" s="27">
        <f t="shared" si="0"/>
        <v>6.6999999999999993</v>
      </c>
      <c r="NU8" s="27">
        <f t="shared" si="0"/>
        <v>9.6999999999999993</v>
      </c>
      <c r="NV8" s="27">
        <f t="shared" si="0"/>
        <v>10.86</v>
      </c>
      <c r="NW8" s="27">
        <f t="shared" si="0"/>
        <v>0</v>
      </c>
      <c r="NX8" s="27">
        <f t="shared" si="1"/>
        <v>0</v>
      </c>
      <c r="NY8" s="27">
        <f t="shared" si="1"/>
        <v>0</v>
      </c>
      <c r="NZ8" s="27">
        <f t="shared" si="1"/>
        <v>0</v>
      </c>
      <c r="OA8" s="27">
        <f t="shared" si="1"/>
        <v>0</v>
      </c>
      <c r="OB8" s="27">
        <f t="shared" si="1"/>
        <v>0</v>
      </c>
      <c r="OC8" s="27">
        <f t="shared" si="1"/>
        <v>8.5500000000000007</v>
      </c>
      <c r="OD8" s="27">
        <f t="shared" si="1"/>
        <v>5.9</v>
      </c>
      <c r="OE8" s="27">
        <f t="shared" si="1"/>
        <v>9.1999999999999993</v>
      </c>
      <c r="OF8" s="27">
        <f t="shared" si="1"/>
        <v>9.8000000000000007</v>
      </c>
      <c r="OG8" s="27">
        <f t="shared" si="1"/>
        <v>0</v>
      </c>
      <c r="OH8" s="32" t="s">
        <v>44</v>
      </c>
      <c r="OI8" s="7">
        <f>IF(SUM(NN8:NQ8)-NR8&gt;0,SUM(NN8:NQ8)-NR8,"")</f>
        <v>37.68</v>
      </c>
      <c r="OJ8" s="7">
        <f>IF(NU8&gt;0,NU8,"")</f>
        <v>9.6999999999999993</v>
      </c>
      <c r="OK8" s="7">
        <f>IF(SUM(NS8:NV8)-NW8&gt;0,SUM(NS8:NV8)-NW8,"")</f>
        <v>36.11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73.789999999999992</v>
      </c>
      <c r="OO8" s="7">
        <f>IF(OE8&gt;0,OE8,"")</f>
        <v>9.1999999999999993</v>
      </c>
      <c r="OP8" s="7">
        <f t="shared" ref="OP8" si="10">IF(SUM(OC8:OF8)-OG8&gt;0,SUM(OC8:OF8)-OG8,"")</f>
        <v>33.450000000000003</v>
      </c>
      <c r="OQ8" s="7">
        <f t="shared" ref="OQ8" si="11">IF(SUM(ON8,OP8)&gt;0,SUM(ON8,OP8),"")</f>
        <v>107.24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8">
    <cfRule type="expression" dxfId="181" priority="1" stopIfTrue="1">
      <formula>IF($AN4&lt;&gt;"",1,0)</formula>
    </cfRule>
  </conditionalFormatting>
  <conditionalFormatting sqref="AX4:CA8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8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AW$18</formula>
      <formula>1000</formula>
    </cfRule>
    <cfRule type="cellIs" dxfId="173" priority="487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AW$17</formula>
      <formula>1000</formula>
    </cfRule>
    <cfRule type="cellIs" dxfId="171" priority="48865" operator="between">
      <formula>AW$16</formula>
      <formula>AW$17</formula>
    </cfRule>
    <cfRule type="cellIs" dxfId="170" priority="488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EE$14</formula>
      <formula>1000</formula>
    </cfRule>
    <cfRule type="cellIs" dxfId="167" priority="49045" operator="between">
      <formula>EE$13</formula>
      <formula>EE$14</formula>
    </cfRule>
    <cfRule type="cellIs" dxfId="166" priority="49046" operator="between">
      <formula>EE$12</formula>
      <formula>EE$13</formula>
    </cfRule>
    <cfRule type="cellIs" dxfId="165" priority="49047" operator="between">
      <formula>EE$11</formula>
      <formula>EE$12</formula>
    </cfRule>
  </conditionalFormatting>
  <conditionalFormatting sqref="AP1:AP1048576 BT1:BT1048576 CX1:CX1048576">
    <cfRule type="cellIs" dxfId="164" priority="49188" operator="between">
      <formula>AW$14</formula>
      <formula>1000</formula>
    </cfRule>
    <cfRule type="cellIs" dxfId="163" priority="49189" operator="between">
      <formula>AW$13</formula>
      <formula>AW$14</formula>
    </cfRule>
    <cfRule type="cellIs" dxfId="162" priority="49190" operator="between">
      <formula>AW$12</formula>
      <formula>AW$13</formula>
    </cfRule>
    <cfRule type="cellIs" dxfId="161" priority="49191" operator="between">
      <formula>AW$11</formula>
      <formula>AW$12</formula>
    </cfRule>
  </conditionalFormatting>
  <conditionalFormatting sqref="AQ1:AQ1048576 BU1:BU1048576 CY1:CY1048576">
    <cfRule type="cellIs" dxfId="160" priority="49224" operator="between">
      <formula>AW$18</formula>
      <formula>1000</formula>
    </cfRule>
  </conditionalFormatting>
  <conditionalFormatting sqref="AR1:AR1048576 BV1:BV1048576 CZ1:CZ1048576">
    <cfRule type="cellIs" dxfId="159" priority="49233" operator="between">
      <formula>AW$14</formula>
      <formula>1000</formula>
    </cfRule>
    <cfRule type="cellIs" dxfId="158" priority="49234" operator="between">
      <formula>AW$13</formula>
      <formula>AW$14</formula>
    </cfRule>
    <cfRule type="cellIs" dxfId="157" priority="49235" operator="between">
      <formula>AW$12</formula>
      <formula>AW$13</formula>
    </cfRule>
    <cfRule type="cellIs" dxfId="156" priority="492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AW$14</formula>
      <formula>1000</formula>
    </cfRule>
    <cfRule type="cellIs" dxfId="154" priority="49270" operator="between">
      <formula>AW$13</formula>
      <formula>AW$14</formula>
    </cfRule>
    <cfRule type="cellIs" dxfId="153" priority="49271" operator="between">
      <formula>AW$12</formula>
      <formula>AW$13</formula>
    </cfRule>
    <cfRule type="cellIs" dxfId="152" priority="492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 t="shared" ref="E4:E11" si="0">SUM(I4:Q4)</f>
        <v>233.29</v>
      </c>
      <c r="F4" s="3" t="str">
        <f t="shared" ref="F4:F11" si="1"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 t="shared" ref="G4:G11" si="2"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 t="shared" ref="H4:H11" si="3"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 t="shared" ref="I4:I11" si="4">IF(MAX(AT4,BX4,DB4)&gt;0,MAX(AT4,BX4,DB4),0)</f>
        <v>92.2</v>
      </c>
      <c r="J4" s="9" t="str">
        <f t="shared" ref="J4:J11" si="5">IF(I4=0,"",IF(I4=DB4,$CB$1,IF(I4=BX4,$AX$1,IF(I4=AT4,$T$1,""))))</f>
        <v>2023 3rd Domestic Trial</v>
      </c>
      <c r="K4" s="9">
        <f t="shared" ref="K4:K11" si="6">IF($I4=$AT4,MAX(BS4,CW4),IF($I4=$BX4,MAX(AO4,CW4),IF($I4=$DB4,MAX(AO4,BS4),MAX(AO4,BS4,CW4))))</f>
        <v>41.82</v>
      </c>
      <c r="L4" s="9" t="str">
        <f t="shared" ref="L4:L11" si="7">IF(K4=0,"",IF(AND(K4=CW4,$J4&lt;&gt;$CB$1),$CB$1,IF(AND(K4=BS4,$J4&lt;&gt;$AX$1),$AX$1,IF(AND(K4=AO4,$J4&lt;&gt;$T$1),$T$1,""))))</f>
        <v>2023 Nationals</v>
      </c>
      <c r="M4" s="9">
        <f t="shared" ref="M4:M11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 t="shared" ref="N4:N11" si="9">IF(M4=0,"",IF(AND(OR(M4=DA4,M4=CY4),$J4&lt;&gt;$CB$1),$CB$1,IF(AND(OR(M4=BW4,M4=BU4),$J4&lt;&gt;$AX$1),$AX$1,IF(AND(OR(M4=AS4,M4=AQ4),$J4&lt;&gt;$T$1),$T$1,""))))</f>
        <v>2023 Nationals</v>
      </c>
      <c r="O4" s="9">
        <f t="shared" ref="O4:O11" si="10">MAX(AV4,BZ4,DD4)</f>
        <v>49.849999999999994</v>
      </c>
      <c r="P4" s="9" t="str">
        <f t="shared" ref="P4:P11" si="11">IF(O4=0,"",IF(O4=DD4,$CB$1,IF(O4=BZ4,$AX$1,IF(O4=AV4,$T$1,""))))</f>
        <v>2023 Elite Canada</v>
      </c>
      <c r="Q4" s="9">
        <f t="shared" ref="Q4:Q11" si="12">IF(MAX(DF4,DG4,DH4,DI4)&gt;0,MAX(DF4,DG4,DH4,DI4),"")</f>
        <v>0.22999999999999687</v>
      </c>
      <c r="R4" s="14" t="str">
        <f t="shared" ref="R4:R11" si="13">IF(Q4="","",IF(Q4=DF4,"(Vol 1)",IF(Q4=DG4,"(Vol 2)",IF(Q4=DH4,"(Prelim)",IF(Q4=DI4,"(Final)")))))</f>
        <v>(Vol 2)</v>
      </c>
      <c r="S4" s="9" t="str">
        <f t="shared" ref="S4:S11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 t="shared" ref="AO4:AO11" si="15">IF(SUM(T4:W4)-X4&gt;0,SUM(T4:W4)-X4,"")</f>
        <v>40.86</v>
      </c>
      <c r="AP4" s="7">
        <f t="shared" ref="AP4:AP11" si="16">IF(AA4&gt;0,AA4,"")</f>
        <v>11.5</v>
      </c>
      <c r="AQ4" s="7">
        <f t="shared" ref="AQ4:AQ11" si="17">IF(SUM(Y4:AB4)-AC4&gt;0,SUM(Y4:AB4)-AC4,"")</f>
        <v>49.06</v>
      </c>
      <c r="AR4" s="7" t="str">
        <f t="shared" ref="AR4:AR11" si="18">IF(AF4&gt;0,AF4,"")</f>
        <v/>
      </c>
      <c r="AS4" s="7" t="str">
        <f t="shared" ref="AS4:AS11" si="19">IF(SUM(AD4:AG4)-AH4&gt;0,SUM(AD4:AG4)-AH4,"")</f>
        <v/>
      </c>
      <c r="AT4" s="7">
        <f t="shared" ref="AT4:AT11" si="20">IF(AO4="",IF(MAX(AQ4,AS4)&gt;0,MAX(AQ4,AS4),""),MAX(AQ4,AS4)+AO4)</f>
        <v>89.92</v>
      </c>
      <c r="AU4" s="7">
        <f t="shared" ref="AU4:AU11" si="21">IF(AK4&gt;0,AK4,"")</f>
        <v>11.5</v>
      </c>
      <c r="AV4" s="7">
        <f t="shared" ref="AV4:AV11" si="22">IF(SUM(AI4:AL4)-AM4&gt;0,SUM(AI4:AL4)-AM4,"")</f>
        <v>49.849999999999994</v>
      </c>
      <c r="AW4" s="7">
        <f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 t="shared" ref="BS4:BS11" si="23">IF(SUM(AX4:BA4)-BB4&gt;0,SUM(AX4:BA4)-BB4,"")</f>
        <v>41.82</v>
      </c>
      <c r="BT4" s="9">
        <f t="shared" ref="BT4:BT11" si="24">IF(BE4&gt;0,BE4,"")</f>
        <v>11.7</v>
      </c>
      <c r="BU4" s="9">
        <f t="shared" ref="BU4:BU11" si="25">IF(SUM(BC4:BF4)-BG4&gt;0,SUM(BC4:BF4)-BG4,"")</f>
        <v>49.19</v>
      </c>
      <c r="BV4" s="9" t="str">
        <f t="shared" ref="BV4:BV11" si="26">IF(BJ4&gt;0,BJ4,"")</f>
        <v/>
      </c>
      <c r="BW4" s="9" t="str">
        <f t="shared" ref="BW4:BW11" si="27">IF(SUM(BH4:BK4)-BL4&gt;0,SUM(BH4:BK4)-BL4,"")</f>
        <v/>
      </c>
      <c r="BX4" s="9">
        <f t="shared" ref="BX4:BX11" si="28">IF(BS4="",IF(MAX(BU4,BW4)&gt;0,MAX(BU4,BW4),""),MAX(BU4,BW4)+BS4)</f>
        <v>91.009999999999991</v>
      </c>
      <c r="BY4" s="9">
        <f t="shared" ref="BY4:BY11" si="29">IF(BO4&gt;0,BO4,"")</f>
        <v>11.7</v>
      </c>
      <c r="BZ4" s="9">
        <f t="shared" ref="BZ4:BZ11" si="30">IF(SUM(BM4:BP4)-BQ4&gt;0,SUM(BM4:BP4)-BQ4,"")</f>
        <v>49.47</v>
      </c>
      <c r="CA4" s="9">
        <f t="shared" ref="CA4:CA11" si="31"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 t="shared" ref="CW4:CW11" si="32">IF(SUM(CB4:CE4)-CF4&gt;0,SUM(CB4:CE4)-CF4,"")</f>
        <v>42.27</v>
      </c>
      <c r="CX4" s="7">
        <f t="shared" ref="CX4:CX11" si="33">IF(CI4&gt;0,CI4,"")</f>
        <v>11.700000000000001</v>
      </c>
      <c r="CY4" s="7">
        <f t="shared" ref="CY4:CY11" si="34">IF(SUM(CG4:CJ4)-CK4&gt;0,SUM(CG4:CJ4)-CK4,"")</f>
        <v>49.93</v>
      </c>
      <c r="CZ4" s="7" t="str">
        <f t="shared" ref="CZ4:CZ11" si="35">IF(CN4&gt;0,CN4,"")</f>
        <v/>
      </c>
      <c r="DA4" s="7" t="str">
        <f t="shared" ref="DA4:DA11" si="36">IF(SUM(CL4:CO4)-CP4&gt;0,SUM(CL4:CO4)-CP4,"")</f>
        <v/>
      </c>
      <c r="DB4" s="7">
        <f t="shared" ref="DB4:DB11" si="37">IF(CW4="",IF(MAX(CY4,DA4)&gt;0,MAX(CY4,DA4),""),MAX(CY4,DA4)+CW4)</f>
        <v>92.2</v>
      </c>
      <c r="DC4" s="7">
        <f t="shared" ref="DC4:DC11" si="38">IF(CS4&gt;0,CS4,"")</f>
        <v>6.2</v>
      </c>
      <c r="DD4" s="7">
        <f t="shared" ref="DD4:DD11" si="39">IF(SUM(CQ4:CT4)-CU4&gt;0,SUM(CQ4:CT4)-CU4,"")</f>
        <v>24.85</v>
      </c>
      <c r="DE4" s="7">
        <f t="shared" ref="DE4:DE11" si="40">IF(SUM(DB4,DD4)&gt;0,SUM(DB4,DD4),"")</f>
        <v>117.05000000000001</v>
      </c>
      <c r="DF4" s="13" t="str">
        <f t="shared" ref="DF4:DF11" si="41">IF(MAX(DZ4,EV4,FR4,GN4,HJ4,IF4,JB4,JX4,KT4,LP4,ML4,NH4)-IF(K4="",0,K4)&gt;0.001,MAX(DZ4,EV4,FR4,GN4,HJ4,IF4,JB4,JX4,KT4,LP4,ML4,NH4)-IF(K4="",0,K4),"")</f>
        <v/>
      </c>
      <c r="DG4" s="13">
        <f t="shared" ref="DG4:DG11" si="42">IF(MAX(EA4,EW4,FS4,GO4,HK4,IG4,JC4,JY4,KU4,LQ4,MM4,NI4)-IF(M4="",0,M4)&gt;0.001,MAX(EA4,EW4,FS4,GO4,HK4,IG4,JC4,JY4,KU4,LQ4,MM4,NI4)-IF(M4="",0,M4),"")</f>
        <v>0.22999999999999687</v>
      </c>
      <c r="DH4" s="13" t="str">
        <f t="shared" ref="DH4:DH11" si="43">IF(MAX(EB4,EX4,FT4,GP4,HL4,IH4,JD4,JZ4,KV4,LR4,MN4,NJ4)-IF(I4="",0,I4)&gt;0.001,MAX(EB4,EX4,FT4,GP4,HL4,IH4,JD4,JZ4,KV4,LR4,MN4,NJ4)-IF(I4="",0,I4),"")</f>
        <v/>
      </c>
      <c r="DI4" s="13">
        <f t="shared" ref="DI4:DI11" si="44"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 t="shared" ref="DY4:DY11" si="45">IF(DQ4&gt;0,DQ4,"")</f>
        <v>6.1</v>
      </c>
      <c r="DZ4" s="7">
        <f t="shared" ref="DZ4:DZ11" si="46">IF(SUM(DJ4:DM4)-DN4&gt;0,SUM(DJ4:DM4)-DN4,"")</f>
        <v>40.1</v>
      </c>
      <c r="EA4" s="7">
        <f t="shared" ref="EA4:EA11" si="47">IF(SUM(DO4:DR4)-DS4&gt;0,SUM(DO4:DR4)-DS4,"")</f>
        <v>23.339999999999996</v>
      </c>
      <c r="EB4" s="7">
        <f t="shared" ref="EB4:EB11" si="48">IF(SUM(DZ4:EA4)&gt;0,SUM(DZ4:EA4),"")</f>
        <v>63.44</v>
      </c>
      <c r="EC4" s="7" t="str">
        <f t="shared" ref="EC4:EC11" si="49">IF(DV4&gt;0,DV4,"")</f>
        <v/>
      </c>
      <c r="ED4" s="7" t="str">
        <f t="shared" ref="ED4:ED11" si="50">IF(SUM(DT4:DW4)-DX4&gt;0,SUM(DT4:DW4)-DX4,"")</f>
        <v/>
      </c>
      <c r="EE4" s="7">
        <f t="shared" ref="EE4:EE11" si="51"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 t="shared" ref="EU4:EU11" si="52">IF(EM4&gt;0,EM4,"")</f>
        <v>11.7</v>
      </c>
      <c r="EV4" s="9">
        <f t="shared" ref="EV4:EV11" si="53">IF(SUM(EF4:EI4)-EJ4&gt;0,SUM(EF4:EI4)-EJ4,"")</f>
        <v>40.790000000000006</v>
      </c>
      <c r="EW4" s="9">
        <f t="shared" ref="EW4:EW11" si="54">IF(SUM(EK4:EN4)-EO4&gt;0,SUM(EK4:EN4)-EO4,"")</f>
        <v>49.419999999999995</v>
      </c>
      <c r="EX4" s="9">
        <f t="shared" ref="EX4:EX11" si="55">IF(SUM(EV4:EW4)&gt;0,SUM(EV4:EW4),"")</f>
        <v>90.210000000000008</v>
      </c>
      <c r="EY4" s="9">
        <f t="shared" ref="EY4:EY11" si="56">IF(ER4&gt;0,ER4,"")</f>
        <v>11.7</v>
      </c>
      <c r="EZ4" s="9">
        <f t="shared" ref="EZ4:EZ11" si="57">IF(SUM(EP4:ES4)-ET4&gt;0,SUM(EP4:ES4)-ET4,"")</f>
        <v>48.41</v>
      </c>
      <c r="FA4" s="9">
        <f t="shared" ref="FA4:FA11" si="58"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 t="shared" ref="FQ4:FQ11" si="59">IF(FI4&gt;0,FI4,"")</f>
        <v>11.7</v>
      </c>
      <c r="FR4" s="7">
        <f t="shared" ref="FR4:FR11" si="60">IF(SUM(FB4:FE4)-FF4&gt;0,SUM(FB4:FE4)-FF4,"")</f>
        <v>40.9</v>
      </c>
      <c r="FS4" s="7">
        <f t="shared" ref="FS4:FS11" si="61">IF(SUM(FG4:FJ4)-FK4&gt;0,SUM(FG4:FJ4)-FK4,"")</f>
        <v>49.009999999999991</v>
      </c>
      <c r="FT4" s="7">
        <f t="shared" ref="FT4:FT11" si="62">IF(SUM(FR4:FS4)&gt;0,SUM(FR4:FS4),"")</f>
        <v>89.91</v>
      </c>
      <c r="FU4" s="7">
        <f t="shared" ref="FU4:FU11" si="63">IF(FN4&gt;0,FN4,"")</f>
        <v>11.7</v>
      </c>
      <c r="FV4" s="7">
        <f t="shared" ref="FV4:FV11" si="64">IF(SUM(FL4:FO4)-FP4&gt;0,SUM(FL4:FO4)-FP4,"")</f>
        <v>49.98</v>
      </c>
      <c r="FW4" s="7">
        <f t="shared" ref="FW4:FW11" si="65"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1" si="66">IF(GE4&gt;0,GE4,"")</f>
        <v/>
      </c>
      <c r="GN4" s="9" t="str">
        <f t="shared" ref="GN4:GN11" si="67">IF(SUM(FX4:GA4)-GB4&gt;0,SUM(FX4:GA4)-GB4,"")</f>
        <v/>
      </c>
      <c r="GO4" s="9" t="str">
        <f t="shared" ref="GO4:GO11" si="68">IF(SUM(GC4:GF4)-GG4&gt;0,SUM(GC4:GF4)-GG4,"")</f>
        <v/>
      </c>
      <c r="GP4" s="9" t="str">
        <f t="shared" ref="GP4:GP11" si="69">IF(SUM(GN4:GO4)&gt;0,SUM(GN4:GO4),"")</f>
        <v/>
      </c>
      <c r="GQ4" s="9" t="str">
        <f t="shared" ref="GQ4:GQ11" si="70">IF(GJ4&gt;0,GJ4,"")</f>
        <v/>
      </c>
      <c r="GR4" s="9" t="str">
        <f t="shared" ref="GR4:GR11" si="71">IF(SUM(GH4:GK4)-GL4&gt;0,SUM(GH4:GK4)-GL4,"")</f>
        <v/>
      </c>
      <c r="GS4" s="9" t="str">
        <f t="shared" ref="GS4:GS11" si="72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1" si="73">IF(HA4&gt;0,HA4,"")</f>
        <v/>
      </c>
      <c r="HJ4" s="7" t="str">
        <f t="shared" ref="HJ4:HJ11" si="74">IF(SUM(GT4:GW4)-GX4&gt;0,SUM(GT4:GW4)-GX4,"")</f>
        <v/>
      </c>
      <c r="HK4" s="7" t="str">
        <f t="shared" ref="HK4:HK11" si="75">IF(SUM(GY4:HB4)-HC4&gt;0,SUM(GY4:HB4)-HC4,"")</f>
        <v/>
      </c>
      <c r="HL4" s="7" t="str">
        <f t="shared" ref="HL4:HL11" si="76">IF(SUM(HJ4:HK4)&gt;0,SUM(HJ4:HK4),"")</f>
        <v/>
      </c>
      <c r="HM4" s="7" t="str">
        <f t="shared" ref="HM4:HM11" si="77">IF(HF4&gt;0,HF4,"")</f>
        <v/>
      </c>
      <c r="HN4" s="7" t="str">
        <f t="shared" ref="HN4:HN11" si="78">IF(SUM(HD4:HG4)-HH4&gt;0,SUM(HD4:HG4)-HH4,"")</f>
        <v/>
      </c>
      <c r="HO4" s="7" t="str">
        <f t="shared" ref="HO4:HO11" si="79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1" si="80">IF(HW4&gt;0,HW4,"")</f>
        <v/>
      </c>
      <c r="IF4" s="9" t="str">
        <f t="shared" ref="IF4:IF11" si="81">IF(SUM(HP4:HS4)-HT4&gt;0,SUM(HP4:HS4)-HT4,"")</f>
        <v/>
      </c>
      <c r="IG4" s="9" t="str">
        <f t="shared" ref="IG4:IG11" si="82">IF(SUM(HU4:HX4)-HY4&gt;0,SUM(HU4:HX4)-HY4,"")</f>
        <v/>
      </c>
      <c r="IH4" s="9" t="str">
        <f t="shared" ref="IH4:IH11" si="83">IF(SUM(IF4:IG4)&gt;0,SUM(IF4:IG4),"")</f>
        <v/>
      </c>
      <c r="II4" s="9" t="str">
        <f t="shared" ref="II4:II11" si="84">IF(IB4&gt;0,IB4,"")</f>
        <v/>
      </c>
      <c r="IJ4" s="9" t="str">
        <f t="shared" ref="IJ4:IJ11" si="85">IF(SUM(HZ4:IC4)-ID4&gt;0,SUM(HZ4:IC4)-ID4,"")</f>
        <v/>
      </c>
      <c r="IK4" s="9" t="str">
        <f t="shared" ref="IK4:IK11" si="86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1" si="87">IF(IS4&gt;0,IS4,"")</f>
        <v/>
      </c>
      <c r="JB4" s="7" t="str">
        <f t="shared" ref="JB4:JB11" si="88">IF(SUM(IL4:IO4)-IP4&gt;0,SUM(IL4:IO4)-IP4,"")</f>
        <v/>
      </c>
      <c r="JC4" s="7" t="str">
        <f t="shared" ref="JC4:JC11" si="89">IF(SUM(IQ4:IT4)-IU4&gt;0,SUM(IQ4:IT4)-IU4,"")</f>
        <v/>
      </c>
      <c r="JD4" s="7" t="str">
        <f t="shared" ref="JD4:JD11" si="90">IF(SUM(JB4:JC4)&gt;0,SUM(JB4:JC4),"")</f>
        <v/>
      </c>
      <c r="JE4" s="7" t="str">
        <f t="shared" ref="JE4:JE11" si="91">IF(IX4&gt;0,IX4,"")</f>
        <v/>
      </c>
      <c r="JF4" s="7" t="str">
        <f t="shared" ref="JF4:JF11" si="92">IF(SUM(IV4:IY4)-IZ4&gt;0,SUM(IV4:IY4)-IZ4,"")</f>
        <v/>
      </c>
      <c r="JG4" s="7" t="str">
        <f t="shared" ref="JG4:JG11" si="93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1" si="94">IF(JO4&gt;0,JO4,"")</f>
        <v/>
      </c>
      <c r="JX4" s="9" t="str">
        <f t="shared" ref="JX4:JX11" si="95">IF(SUM(JH4:JK4)-JL4&gt;0,SUM(JH4:JK4)-JL4,"")</f>
        <v/>
      </c>
      <c r="JY4" s="9" t="str">
        <f t="shared" ref="JY4:JY11" si="96">IF(SUM(JM4:JP4)-JQ4&gt;0,SUM(JM4:JP4)-JQ4,"")</f>
        <v/>
      </c>
      <c r="JZ4" s="9" t="str">
        <f t="shared" ref="JZ4:JZ11" si="97">IF(SUM(JX4:JY4)&gt;0,SUM(JX4:JY4),"")</f>
        <v/>
      </c>
      <c r="KA4" s="9" t="str">
        <f t="shared" ref="KA4:KA11" si="98">IF(JT4&gt;0,JT4,"")</f>
        <v/>
      </c>
      <c r="KB4" s="9" t="str">
        <f t="shared" ref="KB4:KB11" si="99">IF(SUM(JR4:JU4)-JV4&gt;0,SUM(JR4:JU4)-JV4,"")</f>
        <v/>
      </c>
      <c r="KC4" s="9" t="str">
        <f t="shared" ref="KC4:KC11" si="100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1" si="101">IF(KK4&gt;0,KK4,"")</f>
        <v/>
      </c>
      <c r="KT4" s="7" t="str">
        <f t="shared" ref="KT4:KT11" si="102">IF(SUM(KD4:KG4)-KH4&gt;0,SUM(KD4:KG4)-KH4,"")</f>
        <v/>
      </c>
      <c r="KU4" s="7" t="str">
        <f t="shared" ref="KU4:KU11" si="103">IF(SUM(KI4:KL4)-KM4&gt;0,SUM(KI4:KL4)-KM4,"")</f>
        <v/>
      </c>
      <c r="KV4" s="7" t="str">
        <f t="shared" ref="KV4:KV11" si="104">IF(SUM(KT4:KU4)&gt;0,SUM(KT4:KU4),"")</f>
        <v/>
      </c>
      <c r="KW4" s="7" t="str">
        <f t="shared" ref="KW4:KW11" si="105">IF(KP4&gt;0,KP4,"")</f>
        <v/>
      </c>
      <c r="KX4" s="7" t="str">
        <f t="shared" ref="KX4:KX11" si="106">IF(SUM(KN4:KQ4)-KR4&gt;0,SUM(KN4:KQ4)-KR4,"")</f>
        <v/>
      </c>
      <c r="KY4" s="7" t="str">
        <f t="shared" ref="KY4:KY11" si="107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1" si="108">IF(LG4&gt;0,LG4,"")</f>
        <v/>
      </c>
      <c r="LP4" s="9" t="str">
        <f t="shared" ref="LP4:LP11" si="109">IF(SUM(KZ4:LC4)-LD4&gt;0,SUM(KZ4:LC4)-LD4,"")</f>
        <v/>
      </c>
      <c r="LQ4" s="9" t="str">
        <f t="shared" ref="LQ4:LQ11" si="110">IF(SUM(LE4:LH4)-LI4&gt;0,SUM(LE4:LH4)-LI4,"")</f>
        <v/>
      </c>
      <c r="LR4" s="9" t="str">
        <f t="shared" ref="LR4:LR11" si="111">IF(SUM(LP4:LQ4)&gt;0,SUM(LP4:LQ4),"")</f>
        <v/>
      </c>
      <c r="LS4" s="9" t="str">
        <f t="shared" ref="LS4:LS11" si="112">IF(LL4&gt;0,LL4,"")</f>
        <v/>
      </c>
      <c r="LT4" s="9" t="str">
        <f t="shared" ref="LT4:LT11" si="113">IF(SUM(LJ4:LM4)-LN4&gt;0,SUM(LJ4:LM4)-LN4,"")</f>
        <v/>
      </c>
      <c r="LU4" s="9" t="str">
        <f t="shared" ref="LU4:LU11" si="114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1" si="115">IF(MC4&gt;0,MC4,"")</f>
        <v/>
      </c>
      <c r="ML4" s="7" t="str">
        <f t="shared" ref="ML4:ML11" si="116">IF(SUM(LV4:LY4)-LZ4&gt;0,SUM(LV4:LY4)-LZ4,"")</f>
        <v/>
      </c>
      <c r="MM4" s="7" t="str">
        <f t="shared" ref="MM4:MM11" si="117">IF(SUM(MA4:MD4)-ME4&gt;0,SUM(MA4:MD4)-ME4,"")</f>
        <v/>
      </c>
      <c r="MN4" s="7" t="str">
        <f t="shared" ref="MN4:MN11" si="118">IF(SUM(ML4:MM4)&gt;0,SUM(ML4:MM4),"")</f>
        <v/>
      </c>
      <c r="MO4" s="7" t="str">
        <f t="shared" ref="MO4:MO11" si="119">IF(MH4&gt;0,MH4,"")</f>
        <v/>
      </c>
      <c r="MP4" s="7" t="str">
        <f t="shared" ref="MP4:MP11" si="120">IF(SUM(MF4:MI4)-MJ4&gt;0,SUM(MF4:MI4)-MJ4,"")</f>
        <v/>
      </c>
      <c r="MQ4" s="7" t="str">
        <f t="shared" ref="MQ4:MQ11" si="121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1" si="122">IF(MY4&gt;0,MY4,"")</f>
        <v/>
      </c>
      <c r="NH4" s="9" t="str">
        <f t="shared" ref="NH4:NH11" si="123">IF(SUM(MR4:MU4)-MV4&gt;0,SUM(MR4:MU4)-MV4,"")</f>
        <v/>
      </c>
      <c r="NI4" s="9" t="str">
        <f t="shared" ref="NI4:NI11" si="124">IF(SUM(MW4:MZ4)-NA4&gt;0,SUM(MW4:MZ4)-NA4,"")</f>
        <v/>
      </c>
      <c r="NJ4" s="9" t="str">
        <f t="shared" ref="NJ4:NJ11" si="125">IF(SUM(NH4:NI4)&gt;0,SUM(NH4:NI4),"")</f>
        <v/>
      </c>
      <c r="NK4" s="9" t="str">
        <f t="shared" ref="NK4:NK11" si="126">IF(ND4&gt;0,ND4,"")</f>
        <v/>
      </c>
      <c r="NL4" s="9" t="str">
        <f t="shared" ref="NL4:NL11" si="127">IF(SUM(NB4:NE4)-NF4&gt;0,SUM(NB4:NE4)-NF4,"")</f>
        <v/>
      </c>
      <c r="NM4" s="9" t="str">
        <f t="shared" ref="NM4:NM11" si="128">IF(SUM(NJ4,NL4)&gt;0,SUM(NJ4,NL4),"")</f>
        <v/>
      </c>
      <c r="NN4" s="27">
        <f t="shared" ref="NN4:NW11" si="129">IF($CV4="P",CB4,(CB4+AX4)/2)</f>
        <v>17.5</v>
      </c>
      <c r="NO4" s="27">
        <f t="shared" si="129"/>
        <v>9.5500000000000007</v>
      </c>
      <c r="NP4" s="27">
        <f t="shared" si="129"/>
        <v>0</v>
      </c>
      <c r="NQ4" s="27">
        <f t="shared" si="129"/>
        <v>14.995000000000001</v>
      </c>
      <c r="NR4" s="27">
        <f t="shared" si="129"/>
        <v>0</v>
      </c>
      <c r="NS4" s="27">
        <f t="shared" si="129"/>
        <v>14.899999999999999</v>
      </c>
      <c r="NT4" s="27">
        <f t="shared" si="129"/>
        <v>9.1</v>
      </c>
      <c r="NU4" s="27">
        <f t="shared" si="129"/>
        <v>11.7</v>
      </c>
      <c r="NV4" s="27">
        <f t="shared" si="129"/>
        <v>13.86</v>
      </c>
      <c r="NW4" s="27">
        <f t="shared" si="129"/>
        <v>0</v>
      </c>
      <c r="NX4" s="27">
        <f t="shared" ref="NX4:OG11" si="130">IF($CV4="P",CL4,(CL4+BH4)/2)</f>
        <v>0</v>
      </c>
      <c r="NY4" s="27">
        <f t="shared" si="130"/>
        <v>0</v>
      </c>
      <c r="NZ4" s="27">
        <f t="shared" si="130"/>
        <v>0</v>
      </c>
      <c r="OA4" s="27">
        <f t="shared" si="130"/>
        <v>0</v>
      </c>
      <c r="OB4" s="27">
        <f t="shared" si="130"/>
        <v>0</v>
      </c>
      <c r="OC4" s="27">
        <f t="shared" si="130"/>
        <v>10.95</v>
      </c>
      <c r="OD4" s="27">
        <f t="shared" si="130"/>
        <v>6.9</v>
      </c>
      <c r="OE4" s="27">
        <f t="shared" si="130"/>
        <v>8.9499999999999993</v>
      </c>
      <c r="OF4" s="27">
        <f t="shared" si="130"/>
        <v>10.36</v>
      </c>
      <c r="OG4" s="27">
        <f t="shared" si="130"/>
        <v>0</v>
      </c>
      <c r="OH4" s="32" t="s">
        <v>44</v>
      </c>
      <c r="OI4" s="7">
        <f t="shared" ref="OI4:OI11" si="131">IF(SUM(NN4:NQ4)-NR4&gt;0,SUM(NN4:NQ4)-NR4,"")</f>
        <v>42.045000000000002</v>
      </c>
      <c r="OJ4" s="7">
        <f t="shared" ref="OJ4:OJ11" si="132">IF(NU4&gt;0,NU4,"")</f>
        <v>11.7</v>
      </c>
      <c r="OK4" s="7">
        <f t="shared" ref="OK4:OK11" si="133">IF(SUM(NS4:NV4)-NW4&gt;0,SUM(NS4:NV4)-NW4,"")</f>
        <v>49.56</v>
      </c>
      <c r="OL4" s="7" t="str">
        <f t="shared" ref="OL4:OL11" si="134">IF(NZ4&gt;0,NZ4,"")</f>
        <v/>
      </c>
      <c r="OM4" s="7" t="str">
        <f t="shared" ref="OM4:OM11" si="135">IF(SUM(NX4:OA4)-OB4&gt;0,SUM(NX4:OA4)-OB4,"")</f>
        <v/>
      </c>
      <c r="ON4" s="7">
        <f t="shared" ref="ON4:ON11" si="136">IF(OR(OI4&lt;&gt;"",OK4&lt;&gt;"",OM4&lt;&gt;""),OI4+MAX(OK4,OM4),"")</f>
        <v>91.605000000000004</v>
      </c>
      <c r="OO4" s="7">
        <f t="shared" ref="OO4:OO11" si="137">IF(OE4&gt;0,OE4,"")</f>
        <v>8.9499999999999993</v>
      </c>
      <c r="OP4" s="7">
        <f t="shared" ref="OP4" si="138">IF(SUM(OC4:OF4)-OG4&gt;0,SUM(OC4:OF4)-OG4,"")</f>
        <v>37.159999999999997</v>
      </c>
      <c r="OQ4" s="7">
        <f t="shared" ref="OQ4" si="139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 t="shared" si="0"/>
        <v>226.22000000000003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88.27000000000001</v>
      </c>
      <c r="J5" s="9" t="str">
        <f t="shared" si="5"/>
        <v>2023 Elite Canada</v>
      </c>
      <c r="K5" s="9">
        <f t="shared" si="6"/>
        <v>41.35</v>
      </c>
      <c r="L5" s="9" t="str">
        <f t="shared" si="7"/>
        <v>2023 Nationals</v>
      </c>
      <c r="M5" s="9">
        <f t="shared" si="8"/>
        <v>25.03</v>
      </c>
      <c r="N5" s="9" t="str">
        <f t="shared" si="9"/>
        <v>2023 3rd Domestic Trial</v>
      </c>
      <c r="O5" s="9">
        <f t="shared" si="10"/>
        <v>49.45</v>
      </c>
      <c r="P5" s="9" t="str">
        <f t="shared" si="11"/>
        <v>2023 Elite Canada</v>
      </c>
      <c r="Q5" s="9">
        <f t="shared" si="12"/>
        <v>22.119999999999997</v>
      </c>
      <c r="R5" s="14" t="str">
        <f t="shared" si="13"/>
        <v>(Vol 2)</v>
      </c>
      <c r="S5" s="9" t="str">
        <f t="shared" si="14"/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 t="shared" si="15"/>
        <v>40.730000000000004</v>
      </c>
      <c r="AP5" s="7">
        <f t="shared" si="16"/>
        <v>10.9</v>
      </c>
      <c r="AQ5" s="7">
        <f t="shared" si="17"/>
        <v>47.54</v>
      </c>
      <c r="AR5" s="7" t="str">
        <f t="shared" si="18"/>
        <v/>
      </c>
      <c r="AS5" s="7" t="str">
        <f t="shared" si="19"/>
        <v/>
      </c>
      <c r="AT5" s="7">
        <f t="shared" si="20"/>
        <v>88.27000000000001</v>
      </c>
      <c r="AU5" s="7">
        <f t="shared" si="21"/>
        <v>10.7</v>
      </c>
      <c r="AV5" s="7">
        <f t="shared" si="22"/>
        <v>49.45</v>
      </c>
      <c r="AW5" s="7">
        <f t="shared" ref="AW5:AW11" si="140">IF(SUM(AT5,AV5)&gt;0,SUM(AT5,AV5),"")</f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 t="shared" si="23"/>
        <v>41.35</v>
      </c>
      <c r="BT5" s="9">
        <f t="shared" si="24"/>
        <v>1.5</v>
      </c>
      <c r="BU5" s="9">
        <f t="shared" si="25"/>
        <v>5.22</v>
      </c>
      <c r="BV5" s="9" t="str">
        <f t="shared" si="26"/>
        <v/>
      </c>
      <c r="BW5" s="9" t="str">
        <f t="shared" si="27"/>
        <v/>
      </c>
      <c r="BX5" s="9">
        <f t="shared" si="28"/>
        <v>46.57</v>
      </c>
      <c r="BY5" s="9" t="str">
        <f t="shared" si="29"/>
        <v/>
      </c>
      <c r="BZ5" s="9" t="str">
        <f t="shared" si="30"/>
        <v/>
      </c>
      <c r="CA5" s="9">
        <f t="shared" si="31"/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 t="shared" si="32"/>
        <v>41.059999999999995</v>
      </c>
      <c r="CX5" s="7">
        <f t="shared" si="33"/>
        <v>6.5</v>
      </c>
      <c r="CY5" s="7">
        <f t="shared" si="34"/>
        <v>25.03</v>
      </c>
      <c r="CZ5" s="7" t="str">
        <f t="shared" si="35"/>
        <v/>
      </c>
      <c r="DA5" s="7" t="str">
        <f t="shared" si="36"/>
        <v/>
      </c>
      <c r="DB5" s="7">
        <f t="shared" si="37"/>
        <v>66.09</v>
      </c>
      <c r="DC5" s="7">
        <f t="shared" si="38"/>
        <v>8.5</v>
      </c>
      <c r="DD5" s="7">
        <f t="shared" si="39"/>
        <v>41.97</v>
      </c>
      <c r="DE5" s="7">
        <f t="shared" si="40"/>
        <v>108.06</v>
      </c>
      <c r="DF5" s="13" t="str">
        <f t="shared" si="41"/>
        <v/>
      </c>
      <c r="DG5" s="13">
        <f t="shared" si="42"/>
        <v>22.119999999999997</v>
      </c>
      <c r="DH5" s="13" t="str">
        <f t="shared" si="43"/>
        <v/>
      </c>
      <c r="DI5" s="13" t="str">
        <f t="shared" si="44"/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 t="shared" si="45"/>
        <v>10.5</v>
      </c>
      <c r="DZ5" s="7">
        <f t="shared" si="46"/>
        <v>40.71</v>
      </c>
      <c r="EA5" s="7">
        <f t="shared" si="47"/>
        <v>47.15</v>
      </c>
      <c r="EB5" s="7">
        <f t="shared" si="48"/>
        <v>87.86</v>
      </c>
      <c r="EC5" s="7" t="str">
        <f t="shared" si="49"/>
        <v/>
      </c>
      <c r="ED5" s="7" t="str">
        <f t="shared" si="50"/>
        <v/>
      </c>
      <c r="EE5" s="7">
        <f t="shared" si="51"/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2"/>
        <v/>
      </c>
      <c r="EV5" s="9" t="str">
        <f t="shared" si="53"/>
        <v/>
      </c>
      <c r="EW5" s="9" t="str">
        <f t="shared" si="54"/>
        <v/>
      </c>
      <c r="EX5" s="9" t="str">
        <f t="shared" si="55"/>
        <v/>
      </c>
      <c r="EY5" s="9" t="str">
        <f t="shared" si="56"/>
        <v/>
      </c>
      <c r="EZ5" s="9" t="str">
        <f t="shared" si="57"/>
        <v/>
      </c>
      <c r="FA5" s="9" t="str">
        <f t="shared" si="58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59"/>
        <v/>
      </c>
      <c r="FR5" s="7" t="str">
        <f t="shared" si="60"/>
        <v/>
      </c>
      <c r="FS5" s="7" t="str">
        <f t="shared" si="61"/>
        <v/>
      </c>
      <c r="FT5" s="7" t="str">
        <f t="shared" si="62"/>
        <v/>
      </c>
      <c r="FU5" s="7" t="str">
        <f t="shared" si="63"/>
        <v/>
      </c>
      <c r="FV5" s="7" t="str">
        <f t="shared" si="64"/>
        <v/>
      </c>
      <c r="FW5" s="7" t="str">
        <f t="shared" si="65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6"/>
        <v/>
      </c>
      <c r="GN5" s="9" t="str">
        <f t="shared" si="67"/>
        <v/>
      </c>
      <c r="GO5" s="9" t="str">
        <f t="shared" si="68"/>
        <v/>
      </c>
      <c r="GP5" s="9" t="str">
        <f t="shared" si="69"/>
        <v/>
      </c>
      <c r="GQ5" s="9" t="str">
        <f t="shared" si="70"/>
        <v/>
      </c>
      <c r="GR5" s="9" t="str">
        <f t="shared" si="71"/>
        <v/>
      </c>
      <c r="GS5" s="9" t="str">
        <f t="shared" si="72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3"/>
        <v/>
      </c>
      <c r="HJ5" s="7" t="str">
        <f t="shared" si="74"/>
        <v/>
      </c>
      <c r="HK5" s="7" t="str">
        <f t="shared" si="75"/>
        <v/>
      </c>
      <c r="HL5" s="7" t="str">
        <f t="shared" si="76"/>
        <v/>
      </c>
      <c r="HM5" s="7" t="str">
        <f t="shared" si="77"/>
        <v/>
      </c>
      <c r="HN5" s="7" t="str">
        <f t="shared" si="78"/>
        <v/>
      </c>
      <c r="HO5" s="7" t="str">
        <f t="shared" si="79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0"/>
        <v/>
      </c>
      <c r="IF5" s="9" t="str">
        <f t="shared" si="81"/>
        <v/>
      </c>
      <c r="IG5" s="9" t="str">
        <f t="shared" si="82"/>
        <v/>
      </c>
      <c r="IH5" s="9" t="str">
        <f t="shared" si="83"/>
        <v/>
      </c>
      <c r="II5" s="9" t="str">
        <f t="shared" si="84"/>
        <v/>
      </c>
      <c r="IJ5" s="9" t="str">
        <f t="shared" si="85"/>
        <v/>
      </c>
      <c r="IK5" s="9" t="str">
        <f t="shared" si="86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7"/>
        <v/>
      </c>
      <c r="JB5" s="7" t="str">
        <f t="shared" si="88"/>
        <v/>
      </c>
      <c r="JC5" s="7" t="str">
        <f t="shared" si="89"/>
        <v/>
      </c>
      <c r="JD5" s="7" t="str">
        <f t="shared" si="90"/>
        <v/>
      </c>
      <c r="JE5" s="7" t="str">
        <f t="shared" si="91"/>
        <v/>
      </c>
      <c r="JF5" s="7" t="str">
        <f t="shared" si="92"/>
        <v/>
      </c>
      <c r="JG5" s="7" t="str">
        <f t="shared" si="93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4"/>
        <v/>
      </c>
      <c r="JX5" s="9" t="str">
        <f t="shared" si="95"/>
        <v/>
      </c>
      <c r="JY5" s="9" t="str">
        <f t="shared" si="96"/>
        <v/>
      </c>
      <c r="JZ5" s="9" t="str">
        <f t="shared" si="97"/>
        <v/>
      </c>
      <c r="KA5" s="9" t="str">
        <f t="shared" si="98"/>
        <v/>
      </c>
      <c r="KB5" s="9" t="str">
        <f t="shared" si="99"/>
        <v/>
      </c>
      <c r="KC5" s="9" t="str">
        <f t="shared" si="100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1"/>
        <v/>
      </c>
      <c r="KT5" s="7" t="str">
        <f t="shared" si="102"/>
        <v/>
      </c>
      <c r="KU5" s="7" t="str">
        <f t="shared" si="103"/>
        <v/>
      </c>
      <c r="KV5" s="7" t="str">
        <f t="shared" si="104"/>
        <v/>
      </c>
      <c r="KW5" s="7" t="str">
        <f t="shared" si="105"/>
        <v/>
      </c>
      <c r="KX5" s="7" t="str">
        <f t="shared" si="106"/>
        <v/>
      </c>
      <c r="KY5" s="7" t="str">
        <f t="shared" si="107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8"/>
        <v/>
      </c>
      <c r="LP5" s="9" t="str">
        <f t="shared" si="109"/>
        <v/>
      </c>
      <c r="LQ5" s="9" t="str">
        <f t="shared" si="110"/>
        <v/>
      </c>
      <c r="LR5" s="9" t="str">
        <f t="shared" si="111"/>
        <v/>
      </c>
      <c r="LS5" s="9" t="str">
        <f t="shared" si="112"/>
        <v/>
      </c>
      <c r="LT5" s="9" t="str">
        <f t="shared" si="113"/>
        <v/>
      </c>
      <c r="LU5" s="9" t="str">
        <f t="shared" si="114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5"/>
        <v/>
      </c>
      <c r="ML5" s="7" t="str">
        <f t="shared" si="116"/>
        <v/>
      </c>
      <c r="MM5" s="7" t="str">
        <f t="shared" si="117"/>
        <v/>
      </c>
      <c r="MN5" s="7" t="str">
        <f t="shared" si="118"/>
        <v/>
      </c>
      <c r="MO5" s="7" t="str">
        <f t="shared" si="119"/>
        <v/>
      </c>
      <c r="MP5" s="7" t="str">
        <f t="shared" si="120"/>
        <v/>
      </c>
      <c r="MQ5" s="7" t="str">
        <f t="shared" si="121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2"/>
        <v/>
      </c>
      <c r="NH5" s="9" t="str">
        <f t="shared" si="123"/>
        <v/>
      </c>
      <c r="NI5" s="9" t="str">
        <f t="shared" si="124"/>
        <v/>
      </c>
      <c r="NJ5" s="9" t="str">
        <f t="shared" si="125"/>
        <v/>
      </c>
      <c r="NK5" s="9" t="str">
        <f t="shared" si="126"/>
        <v/>
      </c>
      <c r="NL5" s="9" t="str">
        <f t="shared" si="127"/>
        <v/>
      </c>
      <c r="NM5" s="9" t="str">
        <f t="shared" si="128"/>
        <v/>
      </c>
      <c r="NN5" s="27">
        <f t="shared" si="129"/>
        <v>17.25</v>
      </c>
      <c r="NO5" s="27">
        <f t="shared" si="129"/>
        <v>9.75</v>
      </c>
      <c r="NP5" s="27">
        <f t="shared" si="129"/>
        <v>0</v>
      </c>
      <c r="NQ5" s="27">
        <f t="shared" si="129"/>
        <v>14.205</v>
      </c>
      <c r="NR5" s="27">
        <f t="shared" si="129"/>
        <v>0</v>
      </c>
      <c r="NS5" s="27">
        <f t="shared" si="129"/>
        <v>4.3</v>
      </c>
      <c r="NT5" s="27">
        <f t="shared" si="129"/>
        <v>2.6999999999999997</v>
      </c>
      <c r="NU5" s="27">
        <f t="shared" si="129"/>
        <v>4</v>
      </c>
      <c r="NV5" s="27">
        <f t="shared" si="129"/>
        <v>4.125</v>
      </c>
      <c r="NW5" s="27">
        <f t="shared" si="129"/>
        <v>0</v>
      </c>
      <c r="NX5" s="27">
        <f t="shared" si="130"/>
        <v>0</v>
      </c>
      <c r="NY5" s="27">
        <f t="shared" si="130"/>
        <v>0</v>
      </c>
      <c r="NZ5" s="27">
        <f t="shared" si="130"/>
        <v>0</v>
      </c>
      <c r="OA5" s="27">
        <f t="shared" si="130"/>
        <v>0</v>
      </c>
      <c r="OB5" s="27">
        <f t="shared" si="130"/>
        <v>0</v>
      </c>
      <c r="OC5" s="27">
        <f t="shared" si="130"/>
        <v>6.55</v>
      </c>
      <c r="OD5" s="27">
        <f t="shared" si="130"/>
        <v>4.05</v>
      </c>
      <c r="OE5" s="27">
        <f t="shared" si="130"/>
        <v>4.25</v>
      </c>
      <c r="OF5" s="27">
        <f t="shared" si="130"/>
        <v>6.1349999999999998</v>
      </c>
      <c r="OG5" s="27">
        <f t="shared" si="130"/>
        <v>0</v>
      </c>
      <c r="OH5" s="32" t="s">
        <v>44</v>
      </c>
      <c r="OI5" s="7">
        <f t="shared" si="131"/>
        <v>41.204999999999998</v>
      </c>
      <c r="OJ5" s="7">
        <f t="shared" si="132"/>
        <v>4</v>
      </c>
      <c r="OK5" s="7">
        <f t="shared" si="133"/>
        <v>15.125</v>
      </c>
      <c r="OL5" s="7" t="str">
        <f t="shared" si="134"/>
        <v/>
      </c>
      <c r="OM5" s="7" t="str">
        <f t="shared" si="135"/>
        <v/>
      </c>
      <c r="ON5" s="7">
        <f t="shared" si="136"/>
        <v>56.33</v>
      </c>
      <c r="OO5" s="7">
        <f t="shared" si="137"/>
        <v>4.25</v>
      </c>
      <c r="OP5" s="7">
        <f t="shared" ref="OP5" si="141">IF(SUM(OC5:OF5)-OG5&gt;0,SUM(OC5:OF5)-OG5,"")</f>
        <v>20.984999999999999</v>
      </c>
      <c r="OQ5" s="7">
        <f t="shared" ref="OQ5" si="142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89</v>
      </c>
      <c r="C6" s="4" t="s">
        <v>68</v>
      </c>
      <c r="D6" s="4">
        <v>2008</v>
      </c>
      <c r="E6" s="10">
        <f t="shared" si="0"/>
        <v>222.03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87.240000000000009</v>
      </c>
      <c r="J6" s="9" t="str">
        <f t="shared" si="5"/>
        <v>2023 Elite Canada</v>
      </c>
      <c r="K6" s="9">
        <f t="shared" si="6"/>
        <v>40.68</v>
      </c>
      <c r="L6" s="9" t="str">
        <f t="shared" si="7"/>
        <v>2023 3rd Domestic Trial</v>
      </c>
      <c r="M6" s="9">
        <f t="shared" si="8"/>
        <v>46.64</v>
      </c>
      <c r="N6" s="9" t="str">
        <f t="shared" si="9"/>
        <v>2023 Nationals</v>
      </c>
      <c r="O6" s="9">
        <f t="shared" si="10"/>
        <v>47.47</v>
      </c>
      <c r="P6" s="9" t="str">
        <f t="shared" si="11"/>
        <v>2023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>
        <v>16.899999999999999</v>
      </c>
      <c r="U6" s="27">
        <v>9.6</v>
      </c>
      <c r="V6" s="27">
        <v>0</v>
      </c>
      <c r="W6" s="27">
        <v>13.75</v>
      </c>
      <c r="X6" s="27">
        <v>0</v>
      </c>
      <c r="Y6" s="27">
        <v>14.6</v>
      </c>
      <c r="Z6" s="27">
        <v>9</v>
      </c>
      <c r="AA6" s="27">
        <v>10</v>
      </c>
      <c r="AB6" s="27">
        <v>13.39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9.1999999999999993</v>
      </c>
      <c r="AK6" s="27">
        <v>10</v>
      </c>
      <c r="AL6" s="27">
        <v>13.47</v>
      </c>
      <c r="AM6" s="27">
        <v>0</v>
      </c>
      <c r="AN6" s="32"/>
      <c r="AO6" s="7">
        <f t="shared" si="15"/>
        <v>40.25</v>
      </c>
      <c r="AP6" s="7">
        <f t="shared" si="16"/>
        <v>10</v>
      </c>
      <c r="AQ6" s="7">
        <f t="shared" si="17"/>
        <v>46.99</v>
      </c>
      <c r="AR6" s="7" t="str">
        <f t="shared" si="18"/>
        <v/>
      </c>
      <c r="AS6" s="7" t="str">
        <f t="shared" si="19"/>
        <v/>
      </c>
      <c r="AT6" s="7">
        <f t="shared" si="20"/>
        <v>87.240000000000009</v>
      </c>
      <c r="AU6" s="7">
        <f t="shared" si="21"/>
        <v>10</v>
      </c>
      <c r="AV6" s="7">
        <f t="shared" si="22"/>
        <v>47.47</v>
      </c>
      <c r="AW6" s="7">
        <f t="shared" si="140"/>
        <v>134.71</v>
      </c>
      <c r="AX6" s="31">
        <v>16.3</v>
      </c>
      <c r="AY6" s="31">
        <v>9.5</v>
      </c>
      <c r="AZ6" s="31">
        <v>0</v>
      </c>
      <c r="BA6" s="31">
        <v>13.98</v>
      </c>
      <c r="BB6" s="31">
        <v>0</v>
      </c>
      <c r="BC6" s="31">
        <v>13.1</v>
      </c>
      <c r="BD6" s="31">
        <v>9.3000000000000007</v>
      </c>
      <c r="BE6" s="31">
        <v>11</v>
      </c>
      <c r="BF6" s="31">
        <v>13.24</v>
      </c>
      <c r="BG6" s="31">
        <v>0</v>
      </c>
      <c r="BH6" s="31"/>
      <c r="BI6" s="31"/>
      <c r="BJ6" s="31"/>
      <c r="BK6" s="31"/>
      <c r="BL6" s="31"/>
      <c r="BM6" s="31">
        <v>1.5</v>
      </c>
      <c r="BN6" s="31">
        <v>1</v>
      </c>
      <c r="BO6" s="31">
        <v>1.5</v>
      </c>
      <c r="BP6" s="31">
        <v>1.37</v>
      </c>
      <c r="BQ6" s="31">
        <v>0</v>
      </c>
      <c r="BR6" s="33"/>
      <c r="BS6" s="9">
        <f t="shared" si="23"/>
        <v>39.78</v>
      </c>
      <c r="BT6" s="9">
        <f t="shared" si="24"/>
        <v>11</v>
      </c>
      <c r="BU6" s="9">
        <f t="shared" si="25"/>
        <v>46.64</v>
      </c>
      <c r="BV6" s="9" t="str">
        <f t="shared" si="26"/>
        <v/>
      </c>
      <c r="BW6" s="9" t="str">
        <f t="shared" si="27"/>
        <v/>
      </c>
      <c r="BX6" s="9">
        <f t="shared" si="28"/>
        <v>86.42</v>
      </c>
      <c r="BY6" s="9">
        <f t="shared" si="29"/>
        <v>1.5</v>
      </c>
      <c r="BZ6" s="9">
        <f t="shared" si="30"/>
        <v>5.37</v>
      </c>
      <c r="CA6" s="9">
        <f t="shared" si="31"/>
        <v>91.79</v>
      </c>
      <c r="CB6" s="27">
        <v>17</v>
      </c>
      <c r="CC6" s="27">
        <v>9.3000000000000007</v>
      </c>
      <c r="CD6" s="27">
        <v>0</v>
      </c>
      <c r="CE6" s="27">
        <v>14.38</v>
      </c>
      <c r="CF6" s="27">
        <v>0</v>
      </c>
      <c r="CG6" s="27">
        <v>2.7</v>
      </c>
      <c r="CH6" s="27">
        <v>1.7</v>
      </c>
      <c r="CI6" s="27">
        <v>2.5</v>
      </c>
      <c r="CJ6" s="27">
        <v>2.88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 t="shared" si="32"/>
        <v>40.68</v>
      </c>
      <c r="CX6" s="7">
        <f t="shared" si="33"/>
        <v>2.5</v>
      </c>
      <c r="CY6" s="7">
        <f t="shared" si="34"/>
        <v>9.7800000000000011</v>
      </c>
      <c r="CZ6" s="7" t="str">
        <f t="shared" si="35"/>
        <v/>
      </c>
      <c r="DA6" s="7" t="str">
        <f t="shared" si="36"/>
        <v/>
      </c>
      <c r="DB6" s="7">
        <f t="shared" si="37"/>
        <v>50.46</v>
      </c>
      <c r="DC6" s="7" t="str">
        <f t="shared" si="38"/>
        <v/>
      </c>
      <c r="DD6" s="7" t="str">
        <f t="shared" si="39"/>
        <v/>
      </c>
      <c r="DE6" s="7">
        <f t="shared" si="40"/>
        <v>50.46</v>
      </c>
      <c r="DF6" s="13" t="str">
        <f t="shared" si="41"/>
        <v/>
      </c>
      <c r="DG6" s="13" t="str">
        <f t="shared" si="42"/>
        <v/>
      </c>
      <c r="DH6" s="13" t="str">
        <f t="shared" si="43"/>
        <v/>
      </c>
      <c r="DI6" s="13" t="str">
        <f t="shared" si="44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5"/>
        <v/>
      </c>
      <c r="DZ6" s="7" t="str">
        <f t="shared" si="46"/>
        <v/>
      </c>
      <c r="EA6" s="7" t="str">
        <f t="shared" si="47"/>
        <v/>
      </c>
      <c r="EB6" s="7" t="str">
        <f t="shared" si="48"/>
        <v/>
      </c>
      <c r="EC6" s="7" t="str">
        <f t="shared" si="49"/>
        <v/>
      </c>
      <c r="ED6" s="7" t="str">
        <f t="shared" si="50"/>
        <v/>
      </c>
      <c r="EE6" s="7" t="str">
        <f t="shared" si="51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2"/>
        <v/>
      </c>
      <c r="EV6" s="9" t="str">
        <f t="shared" si="53"/>
        <v/>
      </c>
      <c r="EW6" s="9" t="str">
        <f t="shared" si="54"/>
        <v/>
      </c>
      <c r="EX6" s="9" t="str">
        <f t="shared" si="55"/>
        <v/>
      </c>
      <c r="EY6" s="9" t="str">
        <f t="shared" si="56"/>
        <v/>
      </c>
      <c r="EZ6" s="9" t="str">
        <f t="shared" si="57"/>
        <v/>
      </c>
      <c r="FA6" s="9" t="str">
        <f t="shared" si="58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59"/>
        <v/>
      </c>
      <c r="FR6" s="7" t="str">
        <f t="shared" si="60"/>
        <v/>
      </c>
      <c r="FS6" s="7" t="str">
        <f t="shared" si="61"/>
        <v/>
      </c>
      <c r="FT6" s="7" t="str">
        <f t="shared" si="62"/>
        <v/>
      </c>
      <c r="FU6" s="7" t="str">
        <f t="shared" si="63"/>
        <v/>
      </c>
      <c r="FV6" s="7" t="str">
        <f t="shared" si="64"/>
        <v/>
      </c>
      <c r="FW6" s="7" t="str">
        <f t="shared" si="65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6"/>
        <v/>
      </c>
      <c r="GN6" s="9" t="str">
        <f t="shared" si="67"/>
        <v/>
      </c>
      <c r="GO6" s="9" t="str">
        <f t="shared" si="68"/>
        <v/>
      </c>
      <c r="GP6" s="9" t="str">
        <f t="shared" si="69"/>
        <v/>
      </c>
      <c r="GQ6" s="9" t="str">
        <f t="shared" si="70"/>
        <v/>
      </c>
      <c r="GR6" s="9" t="str">
        <f t="shared" si="71"/>
        <v/>
      </c>
      <c r="GS6" s="9" t="str">
        <f t="shared" si="72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3"/>
        <v/>
      </c>
      <c r="HJ6" s="7" t="str">
        <f t="shared" si="74"/>
        <v/>
      </c>
      <c r="HK6" s="7" t="str">
        <f t="shared" si="75"/>
        <v/>
      </c>
      <c r="HL6" s="7" t="str">
        <f t="shared" si="76"/>
        <v/>
      </c>
      <c r="HM6" s="7" t="str">
        <f t="shared" si="77"/>
        <v/>
      </c>
      <c r="HN6" s="7" t="str">
        <f t="shared" si="78"/>
        <v/>
      </c>
      <c r="HO6" s="7" t="str">
        <f t="shared" si="79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0"/>
        <v/>
      </c>
      <c r="IF6" s="9" t="str">
        <f t="shared" si="81"/>
        <v/>
      </c>
      <c r="IG6" s="9" t="str">
        <f t="shared" si="82"/>
        <v/>
      </c>
      <c r="IH6" s="9" t="str">
        <f t="shared" si="83"/>
        <v/>
      </c>
      <c r="II6" s="9" t="str">
        <f t="shared" si="84"/>
        <v/>
      </c>
      <c r="IJ6" s="9" t="str">
        <f t="shared" si="85"/>
        <v/>
      </c>
      <c r="IK6" s="9" t="str">
        <f t="shared" si="86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7"/>
        <v/>
      </c>
      <c r="JB6" s="7" t="str">
        <f t="shared" si="88"/>
        <v/>
      </c>
      <c r="JC6" s="7" t="str">
        <f t="shared" si="89"/>
        <v/>
      </c>
      <c r="JD6" s="7" t="str">
        <f t="shared" si="90"/>
        <v/>
      </c>
      <c r="JE6" s="7" t="str">
        <f t="shared" si="91"/>
        <v/>
      </c>
      <c r="JF6" s="7" t="str">
        <f t="shared" si="92"/>
        <v/>
      </c>
      <c r="JG6" s="7" t="str">
        <f t="shared" si="93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4"/>
        <v/>
      </c>
      <c r="JX6" s="9" t="str">
        <f t="shared" si="95"/>
        <v/>
      </c>
      <c r="JY6" s="9" t="str">
        <f t="shared" si="96"/>
        <v/>
      </c>
      <c r="JZ6" s="9" t="str">
        <f t="shared" si="97"/>
        <v/>
      </c>
      <c r="KA6" s="9" t="str">
        <f t="shared" si="98"/>
        <v/>
      </c>
      <c r="KB6" s="9" t="str">
        <f t="shared" si="99"/>
        <v/>
      </c>
      <c r="KC6" s="9" t="str">
        <f t="shared" si="100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1"/>
        <v/>
      </c>
      <c r="KT6" s="7" t="str">
        <f t="shared" si="102"/>
        <v/>
      </c>
      <c r="KU6" s="7" t="str">
        <f t="shared" si="103"/>
        <v/>
      </c>
      <c r="KV6" s="7" t="str">
        <f t="shared" si="104"/>
        <v/>
      </c>
      <c r="KW6" s="7" t="str">
        <f t="shared" si="105"/>
        <v/>
      </c>
      <c r="KX6" s="7" t="str">
        <f t="shared" si="106"/>
        <v/>
      </c>
      <c r="KY6" s="7" t="str">
        <f t="shared" si="107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8"/>
        <v/>
      </c>
      <c r="LP6" s="9" t="str">
        <f t="shared" si="109"/>
        <v/>
      </c>
      <c r="LQ6" s="9" t="str">
        <f t="shared" si="110"/>
        <v/>
      </c>
      <c r="LR6" s="9" t="str">
        <f t="shared" si="111"/>
        <v/>
      </c>
      <c r="LS6" s="9" t="str">
        <f t="shared" si="112"/>
        <v/>
      </c>
      <c r="LT6" s="9" t="str">
        <f t="shared" si="113"/>
        <v/>
      </c>
      <c r="LU6" s="9" t="str">
        <f t="shared" si="114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5"/>
        <v/>
      </c>
      <c r="ML6" s="7" t="str">
        <f t="shared" si="116"/>
        <v/>
      </c>
      <c r="MM6" s="7" t="str">
        <f t="shared" si="117"/>
        <v/>
      </c>
      <c r="MN6" s="7" t="str">
        <f t="shared" si="118"/>
        <v/>
      </c>
      <c r="MO6" s="7" t="str">
        <f t="shared" si="119"/>
        <v/>
      </c>
      <c r="MP6" s="7" t="str">
        <f t="shared" si="120"/>
        <v/>
      </c>
      <c r="MQ6" s="7" t="str">
        <f t="shared" si="121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2"/>
        <v/>
      </c>
      <c r="NH6" s="9" t="str">
        <f t="shared" si="123"/>
        <v/>
      </c>
      <c r="NI6" s="9" t="str">
        <f t="shared" si="124"/>
        <v/>
      </c>
      <c r="NJ6" s="9" t="str">
        <f t="shared" si="125"/>
        <v/>
      </c>
      <c r="NK6" s="9" t="str">
        <f t="shared" si="126"/>
        <v/>
      </c>
      <c r="NL6" s="9" t="str">
        <f t="shared" si="127"/>
        <v/>
      </c>
      <c r="NM6" s="9" t="str">
        <f t="shared" si="128"/>
        <v/>
      </c>
      <c r="NN6" s="27">
        <f t="shared" si="129"/>
        <v>16.649999999999999</v>
      </c>
      <c r="NO6" s="27">
        <f t="shared" si="129"/>
        <v>9.4</v>
      </c>
      <c r="NP6" s="27">
        <f t="shared" si="129"/>
        <v>0</v>
      </c>
      <c r="NQ6" s="27">
        <f t="shared" si="129"/>
        <v>14.18</v>
      </c>
      <c r="NR6" s="27">
        <f t="shared" si="129"/>
        <v>0</v>
      </c>
      <c r="NS6" s="27">
        <f t="shared" si="129"/>
        <v>7.9</v>
      </c>
      <c r="NT6" s="27">
        <f t="shared" si="129"/>
        <v>5.5</v>
      </c>
      <c r="NU6" s="27">
        <f t="shared" si="129"/>
        <v>6.75</v>
      </c>
      <c r="NV6" s="27">
        <f t="shared" si="129"/>
        <v>8.06</v>
      </c>
      <c r="NW6" s="27">
        <f t="shared" si="129"/>
        <v>0</v>
      </c>
      <c r="NX6" s="27">
        <f t="shared" si="130"/>
        <v>0</v>
      </c>
      <c r="NY6" s="27">
        <f t="shared" si="130"/>
        <v>0</v>
      </c>
      <c r="NZ6" s="27">
        <f t="shared" si="130"/>
        <v>0</v>
      </c>
      <c r="OA6" s="27">
        <f t="shared" si="130"/>
        <v>0</v>
      </c>
      <c r="OB6" s="27">
        <f t="shared" si="130"/>
        <v>0</v>
      </c>
      <c r="OC6" s="27">
        <f t="shared" si="130"/>
        <v>0.75</v>
      </c>
      <c r="OD6" s="27">
        <f t="shared" si="130"/>
        <v>0.5</v>
      </c>
      <c r="OE6" s="27">
        <f t="shared" si="130"/>
        <v>0.75</v>
      </c>
      <c r="OF6" s="27">
        <f t="shared" si="130"/>
        <v>0.68500000000000005</v>
      </c>
      <c r="OG6" s="27">
        <f t="shared" si="130"/>
        <v>0</v>
      </c>
      <c r="OH6" s="32" t="s">
        <v>44</v>
      </c>
      <c r="OI6" s="7">
        <f t="shared" si="131"/>
        <v>40.229999999999997</v>
      </c>
      <c r="OJ6" s="7">
        <f t="shared" si="132"/>
        <v>6.75</v>
      </c>
      <c r="OK6" s="7">
        <f t="shared" si="133"/>
        <v>28.21</v>
      </c>
      <c r="OL6" s="7" t="str">
        <f t="shared" si="134"/>
        <v/>
      </c>
      <c r="OM6" s="7" t="str">
        <f t="shared" si="135"/>
        <v/>
      </c>
      <c r="ON6" s="7">
        <f t="shared" si="136"/>
        <v>68.44</v>
      </c>
      <c r="OO6" s="7">
        <f t="shared" si="137"/>
        <v>0.75</v>
      </c>
      <c r="OP6" s="7">
        <f t="shared" ref="OP6" si="143">IF(SUM(OC6:OF6)-OG6&gt;0,SUM(OC6:OF6)-OG6,"")</f>
        <v>2.6850000000000001</v>
      </c>
      <c r="OQ6" s="7">
        <f t="shared" ref="OQ6" si="144">IF(SUM(ON6,OP6)&gt;0,SUM(ON6,OP6),"")</f>
        <v>71.125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79</v>
      </c>
      <c r="C7" s="4" t="s">
        <v>68</v>
      </c>
      <c r="D7" s="4">
        <v>2009</v>
      </c>
      <c r="E7" s="10">
        <f t="shared" si="0"/>
        <v>221.54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83.81</v>
      </c>
      <c r="J7" s="9" t="str">
        <f t="shared" si="5"/>
        <v>2023 Elite Canada</v>
      </c>
      <c r="K7" s="9">
        <f t="shared" si="6"/>
        <v>40.54</v>
      </c>
      <c r="L7" s="9" t="str">
        <f t="shared" si="7"/>
        <v>2023 Nationals</v>
      </c>
      <c r="M7" s="9">
        <f t="shared" si="8"/>
        <v>39.64</v>
      </c>
      <c r="N7" s="9" t="str">
        <f t="shared" si="9"/>
        <v>2023 Nationals</v>
      </c>
      <c r="O7" s="9">
        <f t="shared" si="10"/>
        <v>49.23</v>
      </c>
      <c r="P7" s="9" t="str">
        <f t="shared" si="11"/>
        <v>2023 3rd Domestic Trial</v>
      </c>
      <c r="Q7" s="9">
        <f t="shared" si="12"/>
        <v>8.32</v>
      </c>
      <c r="R7" s="14" t="str">
        <f t="shared" si="13"/>
        <v>(Vol 2)</v>
      </c>
      <c r="S7" s="9" t="str">
        <f t="shared" si="14"/>
        <v>2023 Pan Am Championships (May 14)</v>
      </c>
      <c r="T7" s="27">
        <v>16.3</v>
      </c>
      <c r="U7" s="27">
        <v>9.6</v>
      </c>
      <c r="V7" s="27">
        <v>0</v>
      </c>
      <c r="W7" s="27">
        <v>13.57</v>
      </c>
      <c r="X7" s="27">
        <v>0</v>
      </c>
      <c r="Y7" s="27">
        <v>11.8</v>
      </c>
      <c r="Z7" s="27">
        <v>9.1999999999999993</v>
      </c>
      <c r="AA7" s="27">
        <v>10</v>
      </c>
      <c r="AB7" s="27">
        <v>13.34</v>
      </c>
      <c r="AC7" s="27">
        <v>0</v>
      </c>
      <c r="AD7" s="27"/>
      <c r="AE7" s="27"/>
      <c r="AF7" s="27"/>
      <c r="AG7" s="27"/>
      <c r="AH7" s="27"/>
      <c r="AI7" s="27">
        <v>3.65</v>
      </c>
      <c r="AJ7" s="27">
        <v>2.2999999999999998</v>
      </c>
      <c r="AK7" s="27">
        <v>2.8</v>
      </c>
      <c r="AL7" s="27">
        <v>3.4750000000000001</v>
      </c>
      <c r="AM7" s="27">
        <v>0</v>
      </c>
      <c r="AN7" s="32"/>
      <c r="AO7" s="7">
        <f t="shared" si="15"/>
        <v>39.47</v>
      </c>
      <c r="AP7" s="7">
        <f t="shared" si="16"/>
        <v>10</v>
      </c>
      <c r="AQ7" s="7">
        <f t="shared" si="17"/>
        <v>44.34</v>
      </c>
      <c r="AR7" s="7" t="str">
        <f t="shared" si="18"/>
        <v/>
      </c>
      <c r="AS7" s="7" t="str">
        <f t="shared" si="19"/>
        <v/>
      </c>
      <c r="AT7" s="7">
        <f t="shared" si="20"/>
        <v>83.81</v>
      </c>
      <c r="AU7" s="7">
        <f t="shared" si="21"/>
        <v>2.8</v>
      </c>
      <c r="AV7" s="7">
        <f t="shared" si="22"/>
        <v>12.225</v>
      </c>
      <c r="AW7" s="7">
        <f t="shared" si="140"/>
        <v>96.034999999999997</v>
      </c>
      <c r="AX7" s="31">
        <v>17.3</v>
      </c>
      <c r="AY7" s="31">
        <v>9.3000000000000007</v>
      </c>
      <c r="AZ7" s="31">
        <v>0</v>
      </c>
      <c r="BA7" s="31">
        <v>13.94</v>
      </c>
      <c r="BB7" s="31">
        <v>0</v>
      </c>
      <c r="BC7" s="31">
        <v>11.3</v>
      </c>
      <c r="BD7" s="31">
        <v>7.3</v>
      </c>
      <c r="BE7" s="31">
        <v>9.6</v>
      </c>
      <c r="BF7" s="31">
        <v>11.44</v>
      </c>
      <c r="BG7" s="31">
        <v>0</v>
      </c>
      <c r="BH7" s="31"/>
      <c r="BI7" s="31"/>
      <c r="BJ7" s="31"/>
      <c r="BK7" s="31"/>
      <c r="BL7" s="31"/>
      <c r="BM7" s="31">
        <v>14.9</v>
      </c>
      <c r="BN7" s="31">
        <v>9</v>
      </c>
      <c r="BO7" s="31">
        <v>10.9</v>
      </c>
      <c r="BP7" s="31">
        <v>13.97</v>
      </c>
      <c r="BQ7" s="31">
        <v>2</v>
      </c>
      <c r="BR7" s="33"/>
      <c r="BS7" s="9">
        <f t="shared" si="23"/>
        <v>40.54</v>
      </c>
      <c r="BT7" s="9">
        <f t="shared" si="24"/>
        <v>9.6</v>
      </c>
      <c r="BU7" s="9">
        <f t="shared" si="25"/>
        <v>39.64</v>
      </c>
      <c r="BV7" s="9" t="str">
        <f t="shared" si="26"/>
        <v/>
      </c>
      <c r="BW7" s="9" t="str">
        <f t="shared" si="27"/>
        <v/>
      </c>
      <c r="BX7" s="9">
        <f t="shared" si="28"/>
        <v>80.180000000000007</v>
      </c>
      <c r="BY7" s="9">
        <f t="shared" si="29"/>
        <v>10.9</v>
      </c>
      <c r="BZ7" s="9">
        <f t="shared" si="30"/>
        <v>46.769999999999996</v>
      </c>
      <c r="CA7" s="9">
        <f t="shared" si="31"/>
        <v>126.95</v>
      </c>
      <c r="CB7" s="27">
        <v>16.5</v>
      </c>
      <c r="CC7" s="27">
        <v>9.5</v>
      </c>
      <c r="CD7" s="27">
        <v>0</v>
      </c>
      <c r="CE7" s="27">
        <v>14.28</v>
      </c>
      <c r="CF7" s="27">
        <v>0</v>
      </c>
      <c r="CG7" s="27">
        <v>10.7</v>
      </c>
      <c r="CH7" s="27">
        <v>6.9</v>
      </c>
      <c r="CI7" s="27">
        <v>9.3999999999999986</v>
      </c>
      <c r="CJ7" s="27">
        <v>11.12</v>
      </c>
      <c r="CK7" s="27">
        <v>0</v>
      </c>
      <c r="CL7" s="27"/>
      <c r="CM7" s="27"/>
      <c r="CN7" s="27"/>
      <c r="CO7" s="27"/>
      <c r="CP7" s="27"/>
      <c r="CQ7" s="27">
        <v>14.1</v>
      </c>
      <c r="CR7" s="27">
        <v>8.6999999999999993</v>
      </c>
      <c r="CS7" s="27">
        <v>12.299999999999999</v>
      </c>
      <c r="CT7" s="27">
        <v>14.13</v>
      </c>
      <c r="CU7" s="27">
        <v>0</v>
      </c>
      <c r="CV7" s="32"/>
      <c r="CW7" s="7">
        <f t="shared" si="32"/>
        <v>40.28</v>
      </c>
      <c r="CX7" s="7">
        <f t="shared" si="33"/>
        <v>9.3999999999999986</v>
      </c>
      <c r="CY7" s="7">
        <f t="shared" si="34"/>
        <v>38.119999999999997</v>
      </c>
      <c r="CZ7" s="7" t="str">
        <f t="shared" si="35"/>
        <v/>
      </c>
      <c r="DA7" s="7" t="str">
        <f t="shared" si="36"/>
        <v/>
      </c>
      <c r="DB7" s="7">
        <f t="shared" si="37"/>
        <v>78.400000000000006</v>
      </c>
      <c r="DC7" s="7">
        <f t="shared" si="38"/>
        <v>12.299999999999999</v>
      </c>
      <c r="DD7" s="7">
        <f t="shared" si="39"/>
        <v>49.23</v>
      </c>
      <c r="DE7" s="7">
        <f t="shared" si="40"/>
        <v>127.63</v>
      </c>
      <c r="DF7" s="13" t="str">
        <f t="shared" si="41"/>
        <v/>
      </c>
      <c r="DG7" s="13">
        <f t="shared" si="42"/>
        <v>8.32</v>
      </c>
      <c r="DH7" s="13">
        <f t="shared" si="43"/>
        <v>3.0600000000000023</v>
      </c>
      <c r="DI7" s="13" t="str">
        <f t="shared" si="44"/>
        <v/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 t="shared" si="45"/>
        <v>11</v>
      </c>
      <c r="DZ7" s="7">
        <f t="shared" si="46"/>
        <v>39.33</v>
      </c>
      <c r="EA7" s="7">
        <f t="shared" si="47"/>
        <v>46.45</v>
      </c>
      <c r="EB7" s="7">
        <f t="shared" si="48"/>
        <v>85.78</v>
      </c>
      <c r="EC7" s="7" t="str">
        <f t="shared" si="49"/>
        <v/>
      </c>
      <c r="ED7" s="7" t="str">
        <f t="shared" si="50"/>
        <v/>
      </c>
      <c r="EE7" s="7">
        <f t="shared" si="51"/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2"/>
        <v/>
      </c>
      <c r="EV7" s="9" t="str">
        <f t="shared" si="53"/>
        <v/>
      </c>
      <c r="EW7" s="9" t="str">
        <f t="shared" si="54"/>
        <v/>
      </c>
      <c r="EX7" s="9" t="str">
        <f t="shared" si="55"/>
        <v/>
      </c>
      <c r="EY7" s="9" t="str">
        <f t="shared" si="56"/>
        <v/>
      </c>
      <c r="EZ7" s="9" t="str">
        <f t="shared" si="57"/>
        <v/>
      </c>
      <c r="FA7" s="9" t="str">
        <f t="shared" si="58"/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 t="shared" si="59"/>
        <v>12.1</v>
      </c>
      <c r="FR7" s="7">
        <f t="shared" si="60"/>
        <v>38.909999999999997</v>
      </c>
      <c r="FS7" s="7">
        <f t="shared" si="61"/>
        <v>47.96</v>
      </c>
      <c r="FT7" s="7">
        <f t="shared" si="62"/>
        <v>86.87</v>
      </c>
      <c r="FU7" s="7">
        <f t="shared" si="63"/>
        <v>12.1</v>
      </c>
      <c r="FV7" s="7">
        <f t="shared" si="64"/>
        <v>49.03</v>
      </c>
      <c r="FW7" s="7">
        <f t="shared" si="65"/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6"/>
        <v/>
      </c>
      <c r="GN7" s="9" t="str">
        <f t="shared" si="67"/>
        <v/>
      </c>
      <c r="GO7" s="9" t="str">
        <f t="shared" si="68"/>
        <v/>
      </c>
      <c r="GP7" s="9" t="str">
        <f t="shared" si="69"/>
        <v/>
      </c>
      <c r="GQ7" s="9" t="str">
        <f t="shared" si="70"/>
        <v/>
      </c>
      <c r="GR7" s="9" t="str">
        <f t="shared" si="71"/>
        <v/>
      </c>
      <c r="GS7" s="9" t="str">
        <f t="shared" si="72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3"/>
        <v/>
      </c>
      <c r="HJ7" s="7" t="str">
        <f t="shared" si="74"/>
        <v/>
      </c>
      <c r="HK7" s="7" t="str">
        <f t="shared" si="75"/>
        <v/>
      </c>
      <c r="HL7" s="7" t="str">
        <f t="shared" si="76"/>
        <v/>
      </c>
      <c r="HM7" s="7" t="str">
        <f t="shared" si="77"/>
        <v/>
      </c>
      <c r="HN7" s="7" t="str">
        <f t="shared" si="78"/>
        <v/>
      </c>
      <c r="HO7" s="7" t="str">
        <f t="shared" si="79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0"/>
        <v/>
      </c>
      <c r="IF7" s="9" t="str">
        <f t="shared" si="81"/>
        <v/>
      </c>
      <c r="IG7" s="9" t="str">
        <f t="shared" si="82"/>
        <v/>
      </c>
      <c r="IH7" s="9" t="str">
        <f t="shared" si="83"/>
        <v/>
      </c>
      <c r="II7" s="9" t="str">
        <f t="shared" si="84"/>
        <v/>
      </c>
      <c r="IJ7" s="9" t="str">
        <f t="shared" si="85"/>
        <v/>
      </c>
      <c r="IK7" s="9" t="str">
        <f t="shared" si="86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7"/>
        <v/>
      </c>
      <c r="JB7" s="7" t="str">
        <f t="shared" si="88"/>
        <v/>
      </c>
      <c r="JC7" s="7" t="str">
        <f t="shared" si="89"/>
        <v/>
      </c>
      <c r="JD7" s="7" t="str">
        <f t="shared" si="90"/>
        <v/>
      </c>
      <c r="JE7" s="7" t="str">
        <f t="shared" si="91"/>
        <v/>
      </c>
      <c r="JF7" s="7" t="str">
        <f t="shared" si="92"/>
        <v/>
      </c>
      <c r="JG7" s="7" t="str">
        <f t="shared" si="93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4"/>
        <v/>
      </c>
      <c r="JX7" s="9" t="str">
        <f t="shared" si="95"/>
        <v/>
      </c>
      <c r="JY7" s="9" t="str">
        <f t="shared" si="96"/>
        <v/>
      </c>
      <c r="JZ7" s="9" t="str">
        <f t="shared" si="97"/>
        <v/>
      </c>
      <c r="KA7" s="9" t="str">
        <f t="shared" si="98"/>
        <v/>
      </c>
      <c r="KB7" s="9" t="str">
        <f t="shared" si="99"/>
        <v/>
      </c>
      <c r="KC7" s="9" t="str">
        <f t="shared" si="100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1"/>
        <v/>
      </c>
      <c r="KT7" s="7" t="str">
        <f t="shared" si="102"/>
        <v/>
      </c>
      <c r="KU7" s="7" t="str">
        <f t="shared" si="103"/>
        <v/>
      </c>
      <c r="KV7" s="7" t="str">
        <f t="shared" si="104"/>
        <v/>
      </c>
      <c r="KW7" s="7" t="str">
        <f t="shared" si="105"/>
        <v/>
      </c>
      <c r="KX7" s="7" t="str">
        <f t="shared" si="106"/>
        <v/>
      </c>
      <c r="KY7" s="7" t="str">
        <f t="shared" si="107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8"/>
        <v/>
      </c>
      <c r="LP7" s="9" t="str">
        <f t="shared" si="109"/>
        <v/>
      </c>
      <c r="LQ7" s="9" t="str">
        <f t="shared" si="110"/>
        <v/>
      </c>
      <c r="LR7" s="9" t="str">
        <f t="shared" si="111"/>
        <v/>
      </c>
      <c r="LS7" s="9" t="str">
        <f t="shared" si="112"/>
        <v/>
      </c>
      <c r="LT7" s="9" t="str">
        <f t="shared" si="113"/>
        <v/>
      </c>
      <c r="LU7" s="9" t="str">
        <f t="shared" si="114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5"/>
        <v/>
      </c>
      <c r="ML7" s="7" t="str">
        <f t="shared" si="116"/>
        <v/>
      </c>
      <c r="MM7" s="7" t="str">
        <f t="shared" si="117"/>
        <v/>
      </c>
      <c r="MN7" s="7" t="str">
        <f t="shared" si="118"/>
        <v/>
      </c>
      <c r="MO7" s="7" t="str">
        <f t="shared" si="119"/>
        <v/>
      </c>
      <c r="MP7" s="7" t="str">
        <f t="shared" si="120"/>
        <v/>
      </c>
      <c r="MQ7" s="7" t="str">
        <f t="shared" si="121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2"/>
        <v/>
      </c>
      <c r="NH7" s="9" t="str">
        <f t="shared" si="123"/>
        <v/>
      </c>
      <c r="NI7" s="9" t="str">
        <f t="shared" si="124"/>
        <v/>
      </c>
      <c r="NJ7" s="9" t="str">
        <f t="shared" si="125"/>
        <v/>
      </c>
      <c r="NK7" s="9" t="str">
        <f t="shared" si="126"/>
        <v/>
      </c>
      <c r="NL7" s="9" t="str">
        <f t="shared" si="127"/>
        <v/>
      </c>
      <c r="NM7" s="9" t="str">
        <f t="shared" si="128"/>
        <v/>
      </c>
      <c r="NN7" s="27">
        <f t="shared" si="129"/>
        <v>16.899999999999999</v>
      </c>
      <c r="NO7" s="27">
        <f t="shared" si="129"/>
        <v>9.4</v>
      </c>
      <c r="NP7" s="27">
        <f t="shared" si="129"/>
        <v>0</v>
      </c>
      <c r="NQ7" s="27">
        <f t="shared" si="129"/>
        <v>14.11</v>
      </c>
      <c r="NR7" s="27">
        <f t="shared" si="129"/>
        <v>0</v>
      </c>
      <c r="NS7" s="27">
        <f t="shared" si="129"/>
        <v>11</v>
      </c>
      <c r="NT7" s="27">
        <f t="shared" si="129"/>
        <v>7.1</v>
      </c>
      <c r="NU7" s="27">
        <f t="shared" si="129"/>
        <v>9.5</v>
      </c>
      <c r="NV7" s="27">
        <f t="shared" si="129"/>
        <v>11.28</v>
      </c>
      <c r="NW7" s="27">
        <f t="shared" si="129"/>
        <v>0</v>
      </c>
      <c r="NX7" s="27">
        <f t="shared" si="130"/>
        <v>0</v>
      </c>
      <c r="NY7" s="27">
        <f t="shared" si="130"/>
        <v>0</v>
      </c>
      <c r="NZ7" s="27">
        <f t="shared" si="130"/>
        <v>0</v>
      </c>
      <c r="OA7" s="27">
        <f t="shared" si="130"/>
        <v>0</v>
      </c>
      <c r="OB7" s="27">
        <f t="shared" si="130"/>
        <v>0</v>
      </c>
      <c r="OC7" s="27">
        <f t="shared" si="130"/>
        <v>14.5</v>
      </c>
      <c r="OD7" s="27">
        <f t="shared" si="130"/>
        <v>8.85</v>
      </c>
      <c r="OE7" s="27">
        <f t="shared" si="130"/>
        <v>11.6</v>
      </c>
      <c r="OF7" s="27">
        <f t="shared" si="130"/>
        <v>14.05</v>
      </c>
      <c r="OG7" s="27">
        <f t="shared" si="130"/>
        <v>1</v>
      </c>
      <c r="OH7" s="32" t="s">
        <v>44</v>
      </c>
      <c r="OI7" s="7">
        <f t="shared" si="131"/>
        <v>40.409999999999997</v>
      </c>
      <c r="OJ7" s="7">
        <f t="shared" si="132"/>
        <v>9.5</v>
      </c>
      <c r="OK7" s="7">
        <f t="shared" si="133"/>
        <v>38.880000000000003</v>
      </c>
      <c r="OL7" s="7" t="str">
        <f t="shared" si="134"/>
        <v/>
      </c>
      <c r="OM7" s="7" t="str">
        <f t="shared" si="135"/>
        <v/>
      </c>
      <c r="ON7" s="7">
        <f t="shared" si="136"/>
        <v>79.289999999999992</v>
      </c>
      <c r="OO7" s="7">
        <f t="shared" si="137"/>
        <v>11.6</v>
      </c>
      <c r="OP7" s="7">
        <f t="shared" ref="OP7" si="145">IF(SUM(OC7:OF7)-OG7&gt;0,SUM(OC7:OF7)-OG7,"")</f>
        <v>48</v>
      </c>
      <c r="OQ7" s="7">
        <f t="shared" ref="OQ7" si="146">IF(SUM(ON7,OP7)&gt;0,SUM(ON7,OP7),"")</f>
        <v>127.28999999999999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97</v>
      </c>
      <c r="C8" s="4" t="s">
        <v>68</v>
      </c>
      <c r="D8" s="4">
        <v>2009</v>
      </c>
      <c r="E8" s="10">
        <f t="shared" si="0"/>
        <v>221.38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87.4</v>
      </c>
      <c r="J8" s="9" t="str">
        <f t="shared" si="5"/>
        <v>2023 3rd Domestic Trial</v>
      </c>
      <c r="K8" s="9">
        <f t="shared" si="6"/>
        <v>40.17</v>
      </c>
      <c r="L8" s="9" t="str">
        <f t="shared" si="7"/>
        <v>2023 Elite Canada</v>
      </c>
      <c r="M8" s="9">
        <f t="shared" si="8"/>
        <v>47.46</v>
      </c>
      <c r="N8" s="9" t="str">
        <f t="shared" si="9"/>
        <v>2023 Nationals</v>
      </c>
      <c r="O8" s="9">
        <f t="shared" si="10"/>
        <v>46.35</v>
      </c>
      <c r="P8" s="9" t="str">
        <f t="shared" si="11"/>
        <v>2023 3rd Domestic Trial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>
        <v>16</v>
      </c>
      <c r="U8" s="27">
        <v>9.9</v>
      </c>
      <c r="V8" s="27">
        <v>0</v>
      </c>
      <c r="W8" s="27">
        <v>14.27</v>
      </c>
      <c r="X8" s="27">
        <v>0</v>
      </c>
      <c r="Y8" s="27">
        <v>1.6</v>
      </c>
      <c r="Z8" s="27">
        <v>1</v>
      </c>
      <c r="AA8" s="27">
        <v>1.5</v>
      </c>
      <c r="AB8" s="27">
        <v>1.48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 t="shared" si="15"/>
        <v>40.17</v>
      </c>
      <c r="AP8" s="7">
        <f t="shared" si="16"/>
        <v>1.5</v>
      </c>
      <c r="AQ8" s="7">
        <f t="shared" si="17"/>
        <v>5.58</v>
      </c>
      <c r="AR8" s="7" t="str">
        <f t="shared" si="18"/>
        <v/>
      </c>
      <c r="AS8" s="7" t="str">
        <f t="shared" si="19"/>
        <v/>
      </c>
      <c r="AT8" s="7">
        <f t="shared" si="20"/>
        <v>45.75</v>
      </c>
      <c r="AU8" s="7" t="str">
        <f t="shared" si="21"/>
        <v/>
      </c>
      <c r="AV8" s="7" t="str">
        <f t="shared" si="22"/>
        <v/>
      </c>
      <c r="AW8" s="7">
        <f t="shared" si="140"/>
        <v>45.75</v>
      </c>
      <c r="AX8" s="31">
        <v>15.9</v>
      </c>
      <c r="AY8" s="31">
        <v>9.4</v>
      </c>
      <c r="AZ8" s="31">
        <v>0</v>
      </c>
      <c r="BA8" s="31">
        <v>14.28</v>
      </c>
      <c r="BB8" s="31">
        <v>0</v>
      </c>
      <c r="BC8" s="31">
        <v>13.6</v>
      </c>
      <c r="BD8" s="31">
        <v>9.3000000000000007</v>
      </c>
      <c r="BE8" s="31">
        <v>11</v>
      </c>
      <c r="BF8" s="31">
        <v>13.56</v>
      </c>
      <c r="BG8" s="31">
        <v>0</v>
      </c>
      <c r="BH8" s="31"/>
      <c r="BI8" s="31"/>
      <c r="BJ8" s="31"/>
      <c r="BK8" s="31"/>
      <c r="BL8" s="31"/>
      <c r="BM8" s="31">
        <v>13.1</v>
      </c>
      <c r="BN8" s="31">
        <v>9.3000000000000007</v>
      </c>
      <c r="BO8" s="31">
        <v>10.9</v>
      </c>
      <c r="BP8" s="31">
        <v>12.93</v>
      </c>
      <c r="BQ8" s="31">
        <v>0</v>
      </c>
      <c r="BR8" s="33"/>
      <c r="BS8" s="9">
        <f t="shared" si="23"/>
        <v>39.58</v>
      </c>
      <c r="BT8" s="9">
        <f t="shared" si="24"/>
        <v>11</v>
      </c>
      <c r="BU8" s="9">
        <f t="shared" si="25"/>
        <v>47.46</v>
      </c>
      <c r="BV8" s="9" t="str">
        <f t="shared" si="26"/>
        <v/>
      </c>
      <c r="BW8" s="9" t="str">
        <f t="shared" si="27"/>
        <v/>
      </c>
      <c r="BX8" s="9">
        <f t="shared" si="28"/>
        <v>87.039999999999992</v>
      </c>
      <c r="BY8" s="9">
        <f t="shared" si="29"/>
        <v>10.9</v>
      </c>
      <c r="BZ8" s="9">
        <f t="shared" si="30"/>
        <v>46.23</v>
      </c>
      <c r="CA8" s="9">
        <f t="shared" si="31"/>
        <v>133.26999999999998</v>
      </c>
      <c r="CB8" s="27">
        <v>16.5</v>
      </c>
      <c r="CC8" s="27">
        <v>9.5</v>
      </c>
      <c r="CD8" s="27">
        <v>0</v>
      </c>
      <c r="CE8" s="27">
        <v>14.1</v>
      </c>
      <c r="CF8" s="27">
        <v>0</v>
      </c>
      <c r="CG8" s="27">
        <v>13.5</v>
      </c>
      <c r="CH8" s="27">
        <v>9.1</v>
      </c>
      <c r="CI8" s="27">
        <v>10.999999999999998</v>
      </c>
      <c r="CJ8" s="27">
        <v>13.7</v>
      </c>
      <c r="CK8" s="27">
        <v>0</v>
      </c>
      <c r="CL8" s="27"/>
      <c r="CM8" s="27"/>
      <c r="CN8" s="27"/>
      <c r="CO8" s="27"/>
      <c r="CP8" s="27"/>
      <c r="CQ8" s="27">
        <v>12.8</v>
      </c>
      <c r="CR8" s="27">
        <v>9.3000000000000007</v>
      </c>
      <c r="CS8" s="27">
        <v>10.999999999999998</v>
      </c>
      <c r="CT8" s="27">
        <v>13.25</v>
      </c>
      <c r="CU8" s="27">
        <v>0</v>
      </c>
      <c r="CV8" s="32"/>
      <c r="CW8" s="7">
        <f t="shared" si="32"/>
        <v>40.1</v>
      </c>
      <c r="CX8" s="7">
        <f t="shared" si="33"/>
        <v>10.999999999999998</v>
      </c>
      <c r="CY8" s="7">
        <f t="shared" si="34"/>
        <v>47.3</v>
      </c>
      <c r="CZ8" s="7" t="str">
        <f t="shared" si="35"/>
        <v/>
      </c>
      <c r="DA8" s="7" t="str">
        <f t="shared" si="36"/>
        <v/>
      </c>
      <c r="DB8" s="7">
        <f t="shared" si="37"/>
        <v>87.4</v>
      </c>
      <c r="DC8" s="7">
        <f t="shared" si="38"/>
        <v>10.999999999999998</v>
      </c>
      <c r="DD8" s="7">
        <f t="shared" si="39"/>
        <v>46.35</v>
      </c>
      <c r="DE8" s="7">
        <f t="shared" si="40"/>
        <v>133.75</v>
      </c>
      <c r="DF8" s="13" t="str">
        <f t="shared" si="41"/>
        <v/>
      </c>
      <c r="DG8" s="13" t="str">
        <f t="shared" si="42"/>
        <v/>
      </c>
      <c r="DH8" s="13" t="str">
        <f t="shared" si="43"/>
        <v/>
      </c>
      <c r="DI8" s="13" t="str">
        <f t="shared" si="44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5"/>
        <v/>
      </c>
      <c r="DZ8" s="7" t="str">
        <f t="shared" si="46"/>
        <v/>
      </c>
      <c r="EA8" s="7" t="str">
        <f t="shared" si="47"/>
        <v/>
      </c>
      <c r="EB8" s="7" t="str">
        <f t="shared" si="48"/>
        <v/>
      </c>
      <c r="EC8" s="7" t="str">
        <f t="shared" si="49"/>
        <v/>
      </c>
      <c r="ED8" s="7" t="str">
        <f t="shared" si="50"/>
        <v/>
      </c>
      <c r="EE8" s="7" t="str">
        <f t="shared" si="51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2"/>
        <v/>
      </c>
      <c r="EV8" s="9" t="str">
        <f t="shared" si="53"/>
        <v/>
      </c>
      <c r="EW8" s="9" t="str">
        <f t="shared" si="54"/>
        <v/>
      </c>
      <c r="EX8" s="9" t="str">
        <f t="shared" si="55"/>
        <v/>
      </c>
      <c r="EY8" s="9" t="str">
        <f t="shared" si="56"/>
        <v/>
      </c>
      <c r="EZ8" s="9" t="str">
        <f t="shared" si="57"/>
        <v/>
      </c>
      <c r="FA8" s="9" t="str">
        <f t="shared" si="58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59"/>
        <v/>
      </c>
      <c r="FR8" s="7" t="str">
        <f t="shared" si="60"/>
        <v/>
      </c>
      <c r="FS8" s="7" t="str">
        <f t="shared" si="61"/>
        <v/>
      </c>
      <c r="FT8" s="7" t="str">
        <f t="shared" si="62"/>
        <v/>
      </c>
      <c r="FU8" s="7" t="str">
        <f t="shared" si="63"/>
        <v/>
      </c>
      <c r="FV8" s="7" t="str">
        <f t="shared" si="64"/>
        <v/>
      </c>
      <c r="FW8" s="7" t="str">
        <f t="shared" si="65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6"/>
        <v/>
      </c>
      <c r="GN8" s="9" t="str">
        <f t="shared" si="67"/>
        <v/>
      </c>
      <c r="GO8" s="9" t="str">
        <f t="shared" si="68"/>
        <v/>
      </c>
      <c r="GP8" s="9" t="str">
        <f t="shared" si="69"/>
        <v/>
      </c>
      <c r="GQ8" s="9" t="str">
        <f t="shared" si="70"/>
        <v/>
      </c>
      <c r="GR8" s="9" t="str">
        <f t="shared" si="71"/>
        <v/>
      </c>
      <c r="GS8" s="9" t="str">
        <f t="shared" si="72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3"/>
        <v/>
      </c>
      <c r="HJ8" s="7" t="str">
        <f t="shared" si="74"/>
        <v/>
      </c>
      <c r="HK8" s="7" t="str">
        <f t="shared" si="75"/>
        <v/>
      </c>
      <c r="HL8" s="7" t="str">
        <f t="shared" si="76"/>
        <v/>
      </c>
      <c r="HM8" s="7" t="str">
        <f t="shared" si="77"/>
        <v/>
      </c>
      <c r="HN8" s="7" t="str">
        <f t="shared" si="78"/>
        <v/>
      </c>
      <c r="HO8" s="7" t="str">
        <f t="shared" si="79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0"/>
        <v/>
      </c>
      <c r="IF8" s="9" t="str">
        <f t="shared" si="81"/>
        <v/>
      </c>
      <c r="IG8" s="9" t="str">
        <f t="shared" si="82"/>
        <v/>
      </c>
      <c r="IH8" s="9" t="str">
        <f t="shared" si="83"/>
        <v/>
      </c>
      <c r="II8" s="9" t="str">
        <f t="shared" si="84"/>
        <v/>
      </c>
      <c r="IJ8" s="9" t="str">
        <f t="shared" si="85"/>
        <v/>
      </c>
      <c r="IK8" s="9" t="str">
        <f t="shared" si="86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7"/>
        <v/>
      </c>
      <c r="JB8" s="7" t="str">
        <f t="shared" si="88"/>
        <v/>
      </c>
      <c r="JC8" s="7" t="str">
        <f t="shared" si="89"/>
        <v/>
      </c>
      <c r="JD8" s="7" t="str">
        <f t="shared" si="90"/>
        <v/>
      </c>
      <c r="JE8" s="7" t="str">
        <f t="shared" si="91"/>
        <v/>
      </c>
      <c r="JF8" s="7" t="str">
        <f t="shared" si="92"/>
        <v/>
      </c>
      <c r="JG8" s="7" t="str">
        <f t="shared" si="93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4"/>
        <v/>
      </c>
      <c r="JX8" s="9" t="str">
        <f t="shared" si="95"/>
        <v/>
      </c>
      <c r="JY8" s="9" t="str">
        <f t="shared" si="96"/>
        <v/>
      </c>
      <c r="JZ8" s="9" t="str">
        <f t="shared" si="97"/>
        <v/>
      </c>
      <c r="KA8" s="9" t="str">
        <f t="shared" si="98"/>
        <v/>
      </c>
      <c r="KB8" s="9" t="str">
        <f t="shared" si="99"/>
        <v/>
      </c>
      <c r="KC8" s="9" t="str">
        <f t="shared" si="100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1"/>
        <v/>
      </c>
      <c r="KT8" s="7" t="str">
        <f t="shared" si="102"/>
        <v/>
      </c>
      <c r="KU8" s="7" t="str">
        <f t="shared" si="103"/>
        <v/>
      </c>
      <c r="KV8" s="7" t="str">
        <f t="shared" si="104"/>
        <v/>
      </c>
      <c r="KW8" s="7" t="str">
        <f t="shared" si="105"/>
        <v/>
      </c>
      <c r="KX8" s="7" t="str">
        <f t="shared" si="106"/>
        <v/>
      </c>
      <c r="KY8" s="7" t="str">
        <f t="shared" si="107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8"/>
        <v/>
      </c>
      <c r="LP8" s="9" t="str">
        <f t="shared" si="109"/>
        <v/>
      </c>
      <c r="LQ8" s="9" t="str">
        <f t="shared" si="110"/>
        <v/>
      </c>
      <c r="LR8" s="9" t="str">
        <f t="shared" si="111"/>
        <v/>
      </c>
      <c r="LS8" s="9" t="str">
        <f t="shared" si="112"/>
        <v/>
      </c>
      <c r="LT8" s="9" t="str">
        <f t="shared" si="113"/>
        <v/>
      </c>
      <c r="LU8" s="9" t="str">
        <f t="shared" si="114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5"/>
        <v/>
      </c>
      <c r="ML8" s="7" t="str">
        <f t="shared" si="116"/>
        <v/>
      </c>
      <c r="MM8" s="7" t="str">
        <f t="shared" si="117"/>
        <v/>
      </c>
      <c r="MN8" s="7" t="str">
        <f t="shared" si="118"/>
        <v/>
      </c>
      <c r="MO8" s="7" t="str">
        <f t="shared" si="119"/>
        <v/>
      </c>
      <c r="MP8" s="7" t="str">
        <f t="shared" si="120"/>
        <v/>
      </c>
      <c r="MQ8" s="7" t="str">
        <f t="shared" si="121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2"/>
        <v/>
      </c>
      <c r="NH8" s="9" t="str">
        <f t="shared" si="123"/>
        <v/>
      </c>
      <c r="NI8" s="9" t="str">
        <f t="shared" si="124"/>
        <v/>
      </c>
      <c r="NJ8" s="9" t="str">
        <f t="shared" si="125"/>
        <v/>
      </c>
      <c r="NK8" s="9" t="str">
        <f t="shared" si="126"/>
        <v/>
      </c>
      <c r="NL8" s="9" t="str">
        <f t="shared" si="127"/>
        <v/>
      </c>
      <c r="NM8" s="9" t="str">
        <f t="shared" si="128"/>
        <v/>
      </c>
      <c r="NN8" s="27">
        <f t="shared" si="129"/>
        <v>16.2</v>
      </c>
      <c r="NO8" s="27">
        <f t="shared" si="129"/>
        <v>9.4499999999999993</v>
      </c>
      <c r="NP8" s="27">
        <f t="shared" si="129"/>
        <v>0</v>
      </c>
      <c r="NQ8" s="27">
        <f t="shared" si="129"/>
        <v>14.19</v>
      </c>
      <c r="NR8" s="27">
        <f t="shared" si="129"/>
        <v>0</v>
      </c>
      <c r="NS8" s="27">
        <f t="shared" si="129"/>
        <v>13.55</v>
      </c>
      <c r="NT8" s="27">
        <f t="shared" si="129"/>
        <v>9.1999999999999993</v>
      </c>
      <c r="NU8" s="27">
        <f t="shared" si="129"/>
        <v>11</v>
      </c>
      <c r="NV8" s="27">
        <f t="shared" si="129"/>
        <v>13.629999999999999</v>
      </c>
      <c r="NW8" s="27">
        <f t="shared" si="129"/>
        <v>0</v>
      </c>
      <c r="NX8" s="27">
        <f t="shared" si="130"/>
        <v>0</v>
      </c>
      <c r="NY8" s="27">
        <f t="shared" si="130"/>
        <v>0</v>
      </c>
      <c r="NZ8" s="27">
        <f t="shared" si="130"/>
        <v>0</v>
      </c>
      <c r="OA8" s="27">
        <f t="shared" si="130"/>
        <v>0</v>
      </c>
      <c r="OB8" s="27">
        <f t="shared" si="130"/>
        <v>0</v>
      </c>
      <c r="OC8" s="27">
        <f t="shared" si="130"/>
        <v>12.95</v>
      </c>
      <c r="OD8" s="27">
        <f t="shared" si="130"/>
        <v>9.3000000000000007</v>
      </c>
      <c r="OE8" s="27">
        <f t="shared" si="130"/>
        <v>10.95</v>
      </c>
      <c r="OF8" s="27">
        <f t="shared" si="130"/>
        <v>13.09</v>
      </c>
      <c r="OG8" s="27">
        <f t="shared" si="130"/>
        <v>0</v>
      </c>
      <c r="OH8" s="32" t="s">
        <v>44</v>
      </c>
      <c r="OI8" s="7">
        <f t="shared" si="131"/>
        <v>39.839999999999996</v>
      </c>
      <c r="OJ8" s="7">
        <f t="shared" si="132"/>
        <v>11</v>
      </c>
      <c r="OK8" s="7">
        <f t="shared" si="133"/>
        <v>47.379999999999995</v>
      </c>
      <c r="OL8" s="7" t="str">
        <f t="shared" si="134"/>
        <v/>
      </c>
      <c r="OM8" s="7" t="str">
        <f t="shared" si="135"/>
        <v/>
      </c>
      <c r="ON8" s="7">
        <f t="shared" si="136"/>
        <v>87.22</v>
      </c>
      <c r="OO8" s="7">
        <f t="shared" si="137"/>
        <v>10.95</v>
      </c>
      <c r="OP8" s="7">
        <f t="shared" ref="OP8" si="147">IF(SUM(OC8:OF8)-OG8&gt;0,SUM(OC8:OF8)-OG8,"")</f>
        <v>46.290000000000006</v>
      </c>
      <c r="OQ8" s="7">
        <f t="shared" ref="OQ8" si="148">IF(SUM(ON8,OP8)&gt;0,SUM(ON8,OP8),"")</f>
        <v>133.51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99</v>
      </c>
      <c r="C9" s="4" t="s">
        <v>3</v>
      </c>
      <c r="D9" s="4">
        <v>2009</v>
      </c>
      <c r="E9" s="10">
        <f t="shared" si="0"/>
        <v>220.42000000000002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86.92</v>
      </c>
      <c r="J9" s="9" t="str">
        <f t="shared" si="5"/>
        <v>2023 Elite Canada</v>
      </c>
      <c r="K9" s="9">
        <f t="shared" si="6"/>
        <v>41.68</v>
      </c>
      <c r="L9" s="9" t="str">
        <f t="shared" si="7"/>
        <v>2023 3rd Domestic Trial</v>
      </c>
      <c r="M9" s="9">
        <f t="shared" si="8"/>
        <v>43.31</v>
      </c>
      <c r="N9" s="9" t="str">
        <f t="shared" si="9"/>
        <v>2023 Nationals</v>
      </c>
      <c r="O9" s="9">
        <f t="shared" si="10"/>
        <v>48.510000000000005</v>
      </c>
      <c r="P9" s="9" t="str">
        <f t="shared" si="11"/>
        <v>2023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>
        <v>16</v>
      </c>
      <c r="U9" s="27">
        <v>9.3000000000000007</v>
      </c>
      <c r="V9" s="27">
        <v>0</v>
      </c>
      <c r="W9" s="27">
        <v>14.79</v>
      </c>
      <c r="X9" s="27">
        <v>0</v>
      </c>
      <c r="Y9" s="27">
        <v>14</v>
      </c>
      <c r="Z9" s="27">
        <v>9</v>
      </c>
      <c r="AA9" s="27">
        <v>9.6</v>
      </c>
      <c r="AB9" s="27">
        <v>14.23</v>
      </c>
      <c r="AC9" s="27">
        <v>0</v>
      </c>
      <c r="AD9" s="27"/>
      <c r="AE9" s="27"/>
      <c r="AF9" s="27"/>
      <c r="AG9" s="27"/>
      <c r="AH9" s="27"/>
      <c r="AI9" s="27">
        <v>2.9</v>
      </c>
      <c r="AJ9" s="27">
        <v>1.8</v>
      </c>
      <c r="AK9" s="27">
        <v>2.2999999999999998</v>
      </c>
      <c r="AL9" s="27">
        <v>3.06</v>
      </c>
      <c r="AM9" s="27">
        <v>0</v>
      </c>
      <c r="AN9" s="32"/>
      <c r="AO9" s="7">
        <f t="shared" si="15"/>
        <v>40.090000000000003</v>
      </c>
      <c r="AP9" s="7">
        <f t="shared" si="16"/>
        <v>9.6</v>
      </c>
      <c r="AQ9" s="7">
        <f t="shared" si="17"/>
        <v>46.83</v>
      </c>
      <c r="AR9" s="7" t="str">
        <f t="shared" si="18"/>
        <v/>
      </c>
      <c r="AS9" s="7" t="str">
        <f t="shared" si="19"/>
        <v/>
      </c>
      <c r="AT9" s="7">
        <f t="shared" si="20"/>
        <v>86.92</v>
      </c>
      <c r="AU9" s="7">
        <f t="shared" si="21"/>
        <v>2.2999999999999998</v>
      </c>
      <c r="AV9" s="7">
        <f t="shared" si="22"/>
        <v>10.06</v>
      </c>
      <c r="AW9" s="7">
        <f t="shared" si="140"/>
        <v>96.98</v>
      </c>
      <c r="AX9" s="31">
        <v>16.399999999999999</v>
      </c>
      <c r="AY9" s="31">
        <v>9</v>
      </c>
      <c r="AZ9" s="31">
        <v>0</v>
      </c>
      <c r="BA9" s="31">
        <v>14.69</v>
      </c>
      <c r="BB9" s="31">
        <v>0</v>
      </c>
      <c r="BC9" s="31">
        <v>13.7</v>
      </c>
      <c r="BD9" s="31">
        <v>8.1</v>
      </c>
      <c r="BE9" s="31">
        <v>8.3000000000000007</v>
      </c>
      <c r="BF9" s="31">
        <v>13.21</v>
      </c>
      <c r="BG9" s="31">
        <v>0</v>
      </c>
      <c r="BH9" s="31"/>
      <c r="BI9" s="31"/>
      <c r="BJ9" s="31"/>
      <c r="BK9" s="31"/>
      <c r="BL9" s="31"/>
      <c r="BM9" s="31">
        <v>15.4</v>
      </c>
      <c r="BN9" s="31">
        <v>9.1</v>
      </c>
      <c r="BO9" s="31">
        <v>9.6999999999999993</v>
      </c>
      <c r="BP9" s="31">
        <v>14.31</v>
      </c>
      <c r="BQ9" s="31">
        <v>0</v>
      </c>
      <c r="BR9" s="33"/>
      <c r="BS9" s="9">
        <f t="shared" si="23"/>
        <v>40.089999999999996</v>
      </c>
      <c r="BT9" s="9">
        <f t="shared" si="24"/>
        <v>8.3000000000000007</v>
      </c>
      <c r="BU9" s="9">
        <f t="shared" si="25"/>
        <v>43.31</v>
      </c>
      <c r="BV9" s="9" t="str">
        <f t="shared" si="26"/>
        <v/>
      </c>
      <c r="BW9" s="9" t="str">
        <f t="shared" si="27"/>
        <v/>
      </c>
      <c r="BX9" s="9">
        <f t="shared" si="28"/>
        <v>83.4</v>
      </c>
      <c r="BY9" s="9">
        <f t="shared" si="29"/>
        <v>9.6999999999999993</v>
      </c>
      <c r="BZ9" s="9">
        <f t="shared" si="30"/>
        <v>48.510000000000005</v>
      </c>
      <c r="CA9" s="9">
        <f t="shared" si="31"/>
        <v>131.91000000000003</v>
      </c>
      <c r="CB9" s="27">
        <v>17.399999999999999</v>
      </c>
      <c r="CC9" s="27">
        <v>9.4</v>
      </c>
      <c r="CD9" s="27">
        <v>0</v>
      </c>
      <c r="CE9" s="27">
        <v>14.88</v>
      </c>
      <c r="CF9" s="27">
        <v>0</v>
      </c>
      <c r="CG9" s="27">
        <v>12.2</v>
      </c>
      <c r="CH9" s="27">
        <v>8.3000000000000007</v>
      </c>
      <c r="CI9" s="27">
        <v>7.1999999999999993</v>
      </c>
      <c r="CJ9" s="27">
        <v>13.13</v>
      </c>
      <c r="CK9" s="27">
        <v>0</v>
      </c>
      <c r="CL9" s="27"/>
      <c r="CM9" s="27"/>
      <c r="CN9" s="27"/>
      <c r="CO9" s="27"/>
      <c r="CP9" s="27"/>
      <c r="CQ9" s="27">
        <v>14.3</v>
      </c>
      <c r="CR9" s="27">
        <v>9.1</v>
      </c>
      <c r="CS9" s="27">
        <v>10.299999999999999</v>
      </c>
      <c r="CT9" s="27">
        <v>14.3</v>
      </c>
      <c r="CU9" s="27">
        <v>0</v>
      </c>
      <c r="CV9" s="32"/>
      <c r="CW9" s="7">
        <f t="shared" si="32"/>
        <v>41.68</v>
      </c>
      <c r="CX9" s="7">
        <f t="shared" si="33"/>
        <v>7.1999999999999993</v>
      </c>
      <c r="CY9" s="7">
        <f t="shared" si="34"/>
        <v>40.83</v>
      </c>
      <c r="CZ9" s="7" t="str">
        <f t="shared" si="35"/>
        <v/>
      </c>
      <c r="DA9" s="7" t="str">
        <f t="shared" si="36"/>
        <v/>
      </c>
      <c r="DB9" s="7">
        <f t="shared" si="37"/>
        <v>82.509999999999991</v>
      </c>
      <c r="DC9" s="7">
        <f t="shared" si="38"/>
        <v>10.299999999999999</v>
      </c>
      <c r="DD9" s="7">
        <f t="shared" si="39"/>
        <v>48</v>
      </c>
      <c r="DE9" s="7">
        <f t="shared" si="40"/>
        <v>130.51</v>
      </c>
      <c r="DF9" s="13" t="str">
        <f t="shared" si="41"/>
        <v/>
      </c>
      <c r="DG9" s="13" t="str">
        <f t="shared" si="42"/>
        <v/>
      </c>
      <c r="DH9" s="13" t="str">
        <f t="shared" si="43"/>
        <v/>
      </c>
      <c r="DI9" s="13" t="str">
        <f t="shared" si="44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5"/>
        <v/>
      </c>
      <c r="DZ9" s="7" t="str">
        <f t="shared" si="46"/>
        <v/>
      </c>
      <c r="EA9" s="7" t="str">
        <f t="shared" si="47"/>
        <v/>
      </c>
      <c r="EB9" s="7" t="str">
        <f t="shared" si="48"/>
        <v/>
      </c>
      <c r="EC9" s="7" t="str">
        <f t="shared" si="49"/>
        <v/>
      </c>
      <c r="ED9" s="7" t="str">
        <f t="shared" si="50"/>
        <v/>
      </c>
      <c r="EE9" s="7" t="str">
        <f t="shared" si="51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2"/>
        <v/>
      </c>
      <c r="EV9" s="9" t="str">
        <f t="shared" si="53"/>
        <v/>
      </c>
      <c r="EW9" s="9" t="str">
        <f t="shared" si="54"/>
        <v/>
      </c>
      <c r="EX9" s="9" t="str">
        <f t="shared" si="55"/>
        <v/>
      </c>
      <c r="EY9" s="9" t="str">
        <f t="shared" si="56"/>
        <v/>
      </c>
      <c r="EZ9" s="9" t="str">
        <f t="shared" si="57"/>
        <v/>
      </c>
      <c r="FA9" s="9" t="str">
        <f t="shared" si="58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59"/>
        <v/>
      </c>
      <c r="FR9" s="7" t="str">
        <f t="shared" si="60"/>
        <v/>
      </c>
      <c r="FS9" s="7" t="str">
        <f t="shared" si="61"/>
        <v/>
      </c>
      <c r="FT9" s="7" t="str">
        <f t="shared" si="62"/>
        <v/>
      </c>
      <c r="FU9" s="7" t="str">
        <f t="shared" si="63"/>
        <v/>
      </c>
      <c r="FV9" s="7" t="str">
        <f t="shared" si="64"/>
        <v/>
      </c>
      <c r="FW9" s="7" t="str">
        <f t="shared" si="65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6"/>
        <v/>
      </c>
      <c r="GN9" s="9" t="str">
        <f t="shared" si="67"/>
        <v/>
      </c>
      <c r="GO9" s="9" t="str">
        <f t="shared" si="68"/>
        <v/>
      </c>
      <c r="GP9" s="9" t="str">
        <f t="shared" si="69"/>
        <v/>
      </c>
      <c r="GQ9" s="9" t="str">
        <f t="shared" si="70"/>
        <v/>
      </c>
      <c r="GR9" s="9" t="str">
        <f t="shared" si="71"/>
        <v/>
      </c>
      <c r="GS9" s="9" t="str">
        <f t="shared" si="72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3"/>
        <v/>
      </c>
      <c r="HJ9" s="7" t="str">
        <f t="shared" si="74"/>
        <v/>
      </c>
      <c r="HK9" s="7" t="str">
        <f t="shared" si="75"/>
        <v/>
      </c>
      <c r="HL9" s="7" t="str">
        <f t="shared" si="76"/>
        <v/>
      </c>
      <c r="HM9" s="7" t="str">
        <f t="shared" si="77"/>
        <v/>
      </c>
      <c r="HN9" s="7" t="str">
        <f t="shared" si="78"/>
        <v/>
      </c>
      <c r="HO9" s="7" t="str">
        <f t="shared" si="79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0"/>
        <v/>
      </c>
      <c r="IF9" s="9" t="str">
        <f t="shared" si="81"/>
        <v/>
      </c>
      <c r="IG9" s="9" t="str">
        <f t="shared" si="82"/>
        <v/>
      </c>
      <c r="IH9" s="9" t="str">
        <f t="shared" si="83"/>
        <v/>
      </c>
      <c r="II9" s="9" t="str">
        <f t="shared" si="84"/>
        <v/>
      </c>
      <c r="IJ9" s="9" t="str">
        <f t="shared" si="85"/>
        <v/>
      </c>
      <c r="IK9" s="9" t="str">
        <f t="shared" si="86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7"/>
        <v/>
      </c>
      <c r="JB9" s="7" t="str">
        <f t="shared" si="88"/>
        <v/>
      </c>
      <c r="JC9" s="7" t="str">
        <f t="shared" si="89"/>
        <v/>
      </c>
      <c r="JD9" s="7" t="str">
        <f t="shared" si="90"/>
        <v/>
      </c>
      <c r="JE9" s="7" t="str">
        <f t="shared" si="91"/>
        <v/>
      </c>
      <c r="JF9" s="7" t="str">
        <f t="shared" si="92"/>
        <v/>
      </c>
      <c r="JG9" s="7" t="str">
        <f t="shared" si="93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4"/>
        <v/>
      </c>
      <c r="JX9" s="9" t="str">
        <f t="shared" si="95"/>
        <v/>
      </c>
      <c r="JY9" s="9" t="str">
        <f t="shared" si="96"/>
        <v/>
      </c>
      <c r="JZ9" s="9" t="str">
        <f t="shared" si="97"/>
        <v/>
      </c>
      <c r="KA9" s="9" t="str">
        <f t="shared" si="98"/>
        <v/>
      </c>
      <c r="KB9" s="9" t="str">
        <f t="shared" si="99"/>
        <v/>
      </c>
      <c r="KC9" s="9" t="str">
        <f t="shared" si="100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1"/>
        <v/>
      </c>
      <c r="KT9" s="7" t="str">
        <f t="shared" si="102"/>
        <v/>
      </c>
      <c r="KU9" s="7" t="str">
        <f t="shared" si="103"/>
        <v/>
      </c>
      <c r="KV9" s="7" t="str">
        <f t="shared" si="104"/>
        <v/>
      </c>
      <c r="KW9" s="7" t="str">
        <f t="shared" si="105"/>
        <v/>
      </c>
      <c r="KX9" s="7" t="str">
        <f t="shared" si="106"/>
        <v/>
      </c>
      <c r="KY9" s="7" t="str">
        <f t="shared" si="107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8"/>
        <v/>
      </c>
      <c r="LP9" s="9" t="str">
        <f t="shared" si="109"/>
        <v/>
      </c>
      <c r="LQ9" s="9" t="str">
        <f t="shared" si="110"/>
        <v/>
      </c>
      <c r="LR9" s="9" t="str">
        <f t="shared" si="111"/>
        <v/>
      </c>
      <c r="LS9" s="9" t="str">
        <f t="shared" si="112"/>
        <v/>
      </c>
      <c r="LT9" s="9" t="str">
        <f t="shared" si="113"/>
        <v/>
      </c>
      <c r="LU9" s="9" t="str">
        <f t="shared" si="114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5"/>
        <v/>
      </c>
      <c r="ML9" s="7" t="str">
        <f t="shared" si="116"/>
        <v/>
      </c>
      <c r="MM9" s="7" t="str">
        <f t="shared" si="117"/>
        <v/>
      </c>
      <c r="MN9" s="7" t="str">
        <f t="shared" si="118"/>
        <v/>
      </c>
      <c r="MO9" s="7" t="str">
        <f t="shared" si="119"/>
        <v/>
      </c>
      <c r="MP9" s="7" t="str">
        <f t="shared" si="120"/>
        <v/>
      </c>
      <c r="MQ9" s="7" t="str">
        <f t="shared" si="121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2"/>
        <v/>
      </c>
      <c r="NH9" s="9" t="str">
        <f t="shared" si="123"/>
        <v/>
      </c>
      <c r="NI9" s="9" t="str">
        <f t="shared" si="124"/>
        <v/>
      </c>
      <c r="NJ9" s="9" t="str">
        <f t="shared" si="125"/>
        <v/>
      </c>
      <c r="NK9" s="9" t="str">
        <f t="shared" si="126"/>
        <v/>
      </c>
      <c r="NL9" s="9" t="str">
        <f t="shared" si="127"/>
        <v/>
      </c>
      <c r="NM9" s="9" t="str">
        <f t="shared" si="128"/>
        <v/>
      </c>
      <c r="NN9" s="27">
        <f t="shared" si="129"/>
        <v>16.899999999999999</v>
      </c>
      <c r="NO9" s="27">
        <f t="shared" si="129"/>
        <v>9.1999999999999993</v>
      </c>
      <c r="NP9" s="27">
        <f t="shared" si="129"/>
        <v>0</v>
      </c>
      <c r="NQ9" s="27">
        <f t="shared" si="129"/>
        <v>14.785</v>
      </c>
      <c r="NR9" s="27">
        <f t="shared" si="129"/>
        <v>0</v>
      </c>
      <c r="NS9" s="27">
        <f t="shared" si="129"/>
        <v>12.95</v>
      </c>
      <c r="NT9" s="27">
        <f t="shared" si="129"/>
        <v>8.1999999999999993</v>
      </c>
      <c r="NU9" s="27">
        <f t="shared" si="129"/>
        <v>7.75</v>
      </c>
      <c r="NV9" s="27">
        <f t="shared" si="129"/>
        <v>13.170000000000002</v>
      </c>
      <c r="NW9" s="27">
        <f t="shared" si="129"/>
        <v>0</v>
      </c>
      <c r="NX9" s="27">
        <f t="shared" si="130"/>
        <v>0</v>
      </c>
      <c r="NY9" s="27">
        <f t="shared" si="130"/>
        <v>0</v>
      </c>
      <c r="NZ9" s="27">
        <f t="shared" si="130"/>
        <v>0</v>
      </c>
      <c r="OA9" s="27">
        <f t="shared" si="130"/>
        <v>0</v>
      </c>
      <c r="OB9" s="27">
        <f t="shared" si="130"/>
        <v>0</v>
      </c>
      <c r="OC9" s="27">
        <f t="shared" si="130"/>
        <v>14.850000000000001</v>
      </c>
      <c r="OD9" s="27">
        <f t="shared" si="130"/>
        <v>9.1</v>
      </c>
      <c r="OE9" s="27">
        <f t="shared" si="130"/>
        <v>10</v>
      </c>
      <c r="OF9" s="27">
        <f t="shared" si="130"/>
        <v>14.305</v>
      </c>
      <c r="OG9" s="27">
        <f t="shared" si="130"/>
        <v>0</v>
      </c>
      <c r="OH9" s="32" t="s">
        <v>44</v>
      </c>
      <c r="OI9" s="7">
        <f t="shared" si="131"/>
        <v>40.884999999999998</v>
      </c>
      <c r="OJ9" s="7">
        <f t="shared" si="132"/>
        <v>7.75</v>
      </c>
      <c r="OK9" s="7">
        <f t="shared" si="133"/>
        <v>42.07</v>
      </c>
      <c r="OL9" s="7" t="str">
        <f t="shared" si="134"/>
        <v/>
      </c>
      <c r="OM9" s="7" t="str">
        <f t="shared" si="135"/>
        <v/>
      </c>
      <c r="ON9" s="7">
        <f t="shared" si="136"/>
        <v>82.954999999999998</v>
      </c>
      <c r="OO9" s="7">
        <f t="shared" si="137"/>
        <v>10</v>
      </c>
      <c r="OP9" s="7">
        <f t="shared" ref="OP9" si="149">IF(SUM(OC9:OF9)-OG9&gt;0,SUM(OC9:OF9)-OG9,"")</f>
        <v>48.255000000000003</v>
      </c>
      <c r="OQ9" s="7">
        <f t="shared" ref="OQ9" si="150">IF(SUM(ON9,OP9)&gt;0,SUM(ON9,OP9),"")</f>
        <v>131.21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 t="shared" si="0"/>
        <v>183.29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80.010000000000005</v>
      </c>
      <c r="J10" s="9" t="str">
        <f t="shared" si="5"/>
        <v>2023 Nationals</v>
      </c>
      <c r="K10" s="9">
        <f t="shared" si="6"/>
        <v>38.69</v>
      </c>
      <c r="L10" s="9" t="str">
        <f t="shared" si="7"/>
        <v>2023 Elite Canada</v>
      </c>
      <c r="M10" s="9">
        <f t="shared" si="8"/>
        <v>18.71</v>
      </c>
      <c r="N10" s="9" t="str">
        <f t="shared" si="9"/>
        <v>2023 3rd Domestic Trial</v>
      </c>
      <c r="O10" s="9">
        <f t="shared" si="10"/>
        <v>45.879999999999995</v>
      </c>
      <c r="P10" s="9" t="str">
        <f t="shared" si="11"/>
        <v>2023 3rd Domestic Trial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 t="shared" si="15"/>
        <v>38.69</v>
      </c>
      <c r="AP10" s="7">
        <f t="shared" si="16"/>
        <v>1.9</v>
      </c>
      <c r="AQ10" s="7">
        <f t="shared" si="17"/>
        <v>8.84</v>
      </c>
      <c r="AR10" s="7" t="str">
        <f t="shared" si="18"/>
        <v/>
      </c>
      <c r="AS10" s="7" t="str">
        <f t="shared" si="19"/>
        <v/>
      </c>
      <c r="AT10" s="7">
        <f t="shared" si="20"/>
        <v>47.53</v>
      </c>
      <c r="AU10" s="7" t="str">
        <f t="shared" si="21"/>
        <v/>
      </c>
      <c r="AV10" s="7" t="str">
        <f t="shared" si="22"/>
        <v/>
      </c>
      <c r="AW10" s="7">
        <f t="shared" si="140"/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 t="shared" si="23"/>
        <v>37.450000000000003</v>
      </c>
      <c r="BT10" s="9">
        <f t="shared" si="24"/>
        <v>9.8000000000000007</v>
      </c>
      <c r="BU10" s="9">
        <f t="shared" si="25"/>
        <v>42.56</v>
      </c>
      <c r="BV10" s="9" t="str">
        <f t="shared" si="26"/>
        <v/>
      </c>
      <c r="BW10" s="9" t="str">
        <f t="shared" si="27"/>
        <v/>
      </c>
      <c r="BX10" s="9">
        <f t="shared" si="28"/>
        <v>80.010000000000005</v>
      </c>
      <c r="BY10" s="9">
        <f t="shared" si="29"/>
        <v>5.4</v>
      </c>
      <c r="BZ10" s="9">
        <f t="shared" si="30"/>
        <v>23.38</v>
      </c>
      <c r="CA10" s="9">
        <f t="shared" si="31"/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 t="shared" si="32"/>
        <v>38.47</v>
      </c>
      <c r="CX10" s="7">
        <f t="shared" si="33"/>
        <v>4.3</v>
      </c>
      <c r="CY10" s="7">
        <f t="shared" si="34"/>
        <v>18.71</v>
      </c>
      <c r="CZ10" s="7" t="str">
        <f t="shared" si="35"/>
        <v/>
      </c>
      <c r="DA10" s="7" t="str">
        <f t="shared" si="36"/>
        <v/>
      </c>
      <c r="DB10" s="7">
        <f t="shared" si="37"/>
        <v>57.18</v>
      </c>
      <c r="DC10" s="7">
        <f t="shared" si="38"/>
        <v>9.8000000000000007</v>
      </c>
      <c r="DD10" s="7">
        <f t="shared" si="39"/>
        <v>45.879999999999995</v>
      </c>
      <c r="DE10" s="7">
        <f t="shared" si="40"/>
        <v>103.06</v>
      </c>
      <c r="DF10" s="13" t="str">
        <f t="shared" si="41"/>
        <v/>
      </c>
      <c r="DG10" s="13" t="str">
        <f t="shared" si="42"/>
        <v/>
      </c>
      <c r="DH10" s="13" t="str">
        <f t="shared" si="43"/>
        <v/>
      </c>
      <c r="DI10" s="13" t="str">
        <f t="shared" si="44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5"/>
        <v/>
      </c>
      <c r="DZ10" s="7" t="str">
        <f t="shared" si="46"/>
        <v/>
      </c>
      <c r="EA10" s="7" t="str">
        <f t="shared" si="47"/>
        <v/>
      </c>
      <c r="EB10" s="7" t="str">
        <f t="shared" si="48"/>
        <v/>
      </c>
      <c r="EC10" s="7" t="str">
        <f t="shared" si="49"/>
        <v/>
      </c>
      <c r="ED10" s="7" t="str">
        <f t="shared" si="50"/>
        <v/>
      </c>
      <c r="EE10" s="7" t="str">
        <f t="shared" si="51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2"/>
        <v/>
      </c>
      <c r="EV10" s="9" t="str">
        <f t="shared" si="53"/>
        <v/>
      </c>
      <c r="EW10" s="9" t="str">
        <f t="shared" si="54"/>
        <v/>
      </c>
      <c r="EX10" s="9" t="str">
        <f t="shared" si="55"/>
        <v/>
      </c>
      <c r="EY10" s="9" t="str">
        <f t="shared" si="56"/>
        <v/>
      </c>
      <c r="EZ10" s="9" t="str">
        <f t="shared" si="57"/>
        <v/>
      </c>
      <c r="FA10" s="9" t="str">
        <f t="shared" si="58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59"/>
        <v/>
      </c>
      <c r="FR10" s="7" t="str">
        <f t="shared" si="60"/>
        <v/>
      </c>
      <c r="FS10" s="7" t="str">
        <f t="shared" si="61"/>
        <v/>
      </c>
      <c r="FT10" s="7" t="str">
        <f t="shared" si="62"/>
        <v/>
      </c>
      <c r="FU10" s="7" t="str">
        <f t="shared" si="63"/>
        <v/>
      </c>
      <c r="FV10" s="7" t="str">
        <f t="shared" si="64"/>
        <v/>
      </c>
      <c r="FW10" s="7" t="str">
        <f t="shared" si="65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6"/>
        <v/>
      </c>
      <c r="GN10" s="9" t="str">
        <f t="shared" si="67"/>
        <v/>
      </c>
      <c r="GO10" s="9" t="str">
        <f t="shared" si="68"/>
        <v/>
      </c>
      <c r="GP10" s="9" t="str">
        <f t="shared" si="69"/>
        <v/>
      </c>
      <c r="GQ10" s="9" t="str">
        <f t="shared" si="70"/>
        <v/>
      </c>
      <c r="GR10" s="9" t="str">
        <f t="shared" si="71"/>
        <v/>
      </c>
      <c r="GS10" s="9" t="str">
        <f t="shared" si="72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3"/>
        <v/>
      </c>
      <c r="HJ10" s="7" t="str">
        <f t="shared" si="74"/>
        <v/>
      </c>
      <c r="HK10" s="7" t="str">
        <f t="shared" si="75"/>
        <v/>
      </c>
      <c r="HL10" s="7" t="str">
        <f t="shared" si="76"/>
        <v/>
      </c>
      <c r="HM10" s="7" t="str">
        <f t="shared" si="77"/>
        <v/>
      </c>
      <c r="HN10" s="7" t="str">
        <f t="shared" si="78"/>
        <v/>
      </c>
      <c r="HO10" s="7" t="str">
        <f t="shared" si="79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0"/>
        <v/>
      </c>
      <c r="IF10" s="9" t="str">
        <f t="shared" si="81"/>
        <v/>
      </c>
      <c r="IG10" s="9" t="str">
        <f t="shared" si="82"/>
        <v/>
      </c>
      <c r="IH10" s="9" t="str">
        <f t="shared" si="83"/>
        <v/>
      </c>
      <c r="II10" s="9" t="str">
        <f t="shared" si="84"/>
        <v/>
      </c>
      <c r="IJ10" s="9" t="str">
        <f t="shared" si="85"/>
        <v/>
      </c>
      <c r="IK10" s="9" t="str">
        <f t="shared" si="86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7"/>
        <v/>
      </c>
      <c r="JB10" s="7" t="str">
        <f t="shared" si="88"/>
        <v/>
      </c>
      <c r="JC10" s="7" t="str">
        <f t="shared" si="89"/>
        <v/>
      </c>
      <c r="JD10" s="7" t="str">
        <f t="shared" si="90"/>
        <v/>
      </c>
      <c r="JE10" s="7" t="str">
        <f t="shared" si="91"/>
        <v/>
      </c>
      <c r="JF10" s="7" t="str">
        <f t="shared" si="92"/>
        <v/>
      </c>
      <c r="JG10" s="7" t="str">
        <f t="shared" si="93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4"/>
        <v/>
      </c>
      <c r="JX10" s="9" t="str">
        <f t="shared" si="95"/>
        <v/>
      </c>
      <c r="JY10" s="9" t="str">
        <f t="shared" si="96"/>
        <v/>
      </c>
      <c r="JZ10" s="9" t="str">
        <f t="shared" si="97"/>
        <v/>
      </c>
      <c r="KA10" s="9" t="str">
        <f t="shared" si="98"/>
        <v/>
      </c>
      <c r="KB10" s="9" t="str">
        <f t="shared" si="99"/>
        <v/>
      </c>
      <c r="KC10" s="9" t="str">
        <f t="shared" si="100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1"/>
        <v/>
      </c>
      <c r="KT10" s="7" t="str">
        <f t="shared" si="102"/>
        <v/>
      </c>
      <c r="KU10" s="7" t="str">
        <f t="shared" si="103"/>
        <v/>
      </c>
      <c r="KV10" s="7" t="str">
        <f t="shared" si="104"/>
        <v/>
      </c>
      <c r="KW10" s="7" t="str">
        <f t="shared" si="105"/>
        <v/>
      </c>
      <c r="KX10" s="7" t="str">
        <f t="shared" si="106"/>
        <v/>
      </c>
      <c r="KY10" s="7" t="str">
        <f t="shared" si="107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8"/>
        <v/>
      </c>
      <c r="LP10" s="9" t="str">
        <f t="shared" si="109"/>
        <v/>
      </c>
      <c r="LQ10" s="9" t="str">
        <f t="shared" si="110"/>
        <v/>
      </c>
      <c r="LR10" s="9" t="str">
        <f t="shared" si="111"/>
        <v/>
      </c>
      <c r="LS10" s="9" t="str">
        <f t="shared" si="112"/>
        <v/>
      </c>
      <c r="LT10" s="9" t="str">
        <f t="shared" si="113"/>
        <v/>
      </c>
      <c r="LU10" s="9" t="str">
        <f t="shared" si="114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5"/>
        <v/>
      </c>
      <c r="ML10" s="7" t="str">
        <f t="shared" si="116"/>
        <v/>
      </c>
      <c r="MM10" s="7" t="str">
        <f t="shared" si="117"/>
        <v/>
      </c>
      <c r="MN10" s="7" t="str">
        <f t="shared" si="118"/>
        <v/>
      </c>
      <c r="MO10" s="7" t="str">
        <f t="shared" si="119"/>
        <v/>
      </c>
      <c r="MP10" s="7" t="str">
        <f t="shared" si="120"/>
        <v/>
      </c>
      <c r="MQ10" s="7" t="str">
        <f t="shared" si="121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2"/>
        <v/>
      </c>
      <c r="NH10" s="9" t="str">
        <f t="shared" si="123"/>
        <v/>
      </c>
      <c r="NI10" s="9" t="str">
        <f t="shared" si="124"/>
        <v/>
      </c>
      <c r="NJ10" s="9" t="str">
        <f t="shared" si="125"/>
        <v/>
      </c>
      <c r="NK10" s="9" t="str">
        <f t="shared" si="126"/>
        <v/>
      </c>
      <c r="NL10" s="9" t="str">
        <f t="shared" si="127"/>
        <v/>
      </c>
      <c r="NM10" s="9" t="str">
        <f t="shared" si="128"/>
        <v/>
      </c>
      <c r="NN10" s="27">
        <f t="shared" si="129"/>
        <v>15.3</v>
      </c>
      <c r="NO10" s="27">
        <f t="shared" si="129"/>
        <v>9.4</v>
      </c>
      <c r="NP10" s="27">
        <f t="shared" si="129"/>
        <v>0</v>
      </c>
      <c r="NQ10" s="27">
        <f t="shared" si="129"/>
        <v>13.26</v>
      </c>
      <c r="NR10" s="27">
        <f t="shared" si="129"/>
        <v>0</v>
      </c>
      <c r="NS10" s="27">
        <f t="shared" si="129"/>
        <v>8.1999999999999993</v>
      </c>
      <c r="NT10" s="27">
        <f t="shared" si="129"/>
        <v>6.3</v>
      </c>
      <c r="NU10" s="27">
        <f t="shared" si="129"/>
        <v>7.0500000000000007</v>
      </c>
      <c r="NV10" s="27">
        <f t="shared" si="129"/>
        <v>9.0850000000000009</v>
      </c>
      <c r="NW10" s="27">
        <f t="shared" si="129"/>
        <v>0</v>
      </c>
      <c r="NX10" s="27">
        <f t="shared" si="130"/>
        <v>0</v>
      </c>
      <c r="NY10" s="27">
        <f t="shared" si="130"/>
        <v>0</v>
      </c>
      <c r="NZ10" s="27">
        <f t="shared" si="130"/>
        <v>0</v>
      </c>
      <c r="OA10" s="27">
        <f t="shared" si="130"/>
        <v>0</v>
      </c>
      <c r="OB10" s="27">
        <f t="shared" si="130"/>
        <v>0</v>
      </c>
      <c r="OC10" s="27">
        <f t="shared" si="130"/>
        <v>10.5</v>
      </c>
      <c r="OD10" s="27">
        <f t="shared" si="130"/>
        <v>6.6499999999999995</v>
      </c>
      <c r="OE10" s="27">
        <f t="shared" si="130"/>
        <v>7.6000000000000005</v>
      </c>
      <c r="OF10" s="27">
        <f t="shared" si="130"/>
        <v>9.879999999999999</v>
      </c>
      <c r="OG10" s="27">
        <f t="shared" si="130"/>
        <v>0</v>
      </c>
      <c r="OH10" s="32" t="s">
        <v>44</v>
      </c>
      <c r="OI10" s="7">
        <f t="shared" si="131"/>
        <v>37.96</v>
      </c>
      <c r="OJ10" s="7">
        <f t="shared" si="132"/>
        <v>7.0500000000000007</v>
      </c>
      <c r="OK10" s="7">
        <f t="shared" si="133"/>
        <v>30.635000000000002</v>
      </c>
      <c r="OL10" s="7" t="str">
        <f t="shared" si="134"/>
        <v/>
      </c>
      <c r="OM10" s="7" t="str">
        <f t="shared" si="135"/>
        <v/>
      </c>
      <c r="ON10" s="7">
        <f t="shared" si="136"/>
        <v>68.594999999999999</v>
      </c>
      <c r="OO10" s="7">
        <f t="shared" si="137"/>
        <v>7.6000000000000005</v>
      </c>
      <c r="OP10" s="7">
        <f t="shared" ref="OP10" si="151">IF(SUM(OC10:OF10)-OG10&gt;0,SUM(OC10:OF10)-OG10,"")</f>
        <v>34.629999999999995</v>
      </c>
      <c r="OQ10" s="7">
        <f t="shared" ref="OQ10" si="152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 t="shared" si="0"/>
        <v>179.3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83.289999999999992</v>
      </c>
      <c r="J11" s="9" t="str">
        <f t="shared" si="5"/>
        <v>2023 Nationals</v>
      </c>
      <c r="K11" s="9">
        <f t="shared" si="6"/>
        <v>7.9</v>
      </c>
      <c r="L11" s="9" t="str">
        <f t="shared" si="7"/>
        <v>2023 3rd Domestic Trial</v>
      </c>
      <c r="M11" s="9">
        <f t="shared" si="8"/>
        <v>41.53</v>
      </c>
      <c r="N11" s="9" t="str">
        <f t="shared" si="9"/>
        <v>2023 3rd Domestic Trial</v>
      </c>
      <c r="O11" s="9">
        <f t="shared" si="10"/>
        <v>46.58</v>
      </c>
      <c r="P11" s="9" t="str">
        <f t="shared" si="11"/>
        <v>2023 Nationals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140"/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 t="shared" si="23"/>
        <v>39.04</v>
      </c>
      <c r="BT11" s="9">
        <f t="shared" si="24"/>
        <v>9.6</v>
      </c>
      <c r="BU11" s="9">
        <f t="shared" si="25"/>
        <v>44.25</v>
      </c>
      <c r="BV11" s="9" t="str">
        <f t="shared" si="26"/>
        <v/>
      </c>
      <c r="BW11" s="9" t="str">
        <f t="shared" si="27"/>
        <v/>
      </c>
      <c r="BX11" s="9">
        <f t="shared" si="28"/>
        <v>83.289999999999992</v>
      </c>
      <c r="BY11" s="9">
        <f t="shared" si="29"/>
        <v>9.6</v>
      </c>
      <c r="BZ11" s="9">
        <f t="shared" si="30"/>
        <v>46.58</v>
      </c>
      <c r="CA11" s="9">
        <f t="shared" si="31"/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 t="shared" si="32"/>
        <v>7.9</v>
      </c>
      <c r="CX11" s="7">
        <f t="shared" si="33"/>
        <v>8.8999999999999986</v>
      </c>
      <c r="CY11" s="7">
        <f t="shared" si="34"/>
        <v>41.53</v>
      </c>
      <c r="CZ11" s="7" t="str">
        <f t="shared" si="35"/>
        <v/>
      </c>
      <c r="DA11" s="7" t="str">
        <f t="shared" si="36"/>
        <v/>
      </c>
      <c r="DB11" s="7">
        <f t="shared" si="37"/>
        <v>49.43</v>
      </c>
      <c r="DC11" s="7" t="str">
        <f t="shared" si="38"/>
        <v/>
      </c>
      <c r="DD11" s="7" t="str">
        <f t="shared" si="39"/>
        <v/>
      </c>
      <c r="DE11" s="7">
        <f t="shared" si="40"/>
        <v>49.43</v>
      </c>
      <c r="DF11" s="13" t="str">
        <f t="shared" si="41"/>
        <v/>
      </c>
      <c r="DG11" s="13" t="str">
        <f t="shared" si="42"/>
        <v/>
      </c>
      <c r="DH11" s="13" t="str">
        <f t="shared" si="43"/>
        <v/>
      </c>
      <c r="DI11" s="13" t="str">
        <f t="shared" si="44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5"/>
        <v/>
      </c>
      <c r="DZ11" s="7" t="str">
        <f t="shared" si="46"/>
        <v/>
      </c>
      <c r="EA11" s="7" t="str">
        <f t="shared" si="47"/>
        <v/>
      </c>
      <c r="EB11" s="7" t="str">
        <f t="shared" si="48"/>
        <v/>
      </c>
      <c r="EC11" s="7" t="str">
        <f t="shared" si="49"/>
        <v/>
      </c>
      <c r="ED11" s="7" t="str">
        <f t="shared" si="50"/>
        <v/>
      </c>
      <c r="EE11" s="7" t="str">
        <f t="shared" si="51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2"/>
        <v/>
      </c>
      <c r="EV11" s="9" t="str">
        <f t="shared" si="53"/>
        <v/>
      </c>
      <c r="EW11" s="9" t="str">
        <f t="shared" si="54"/>
        <v/>
      </c>
      <c r="EX11" s="9" t="str">
        <f t="shared" si="55"/>
        <v/>
      </c>
      <c r="EY11" s="9" t="str">
        <f t="shared" si="56"/>
        <v/>
      </c>
      <c r="EZ11" s="9" t="str">
        <f t="shared" si="57"/>
        <v/>
      </c>
      <c r="FA11" s="9" t="str">
        <f t="shared" si="58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59"/>
        <v/>
      </c>
      <c r="FR11" s="7" t="str">
        <f t="shared" si="60"/>
        <v/>
      </c>
      <c r="FS11" s="7" t="str">
        <f t="shared" si="61"/>
        <v/>
      </c>
      <c r="FT11" s="7" t="str">
        <f t="shared" si="62"/>
        <v/>
      </c>
      <c r="FU11" s="7" t="str">
        <f t="shared" si="63"/>
        <v/>
      </c>
      <c r="FV11" s="7" t="str">
        <f t="shared" si="64"/>
        <v/>
      </c>
      <c r="FW11" s="7" t="str">
        <f t="shared" si="65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6"/>
        <v/>
      </c>
      <c r="GN11" s="9" t="str">
        <f t="shared" si="67"/>
        <v/>
      </c>
      <c r="GO11" s="9" t="str">
        <f t="shared" si="68"/>
        <v/>
      </c>
      <c r="GP11" s="9" t="str">
        <f t="shared" si="69"/>
        <v/>
      </c>
      <c r="GQ11" s="9" t="str">
        <f t="shared" si="70"/>
        <v/>
      </c>
      <c r="GR11" s="9" t="str">
        <f t="shared" si="71"/>
        <v/>
      </c>
      <c r="GS11" s="9" t="str">
        <f t="shared" si="72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3"/>
        <v/>
      </c>
      <c r="HJ11" s="7" t="str">
        <f t="shared" si="74"/>
        <v/>
      </c>
      <c r="HK11" s="7" t="str">
        <f t="shared" si="75"/>
        <v/>
      </c>
      <c r="HL11" s="7" t="str">
        <f t="shared" si="76"/>
        <v/>
      </c>
      <c r="HM11" s="7" t="str">
        <f t="shared" si="77"/>
        <v/>
      </c>
      <c r="HN11" s="7" t="str">
        <f t="shared" si="78"/>
        <v/>
      </c>
      <c r="HO11" s="7" t="str">
        <f t="shared" si="79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0"/>
        <v/>
      </c>
      <c r="IF11" s="9" t="str">
        <f t="shared" si="81"/>
        <v/>
      </c>
      <c r="IG11" s="9" t="str">
        <f t="shared" si="82"/>
        <v/>
      </c>
      <c r="IH11" s="9" t="str">
        <f t="shared" si="83"/>
        <v/>
      </c>
      <c r="II11" s="9" t="str">
        <f t="shared" si="84"/>
        <v/>
      </c>
      <c r="IJ11" s="9" t="str">
        <f t="shared" si="85"/>
        <v/>
      </c>
      <c r="IK11" s="9" t="str">
        <f t="shared" si="86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7"/>
        <v/>
      </c>
      <c r="JB11" s="7" t="str">
        <f t="shared" si="88"/>
        <v/>
      </c>
      <c r="JC11" s="7" t="str">
        <f t="shared" si="89"/>
        <v/>
      </c>
      <c r="JD11" s="7" t="str">
        <f t="shared" si="90"/>
        <v/>
      </c>
      <c r="JE11" s="7" t="str">
        <f t="shared" si="91"/>
        <v/>
      </c>
      <c r="JF11" s="7" t="str">
        <f t="shared" si="92"/>
        <v/>
      </c>
      <c r="JG11" s="7" t="str">
        <f t="shared" si="93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4"/>
        <v/>
      </c>
      <c r="JX11" s="9" t="str">
        <f t="shared" si="95"/>
        <v/>
      </c>
      <c r="JY11" s="9" t="str">
        <f t="shared" si="96"/>
        <v/>
      </c>
      <c r="JZ11" s="9" t="str">
        <f t="shared" si="97"/>
        <v/>
      </c>
      <c r="KA11" s="9" t="str">
        <f t="shared" si="98"/>
        <v/>
      </c>
      <c r="KB11" s="9" t="str">
        <f t="shared" si="99"/>
        <v/>
      </c>
      <c r="KC11" s="9" t="str">
        <f t="shared" si="100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1"/>
        <v/>
      </c>
      <c r="KT11" s="7" t="str">
        <f t="shared" si="102"/>
        <v/>
      </c>
      <c r="KU11" s="7" t="str">
        <f t="shared" si="103"/>
        <v/>
      </c>
      <c r="KV11" s="7" t="str">
        <f t="shared" si="104"/>
        <v/>
      </c>
      <c r="KW11" s="7" t="str">
        <f t="shared" si="105"/>
        <v/>
      </c>
      <c r="KX11" s="7" t="str">
        <f t="shared" si="106"/>
        <v/>
      </c>
      <c r="KY11" s="7" t="str">
        <f t="shared" si="107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8"/>
        <v/>
      </c>
      <c r="LP11" s="9" t="str">
        <f t="shared" si="109"/>
        <v/>
      </c>
      <c r="LQ11" s="9" t="str">
        <f t="shared" si="110"/>
        <v/>
      </c>
      <c r="LR11" s="9" t="str">
        <f t="shared" si="111"/>
        <v/>
      </c>
      <c r="LS11" s="9" t="str">
        <f t="shared" si="112"/>
        <v/>
      </c>
      <c r="LT11" s="9" t="str">
        <f t="shared" si="113"/>
        <v/>
      </c>
      <c r="LU11" s="9" t="str">
        <f t="shared" si="114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5"/>
        <v/>
      </c>
      <c r="ML11" s="7" t="str">
        <f t="shared" si="116"/>
        <v/>
      </c>
      <c r="MM11" s="7" t="str">
        <f t="shared" si="117"/>
        <v/>
      </c>
      <c r="MN11" s="7" t="str">
        <f t="shared" si="118"/>
        <v/>
      </c>
      <c r="MO11" s="7" t="str">
        <f t="shared" si="119"/>
        <v/>
      </c>
      <c r="MP11" s="7" t="str">
        <f t="shared" si="120"/>
        <v/>
      </c>
      <c r="MQ11" s="7" t="str">
        <f t="shared" si="121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2"/>
        <v/>
      </c>
      <c r="NH11" s="9" t="str">
        <f t="shared" si="123"/>
        <v/>
      </c>
      <c r="NI11" s="9" t="str">
        <f t="shared" si="124"/>
        <v/>
      </c>
      <c r="NJ11" s="9" t="str">
        <f t="shared" si="125"/>
        <v/>
      </c>
      <c r="NK11" s="9" t="str">
        <f t="shared" si="126"/>
        <v/>
      </c>
      <c r="NL11" s="9" t="str">
        <f t="shared" si="127"/>
        <v/>
      </c>
      <c r="NM11" s="9" t="str">
        <f t="shared" si="128"/>
        <v/>
      </c>
      <c r="NN11" s="27">
        <f t="shared" si="129"/>
        <v>9.35</v>
      </c>
      <c r="NO11" s="27">
        <f t="shared" si="129"/>
        <v>5.6000000000000005</v>
      </c>
      <c r="NP11" s="27">
        <f t="shared" si="129"/>
        <v>0</v>
      </c>
      <c r="NQ11" s="27">
        <f t="shared" si="129"/>
        <v>8.52</v>
      </c>
      <c r="NR11" s="27">
        <f t="shared" si="129"/>
        <v>0</v>
      </c>
      <c r="NS11" s="27">
        <f t="shared" si="129"/>
        <v>12.35</v>
      </c>
      <c r="NT11" s="27">
        <f t="shared" si="129"/>
        <v>8.4</v>
      </c>
      <c r="NU11" s="27">
        <f t="shared" si="129"/>
        <v>9.25</v>
      </c>
      <c r="NV11" s="27">
        <f t="shared" si="129"/>
        <v>12.89</v>
      </c>
      <c r="NW11" s="27">
        <f t="shared" si="129"/>
        <v>0</v>
      </c>
      <c r="NX11" s="27">
        <f t="shared" si="130"/>
        <v>0</v>
      </c>
      <c r="NY11" s="27">
        <f t="shared" si="130"/>
        <v>0</v>
      </c>
      <c r="NZ11" s="27">
        <f t="shared" si="130"/>
        <v>0</v>
      </c>
      <c r="OA11" s="27">
        <f t="shared" si="130"/>
        <v>0</v>
      </c>
      <c r="OB11" s="27">
        <f t="shared" si="130"/>
        <v>0</v>
      </c>
      <c r="OC11" s="27">
        <f t="shared" si="130"/>
        <v>7.15</v>
      </c>
      <c r="OD11" s="27">
        <f t="shared" si="130"/>
        <v>4.55</v>
      </c>
      <c r="OE11" s="27">
        <f t="shared" si="130"/>
        <v>4.8</v>
      </c>
      <c r="OF11" s="27">
        <f t="shared" si="130"/>
        <v>6.79</v>
      </c>
      <c r="OG11" s="27">
        <f t="shared" si="130"/>
        <v>0</v>
      </c>
      <c r="OH11" s="32" t="s">
        <v>44</v>
      </c>
      <c r="OI11" s="7">
        <f t="shared" si="131"/>
        <v>23.47</v>
      </c>
      <c r="OJ11" s="7">
        <f t="shared" si="132"/>
        <v>9.25</v>
      </c>
      <c r="OK11" s="7">
        <f t="shared" si="133"/>
        <v>42.89</v>
      </c>
      <c r="OL11" s="7" t="str">
        <f t="shared" si="134"/>
        <v/>
      </c>
      <c r="OM11" s="7" t="str">
        <f t="shared" si="135"/>
        <v/>
      </c>
      <c r="ON11" s="7">
        <f t="shared" si="136"/>
        <v>66.36</v>
      </c>
      <c r="OO11" s="7">
        <f t="shared" si="137"/>
        <v>4.8</v>
      </c>
      <c r="OP11" s="7">
        <f t="shared" ref="OP11" si="153">IF(SUM(OC11:OF11)-OG11&gt;0,SUM(OC11:OF11)-OG11,"")</f>
        <v>23.29</v>
      </c>
      <c r="OQ11" s="7">
        <f t="shared" ref="OQ11" si="154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1">
    <cfRule type="expression" dxfId="146" priority="6" stopIfTrue="1">
      <formula>IF($AN4&lt;&gt;"",1,0)</formula>
    </cfRule>
  </conditionalFormatting>
  <conditionalFormatting sqref="AX4:CA11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1">
    <cfRule type="expression" dxfId="141" priority="15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0" priority="37584" operator="between">
      <formula>AW$21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AW$21</formula>
      <formula>1000</formula>
    </cfRule>
    <cfRule type="cellIs" dxfId="132" priority="49925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AW$20</formula>
      <formula>1000</formula>
    </cfRule>
    <cfRule type="cellIs" dxfId="130" priority="50015" operator="between">
      <formula>AW$19</formula>
      <formula>AW$20</formula>
    </cfRule>
    <cfRule type="cellIs" dxfId="129" priority="50016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EE$17</formula>
      <formula>1000</formula>
    </cfRule>
    <cfRule type="cellIs" dxfId="127" priority="50150" operator="between">
      <formula>EE$16</formula>
      <formula>EE$17</formula>
    </cfRule>
    <cfRule type="cellIs" dxfId="126" priority="50151" operator="between">
      <formula>EE$15</formula>
      <formula>EE$16</formula>
    </cfRule>
    <cfRule type="cellIs" dxfId="125" priority="50152" operator="between">
      <formula>EE$14</formula>
      <formula>EE$15</formula>
    </cfRule>
  </conditionalFormatting>
  <conditionalFormatting sqref="AP1:AP1048576 BT1:BT1048576 CX1:CX1048576">
    <cfRule type="cellIs" dxfId="124" priority="50293" operator="between">
      <formula>AW$17</formula>
      <formula>1000</formula>
    </cfRule>
    <cfRule type="cellIs" dxfId="123" priority="50294" operator="between">
      <formula>AW$16</formula>
      <formula>AW$17</formula>
    </cfRule>
    <cfRule type="cellIs" dxfId="122" priority="50295" operator="between">
      <formula>AW$15</formula>
      <formula>AW$16</formula>
    </cfRule>
    <cfRule type="cellIs" dxfId="121" priority="50296" operator="between">
      <formula>AW$14</formula>
      <formula>AW$15</formula>
    </cfRule>
  </conditionalFormatting>
  <conditionalFormatting sqref="AQ1:AQ1048576 BU1:BU1048576 CY1:CY1048576">
    <cfRule type="cellIs" dxfId="120" priority="50329" operator="between">
      <formula>AW$21</formula>
      <formula>1000</formula>
    </cfRule>
  </conditionalFormatting>
  <conditionalFormatting sqref="AR1:AR1048576 BV1:BV1048576 CZ1:CZ1048576">
    <cfRule type="cellIs" dxfId="119" priority="50338" operator="between">
      <formula>AW$17</formula>
      <formula>1000</formula>
    </cfRule>
    <cfRule type="cellIs" dxfId="118" priority="50339" operator="between">
      <formula>AW$16</formula>
      <formula>AW$17</formula>
    </cfRule>
    <cfRule type="cellIs" dxfId="117" priority="50340" operator="between">
      <formula>AW$15</formula>
      <formula>AW$16</formula>
    </cfRule>
    <cfRule type="cellIs" dxfId="116" priority="50341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AW$17</formula>
      <formula>1000</formula>
    </cfRule>
    <cfRule type="cellIs" dxfId="114" priority="50375" operator="between">
      <formula>AW$16</formula>
      <formula>AW$17</formula>
    </cfRule>
    <cfRule type="cellIs" dxfId="113" priority="50376" operator="between">
      <formula>AW$15</formula>
      <formula>AW$16</formula>
    </cfRule>
    <cfRule type="cellIs" dxfId="112" priority="50377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130.80001308000465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16.100000000000001</v>
      </c>
      <c r="OX4" s="27">
        <f t="shared" si="0"/>
        <v>5.05</v>
      </c>
      <c r="OY4" s="27">
        <f t="shared" si="0"/>
        <v>0.1</v>
      </c>
      <c r="OZ4" s="27">
        <f t="shared" si="0"/>
        <v>0.6</v>
      </c>
      <c r="PA4" s="27">
        <f t="shared" si="0"/>
        <v>16.600000000000001</v>
      </c>
      <c r="PB4" s="27">
        <f t="shared" si="0"/>
        <v>4.9000000000000004</v>
      </c>
      <c r="PC4" s="27">
        <f t="shared" si="0"/>
        <v>0</v>
      </c>
      <c r="PD4" s="27">
        <f t="shared" si="0"/>
        <v>0.44999999999999996</v>
      </c>
      <c r="PE4" s="27">
        <f t="shared" si="0"/>
        <v>16.3</v>
      </c>
      <c r="PF4" s="27">
        <f t="shared" si="0"/>
        <v>5.15</v>
      </c>
      <c r="PG4" s="27">
        <f t="shared" ref="PG4:PP6" si="1">IF($CN4="P",CD4,(CD4+BC4)/2)</f>
        <v>0</v>
      </c>
      <c r="PH4" s="27">
        <f t="shared" si="1"/>
        <v>0.6</v>
      </c>
      <c r="PI4" s="27">
        <f t="shared" si="1"/>
        <v>16.75</v>
      </c>
      <c r="PJ4" s="27">
        <f t="shared" si="1"/>
        <v>5.05</v>
      </c>
      <c r="PK4" s="27">
        <f t="shared" si="1"/>
        <v>0.1</v>
      </c>
      <c r="PL4" s="27">
        <f t="shared" si="1"/>
        <v>0.6</v>
      </c>
      <c r="PM4" s="27">
        <f t="shared" si="1"/>
        <v>15.9</v>
      </c>
      <c r="PN4" s="27">
        <f t="shared" si="1"/>
        <v>4.3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129.50001295000433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 t="shared" ref="AR5:AR6" si="2"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 t="shared" ref="BS5:BS6" si="3"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 t="shared" ref="CT5:CT6" si="4">IF(SUM(CP5,CQ5,CS5)&gt;0,SUM(CP5,CQ5,CS5),"")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 t="shared" ref="DV5:DV6" si="5"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 t="shared" ref="EV5:EV6" si="6"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 t="shared" ref="FV5:FV6" si="7"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 t="shared" ref="GV5:GV6" si="8"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 t="shared" ref="HV5:HV6" si="9"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 t="shared" ref="IV5:IV6" si="10"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 t="shared" ref="JV5:JV6" si="11"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 t="shared" ref="KV5:KV6" si="12"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 t="shared" ref="LV5:LV6" si="13"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 t="shared" ref="MV5:MV6" si="14"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 t="shared" ref="NV5:NV6" si="15"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 t="shared" ref="OV5:OV6" si="16">IF(SUM(OR5,OS5,OU5)&gt;0,SUM(OR5,OS5,OU5),"")</f>
        <v/>
      </c>
      <c r="OW5" s="27">
        <f t="shared" si="0"/>
        <v>7.75</v>
      </c>
      <c r="OX5" s="27">
        <f t="shared" si="0"/>
        <v>2.5499999999999998</v>
      </c>
      <c r="OY5" s="27">
        <f t="shared" si="0"/>
        <v>0</v>
      </c>
      <c r="OZ5" s="27">
        <f t="shared" si="0"/>
        <v>0.15</v>
      </c>
      <c r="PA5" s="27">
        <f t="shared" si="0"/>
        <v>7.35</v>
      </c>
      <c r="PB5" s="27">
        <f t="shared" si="0"/>
        <v>2.85</v>
      </c>
      <c r="PC5" s="27">
        <f t="shared" si="0"/>
        <v>0</v>
      </c>
      <c r="PD5" s="27">
        <f t="shared" si="0"/>
        <v>0.3</v>
      </c>
      <c r="PE5" s="27">
        <f t="shared" si="0"/>
        <v>7.95</v>
      </c>
      <c r="PF5" s="27">
        <f t="shared" si="0"/>
        <v>2.5499999999999998</v>
      </c>
      <c r="PG5" s="27">
        <f t="shared" si="1"/>
        <v>0</v>
      </c>
      <c r="PH5" s="27">
        <f t="shared" si="1"/>
        <v>0.15</v>
      </c>
      <c r="PI5" s="27">
        <f t="shared" si="1"/>
        <v>8.35</v>
      </c>
      <c r="PJ5" s="27">
        <f t="shared" si="1"/>
        <v>2.65</v>
      </c>
      <c r="PK5" s="27">
        <f t="shared" si="1"/>
        <v>0</v>
      </c>
      <c r="PL5" s="27">
        <f t="shared" si="1"/>
        <v>0.15</v>
      </c>
      <c r="PM5" s="27">
        <f t="shared" si="1"/>
        <v>7.7</v>
      </c>
      <c r="PN5" s="27">
        <f t="shared" si="1"/>
        <v>2.75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 t="shared" ref="PW5:PW6" si="17">IF(SUM(PS5,PT5,PV5)&gt;0,SUM(PS5,PT5,PV5),"")</f>
        <v>53.5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127.30001273000421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42.399999999999991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 t="shared" si="2"/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 t="shared" si="3"/>
        <v>95.3</v>
      </c>
      <c r="BT6" s="20">
        <v>17.2</v>
      </c>
      <c r="BU6" s="20">
        <v>4.0999999999999996</v>
      </c>
      <c r="BV6" s="20">
        <v>0</v>
      </c>
      <c r="BW6" s="20">
        <v>0.3</v>
      </c>
      <c r="BX6" s="20">
        <v>17</v>
      </c>
      <c r="BY6" s="20">
        <v>3.9</v>
      </c>
      <c r="BZ6" s="20">
        <v>0.4</v>
      </c>
      <c r="CA6" s="20">
        <v>0.3</v>
      </c>
      <c r="CB6" s="20">
        <v>17</v>
      </c>
      <c r="CC6" s="20">
        <v>3.6</v>
      </c>
      <c r="CD6" s="20">
        <v>0.5</v>
      </c>
      <c r="CE6" s="20">
        <v>0</v>
      </c>
      <c r="CF6" s="20">
        <v>17</v>
      </c>
      <c r="CG6" s="20">
        <v>4.0999999999999996</v>
      </c>
      <c r="CH6" s="20">
        <v>0</v>
      </c>
      <c r="CI6" s="20">
        <v>0.3</v>
      </c>
      <c r="CJ6" s="20">
        <v>14.6</v>
      </c>
      <c r="CK6" s="20">
        <v>3.9</v>
      </c>
      <c r="CL6" s="20">
        <v>0.6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42.399999999999991</v>
      </c>
      <c r="CQ6" s="55">
        <f>IF(SUM(CB6:CC6,CE6)-CD6&gt;0,SUM(CB6:CC6,CE6)-CD6,"")</f>
        <v>20.100000000000001</v>
      </c>
      <c r="CR6" s="55">
        <f>IF(SUM(CG6,CK6)&gt;0,SUM(CG6,CK6),"")</f>
        <v>8</v>
      </c>
      <c r="CS6" s="55">
        <f>IF(SUM(CF6:CG6,CI6:CK6,CM6)-SUM(CH6,CL6)&gt;0,SUM(CF6:CG6,CI6:CK6,CM6)-SUM(CH6,CL6),"")</f>
        <v>39.599999999999994</v>
      </c>
      <c r="CT6" s="55">
        <f t="shared" si="4"/>
        <v>102.1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 t="shared" si="5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 t="shared" si="6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 t="shared" si="7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 t="shared" si="8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 t="shared" si="9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 t="shared" si="10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 t="shared" si="11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 t="shared" si="12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 t="shared" si="13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 t="shared" si="14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 t="shared" si="15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 t="shared" si="16"/>
        <v/>
      </c>
      <c r="OW6" s="27">
        <f t="shared" si="0"/>
        <v>16.899999999999999</v>
      </c>
      <c r="OX6" s="27">
        <f t="shared" si="0"/>
        <v>4.5999999999999996</v>
      </c>
      <c r="OY6" s="27">
        <f t="shared" si="0"/>
        <v>0</v>
      </c>
      <c r="OZ6" s="27">
        <f t="shared" si="0"/>
        <v>0.3</v>
      </c>
      <c r="PA6" s="27">
        <f t="shared" si="0"/>
        <v>16.05</v>
      </c>
      <c r="PB6" s="27">
        <f t="shared" si="0"/>
        <v>2.9</v>
      </c>
      <c r="PC6" s="27">
        <f t="shared" si="0"/>
        <v>0.2</v>
      </c>
      <c r="PD6" s="27">
        <f t="shared" si="0"/>
        <v>0.3</v>
      </c>
      <c r="PE6" s="27">
        <f t="shared" si="0"/>
        <v>15.55</v>
      </c>
      <c r="PF6" s="27">
        <f t="shared" si="0"/>
        <v>3.1500000000000004</v>
      </c>
      <c r="PG6" s="27">
        <f t="shared" si="1"/>
        <v>0.25</v>
      </c>
      <c r="PH6" s="27">
        <f t="shared" si="1"/>
        <v>0.15</v>
      </c>
      <c r="PI6" s="27">
        <f t="shared" si="1"/>
        <v>16.399999999999999</v>
      </c>
      <c r="PJ6" s="27">
        <f t="shared" si="1"/>
        <v>3.8499999999999996</v>
      </c>
      <c r="PK6" s="27">
        <f t="shared" si="1"/>
        <v>0.45</v>
      </c>
      <c r="PL6" s="27">
        <f t="shared" si="1"/>
        <v>0.3</v>
      </c>
      <c r="PM6" s="27">
        <f t="shared" si="1"/>
        <v>15.350000000000001</v>
      </c>
      <c r="PN6" s="27">
        <f t="shared" si="1"/>
        <v>3.9</v>
      </c>
      <c r="PO6" s="27">
        <f t="shared" si="1"/>
        <v>0.4</v>
      </c>
      <c r="PP6" s="27">
        <f t="shared" si="1"/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40.849999999999994</v>
      </c>
      <c r="PT6" s="55">
        <f>IF(SUM(PE6:PF6,PH6)-PG6&gt;0,SUM(PE6:PF6,PH6)-PG6,"")</f>
        <v>18.600000000000001</v>
      </c>
      <c r="PU6" s="55">
        <f>IF(SUM(PJ6,PN6)&gt;0,SUM(PJ6,PN6),"")</f>
        <v>7.75</v>
      </c>
      <c r="PV6" s="55">
        <f>IF(SUM(PI6:PJ6,PL6:PN6,PP6)-SUM(PK6,PO6)&gt;0,SUM(PI6:PJ6,PL6:PN6,PP6)-SUM(PK6,PO6),"")</f>
        <v>39.25</v>
      </c>
      <c r="PW6" s="55">
        <f t="shared" si="17"/>
        <v>98.699999999999989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120.00001200000415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IF(SUM(BO4,BP4,BR4)&gt;0,SUM(BO4,BP4,BR4),"")</f>
        <v>105.10000000000011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16.100000000000001</v>
      </c>
      <c r="CC4" s="20">
        <v>1.9</v>
      </c>
      <c r="CD4" s="20">
        <v>0</v>
      </c>
      <c r="CE4" s="20">
        <v>0.3</v>
      </c>
      <c r="CF4" s="20">
        <v>16.5</v>
      </c>
      <c r="CG4" s="20">
        <v>3.9</v>
      </c>
      <c r="CH4" s="20">
        <v>0</v>
      </c>
      <c r="CI4" s="20">
        <v>0.3</v>
      </c>
      <c r="CJ4" s="20">
        <v>16.399999999999999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</v>
      </c>
      <c r="CR4" s="55">
        <f>IF(SUM(CG4,CK4)&gt;0,SUM(CG4,CK4),"")</f>
        <v>8</v>
      </c>
      <c r="CS4" s="55">
        <f>IF(SUM(CF4:CG4,CI4:CK4,CM4)-SUM(CH4,CL4)&gt;0,SUM(CF4:CG4,CI4:CK4,CM4)-SUM(CH4,CL4),"")</f>
        <v>41.499999999999993</v>
      </c>
      <c r="CT4" s="55">
        <f>IF(SUM(CP4,CQ4,CS4)&gt;0,SUM(CP4,CQ4,CS4),"")</f>
        <v>96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15.9</v>
      </c>
      <c r="OX4" s="27">
        <f t="shared" si="0"/>
        <v>3</v>
      </c>
      <c r="OY4" s="27">
        <f t="shared" si="0"/>
        <v>0.1</v>
      </c>
      <c r="OZ4" s="27">
        <f t="shared" si="0"/>
        <v>0.3</v>
      </c>
      <c r="PA4" s="27">
        <f t="shared" si="0"/>
        <v>16.149999999999999</v>
      </c>
      <c r="PB4" s="27">
        <f t="shared" si="0"/>
        <v>2.9</v>
      </c>
      <c r="PC4" s="27">
        <f t="shared" si="0"/>
        <v>0</v>
      </c>
      <c r="PD4" s="27">
        <f t="shared" si="0"/>
        <v>0.3</v>
      </c>
      <c r="PE4" s="27">
        <f t="shared" si="0"/>
        <v>16.5</v>
      </c>
      <c r="PF4" s="27">
        <f t="shared" si="0"/>
        <v>3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16.649999999999999</v>
      </c>
      <c r="PJ4" s="27">
        <f t="shared" si="1"/>
        <v>3.9</v>
      </c>
      <c r="PK4" s="27">
        <f t="shared" si="1"/>
        <v>0</v>
      </c>
      <c r="PL4" s="27">
        <f t="shared" si="1"/>
        <v>0.3</v>
      </c>
      <c r="PM4" s="27">
        <f t="shared" si="1"/>
        <v>17.049999999999997</v>
      </c>
      <c r="PN4" s="27">
        <f t="shared" si="1"/>
        <v>4.1000000000000494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42.30000000000004</v>
      </c>
      <c r="PW4" s="55">
        <f>IF(SUM(PS4,PT4,PV4)&gt;0,SUM(PS4,PT4,PV4),"")</f>
        <v>100.55000000000003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0</v>
      </c>
      <c r="OX5" s="27">
        <f t="shared" si="0"/>
        <v>0</v>
      </c>
      <c r="OY5" s="27">
        <f t="shared" si="0"/>
        <v>0</v>
      </c>
      <c r="OZ5" s="27">
        <f t="shared" si="0"/>
        <v>0</v>
      </c>
      <c r="PA5" s="27">
        <f t="shared" si="0"/>
        <v>0</v>
      </c>
      <c r="PB5" s="27">
        <f t="shared" si="0"/>
        <v>0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0</v>
      </c>
      <c r="PJ5" s="27">
        <f t="shared" si="1"/>
        <v>0</v>
      </c>
      <c r="PK5" s="27">
        <f t="shared" si="1"/>
        <v>0</v>
      </c>
      <c r="PL5" s="27">
        <f t="shared" si="1"/>
        <v>0</v>
      </c>
      <c r="PM5" s="27">
        <f t="shared" si="1"/>
        <v>0</v>
      </c>
      <c r="PN5" s="27">
        <f t="shared" si="1"/>
        <v>0</v>
      </c>
      <c r="PO5" s="27">
        <f t="shared" si="1"/>
        <v>0</v>
      </c>
      <c r="PP5" s="27">
        <f t="shared" si="1"/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IF(SUM(PS5,PT5,PV5)&gt;0,SUM(PS5,PT5,PV5),"")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68</v>
      </c>
      <c r="D4" s="4">
        <v>2007</v>
      </c>
      <c r="E4" s="10">
        <f t="shared" ref="E4:E11" si="0">SUM(I4:O4)+SUM(I4:M4)*0.0000001+SUM(I4)*0.0000000000001</f>
        <v>152.10001521000515</v>
      </c>
      <c r="F4" s="3" t="str">
        <f t="shared" ref="F4:F11" si="1"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 t="shared" ref="G4:G11" si="2"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 t="shared" ref="H4:H11" si="3"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 t="shared" ref="J4:J11" si="4">IF(I4=0,"",IF(I4=CP4,$BT$1,IF(I4=BO4,$AS$1,IF(I4=AN4,$R$1,""))))</f>
        <v>2023 Nationals</v>
      </c>
      <c r="K4" s="9">
        <f>IF(COUNT(AN4,BO4,CP4)&gt;1,LARGE((AN4,BO4,CP4),2),0)</f>
        <v>51.1</v>
      </c>
      <c r="L4" s="9" t="str">
        <f t="shared" ref="L4:L11" si="5">IF(K4=0,"",IF(K4=CP4,$BT$1,IF(K4=BO4,$AS$1,IF(K4=AN4,$R$1,""))))</f>
        <v>2023 3rd Domestic Trial</v>
      </c>
      <c r="M4" s="9">
        <f t="shared" ref="M4:M11" si="6">IF(MAX(AQ4,BR4,CS4)&gt;0,MAX(AQ4,BR4,CS4),0)</f>
        <v>49.199999999999996</v>
      </c>
      <c r="N4" s="9" t="str">
        <f t="shared" ref="N4:N11" si="7">IF(M4=0,"",IF(M4=CS4,$BT$1,IF(M4=BR4,$AS$1,IF(M4=AQ4,$R$1,""))))</f>
        <v>2023 Nationals</v>
      </c>
      <c r="O4" s="9" t="str">
        <f t="shared" ref="O4:O11" si="8">IF(MAX(CU4:CV4)&gt;0,MAX(CU4:CV4),"")</f>
        <v/>
      </c>
      <c r="P4" s="14" t="str">
        <f t="shared" ref="P4:P11" si="9">IF(O4="","",IF(O4=CU4,"("&amp;CU$2&amp;")",IF(O4=CV4,"("&amp;CV$2&amp;")")))</f>
        <v/>
      </c>
      <c r="Q4" s="9" t="str">
        <f t="shared" ref="Q4:Q11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0</v>
      </c>
      <c r="S4" s="20">
        <v>0</v>
      </c>
      <c r="T4" s="20">
        <v>0</v>
      </c>
      <c r="U4" s="20">
        <v>0</v>
      </c>
      <c r="V4" s="20">
        <v>18.8</v>
      </c>
      <c r="W4" s="20">
        <v>7.6</v>
      </c>
      <c r="X4" s="20">
        <v>0.2</v>
      </c>
      <c r="Y4" s="20">
        <v>0</v>
      </c>
      <c r="Z4" s="20">
        <v>18.5</v>
      </c>
      <c r="AA4" s="20">
        <v>6</v>
      </c>
      <c r="AB4" s="20">
        <v>0</v>
      </c>
      <c r="AC4" s="20">
        <v>0</v>
      </c>
      <c r="AD4" s="20">
        <v>17.399999999999999</v>
      </c>
      <c r="AE4" s="20">
        <v>4</v>
      </c>
      <c r="AF4" s="20">
        <v>0.2</v>
      </c>
      <c r="AG4" s="20">
        <v>0</v>
      </c>
      <c r="AH4" s="20">
        <v>18.399999999999999</v>
      </c>
      <c r="AI4" s="20">
        <v>6.8</v>
      </c>
      <c r="AJ4" s="20">
        <v>0.6</v>
      </c>
      <c r="AK4" s="20">
        <v>0</v>
      </c>
      <c r="AL4" s="32"/>
      <c r="AM4" s="55">
        <f t="shared" ref="AM4:AM11" si="11">IF(SUM(S4,W4)&gt;0,SUM(S4,W4),"")</f>
        <v>7.6</v>
      </c>
      <c r="AN4" s="55">
        <f t="shared" ref="AN4:AN11" si="12">IF(SUM(R4:S4,U4:W4,Y4)-T4-X4&gt;0,SUM(R4:S4,U4:W4,Y4)-T4-X4,"")</f>
        <v>26.2</v>
      </c>
      <c r="AO4" s="55">
        <f t="shared" ref="AO4:AO11" si="13">IF(SUM(Z4:AA4,AC4)-AB4&gt;0,SUM(Z4:AA4,AC4)-AB4,"")</f>
        <v>24.5</v>
      </c>
      <c r="AP4" s="55">
        <f t="shared" ref="AP4:AP11" si="14">IF(SUM(AE4,AI4)&gt;0,SUM(AE4,AI4),"")</f>
        <v>10.8</v>
      </c>
      <c r="AQ4" s="55">
        <f t="shared" ref="AQ4:AQ11" si="15">IF(SUM(AD4:AE4,AG4:AI4,AK4)-SUM(AF4,AJ4)&gt;0,SUM(AD4:AE4,AG4:AI4,AK4)-SUM(AF4,AJ4),"")</f>
        <v>45.8</v>
      </c>
      <c r="AR4" s="55">
        <f>IF(SUM(AN4,AO4,AQ4)&gt;0,SUM(AN4,AO4,AQ4),"")</f>
        <v>96.5</v>
      </c>
      <c r="AS4" s="19">
        <v>19.2</v>
      </c>
      <c r="AT4" s="19">
        <v>7.2</v>
      </c>
      <c r="AU4" s="19">
        <v>0</v>
      </c>
      <c r="AV4" s="19">
        <v>0</v>
      </c>
      <c r="AW4" s="19">
        <v>19</v>
      </c>
      <c r="AX4" s="19">
        <v>6.4</v>
      </c>
      <c r="AY4" s="19">
        <v>0</v>
      </c>
      <c r="AZ4" s="19">
        <v>0</v>
      </c>
      <c r="BA4" s="19">
        <v>18.100000000000001</v>
      </c>
      <c r="BB4" s="19">
        <v>7.7</v>
      </c>
      <c r="BC4" s="19">
        <v>0.2</v>
      </c>
      <c r="BD4" s="19">
        <v>0</v>
      </c>
      <c r="BE4" s="19">
        <v>18.7</v>
      </c>
      <c r="BF4" s="19">
        <v>6</v>
      </c>
      <c r="BG4" s="19">
        <v>1</v>
      </c>
      <c r="BH4" s="19">
        <v>0</v>
      </c>
      <c r="BI4" s="19">
        <v>19.100000000000001</v>
      </c>
      <c r="BJ4" s="19">
        <v>6.4</v>
      </c>
      <c r="BK4" s="19">
        <v>0</v>
      </c>
      <c r="BL4" s="19">
        <v>0</v>
      </c>
      <c r="BM4" s="33"/>
      <c r="BN4" s="14">
        <f t="shared" ref="BN4:BN11" si="16">IF(SUM(AT4,AX4)&gt;0,SUM(AT4,AX4),"")</f>
        <v>13.600000000000001</v>
      </c>
      <c r="BO4" s="14">
        <f t="shared" ref="BO4:BO11" si="17">IF(SUM(AS4:AT4,AV4:AX4,AZ4)-AU4-AY4&gt;0,SUM(AS4:AT4,AV4:AX4,AZ4)-AU4-AY4,"")</f>
        <v>51.8</v>
      </c>
      <c r="BP4" s="14">
        <f t="shared" ref="BP4:BP11" si="18">IF(SUM(BA4:BB4,BD4)-BC4&gt;0,SUM(BA4:BB4,BD4)-BC4,"")</f>
        <v>25.6</v>
      </c>
      <c r="BQ4" s="14">
        <f t="shared" ref="BQ4:BQ11" si="19">IF(SUM(BF4,BJ4)&gt;0,SUM(BF4,BJ4),"")</f>
        <v>12.4</v>
      </c>
      <c r="BR4" s="14">
        <f t="shared" ref="BR4:BR11" si="20">IF(SUM(BE4:BF4,BH4:BJ4,BL4)-SUM(BG4,BK4)&gt;0,SUM(BE4:BF4,BH4:BJ4,BL4)-SUM(BG4,BK4),"")</f>
        <v>49.199999999999996</v>
      </c>
      <c r="BS4" s="14">
        <f>IF(SUM(BO4,BP4,BR4)&gt;0,SUM(BO4,BP4,BR4),"")</f>
        <v>126.6</v>
      </c>
      <c r="BT4" s="20">
        <v>19.100000000000001</v>
      </c>
      <c r="BU4" s="20">
        <v>7.2</v>
      </c>
      <c r="BV4" s="20">
        <v>0.6</v>
      </c>
      <c r="BW4" s="20">
        <v>0</v>
      </c>
      <c r="BX4" s="20">
        <v>18.8</v>
      </c>
      <c r="BY4" s="20">
        <v>7.2</v>
      </c>
      <c r="BZ4" s="20">
        <v>0.6</v>
      </c>
      <c r="CA4" s="20">
        <v>0</v>
      </c>
      <c r="CB4" s="20">
        <v>17.899999999999999</v>
      </c>
      <c r="CC4" s="20">
        <v>6</v>
      </c>
      <c r="CD4" s="20">
        <v>1</v>
      </c>
      <c r="CE4" s="20">
        <v>0</v>
      </c>
      <c r="CF4" s="20">
        <v>18.399999999999999</v>
      </c>
      <c r="CG4" s="20">
        <v>7.2</v>
      </c>
      <c r="CH4" s="20">
        <v>0.6</v>
      </c>
      <c r="CI4" s="20">
        <v>0</v>
      </c>
      <c r="CJ4" s="20">
        <v>0</v>
      </c>
      <c r="CK4" s="20">
        <v>0</v>
      </c>
      <c r="CL4" s="20">
        <v>0</v>
      </c>
      <c r="CM4" s="20">
        <v>0</v>
      </c>
      <c r="CN4" s="32"/>
      <c r="CO4" s="55">
        <f t="shared" ref="CO4:CO11" si="21">IF(SUM(BU4,BY4)&gt;0,SUM(BU4,BY4),"")</f>
        <v>14.4</v>
      </c>
      <c r="CP4" s="55">
        <f t="shared" ref="CP4:CP11" si="22">IF(SUM(BT4:BU4,BW4:BY4,CA4)-BV4-BZ4&gt;0,SUM(BT4:BU4,BW4:BY4,CA4)-BV4-BZ4,"")</f>
        <v>51.1</v>
      </c>
      <c r="CQ4" s="55">
        <f t="shared" ref="CQ4:CQ11" si="23">IF(SUM(CB4:CC4,CE4)-CD4&gt;0,SUM(CB4:CC4,CE4)-CD4,"")</f>
        <v>22.9</v>
      </c>
      <c r="CR4" s="55">
        <f t="shared" ref="CR4:CR11" si="24">IF(SUM(CG4,CK4)&gt;0,SUM(CG4,CK4),"")</f>
        <v>7.2</v>
      </c>
      <c r="CS4" s="55">
        <f t="shared" ref="CS4:CS11" si="25">IF(SUM(CF4:CG4,CI4:CK4,CM4)-SUM(CH4,CL4)&gt;0,SUM(CF4:CG4,CI4:CK4,CM4)-SUM(CH4,CL4),"")</f>
        <v>24.999999999999996</v>
      </c>
      <c r="CT4" s="55">
        <f>IF(SUM(CP4,CQ4,CS4)&gt;0,SUM(CP4,CQ4,CS4),"")</f>
        <v>99</v>
      </c>
      <c r="CU4" s="56" t="str">
        <f t="shared" ref="CU4:CU11" si="26">IF(MAX(DR4,ER4,FR4,GR4,HR4,IR4,JR4,KR4,LR4,MR4,NR4,OR4)-IF(K4="",0,K4)&gt;0.001,MAX(DR4,ER4,FR4,GR4,HR4,IR4,JR4,KR4,LR4,MR4,NR4,OR4)-IF(K4="",0,K4),"")</f>
        <v/>
      </c>
      <c r="CV4" s="56" t="str">
        <f t="shared" ref="CV4:CV11" si="27"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 t="shared" ref="DQ4:DQ11" si="28">IF(SUM(CX4,DB4)&gt;0,SUM(CX4,DB4),"")</f>
        <v>12.8</v>
      </c>
      <c r="DR4" s="55">
        <f t="shared" ref="DR4:DR11" si="29">IF(SUM(CW4:CX4,CZ4:DB4,DD4)-CY4-DC4&gt;0,SUM(CW4:CX4,CZ4:DB4,DD4)-CY4-DC4,"")</f>
        <v>47</v>
      </c>
      <c r="DS4" s="55" t="str">
        <f t="shared" ref="DS4:DS11" si="30">IF(SUM(DE4:DF4,DH4)-DG4&gt;0,SUM(DE4:DF4,DH4)-DG4,"")</f>
        <v/>
      </c>
      <c r="DT4" s="55" t="str">
        <f t="shared" ref="DT4:DT11" si="31">IF(SUM(DJ4,DN4)&gt;0,SUM(DJ4,DN4),"")</f>
        <v/>
      </c>
      <c r="DU4" s="55" t="str">
        <f t="shared" ref="DU4:DU11" si="32">IF(SUM(DI4:DJ4,DL4:DN4,DP4)-SUM(DK4,DO4)&gt;0,SUM(DI4:DJ4,DL4:DN4,DP4)-SUM(DK4,DO4),"")</f>
        <v/>
      </c>
      <c r="DV4" s="55">
        <f>IF(SUM(DR4,DS4,DU4)&gt;0,SUM(DR4,DS4,DU4),"")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1" si="33">IF(SUM(DX4,EB4)&gt;0,SUM(DX4,EB4),"")</f>
        <v/>
      </c>
      <c r="ER4" s="14" t="str">
        <f t="shared" ref="ER4:ER11" si="34">IF(SUM(DW4:DX4,DZ4:EB4,ED4)-DY4-EC4&gt;0,SUM(DW4:DX4,DZ4:EB4,ED4)-DY4-EC4,"")</f>
        <v/>
      </c>
      <c r="ES4" s="14" t="str">
        <f t="shared" ref="ES4:ES11" si="35">IF(SUM(EE4:EF4,EH4)-EG4&gt;0,SUM(EE4:EF4,EH4)-EG4,"")</f>
        <v/>
      </c>
      <c r="ET4" s="14" t="str">
        <f t="shared" ref="ET4:ET11" si="36">IF(SUM(EJ4,EN4)&gt;0,SUM(EJ4,EN4),"")</f>
        <v/>
      </c>
      <c r="EU4" s="14" t="str">
        <f t="shared" ref="EU4:EU11" si="37"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1" si="38">IF(SUM(EX4,FB4)&gt;0,SUM(EX4,FB4),"")</f>
        <v/>
      </c>
      <c r="FR4" s="55" t="str">
        <f t="shared" ref="FR4:FR11" si="39">IF(SUM(EW4:EX4,EZ4:FB4,FD4)-EY4-FC4&gt;0,SUM(EW4:EX4,EZ4:FB4,FD4)-EY4-FC4,"")</f>
        <v/>
      </c>
      <c r="FS4" s="55" t="str">
        <f t="shared" ref="FS4:FS11" si="40">IF(SUM(FE4:FF4,FH4)-FG4&gt;0,SUM(FE4:FF4,FH4)-FG4,"")</f>
        <v/>
      </c>
      <c r="FT4" s="55" t="str">
        <f t="shared" ref="FT4:FT11" si="41">IF(SUM(FJ4,FN4)&gt;0,SUM(FJ4,FN4),"")</f>
        <v/>
      </c>
      <c r="FU4" s="55" t="str">
        <f t="shared" ref="FU4:FU11" si="42"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1" si="43">IF(SUM(FX4,GB4)&gt;0,SUM(FX4,GB4),"")</f>
        <v/>
      </c>
      <c r="GR4" s="14" t="str">
        <f t="shared" ref="GR4:GR11" si="44">IF(SUM(FW4:FX4,FZ4:GB4,GD4)-FY4-GC4&gt;0,SUM(FW4:FX4,FZ4:GB4,GD4)-FY4-GC4,"")</f>
        <v/>
      </c>
      <c r="GS4" s="14" t="str">
        <f t="shared" ref="GS4:GS11" si="45">IF(SUM(GE4:GF4,GH4)-GG4&gt;0,SUM(GE4:GF4,GH4)-GG4,"")</f>
        <v/>
      </c>
      <c r="GT4" s="14" t="str">
        <f t="shared" ref="GT4:GT11" si="46">IF(SUM(GJ4,GN4)&gt;0,SUM(GJ4,GN4),"")</f>
        <v/>
      </c>
      <c r="GU4" s="14" t="str">
        <f t="shared" ref="GU4:GU11" si="47"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1" si="48">IF(SUM(GX4,HB4)&gt;0,SUM(GX4,HB4),"")</f>
        <v/>
      </c>
      <c r="HR4" s="55" t="str">
        <f t="shared" ref="HR4:HR11" si="49">IF(SUM(GW4:GX4,GZ4:HB4,HD4)-GY4-HC4&gt;0,SUM(GW4:GX4,GZ4:HB4,HD4)-GY4-HC4,"")</f>
        <v/>
      </c>
      <c r="HS4" s="55" t="str">
        <f t="shared" ref="HS4:HS11" si="50">IF(SUM(HE4:HF4,HH4)-HG4&gt;0,SUM(HE4:HF4,HH4)-HG4,"")</f>
        <v/>
      </c>
      <c r="HT4" s="55" t="str">
        <f t="shared" ref="HT4:HT11" si="51">IF(SUM(HJ4,HN4)&gt;0,SUM(HJ4,HN4),"")</f>
        <v/>
      </c>
      <c r="HU4" s="55" t="str">
        <f t="shared" ref="HU4:HU11" si="52"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1" si="53">IF(SUM(HX4,IB4)&gt;0,SUM(HX4,IB4),"")</f>
        <v/>
      </c>
      <c r="IR4" s="14" t="str">
        <f t="shared" ref="IR4:IR11" si="54">IF(SUM(HW4:HX4,HZ4:IB4,ID4)-HY4-IC4&gt;0,SUM(HW4:HX4,HZ4:IB4,ID4)-HY4-IC4,"")</f>
        <v/>
      </c>
      <c r="IS4" s="14" t="str">
        <f t="shared" ref="IS4:IS11" si="55">IF(SUM(IE4:IF4,IH4)-IG4&gt;0,SUM(IE4:IF4,IH4)-IG4,"")</f>
        <v/>
      </c>
      <c r="IT4" s="14" t="str">
        <f t="shared" ref="IT4:IT11" si="56">IF(SUM(IJ4,IN4)&gt;0,SUM(IJ4,IN4),"")</f>
        <v/>
      </c>
      <c r="IU4" s="14" t="str">
        <f t="shared" ref="IU4:IU11" si="57"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1" si="58">IF(SUM(IX4,JB4)&gt;0,SUM(IX4,JB4),"")</f>
        <v/>
      </c>
      <c r="JR4" s="55" t="str">
        <f t="shared" ref="JR4:JR11" si="59">IF(SUM(IW4:IX4,IZ4:JB4,JD4)-IY4-JC4&gt;0,SUM(IW4:IX4,IZ4:JB4,JD4)-IY4-JC4,"")</f>
        <v/>
      </c>
      <c r="JS4" s="55" t="str">
        <f t="shared" ref="JS4:JS11" si="60">IF(SUM(JE4:JF4,JH4)-JG4&gt;0,SUM(JE4:JF4,JH4)-JG4,"")</f>
        <v/>
      </c>
      <c r="JT4" s="55" t="str">
        <f t="shared" ref="JT4:JT11" si="61">IF(SUM(JJ4,JN4)&gt;0,SUM(JJ4,JN4),"")</f>
        <v/>
      </c>
      <c r="JU4" s="55" t="str">
        <f t="shared" ref="JU4:JU11" si="62"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1" si="63">IF(SUM(JX4,KB4)&gt;0,SUM(JX4,KB4),"")</f>
        <v/>
      </c>
      <c r="KR4" s="14" t="str">
        <f t="shared" ref="KR4:KR11" si="64">IF(SUM(JW4:JX4,JZ4:KB4,KD4)-JY4-KC4&gt;0,SUM(JW4:JX4,JZ4:KB4,KD4)-JY4-KC4,"")</f>
        <v/>
      </c>
      <c r="KS4" s="14" t="str">
        <f t="shared" ref="KS4:KS11" si="65">IF(SUM(KE4:KF4,KH4)-KG4&gt;0,SUM(KE4:KF4,KH4)-KG4,"")</f>
        <v/>
      </c>
      <c r="KT4" s="14" t="str">
        <f t="shared" ref="KT4:KT11" si="66">IF(SUM(KJ4,KN4)&gt;0,SUM(KJ4,KN4),"")</f>
        <v/>
      </c>
      <c r="KU4" s="14" t="str">
        <f t="shared" ref="KU4:KU11" si="67"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1" si="68">IF(SUM(KX4,LB4)&gt;0,SUM(KX4,LB4),"")</f>
        <v/>
      </c>
      <c r="LR4" s="55" t="str">
        <f t="shared" ref="LR4:LR11" si="69">IF(SUM(KW4:KX4,KZ4:LB4,LD4)-KY4-LC4&gt;0,SUM(KW4:KX4,KZ4:LB4,LD4)-KY4-LC4,"")</f>
        <v/>
      </c>
      <c r="LS4" s="55" t="str">
        <f t="shared" ref="LS4:LS11" si="70">IF(SUM(LE4:LF4,LH4)-LG4&gt;0,SUM(LE4:LF4,LH4)-LG4,"")</f>
        <v/>
      </c>
      <c r="LT4" s="55" t="str">
        <f t="shared" ref="LT4:LT11" si="71">IF(SUM(LJ4,LN4)&gt;0,SUM(LJ4,LN4),"")</f>
        <v/>
      </c>
      <c r="LU4" s="55" t="str">
        <f t="shared" ref="LU4:LU11" si="72"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1" si="73">IF(SUM(LX4,MB4)&gt;0,SUM(LX4,MB4),"")</f>
        <v/>
      </c>
      <c r="MR4" s="14" t="str">
        <f t="shared" ref="MR4:MR11" si="74">IF(SUM(LW4:LX4,LZ4:MB4,MD4)-LY4-MC4&gt;0,SUM(LW4:LX4,LZ4:MB4,MD4)-LY4-MC4,"")</f>
        <v/>
      </c>
      <c r="MS4" s="14" t="str">
        <f t="shared" ref="MS4:MS11" si="75">IF(SUM(ME4:MF4,MH4)-MG4&gt;0,SUM(ME4:MF4,MH4)-MG4,"")</f>
        <v/>
      </c>
      <c r="MT4" s="14" t="str">
        <f t="shared" ref="MT4:MT11" si="76">IF(SUM(MJ4,MN4)&gt;0,SUM(MJ4,MN4),"")</f>
        <v/>
      </c>
      <c r="MU4" s="14" t="str">
        <f t="shared" ref="MU4:MU11" si="77"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1" si="78">IF(SUM(MX4,NB4)&gt;0,SUM(MX4,NB4),"")</f>
        <v/>
      </c>
      <c r="NR4" s="55" t="str">
        <f t="shared" ref="NR4:NR11" si="79">IF(SUM(MW4:MX4,MZ4:NB4,ND4)-MY4-NC4&gt;0,SUM(MW4:MX4,MZ4:NB4,ND4)-MY4-NC4,"")</f>
        <v/>
      </c>
      <c r="NS4" s="55" t="str">
        <f t="shared" ref="NS4:NS11" si="80">IF(SUM(NE4:NF4,NH4)-NG4&gt;0,SUM(NE4:NF4,NH4)-NG4,"")</f>
        <v/>
      </c>
      <c r="NT4" s="55" t="str">
        <f t="shared" ref="NT4:NT11" si="81">IF(SUM(NJ4,NN4)&gt;0,SUM(NJ4,NN4),"")</f>
        <v/>
      </c>
      <c r="NU4" s="55" t="str">
        <f t="shared" ref="NU4:NU11" si="82"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1" si="83">IF(SUM(NX4,OB4)&gt;0,SUM(NX4,OB4),"")</f>
        <v/>
      </c>
      <c r="OR4" s="14" t="str">
        <f t="shared" ref="OR4:OR11" si="84">IF(SUM(NW4:NX4,NZ4:OB4,OD4)-NY4-OC4&gt;0,SUM(NW4:NX4,NZ4:OB4,OD4)-NY4-OC4,"")</f>
        <v/>
      </c>
      <c r="OS4" s="14" t="str">
        <f t="shared" ref="OS4:OS11" si="85">IF(SUM(OE4:OF4,OH4)-OG4&gt;0,SUM(OE4:OF4,OH4)-OG4,"")</f>
        <v/>
      </c>
      <c r="OT4" s="14" t="str">
        <f t="shared" ref="OT4:OT11" si="86">IF(SUM(OJ4,ON4)&gt;0,SUM(OJ4,ON4),"")</f>
        <v/>
      </c>
      <c r="OU4" s="14" t="str">
        <f t="shared" ref="OU4:OU11" si="87"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11" si="88">IF($CN4="P",BT4,(BT4+AS4)/2)</f>
        <v>19.149999999999999</v>
      </c>
      <c r="OX4" s="27">
        <f t="shared" si="88"/>
        <v>7.2</v>
      </c>
      <c r="OY4" s="27">
        <f t="shared" si="88"/>
        <v>0.3</v>
      </c>
      <c r="OZ4" s="27">
        <f t="shared" si="88"/>
        <v>0</v>
      </c>
      <c r="PA4" s="27">
        <f t="shared" si="88"/>
        <v>18.899999999999999</v>
      </c>
      <c r="PB4" s="27">
        <f t="shared" si="88"/>
        <v>6.8000000000000007</v>
      </c>
      <c r="PC4" s="27">
        <f t="shared" si="88"/>
        <v>0.3</v>
      </c>
      <c r="PD4" s="27">
        <f t="shared" si="88"/>
        <v>0</v>
      </c>
      <c r="PE4" s="27">
        <f t="shared" si="88"/>
        <v>18</v>
      </c>
      <c r="PF4" s="27">
        <f t="shared" si="88"/>
        <v>6.85</v>
      </c>
      <c r="PG4" s="27">
        <f t="shared" ref="PG4:PP11" si="89">IF($CN4="P",CD4,(CD4+BC4)/2)</f>
        <v>0.6</v>
      </c>
      <c r="PH4" s="27">
        <f t="shared" si="89"/>
        <v>0</v>
      </c>
      <c r="PI4" s="27">
        <f t="shared" si="89"/>
        <v>18.549999999999997</v>
      </c>
      <c r="PJ4" s="27">
        <f t="shared" si="89"/>
        <v>6.6</v>
      </c>
      <c r="PK4" s="27">
        <f t="shared" si="89"/>
        <v>0.8</v>
      </c>
      <c r="PL4" s="27">
        <f t="shared" si="89"/>
        <v>0</v>
      </c>
      <c r="PM4" s="27">
        <f t="shared" si="89"/>
        <v>9.5500000000000007</v>
      </c>
      <c r="PN4" s="27">
        <f t="shared" si="89"/>
        <v>3.2</v>
      </c>
      <c r="PO4" s="27">
        <f t="shared" si="89"/>
        <v>0</v>
      </c>
      <c r="PP4" s="27">
        <f t="shared" si="89"/>
        <v>0</v>
      </c>
      <c r="PQ4" s="32" t="s">
        <v>44</v>
      </c>
      <c r="PR4" s="55">
        <f t="shared" ref="PR4:PR11" si="90">IF(SUM(OX4,PB4)&gt;0,SUM(OX4,PB4),"")</f>
        <v>14</v>
      </c>
      <c r="PS4" s="55">
        <f t="shared" ref="PS4:PS11" si="91">IF(SUM(OW4:OX4,OZ4:PB4,PD4)-OY4-PC4&gt;0,SUM(OW4:OX4,OZ4:PB4,PD4)-OY4-PC4,"")</f>
        <v>51.45</v>
      </c>
      <c r="PT4" s="55">
        <f t="shared" ref="PT4:PT11" si="92">IF(SUM(PE4:PF4,PH4)-PG4&gt;0,SUM(PE4:PF4,PH4)-PG4,"")</f>
        <v>24.25</v>
      </c>
      <c r="PU4" s="55">
        <f t="shared" ref="PU4:PU11" si="93">IF(SUM(PJ4,PN4)&gt;0,SUM(PJ4,PN4),"")</f>
        <v>9.8000000000000007</v>
      </c>
      <c r="PV4" s="55">
        <f t="shared" ref="PV4:PV11" si="94">IF(SUM(PI4:PJ4,PL4:PN4,PP4)-SUM(PK4,PO4)&gt;0,SUM(PI4:PJ4,PL4:PN4,PP4)-SUM(PK4,PO4),"")</f>
        <v>37.100000000000009</v>
      </c>
      <c r="PW4" s="55">
        <f>IF(SUM(PS4,PT4,PV4)&gt;0,SUM(PS4,PT4,PV4),"")</f>
        <v>112.80000000000001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103</v>
      </c>
      <c r="C5" s="4" t="s">
        <v>66</v>
      </c>
      <c r="D5" s="4">
        <v>2007</v>
      </c>
      <c r="E5" s="10">
        <f t="shared" si="0"/>
        <v>149.90001499000502</v>
      </c>
      <c r="F5" s="3" t="str">
        <f t="shared" si="1"/>
        <v>P</v>
      </c>
      <c r="G5" s="3" t="str">
        <f t="shared" si="2"/>
        <v>P</v>
      </c>
      <c r="H5" s="47" t="str">
        <f t="shared" si="3"/>
        <v>Excellence</v>
      </c>
      <c r="I5" s="9">
        <f>IF(COUNT(AN5,BO5,CP5)&gt;0,LARGE((AN5,BO5,CP5),1),0)</f>
        <v>50.199999999999996</v>
      </c>
      <c r="J5" s="9" t="str">
        <f t="shared" si="4"/>
        <v>2023 3rd Domestic Trial</v>
      </c>
      <c r="K5" s="9">
        <f>IF(COUNT(AN5,BO5,CP5)&gt;1,LARGE((AN5,BO5,CP5),2),0)</f>
        <v>49.599999999999994</v>
      </c>
      <c r="L5" s="9" t="str">
        <f t="shared" si="5"/>
        <v>2023 Nationals</v>
      </c>
      <c r="M5" s="9">
        <f t="shared" si="6"/>
        <v>50.099999999999994</v>
      </c>
      <c r="N5" s="9" t="str">
        <f t="shared" si="7"/>
        <v>2023 Nationals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18.7</v>
      </c>
      <c r="W5" s="20">
        <v>5.2</v>
      </c>
      <c r="X5" s="20">
        <v>0</v>
      </c>
      <c r="Y5" s="20">
        <v>0</v>
      </c>
      <c r="Z5" s="20"/>
      <c r="AA5" s="20"/>
      <c r="AB5" s="20"/>
      <c r="AC5" s="20"/>
      <c r="AD5" s="20">
        <v>18.5</v>
      </c>
      <c r="AE5" s="20">
        <v>5.2</v>
      </c>
      <c r="AF5" s="20">
        <v>0</v>
      </c>
      <c r="AG5" s="20">
        <v>0</v>
      </c>
      <c r="AH5" s="20">
        <v>18.5</v>
      </c>
      <c r="AI5" s="20">
        <v>4.3</v>
      </c>
      <c r="AJ5" s="20">
        <v>0.6</v>
      </c>
      <c r="AK5" s="20">
        <v>0</v>
      </c>
      <c r="AL5" s="32"/>
      <c r="AM5" s="55">
        <f t="shared" si="11"/>
        <v>10.4</v>
      </c>
      <c r="AN5" s="55">
        <f t="shared" si="12"/>
        <v>47.5</v>
      </c>
      <c r="AO5" s="55" t="str">
        <f t="shared" si="13"/>
        <v/>
      </c>
      <c r="AP5" s="55">
        <f t="shared" si="14"/>
        <v>9.5</v>
      </c>
      <c r="AQ5" s="55">
        <f t="shared" si="15"/>
        <v>45.9</v>
      </c>
      <c r="AR5" s="55">
        <f t="shared" ref="AR5:AR11" si="95">IF(SUM(AN5,AO5,AQ5)&gt;0,SUM(AN5,AO5,AQ5),"")</f>
        <v>93.4</v>
      </c>
      <c r="AS5" s="19">
        <v>18.100000000000001</v>
      </c>
      <c r="AT5" s="19">
        <v>7.6</v>
      </c>
      <c r="AU5" s="19">
        <v>0.6</v>
      </c>
      <c r="AV5" s="19">
        <v>0</v>
      </c>
      <c r="AW5" s="19">
        <v>17.899999999999999</v>
      </c>
      <c r="AX5" s="19">
        <v>6.8</v>
      </c>
      <c r="AY5" s="19">
        <v>0.2</v>
      </c>
      <c r="AZ5" s="19">
        <v>0</v>
      </c>
      <c r="BA5" s="19">
        <v>17.2</v>
      </c>
      <c r="BB5" s="19">
        <v>2.8</v>
      </c>
      <c r="BC5" s="19">
        <v>0</v>
      </c>
      <c r="BD5" s="19">
        <v>0</v>
      </c>
      <c r="BE5" s="19">
        <v>18.2</v>
      </c>
      <c r="BF5" s="19">
        <v>7.6</v>
      </c>
      <c r="BG5" s="19">
        <v>0</v>
      </c>
      <c r="BH5" s="19">
        <v>0</v>
      </c>
      <c r="BI5" s="19">
        <v>18.100000000000001</v>
      </c>
      <c r="BJ5" s="19">
        <v>6.8</v>
      </c>
      <c r="BK5" s="19">
        <v>0.6</v>
      </c>
      <c r="BL5" s="19">
        <v>0</v>
      </c>
      <c r="BM5" s="33"/>
      <c r="BN5" s="14">
        <f t="shared" si="16"/>
        <v>14.399999999999999</v>
      </c>
      <c r="BO5" s="14">
        <f t="shared" si="17"/>
        <v>49.599999999999994</v>
      </c>
      <c r="BP5" s="14">
        <f t="shared" si="18"/>
        <v>20</v>
      </c>
      <c r="BQ5" s="14">
        <f t="shared" si="19"/>
        <v>14.399999999999999</v>
      </c>
      <c r="BR5" s="14">
        <f t="shared" si="20"/>
        <v>50.099999999999994</v>
      </c>
      <c r="BS5" s="14">
        <f t="shared" ref="BS5:BS11" si="96">IF(SUM(BO5,BP5,BR5)&gt;0,SUM(BO5,BP5,BR5),"")</f>
        <v>119.69999999999999</v>
      </c>
      <c r="BT5" s="20">
        <v>18.600000000000001</v>
      </c>
      <c r="BU5" s="20">
        <v>7.2</v>
      </c>
      <c r="BV5" s="20">
        <v>0.6</v>
      </c>
      <c r="BW5" s="20">
        <v>0</v>
      </c>
      <c r="BX5" s="20">
        <v>18.2</v>
      </c>
      <c r="BY5" s="20">
        <v>6.8</v>
      </c>
      <c r="BZ5" s="20">
        <v>0</v>
      </c>
      <c r="CA5" s="20">
        <v>0</v>
      </c>
      <c r="CB5" s="20">
        <v>17.7</v>
      </c>
      <c r="CC5" s="20">
        <v>6</v>
      </c>
      <c r="CD5" s="20">
        <v>0.6</v>
      </c>
      <c r="CE5" s="20">
        <v>0</v>
      </c>
      <c r="CF5" s="20">
        <v>18.2</v>
      </c>
      <c r="CG5" s="20">
        <v>7.2</v>
      </c>
      <c r="CH5" s="20">
        <v>0.8</v>
      </c>
      <c r="CI5" s="20">
        <v>0</v>
      </c>
      <c r="CJ5" s="20">
        <v>18</v>
      </c>
      <c r="CK5" s="20">
        <v>6.8000000000000007</v>
      </c>
      <c r="CL5" s="20">
        <v>0.6</v>
      </c>
      <c r="CM5" s="20">
        <v>0</v>
      </c>
      <c r="CN5" s="32"/>
      <c r="CO5" s="55">
        <f t="shared" si="21"/>
        <v>14</v>
      </c>
      <c r="CP5" s="55">
        <f t="shared" si="22"/>
        <v>50.199999999999996</v>
      </c>
      <c r="CQ5" s="55">
        <f t="shared" si="23"/>
        <v>23.099999999999998</v>
      </c>
      <c r="CR5" s="55">
        <f t="shared" si="24"/>
        <v>14</v>
      </c>
      <c r="CS5" s="55">
        <f t="shared" si="25"/>
        <v>48.800000000000004</v>
      </c>
      <c r="CT5" s="55">
        <f t="shared" ref="CT5:CT11" si="97">IF(SUM(CP5,CQ5,CS5)&gt;0,SUM(CP5,CQ5,CS5),"")</f>
        <v>122.1</v>
      </c>
      <c r="CU5" s="56" t="str">
        <f t="shared" si="26"/>
        <v/>
      </c>
      <c r="CV5" s="56" t="str">
        <f t="shared" si="27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28"/>
        <v/>
      </c>
      <c r="DR5" s="55" t="str">
        <f t="shared" si="29"/>
        <v/>
      </c>
      <c r="DS5" s="55" t="str">
        <f t="shared" si="30"/>
        <v/>
      </c>
      <c r="DT5" s="55" t="str">
        <f t="shared" si="31"/>
        <v/>
      </c>
      <c r="DU5" s="55" t="str">
        <f t="shared" si="32"/>
        <v/>
      </c>
      <c r="DV5" s="55" t="str">
        <f t="shared" ref="DV5:DV11" si="98"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3"/>
        <v/>
      </c>
      <c r="ER5" s="14" t="str">
        <f t="shared" si="34"/>
        <v/>
      </c>
      <c r="ES5" s="14" t="str">
        <f t="shared" si="35"/>
        <v/>
      </c>
      <c r="ET5" s="14" t="str">
        <f t="shared" si="36"/>
        <v/>
      </c>
      <c r="EU5" s="14" t="str">
        <f t="shared" si="37"/>
        <v/>
      </c>
      <c r="EV5" s="14" t="str">
        <f t="shared" ref="EV5:EV11" si="99"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38"/>
        <v/>
      </c>
      <c r="FR5" s="55" t="str">
        <f t="shared" si="39"/>
        <v/>
      </c>
      <c r="FS5" s="55" t="str">
        <f t="shared" si="40"/>
        <v/>
      </c>
      <c r="FT5" s="55" t="str">
        <f t="shared" si="41"/>
        <v/>
      </c>
      <c r="FU5" s="55" t="str">
        <f t="shared" si="42"/>
        <v/>
      </c>
      <c r="FV5" s="55" t="str">
        <f t="shared" ref="FV5:FV11" si="100"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3"/>
        <v/>
      </c>
      <c r="GR5" s="14" t="str">
        <f t="shared" si="44"/>
        <v/>
      </c>
      <c r="GS5" s="14" t="str">
        <f t="shared" si="45"/>
        <v/>
      </c>
      <c r="GT5" s="14" t="str">
        <f t="shared" si="46"/>
        <v/>
      </c>
      <c r="GU5" s="14" t="str">
        <f t="shared" si="47"/>
        <v/>
      </c>
      <c r="GV5" s="14" t="str">
        <f t="shared" ref="GV5:GV11" si="101"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48"/>
        <v/>
      </c>
      <c r="HR5" s="55" t="str">
        <f t="shared" si="49"/>
        <v/>
      </c>
      <c r="HS5" s="55" t="str">
        <f t="shared" si="50"/>
        <v/>
      </c>
      <c r="HT5" s="55" t="str">
        <f t="shared" si="51"/>
        <v/>
      </c>
      <c r="HU5" s="55" t="str">
        <f t="shared" si="52"/>
        <v/>
      </c>
      <c r="HV5" s="55" t="str">
        <f t="shared" ref="HV5:HV11" si="102"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53"/>
        <v/>
      </c>
      <c r="IR5" s="14" t="str">
        <f t="shared" si="54"/>
        <v/>
      </c>
      <c r="IS5" s="14" t="str">
        <f t="shared" si="55"/>
        <v/>
      </c>
      <c r="IT5" s="14" t="str">
        <f t="shared" si="56"/>
        <v/>
      </c>
      <c r="IU5" s="14" t="str">
        <f t="shared" si="57"/>
        <v/>
      </c>
      <c r="IV5" s="14" t="str">
        <f t="shared" ref="IV5:IV11" si="103"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58"/>
        <v/>
      </c>
      <c r="JR5" s="55" t="str">
        <f t="shared" si="59"/>
        <v/>
      </c>
      <c r="JS5" s="55" t="str">
        <f t="shared" si="60"/>
        <v/>
      </c>
      <c r="JT5" s="55" t="str">
        <f t="shared" si="61"/>
        <v/>
      </c>
      <c r="JU5" s="55" t="str">
        <f t="shared" si="62"/>
        <v/>
      </c>
      <c r="JV5" s="55" t="str">
        <f t="shared" ref="JV5:JV11" si="104"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63"/>
        <v/>
      </c>
      <c r="KR5" s="14" t="str">
        <f t="shared" si="64"/>
        <v/>
      </c>
      <c r="KS5" s="14" t="str">
        <f t="shared" si="65"/>
        <v/>
      </c>
      <c r="KT5" s="14" t="str">
        <f t="shared" si="66"/>
        <v/>
      </c>
      <c r="KU5" s="14" t="str">
        <f t="shared" si="67"/>
        <v/>
      </c>
      <c r="KV5" s="14" t="str">
        <f t="shared" ref="KV5:KV11" si="105"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68"/>
        <v/>
      </c>
      <c r="LR5" s="55" t="str">
        <f t="shared" si="69"/>
        <v/>
      </c>
      <c r="LS5" s="55" t="str">
        <f t="shared" si="70"/>
        <v/>
      </c>
      <c r="LT5" s="55" t="str">
        <f t="shared" si="71"/>
        <v/>
      </c>
      <c r="LU5" s="55" t="str">
        <f t="shared" si="72"/>
        <v/>
      </c>
      <c r="LV5" s="55" t="str">
        <f t="shared" ref="LV5:LV11" si="106"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73"/>
        <v/>
      </c>
      <c r="MR5" s="14" t="str">
        <f t="shared" si="74"/>
        <v/>
      </c>
      <c r="MS5" s="14" t="str">
        <f t="shared" si="75"/>
        <v/>
      </c>
      <c r="MT5" s="14" t="str">
        <f t="shared" si="76"/>
        <v/>
      </c>
      <c r="MU5" s="14" t="str">
        <f t="shared" si="77"/>
        <v/>
      </c>
      <c r="MV5" s="14" t="str">
        <f t="shared" ref="MV5:MV11" si="107"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78"/>
        <v/>
      </c>
      <c r="NR5" s="55" t="str">
        <f t="shared" si="79"/>
        <v/>
      </c>
      <c r="NS5" s="55" t="str">
        <f t="shared" si="80"/>
        <v/>
      </c>
      <c r="NT5" s="55" t="str">
        <f t="shared" si="81"/>
        <v/>
      </c>
      <c r="NU5" s="55" t="str">
        <f t="shared" si="82"/>
        <v/>
      </c>
      <c r="NV5" s="55" t="str">
        <f t="shared" ref="NV5:NV11" si="108"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83"/>
        <v/>
      </c>
      <c r="OR5" s="14" t="str">
        <f t="shared" si="84"/>
        <v/>
      </c>
      <c r="OS5" s="14" t="str">
        <f t="shared" si="85"/>
        <v/>
      </c>
      <c r="OT5" s="14" t="str">
        <f t="shared" si="86"/>
        <v/>
      </c>
      <c r="OU5" s="14" t="str">
        <f t="shared" si="87"/>
        <v/>
      </c>
      <c r="OV5" s="14" t="str">
        <f t="shared" ref="OV5:OV11" si="109">IF(SUM(OR5,OS5,OU5)&gt;0,SUM(OR5,OS5,OU5),"")</f>
        <v/>
      </c>
      <c r="OW5" s="27">
        <f t="shared" si="88"/>
        <v>18.350000000000001</v>
      </c>
      <c r="OX5" s="27">
        <f t="shared" si="88"/>
        <v>7.4</v>
      </c>
      <c r="OY5" s="27">
        <f t="shared" si="88"/>
        <v>0.6</v>
      </c>
      <c r="OZ5" s="27">
        <f t="shared" si="88"/>
        <v>0</v>
      </c>
      <c r="PA5" s="27">
        <f t="shared" si="88"/>
        <v>18.049999999999997</v>
      </c>
      <c r="PB5" s="27">
        <f t="shared" si="88"/>
        <v>6.8</v>
      </c>
      <c r="PC5" s="27">
        <f t="shared" si="88"/>
        <v>0.1</v>
      </c>
      <c r="PD5" s="27">
        <f t="shared" si="88"/>
        <v>0</v>
      </c>
      <c r="PE5" s="27">
        <f t="shared" si="88"/>
        <v>17.45</v>
      </c>
      <c r="PF5" s="27">
        <f t="shared" si="88"/>
        <v>4.4000000000000004</v>
      </c>
      <c r="PG5" s="27">
        <f t="shared" si="89"/>
        <v>0.3</v>
      </c>
      <c r="PH5" s="27">
        <f t="shared" si="89"/>
        <v>0</v>
      </c>
      <c r="PI5" s="27">
        <f t="shared" si="89"/>
        <v>18.2</v>
      </c>
      <c r="PJ5" s="27">
        <f t="shared" si="89"/>
        <v>7.4</v>
      </c>
      <c r="PK5" s="27">
        <f t="shared" si="89"/>
        <v>0.4</v>
      </c>
      <c r="PL5" s="27">
        <f t="shared" si="89"/>
        <v>0</v>
      </c>
      <c r="PM5" s="27">
        <f t="shared" si="89"/>
        <v>18.05</v>
      </c>
      <c r="PN5" s="27">
        <f t="shared" si="89"/>
        <v>6.8000000000000007</v>
      </c>
      <c r="PO5" s="27">
        <f t="shared" si="89"/>
        <v>0.6</v>
      </c>
      <c r="PP5" s="27">
        <f t="shared" si="89"/>
        <v>0</v>
      </c>
      <c r="PQ5" s="32" t="s">
        <v>44</v>
      </c>
      <c r="PR5" s="55">
        <f t="shared" si="90"/>
        <v>14.2</v>
      </c>
      <c r="PS5" s="55">
        <f t="shared" si="91"/>
        <v>49.899999999999991</v>
      </c>
      <c r="PT5" s="55">
        <f t="shared" si="92"/>
        <v>21.55</v>
      </c>
      <c r="PU5" s="55">
        <f t="shared" si="93"/>
        <v>14.200000000000001</v>
      </c>
      <c r="PV5" s="55">
        <f t="shared" si="94"/>
        <v>49.45</v>
      </c>
      <c r="PW5" s="55">
        <f t="shared" ref="PW5:PW11" si="110">IF(SUM(PS5,PT5,PV5)&gt;0,SUM(PS5,PT5,PV5),"")</f>
        <v>120.89999999999999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88</v>
      </c>
      <c r="C6" s="4" t="s">
        <v>66</v>
      </c>
      <c r="D6" s="4">
        <v>2008</v>
      </c>
      <c r="E6" s="10">
        <f t="shared" si="0"/>
        <v>148.40001478000494</v>
      </c>
      <c r="F6" s="3" t="str">
        <f t="shared" si="1"/>
        <v>P</v>
      </c>
      <c r="G6" s="3" t="str">
        <f t="shared" si="2"/>
        <v>P</v>
      </c>
      <c r="H6" s="47" t="str">
        <f t="shared" si="3"/>
        <v>Excellence</v>
      </c>
      <c r="I6" s="9">
        <f>IF(COUNT(AN6,BO6,CP6)&gt;0,LARGE((AN6,BO6,CP6),1),0)</f>
        <v>49.4</v>
      </c>
      <c r="J6" s="9" t="str">
        <f t="shared" si="4"/>
        <v>2023 Elite Canada</v>
      </c>
      <c r="K6" s="9">
        <f>IF(COUNT(AN6,BO6,CP6)&gt;1,LARGE((AN6,BO6,CP6),2),0)</f>
        <v>46.599999999999994</v>
      </c>
      <c r="L6" s="9" t="str">
        <f t="shared" si="5"/>
        <v>2023 3rd Domestic Trial</v>
      </c>
      <c r="M6" s="9">
        <f t="shared" si="6"/>
        <v>51.8</v>
      </c>
      <c r="N6" s="9" t="str">
        <f t="shared" si="7"/>
        <v>2023 3rd Domestic Trial</v>
      </c>
      <c r="O6" s="9">
        <f t="shared" si="8"/>
        <v>0.60000000000000142</v>
      </c>
      <c r="P6" s="14" t="str">
        <f t="shared" si="9"/>
        <v>(Q1)</v>
      </c>
      <c r="Q6" s="9" t="str">
        <f t="shared" si="10"/>
        <v>2022 WAGC (Nov 26)</v>
      </c>
      <c r="R6" s="20">
        <v>18.7</v>
      </c>
      <c r="S6" s="20">
        <v>6.8</v>
      </c>
      <c r="T6" s="20">
        <v>0.6</v>
      </c>
      <c r="U6" s="20">
        <v>0</v>
      </c>
      <c r="V6" s="20">
        <v>18.7</v>
      </c>
      <c r="W6" s="20">
        <v>6.4</v>
      </c>
      <c r="X6" s="20">
        <v>0.6</v>
      </c>
      <c r="Y6" s="20">
        <v>0</v>
      </c>
      <c r="Z6" s="20">
        <v>18</v>
      </c>
      <c r="AA6" s="20">
        <v>6.8</v>
      </c>
      <c r="AB6" s="20">
        <v>1</v>
      </c>
      <c r="AC6" s="20">
        <v>0</v>
      </c>
      <c r="AD6" s="20">
        <v>18.3</v>
      </c>
      <c r="AE6" s="20">
        <v>6.8</v>
      </c>
      <c r="AF6" s="20">
        <v>1</v>
      </c>
      <c r="AG6" s="20">
        <v>0</v>
      </c>
      <c r="AH6" s="20">
        <v>18.8</v>
      </c>
      <c r="AI6" s="20">
        <v>6.4</v>
      </c>
      <c r="AJ6" s="20">
        <v>0</v>
      </c>
      <c r="AK6" s="20">
        <v>0</v>
      </c>
      <c r="AL6" s="32"/>
      <c r="AM6" s="55">
        <f t="shared" si="11"/>
        <v>13.2</v>
      </c>
      <c r="AN6" s="55">
        <f t="shared" si="12"/>
        <v>49.4</v>
      </c>
      <c r="AO6" s="55">
        <f t="shared" si="13"/>
        <v>23.8</v>
      </c>
      <c r="AP6" s="55">
        <f t="shared" si="14"/>
        <v>13.2</v>
      </c>
      <c r="AQ6" s="55">
        <f t="shared" si="15"/>
        <v>49.300000000000004</v>
      </c>
      <c r="AR6" s="55">
        <f t="shared" si="95"/>
        <v>122.5</v>
      </c>
      <c r="AS6" s="19">
        <v>17.399999999999999</v>
      </c>
      <c r="AT6" s="19">
        <v>2.8</v>
      </c>
      <c r="AU6" s="19">
        <v>0</v>
      </c>
      <c r="AV6" s="19">
        <v>0</v>
      </c>
      <c r="AW6" s="19">
        <v>17.600000000000001</v>
      </c>
      <c r="AX6" s="19">
        <v>4</v>
      </c>
      <c r="AY6" s="19">
        <v>0</v>
      </c>
      <c r="AZ6" s="19">
        <v>0</v>
      </c>
      <c r="BA6" s="19">
        <v>18.5</v>
      </c>
      <c r="BB6" s="19">
        <v>7.6</v>
      </c>
      <c r="BC6" s="19">
        <v>0</v>
      </c>
      <c r="BD6" s="19">
        <v>0</v>
      </c>
      <c r="BE6" s="19">
        <v>18.8</v>
      </c>
      <c r="BF6" s="19">
        <v>7.2</v>
      </c>
      <c r="BG6" s="19">
        <v>0.6</v>
      </c>
      <c r="BH6" s="19">
        <v>0</v>
      </c>
      <c r="BI6" s="19">
        <v>18.3</v>
      </c>
      <c r="BJ6" s="19">
        <v>6.8</v>
      </c>
      <c r="BK6" s="19">
        <v>0.2</v>
      </c>
      <c r="BL6" s="19">
        <v>0</v>
      </c>
      <c r="BM6" s="33"/>
      <c r="BN6" s="14">
        <f t="shared" si="16"/>
        <v>6.8</v>
      </c>
      <c r="BO6" s="14">
        <f t="shared" si="17"/>
        <v>41.8</v>
      </c>
      <c r="BP6" s="14">
        <f t="shared" si="18"/>
        <v>26.1</v>
      </c>
      <c r="BQ6" s="14">
        <f t="shared" si="19"/>
        <v>14</v>
      </c>
      <c r="BR6" s="14">
        <f t="shared" si="20"/>
        <v>50.3</v>
      </c>
      <c r="BS6" s="14">
        <f t="shared" si="96"/>
        <v>118.2</v>
      </c>
      <c r="BT6" s="20">
        <v>17.399999999999999</v>
      </c>
      <c r="BU6" s="20">
        <v>4</v>
      </c>
      <c r="BV6" s="20">
        <v>0</v>
      </c>
      <c r="BW6" s="20">
        <v>0</v>
      </c>
      <c r="BX6" s="20">
        <v>18.2</v>
      </c>
      <c r="BY6" s="20">
        <v>7.6000000000000005</v>
      </c>
      <c r="BZ6" s="20">
        <v>0.6</v>
      </c>
      <c r="CA6" s="20">
        <v>0</v>
      </c>
      <c r="CB6" s="20">
        <v>17.3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18.399999999999999</v>
      </c>
      <c r="CK6" s="20">
        <v>7.6000000000000005</v>
      </c>
      <c r="CL6" s="20">
        <v>0</v>
      </c>
      <c r="CM6" s="20">
        <v>0</v>
      </c>
      <c r="CN6" s="32"/>
      <c r="CO6" s="55">
        <f t="shared" si="21"/>
        <v>11.600000000000001</v>
      </c>
      <c r="CP6" s="55">
        <f t="shared" si="22"/>
        <v>46.599999999999994</v>
      </c>
      <c r="CQ6" s="55">
        <f t="shared" si="23"/>
        <v>20.100000000000001</v>
      </c>
      <c r="CR6" s="55">
        <f t="shared" si="24"/>
        <v>15.2</v>
      </c>
      <c r="CS6" s="55">
        <f t="shared" si="25"/>
        <v>51.8</v>
      </c>
      <c r="CT6" s="55">
        <f t="shared" si="97"/>
        <v>118.49999999999999</v>
      </c>
      <c r="CU6" s="56">
        <f t="shared" si="26"/>
        <v>0.60000000000000142</v>
      </c>
      <c r="CV6" s="56" t="str">
        <f t="shared" si="27"/>
        <v/>
      </c>
      <c r="CW6" s="18">
        <v>16.600000000000001</v>
      </c>
      <c r="CX6" s="18">
        <v>6.8</v>
      </c>
      <c r="CY6" s="18">
        <v>1</v>
      </c>
      <c r="CZ6" s="18">
        <v>0</v>
      </c>
      <c r="DA6" s="18">
        <v>18.600000000000001</v>
      </c>
      <c r="DB6" s="18">
        <v>6.4</v>
      </c>
      <c r="DC6" s="18">
        <v>0.2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 t="shared" si="28"/>
        <v>13.2</v>
      </c>
      <c r="DR6" s="55">
        <f t="shared" si="29"/>
        <v>47.199999999999996</v>
      </c>
      <c r="DS6" s="55" t="str">
        <f t="shared" si="30"/>
        <v/>
      </c>
      <c r="DT6" s="55" t="str">
        <f t="shared" si="31"/>
        <v/>
      </c>
      <c r="DU6" s="55" t="str">
        <f t="shared" si="32"/>
        <v/>
      </c>
      <c r="DV6" s="55">
        <f t="shared" si="98"/>
        <v>47.199999999999996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3"/>
        <v/>
      </c>
      <c r="ER6" s="14" t="str">
        <f t="shared" si="34"/>
        <v/>
      </c>
      <c r="ES6" s="14" t="str">
        <f t="shared" si="35"/>
        <v/>
      </c>
      <c r="ET6" s="14" t="str">
        <f t="shared" si="36"/>
        <v/>
      </c>
      <c r="EU6" s="14" t="str">
        <f t="shared" si="37"/>
        <v/>
      </c>
      <c r="EV6" s="14" t="str">
        <f t="shared" si="99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38"/>
        <v/>
      </c>
      <c r="FR6" s="55" t="str">
        <f t="shared" si="39"/>
        <v/>
      </c>
      <c r="FS6" s="55" t="str">
        <f t="shared" si="40"/>
        <v/>
      </c>
      <c r="FT6" s="55" t="str">
        <f t="shared" si="41"/>
        <v/>
      </c>
      <c r="FU6" s="55" t="str">
        <f t="shared" si="42"/>
        <v/>
      </c>
      <c r="FV6" s="55" t="str">
        <f t="shared" si="100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3"/>
        <v/>
      </c>
      <c r="GR6" s="14" t="str">
        <f t="shared" si="44"/>
        <v/>
      </c>
      <c r="GS6" s="14" t="str">
        <f t="shared" si="45"/>
        <v/>
      </c>
      <c r="GT6" s="14" t="str">
        <f t="shared" si="46"/>
        <v/>
      </c>
      <c r="GU6" s="14" t="str">
        <f t="shared" si="47"/>
        <v/>
      </c>
      <c r="GV6" s="14" t="str">
        <f t="shared" si="101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48"/>
        <v/>
      </c>
      <c r="HR6" s="55" t="str">
        <f t="shared" si="49"/>
        <v/>
      </c>
      <c r="HS6" s="55" t="str">
        <f t="shared" si="50"/>
        <v/>
      </c>
      <c r="HT6" s="55" t="str">
        <f t="shared" si="51"/>
        <v/>
      </c>
      <c r="HU6" s="55" t="str">
        <f t="shared" si="52"/>
        <v/>
      </c>
      <c r="HV6" s="55" t="str">
        <f t="shared" si="102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53"/>
        <v/>
      </c>
      <c r="IR6" s="14" t="str">
        <f t="shared" si="54"/>
        <v/>
      </c>
      <c r="IS6" s="14" t="str">
        <f t="shared" si="55"/>
        <v/>
      </c>
      <c r="IT6" s="14" t="str">
        <f t="shared" si="56"/>
        <v/>
      </c>
      <c r="IU6" s="14" t="str">
        <f t="shared" si="57"/>
        <v/>
      </c>
      <c r="IV6" s="14" t="str">
        <f t="shared" si="103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58"/>
        <v/>
      </c>
      <c r="JR6" s="55" t="str">
        <f t="shared" si="59"/>
        <v/>
      </c>
      <c r="JS6" s="55" t="str">
        <f t="shared" si="60"/>
        <v/>
      </c>
      <c r="JT6" s="55" t="str">
        <f t="shared" si="61"/>
        <v/>
      </c>
      <c r="JU6" s="55" t="str">
        <f t="shared" si="62"/>
        <v/>
      </c>
      <c r="JV6" s="55" t="str">
        <f t="shared" si="104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63"/>
        <v/>
      </c>
      <c r="KR6" s="14" t="str">
        <f t="shared" si="64"/>
        <v/>
      </c>
      <c r="KS6" s="14" t="str">
        <f t="shared" si="65"/>
        <v/>
      </c>
      <c r="KT6" s="14" t="str">
        <f t="shared" si="66"/>
        <v/>
      </c>
      <c r="KU6" s="14" t="str">
        <f t="shared" si="67"/>
        <v/>
      </c>
      <c r="KV6" s="14" t="str">
        <f t="shared" si="10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68"/>
        <v/>
      </c>
      <c r="LR6" s="55" t="str">
        <f t="shared" si="69"/>
        <v/>
      </c>
      <c r="LS6" s="55" t="str">
        <f t="shared" si="70"/>
        <v/>
      </c>
      <c r="LT6" s="55" t="str">
        <f t="shared" si="71"/>
        <v/>
      </c>
      <c r="LU6" s="55" t="str">
        <f t="shared" si="72"/>
        <v/>
      </c>
      <c r="LV6" s="55" t="str">
        <f t="shared" si="106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73"/>
        <v/>
      </c>
      <c r="MR6" s="14" t="str">
        <f t="shared" si="74"/>
        <v/>
      </c>
      <c r="MS6" s="14" t="str">
        <f t="shared" si="75"/>
        <v/>
      </c>
      <c r="MT6" s="14" t="str">
        <f t="shared" si="76"/>
        <v/>
      </c>
      <c r="MU6" s="14" t="str">
        <f t="shared" si="77"/>
        <v/>
      </c>
      <c r="MV6" s="14" t="str">
        <f t="shared" si="107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78"/>
        <v/>
      </c>
      <c r="NR6" s="55" t="str">
        <f t="shared" si="79"/>
        <v/>
      </c>
      <c r="NS6" s="55" t="str">
        <f t="shared" si="80"/>
        <v/>
      </c>
      <c r="NT6" s="55" t="str">
        <f t="shared" si="81"/>
        <v/>
      </c>
      <c r="NU6" s="55" t="str">
        <f t="shared" si="82"/>
        <v/>
      </c>
      <c r="NV6" s="55" t="str">
        <f t="shared" si="108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83"/>
        <v/>
      </c>
      <c r="OR6" s="14" t="str">
        <f t="shared" si="84"/>
        <v/>
      </c>
      <c r="OS6" s="14" t="str">
        <f t="shared" si="85"/>
        <v/>
      </c>
      <c r="OT6" s="14" t="str">
        <f t="shared" si="86"/>
        <v/>
      </c>
      <c r="OU6" s="14" t="str">
        <f t="shared" si="87"/>
        <v/>
      </c>
      <c r="OV6" s="14" t="str">
        <f t="shared" si="109"/>
        <v/>
      </c>
      <c r="OW6" s="27">
        <f t="shared" si="88"/>
        <v>17.399999999999999</v>
      </c>
      <c r="OX6" s="27">
        <f t="shared" si="88"/>
        <v>3.4</v>
      </c>
      <c r="OY6" s="27">
        <f t="shared" si="88"/>
        <v>0</v>
      </c>
      <c r="OZ6" s="27">
        <f t="shared" si="88"/>
        <v>0</v>
      </c>
      <c r="PA6" s="27">
        <f t="shared" si="88"/>
        <v>17.899999999999999</v>
      </c>
      <c r="PB6" s="27">
        <f t="shared" si="88"/>
        <v>5.8000000000000007</v>
      </c>
      <c r="PC6" s="27">
        <f t="shared" si="88"/>
        <v>0.3</v>
      </c>
      <c r="PD6" s="27">
        <f t="shared" si="88"/>
        <v>0</v>
      </c>
      <c r="PE6" s="27">
        <f t="shared" si="88"/>
        <v>17.899999999999999</v>
      </c>
      <c r="PF6" s="27">
        <f t="shared" si="88"/>
        <v>5.1999999999999993</v>
      </c>
      <c r="PG6" s="27">
        <f t="shared" si="89"/>
        <v>0</v>
      </c>
      <c r="PH6" s="27">
        <f t="shared" si="89"/>
        <v>0</v>
      </c>
      <c r="PI6" s="27">
        <f t="shared" si="89"/>
        <v>18.5</v>
      </c>
      <c r="PJ6" s="27">
        <f t="shared" si="89"/>
        <v>7.4</v>
      </c>
      <c r="PK6" s="27">
        <f t="shared" si="89"/>
        <v>0.3</v>
      </c>
      <c r="PL6" s="27">
        <f t="shared" si="89"/>
        <v>0</v>
      </c>
      <c r="PM6" s="27">
        <f t="shared" si="89"/>
        <v>18.350000000000001</v>
      </c>
      <c r="PN6" s="27">
        <f t="shared" si="89"/>
        <v>7.2</v>
      </c>
      <c r="PO6" s="27">
        <f t="shared" si="89"/>
        <v>0.1</v>
      </c>
      <c r="PP6" s="27">
        <f t="shared" si="89"/>
        <v>0</v>
      </c>
      <c r="PQ6" s="32" t="s">
        <v>44</v>
      </c>
      <c r="PR6" s="55">
        <f t="shared" si="90"/>
        <v>9.2000000000000011</v>
      </c>
      <c r="PS6" s="55">
        <f t="shared" si="91"/>
        <v>44.2</v>
      </c>
      <c r="PT6" s="55">
        <f t="shared" si="92"/>
        <v>23.099999999999998</v>
      </c>
      <c r="PU6" s="55">
        <f t="shared" si="93"/>
        <v>14.600000000000001</v>
      </c>
      <c r="PV6" s="55">
        <f t="shared" si="94"/>
        <v>51.050000000000004</v>
      </c>
      <c r="PW6" s="55">
        <f t="shared" si="110"/>
        <v>118.35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 t="shared" si="0"/>
        <v>148.00001480000495</v>
      </c>
      <c r="F7" s="3" t="str">
        <f t="shared" si="1"/>
        <v>P</v>
      </c>
      <c r="G7" s="3" t="str">
        <f t="shared" si="2"/>
        <v>P</v>
      </c>
      <c r="H7" s="47" t="str">
        <f t="shared" si="3"/>
        <v>Excellence</v>
      </c>
      <c r="I7" s="9">
        <f>IF(COUNT(AN7,BO7,CP7)&gt;0,LARGE((AN7,BO7,CP7),1),0)</f>
        <v>49.4</v>
      </c>
      <c r="J7" s="9" t="str">
        <f t="shared" si="4"/>
        <v>2023 3rd Domestic Trial</v>
      </c>
      <c r="K7" s="9">
        <f>IF(COUNT(AN7,BO7,CP7)&gt;1,LARGE((AN7,BO7,CP7),2),0)</f>
        <v>49.4</v>
      </c>
      <c r="L7" s="9" t="str">
        <f t="shared" si="5"/>
        <v>2023 3rd Domestic Trial</v>
      </c>
      <c r="M7" s="9">
        <f t="shared" si="6"/>
        <v>49.2</v>
      </c>
      <c r="N7" s="9" t="str">
        <f t="shared" si="7"/>
        <v>2023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 t="shared" si="11"/>
        <v>10.4</v>
      </c>
      <c r="AN7" s="55">
        <f t="shared" si="12"/>
        <v>46.6</v>
      </c>
      <c r="AO7" s="55" t="str">
        <f t="shared" si="13"/>
        <v/>
      </c>
      <c r="AP7" s="55">
        <f t="shared" si="14"/>
        <v>9.1999999999999993</v>
      </c>
      <c r="AQ7" s="55">
        <f t="shared" si="15"/>
        <v>45.4</v>
      </c>
      <c r="AR7" s="55">
        <f t="shared" si="95"/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 t="shared" si="16"/>
        <v>11.6</v>
      </c>
      <c r="BO7" s="14">
        <f t="shared" si="17"/>
        <v>49.4</v>
      </c>
      <c r="BP7" s="14">
        <f t="shared" si="18"/>
        <v>22.3</v>
      </c>
      <c r="BQ7" s="14">
        <f t="shared" si="19"/>
        <v>11.6</v>
      </c>
      <c r="BR7" s="14">
        <f t="shared" si="20"/>
        <v>49.2</v>
      </c>
      <c r="BS7" s="14">
        <f t="shared" si="96"/>
        <v>120.9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 t="shared" si="21"/>
        <v>11.6</v>
      </c>
      <c r="CP7" s="55">
        <f t="shared" si="22"/>
        <v>49.4</v>
      </c>
      <c r="CQ7" s="55">
        <f t="shared" si="23"/>
        <v>23.2</v>
      </c>
      <c r="CR7" s="55">
        <f t="shared" si="24"/>
        <v>11.600000000000001</v>
      </c>
      <c r="CS7" s="55">
        <f t="shared" si="25"/>
        <v>46.6</v>
      </c>
      <c r="CT7" s="55">
        <f t="shared" si="97"/>
        <v>119.19999999999999</v>
      </c>
      <c r="CU7" s="56" t="str">
        <f t="shared" si="26"/>
        <v/>
      </c>
      <c r="CV7" s="56" t="str">
        <f t="shared" si="27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28"/>
        <v/>
      </c>
      <c r="DR7" s="55" t="str">
        <f t="shared" si="29"/>
        <v/>
      </c>
      <c r="DS7" s="55" t="str">
        <f t="shared" si="30"/>
        <v/>
      </c>
      <c r="DT7" s="55" t="str">
        <f t="shared" si="31"/>
        <v/>
      </c>
      <c r="DU7" s="55" t="str">
        <f t="shared" si="32"/>
        <v/>
      </c>
      <c r="DV7" s="55" t="str">
        <f t="shared" si="98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3"/>
        <v/>
      </c>
      <c r="ER7" s="14" t="str">
        <f t="shared" si="34"/>
        <v/>
      </c>
      <c r="ES7" s="14" t="str">
        <f t="shared" si="35"/>
        <v/>
      </c>
      <c r="ET7" s="14" t="str">
        <f t="shared" si="36"/>
        <v/>
      </c>
      <c r="EU7" s="14" t="str">
        <f t="shared" si="37"/>
        <v/>
      </c>
      <c r="EV7" s="14" t="str">
        <f t="shared" si="99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38"/>
        <v/>
      </c>
      <c r="FR7" s="55" t="str">
        <f t="shared" si="39"/>
        <v/>
      </c>
      <c r="FS7" s="55" t="str">
        <f t="shared" si="40"/>
        <v/>
      </c>
      <c r="FT7" s="55" t="str">
        <f t="shared" si="41"/>
        <v/>
      </c>
      <c r="FU7" s="55" t="str">
        <f t="shared" si="42"/>
        <v/>
      </c>
      <c r="FV7" s="55" t="str">
        <f t="shared" si="100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3"/>
        <v/>
      </c>
      <c r="GR7" s="14" t="str">
        <f t="shared" si="44"/>
        <v/>
      </c>
      <c r="GS7" s="14" t="str">
        <f t="shared" si="45"/>
        <v/>
      </c>
      <c r="GT7" s="14" t="str">
        <f t="shared" si="46"/>
        <v/>
      </c>
      <c r="GU7" s="14" t="str">
        <f t="shared" si="47"/>
        <v/>
      </c>
      <c r="GV7" s="14" t="str">
        <f t="shared" si="101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48"/>
        <v/>
      </c>
      <c r="HR7" s="55" t="str">
        <f t="shared" si="49"/>
        <v/>
      </c>
      <c r="HS7" s="55" t="str">
        <f t="shared" si="50"/>
        <v/>
      </c>
      <c r="HT7" s="55" t="str">
        <f t="shared" si="51"/>
        <v/>
      </c>
      <c r="HU7" s="55" t="str">
        <f t="shared" si="52"/>
        <v/>
      </c>
      <c r="HV7" s="55" t="str">
        <f t="shared" si="102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53"/>
        <v/>
      </c>
      <c r="IR7" s="14" t="str">
        <f t="shared" si="54"/>
        <v/>
      </c>
      <c r="IS7" s="14" t="str">
        <f t="shared" si="55"/>
        <v/>
      </c>
      <c r="IT7" s="14" t="str">
        <f t="shared" si="56"/>
        <v/>
      </c>
      <c r="IU7" s="14" t="str">
        <f t="shared" si="57"/>
        <v/>
      </c>
      <c r="IV7" s="14" t="str">
        <f t="shared" si="103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58"/>
        <v/>
      </c>
      <c r="JR7" s="55" t="str">
        <f t="shared" si="59"/>
        <v/>
      </c>
      <c r="JS7" s="55" t="str">
        <f t="shared" si="60"/>
        <v/>
      </c>
      <c r="JT7" s="55" t="str">
        <f t="shared" si="61"/>
        <v/>
      </c>
      <c r="JU7" s="55" t="str">
        <f t="shared" si="62"/>
        <v/>
      </c>
      <c r="JV7" s="55" t="str">
        <f t="shared" si="104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63"/>
        <v/>
      </c>
      <c r="KR7" s="14" t="str">
        <f t="shared" si="64"/>
        <v/>
      </c>
      <c r="KS7" s="14" t="str">
        <f t="shared" si="65"/>
        <v/>
      </c>
      <c r="KT7" s="14" t="str">
        <f t="shared" si="66"/>
        <v/>
      </c>
      <c r="KU7" s="14" t="str">
        <f t="shared" si="67"/>
        <v/>
      </c>
      <c r="KV7" s="14" t="str">
        <f t="shared" si="10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68"/>
        <v/>
      </c>
      <c r="LR7" s="55" t="str">
        <f t="shared" si="69"/>
        <v/>
      </c>
      <c r="LS7" s="55" t="str">
        <f t="shared" si="70"/>
        <v/>
      </c>
      <c r="LT7" s="55" t="str">
        <f t="shared" si="71"/>
        <v/>
      </c>
      <c r="LU7" s="55" t="str">
        <f t="shared" si="72"/>
        <v/>
      </c>
      <c r="LV7" s="55" t="str">
        <f t="shared" si="106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73"/>
        <v/>
      </c>
      <c r="MR7" s="14" t="str">
        <f t="shared" si="74"/>
        <v/>
      </c>
      <c r="MS7" s="14" t="str">
        <f t="shared" si="75"/>
        <v/>
      </c>
      <c r="MT7" s="14" t="str">
        <f t="shared" si="76"/>
        <v/>
      </c>
      <c r="MU7" s="14" t="str">
        <f t="shared" si="77"/>
        <v/>
      </c>
      <c r="MV7" s="14" t="str">
        <f t="shared" si="107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78"/>
        <v/>
      </c>
      <c r="NR7" s="55" t="str">
        <f t="shared" si="79"/>
        <v/>
      </c>
      <c r="NS7" s="55" t="str">
        <f t="shared" si="80"/>
        <v/>
      </c>
      <c r="NT7" s="55" t="str">
        <f t="shared" si="81"/>
        <v/>
      </c>
      <c r="NU7" s="55" t="str">
        <f t="shared" si="82"/>
        <v/>
      </c>
      <c r="NV7" s="55" t="str">
        <f t="shared" si="108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83"/>
        <v/>
      </c>
      <c r="OR7" s="14" t="str">
        <f t="shared" si="84"/>
        <v/>
      </c>
      <c r="OS7" s="14" t="str">
        <f t="shared" si="85"/>
        <v/>
      </c>
      <c r="OT7" s="14" t="str">
        <f t="shared" si="86"/>
        <v/>
      </c>
      <c r="OU7" s="14" t="str">
        <f t="shared" si="87"/>
        <v/>
      </c>
      <c r="OV7" s="14" t="str">
        <f t="shared" si="109"/>
        <v/>
      </c>
      <c r="OW7" s="27">
        <f t="shared" si="88"/>
        <v>18.950000000000003</v>
      </c>
      <c r="OX7" s="27">
        <f t="shared" si="88"/>
        <v>5.6</v>
      </c>
      <c r="OY7" s="27">
        <f t="shared" si="88"/>
        <v>0</v>
      </c>
      <c r="OZ7" s="27">
        <f t="shared" si="88"/>
        <v>0</v>
      </c>
      <c r="PA7" s="27">
        <f t="shared" si="88"/>
        <v>18.95</v>
      </c>
      <c r="PB7" s="27">
        <f t="shared" si="88"/>
        <v>6</v>
      </c>
      <c r="PC7" s="27">
        <f t="shared" si="88"/>
        <v>0.1</v>
      </c>
      <c r="PD7" s="27">
        <f t="shared" si="88"/>
        <v>0</v>
      </c>
      <c r="PE7" s="27">
        <f t="shared" si="88"/>
        <v>18.5</v>
      </c>
      <c r="PF7" s="27">
        <f t="shared" si="88"/>
        <v>4.8</v>
      </c>
      <c r="PG7" s="27">
        <f t="shared" si="89"/>
        <v>0.55000000000000004</v>
      </c>
      <c r="PH7" s="27">
        <f t="shared" si="89"/>
        <v>0</v>
      </c>
      <c r="PI7" s="27">
        <f t="shared" si="89"/>
        <v>19</v>
      </c>
      <c r="PJ7" s="27">
        <f t="shared" si="89"/>
        <v>6</v>
      </c>
      <c r="PK7" s="27">
        <f t="shared" si="89"/>
        <v>0.3</v>
      </c>
      <c r="PL7" s="27">
        <f t="shared" si="89"/>
        <v>0</v>
      </c>
      <c r="PM7" s="27">
        <f t="shared" si="89"/>
        <v>18.100000000000001</v>
      </c>
      <c r="PN7" s="27">
        <f t="shared" si="89"/>
        <v>5.6</v>
      </c>
      <c r="PO7" s="27">
        <f t="shared" si="89"/>
        <v>0.5</v>
      </c>
      <c r="PP7" s="27">
        <f t="shared" si="89"/>
        <v>0</v>
      </c>
      <c r="PQ7" s="32" t="s">
        <v>44</v>
      </c>
      <c r="PR7" s="55">
        <f t="shared" si="90"/>
        <v>11.6</v>
      </c>
      <c r="PS7" s="55">
        <f t="shared" si="91"/>
        <v>49.4</v>
      </c>
      <c r="PT7" s="55">
        <f t="shared" si="92"/>
        <v>22.75</v>
      </c>
      <c r="PU7" s="55">
        <f t="shared" si="93"/>
        <v>11.6</v>
      </c>
      <c r="PV7" s="55">
        <f t="shared" si="94"/>
        <v>47.900000000000006</v>
      </c>
      <c r="PW7" s="55">
        <f t="shared" si="110"/>
        <v>120.05000000000001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 t="shared" si="0"/>
        <v>147.60001476000494</v>
      </c>
      <c r="F8" s="3" t="str">
        <f t="shared" si="1"/>
        <v>P</v>
      </c>
      <c r="G8" s="3" t="str">
        <f t="shared" si="2"/>
        <v>P</v>
      </c>
      <c r="H8" s="47" t="str">
        <f t="shared" si="3"/>
        <v>Excellence</v>
      </c>
      <c r="I8" s="9">
        <f>IF(COUNT(AN8,BO8,CP8)&gt;0,LARGE((AN8,BO8,CP8),1),0)</f>
        <v>49.5</v>
      </c>
      <c r="J8" s="9" t="str">
        <f t="shared" si="4"/>
        <v>2023 Elite Canada</v>
      </c>
      <c r="K8" s="9">
        <f>IF(COUNT(AN8,BO8,CP8)&gt;1,LARGE((AN8,BO8,CP8),2),0)</f>
        <v>49.399999999999991</v>
      </c>
      <c r="L8" s="9" t="str">
        <f t="shared" si="5"/>
        <v>2023 Nationals</v>
      </c>
      <c r="M8" s="9">
        <f t="shared" si="6"/>
        <v>48.7</v>
      </c>
      <c r="N8" s="9" t="str">
        <f t="shared" si="7"/>
        <v>2023 Elite Canada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 t="shared" si="11"/>
        <v>12</v>
      </c>
      <c r="AN8" s="55">
        <f t="shared" si="12"/>
        <v>49.5</v>
      </c>
      <c r="AO8" s="55" t="str">
        <f t="shared" si="13"/>
        <v/>
      </c>
      <c r="AP8" s="55">
        <f t="shared" si="14"/>
        <v>12</v>
      </c>
      <c r="AQ8" s="55">
        <f t="shared" si="15"/>
        <v>48.7</v>
      </c>
      <c r="AR8" s="55">
        <f t="shared" si="95"/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 t="shared" si="16"/>
        <v>12.8</v>
      </c>
      <c r="BO8" s="14">
        <f t="shared" si="17"/>
        <v>49.399999999999991</v>
      </c>
      <c r="BP8" s="14">
        <f t="shared" si="18"/>
        <v>24.9</v>
      </c>
      <c r="BQ8" s="14">
        <f t="shared" si="19"/>
        <v>11.600000000000001</v>
      </c>
      <c r="BR8" s="14">
        <f t="shared" si="20"/>
        <v>47.4</v>
      </c>
      <c r="BS8" s="14">
        <f t="shared" si="96"/>
        <v>121.69999999999999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 t="shared" si="21"/>
        <v>10</v>
      </c>
      <c r="CP8" s="55">
        <f t="shared" si="22"/>
        <v>45.2</v>
      </c>
      <c r="CQ8" s="55">
        <f t="shared" si="23"/>
        <v>24.4</v>
      </c>
      <c r="CR8" s="55">
        <f t="shared" si="24"/>
        <v>6.8000000000000007</v>
      </c>
      <c r="CS8" s="55">
        <f t="shared" si="25"/>
        <v>25.200000000000003</v>
      </c>
      <c r="CT8" s="55">
        <f t="shared" si="97"/>
        <v>94.8</v>
      </c>
      <c r="CU8" s="56" t="str">
        <f t="shared" si="26"/>
        <v/>
      </c>
      <c r="CV8" s="56" t="str">
        <f t="shared" si="27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28"/>
        <v/>
      </c>
      <c r="DR8" s="55" t="str">
        <f t="shared" si="29"/>
        <v/>
      </c>
      <c r="DS8" s="55" t="str">
        <f t="shared" si="30"/>
        <v/>
      </c>
      <c r="DT8" s="55" t="str">
        <f t="shared" si="31"/>
        <v/>
      </c>
      <c r="DU8" s="55" t="str">
        <f t="shared" si="32"/>
        <v/>
      </c>
      <c r="DV8" s="55" t="str">
        <f t="shared" si="98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 t="shared" si="33"/>
        <v/>
      </c>
      <c r="ER8" s="14" t="str">
        <f t="shared" si="34"/>
        <v/>
      </c>
      <c r="ES8" s="14" t="str">
        <f t="shared" si="35"/>
        <v/>
      </c>
      <c r="ET8" s="14">
        <f t="shared" si="36"/>
        <v>12</v>
      </c>
      <c r="EU8" s="14">
        <f t="shared" si="37"/>
        <v>48</v>
      </c>
      <c r="EV8" s="14">
        <f t="shared" si="99"/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 t="shared" si="38"/>
        <v/>
      </c>
      <c r="FR8" s="55" t="str">
        <f t="shared" si="39"/>
        <v/>
      </c>
      <c r="FS8" s="55" t="str">
        <f t="shared" si="40"/>
        <v/>
      </c>
      <c r="FT8" s="55">
        <f t="shared" si="41"/>
        <v>12</v>
      </c>
      <c r="FU8" s="55">
        <f t="shared" si="42"/>
        <v>48</v>
      </c>
      <c r="FV8" s="55">
        <f t="shared" si="100"/>
        <v>48</v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3"/>
        <v/>
      </c>
      <c r="GR8" s="14" t="str">
        <f t="shared" si="44"/>
        <v/>
      </c>
      <c r="GS8" s="14" t="str">
        <f t="shared" si="45"/>
        <v/>
      </c>
      <c r="GT8" s="14" t="str">
        <f t="shared" si="46"/>
        <v/>
      </c>
      <c r="GU8" s="14" t="str">
        <f t="shared" si="47"/>
        <v/>
      </c>
      <c r="GV8" s="14" t="str">
        <f t="shared" si="101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48"/>
        <v/>
      </c>
      <c r="HR8" s="55" t="str">
        <f t="shared" si="49"/>
        <v/>
      </c>
      <c r="HS8" s="55" t="str">
        <f t="shared" si="50"/>
        <v/>
      </c>
      <c r="HT8" s="55" t="str">
        <f t="shared" si="51"/>
        <v/>
      </c>
      <c r="HU8" s="55" t="str">
        <f t="shared" si="52"/>
        <v/>
      </c>
      <c r="HV8" s="55" t="str">
        <f t="shared" si="102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53"/>
        <v/>
      </c>
      <c r="IR8" s="14" t="str">
        <f t="shared" si="54"/>
        <v/>
      </c>
      <c r="IS8" s="14" t="str">
        <f t="shared" si="55"/>
        <v/>
      </c>
      <c r="IT8" s="14" t="str">
        <f t="shared" si="56"/>
        <v/>
      </c>
      <c r="IU8" s="14" t="str">
        <f t="shared" si="57"/>
        <v/>
      </c>
      <c r="IV8" s="14" t="str">
        <f t="shared" si="103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58"/>
        <v/>
      </c>
      <c r="JR8" s="55" t="str">
        <f t="shared" si="59"/>
        <v/>
      </c>
      <c r="JS8" s="55" t="str">
        <f t="shared" si="60"/>
        <v/>
      </c>
      <c r="JT8" s="55" t="str">
        <f t="shared" si="61"/>
        <v/>
      </c>
      <c r="JU8" s="55" t="str">
        <f t="shared" si="62"/>
        <v/>
      </c>
      <c r="JV8" s="55" t="str">
        <f t="shared" si="104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63"/>
        <v/>
      </c>
      <c r="KR8" s="14" t="str">
        <f t="shared" si="64"/>
        <v/>
      </c>
      <c r="KS8" s="14" t="str">
        <f t="shared" si="65"/>
        <v/>
      </c>
      <c r="KT8" s="14" t="str">
        <f t="shared" si="66"/>
        <v/>
      </c>
      <c r="KU8" s="14" t="str">
        <f t="shared" si="67"/>
        <v/>
      </c>
      <c r="KV8" s="14" t="str">
        <f t="shared" si="10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68"/>
        <v/>
      </c>
      <c r="LR8" s="55" t="str">
        <f t="shared" si="69"/>
        <v/>
      </c>
      <c r="LS8" s="55" t="str">
        <f t="shared" si="70"/>
        <v/>
      </c>
      <c r="LT8" s="55" t="str">
        <f t="shared" si="71"/>
        <v/>
      </c>
      <c r="LU8" s="55" t="str">
        <f t="shared" si="72"/>
        <v/>
      </c>
      <c r="LV8" s="55" t="str">
        <f t="shared" si="106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73"/>
        <v/>
      </c>
      <c r="MR8" s="14" t="str">
        <f t="shared" si="74"/>
        <v/>
      </c>
      <c r="MS8" s="14" t="str">
        <f t="shared" si="75"/>
        <v/>
      </c>
      <c r="MT8" s="14" t="str">
        <f t="shared" si="76"/>
        <v/>
      </c>
      <c r="MU8" s="14" t="str">
        <f t="shared" si="77"/>
        <v/>
      </c>
      <c r="MV8" s="14" t="str">
        <f t="shared" si="107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78"/>
        <v/>
      </c>
      <c r="NR8" s="55" t="str">
        <f t="shared" si="79"/>
        <v/>
      </c>
      <c r="NS8" s="55" t="str">
        <f t="shared" si="80"/>
        <v/>
      </c>
      <c r="NT8" s="55" t="str">
        <f t="shared" si="81"/>
        <v/>
      </c>
      <c r="NU8" s="55" t="str">
        <f t="shared" si="82"/>
        <v/>
      </c>
      <c r="NV8" s="55" t="str">
        <f t="shared" si="108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83"/>
        <v/>
      </c>
      <c r="OR8" s="14" t="str">
        <f t="shared" si="84"/>
        <v/>
      </c>
      <c r="OS8" s="14" t="str">
        <f t="shared" si="85"/>
        <v/>
      </c>
      <c r="OT8" s="14" t="str">
        <f t="shared" si="86"/>
        <v/>
      </c>
      <c r="OU8" s="14" t="str">
        <f t="shared" si="87"/>
        <v/>
      </c>
      <c r="OV8" s="14" t="str">
        <f t="shared" si="109"/>
        <v/>
      </c>
      <c r="OW8" s="27">
        <f t="shared" si="88"/>
        <v>18.649999999999999</v>
      </c>
      <c r="OX8" s="27">
        <f t="shared" si="88"/>
        <v>6.4</v>
      </c>
      <c r="OY8" s="27">
        <f t="shared" si="88"/>
        <v>0.6</v>
      </c>
      <c r="OZ8" s="27">
        <f t="shared" si="88"/>
        <v>0</v>
      </c>
      <c r="PA8" s="27">
        <f t="shared" si="88"/>
        <v>17.95</v>
      </c>
      <c r="PB8" s="27">
        <f t="shared" si="88"/>
        <v>5</v>
      </c>
      <c r="PC8" s="27">
        <f t="shared" si="88"/>
        <v>0.1</v>
      </c>
      <c r="PD8" s="27">
        <f t="shared" si="88"/>
        <v>0</v>
      </c>
      <c r="PE8" s="27">
        <f t="shared" si="88"/>
        <v>18.649999999999999</v>
      </c>
      <c r="PF8" s="27">
        <f t="shared" si="88"/>
        <v>6</v>
      </c>
      <c r="PG8" s="27">
        <f t="shared" si="89"/>
        <v>0</v>
      </c>
      <c r="PH8" s="27">
        <f t="shared" si="89"/>
        <v>0</v>
      </c>
      <c r="PI8" s="27">
        <f t="shared" si="89"/>
        <v>18.600000000000001</v>
      </c>
      <c r="PJ8" s="27">
        <f t="shared" si="89"/>
        <v>6</v>
      </c>
      <c r="PK8" s="27">
        <f t="shared" si="89"/>
        <v>0.6</v>
      </c>
      <c r="PL8" s="27">
        <f t="shared" si="89"/>
        <v>0</v>
      </c>
      <c r="PM8" s="27">
        <f t="shared" si="89"/>
        <v>9.1999999999999993</v>
      </c>
      <c r="PN8" s="27">
        <f t="shared" si="89"/>
        <v>3.2</v>
      </c>
      <c r="PO8" s="27">
        <f t="shared" si="89"/>
        <v>0.1</v>
      </c>
      <c r="PP8" s="27">
        <f t="shared" si="89"/>
        <v>0</v>
      </c>
      <c r="PQ8" s="32" t="s">
        <v>44</v>
      </c>
      <c r="PR8" s="55">
        <f t="shared" si="90"/>
        <v>11.4</v>
      </c>
      <c r="PS8" s="55">
        <f t="shared" si="91"/>
        <v>47.3</v>
      </c>
      <c r="PT8" s="55">
        <f t="shared" si="92"/>
        <v>24.65</v>
      </c>
      <c r="PU8" s="55">
        <f t="shared" si="93"/>
        <v>9.1999999999999993</v>
      </c>
      <c r="PV8" s="55">
        <f t="shared" si="94"/>
        <v>36.299999999999997</v>
      </c>
      <c r="PW8" s="55">
        <f t="shared" si="110"/>
        <v>108.24999999999999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 t="shared" si="0"/>
        <v>146.80001468000484</v>
      </c>
      <c r="F9" s="3" t="str">
        <f t="shared" si="1"/>
        <v>P</v>
      </c>
      <c r="G9" s="3" t="str">
        <f t="shared" si="2"/>
        <v>P</v>
      </c>
      <c r="H9" s="47" t="str">
        <f t="shared" si="3"/>
        <v>Excellence</v>
      </c>
      <c r="I9" s="9">
        <f>IF(COUNT(AN9,BO9,CP9)&gt;0,LARGE((AN9,BO9,CP9),1),0)</f>
        <v>48.699999999999996</v>
      </c>
      <c r="J9" s="9" t="str">
        <f t="shared" si="4"/>
        <v>2023 Nationals</v>
      </c>
      <c r="K9" s="9">
        <f>IF(COUNT(AN9,BO9,CP9)&gt;1,LARGE((AN9,BO9,CP9),2),0)</f>
        <v>48.499999999999993</v>
      </c>
      <c r="L9" s="9" t="str">
        <f t="shared" si="5"/>
        <v>2023 3rd Domestic Trial</v>
      </c>
      <c r="M9" s="9">
        <f t="shared" si="6"/>
        <v>49.599999999999994</v>
      </c>
      <c r="N9" s="9" t="str">
        <f t="shared" si="7"/>
        <v>2023 Nationals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 t="shared" si="11"/>
        <v>10</v>
      </c>
      <c r="AN9" s="55">
        <f t="shared" si="12"/>
        <v>45.699999999999996</v>
      </c>
      <c r="AO9" s="55" t="str">
        <f t="shared" si="13"/>
        <v/>
      </c>
      <c r="AP9" s="55">
        <f t="shared" si="14"/>
        <v>9.1</v>
      </c>
      <c r="AQ9" s="55">
        <f t="shared" si="15"/>
        <v>45.699999999999996</v>
      </c>
      <c r="AR9" s="55">
        <f t="shared" si="95"/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 t="shared" si="16"/>
        <v>13.3</v>
      </c>
      <c r="BO9" s="14">
        <f t="shared" si="17"/>
        <v>48.699999999999996</v>
      </c>
      <c r="BP9" s="14">
        <f t="shared" si="18"/>
        <v>22.3</v>
      </c>
      <c r="BQ9" s="14">
        <f t="shared" si="19"/>
        <v>12</v>
      </c>
      <c r="BR9" s="14">
        <f t="shared" si="20"/>
        <v>49.599999999999994</v>
      </c>
      <c r="BS9" s="14">
        <f t="shared" si="96"/>
        <v>120.6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 t="shared" si="21"/>
        <v>12</v>
      </c>
      <c r="CP9" s="55">
        <f t="shared" si="22"/>
        <v>48.499999999999993</v>
      </c>
      <c r="CQ9" s="55">
        <f t="shared" si="23"/>
        <v>22.5</v>
      </c>
      <c r="CR9" s="55">
        <f t="shared" si="24"/>
        <v>12.899999999999999</v>
      </c>
      <c r="CS9" s="55">
        <f t="shared" si="25"/>
        <v>48.199999999999996</v>
      </c>
      <c r="CT9" s="55">
        <f t="shared" si="97"/>
        <v>119.19999999999999</v>
      </c>
      <c r="CU9" s="56" t="str">
        <f t="shared" si="26"/>
        <v/>
      </c>
      <c r="CV9" s="56" t="str">
        <f t="shared" si="27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28"/>
        <v/>
      </c>
      <c r="DR9" s="55" t="str">
        <f t="shared" si="29"/>
        <v/>
      </c>
      <c r="DS9" s="55" t="str">
        <f t="shared" si="30"/>
        <v/>
      </c>
      <c r="DT9" s="55" t="str">
        <f t="shared" si="31"/>
        <v/>
      </c>
      <c r="DU9" s="55" t="str">
        <f t="shared" si="32"/>
        <v/>
      </c>
      <c r="DV9" s="55" t="str">
        <f t="shared" si="98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3"/>
        <v/>
      </c>
      <c r="ER9" s="14" t="str">
        <f t="shared" si="34"/>
        <v/>
      </c>
      <c r="ES9" s="14" t="str">
        <f t="shared" si="35"/>
        <v/>
      </c>
      <c r="ET9" s="14" t="str">
        <f t="shared" si="36"/>
        <v/>
      </c>
      <c r="EU9" s="14" t="str">
        <f t="shared" si="37"/>
        <v/>
      </c>
      <c r="EV9" s="14" t="str">
        <f t="shared" si="99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38"/>
        <v/>
      </c>
      <c r="FR9" s="55" t="str">
        <f t="shared" si="39"/>
        <v/>
      </c>
      <c r="FS9" s="55" t="str">
        <f t="shared" si="40"/>
        <v/>
      </c>
      <c r="FT9" s="55" t="str">
        <f t="shared" si="41"/>
        <v/>
      </c>
      <c r="FU9" s="55" t="str">
        <f t="shared" si="42"/>
        <v/>
      </c>
      <c r="FV9" s="55" t="str">
        <f t="shared" si="100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3"/>
        <v/>
      </c>
      <c r="GR9" s="14" t="str">
        <f t="shared" si="44"/>
        <v/>
      </c>
      <c r="GS9" s="14" t="str">
        <f t="shared" si="45"/>
        <v/>
      </c>
      <c r="GT9" s="14" t="str">
        <f t="shared" si="46"/>
        <v/>
      </c>
      <c r="GU9" s="14" t="str">
        <f t="shared" si="47"/>
        <v/>
      </c>
      <c r="GV9" s="14" t="str">
        <f t="shared" si="101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48"/>
        <v/>
      </c>
      <c r="HR9" s="55" t="str">
        <f t="shared" si="49"/>
        <v/>
      </c>
      <c r="HS9" s="55" t="str">
        <f t="shared" si="50"/>
        <v/>
      </c>
      <c r="HT9" s="55" t="str">
        <f t="shared" si="51"/>
        <v/>
      </c>
      <c r="HU9" s="55" t="str">
        <f t="shared" si="52"/>
        <v/>
      </c>
      <c r="HV9" s="55" t="str">
        <f t="shared" si="102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53"/>
        <v/>
      </c>
      <c r="IR9" s="14" t="str">
        <f t="shared" si="54"/>
        <v/>
      </c>
      <c r="IS9" s="14" t="str">
        <f t="shared" si="55"/>
        <v/>
      </c>
      <c r="IT9" s="14" t="str">
        <f t="shared" si="56"/>
        <v/>
      </c>
      <c r="IU9" s="14" t="str">
        <f t="shared" si="57"/>
        <v/>
      </c>
      <c r="IV9" s="14" t="str">
        <f t="shared" si="103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58"/>
        <v/>
      </c>
      <c r="JR9" s="55" t="str">
        <f t="shared" si="59"/>
        <v/>
      </c>
      <c r="JS9" s="55" t="str">
        <f t="shared" si="60"/>
        <v/>
      </c>
      <c r="JT9" s="55" t="str">
        <f t="shared" si="61"/>
        <v/>
      </c>
      <c r="JU9" s="55" t="str">
        <f t="shared" si="62"/>
        <v/>
      </c>
      <c r="JV9" s="55" t="str">
        <f t="shared" si="104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63"/>
        <v/>
      </c>
      <c r="KR9" s="14" t="str">
        <f t="shared" si="64"/>
        <v/>
      </c>
      <c r="KS9" s="14" t="str">
        <f t="shared" si="65"/>
        <v/>
      </c>
      <c r="KT9" s="14" t="str">
        <f t="shared" si="66"/>
        <v/>
      </c>
      <c r="KU9" s="14" t="str">
        <f t="shared" si="67"/>
        <v/>
      </c>
      <c r="KV9" s="14" t="str">
        <f t="shared" si="10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68"/>
        <v/>
      </c>
      <c r="LR9" s="55" t="str">
        <f t="shared" si="69"/>
        <v/>
      </c>
      <c r="LS9" s="55" t="str">
        <f t="shared" si="70"/>
        <v/>
      </c>
      <c r="LT9" s="55" t="str">
        <f t="shared" si="71"/>
        <v/>
      </c>
      <c r="LU9" s="55" t="str">
        <f t="shared" si="72"/>
        <v/>
      </c>
      <c r="LV9" s="55" t="str">
        <f t="shared" si="106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73"/>
        <v/>
      </c>
      <c r="MR9" s="14" t="str">
        <f t="shared" si="74"/>
        <v/>
      </c>
      <c r="MS9" s="14" t="str">
        <f t="shared" si="75"/>
        <v/>
      </c>
      <c r="MT9" s="14" t="str">
        <f t="shared" si="76"/>
        <v/>
      </c>
      <c r="MU9" s="14" t="str">
        <f t="shared" si="77"/>
        <v/>
      </c>
      <c r="MV9" s="14" t="str">
        <f t="shared" si="107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78"/>
        <v/>
      </c>
      <c r="NR9" s="55" t="str">
        <f t="shared" si="79"/>
        <v/>
      </c>
      <c r="NS9" s="55" t="str">
        <f t="shared" si="80"/>
        <v/>
      </c>
      <c r="NT9" s="55" t="str">
        <f t="shared" si="81"/>
        <v/>
      </c>
      <c r="NU9" s="55" t="str">
        <f t="shared" si="82"/>
        <v/>
      </c>
      <c r="NV9" s="55" t="str">
        <f t="shared" si="108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83"/>
        <v/>
      </c>
      <c r="OR9" s="14" t="str">
        <f t="shared" si="84"/>
        <v/>
      </c>
      <c r="OS9" s="14" t="str">
        <f t="shared" si="85"/>
        <v/>
      </c>
      <c r="OT9" s="14" t="str">
        <f t="shared" si="86"/>
        <v/>
      </c>
      <c r="OU9" s="14" t="str">
        <f t="shared" si="87"/>
        <v/>
      </c>
      <c r="OV9" s="14" t="str">
        <f t="shared" si="109"/>
        <v/>
      </c>
      <c r="OW9" s="27">
        <f t="shared" si="88"/>
        <v>18.5</v>
      </c>
      <c r="OX9" s="27">
        <f t="shared" si="88"/>
        <v>6</v>
      </c>
      <c r="OY9" s="27">
        <f t="shared" si="88"/>
        <v>0.4</v>
      </c>
      <c r="OZ9" s="27">
        <f t="shared" si="88"/>
        <v>0</v>
      </c>
      <c r="PA9" s="27">
        <f t="shared" si="88"/>
        <v>18.25</v>
      </c>
      <c r="PB9" s="27">
        <f t="shared" si="88"/>
        <v>6.65</v>
      </c>
      <c r="PC9" s="27">
        <f t="shared" si="88"/>
        <v>0.4</v>
      </c>
      <c r="PD9" s="27">
        <f t="shared" si="88"/>
        <v>0</v>
      </c>
      <c r="PE9" s="27">
        <f t="shared" si="88"/>
        <v>18.5</v>
      </c>
      <c r="PF9" s="27">
        <f t="shared" si="88"/>
        <v>4.3</v>
      </c>
      <c r="PG9" s="27">
        <f t="shared" si="89"/>
        <v>0.4</v>
      </c>
      <c r="PH9" s="27">
        <f t="shared" si="89"/>
        <v>0</v>
      </c>
      <c r="PI9" s="27">
        <f t="shared" si="89"/>
        <v>18.549999999999997</v>
      </c>
      <c r="PJ9" s="27">
        <f t="shared" si="89"/>
        <v>5.6</v>
      </c>
      <c r="PK9" s="27">
        <f t="shared" si="89"/>
        <v>0.3</v>
      </c>
      <c r="PL9" s="27">
        <f t="shared" si="89"/>
        <v>0</v>
      </c>
      <c r="PM9" s="27">
        <f t="shared" si="89"/>
        <v>18.600000000000001</v>
      </c>
      <c r="PN9" s="27">
        <f t="shared" si="89"/>
        <v>6.85</v>
      </c>
      <c r="PO9" s="27">
        <f t="shared" si="89"/>
        <v>0.4</v>
      </c>
      <c r="PP9" s="27">
        <f t="shared" si="89"/>
        <v>0</v>
      </c>
      <c r="PQ9" s="32" t="s">
        <v>44</v>
      </c>
      <c r="PR9" s="55">
        <f t="shared" si="90"/>
        <v>12.65</v>
      </c>
      <c r="PS9" s="55">
        <f t="shared" si="91"/>
        <v>48.6</v>
      </c>
      <c r="PT9" s="55">
        <f t="shared" si="92"/>
        <v>22.400000000000002</v>
      </c>
      <c r="PU9" s="55">
        <f t="shared" si="93"/>
        <v>12.45</v>
      </c>
      <c r="PV9" s="55">
        <f t="shared" si="94"/>
        <v>48.9</v>
      </c>
      <c r="PW9" s="55">
        <f t="shared" si="110"/>
        <v>119.9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 t="shared" si="0"/>
        <v>143.30001433000481</v>
      </c>
      <c r="F10" s="3" t="str">
        <f t="shared" si="1"/>
        <v>P</v>
      </c>
      <c r="G10" s="3" t="str">
        <f t="shared" si="2"/>
        <v>P</v>
      </c>
      <c r="H10" s="47" t="str">
        <f t="shared" si="3"/>
        <v>Excellence</v>
      </c>
      <c r="I10" s="9">
        <f>IF(COUNT(AN10,BO10,CP10)&gt;0,LARGE((AN10,BO10,CP10),1),0)</f>
        <v>48.199999999999996</v>
      </c>
      <c r="J10" s="9" t="str">
        <f t="shared" si="4"/>
        <v>2023 Elite Canada</v>
      </c>
      <c r="K10" s="9">
        <f>IF(COUNT(AN10,BO10,CP10)&gt;1,LARGE((AN10,BO10,CP10),2),0)</f>
        <v>48</v>
      </c>
      <c r="L10" s="9" t="str">
        <f t="shared" si="5"/>
        <v>2023 3rd Domestic Trial</v>
      </c>
      <c r="M10" s="9">
        <f t="shared" si="6"/>
        <v>47.1</v>
      </c>
      <c r="N10" s="9" t="str">
        <f t="shared" si="7"/>
        <v>2023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 t="shared" si="11"/>
        <v>11.6</v>
      </c>
      <c r="AN10" s="55">
        <f t="shared" si="12"/>
        <v>48.199999999999996</v>
      </c>
      <c r="AO10" s="55">
        <f t="shared" si="13"/>
        <v>22.8</v>
      </c>
      <c r="AP10" s="55">
        <f t="shared" si="14"/>
        <v>11.6</v>
      </c>
      <c r="AQ10" s="55">
        <f t="shared" si="15"/>
        <v>47.1</v>
      </c>
      <c r="AR10" s="55">
        <f t="shared" si="95"/>
        <v>118.1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 t="shared" si="16"/>
        <v>8.8000000000000007</v>
      </c>
      <c r="BO10" s="14">
        <f t="shared" si="17"/>
        <v>43.6</v>
      </c>
      <c r="BP10" s="14">
        <f t="shared" si="18"/>
        <v>22.700000000000003</v>
      </c>
      <c r="BQ10" s="14">
        <f t="shared" si="19"/>
        <v>11.6</v>
      </c>
      <c r="BR10" s="14">
        <f t="shared" si="20"/>
        <v>45.2</v>
      </c>
      <c r="BS10" s="14">
        <f t="shared" si="96"/>
        <v>111.50000000000001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 t="shared" si="21"/>
        <v>11.2</v>
      </c>
      <c r="CP10" s="55">
        <f t="shared" si="22"/>
        <v>48</v>
      </c>
      <c r="CQ10" s="55">
        <f t="shared" si="23"/>
        <v>16.3</v>
      </c>
      <c r="CR10" s="55">
        <f t="shared" si="24"/>
        <v>8.3999999999999986</v>
      </c>
      <c r="CS10" s="55">
        <f t="shared" si="25"/>
        <v>43.500000000000007</v>
      </c>
      <c r="CT10" s="55">
        <f t="shared" si="97"/>
        <v>107.80000000000001</v>
      </c>
      <c r="CU10" s="56" t="str">
        <f t="shared" si="26"/>
        <v/>
      </c>
      <c r="CV10" s="56" t="str">
        <f t="shared" si="27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28"/>
        <v/>
      </c>
      <c r="DR10" s="55" t="str">
        <f t="shared" si="29"/>
        <v/>
      </c>
      <c r="DS10" s="55" t="str">
        <f t="shared" si="30"/>
        <v/>
      </c>
      <c r="DT10" s="55" t="str">
        <f t="shared" si="31"/>
        <v/>
      </c>
      <c r="DU10" s="55" t="str">
        <f t="shared" si="32"/>
        <v/>
      </c>
      <c r="DV10" s="55" t="str">
        <f t="shared" si="98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3"/>
        <v/>
      </c>
      <c r="ER10" s="14" t="str">
        <f t="shared" si="34"/>
        <v/>
      </c>
      <c r="ES10" s="14" t="str">
        <f t="shared" si="35"/>
        <v/>
      </c>
      <c r="ET10" s="14" t="str">
        <f t="shared" si="36"/>
        <v/>
      </c>
      <c r="EU10" s="14" t="str">
        <f t="shared" si="37"/>
        <v/>
      </c>
      <c r="EV10" s="14" t="str">
        <f t="shared" si="99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38"/>
        <v/>
      </c>
      <c r="FR10" s="55" t="str">
        <f t="shared" si="39"/>
        <v/>
      </c>
      <c r="FS10" s="55" t="str">
        <f t="shared" si="40"/>
        <v/>
      </c>
      <c r="FT10" s="55" t="str">
        <f t="shared" si="41"/>
        <v/>
      </c>
      <c r="FU10" s="55" t="str">
        <f t="shared" si="42"/>
        <v/>
      </c>
      <c r="FV10" s="55" t="str">
        <f t="shared" si="100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3"/>
        <v/>
      </c>
      <c r="GR10" s="14" t="str">
        <f t="shared" si="44"/>
        <v/>
      </c>
      <c r="GS10" s="14" t="str">
        <f t="shared" si="45"/>
        <v/>
      </c>
      <c r="GT10" s="14" t="str">
        <f t="shared" si="46"/>
        <v/>
      </c>
      <c r="GU10" s="14" t="str">
        <f t="shared" si="47"/>
        <v/>
      </c>
      <c r="GV10" s="14" t="str">
        <f t="shared" si="101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48"/>
        <v/>
      </c>
      <c r="HR10" s="55" t="str">
        <f t="shared" si="49"/>
        <v/>
      </c>
      <c r="HS10" s="55" t="str">
        <f t="shared" si="50"/>
        <v/>
      </c>
      <c r="HT10" s="55" t="str">
        <f t="shared" si="51"/>
        <v/>
      </c>
      <c r="HU10" s="55" t="str">
        <f t="shared" si="52"/>
        <v/>
      </c>
      <c r="HV10" s="55" t="str">
        <f t="shared" si="102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53"/>
        <v/>
      </c>
      <c r="IR10" s="14" t="str">
        <f t="shared" si="54"/>
        <v/>
      </c>
      <c r="IS10" s="14" t="str">
        <f t="shared" si="55"/>
        <v/>
      </c>
      <c r="IT10" s="14" t="str">
        <f t="shared" si="56"/>
        <v/>
      </c>
      <c r="IU10" s="14" t="str">
        <f t="shared" si="57"/>
        <v/>
      </c>
      <c r="IV10" s="14" t="str">
        <f t="shared" si="103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58"/>
        <v/>
      </c>
      <c r="JR10" s="55" t="str">
        <f t="shared" si="59"/>
        <v/>
      </c>
      <c r="JS10" s="55" t="str">
        <f t="shared" si="60"/>
        <v/>
      </c>
      <c r="JT10" s="55" t="str">
        <f t="shared" si="61"/>
        <v/>
      </c>
      <c r="JU10" s="55" t="str">
        <f t="shared" si="62"/>
        <v/>
      </c>
      <c r="JV10" s="55" t="str">
        <f t="shared" si="104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63"/>
        <v/>
      </c>
      <c r="KR10" s="14" t="str">
        <f t="shared" si="64"/>
        <v/>
      </c>
      <c r="KS10" s="14" t="str">
        <f t="shared" si="65"/>
        <v/>
      </c>
      <c r="KT10" s="14" t="str">
        <f t="shared" si="66"/>
        <v/>
      </c>
      <c r="KU10" s="14" t="str">
        <f t="shared" si="67"/>
        <v/>
      </c>
      <c r="KV10" s="14" t="str">
        <f t="shared" si="10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68"/>
        <v/>
      </c>
      <c r="LR10" s="55" t="str">
        <f t="shared" si="69"/>
        <v/>
      </c>
      <c r="LS10" s="55" t="str">
        <f t="shared" si="70"/>
        <v/>
      </c>
      <c r="LT10" s="55" t="str">
        <f t="shared" si="71"/>
        <v/>
      </c>
      <c r="LU10" s="55" t="str">
        <f t="shared" si="72"/>
        <v/>
      </c>
      <c r="LV10" s="55" t="str">
        <f t="shared" si="106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73"/>
        <v/>
      </c>
      <c r="MR10" s="14" t="str">
        <f t="shared" si="74"/>
        <v/>
      </c>
      <c r="MS10" s="14" t="str">
        <f t="shared" si="75"/>
        <v/>
      </c>
      <c r="MT10" s="14" t="str">
        <f t="shared" si="76"/>
        <v/>
      </c>
      <c r="MU10" s="14" t="str">
        <f t="shared" si="77"/>
        <v/>
      </c>
      <c r="MV10" s="14" t="str">
        <f t="shared" si="107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78"/>
        <v/>
      </c>
      <c r="NR10" s="55" t="str">
        <f t="shared" si="79"/>
        <v/>
      </c>
      <c r="NS10" s="55" t="str">
        <f t="shared" si="80"/>
        <v/>
      </c>
      <c r="NT10" s="55" t="str">
        <f t="shared" si="81"/>
        <v/>
      </c>
      <c r="NU10" s="55" t="str">
        <f t="shared" si="82"/>
        <v/>
      </c>
      <c r="NV10" s="55" t="str">
        <f t="shared" si="108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83"/>
        <v/>
      </c>
      <c r="OR10" s="14" t="str">
        <f t="shared" si="84"/>
        <v/>
      </c>
      <c r="OS10" s="14" t="str">
        <f t="shared" si="85"/>
        <v/>
      </c>
      <c r="OT10" s="14" t="str">
        <f t="shared" si="86"/>
        <v/>
      </c>
      <c r="OU10" s="14" t="str">
        <f t="shared" si="87"/>
        <v/>
      </c>
      <c r="OV10" s="14" t="str">
        <f t="shared" si="109"/>
        <v/>
      </c>
      <c r="OW10" s="27">
        <f t="shared" si="88"/>
        <v>18.200000000000003</v>
      </c>
      <c r="OX10" s="27">
        <f t="shared" si="88"/>
        <v>3.8</v>
      </c>
      <c r="OY10" s="27">
        <f t="shared" si="88"/>
        <v>0</v>
      </c>
      <c r="OZ10" s="27">
        <f t="shared" si="88"/>
        <v>0</v>
      </c>
      <c r="PA10" s="27">
        <f t="shared" si="88"/>
        <v>18</v>
      </c>
      <c r="PB10" s="27">
        <f t="shared" si="88"/>
        <v>6.2</v>
      </c>
      <c r="PC10" s="27">
        <f t="shared" si="88"/>
        <v>0.4</v>
      </c>
      <c r="PD10" s="27">
        <f t="shared" si="88"/>
        <v>0</v>
      </c>
      <c r="PE10" s="27">
        <f t="shared" si="88"/>
        <v>18.600000000000001</v>
      </c>
      <c r="PF10" s="27">
        <f t="shared" si="88"/>
        <v>2.8</v>
      </c>
      <c r="PG10" s="27">
        <f t="shared" si="89"/>
        <v>1.9000000000000001</v>
      </c>
      <c r="PH10" s="27">
        <f t="shared" si="89"/>
        <v>0</v>
      </c>
      <c r="PI10" s="27">
        <f t="shared" si="89"/>
        <v>18.399999999999999</v>
      </c>
      <c r="PJ10" s="27">
        <f t="shared" si="89"/>
        <v>5.3999999999999995</v>
      </c>
      <c r="PK10" s="27">
        <f t="shared" si="89"/>
        <v>0.5</v>
      </c>
      <c r="PL10" s="27">
        <f t="shared" si="89"/>
        <v>0</v>
      </c>
      <c r="PM10" s="27">
        <f t="shared" si="89"/>
        <v>16.850000000000001</v>
      </c>
      <c r="PN10" s="27">
        <f t="shared" si="89"/>
        <v>4.5999999999999996</v>
      </c>
      <c r="PO10" s="27">
        <f t="shared" si="89"/>
        <v>0.4</v>
      </c>
      <c r="PP10" s="27">
        <f t="shared" si="89"/>
        <v>0</v>
      </c>
      <c r="PQ10" s="32" t="s">
        <v>44</v>
      </c>
      <c r="PR10" s="55">
        <f t="shared" si="90"/>
        <v>10</v>
      </c>
      <c r="PS10" s="55">
        <f t="shared" si="91"/>
        <v>45.800000000000004</v>
      </c>
      <c r="PT10" s="55">
        <f t="shared" si="92"/>
        <v>19.500000000000004</v>
      </c>
      <c r="PU10" s="55">
        <f t="shared" si="93"/>
        <v>10</v>
      </c>
      <c r="PV10" s="55">
        <f t="shared" si="94"/>
        <v>44.35</v>
      </c>
      <c r="PW10" s="55">
        <f t="shared" si="110"/>
        <v>109.65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 t="shared" si="0"/>
        <v>139.20001392000452</v>
      </c>
      <c r="F11" s="3" t="str">
        <f t="shared" si="1"/>
        <v>P</v>
      </c>
      <c r="G11" s="3" t="str">
        <f t="shared" si="2"/>
        <v>P</v>
      </c>
      <c r="H11" s="47" t="str">
        <f t="shared" si="3"/>
        <v>Excellence</v>
      </c>
      <c r="I11" s="9">
        <f>IF(COUNT(AN11,BO11,CP11)&gt;0,LARGE((AN11,BO11,CP11),1),0)</f>
        <v>45.5</v>
      </c>
      <c r="J11" s="9" t="str">
        <f t="shared" si="4"/>
        <v>2023 Nationals</v>
      </c>
      <c r="K11" s="9">
        <f>IF(COUNT(AN11,BO11,CP11)&gt;1,LARGE((AN11,BO11,CP11),2),0)</f>
        <v>43.4</v>
      </c>
      <c r="L11" s="9" t="str">
        <f t="shared" si="5"/>
        <v>2023 3rd Domestic Trial</v>
      </c>
      <c r="M11" s="9">
        <f t="shared" si="6"/>
        <v>50.29999999999999</v>
      </c>
      <c r="N11" s="9" t="str">
        <f t="shared" si="7"/>
        <v>2023 3rd Domestic Trial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95"/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 t="shared" si="16"/>
        <v>12.4</v>
      </c>
      <c r="BO11" s="14">
        <f t="shared" si="17"/>
        <v>45.5</v>
      </c>
      <c r="BP11" s="14">
        <f t="shared" si="18"/>
        <v>23.599999999999998</v>
      </c>
      <c r="BQ11" s="14">
        <f t="shared" si="19"/>
        <v>13.2</v>
      </c>
      <c r="BR11" s="14">
        <f t="shared" si="20"/>
        <v>48.100000000000009</v>
      </c>
      <c r="BS11" s="14">
        <f t="shared" si="96"/>
        <v>117.2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 t="shared" si="21"/>
        <v>10.200000000000001</v>
      </c>
      <c r="CP11" s="55">
        <f t="shared" si="22"/>
        <v>43.4</v>
      </c>
      <c r="CQ11" s="55">
        <f t="shared" si="23"/>
        <v>24.6</v>
      </c>
      <c r="CR11" s="55">
        <f t="shared" si="24"/>
        <v>14</v>
      </c>
      <c r="CS11" s="55">
        <f t="shared" si="25"/>
        <v>50.29999999999999</v>
      </c>
      <c r="CT11" s="55">
        <f t="shared" si="97"/>
        <v>118.29999999999998</v>
      </c>
      <c r="CU11" s="56" t="str">
        <f t="shared" si="26"/>
        <v/>
      </c>
      <c r="CV11" s="56" t="str">
        <f t="shared" si="27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28"/>
        <v/>
      </c>
      <c r="DR11" s="55" t="str">
        <f t="shared" si="29"/>
        <v/>
      </c>
      <c r="DS11" s="55" t="str">
        <f t="shared" si="30"/>
        <v/>
      </c>
      <c r="DT11" s="55" t="str">
        <f t="shared" si="31"/>
        <v/>
      </c>
      <c r="DU11" s="55" t="str">
        <f t="shared" si="32"/>
        <v/>
      </c>
      <c r="DV11" s="55" t="str">
        <f t="shared" si="98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3"/>
        <v/>
      </c>
      <c r="ER11" s="14" t="str">
        <f t="shared" si="34"/>
        <v/>
      </c>
      <c r="ES11" s="14" t="str">
        <f t="shared" si="35"/>
        <v/>
      </c>
      <c r="ET11" s="14" t="str">
        <f t="shared" si="36"/>
        <v/>
      </c>
      <c r="EU11" s="14" t="str">
        <f t="shared" si="37"/>
        <v/>
      </c>
      <c r="EV11" s="14" t="str">
        <f t="shared" si="99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 t="shared" si="38"/>
        <v/>
      </c>
      <c r="FR11" s="55" t="str">
        <f t="shared" si="39"/>
        <v/>
      </c>
      <c r="FS11" s="55" t="str">
        <f t="shared" si="40"/>
        <v/>
      </c>
      <c r="FT11" s="55">
        <f t="shared" si="41"/>
        <v>13.2</v>
      </c>
      <c r="FU11" s="55">
        <f t="shared" si="42"/>
        <v>49.800000000000004</v>
      </c>
      <c r="FV11" s="55">
        <f t="shared" si="100"/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3"/>
        <v/>
      </c>
      <c r="GR11" s="14" t="str">
        <f t="shared" si="44"/>
        <v/>
      </c>
      <c r="GS11" s="14" t="str">
        <f t="shared" si="45"/>
        <v/>
      </c>
      <c r="GT11" s="14" t="str">
        <f t="shared" si="46"/>
        <v/>
      </c>
      <c r="GU11" s="14" t="str">
        <f t="shared" si="47"/>
        <v/>
      </c>
      <c r="GV11" s="14" t="str">
        <f t="shared" si="101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48"/>
        <v/>
      </c>
      <c r="HR11" s="55" t="str">
        <f t="shared" si="49"/>
        <v/>
      </c>
      <c r="HS11" s="55" t="str">
        <f t="shared" si="50"/>
        <v/>
      </c>
      <c r="HT11" s="55" t="str">
        <f t="shared" si="51"/>
        <v/>
      </c>
      <c r="HU11" s="55" t="str">
        <f t="shared" si="52"/>
        <v/>
      </c>
      <c r="HV11" s="55" t="str">
        <f t="shared" si="102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53"/>
        <v/>
      </c>
      <c r="IR11" s="14" t="str">
        <f t="shared" si="54"/>
        <v/>
      </c>
      <c r="IS11" s="14" t="str">
        <f t="shared" si="55"/>
        <v/>
      </c>
      <c r="IT11" s="14" t="str">
        <f t="shared" si="56"/>
        <v/>
      </c>
      <c r="IU11" s="14" t="str">
        <f t="shared" si="57"/>
        <v/>
      </c>
      <c r="IV11" s="14" t="str">
        <f t="shared" si="103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58"/>
        <v/>
      </c>
      <c r="JR11" s="55" t="str">
        <f t="shared" si="59"/>
        <v/>
      </c>
      <c r="JS11" s="55" t="str">
        <f t="shared" si="60"/>
        <v/>
      </c>
      <c r="JT11" s="55" t="str">
        <f t="shared" si="61"/>
        <v/>
      </c>
      <c r="JU11" s="55" t="str">
        <f t="shared" si="62"/>
        <v/>
      </c>
      <c r="JV11" s="55" t="str">
        <f t="shared" si="104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63"/>
        <v/>
      </c>
      <c r="KR11" s="14" t="str">
        <f t="shared" si="64"/>
        <v/>
      </c>
      <c r="KS11" s="14" t="str">
        <f t="shared" si="65"/>
        <v/>
      </c>
      <c r="KT11" s="14" t="str">
        <f t="shared" si="66"/>
        <v/>
      </c>
      <c r="KU11" s="14" t="str">
        <f t="shared" si="67"/>
        <v/>
      </c>
      <c r="KV11" s="14" t="str">
        <f t="shared" si="10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68"/>
        <v/>
      </c>
      <c r="LR11" s="55" t="str">
        <f t="shared" si="69"/>
        <v/>
      </c>
      <c r="LS11" s="55" t="str">
        <f t="shared" si="70"/>
        <v/>
      </c>
      <c r="LT11" s="55" t="str">
        <f t="shared" si="71"/>
        <v/>
      </c>
      <c r="LU11" s="55" t="str">
        <f t="shared" si="72"/>
        <v/>
      </c>
      <c r="LV11" s="55" t="str">
        <f t="shared" si="106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73"/>
        <v/>
      </c>
      <c r="MR11" s="14" t="str">
        <f t="shared" si="74"/>
        <v/>
      </c>
      <c r="MS11" s="14" t="str">
        <f t="shared" si="75"/>
        <v/>
      </c>
      <c r="MT11" s="14" t="str">
        <f t="shared" si="76"/>
        <v/>
      </c>
      <c r="MU11" s="14" t="str">
        <f t="shared" si="77"/>
        <v/>
      </c>
      <c r="MV11" s="14" t="str">
        <f t="shared" si="107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78"/>
        <v/>
      </c>
      <c r="NR11" s="55" t="str">
        <f t="shared" si="79"/>
        <v/>
      </c>
      <c r="NS11" s="55" t="str">
        <f t="shared" si="80"/>
        <v/>
      </c>
      <c r="NT11" s="55" t="str">
        <f t="shared" si="81"/>
        <v/>
      </c>
      <c r="NU11" s="55" t="str">
        <f t="shared" si="82"/>
        <v/>
      </c>
      <c r="NV11" s="55" t="str">
        <f t="shared" si="108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83"/>
        <v/>
      </c>
      <c r="OR11" s="14" t="str">
        <f t="shared" si="84"/>
        <v/>
      </c>
      <c r="OS11" s="14" t="str">
        <f t="shared" si="85"/>
        <v/>
      </c>
      <c r="OT11" s="14" t="str">
        <f t="shared" si="86"/>
        <v/>
      </c>
      <c r="OU11" s="14" t="str">
        <f t="shared" si="87"/>
        <v/>
      </c>
      <c r="OV11" s="14" t="str">
        <f t="shared" si="109"/>
        <v/>
      </c>
      <c r="OW11" s="27">
        <f t="shared" si="88"/>
        <v>16.549999999999997</v>
      </c>
      <c r="OX11" s="27">
        <f t="shared" si="88"/>
        <v>4.9000000000000004</v>
      </c>
      <c r="OY11" s="27">
        <f t="shared" si="88"/>
        <v>1.35</v>
      </c>
      <c r="OZ11" s="27">
        <f t="shared" si="88"/>
        <v>0</v>
      </c>
      <c r="PA11" s="27">
        <f t="shared" si="88"/>
        <v>18.649999999999999</v>
      </c>
      <c r="PB11" s="27">
        <f t="shared" si="88"/>
        <v>6.4</v>
      </c>
      <c r="PC11" s="27">
        <f t="shared" si="88"/>
        <v>0.7</v>
      </c>
      <c r="PD11" s="27">
        <f t="shared" si="88"/>
        <v>0</v>
      </c>
      <c r="PE11" s="27">
        <f t="shared" si="88"/>
        <v>18.5</v>
      </c>
      <c r="PF11" s="27">
        <f t="shared" si="88"/>
        <v>6</v>
      </c>
      <c r="PG11" s="27">
        <f t="shared" si="89"/>
        <v>0.4</v>
      </c>
      <c r="PH11" s="27">
        <f t="shared" si="89"/>
        <v>0</v>
      </c>
      <c r="PI11" s="27">
        <f t="shared" si="89"/>
        <v>17.5</v>
      </c>
      <c r="PJ11" s="27">
        <f t="shared" si="89"/>
        <v>7.2</v>
      </c>
      <c r="PK11" s="27">
        <f t="shared" si="89"/>
        <v>0.4</v>
      </c>
      <c r="PL11" s="27">
        <f t="shared" si="89"/>
        <v>0</v>
      </c>
      <c r="PM11" s="27">
        <f t="shared" si="89"/>
        <v>18.8</v>
      </c>
      <c r="PN11" s="27">
        <f t="shared" si="89"/>
        <v>6.4</v>
      </c>
      <c r="PO11" s="27">
        <f t="shared" si="89"/>
        <v>0.3</v>
      </c>
      <c r="PP11" s="27">
        <f t="shared" si="89"/>
        <v>0</v>
      </c>
      <c r="PQ11" s="32" t="s">
        <v>44</v>
      </c>
      <c r="PR11" s="55">
        <f t="shared" si="90"/>
        <v>11.3</v>
      </c>
      <c r="PS11" s="55">
        <f t="shared" si="91"/>
        <v>44.449999999999989</v>
      </c>
      <c r="PT11" s="55">
        <f t="shared" si="92"/>
        <v>24.1</v>
      </c>
      <c r="PU11" s="55">
        <f t="shared" si="93"/>
        <v>13.600000000000001</v>
      </c>
      <c r="PV11" s="55">
        <f t="shared" si="94"/>
        <v>49.199999999999996</v>
      </c>
      <c r="PW11" s="55">
        <f t="shared" si="110"/>
        <v>117.74999999999997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IF(SUM(DR4,DS4,DU4)&gt;0,SUM(DR4,DS4,DU4),"")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IF(SUM(FR4,FS4,FU4)&gt;0,SUM(FR4,FS4,FU4),"")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9.4</v>
      </c>
      <c r="OX4" s="27">
        <f t="shared" si="0"/>
        <v>3.2</v>
      </c>
      <c r="OY4" s="27">
        <f t="shared" si="0"/>
        <v>0</v>
      </c>
      <c r="OZ4" s="27">
        <f t="shared" si="0"/>
        <v>0</v>
      </c>
      <c r="PA4" s="27">
        <f t="shared" si="0"/>
        <v>9.5500000000000007</v>
      </c>
      <c r="PB4" s="27">
        <f t="shared" si="0"/>
        <v>3.4</v>
      </c>
      <c r="PC4" s="27">
        <f t="shared" si="0"/>
        <v>0</v>
      </c>
      <c r="PD4" s="27">
        <f t="shared" si="0"/>
        <v>0</v>
      </c>
      <c r="PE4" s="27">
        <f t="shared" si="0"/>
        <v>9.35</v>
      </c>
      <c r="PF4" s="27">
        <f t="shared" si="0"/>
        <v>3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9.1999999999999993</v>
      </c>
      <c r="PJ4" s="27">
        <f t="shared" si="1"/>
        <v>3.2</v>
      </c>
      <c r="PK4" s="27">
        <f t="shared" si="1"/>
        <v>0</v>
      </c>
      <c r="PL4" s="27">
        <f t="shared" si="1"/>
        <v>0</v>
      </c>
      <c r="PM4" s="27">
        <f t="shared" si="1"/>
        <v>9.35</v>
      </c>
      <c r="PN4" s="27">
        <f t="shared" si="1"/>
        <v>3.4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146.20001462000491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 t="shared" ref="AR5:AR6" si="2">IF(SUM(AN5,AO5,AQ5)&gt;0,SUM(AN5,AO5,AQ5),"")</f>
        <v>114.70000000000002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 t="shared" ref="BS5:BS6" si="3">IF(SUM(BO5,BP5,BR5)&gt;0,SUM(BO5,BP5,BR5),"")</f>
        <v>120.7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 t="shared" ref="CT5:CT6" si="4">IF(SUM(CP5,CQ5,CS5)&gt;0,SUM(CP5,CQ5,CS5),"")</f>
        <v>115.5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 t="shared" ref="DV5:DV6" si="5">IF(SUM(DR5,DS5,DU5)&gt;0,SUM(DR5,DS5,DU5),"")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 t="shared" ref="EV5:EV6" si="6"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 t="shared" ref="FV5:FV6" si="7"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 t="shared" ref="GV5:GV6" si="8"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 t="shared" ref="HV5:HV6" si="9"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 t="shared" ref="IV5:IV6" si="10"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 t="shared" ref="JV5:JV6" si="11"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 t="shared" ref="KV5:KV6" si="12"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 t="shared" ref="LV5:LV6" si="13"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 t="shared" ref="MV5:MV6" si="14"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 t="shared" ref="NV5:NV6" si="15"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 t="shared" ref="OV5:OV6" si="16">IF(SUM(OR5,OS5,OU5)&gt;0,SUM(OR5,OS5,OU5),"")</f>
        <v/>
      </c>
      <c r="OW5" s="27">
        <f t="shared" si="0"/>
        <v>18.25</v>
      </c>
      <c r="OX5" s="27">
        <f t="shared" si="0"/>
        <v>5.6</v>
      </c>
      <c r="OY5" s="27">
        <f t="shared" si="0"/>
        <v>0</v>
      </c>
      <c r="OZ5" s="27">
        <f t="shared" si="0"/>
        <v>0</v>
      </c>
      <c r="PA5" s="27">
        <f t="shared" si="0"/>
        <v>18.399999999999999</v>
      </c>
      <c r="PB5" s="27">
        <f t="shared" si="0"/>
        <v>5.8</v>
      </c>
      <c r="PC5" s="27">
        <f t="shared" si="0"/>
        <v>0.1</v>
      </c>
      <c r="PD5" s="27">
        <f t="shared" si="0"/>
        <v>0</v>
      </c>
      <c r="PE5" s="27">
        <f t="shared" si="0"/>
        <v>17.45</v>
      </c>
      <c r="PF5" s="27">
        <f t="shared" si="0"/>
        <v>4.2</v>
      </c>
      <c r="PG5" s="27">
        <f t="shared" si="1"/>
        <v>0.1</v>
      </c>
      <c r="PH5" s="27">
        <f t="shared" si="1"/>
        <v>0</v>
      </c>
      <c r="PI5" s="27">
        <f t="shared" si="1"/>
        <v>18.600000000000001</v>
      </c>
      <c r="PJ5" s="27">
        <f t="shared" si="1"/>
        <v>6</v>
      </c>
      <c r="PK5" s="27">
        <f t="shared" si="1"/>
        <v>0.4</v>
      </c>
      <c r="PL5" s="27">
        <f t="shared" si="1"/>
        <v>0</v>
      </c>
      <c r="PM5" s="27">
        <f t="shared" si="1"/>
        <v>18.8</v>
      </c>
      <c r="PN5" s="27">
        <f t="shared" si="1"/>
        <v>5.6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 t="shared" ref="PW5:PW6" si="17">IF(SUM(PS5,PT5,PV5)&gt;0,SUM(PS5,PT5,PV5),"")</f>
        <v>118.10000000000001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141.50001415000472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 t="shared" si="2"/>
        <v>117.1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 t="shared" si="3"/>
        <v>93.8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 t="shared" si="4"/>
        <v>116.4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 t="shared" si="5"/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 t="shared" si="6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 t="shared" si="7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 t="shared" si="8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 t="shared" si="9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 t="shared" si="10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 t="shared" si="11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 t="shared" si="12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 t="shared" si="13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 t="shared" si="14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 t="shared" si="15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 t="shared" si="16"/>
        <v/>
      </c>
      <c r="OW6" s="27">
        <f t="shared" si="0"/>
        <v>9.3000000000000007</v>
      </c>
      <c r="OX6" s="27">
        <f t="shared" si="0"/>
        <v>2.5999999999999996</v>
      </c>
      <c r="OY6" s="27">
        <f t="shared" si="0"/>
        <v>0.3</v>
      </c>
      <c r="OZ6" s="27">
        <f t="shared" si="0"/>
        <v>0</v>
      </c>
      <c r="PA6" s="27">
        <f t="shared" si="0"/>
        <v>18.2</v>
      </c>
      <c r="PB6" s="27">
        <f t="shared" si="0"/>
        <v>5.6</v>
      </c>
      <c r="PC6" s="27">
        <f t="shared" si="0"/>
        <v>0.1</v>
      </c>
      <c r="PD6" s="27">
        <f t="shared" si="0"/>
        <v>0</v>
      </c>
      <c r="PE6" s="27">
        <f t="shared" si="0"/>
        <v>18.5</v>
      </c>
      <c r="PF6" s="27">
        <f t="shared" si="0"/>
        <v>4.5500000000000007</v>
      </c>
      <c r="PG6" s="27">
        <f t="shared" si="1"/>
        <v>0.5</v>
      </c>
      <c r="PH6" s="27">
        <f t="shared" si="1"/>
        <v>0</v>
      </c>
      <c r="PI6" s="27">
        <f t="shared" si="1"/>
        <v>18.450000000000003</v>
      </c>
      <c r="PJ6" s="27">
        <f t="shared" si="1"/>
        <v>5.6</v>
      </c>
      <c r="PK6" s="27">
        <f t="shared" si="1"/>
        <v>0.4</v>
      </c>
      <c r="PL6" s="27">
        <f t="shared" si="1"/>
        <v>0</v>
      </c>
      <c r="PM6" s="27">
        <f t="shared" si="1"/>
        <v>18.299999999999997</v>
      </c>
      <c r="PN6" s="27">
        <f t="shared" si="1"/>
        <v>5.6</v>
      </c>
      <c r="PO6" s="27">
        <f t="shared" si="1"/>
        <v>0.3</v>
      </c>
      <c r="PP6" s="27">
        <f t="shared" si="1"/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 t="shared" si="17"/>
        <v>105.10000000000001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2023-10-05T14:24:45Z</dcterms:modified>
</cp:coreProperties>
</file>