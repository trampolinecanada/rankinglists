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6EE9E10B-08D1-3547-95B4-C287981A0DB7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13" r:id="rId3"/>
    <sheet name="TUM-M" sheetId="14" r:id="rId4"/>
    <sheet name="TUM-W" sheetId="15" r:id="rId5"/>
    <sheet name="DMT-M" sheetId="16" r:id="rId6"/>
    <sheet name="DMT-W" sheetId="17" r:id="rId7"/>
  </sheets>
  <definedNames>
    <definedName name="_xlnm._FilterDatabase" localSheetId="5" hidden="1">'DMT-M'!$A$1:$PW$4</definedName>
    <definedName name="_xlnm._FilterDatabase" localSheetId="6" hidden="1">'DMT-W'!$A$1:$PW$4</definedName>
    <definedName name="_xlnm._FilterDatabase" localSheetId="1" hidden="1">'TRA-M'!$A$1:$OO$3</definedName>
    <definedName name="_xlnm._FilterDatabase" localSheetId="2" hidden="1">'TRA-W'!$A$1:$OO$3</definedName>
    <definedName name="_xlnm._FilterDatabase" localSheetId="3" hidden="1">'TUM-M'!$A$1:$PW$4</definedName>
    <definedName name="_xlnm._FilterDatabase" localSheetId="4" hidden="1">'TUM-W'!$A$1:$PW$3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V13" i="17" l="1"/>
  <c r="NV9" i="17"/>
  <c r="NU5" i="17"/>
  <c r="NT5" i="17"/>
  <c r="NS5" i="17"/>
  <c r="NR5" i="17"/>
  <c r="NV5" i="17" s="1"/>
  <c r="NQ5" i="17"/>
  <c r="NU4" i="17"/>
  <c r="NT4" i="17"/>
  <c r="NS4" i="17"/>
  <c r="NR4" i="17"/>
  <c r="NQ4" i="17"/>
  <c r="MV13" i="17"/>
  <c r="MV9" i="17"/>
  <c r="MU5" i="17"/>
  <c r="MT5" i="17"/>
  <c r="MS5" i="17"/>
  <c r="MR5" i="17"/>
  <c r="MQ5" i="17"/>
  <c r="MU4" i="17"/>
  <c r="MT4" i="17"/>
  <c r="MS4" i="17"/>
  <c r="MR4" i="17"/>
  <c r="MV4" i="17" s="1"/>
  <c r="MQ4" i="17"/>
  <c r="LV13" i="17"/>
  <c r="LV9" i="17"/>
  <c r="LU5" i="17"/>
  <c r="LT5" i="17"/>
  <c r="LS5" i="17"/>
  <c r="LR5" i="17"/>
  <c r="LV5" i="17" s="1"/>
  <c r="LQ5" i="17"/>
  <c r="LU4" i="17"/>
  <c r="LT4" i="17"/>
  <c r="LS4" i="17"/>
  <c r="LR4" i="17"/>
  <c r="LQ4" i="17"/>
  <c r="KV13" i="17"/>
  <c r="KV9" i="17"/>
  <c r="KU5" i="17"/>
  <c r="KT5" i="17"/>
  <c r="KS5" i="17"/>
  <c r="KR5" i="17"/>
  <c r="KQ5" i="17"/>
  <c r="KU4" i="17"/>
  <c r="KT4" i="17"/>
  <c r="KS4" i="17"/>
  <c r="KR4" i="17"/>
  <c r="KV4" i="17" s="1"/>
  <c r="KQ4" i="17"/>
  <c r="JV13" i="17"/>
  <c r="JV9" i="17"/>
  <c r="JU5" i="17"/>
  <c r="JT5" i="17"/>
  <c r="JS5" i="17"/>
  <c r="JR5" i="17"/>
  <c r="JV5" i="17" s="1"/>
  <c r="JQ5" i="17"/>
  <c r="JU4" i="17"/>
  <c r="JT4" i="17"/>
  <c r="JS4" i="17"/>
  <c r="JR4" i="17"/>
  <c r="JQ4" i="17"/>
  <c r="IV13" i="17"/>
  <c r="IV9" i="17"/>
  <c r="IU5" i="17"/>
  <c r="IT5" i="17"/>
  <c r="IS5" i="17"/>
  <c r="IR5" i="17"/>
  <c r="IQ5" i="17"/>
  <c r="IU4" i="17"/>
  <c r="IT4" i="17"/>
  <c r="IS4" i="17"/>
  <c r="IR4" i="17"/>
  <c r="IV4" i="17" s="1"/>
  <c r="IQ4" i="17"/>
  <c r="HV13" i="17"/>
  <c r="HV9" i="17"/>
  <c r="HU5" i="17"/>
  <c r="HT5" i="17"/>
  <c r="HS5" i="17"/>
  <c r="HR5" i="17"/>
  <c r="HV5" i="17" s="1"/>
  <c r="HQ5" i="17"/>
  <c r="HU4" i="17"/>
  <c r="HT4" i="17"/>
  <c r="HS4" i="17"/>
  <c r="HR4" i="17"/>
  <c r="HQ4" i="17"/>
  <c r="GV13" i="17"/>
  <c r="GV9" i="17"/>
  <c r="GU5" i="17"/>
  <c r="GT5" i="17"/>
  <c r="GS5" i="17"/>
  <c r="GR5" i="17"/>
  <c r="GQ5" i="17"/>
  <c r="GU4" i="17"/>
  <c r="GT4" i="17"/>
  <c r="GS4" i="17"/>
  <c r="GR4" i="17"/>
  <c r="GV4" i="17" s="1"/>
  <c r="GQ4" i="17"/>
  <c r="FV13" i="17"/>
  <c r="FV9" i="17"/>
  <c r="FU5" i="17"/>
  <c r="FT5" i="17"/>
  <c r="FS5" i="17"/>
  <c r="FR5" i="17"/>
  <c r="FV5" i="17" s="1"/>
  <c r="FQ5" i="17"/>
  <c r="FU4" i="17"/>
  <c r="FT4" i="17"/>
  <c r="FS4" i="17"/>
  <c r="FR4" i="17"/>
  <c r="FQ4" i="17"/>
  <c r="EV13" i="17"/>
  <c r="EV9" i="17"/>
  <c r="EU5" i="17"/>
  <c r="ET5" i="17"/>
  <c r="ES5" i="17"/>
  <c r="ER5" i="17"/>
  <c r="EQ5" i="17"/>
  <c r="EU4" i="17"/>
  <c r="ET4" i="17"/>
  <c r="ES4" i="17"/>
  <c r="ER4" i="17"/>
  <c r="EV4" i="17" s="1"/>
  <c r="EQ4" i="17"/>
  <c r="DV13" i="17"/>
  <c r="DV9" i="17"/>
  <c r="DU5" i="17"/>
  <c r="DT5" i="17"/>
  <c r="DS5" i="17"/>
  <c r="DR5" i="17"/>
  <c r="DV5" i="17" s="1"/>
  <c r="DQ5" i="17"/>
  <c r="DU4" i="17"/>
  <c r="DT4" i="17"/>
  <c r="DS4" i="17"/>
  <c r="DR4" i="17"/>
  <c r="DQ4" i="17"/>
  <c r="NV13" i="16"/>
  <c r="NV9" i="16"/>
  <c r="NU5" i="16"/>
  <c r="NT5" i="16"/>
  <c r="NS5" i="16"/>
  <c r="NR5" i="16"/>
  <c r="NQ5" i="16"/>
  <c r="NU4" i="16"/>
  <c r="NT4" i="16"/>
  <c r="NS4" i="16"/>
  <c r="NR4" i="16"/>
  <c r="NV4" i="16" s="1"/>
  <c r="NQ4" i="16"/>
  <c r="MV13" i="16"/>
  <c r="MV9" i="16"/>
  <c r="MU5" i="16"/>
  <c r="MT5" i="16"/>
  <c r="MS5" i="16"/>
  <c r="MR5" i="16"/>
  <c r="MQ5" i="16"/>
  <c r="MU4" i="16"/>
  <c r="MT4" i="16"/>
  <c r="MS4" i="16"/>
  <c r="MR4" i="16"/>
  <c r="MQ4" i="16"/>
  <c r="LV13" i="16"/>
  <c r="LV9" i="16"/>
  <c r="LU5" i="16"/>
  <c r="LT5" i="16"/>
  <c r="LS5" i="16"/>
  <c r="LR5" i="16"/>
  <c r="LQ5" i="16"/>
  <c r="LU4" i="16"/>
  <c r="LT4" i="16"/>
  <c r="LS4" i="16"/>
  <c r="LR4" i="16"/>
  <c r="LV4" i="16" s="1"/>
  <c r="LQ4" i="16"/>
  <c r="KV13" i="16"/>
  <c r="KV9" i="16"/>
  <c r="KU5" i="16"/>
  <c r="KT5" i="16"/>
  <c r="KS5" i="16"/>
  <c r="KR5" i="16"/>
  <c r="KV5" i="16" s="1"/>
  <c r="KQ5" i="16"/>
  <c r="KU4" i="16"/>
  <c r="KT4" i="16"/>
  <c r="KS4" i="16"/>
  <c r="KR4" i="16"/>
  <c r="KQ4" i="16"/>
  <c r="JV13" i="16"/>
  <c r="JV9" i="16"/>
  <c r="JU5" i="16"/>
  <c r="JT5" i="16"/>
  <c r="JS5" i="16"/>
  <c r="JR5" i="16"/>
  <c r="JQ5" i="16"/>
  <c r="JU4" i="16"/>
  <c r="JT4" i="16"/>
  <c r="JS4" i="16"/>
  <c r="JR4" i="16"/>
  <c r="JV4" i="16" s="1"/>
  <c r="JQ4" i="16"/>
  <c r="IV13" i="16"/>
  <c r="IV9" i="16"/>
  <c r="IU5" i="16"/>
  <c r="IT5" i="16"/>
  <c r="IS5" i="16"/>
  <c r="IR5" i="16"/>
  <c r="IV5" i="16" s="1"/>
  <c r="IQ5" i="16"/>
  <c r="IU4" i="16"/>
  <c r="IT4" i="16"/>
  <c r="IS4" i="16"/>
  <c r="IR4" i="16"/>
  <c r="IQ4" i="16"/>
  <c r="HV13" i="16"/>
  <c r="HV9" i="16"/>
  <c r="HU5" i="16"/>
  <c r="HT5" i="16"/>
  <c r="HS5" i="16"/>
  <c r="HR5" i="16"/>
  <c r="HQ5" i="16"/>
  <c r="HU4" i="16"/>
  <c r="HT4" i="16"/>
  <c r="HS4" i="16"/>
  <c r="HR4" i="16"/>
  <c r="HQ4" i="16"/>
  <c r="GV13" i="16"/>
  <c r="GV9" i="16"/>
  <c r="GU5" i="16"/>
  <c r="GT5" i="16"/>
  <c r="GS5" i="16"/>
  <c r="GR5" i="16"/>
  <c r="GV5" i="16" s="1"/>
  <c r="GQ5" i="16"/>
  <c r="GU4" i="16"/>
  <c r="GT4" i="16"/>
  <c r="GS4" i="16"/>
  <c r="GR4" i="16"/>
  <c r="GQ4" i="16"/>
  <c r="FV13" i="16"/>
  <c r="FV9" i="16"/>
  <c r="FU5" i="16"/>
  <c r="FT5" i="16"/>
  <c r="FS5" i="16"/>
  <c r="FR5" i="16"/>
  <c r="FQ5" i="16"/>
  <c r="FU4" i="16"/>
  <c r="FT4" i="16"/>
  <c r="FS4" i="16"/>
  <c r="FR4" i="16"/>
  <c r="FQ4" i="16"/>
  <c r="EV13" i="16"/>
  <c r="EV9" i="16"/>
  <c r="EU5" i="16"/>
  <c r="ET5" i="16"/>
  <c r="ES5" i="16"/>
  <c r="ER5" i="16"/>
  <c r="EV5" i="16" s="1"/>
  <c r="EQ5" i="16"/>
  <c r="EU4" i="16"/>
  <c r="ET4" i="16"/>
  <c r="ES4" i="16"/>
  <c r="ER4" i="16"/>
  <c r="EQ4" i="16"/>
  <c r="DV13" i="16"/>
  <c r="DV9" i="16"/>
  <c r="DU5" i="16"/>
  <c r="DT5" i="16"/>
  <c r="DS5" i="16"/>
  <c r="DR5" i="16"/>
  <c r="DQ5" i="16"/>
  <c r="DU4" i="16"/>
  <c r="DT4" i="16"/>
  <c r="DS4" i="16"/>
  <c r="DR4" i="16"/>
  <c r="DQ4" i="16"/>
  <c r="NU4" i="15"/>
  <c r="NT4" i="15"/>
  <c r="NS4" i="15"/>
  <c r="NR4" i="15"/>
  <c r="NV4" i="15" s="1"/>
  <c r="NQ4" i="15"/>
  <c r="MU4" i="15"/>
  <c r="MT4" i="15"/>
  <c r="MS4" i="15"/>
  <c r="MR4" i="15"/>
  <c r="MV4" i="15" s="1"/>
  <c r="MQ4" i="15"/>
  <c r="LU4" i="15"/>
  <c r="LT4" i="15"/>
  <c r="LS4" i="15"/>
  <c r="LR4" i="15"/>
  <c r="LV4" i="15" s="1"/>
  <c r="LQ4" i="15"/>
  <c r="KU4" i="15"/>
  <c r="KT4" i="15"/>
  <c r="KS4" i="15"/>
  <c r="KR4" i="15"/>
  <c r="KV4" i="15" s="1"/>
  <c r="KQ4" i="15"/>
  <c r="JU4" i="15"/>
  <c r="JT4" i="15"/>
  <c r="JS4" i="15"/>
  <c r="JR4" i="15"/>
  <c r="JV4" i="15" s="1"/>
  <c r="JQ4" i="15"/>
  <c r="IU4" i="15"/>
  <c r="IT4" i="15"/>
  <c r="IS4" i="15"/>
  <c r="IR4" i="15"/>
  <c r="IV4" i="15" s="1"/>
  <c r="IQ4" i="15"/>
  <c r="HU4" i="15"/>
  <c r="HT4" i="15"/>
  <c r="HS4" i="15"/>
  <c r="HR4" i="15"/>
  <c r="HV4" i="15" s="1"/>
  <c r="HQ4" i="15"/>
  <c r="GU4" i="15"/>
  <c r="GT4" i="15"/>
  <c r="GS4" i="15"/>
  <c r="GR4" i="15"/>
  <c r="GV4" i="15" s="1"/>
  <c r="GQ4" i="15"/>
  <c r="FU4" i="15"/>
  <c r="FT4" i="15"/>
  <c r="FS4" i="15"/>
  <c r="FR4" i="15"/>
  <c r="FV4" i="15" s="1"/>
  <c r="FQ4" i="15"/>
  <c r="EU4" i="15"/>
  <c r="ET4" i="15"/>
  <c r="ES4" i="15"/>
  <c r="ER4" i="15"/>
  <c r="EV4" i="15" s="1"/>
  <c r="EQ4" i="15"/>
  <c r="DU4" i="15"/>
  <c r="DT4" i="15"/>
  <c r="DS4" i="15"/>
  <c r="DR4" i="15"/>
  <c r="DV4" i="15" s="1"/>
  <c r="DQ4" i="15"/>
  <c r="MP9" i="13"/>
  <c r="MO9" i="13"/>
  <c r="MM9" i="13"/>
  <c r="ML9" i="13"/>
  <c r="MK9" i="13"/>
  <c r="MP8" i="13"/>
  <c r="MO8" i="13"/>
  <c r="MM8" i="13"/>
  <c r="ML8" i="13"/>
  <c r="MN8" i="13" s="1"/>
  <c r="MK8" i="13"/>
  <c r="MP7" i="13"/>
  <c r="MO7" i="13"/>
  <c r="MM7" i="13"/>
  <c r="ML7" i="13"/>
  <c r="MK7" i="13"/>
  <c r="MP6" i="13"/>
  <c r="MO6" i="13"/>
  <c r="MM6" i="13"/>
  <c r="ML6" i="13"/>
  <c r="MK6" i="13"/>
  <c r="MP5" i="13"/>
  <c r="MO5" i="13"/>
  <c r="MM5" i="13"/>
  <c r="ML5" i="13"/>
  <c r="MK5" i="13"/>
  <c r="MP4" i="13"/>
  <c r="MO4" i="13"/>
  <c r="MM4" i="13"/>
  <c r="ML4" i="13"/>
  <c r="MK4" i="13"/>
  <c r="LT9" i="13"/>
  <c r="LS9" i="13"/>
  <c r="LQ9" i="13"/>
  <c r="LP9" i="13"/>
  <c r="LO9" i="13"/>
  <c r="LT8" i="13"/>
  <c r="LS8" i="13"/>
  <c r="LQ8" i="13"/>
  <c r="LP8" i="13"/>
  <c r="LO8" i="13"/>
  <c r="LT7" i="13"/>
  <c r="LS7" i="13"/>
  <c r="LQ7" i="13"/>
  <c r="LP7" i="13"/>
  <c r="LO7" i="13"/>
  <c r="LT6" i="13"/>
  <c r="LS6" i="13"/>
  <c r="LQ6" i="13"/>
  <c r="LP6" i="13"/>
  <c r="LO6" i="13"/>
  <c r="LT5" i="13"/>
  <c r="LS5" i="13"/>
  <c r="LQ5" i="13"/>
  <c r="LP5" i="13"/>
  <c r="LO5" i="13"/>
  <c r="LT4" i="13"/>
  <c r="LS4" i="13"/>
  <c r="LQ4" i="13"/>
  <c r="LP4" i="13"/>
  <c r="LO4" i="13"/>
  <c r="KX9" i="13"/>
  <c r="KW9" i="13"/>
  <c r="KU9" i="13"/>
  <c r="KT9" i="13"/>
  <c r="KV9" i="13" s="1"/>
  <c r="KS9" i="13"/>
  <c r="KX8" i="13"/>
  <c r="KW8" i="13"/>
  <c r="KU8" i="13"/>
  <c r="KT8" i="13"/>
  <c r="KS8" i="13"/>
  <c r="KX7" i="13"/>
  <c r="KW7" i="13"/>
  <c r="KU7" i="13"/>
  <c r="KT7" i="13"/>
  <c r="KS7" i="13"/>
  <c r="KX6" i="13"/>
  <c r="KW6" i="13"/>
  <c r="KU6" i="13"/>
  <c r="KT6" i="13"/>
  <c r="KS6" i="13"/>
  <c r="KX5" i="13"/>
  <c r="KW5" i="13"/>
  <c r="KU5" i="13"/>
  <c r="KV5" i="13" s="1"/>
  <c r="KT5" i="13"/>
  <c r="KS5" i="13"/>
  <c r="KX4" i="13"/>
  <c r="KW4" i="13"/>
  <c r="KU4" i="13"/>
  <c r="KT4" i="13"/>
  <c r="KS4" i="13"/>
  <c r="KB9" i="13"/>
  <c r="KA9" i="13"/>
  <c r="JY9" i="13"/>
  <c r="JX9" i="13"/>
  <c r="JW9" i="13"/>
  <c r="KB8" i="13"/>
  <c r="KA8" i="13"/>
  <c r="JY8" i="13"/>
  <c r="JX8" i="13"/>
  <c r="JZ8" i="13" s="1"/>
  <c r="KC8" i="13" s="1"/>
  <c r="JW8" i="13"/>
  <c r="KB7" i="13"/>
  <c r="KA7" i="13"/>
  <c r="JY7" i="13"/>
  <c r="JX7" i="13"/>
  <c r="JZ7" i="13" s="1"/>
  <c r="JW7" i="13"/>
  <c r="KB6" i="13"/>
  <c r="KA6" i="13"/>
  <c r="JY6" i="13"/>
  <c r="JX6" i="13"/>
  <c r="JZ6" i="13" s="1"/>
  <c r="JW6" i="13"/>
  <c r="KB5" i="13"/>
  <c r="KA5" i="13"/>
  <c r="JY5" i="13"/>
  <c r="JX5" i="13"/>
  <c r="JW5" i="13"/>
  <c r="KB4" i="13"/>
  <c r="KA4" i="13"/>
  <c r="JY4" i="13"/>
  <c r="JX4" i="13"/>
  <c r="JW4" i="13"/>
  <c r="JF9" i="13"/>
  <c r="JE9" i="13"/>
  <c r="JC9" i="13"/>
  <c r="JB9" i="13"/>
  <c r="JA9" i="13"/>
  <c r="JF8" i="13"/>
  <c r="JE8" i="13"/>
  <c r="JC8" i="13"/>
  <c r="JB8" i="13"/>
  <c r="JA8" i="13"/>
  <c r="JF7" i="13"/>
  <c r="JE7" i="13"/>
  <c r="JC7" i="13"/>
  <c r="JB7" i="13"/>
  <c r="JA7" i="13"/>
  <c r="JF6" i="13"/>
  <c r="JE6" i="13"/>
  <c r="JC6" i="13"/>
  <c r="JB6" i="13"/>
  <c r="JD6" i="13" s="1"/>
  <c r="JA6" i="13"/>
  <c r="JF5" i="13"/>
  <c r="JE5" i="13"/>
  <c r="JC5" i="13"/>
  <c r="JB5" i="13"/>
  <c r="JA5" i="13"/>
  <c r="JF4" i="13"/>
  <c r="JE4" i="13"/>
  <c r="JC4" i="13"/>
  <c r="JB4" i="13"/>
  <c r="JA4" i="13"/>
  <c r="IJ9" i="13"/>
  <c r="II9" i="13"/>
  <c r="IG9" i="13"/>
  <c r="IF9" i="13"/>
  <c r="IE9" i="13"/>
  <c r="IJ8" i="13"/>
  <c r="II8" i="13"/>
  <c r="IG8" i="13"/>
  <c r="IF8" i="13"/>
  <c r="IE8" i="13"/>
  <c r="IJ7" i="13"/>
  <c r="II7" i="13"/>
  <c r="IG7" i="13"/>
  <c r="IF7" i="13"/>
  <c r="IE7" i="13"/>
  <c r="IJ6" i="13"/>
  <c r="II6" i="13"/>
  <c r="IG6" i="13"/>
  <c r="IF6" i="13"/>
  <c r="IE6" i="13"/>
  <c r="IJ5" i="13"/>
  <c r="II5" i="13"/>
  <c r="IG5" i="13"/>
  <c r="IF5" i="13"/>
  <c r="IE5" i="13"/>
  <c r="IJ4" i="13"/>
  <c r="II4" i="13"/>
  <c r="IG4" i="13"/>
  <c r="IF4" i="13"/>
  <c r="IH4" i="13" s="1"/>
  <c r="IK4" i="13" s="1"/>
  <c r="IE4" i="13"/>
  <c r="HN9" i="13"/>
  <c r="HM9" i="13"/>
  <c r="HK9" i="13"/>
  <c r="HJ9" i="13"/>
  <c r="HI9" i="13"/>
  <c r="HN8" i="13"/>
  <c r="HM8" i="13"/>
  <c r="HK8" i="13"/>
  <c r="HJ8" i="13"/>
  <c r="HI8" i="13"/>
  <c r="HN7" i="13"/>
  <c r="HM7" i="13"/>
  <c r="HK7" i="13"/>
  <c r="HJ7" i="13"/>
  <c r="HI7" i="13"/>
  <c r="HN6" i="13"/>
  <c r="HM6" i="13"/>
  <c r="HK6" i="13"/>
  <c r="HJ6" i="13"/>
  <c r="HI6" i="13"/>
  <c r="HN5" i="13"/>
  <c r="HM5" i="13"/>
  <c r="HK5" i="13"/>
  <c r="HL5" i="13" s="1"/>
  <c r="HJ5" i="13"/>
  <c r="HI5" i="13"/>
  <c r="HN4" i="13"/>
  <c r="HM4" i="13"/>
  <c r="HK4" i="13"/>
  <c r="HJ4" i="13"/>
  <c r="HI4" i="13"/>
  <c r="GR9" i="13"/>
  <c r="GQ9" i="13"/>
  <c r="GO9" i="13"/>
  <c r="GN9" i="13"/>
  <c r="GM9" i="13"/>
  <c r="GR8" i="13"/>
  <c r="GQ8" i="13"/>
  <c r="GO8" i="13"/>
  <c r="GN8" i="13"/>
  <c r="GP8" i="13" s="1"/>
  <c r="GS8" i="13" s="1"/>
  <c r="GM8" i="13"/>
  <c r="GR7" i="13"/>
  <c r="GQ7" i="13"/>
  <c r="GO7" i="13"/>
  <c r="GN7" i="13"/>
  <c r="GM7" i="13"/>
  <c r="GR6" i="13"/>
  <c r="GQ6" i="13"/>
  <c r="GO6" i="13"/>
  <c r="GN6" i="13"/>
  <c r="GP6" i="13" s="1"/>
  <c r="GM6" i="13"/>
  <c r="GR5" i="13"/>
  <c r="GQ5" i="13"/>
  <c r="GO5" i="13"/>
  <c r="GN5" i="13"/>
  <c r="GM5" i="13"/>
  <c r="GR4" i="13"/>
  <c r="GQ4" i="13"/>
  <c r="GO4" i="13"/>
  <c r="GN4" i="13"/>
  <c r="GM4" i="13"/>
  <c r="FV9" i="13"/>
  <c r="FU9" i="13"/>
  <c r="FS9" i="13"/>
  <c r="FR9" i="13"/>
  <c r="FQ9" i="13"/>
  <c r="FV8" i="13"/>
  <c r="FU8" i="13"/>
  <c r="FS8" i="13"/>
  <c r="FR8" i="13"/>
  <c r="FQ8" i="13"/>
  <c r="FV7" i="13"/>
  <c r="FU7" i="13"/>
  <c r="FS7" i="13"/>
  <c r="FR7" i="13"/>
  <c r="FQ7" i="13"/>
  <c r="FV6" i="13"/>
  <c r="FU6" i="13"/>
  <c r="FS6" i="13"/>
  <c r="FR6" i="13"/>
  <c r="FT6" i="13" s="1"/>
  <c r="FQ6" i="13"/>
  <c r="FV5" i="13"/>
  <c r="FU5" i="13"/>
  <c r="FS5" i="13"/>
  <c r="FR5" i="13"/>
  <c r="FQ5" i="13"/>
  <c r="FV4" i="13"/>
  <c r="FU4" i="13"/>
  <c r="FS4" i="13"/>
  <c r="FR4" i="13"/>
  <c r="FQ4" i="13"/>
  <c r="EZ9" i="13"/>
  <c r="EY9" i="13"/>
  <c r="EW9" i="13"/>
  <c r="EV9" i="13"/>
  <c r="EU9" i="13"/>
  <c r="EZ8" i="13"/>
  <c r="EY8" i="13"/>
  <c r="EW8" i="13"/>
  <c r="EV8" i="13"/>
  <c r="EU8" i="13"/>
  <c r="EZ7" i="13"/>
  <c r="EY7" i="13"/>
  <c r="EW7" i="13"/>
  <c r="EV7" i="13"/>
  <c r="EU7" i="13"/>
  <c r="EZ6" i="13"/>
  <c r="EY6" i="13"/>
  <c r="EW6" i="13"/>
  <c r="EV6" i="13"/>
  <c r="EX6" i="13" s="1"/>
  <c r="EU6" i="13"/>
  <c r="EZ5" i="13"/>
  <c r="EY5" i="13"/>
  <c r="EW5" i="13"/>
  <c r="EV5" i="13"/>
  <c r="EX5" i="13" s="1"/>
  <c r="FA5" i="13" s="1"/>
  <c r="EU5" i="13"/>
  <c r="EZ4" i="13"/>
  <c r="EY4" i="13"/>
  <c r="EW4" i="13"/>
  <c r="EV4" i="13"/>
  <c r="EU4" i="13"/>
  <c r="ED9" i="13"/>
  <c r="EC9" i="13"/>
  <c r="EA9" i="13"/>
  <c r="DZ9" i="13"/>
  <c r="DY9" i="13"/>
  <c r="ED8" i="13"/>
  <c r="EC8" i="13"/>
  <c r="EA8" i="13"/>
  <c r="DZ8" i="13"/>
  <c r="DY8" i="13"/>
  <c r="ED7" i="13"/>
  <c r="EC7" i="13"/>
  <c r="EA7" i="13"/>
  <c r="DZ7" i="13"/>
  <c r="DY7" i="13"/>
  <c r="ED6" i="13"/>
  <c r="EC6" i="13"/>
  <c r="EA6" i="13"/>
  <c r="DZ6" i="13"/>
  <c r="DY6" i="13"/>
  <c r="ED5" i="13"/>
  <c r="EC5" i="13"/>
  <c r="EA5" i="13"/>
  <c r="DZ5" i="13"/>
  <c r="DY5" i="13"/>
  <c r="ED4" i="13"/>
  <c r="EC4" i="13"/>
  <c r="EA4" i="13"/>
  <c r="DZ4" i="13"/>
  <c r="EB4" i="13" s="1"/>
  <c r="DY4" i="13"/>
  <c r="MP5" i="4"/>
  <c r="MO5" i="4"/>
  <c r="MM5" i="4"/>
  <c r="ML5" i="4"/>
  <c r="MN5" i="4" s="1"/>
  <c r="MK5" i="4"/>
  <c r="MP4" i="4"/>
  <c r="MO4" i="4"/>
  <c r="MM4" i="4"/>
  <c r="ML4" i="4"/>
  <c r="MN4" i="4" s="1"/>
  <c r="MK4" i="4"/>
  <c r="LT5" i="4"/>
  <c r="LS5" i="4"/>
  <c r="LQ5" i="4"/>
  <c r="LP5" i="4"/>
  <c r="LR5" i="4" s="1"/>
  <c r="LU5" i="4" s="1"/>
  <c r="LO5" i="4"/>
  <c r="LT4" i="4"/>
  <c r="LS4" i="4"/>
  <c r="LQ4" i="4"/>
  <c r="LP4" i="4"/>
  <c r="LR4" i="4" s="1"/>
  <c r="LU4" i="4" s="1"/>
  <c r="LO4" i="4"/>
  <c r="KX5" i="4"/>
  <c r="KW5" i="4"/>
  <c r="KU5" i="4"/>
  <c r="KT5" i="4"/>
  <c r="KS5" i="4"/>
  <c r="KX4" i="4"/>
  <c r="KW4" i="4"/>
  <c r="KU4" i="4"/>
  <c r="KT4" i="4"/>
  <c r="KV4" i="4" s="1"/>
  <c r="KY4" i="4" s="1"/>
  <c r="KS4" i="4"/>
  <c r="KB5" i="4"/>
  <c r="KA5" i="4"/>
  <c r="JY5" i="4"/>
  <c r="JX5" i="4"/>
  <c r="JW5" i="4"/>
  <c r="KB4" i="4"/>
  <c r="KA4" i="4"/>
  <c r="JY4" i="4"/>
  <c r="JX4" i="4"/>
  <c r="JW4" i="4"/>
  <c r="JF5" i="4"/>
  <c r="JE5" i="4"/>
  <c r="JC5" i="4"/>
  <c r="JB5" i="4"/>
  <c r="JD5" i="4" s="1"/>
  <c r="JA5" i="4"/>
  <c r="JF4" i="4"/>
  <c r="JE4" i="4"/>
  <c r="JC4" i="4"/>
  <c r="JB4" i="4"/>
  <c r="JD4" i="4" s="1"/>
  <c r="JA4" i="4"/>
  <c r="IJ5" i="4"/>
  <c r="II5" i="4"/>
  <c r="IG5" i="4"/>
  <c r="IF5" i="4"/>
  <c r="IH5" i="4" s="1"/>
  <c r="IK5" i="4" s="1"/>
  <c r="IE5" i="4"/>
  <c r="IJ4" i="4"/>
  <c r="II4" i="4"/>
  <c r="IG4" i="4"/>
  <c r="IF4" i="4"/>
  <c r="IE4" i="4"/>
  <c r="HN5" i="4"/>
  <c r="HM5" i="4"/>
  <c r="HK5" i="4"/>
  <c r="HJ5" i="4"/>
  <c r="HI5" i="4"/>
  <c r="HN4" i="4"/>
  <c r="HM4" i="4"/>
  <c r="HK4" i="4"/>
  <c r="HJ4" i="4"/>
  <c r="HL4" i="4" s="1"/>
  <c r="HI4" i="4"/>
  <c r="GR5" i="4"/>
  <c r="GQ5" i="4"/>
  <c r="GO5" i="4"/>
  <c r="GN5" i="4"/>
  <c r="GM5" i="4"/>
  <c r="GR4" i="4"/>
  <c r="GQ4" i="4"/>
  <c r="GO4" i="4"/>
  <c r="GN4" i="4"/>
  <c r="GM4" i="4"/>
  <c r="FV5" i="4"/>
  <c r="FU5" i="4"/>
  <c r="FS5" i="4"/>
  <c r="FR5" i="4"/>
  <c r="FT5" i="4" s="1"/>
  <c r="FQ5" i="4"/>
  <c r="FV4" i="4"/>
  <c r="FU4" i="4"/>
  <c r="FS4" i="4"/>
  <c r="FR4" i="4"/>
  <c r="FT4" i="4" s="1"/>
  <c r="FQ4" i="4"/>
  <c r="EZ5" i="4"/>
  <c r="EY5" i="4"/>
  <c r="EW5" i="4"/>
  <c r="EV5" i="4"/>
  <c r="EX5" i="4" s="1"/>
  <c r="FA5" i="4" s="1"/>
  <c r="EU5" i="4"/>
  <c r="EZ4" i="4"/>
  <c r="EY4" i="4"/>
  <c r="EW4" i="4"/>
  <c r="EV4" i="4"/>
  <c r="EX4" i="4" s="1"/>
  <c r="FA4" i="4" s="1"/>
  <c r="EU4" i="4"/>
  <c r="ED5" i="4"/>
  <c r="EC5" i="4"/>
  <c r="EA5" i="4"/>
  <c r="DZ5" i="4"/>
  <c r="DY5" i="4"/>
  <c r="ED4" i="4"/>
  <c r="EC4" i="4"/>
  <c r="EA4" i="4"/>
  <c r="DZ4" i="4"/>
  <c r="DY4" i="4"/>
  <c r="BS13" i="17"/>
  <c r="BS9" i="17"/>
  <c r="BR5" i="17"/>
  <c r="BQ5" i="17"/>
  <c r="BP5" i="17"/>
  <c r="BO5" i="17"/>
  <c r="BN5" i="17"/>
  <c r="BR4" i="17"/>
  <c r="BQ4" i="17"/>
  <c r="BP4" i="17"/>
  <c r="BO4" i="17"/>
  <c r="BN4" i="17"/>
  <c r="AR13" i="17"/>
  <c r="AR9" i="17"/>
  <c r="AQ5" i="17"/>
  <c r="AP5" i="17"/>
  <c r="AO5" i="17"/>
  <c r="AN5" i="17"/>
  <c r="AM5" i="17"/>
  <c r="AQ4" i="17"/>
  <c r="AP4" i="17"/>
  <c r="AO4" i="17"/>
  <c r="AN4" i="17"/>
  <c r="AM4" i="17"/>
  <c r="BS13" i="16"/>
  <c r="BS9" i="16"/>
  <c r="BR5" i="16"/>
  <c r="BQ5" i="16"/>
  <c r="BP5" i="16"/>
  <c r="BO5" i="16"/>
  <c r="BN5" i="16"/>
  <c r="BR4" i="16"/>
  <c r="BQ4" i="16"/>
  <c r="BP4" i="16"/>
  <c r="BO4" i="16"/>
  <c r="BN4" i="16"/>
  <c r="AR13" i="16"/>
  <c r="AR9" i="16"/>
  <c r="AQ5" i="16"/>
  <c r="AP5" i="16"/>
  <c r="AO5" i="16"/>
  <c r="AN5" i="16"/>
  <c r="AM5" i="16"/>
  <c r="AQ4" i="16"/>
  <c r="AP4" i="16"/>
  <c r="AO4" i="16"/>
  <c r="AN4" i="16"/>
  <c r="AM4" i="16"/>
  <c r="BR4" i="15"/>
  <c r="BQ4" i="15"/>
  <c r="BP4" i="15"/>
  <c r="BO4" i="15"/>
  <c r="BN4" i="15"/>
  <c r="AQ4" i="15"/>
  <c r="AP4" i="15"/>
  <c r="AO4" i="15"/>
  <c r="AN4" i="15"/>
  <c r="AM4" i="15"/>
  <c r="BS13" i="14"/>
  <c r="BS9" i="14"/>
  <c r="BR4" i="14"/>
  <c r="BQ4" i="14"/>
  <c r="BP4" i="14"/>
  <c r="BO4" i="14"/>
  <c r="BN4" i="14"/>
  <c r="BR5" i="14"/>
  <c r="BQ5" i="14"/>
  <c r="BP5" i="14"/>
  <c r="BO5" i="14"/>
  <c r="BN5" i="14"/>
  <c r="AR13" i="14"/>
  <c r="AR9" i="14"/>
  <c r="AQ4" i="14"/>
  <c r="AP4" i="14"/>
  <c r="AO4" i="14"/>
  <c r="AN4" i="14"/>
  <c r="AM4" i="14"/>
  <c r="AQ5" i="14"/>
  <c r="AP5" i="14"/>
  <c r="AO5" i="14"/>
  <c r="AN5" i="14"/>
  <c r="AM5" i="14"/>
  <c r="BZ9" i="13"/>
  <c r="BY9" i="13"/>
  <c r="BW9" i="13"/>
  <c r="BV9" i="13"/>
  <c r="BU9" i="13"/>
  <c r="BT9" i="13"/>
  <c r="BS9" i="13"/>
  <c r="BZ8" i="13"/>
  <c r="BY8" i="13"/>
  <c r="BW8" i="13"/>
  <c r="BV8" i="13"/>
  <c r="BU8" i="13"/>
  <c r="BT8" i="13"/>
  <c r="BS8" i="13"/>
  <c r="BZ7" i="13"/>
  <c r="BY7" i="13"/>
  <c r="BW7" i="13"/>
  <c r="BV7" i="13"/>
  <c r="BU7" i="13"/>
  <c r="BT7" i="13"/>
  <c r="BS7" i="13"/>
  <c r="BZ4" i="13"/>
  <c r="BY4" i="13"/>
  <c r="BW4" i="13"/>
  <c r="BV4" i="13"/>
  <c r="BU4" i="13"/>
  <c r="BT4" i="13"/>
  <c r="BS4" i="13"/>
  <c r="BZ6" i="13"/>
  <c r="BY6" i="13"/>
  <c r="BW6" i="13"/>
  <c r="BV6" i="13"/>
  <c r="BU6" i="13"/>
  <c r="BT6" i="13"/>
  <c r="BS6" i="13"/>
  <c r="BZ5" i="13"/>
  <c r="BY5" i="13"/>
  <c r="BW5" i="13"/>
  <c r="BV5" i="13"/>
  <c r="BU5" i="13"/>
  <c r="BT5" i="13"/>
  <c r="BS5" i="13"/>
  <c r="AV9" i="13"/>
  <c r="AU9" i="13"/>
  <c r="AS9" i="13"/>
  <c r="AR9" i="13"/>
  <c r="AQ9" i="13"/>
  <c r="AP9" i="13"/>
  <c r="AO9" i="13"/>
  <c r="AV8" i="13"/>
  <c r="AU8" i="13"/>
  <c r="AS8" i="13"/>
  <c r="AR8" i="13"/>
  <c r="AQ8" i="13"/>
  <c r="AP8" i="13"/>
  <c r="AO8" i="13"/>
  <c r="AV7" i="13"/>
  <c r="AU7" i="13"/>
  <c r="AS7" i="13"/>
  <c r="AR7" i="13"/>
  <c r="AQ7" i="13"/>
  <c r="AP7" i="13"/>
  <c r="AO7" i="13"/>
  <c r="AV4" i="13"/>
  <c r="AU4" i="13"/>
  <c r="AS4" i="13"/>
  <c r="AR4" i="13"/>
  <c r="AQ4" i="13"/>
  <c r="AP4" i="13"/>
  <c r="AO4" i="13"/>
  <c r="AV6" i="13"/>
  <c r="AU6" i="13"/>
  <c r="AS6" i="13"/>
  <c r="AR6" i="13"/>
  <c r="AQ6" i="13"/>
  <c r="AP6" i="13"/>
  <c r="AO6" i="13"/>
  <c r="AV5" i="13"/>
  <c r="AU5" i="13"/>
  <c r="AS5" i="13"/>
  <c r="AR5" i="13"/>
  <c r="AQ5" i="13"/>
  <c r="AP5" i="13"/>
  <c r="AO5" i="13"/>
  <c r="BZ5" i="4"/>
  <c r="BY5" i="4"/>
  <c r="BW5" i="4"/>
  <c r="BV5" i="4"/>
  <c r="BU5" i="4"/>
  <c r="BT5" i="4"/>
  <c r="BS5" i="4"/>
  <c r="BZ4" i="4"/>
  <c r="BY4" i="4"/>
  <c r="BW4" i="4"/>
  <c r="BV4" i="4"/>
  <c r="BU4" i="4"/>
  <c r="BT4" i="4"/>
  <c r="BS4" i="4"/>
  <c r="AV5" i="4"/>
  <c r="AU5" i="4"/>
  <c r="AS5" i="4"/>
  <c r="AR5" i="4"/>
  <c r="AQ5" i="4"/>
  <c r="AP5" i="4"/>
  <c r="AO5" i="4"/>
  <c r="AV4" i="4"/>
  <c r="AU4" i="4"/>
  <c r="AS4" i="4"/>
  <c r="AR4" i="4"/>
  <c r="AQ4" i="4"/>
  <c r="AP4" i="4"/>
  <c r="AO4" i="4"/>
  <c r="CW9" i="13"/>
  <c r="CX9" i="13"/>
  <c r="CY9" i="13"/>
  <c r="CZ9" i="13"/>
  <c r="DA9" i="13"/>
  <c r="DC9" i="13"/>
  <c r="DD9" i="13"/>
  <c r="NG9" i="13"/>
  <c r="NH9" i="13"/>
  <c r="NI9" i="13"/>
  <c r="NK9" i="13"/>
  <c r="NL9" i="13"/>
  <c r="NN9" i="13"/>
  <c r="NO9" i="13"/>
  <c r="NP9" i="13"/>
  <c r="NQ9" i="13"/>
  <c r="NR9" i="13"/>
  <c r="NS9" i="13"/>
  <c r="NT9" i="13"/>
  <c r="NU9" i="13"/>
  <c r="OJ9" i="13" s="1"/>
  <c r="NV9" i="13"/>
  <c r="NW9" i="13"/>
  <c r="NX9" i="13"/>
  <c r="NY9" i="13"/>
  <c r="NZ9" i="13"/>
  <c r="OL9" i="13" s="1"/>
  <c r="OA9" i="13"/>
  <c r="OB9" i="13"/>
  <c r="OC9" i="13"/>
  <c r="OD9" i="13"/>
  <c r="OE9" i="13"/>
  <c r="OO9" i="13" s="1"/>
  <c r="OF9" i="13"/>
  <c r="OG9" i="13"/>
  <c r="CO5" i="16"/>
  <c r="CP5" i="16"/>
  <c r="CQ5" i="16"/>
  <c r="CR5" i="16"/>
  <c r="CS5" i="16"/>
  <c r="OQ5" i="16"/>
  <c r="OR5" i="16"/>
  <c r="OS5" i="16"/>
  <c r="OT5" i="16"/>
  <c r="OU5" i="16"/>
  <c r="OW5" i="16"/>
  <c r="OX5" i="16"/>
  <c r="OY5" i="16"/>
  <c r="OZ5" i="16"/>
  <c r="PA5" i="16"/>
  <c r="PB5" i="16"/>
  <c r="PC5" i="16"/>
  <c r="PD5" i="16"/>
  <c r="PE5" i="16"/>
  <c r="PF5" i="16"/>
  <c r="PG5" i="16"/>
  <c r="PH5" i="16"/>
  <c r="PI5" i="16"/>
  <c r="PJ5" i="16"/>
  <c r="PK5" i="16"/>
  <c r="PL5" i="16"/>
  <c r="PM5" i="16"/>
  <c r="PN5" i="16"/>
  <c r="PO5" i="16"/>
  <c r="PP5" i="16"/>
  <c r="CW5" i="13"/>
  <c r="CX5" i="13"/>
  <c r="CY5" i="13"/>
  <c r="CZ5" i="13"/>
  <c r="DA5" i="13"/>
  <c r="DC5" i="13"/>
  <c r="DD5" i="13"/>
  <c r="NG5" i="13"/>
  <c r="NH5" i="13"/>
  <c r="NI5" i="13"/>
  <c r="NK5" i="13"/>
  <c r="NL5" i="13"/>
  <c r="NN5" i="13"/>
  <c r="NO5" i="13"/>
  <c r="NP5" i="13"/>
  <c r="NQ5" i="13"/>
  <c r="NR5" i="13"/>
  <c r="NS5" i="13"/>
  <c r="NT5" i="13"/>
  <c r="NU5" i="13"/>
  <c r="OJ5" i="13" s="1"/>
  <c r="NV5" i="13"/>
  <c r="NW5" i="13"/>
  <c r="NX5" i="13"/>
  <c r="NY5" i="13"/>
  <c r="NZ5" i="13"/>
  <c r="OL5" i="13" s="1"/>
  <c r="OA5" i="13"/>
  <c r="OB5" i="13"/>
  <c r="OC5" i="13"/>
  <c r="OD5" i="13"/>
  <c r="OE5" i="13"/>
  <c r="OO5" i="13" s="1"/>
  <c r="OF5" i="13"/>
  <c r="OG5" i="13"/>
  <c r="CW8" i="13"/>
  <c r="CX8" i="13"/>
  <c r="CY8" i="13"/>
  <c r="CZ8" i="13"/>
  <c r="DA8" i="13"/>
  <c r="DC8" i="13"/>
  <c r="DD8" i="13"/>
  <c r="NG8" i="13"/>
  <c r="NH8" i="13"/>
  <c r="NI8" i="13"/>
  <c r="NK8" i="13"/>
  <c r="NL8" i="13"/>
  <c r="NN8" i="13"/>
  <c r="NO8" i="13"/>
  <c r="NP8" i="13"/>
  <c r="NQ8" i="13"/>
  <c r="NR8" i="13"/>
  <c r="NS8" i="13"/>
  <c r="NT8" i="13"/>
  <c r="NU8" i="13"/>
  <c r="OJ8" i="13" s="1"/>
  <c r="NV8" i="13"/>
  <c r="NW8" i="13"/>
  <c r="NX8" i="13"/>
  <c r="NY8" i="13"/>
  <c r="NZ8" i="13"/>
  <c r="OL8" i="13" s="1"/>
  <c r="OA8" i="13"/>
  <c r="OB8" i="13"/>
  <c r="OC8" i="13"/>
  <c r="OD8" i="13"/>
  <c r="OE8" i="13"/>
  <c r="OO8" i="13" s="1"/>
  <c r="OF8" i="13"/>
  <c r="OG8" i="13"/>
  <c r="CW4" i="13"/>
  <c r="CX4" i="13"/>
  <c r="CY4" i="13"/>
  <c r="CZ4" i="13"/>
  <c r="DA4" i="13"/>
  <c r="DC4" i="13"/>
  <c r="DD4" i="13"/>
  <c r="NG4" i="13"/>
  <c r="NH4" i="13"/>
  <c r="NI4" i="13"/>
  <c r="NK4" i="13"/>
  <c r="NL4" i="13"/>
  <c r="NN4" i="13"/>
  <c r="NO4" i="13"/>
  <c r="NP4" i="13"/>
  <c r="NQ4" i="13"/>
  <c r="NR4" i="13"/>
  <c r="NS4" i="13"/>
  <c r="NT4" i="13"/>
  <c r="NU4" i="13"/>
  <c r="OJ4" i="13" s="1"/>
  <c r="NV4" i="13"/>
  <c r="NW4" i="13"/>
  <c r="NX4" i="13"/>
  <c r="NY4" i="13"/>
  <c r="NZ4" i="13"/>
  <c r="OL4" i="13" s="1"/>
  <c r="OA4" i="13"/>
  <c r="OB4" i="13"/>
  <c r="OC4" i="13"/>
  <c r="OD4" i="13"/>
  <c r="OE4" i="13"/>
  <c r="OO4" i="13" s="1"/>
  <c r="OF4" i="13"/>
  <c r="OG4" i="13"/>
  <c r="CW7" i="13"/>
  <c r="CX7" i="13"/>
  <c r="CY7" i="13"/>
  <c r="CZ7" i="13"/>
  <c r="DA7" i="13"/>
  <c r="DC7" i="13"/>
  <c r="DD7" i="13"/>
  <c r="NG7" i="13"/>
  <c r="NH7" i="13"/>
  <c r="NI7" i="13"/>
  <c r="NK7" i="13"/>
  <c r="NL7" i="13"/>
  <c r="NN7" i="13"/>
  <c r="NO7" i="13"/>
  <c r="NP7" i="13"/>
  <c r="NQ7" i="13"/>
  <c r="NR7" i="13"/>
  <c r="NS7" i="13"/>
  <c r="NT7" i="13"/>
  <c r="NU7" i="13"/>
  <c r="OJ7" i="13" s="1"/>
  <c r="NV7" i="13"/>
  <c r="NW7" i="13"/>
  <c r="NX7" i="13"/>
  <c r="NY7" i="13"/>
  <c r="NZ7" i="13"/>
  <c r="OL7" i="13" s="1"/>
  <c r="OA7" i="13"/>
  <c r="OB7" i="13"/>
  <c r="OC7" i="13"/>
  <c r="OD7" i="13"/>
  <c r="OE7" i="13"/>
  <c r="OO7" i="13" s="1"/>
  <c r="OF7" i="13"/>
  <c r="OG7" i="13"/>
  <c r="CW5" i="4"/>
  <c r="CX5" i="4"/>
  <c r="CY5" i="4"/>
  <c r="CZ5" i="4"/>
  <c r="DA5" i="4"/>
  <c r="DC5" i="4"/>
  <c r="DD5" i="4"/>
  <c r="NG5" i="4"/>
  <c r="NH5" i="4"/>
  <c r="NI5" i="4"/>
  <c r="NK5" i="4"/>
  <c r="NL5" i="4"/>
  <c r="NN5" i="4"/>
  <c r="NO5" i="4"/>
  <c r="NP5" i="4"/>
  <c r="NQ5" i="4"/>
  <c r="NR5" i="4"/>
  <c r="NS5" i="4"/>
  <c r="NT5" i="4"/>
  <c r="NU5" i="4"/>
  <c r="OJ5" i="4" s="1"/>
  <c r="NV5" i="4"/>
  <c r="NW5" i="4"/>
  <c r="NX5" i="4"/>
  <c r="NY5" i="4"/>
  <c r="NZ5" i="4"/>
  <c r="OL5" i="4" s="1"/>
  <c r="OA5" i="4"/>
  <c r="OB5" i="4"/>
  <c r="OC5" i="4"/>
  <c r="OD5" i="4"/>
  <c r="OE5" i="4"/>
  <c r="OO5" i="4" s="1"/>
  <c r="OF5" i="4"/>
  <c r="OG5" i="4"/>
  <c r="CW4" i="4"/>
  <c r="CX4" i="4"/>
  <c r="CY4" i="4"/>
  <c r="CZ4" i="4"/>
  <c r="DA4" i="4"/>
  <c r="DC4" i="4"/>
  <c r="DD4" i="4"/>
  <c r="NG4" i="4"/>
  <c r="NH4" i="4"/>
  <c r="NI4" i="4"/>
  <c r="NK4" i="4"/>
  <c r="NL4" i="4"/>
  <c r="NN4" i="4"/>
  <c r="NO4" i="4"/>
  <c r="NP4" i="4"/>
  <c r="NQ4" i="4"/>
  <c r="NR4" i="4"/>
  <c r="NS4" i="4"/>
  <c r="NT4" i="4"/>
  <c r="NU4" i="4"/>
  <c r="OJ4" i="4" s="1"/>
  <c r="NV4" i="4"/>
  <c r="NW4" i="4"/>
  <c r="NX4" i="4"/>
  <c r="NY4" i="4"/>
  <c r="NZ4" i="4"/>
  <c r="OL4" i="4" s="1"/>
  <c r="OA4" i="4"/>
  <c r="OB4" i="4"/>
  <c r="OC4" i="4"/>
  <c r="OD4" i="4"/>
  <c r="OE4" i="4"/>
  <c r="OO4" i="4" s="1"/>
  <c r="OF4" i="4"/>
  <c r="OG4" i="4"/>
  <c r="OV13" i="14"/>
  <c r="OV9" i="14"/>
  <c r="NV13" i="14"/>
  <c r="NV9" i="14"/>
  <c r="MV13" i="14"/>
  <c r="MV9" i="14"/>
  <c r="LV13" i="14"/>
  <c r="LV9" i="14"/>
  <c r="KV13" i="14"/>
  <c r="KV9" i="14"/>
  <c r="JV13" i="14"/>
  <c r="JV9" i="14"/>
  <c r="IV13" i="14"/>
  <c r="IV9" i="14"/>
  <c r="HV13" i="14"/>
  <c r="HV9" i="14"/>
  <c r="GV13" i="14"/>
  <c r="GV9" i="14"/>
  <c r="FV13" i="14"/>
  <c r="FV9" i="14"/>
  <c r="EV13" i="14"/>
  <c r="EV9" i="14"/>
  <c r="DV13" i="14"/>
  <c r="DV9" i="14"/>
  <c r="OV13" i="17"/>
  <c r="OV9" i="17"/>
  <c r="OV13" i="16"/>
  <c r="OV9" i="16"/>
  <c r="CO4" i="14"/>
  <c r="CP4" i="14"/>
  <c r="CQ4" i="14"/>
  <c r="CR4" i="14"/>
  <c r="CS4" i="14"/>
  <c r="DQ4" i="14"/>
  <c r="DR4" i="14"/>
  <c r="DS4" i="14"/>
  <c r="DT4" i="14"/>
  <c r="DU4" i="14"/>
  <c r="EQ4" i="14"/>
  <c r="ER4" i="14"/>
  <c r="ES4" i="14"/>
  <c r="ET4" i="14"/>
  <c r="EU4" i="14"/>
  <c r="FQ4" i="14"/>
  <c r="FR4" i="14"/>
  <c r="FS4" i="14"/>
  <c r="FT4" i="14"/>
  <c r="FU4" i="14"/>
  <c r="GQ4" i="14"/>
  <c r="GR4" i="14"/>
  <c r="GS4" i="14"/>
  <c r="GT4" i="14"/>
  <c r="GU4" i="14"/>
  <c r="HQ4" i="14"/>
  <c r="HR4" i="14"/>
  <c r="HS4" i="14"/>
  <c r="HT4" i="14"/>
  <c r="HU4" i="14"/>
  <c r="IQ4" i="14"/>
  <c r="IR4" i="14"/>
  <c r="IS4" i="14"/>
  <c r="IT4" i="14"/>
  <c r="IU4" i="14"/>
  <c r="JQ4" i="14"/>
  <c r="JR4" i="14"/>
  <c r="JS4" i="14"/>
  <c r="JT4" i="14"/>
  <c r="JU4" i="14"/>
  <c r="KQ4" i="14"/>
  <c r="KR4" i="14"/>
  <c r="KS4" i="14"/>
  <c r="KT4" i="14"/>
  <c r="KU4" i="14"/>
  <c r="LQ4" i="14"/>
  <c r="LR4" i="14"/>
  <c r="LS4" i="14"/>
  <c r="LT4" i="14"/>
  <c r="LU4" i="14"/>
  <c r="MQ4" i="14"/>
  <c r="MR4" i="14"/>
  <c r="MS4" i="14"/>
  <c r="MT4" i="14"/>
  <c r="MU4" i="14"/>
  <c r="NQ4" i="14"/>
  <c r="NR4" i="14"/>
  <c r="NS4" i="14"/>
  <c r="NT4" i="14"/>
  <c r="NU4" i="14"/>
  <c r="OQ4" i="14"/>
  <c r="OR4" i="14"/>
  <c r="OS4" i="14"/>
  <c r="OT4" i="14"/>
  <c r="OU4" i="14"/>
  <c r="OW4" i="14"/>
  <c r="OX4" i="14"/>
  <c r="OY4" i="14"/>
  <c r="OZ4" i="14"/>
  <c r="PA4" i="14"/>
  <c r="PB4" i="14"/>
  <c r="PC4" i="14"/>
  <c r="PD4" i="14"/>
  <c r="PE4" i="14"/>
  <c r="PF4" i="14"/>
  <c r="PG4" i="14"/>
  <c r="PH4" i="14"/>
  <c r="PI4" i="14"/>
  <c r="PJ4" i="14"/>
  <c r="PK4" i="14"/>
  <c r="PL4" i="14"/>
  <c r="PM4" i="14"/>
  <c r="PN4" i="14"/>
  <c r="PO4" i="14"/>
  <c r="PP4" i="14"/>
  <c r="CO4" i="16"/>
  <c r="CP4" i="16"/>
  <c r="CQ4" i="16"/>
  <c r="CR4" i="16"/>
  <c r="CS4" i="16"/>
  <c r="OQ4" i="16"/>
  <c r="OR4" i="16"/>
  <c r="OS4" i="16"/>
  <c r="OT4" i="16"/>
  <c r="OU4" i="16"/>
  <c r="OW4" i="16"/>
  <c r="OX4" i="16"/>
  <c r="OY4" i="16"/>
  <c r="OZ4" i="16"/>
  <c r="PA4" i="16"/>
  <c r="PB4" i="16"/>
  <c r="PC4" i="16"/>
  <c r="PD4" i="16"/>
  <c r="PE4" i="16"/>
  <c r="PF4" i="16"/>
  <c r="PG4" i="16"/>
  <c r="PH4" i="16"/>
  <c r="PI4" i="16"/>
  <c r="PJ4" i="16"/>
  <c r="PK4" i="16"/>
  <c r="PL4" i="16"/>
  <c r="PM4" i="16"/>
  <c r="PN4" i="16"/>
  <c r="PO4" i="16"/>
  <c r="PP4" i="16"/>
  <c r="FT5" i="13" l="1"/>
  <c r="HO5" i="13"/>
  <c r="KY5" i="13"/>
  <c r="EE4" i="13"/>
  <c r="FA6" i="13"/>
  <c r="EB9" i="13"/>
  <c r="EE9" i="13" s="1"/>
  <c r="EB6" i="13"/>
  <c r="EE6" i="13" s="1"/>
  <c r="EX8" i="13"/>
  <c r="FA8" i="13" s="1"/>
  <c r="GP4" i="13"/>
  <c r="GP7" i="13"/>
  <c r="GS7" i="13" s="1"/>
  <c r="HL6" i="13"/>
  <c r="HO6" i="13" s="1"/>
  <c r="IH8" i="13"/>
  <c r="IK8" i="13" s="1"/>
  <c r="FT7" i="13"/>
  <c r="FW7" i="13" s="1"/>
  <c r="IH5" i="13"/>
  <c r="IK5" i="13" s="1"/>
  <c r="LR5" i="13"/>
  <c r="LU5" i="13" s="1"/>
  <c r="LR7" i="13"/>
  <c r="LU7" i="13" s="1"/>
  <c r="MN6" i="13"/>
  <c r="MQ6" i="13" s="1"/>
  <c r="EX9" i="13"/>
  <c r="FA9" i="13" s="1"/>
  <c r="GP5" i="13"/>
  <c r="GS5" i="13" s="1"/>
  <c r="IH9" i="13"/>
  <c r="IK9" i="13" s="1"/>
  <c r="JZ5" i="13"/>
  <c r="KC5" i="13" s="1"/>
  <c r="JZ4" i="4"/>
  <c r="KC4" i="4" s="1"/>
  <c r="DV4" i="17"/>
  <c r="HV4" i="17"/>
  <c r="LV4" i="17"/>
  <c r="NV4" i="17"/>
  <c r="FV4" i="17"/>
  <c r="EV5" i="17"/>
  <c r="GV5" i="17"/>
  <c r="IV5" i="17"/>
  <c r="KV5" i="17"/>
  <c r="MV5" i="17"/>
  <c r="JV4" i="17"/>
  <c r="MV5" i="16"/>
  <c r="EV4" i="16"/>
  <c r="GV4" i="16"/>
  <c r="IV4" i="16"/>
  <c r="DV5" i="16"/>
  <c r="FV5" i="16"/>
  <c r="HV5" i="16"/>
  <c r="KV4" i="16"/>
  <c r="MV4" i="16"/>
  <c r="DV4" i="16"/>
  <c r="JV5" i="16"/>
  <c r="LV5" i="16"/>
  <c r="NV5" i="16"/>
  <c r="FV4" i="16"/>
  <c r="HV4" i="16"/>
  <c r="EB7" i="13"/>
  <c r="EE7" i="13" s="1"/>
  <c r="FT4" i="13"/>
  <c r="FW4" i="13" s="1"/>
  <c r="FT9" i="13"/>
  <c r="FW9" i="13" s="1"/>
  <c r="IH7" i="13"/>
  <c r="IK7" i="13" s="1"/>
  <c r="JD4" i="13"/>
  <c r="JG4" i="13" s="1"/>
  <c r="HL7" i="13"/>
  <c r="HO7" i="13" s="1"/>
  <c r="FT8" i="13"/>
  <c r="FW8" i="13" s="1"/>
  <c r="HL4" i="13"/>
  <c r="HO4" i="13" s="1"/>
  <c r="HL9" i="13"/>
  <c r="HO9" i="13" s="1"/>
  <c r="JD8" i="13"/>
  <c r="JG8" i="13" s="1"/>
  <c r="KC7" i="13"/>
  <c r="KV4" i="13"/>
  <c r="KY4" i="13" s="1"/>
  <c r="KY9" i="13"/>
  <c r="LR6" i="13"/>
  <c r="LU6" i="13" s="1"/>
  <c r="FW5" i="13"/>
  <c r="GS4" i="13"/>
  <c r="JD5" i="13"/>
  <c r="JG5" i="13" s="1"/>
  <c r="KV6" i="13"/>
  <c r="MN5" i="13"/>
  <c r="MQ5" i="13" s="1"/>
  <c r="EB5" i="13"/>
  <c r="EE5" i="13" s="1"/>
  <c r="GP9" i="13"/>
  <c r="GS9" i="13" s="1"/>
  <c r="JZ9" i="13"/>
  <c r="KC9" i="13" s="1"/>
  <c r="LR8" i="13"/>
  <c r="LU8" i="13" s="1"/>
  <c r="MN4" i="13"/>
  <c r="MQ4" i="13" s="1"/>
  <c r="MN7" i="13"/>
  <c r="MQ7" i="13" s="1"/>
  <c r="EX4" i="13"/>
  <c r="FA4" i="13" s="1"/>
  <c r="EX7" i="13"/>
  <c r="FA7" i="13" s="1"/>
  <c r="JD7" i="13"/>
  <c r="JG7" i="13" s="1"/>
  <c r="KV7" i="13"/>
  <c r="KY7" i="13" s="1"/>
  <c r="LR4" i="13"/>
  <c r="LU4" i="13" s="1"/>
  <c r="MN9" i="13"/>
  <c r="MQ9" i="13" s="1"/>
  <c r="JZ4" i="13"/>
  <c r="KC4" i="13" s="1"/>
  <c r="LR9" i="13"/>
  <c r="LU9" i="13" s="1"/>
  <c r="FW6" i="13"/>
  <c r="GS6" i="13"/>
  <c r="JG6" i="13"/>
  <c r="KY6" i="13"/>
  <c r="MQ8" i="13"/>
  <c r="KC6" i="13"/>
  <c r="EB8" i="13"/>
  <c r="EE8" i="13" s="1"/>
  <c r="HL8" i="13"/>
  <c r="HO8" i="13" s="1"/>
  <c r="IH6" i="13"/>
  <c r="IK6" i="13" s="1"/>
  <c r="JD9" i="13"/>
  <c r="JG9" i="13" s="1"/>
  <c r="KV8" i="13"/>
  <c r="KY8" i="13" s="1"/>
  <c r="FW5" i="4"/>
  <c r="JG5" i="4"/>
  <c r="MQ5" i="4"/>
  <c r="GP5" i="4"/>
  <c r="GS5" i="4" s="1"/>
  <c r="JZ5" i="4"/>
  <c r="KC5" i="4" s="1"/>
  <c r="EB5" i="4"/>
  <c r="EE5" i="4" s="1"/>
  <c r="IH4" i="4"/>
  <c r="IK4" i="4" s="1"/>
  <c r="HO4" i="4"/>
  <c r="EB4" i="4"/>
  <c r="EE4" i="4" s="1"/>
  <c r="FW4" i="4"/>
  <c r="JG4" i="4"/>
  <c r="MQ4" i="4"/>
  <c r="GP4" i="4"/>
  <c r="GS4" i="4" s="1"/>
  <c r="HL5" i="4"/>
  <c r="HO5" i="4" s="1"/>
  <c r="KV5" i="4"/>
  <c r="KY5" i="4" s="1"/>
  <c r="BS4" i="17"/>
  <c r="HV4" i="14"/>
  <c r="JV4" i="14"/>
  <c r="AR5" i="17"/>
  <c r="BS4" i="16"/>
  <c r="OV5" i="16"/>
  <c r="BS5" i="17"/>
  <c r="AR4" i="17"/>
  <c r="BS5" i="16"/>
  <c r="OV4" i="16"/>
  <c r="AR4" i="16"/>
  <c r="CT5" i="16"/>
  <c r="CT4" i="16"/>
  <c r="AR5" i="16"/>
  <c r="AR4" i="15"/>
  <c r="BS4" i="15"/>
  <c r="BS5" i="14"/>
  <c r="CT4" i="14"/>
  <c r="NV4" i="14"/>
  <c r="FV4" i="14"/>
  <c r="AR4" i="14"/>
  <c r="IV4" i="14"/>
  <c r="BS4" i="14"/>
  <c r="KV4" i="14"/>
  <c r="LV4" i="14"/>
  <c r="DV4" i="14"/>
  <c r="OV4" i="14"/>
  <c r="GV4" i="14"/>
  <c r="AR5" i="14"/>
  <c r="MV4" i="14"/>
  <c r="EV4" i="14"/>
  <c r="AT7" i="13"/>
  <c r="AW7" i="13" s="1"/>
  <c r="BX9" i="13"/>
  <c r="CA9" i="13" s="1"/>
  <c r="AT8" i="13"/>
  <c r="AW8" i="13" s="1"/>
  <c r="AT6" i="13"/>
  <c r="AW6" i="13" s="1"/>
  <c r="BX6" i="13"/>
  <c r="CA6" i="13" s="1"/>
  <c r="AT4" i="13"/>
  <c r="AW4" i="13" s="1"/>
  <c r="BX7" i="13"/>
  <c r="CA7" i="13" s="1"/>
  <c r="O9" i="13"/>
  <c r="P9" i="13" s="1"/>
  <c r="BX4" i="13"/>
  <c r="CA4" i="13" s="1"/>
  <c r="AT9" i="13"/>
  <c r="AW9" i="13" s="1"/>
  <c r="AT5" i="13"/>
  <c r="AW5" i="13" s="1"/>
  <c r="BX8" i="13"/>
  <c r="CA8" i="13" s="1"/>
  <c r="BX5" i="13"/>
  <c r="CA5" i="13" s="1"/>
  <c r="AT5" i="4"/>
  <c r="AW5" i="4" s="1"/>
  <c r="AT4" i="4"/>
  <c r="AW4" i="4" s="1"/>
  <c r="BX5" i="4"/>
  <c r="CA5" i="4" s="1"/>
  <c r="BX4" i="4"/>
  <c r="CA4" i="4" s="1"/>
  <c r="NJ9" i="13"/>
  <c r="NM9" i="13" s="1"/>
  <c r="DB9" i="13"/>
  <c r="DE9" i="13" s="1"/>
  <c r="OP9" i="13"/>
  <c r="OM9" i="13"/>
  <c r="OK9" i="13"/>
  <c r="OI9" i="13"/>
  <c r="DB5" i="13"/>
  <c r="DE5" i="13" s="1"/>
  <c r="O5" i="13"/>
  <c r="P5" i="13" s="1"/>
  <c r="PS5" i="16"/>
  <c r="M5" i="16"/>
  <c r="CV5" i="16" s="1"/>
  <c r="PT5" i="16"/>
  <c r="G5" i="16"/>
  <c r="PU5" i="16"/>
  <c r="PR5" i="16"/>
  <c r="F5" i="16"/>
  <c r="K5" i="16"/>
  <c r="I5" i="16"/>
  <c r="PV5" i="16"/>
  <c r="OP8" i="13"/>
  <c r="DB8" i="13"/>
  <c r="DE8" i="13" s="1"/>
  <c r="NJ5" i="13"/>
  <c r="NM5" i="13" s="1"/>
  <c r="OM5" i="13"/>
  <c r="OK5" i="13"/>
  <c r="OI5" i="13"/>
  <c r="DB4" i="13"/>
  <c r="DE4" i="13" s="1"/>
  <c r="NJ8" i="13"/>
  <c r="NM8" i="13" s="1"/>
  <c r="OP7" i="13"/>
  <c r="OM8" i="13"/>
  <c r="OK8" i="13"/>
  <c r="OI8" i="13"/>
  <c r="O8" i="13"/>
  <c r="P8" i="13" s="1"/>
  <c r="DB7" i="13"/>
  <c r="DE7" i="13" s="1"/>
  <c r="OK4" i="13"/>
  <c r="NJ7" i="13"/>
  <c r="NM7" i="13" s="1"/>
  <c r="O4" i="13"/>
  <c r="DI4" i="13" s="1"/>
  <c r="NJ4" i="13"/>
  <c r="NM4" i="13" s="1"/>
  <c r="OM4" i="13"/>
  <c r="OI4" i="13"/>
  <c r="OM7" i="13"/>
  <c r="OK7" i="13"/>
  <c r="OI7" i="13"/>
  <c r="O7" i="13"/>
  <c r="P7" i="13" s="1"/>
  <c r="OI5" i="4"/>
  <c r="O4" i="4"/>
  <c r="P4" i="4" s="1"/>
  <c r="OP4" i="4"/>
  <c r="NJ5" i="4"/>
  <c r="NM5" i="4" s="1"/>
  <c r="DB5" i="4"/>
  <c r="DE5" i="4" s="1"/>
  <c r="OP5" i="4"/>
  <c r="OM5" i="4"/>
  <c r="OK5" i="4"/>
  <c r="O5" i="4"/>
  <c r="P5" i="4" s="1"/>
  <c r="DB4" i="4"/>
  <c r="NJ4" i="4"/>
  <c r="NM4" i="4" s="1"/>
  <c r="OK4" i="4"/>
  <c r="OI4" i="4"/>
  <c r="OM4" i="4"/>
  <c r="M4" i="14"/>
  <c r="N4" i="14" s="1"/>
  <c r="PS4" i="14"/>
  <c r="PV4" i="14"/>
  <c r="PT4" i="14"/>
  <c r="PU4" i="14"/>
  <c r="PR4" i="14"/>
  <c r="G4" i="14"/>
  <c r="F4" i="14"/>
  <c r="I4" i="14"/>
  <c r="K4" i="14"/>
  <c r="PU4" i="16"/>
  <c r="PR4" i="16"/>
  <c r="M4" i="16"/>
  <c r="N4" i="16" s="1"/>
  <c r="PT4" i="16"/>
  <c r="PS4" i="16"/>
  <c r="I4" i="16"/>
  <c r="J4" i="16" s="1"/>
  <c r="PV4" i="16"/>
  <c r="F4" i="16"/>
  <c r="G4" i="16"/>
  <c r="K4" i="16"/>
  <c r="PW4" i="16" l="1"/>
  <c r="PW5" i="16"/>
  <c r="PW4" i="14"/>
  <c r="DI9" i="13"/>
  <c r="I4" i="4"/>
  <c r="J4" i="4" s="1"/>
  <c r="G9" i="13"/>
  <c r="H9" i="13" s="1"/>
  <c r="A9" i="13" s="1" a="1"/>
  <c r="A9" i="13" s="1"/>
  <c r="I9" i="13"/>
  <c r="DH9" i="13" s="1"/>
  <c r="F9" i="13"/>
  <c r="ON9" i="13"/>
  <c r="I5" i="13"/>
  <c r="J5" i="13" s="1"/>
  <c r="I8" i="13"/>
  <c r="K8" i="13" s="1"/>
  <c r="DI5" i="13"/>
  <c r="G5" i="13"/>
  <c r="H5" i="13" s="1"/>
  <c r="A5" i="13" s="1" a="1"/>
  <c r="A5" i="13" s="1"/>
  <c r="F5" i="13"/>
  <c r="G8" i="13"/>
  <c r="H8" i="13" s="1"/>
  <c r="A8" i="13" s="1" a="1"/>
  <c r="A8" i="13" s="1"/>
  <c r="ON8" i="13"/>
  <c r="DI5" i="4"/>
  <c r="H5" i="16"/>
  <c r="N5" i="16"/>
  <c r="J5" i="16"/>
  <c r="L5" i="16"/>
  <c r="CU5" i="16"/>
  <c r="O5" i="16" s="1"/>
  <c r="ON5" i="13"/>
  <c r="DI8" i="13"/>
  <c r="ON7" i="13"/>
  <c r="I4" i="13"/>
  <c r="DH4" i="13" s="1"/>
  <c r="F4" i="13"/>
  <c r="I7" i="13"/>
  <c r="M7" i="13" s="1"/>
  <c r="F8" i="13"/>
  <c r="G7" i="13"/>
  <c r="H7" i="13" s="1"/>
  <c r="A7" i="13" s="1" a="1"/>
  <c r="A7" i="13" s="1"/>
  <c r="G4" i="13"/>
  <c r="H4" i="13" s="1"/>
  <c r="A4" i="13" s="1" a="1"/>
  <c r="A4" i="13" s="1"/>
  <c r="P4" i="13"/>
  <c r="ON4" i="13"/>
  <c r="F7" i="13"/>
  <c r="DI7" i="13"/>
  <c r="F5" i="4"/>
  <c r="ON5" i="4"/>
  <c r="OQ5" i="4" s="1"/>
  <c r="I5" i="4"/>
  <c r="K5" i="4" s="1"/>
  <c r="ON4" i="4"/>
  <c r="OQ4" i="4" s="1"/>
  <c r="DI4" i="4"/>
  <c r="G5" i="4"/>
  <c r="H5" i="4" s="1"/>
  <c r="A5" i="4" s="1" a="1"/>
  <c r="A5" i="4" s="1"/>
  <c r="F4" i="4"/>
  <c r="DE4" i="4"/>
  <c r="G4" i="4"/>
  <c r="H4" i="4" s="1"/>
  <c r="CV4" i="14"/>
  <c r="H4" i="14"/>
  <c r="J4" i="14"/>
  <c r="L4" i="14"/>
  <c r="CU4" i="14"/>
  <c r="CV4" i="16"/>
  <c r="H4" i="16"/>
  <c r="L4" i="16"/>
  <c r="CU4" i="16"/>
  <c r="K5" i="13" l="1"/>
  <c r="L5" i="13" s="1"/>
  <c r="K4" i="4"/>
  <c r="DF4" i="4" s="1"/>
  <c r="M5" i="13"/>
  <c r="DG5" i="13" s="1"/>
  <c r="DH5" i="13"/>
  <c r="DH4" i="4"/>
  <c r="M4" i="4"/>
  <c r="N4" i="4" s="1"/>
  <c r="OQ7" i="13"/>
  <c r="OQ9" i="13"/>
  <c r="J8" i="13"/>
  <c r="L8" i="13" s="1"/>
  <c r="OQ8" i="13"/>
  <c r="DH8" i="13"/>
  <c r="M8" i="13"/>
  <c r="M9" i="13"/>
  <c r="DG9" i="13" s="1"/>
  <c r="J9" i="13"/>
  <c r="K9" i="13"/>
  <c r="DF9" i="13" s="1"/>
  <c r="DH5" i="4"/>
  <c r="J5" i="4"/>
  <c r="L5" i="4" s="1"/>
  <c r="K7" i="13"/>
  <c r="DF7" i="13" s="1"/>
  <c r="M5" i="4"/>
  <c r="E5" i="16"/>
  <c r="P5" i="16"/>
  <c r="Q5" i="16"/>
  <c r="K4" i="13"/>
  <c r="DF4" i="13" s="1"/>
  <c r="M4" i="13"/>
  <c r="DG4" i="13" s="1"/>
  <c r="J4" i="13"/>
  <c r="DH7" i="13"/>
  <c r="J7" i="13"/>
  <c r="N7" i="13" s="1"/>
  <c r="DF8" i="13"/>
  <c r="DG7" i="13"/>
  <c r="O4" i="14"/>
  <c r="E4" i="14" s="1"/>
  <c r="DF5" i="4"/>
  <c r="L4" i="4"/>
  <c r="O4" i="16"/>
  <c r="E4" i="16" s="1"/>
  <c r="N5" i="13" l="1"/>
  <c r="N8" i="13"/>
  <c r="DF5" i="13"/>
  <c r="Q5" i="13" s="1"/>
  <c r="S5" i="13" s="1"/>
  <c r="DG4" i="4"/>
  <c r="Q4" i="4" s="1"/>
  <c r="E4" i="4" s="1"/>
  <c r="N9" i="13"/>
  <c r="DG8" i="13"/>
  <c r="Q8" i="13" s="1"/>
  <c r="L9" i="13"/>
  <c r="Q9" i="13"/>
  <c r="S9" i="13" s="1"/>
  <c r="L4" i="13"/>
  <c r="N5" i="4"/>
  <c r="DG5" i="4"/>
  <c r="Q5" i="4" s="1"/>
  <c r="R5" i="4" s="1"/>
  <c r="L7" i="13"/>
  <c r="Q4" i="14"/>
  <c r="P4" i="14"/>
  <c r="N4" i="13"/>
  <c r="Q4" i="13"/>
  <c r="S4" i="13" s="1"/>
  <c r="Q7" i="13"/>
  <c r="Q4" i="16"/>
  <c r="P4" i="16"/>
  <c r="E8" i="13" l="1"/>
  <c r="E9" i="13"/>
  <c r="R9" i="13"/>
  <c r="E7" i="13"/>
  <c r="E5" i="13"/>
  <c r="R5" i="13"/>
  <c r="R8" i="13"/>
  <c r="S8" i="13"/>
  <c r="R4" i="13"/>
  <c r="E4" i="13"/>
  <c r="S7" i="13"/>
  <c r="R7" i="13"/>
  <c r="E5" i="4"/>
  <c r="S5" i="4"/>
  <c r="S4" i="4"/>
  <c r="R4" i="4"/>
  <c r="CW6" i="13"/>
  <c r="CX6" i="13"/>
  <c r="CY6" i="13"/>
  <c r="CZ6" i="13"/>
  <c r="DA6" i="13"/>
  <c r="DC6" i="13"/>
  <c r="DD6" i="13"/>
  <c r="NG6" i="13"/>
  <c r="NH6" i="13"/>
  <c r="NI6" i="13"/>
  <c r="NK6" i="13"/>
  <c r="NL6" i="13"/>
  <c r="NN6" i="13"/>
  <c r="NO6" i="13"/>
  <c r="NP6" i="13"/>
  <c r="NQ6" i="13"/>
  <c r="NR6" i="13"/>
  <c r="NS6" i="13"/>
  <c r="NT6" i="13"/>
  <c r="NU6" i="13"/>
  <c r="OJ6" i="13" s="1"/>
  <c r="NV6" i="13"/>
  <c r="NW6" i="13"/>
  <c r="NX6" i="13"/>
  <c r="NY6" i="13"/>
  <c r="NZ6" i="13"/>
  <c r="OL6" i="13" s="1"/>
  <c r="OA6" i="13"/>
  <c r="OB6" i="13"/>
  <c r="OC6" i="13"/>
  <c r="OD6" i="13"/>
  <c r="OE6" i="13"/>
  <c r="OO6" i="13" s="1"/>
  <c r="OF6" i="13"/>
  <c r="OG6" i="13"/>
  <c r="OP6" i="13" s="1"/>
  <c r="OP5" i="13" l="1"/>
  <c r="OM6" i="13"/>
  <c r="NJ6" i="13"/>
  <c r="NM6" i="13" s="1"/>
  <c r="O6" i="13"/>
  <c r="DI6" i="13" s="1"/>
  <c r="DB6" i="13"/>
  <c r="DE6" i="13" s="1"/>
  <c r="OK6" i="13"/>
  <c r="OI6" i="13"/>
  <c r="CT13" i="17"/>
  <c r="CT9" i="17"/>
  <c r="PP5" i="17"/>
  <c r="PO5" i="17"/>
  <c r="PN5" i="17"/>
  <c r="PM5" i="17"/>
  <c r="PL5" i="17"/>
  <c r="PK5" i="17"/>
  <c r="PJ5" i="17"/>
  <c r="PI5" i="17"/>
  <c r="PH5" i="17"/>
  <c r="PG5" i="17"/>
  <c r="PF5" i="17"/>
  <c r="PE5" i="17"/>
  <c r="PD5" i="17"/>
  <c r="PC5" i="17"/>
  <c r="PB5" i="17"/>
  <c r="PA5" i="17"/>
  <c r="OZ5" i="17"/>
  <c r="OY5" i="17"/>
  <c r="OX5" i="17"/>
  <c r="OW5" i="17"/>
  <c r="OU5" i="17"/>
  <c r="OT5" i="17"/>
  <c r="OS5" i="17"/>
  <c r="OR5" i="17"/>
  <c r="OQ5" i="17"/>
  <c r="CS5" i="17"/>
  <c r="CR5" i="17"/>
  <c r="CQ5" i="17"/>
  <c r="CP5" i="17"/>
  <c r="CO5" i="17"/>
  <c r="PP4" i="17"/>
  <c r="PO4" i="17"/>
  <c r="PN4" i="17"/>
  <c r="PM4" i="17"/>
  <c r="PL4" i="17"/>
  <c r="PK4" i="17"/>
  <c r="PJ4" i="17"/>
  <c r="PI4" i="17"/>
  <c r="PH4" i="17"/>
  <c r="PG4" i="17"/>
  <c r="PF4" i="17"/>
  <c r="PE4" i="17"/>
  <c r="PD4" i="17"/>
  <c r="PC4" i="17"/>
  <c r="PB4" i="17"/>
  <c r="PA4" i="17"/>
  <c r="OZ4" i="17"/>
  <c r="OY4" i="17"/>
  <c r="OX4" i="17"/>
  <c r="OW4" i="17"/>
  <c r="OU4" i="17"/>
  <c r="OT4" i="17"/>
  <c r="OS4" i="17"/>
  <c r="OR4" i="17"/>
  <c r="OQ4" i="17"/>
  <c r="CS4" i="17"/>
  <c r="CR4" i="17"/>
  <c r="CQ4" i="17"/>
  <c r="CP4" i="17"/>
  <c r="CT4" i="17" s="1"/>
  <c r="CO4" i="17"/>
  <c r="CT13" i="16"/>
  <c r="CT9" i="16"/>
  <c r="PP4" i="15"/>
  <c r="PO4" i="15"/>
  <c r="PN4" i="15"/>
  <c r="PM4" i="15"/>
  <c r="PL4" i="15"/>
  <c r="PK4" i="15"/>
  <c r="PJ4" i="15"/>
  <c r="PI4" i="15"/>
  <c r="PH4" i="15"/>
  <c r="PG4" i="15"/>
  <c r="PF4" i="15"/>
  <c r="PE4" i="15"/>
  <c r="PD4" i="15"/>
  <c r="PC4" i="15"/>
  <c r="PB4" i="15"/>
  <c r="PA4" i="15"/>
  <c r="OZ4" i="15"/>
  <c r="OY4" i="15"/>
  <c r="OX4" i="15"/>
  <c r="OW4" i="15"/>
  <c r="OU4" i="15"/>
  <c r="OT4" i="15"/>
  <c r="OS4" i="15"/>
  <c r="OR4" i="15"/>
  <c r="OQ4" i="15"/>
  <c r="CS4" i="15"/>
  <c r="CR4" i="15"/>
  <c r="CQ4" i="15"/>
  <c r="CP4" i="15"/>
  <c r="CO4" i="15"/>
  <c r="CT13" i="14"/>
  <c r="CT9" i="14"/>
  <c r="PP5" i="14"/>
  <c r="PO5" i="14"/>
  <c r="PN5" i="14"/>
  <c r="PM5" i="14"/>
  <c r="PL5" i="14"/>
  <c r="PK5" i="14"/>
  <c r="PJ5" i="14"/>
  <c r="PI5" i="14"/>
  <c r="PH5" i="14"/>
  <c r="PG5" i="14"/>
  <c r="PF5" i="14"/>
  <c r="PE5" i="14"/>
  <c r="PD5" i="14"/>
  <c r="PC5" i="14"/>
  <c r="PB5" i="14"/>
  <c r="PA5" i="14"/>
  <c r="OZ5" i="14"/>
  <c r="OY5" i="14"/>
  <c r="OX5" i="14"/>
  <c r="OW5" i="14"/>
  <c r="OU5" i="14"/>
  <c r="OT5" i="14"/>
  <c r="OS5" i="14"/>
  <c r="OR5" i="14"/>
  <c r="OQ5" i="14"/>
  <c r="NU5" i="14"/>
  <c r="NT5" i="14"/>
  <c r="NS5" i="14"/>
  <c r="NR5" i="14"/>
  <c r="NQ5" i="14"/>
  <c r="MU5" i="14"/>
  <c r="MT5" i="14"/>
  <c r="MS5" i="14"/>
  <c r="MR5" i="14"/>
  <c r="MQ5" i="14"/>
  <c r="LU5" i="14"/>
  <c r="LT5" i="14"/>
  <c r="LS5" i="14"/>
  <c r="LR5" i="14"/>
  <c r="LQ5" i="14"/>
  <c r="KU5" i="14"/>
  <c r="KT5" i="14"/>
  <c r="KS5" i="14"/>
  <c r="KR5" i="14"/>
  <c r="KQ5" i="14"/>
  <c r="JU5" i="14"/>
  <c r="JT5" i="14"/>
  <c r="JS5" i="14"/>
  <c r="JR5" i="14"/>
  <c r="JV5" i="14" s="1"/>
  <c r="JQ5" i="14"/>
  <c r="IU5" i="14"/>
  <c r="IT5" i="14"/>
  <c r="IS5" i="14"/>
  <c r="IR5" i="14"/>
  <c r="IQ5" i="14"/>
  <c r="HU5" i="14"/>
  <c r="HT5" i="14"/>
  <c r="HS5" i="14"/>
  <c r="HR5" i="14"/>
  <c r="HQ5" i="14"/>
  <c r="GU5" i="14"/>
  <c r="GT5" i="14"/>
  <c r="GS5" i="14"/>
  <c r="GR5" i="14"/>
  <c r="GQ5" i="14"/>
  <c r="FU5" i="14"/>
  <c r="FT5" i="14"/>
  <c r="FS5" i="14"/>
  <c r="FR5" i="14"/>
  <c r="FQ5" i="14"/>
  <c r="EU5" i="14"/>
  <c r="ET5" i="14"/>
  <c r="ES5" i="14"/>
  <c r="ER5" i="14"/>
  <c r="EQ5" i="14"/>
  <c r="DU5" i="14"/>
  <c r="DT5" i="14"/>
  <c r="DS5" i="14"/>
  <c r="DR5" i="14"/>
  <c r="DQ5" i="14"/>
  <c r="CS5" i="14"/>
  <c r="CR5" i="14"/>
  <c r="CQ5" i="14"/>
  <c r="CP5" i="14"/>
  <c r="CO5" i="14"/>
  <c r="CT5" i="17" l="1"/>
  <c r="EV5" i="14"/>
  <c r="MV5" i="14"/>
  <c r="OV5" i="14"/>
  <c r="GV5" i="14"/>
  <c r="OV4" i="17"/>
  <c r="OV5" i="17"/>
  <c r="OV4" i="15"/>
  <c r="CT4" i="15"/>
  <c r="HV5" i="14"/>
  <c r="LV5" i="14"/>
  <c r="DV5" i="14"/>
  <c r="IV5" i="14"/>
  <c r="FV5" i="14"/>
  <c r="NV5" i="14"/>
  <c r="CT5" i="14"/>
  <c r="KV5" i="14"/>
  <c r="A4" i="4" a="1"/>
  <c r="A4" i="4" s="1"/>
  <c r="P6" i="13"/>
  <c r="I6" i="13"/>
  <c r="ON6" i="13"/>
  <c r="F6" i="13"/>
  <c r="G6" i="13"/>
  <c r="H6" i="13" s="1"/>
  <c r="A6" i="13" s="1" a="1"/>
  <c r="A6" i="13" s="1"/>
  <c r="PU5" i="17"/>
  <c r="M4" i="17"/>
  <c r="CV4" i="17" s="1"/>
  <c r="PT5" i="17"/>
  <c r="G4" i="17"/>
  <c r="PT4" i="17"/>
  <c r="PR5" i="17"/>
  <c r="PR4" i="17"/>
  <c r="PS5" i="17"/>
  <c r="K5" i="17"/>
  <c r="CU5" i="17" s="1"/>
  <c r="PV4" i="17"/>
  <c r="I5" i="17"/>
  <c r="J5" i="17" s="1"/>
  <c r="PV5" i="17"/>
  <c r="PU4" i="17"/>
  <c r="PS4" i="17"/>
  <c r="I4" i="17"/>
  <c r="F5" i="17"/>
  <c r="K4" i="17"/>
  <c r="CU4" i="17" s="1"/>
  <c r="G5" i="17"/>
  <c r="M5" i="17"/>
  <c r="CV5" i="17" s="1"/>
  <c r="F4" i="17"/>
  <c r="PR4" i="15"/>
  <c r="F4" i="15"/>
  <c r="G4" i="15"/>
  <c r="PS4" i="15"/>
  <c r="PT4" i="15"/>
  <c r="PV4" i="15"/>
  <c r="M4" i="15"/>
  <c r="CV4" i="15" s="1"/>
  <c r="PU4" i="15"/>
  <c r="I4" i="15"/>
  <c r="K4" i="15"/>
  <c r="CU4" i="15" s="1"/>
  <c r="M5" i="14"/>
  <c r="CV5" i="14" s="1"/>
  <c r="PT5" i="14"/>
  <c r="PR5" i="14"/>
  <c r="PS5" i="14"/>
  <c r="K5" i="14"/>
  <c r="CU5" i="14" s="1"/>
  <c r="G5" i="14"/>
  <c r="PV5" i="14"/>
  <c r="PU5" i="14"/>
  <c r="F5" i="14"/>
  <c r="I5" i="14"/>
  <c r="OQ5" i="13" l="1"/>
  <c r="OQ6" i="13"/>
  <c r="PW5" i="17"/>
  <c r="PW4" i="17"/>
  <c r="PW4" i="15"/>
  <c r="PW5" i="14"/>
  <c r="K6" i="13"/>
  <c r="DF6" i="13" s="1"/>
  <c r="DH6" i="13"/>
  <c r="J6" i="13"/>
  <c r="M6" i="13"/>
  <c r="DG6" i="13" s="1"/>
  <c r="N5" i="14"/>
  <c r="L5" i="14"/>
  <c r="H5" i="14"/>
  <c r="N4" i="17"/>
  <c r="H4" i="15"/>
  <c r="H5" i="17"/>
  <c r="H4" i="17"/>
  <c r="L5" i="17"/>
  <c r="J4" i="17"/>
  <c r="N5" i="17"/>
  <c r="O5" i="17"/>
  <c r="L4" i="17"/>
  <c r="N4" i="15"/>
  <c r="J4" i="15"/>
  <c r="O4" i="15"/>
  <c r="L4" i="15"/>
  <c r="J5" i="14"/>
  <c r="A4" i="15" l="1" a="1"/>
  <c r="A4" i="15" s="1"/>
  <c r="L6" i="13"/>
  <c r="N6" i="13"/>
  <c r="Q6" i="13"/>
  <c r="O4" i="17"/>
  <c r="E4" i="17" s="1"/>
  <c r="O5" i="14"/>
  <c r="E5" i="14" s="1"/>
  <c r="A5" i="14" s="1" a="1"/>
  <c r="A5" i="14" s="1"/>
  <c r="Q5" i="17"/>
  <c r="P5" i="17"/>
  <c r="E5" i="17"/>
  <c r="E4" i="15"/>
  <c r="P4" i="15"/>
  <c r="Q4" i="15"/>
  <c r="A5" i="17" l="1" a="1"/>
  <c r="A5" i="17" s="1"/>
  <c r="A4" i="17" a="1"/>
  <c r="A4" i="17" s="1"/>
  <c r="A5" i="16" a="1"/>
  <c r="A5" i="16" s="1"/>
  <c r="A4" i="16" a="1"/>
  <c r="A4" i="16" s="1"/>
  <c r="A4" i="14" a="1"/>
  <c r="A4" i="14" s="1"/>
  <c r="E6" i="13"/>
  <c r="R6" i="13"/>
  <c r="S6" i="13"/>
  <c r="Q4" i="17"/>
  <c r="P4" i="17"/>
  <c r="Q5" i="14"/>
  <c r="P5" i="14"/>
  <c r="D12" i="11" l="1"/>
  <c r="C11" i="11"/>
  <c r="D13" i="11"/>
  <c r="D11" i="11"/>
  <c r="C12" i="11"/>
  <c r="C10" i="11"/>
  <c r="D10" i="11"/>
  <c r="C13" i="11"/>
  <c r="C14" i="11"/>
  <c r="C19" i="11"/>
  <c r="D20" i="11"/>
  <c r="C21" i="11"/>
  <c r="D21" i="11"/>
  <c r="C20" i="11"/>
  <c r="D19" i="11"/>
  <c r="C18" i="11"/>
  <c r="D14" i="11"/>
  <c r="C15" i="11"/>
  <c r="D18" i="11"/>
  <c r="D17" i="11"/>
  <c r="D16" i="11"/>
  <c r="D15" i="11"/>
  <c r="C17" i="11"/>
  <c r="C16" i="11"/>
  <c r="D25" i="11"/>
  <c r="C23" i="11"/>
  <c r="C25" i="11"/>
  <c r="D24" i="11"/>
  <c r="C24" i="11"/>
  <c r="C22" i="11"/>
  <c r="D23" i="11"/>
  <c r="D22" i="11"/>
  <c r="OP4" i="13" l="1"/>
  <c r="OQ4" i="13" l="1"/>
  <c r="D3" i="11" l="1"/>
  <c r="D4" i="11"/>
  <c r="C4" i="11"/>
  <c r="D5" i="11"/>
  <c r="C5" i="11"/>
  <c r="C3" i="11"/>
  <c r="D2" i="11"/>
  <c r="C2" i="11"/>
  <c r="D8" i="11" l="1"/>
  <c r="D7" i="11"/>
  <c r="C9" i="11"/>
  <c r="C8" i="11"/>
  <c r="C6" i="11"/>
  <c r="D9" i="11"/>
  <c r="C7" i="11"/>
  <c r="D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<sst xmlns="http://schemas.openxmlformats.org/spreadsheetml/2006/main" count="3158" uniqueCount="101">
  <si>
    <t>Province</t>
  </si>
  <si>
    <t>Rank</t>
  </si>
  <si>
    <t>Total Points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</si>
  <si>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</si>
  <si>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</si>
  <si>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</si>
  <si>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</si>
  <si>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</si>
  <si>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</si>
  <si>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</si>
  <si>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</si>
  <si>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</si>
  <si>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</si>
  <si>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</si>
  <si>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</si>
  <si>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</si>
  <si>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</si>
  <si>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</si>
  <si>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</si>
  <si>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</si>
  <si>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</si>
  <si>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</si>
  <si>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</si>
  <si>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</si>
  <si>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</si>
  <si>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</si>
  <si>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</si>
  <si>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</si>
  <si>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</si>
  <si>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</si>
  <si>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</si>
  <si>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</si>
  <si>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</si>
  <si>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</si>
  <si>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</si>
  <si>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</si>
  <si>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</si>
  <si>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</si>
  <si>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</si>
  <si>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</si>
  <si>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</si>
  <si>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</si>
  <si>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</si>
  <si>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</si>
  <si>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</si>
  <si>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</si>
  <si>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</si>
  <si>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</si>
  <si>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</si>
  <si>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</si>
  <si>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</si>
  <si>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</si>
  <si>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</si>
  <si>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</si>
  <si>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</si>
  <si>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</si>
  <si>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</si>
  <si>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</si>
  <si>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</si>
  <si>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</si>
  <si>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Voluntary 3</t>
  </si>
  <si>
    <t>Vol 3</t>
  </si>
  <si>
    <t>Vol 2 DD</t>
  </si>
  <si>
    <t>Vol 3 DD</t>
  </si>
  <si>
    <t>Best Vol 2</t>
  </si>
  <si>
    <t>ON</t>
  </si>
  <si>
    <t>AB</t>
  </si>
  <si>
    <t>LEE-McMEEKEN, Brooklyn</t>
  </si>
  <si>
    <t>BC</t>
  </si>
  <si>
    <t>Best Q1</t>
  </si>
  <si>
    <t>2nd Best Q1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</si>
  <si>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</si>
  <si>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</si>
  <si>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</si>
  <si>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</si>
  <si>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</si>
  <si>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</si>
  <si>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</si>
  <si>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</si>
  <si>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LEE-MCMEEKEN, Brooklyn</t>
  </si>
  <si>
    <t>LOISELLE, Hector</t>
  </si>
  <si>
    <t>BLOOM, Tristan</t>
  </si>
  <si>
    <t>SCHMIDT, Jordyn</t>
  </si>
  <si>
    <t>2023 Elite Canada</t>
  </si>
  <si>
    <t>GIBBS, Gavin</t>
  </si>
  <si>
    <t>2023 Pan Am Championships (May 14)</t>
  </si>
  <si>
    <t>2023 Pan Am Club Championships (May 14)</t>
  </si>
  <si>
    <t>2023 Nationals</t>
  </si>
  <si>
    <t>BEAULIEU, Alex</t>
  </si>
  <si>
    <t>GOOD, Hayden</t>
  </si>
  <si>
    <t>SCHMIDT, Makena</t>
  </si>
  <si>
    <t>LEPORÉ, Amylia</t>
  </si>
  <si>
    <t>SK</t>
  </si>
  <si>
    <t>REIMCHE, Wilson</t>
  </si>
  <si>
    <t>PROULX, Sarah-Kim</t>
  </si>
  <si>
    <t>2023 3rd Domestic Trial</t>
  </si>
  <si>
    <t>2023 WAGC (Nov 16)</t>
  </si>
  <si>
    <t>2023 WAGC (Nov 18)</t>
  </si>
  <si>
    <t>2023 Junior Worlds (Nov 19)</t>
  </si>
  <si>
    <t>2024 Age Update</t>
  </si>
  <si>
    <t>Level Empty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</si>
</sst>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2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164" fontId="0" fillId="3" borderId="0" xfId="0" applyNumberFormat="1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3" fillId="0" borderId="0" xfId="0" applyFont="1"/>
    <xf numFmtId="0" fontId="0" fillId="10" borderId="0" xfId="0" applyFill="1"/>
    <xf numFmtId="164" fontId="0" fillId="10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12" fillId="11" borderId="0" xfId="0" applyFont="1" applyFill="1" applyAlignment="1">
      <alignment horizontal="center"/>
    </xf>
    <xf numFmtId="164" fontId="6" fillId="0" borderId="0" xfId="0" applyNumberFormat="1" applyFont="1"/>
    <xf numFmtId="164" fontId="6" fillId="4" borderId="1" xfId="1" applyNumberFormat="1" applyFont="1" applyFill="1" applyBorder="1" applyProtection="1">
      <protection locked="0"/>
    </xf>
    <xf numFmtId="164" fontId="17" fillId="6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7" fillId="6" borderId="0" xfId="0" applyFont="1" applyFill="1"/>
    <xf numFmtId="0" fontId="10" fillId="7" borderId="0" xfId="0" applyFont="1" applyFill="1"/>
    <xf numFmtId="0" fontId="11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9" fillId="3" borderId="1" xfId="0" applyNumberFormat="1" applyFont="1" applyFill="1" applyBorder="1" applyAlignment="1" applyProtection="1">
      <alignment horizontal="center"/>
      <protection locked="0"/>
    </xf>
    <xf numFmtId="164" fontId="19" fillId="4" borderId="1" xfId="0" applyNumberFormat="1" applyFont="1" applyFill="1" applyBorder="1" applyAlignment="1" applyProtection="1">
      <alignment horizontal="center"/>
      <protection locked="0"/>
    </xf>
    <xf numFmtId="0" fontId="16" fillId="0" borderId="0" xfId="0" applyFont="1"/>
    <xf numFmtId="0" fontId="20" fillId="13" borderId="0" xfId="0" applyFont="1" applyFill="1"/>
    <xf numFmtId="0" fontId="2" fillId="14" borderId="0" xfId="0" applyFont="1" applyFill="1"/>
    <xf numFmtId="164" fontId="20" fillId="13" borderId="0" xfId="0" applyNumberFormat="1" applyFont="1" applyFill="1" applyProtection="1">
      <protection locked="0"/>
    </xf>
    <xf numFmtId="164" fontId="2" fillId="14" borderId="0" xfId="0" applyNumberFormat="1" applyFont="1" applyFill="1" applyProtection="1">
      <protection locked="0"/>
    </xf>
    <xf numFmtId="164" fontId="20" fillId="15" borderId="0" xfId="0" applyNumberFormat="1" applyFont="1" applyFill="1" applyProtection="1">
      <protection locked="0"/>
    </xf>
    <xf numFmtId="0" fontId="21" fillId="16" borderId="0" xfId="0" applyFont="1" applyFill="1"/>
    <xf numFmtId="164" fontId="21" fillId="16" borderId="0" xfId="0" applyNumberFormat="1" applyFont="1" applyFill="1" applyProtection="1">
      <protection locked="0"/>
    </xf>
    <xf numFmtId="0" fontId="23" fillId="5" borderId="0" xfId="0" applyFont="1" applyFill="1"/>
    <xf numFmtId="164" fontId="23" fillId="5" borderId="0" xfId="0" applyNumberFormat="1" applyFont="1" applyFill="1" applyProtection="1">
      <protection locked="0"/>
    </xf>
    <xf numFmtId="0" fontId="22" fillId="17" borderId="0" xfId="0" applyFont="1" applyFill="1"/>
    <xf numFmtId="164" fontId="22" fillId="17" borderId="0" xfId="0" applyNumberFormat="1" applyFont="1" applyFill="1" applyProtection="1">
      <protection locked="0"/>
    </xf>
    <xf numFmtId="164" fontId="6" fillId="0" borderId="0" xfId="0" applyNumberFormat="1" applyFont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12" fillId="0" borderId="0" xfId="0" applyFont="1" applyAlignment="1">
      <alignment horizontal="right"/>
    </xf>
    <xf numFmtId="0" fontId="12" fillId="9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7" fillId="6" borderId="0" xfId="0" applyNumberFormat="1" applyFont="1" applyFill="1" applyAlignment="1" applyProtection="1">
      <alignment horizontal="center"/>
      <protection locked="0"/>
    </xf>
    <xf numFmtId="164" fontId="20" fillId="13" borderId="0" xfId="0" applyNumberFormat="1" applyFont="1" applyFill="1" applyAlignment="1" applyProtection="1">
      <alignment horizontal="center"/>
      <protection locked="0"/>
    </xf>
    <xf numFmtId="164" fontId="2" fillId="14" borderId="0" xfId="0" applyNumberFormat="1" applyFont="1" applyFill="1" applyAlignment="1" applyProtection="1">
      <alignment horizontal="center"/>
      <protection locked="0"/>
    </xf>
    <xf numFmtId="164" fontId="22" fillId="17" borderId="0" xfId="0" applyNumberFormat="1" applyFont="1" applyFill="1" applyAlignment="1" applyProtection="1">
      <alignment horizontal="center"/>
      <protection locked="0"/>
    </xf>
    <xf numFmtId="164" fontId="23" fillId="5" borderId="0" xfId="0" applyNumberFormat="1" applyFont="1" applyFill="1" applyAlignment="1" applyProtection="1">
      <alignment horizontal="center"/>
      <protection locked="0"/>
    </xf>
    <xf numFmtId="164" fontId="10" fillId="7" borderId="0" xfId="0" applyNumberFormat="1" applyFont="1" applyFill="1" applyAlignment="1" applyProtection="1">
      <alignment horizontal="center"/>
      <protection locked="0"/>
    </xf>
    <xf numFmtId="164" fontId="21" fillId="16" borderId="0" xfId="0" applyNumberFormat="1" applyFont="1" applyFill="1" applyAlignment="1" applyProtection="1">
      <alignment horizontal="center"/>
      <protection locked="0"/>
    </xf>
    <xf numFmtId="164" fontId="11" fillId="8" borderId="0" xfId="0" applyNumberFormat="1" applyFont="1" applyFill="1" applyAlignment="1" applyProtection="1">
      <alignment horizontal="center"/>
      <protection locked="0"/>
    </xf>
    <xf numFmtId="164" fontId="18" fillId="12" borderId="0" xfId="0" applyNumberFormat="1" applyFont="1" applyFill="1" applyAlignment="1" applyProtection="1">
      <alignment horizontal="center"/>
      <protection locked="0"/>
    </xf>
    <xf numFmtId="164" fontId="9" fillId="5" borderId="0" xfId="0" applyNumberFormat="1" applyFont="1" applyFill="1" applyAlignment="1" applyProtection="1">
      <alignment horizontal="center"/>
      <protection locked="0"/>
    </xf>
    <xf numFmtId="0" fontId="5" fillId="0" borderId="0" xfId="0" applyFont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0" borderId="0" xfId="0" applyFont="1" applyAlignment="1">
      <alignment horizontal="center" vertical="center" wrapText="1"/>
    </xf>
    <xf numFmtId="0" fontId="12" fillId="9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3" fillId="4" borderId="0" xfId="0" applyFont="1" applyFill="1" applyAlignment="1">
      <alignment horizontal="center" vertical="center" wrapText="1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98"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FFAF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35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30</v>
      </c>
      <c r="B1" t="s">
        <v>1</v>
      </c>
      <c r="C1" t="s">
        <v>32</v>
      </c>
      <c r="D1" s="47" t="s">
        <v>6</v>
      </c>
    </row>
    <row r="2" spans="1:6" x14ac:dyDescent="0.2">
      <c r="A2" s="6" t="s">
        <v>31</v>
      </c>
      <c r="B2" s="6">
        <v>1</v>
      </c>
      <c r="C2" s="6" t="str">
        <f>IF(B2&gt;MAX('TRA-M'!A:A),"",INDEX('TRA-M'!B:B,MATCH(B2,'TRA-M'!A:A,0)))</f>
        <v>BEAULIEU, Alex</v>
      </c>
      <c r="D2" s="16" t="str">
        <f>IF(B2&gt;MAX('TRA-M'!A:A),"",INDEX('TRA-M'!H:H,MATCH(B2,'TRA-M'!A:A,0)))</f>
        <v>No DD</v>
      </c>
      <c r="E2" s="15"/>
      <c r="F2" s="15"/>
    </row>
    <row r="3" spans="1:6" hidden="1" x14ac:dyDescent="0.2">
      <c r="A3" s="6"/>
      <c r="B3" s="6">
        <v>2</v>
      </c>
      <c r="C3" s="6" t="str">
        <f>IF(B3&gt;MAX('TRA-M'!A:A),"",INDEX('TRA-M'!B:B,MATCH(B3,'TRA-M'!A:A,0)))</f>
        <v/>
      </c>
      <c r="D3" s="16" t="str">
        <f>IF(B3&gt;MAX('TRA-M'!A:A),"",INDEX('TRA-M'!H:H,MATCH(B3,'TRA-M'!A:A,0)))</f>
        <v/>
      </c>
      <c r="E3" s="15"/>
      <c r="F3" s="15"/>
    </row>
    <row r="4" spans="1:6" hidden="1" x14ac:dyDescent="0.2">
      <c r="A4" s="6"/>
      <c r="B4" s="6">
        <v>3</v>
      </c>
      <c r="C4" s="6" t="str">
        <f>IF(B4&gt;MAX('TRA-M'!A:A),"",INDEX('TRA-M'!B:B,MATCH(B4,'TRA-M'!A:A,0)))</f>
        <v/>
      </c>
      <c r="D4" s="16" t="str">
        <f>IF(B4&gt;MAX('TRA-M'!A:A),"",INDEX('TRA-M'!H:H,MATCH(B4,'TRA-M'!A:A,0)))</f>
        <v/>
      </c>
      <c r="E4" s="15"/>
      <c r="F4" s="15"/>
    </row>
    <row r="5" spans="1:6" hidden="1" x14ac:dyDescent="0.2">
      <c r="A5" s="6"/>
      <c r="B5" s="6">
        <v>4</v>
      </c>
      <c r="C5" s="6" t="str">
        <f>IF(B5&gt;MAX('TRA-M'!A:A),"",INDEX('TRA-M'!B:B,MATCH(B5,'TRA-M'!A:A,0)))</f>
        <v/>
      </c>
      <c r="D5" s="16" t="str">
        <f>IF(B5&gt;MAX('TRA-M'!A:A),"",INDEX('TRA-M'!H:H,MATCH(B5,'TRA-M'!A:A,0)))</f>
        <v/>
      </c>
    </row>
    <row r="6" spans="1:6" hidden="1" x14ac:dyDescent="0.2">
      <c r="A6" s="8" t="s">
        <v>34</v>
      </c>
      <c r="B6" s="8">
        <v>1</v>
      </c>
      <c r="C6" s="8" t="str">
        <f>IF(B2&gt;MAX('TRA-W'!A:A),"",INDEX('TRA-W'!B:B,MATCH(B2,'TRA-W'!A:A,0)))</f>
        <v/>
      </c>
      <c r="D6" s="17" t="str">
        <f>IF(B2&gt;MAX('TRA-W'!A:A),"",INDEX('TRA-W'!H:H,MATCH(B2,'TRA-W'!A:A,0)))</f>
        <v/>
      </c>
    </row>
    <row r="7" spans="1:6" hidden="1" x14ac:dyDescent="0.2">
      <c r="A7" s="8"/>
      <c r="B7" s="8">
        <v>2</v>
      </c>
      <c r="C7" s="8" t="str">
        <f>IF(B3&gt;MAX('TRA-W'!A:A),"",INDEX('TRA-W'!B:B,MATCH(B3,'TRA-W'!A:A,0)))</f>
        <v/>
      </c>
      <c r="D7" s="17" t="str">
        <f>IF(B3&gt;MAX('TRA-W'!A:A),"",INDEX('TRA-W'!H:H,MATCH(B3,'TRA-W'!A:A,0)))</f>
        <v/>
      </c>
    </row>
    <row r="8" spans="1:6" hidden="1" x14ac:dyDescent="0.2">
      <c r="A8" s="8"/>
      <c r="B8" s="8">
        <v>3</v>
      </c>
      <c r="C8" s="8" t="str">
        <f>IF(B4&gt;MAX('TRA-W'!A:A),"",INDEX('TRA-W'!B:B,MATCH(B4,'TRA-W'!A:A,0)))</f>
        <v/>
      </c>
      <c r="D8" s="17" t="str">
        <f>IF(B4&gt;MAX('TRA-W'!A:A),"",INDEX('TRA-W'!H:H,MATCH(B4,'TRA-W'!A:A,0)))</f>
        <v/>
      </c>
    </row>
    <row r="9" spans="1:6" hidden="1" x14ac:dyDescent="0.2">
      <c r="A9" s="8"/>
      <c r="B9" s="8">
        <v>4</v>
      </c>
      <c r="C9" s="8" t="str">
        <f>IF(B5&gt;MAX('TRA-W'!A:A),"",INDEX('TRA-W'!B:B,MATCH(B5,'TRA-W'!A:A,0)))</f>
        <v/>
      </c>
      <c r="D9" s="17" t="str">
        <f>IF(B5&gt;MAX('TRA-W'!A:A),"",INDEX('TRA-W'!H:H,MATCH(B5,'TRA-W'!A:A,0)))</f>
        <v/>
      </c>
    </row>
    <row r="10" spans="1:6" x14ac:dyDescent="0.2">
      <c r="A10" s="6" t="s">
        <v>35</v>
      </c>
      <c r="B10" s="6">
        <v>1</v>
      </c>
      <c r="C10" s="6" t="str">
        <f>IF(B2&gt;MAX('TUM-M'!A:A),"",INDEX('TUM-M'!B:B,MATCH(B2,'TUM-M'!A:A,0)))</f>
        <v>GIBBS, Gavin</v>
      </c>
      <c r="D10" s="16" t="str">
        <f>IF(B2&gt;MAX('TUM-M'!A:A),"",INDEX('TUM-M'!H:H,MATCH(B2,'TUM-M'!A:A,0)))</f>
        <v>Excellence</v>
      </c>
    </row>
    <row r="11" spans="1:6" x14ac:dyDescent="0.2">
      <c r="A11" s="6"/>
      <c r="B11" s="6">
        <v>2</v>
      </c>
      <c r="C11" s="6" t="str">
        <f>IF(B3&gt;MAX('TUM-M'!A:A),"",INDEX('TUM-M'!B:B,MATCH(B3,'TUM-M'!A:A,0)))</f>
        <v>LOISELLE, Hector</v>
      </c>
      <c r="D11" s="16" t="str">
        <f>IF(B3&gt;MAX('TUM-M'!A:A),"",INDEX('TUM-M'!H:H,MATCH(B3,'TUM-M'!A:A,0)))</f>
        <v>National Team</v>
      </c>
    </row>
    <row r="12" spans="1:6" hidden="1" x14ac:dyDescent="0.2">
      <c r="A12" s="6"/>
      <c r="B12" s="6">
        <v>3</v>
      </c>
      <c r="C12" s="6" t="str">
        <f>IF(B4&gt;MAX('TUM-M'!A:A),"",INDEX('TUM-M'!B:B,MATCH(B4,'TUM-M'!A:A,0)))</f>
        <v/>
      </c>
      <c r="D12" s="16" t="str">
        <f>IF(B4&gt;MAX('TUM-M'!A:A),"",INDEX('TUM-M'!H:H,MATCH(B4,'TUM-M'!A:A,0)))</f>
        <v/>
      </c>
    </row>
    <row r="13" spans="1:6" hidden="1" x14ac:dyDescent="0.2">
      <c r="A13" s="6"/>
      <c r="B13" s="6">
        <v>4</v>
      </c>
      <c r="C13" s="6" t="str">
        <f>IF(B5&gt;MAX('TUM-M'!A:A),"",INDEX('TUM-M'!B:B,MATCH(B5,'TUM-M'!A:A,0)))</f>
        <v/>
      </c>
      <c r="D13" s="16" t="str">
        <f>IF(B5&gt;MAX('TUM-M'!A:A),"",INDEX('TUM-M'!H:H,MATCH(B5,'TUM-M'!A:A,0)))</f>
        <v/>
      </c>
    </row>
    <row r="14" spans="1:6" hidden="1" x14ac:dyDescent="0.2">
      <c r="A14" s="8" t="s">
        <v>36</v>
      </c>
      <c r="B14" s="8">
        <v>1</v>
      </c>
      <c r="C14" s="8" t="str">
        <f>IF(B2&gt;MAX('TUM-W'!A:A),"",INDEX('TUM-W'!B:B,MATCH(B2,'TUM-W'!A:A,0)))</f>
        <v/>
      </c>
      <c r="D14" s="17" t="str">
        <f>IF(B2&gt;MAX('TUM-W'!A:A),"",INDEX('TUM-W'!H:H,MATCH(B2,'TUM-W'!A:A,0)))</f>
        <v/>
      </c>
    </row>
    <row r="15" spans="1:6" hidden="1" x14ac:dyDescent="0.2">
      <c r="A15" s="8"/>
      <c r="B15" s="8">
        <v>2</v>
      </c>
      <c r="C15" s="8" t="str">
        <f>IF(B3&gt;MAX('TUM-W'!A:A),"",INDEX('TUM-W'!B:B,MATCH(B3,'TUM-W'!A:A,0)))</f>
        <v/>
      </c>
      <c r="D15" s="17" t="str">
        <f>IF(B3&gt;MAX('TUM-W'!A:A),"",INDEX('TUM-W'!H:H,MATCH(B3,'TUM-W'!A:A,0)))</f>
        <v/>
      </c>
    </row>
    <row r="16" spans="1:6" hidden="1" x14ac:dyDescent="0.2">
      <c r="A16" s="8"/>
      <c r="B16" s="8">
        <v>3</v>
      </c>
      <c r="C16" s="8" t="str">
        <f>IF(B4&gt;MAX('TUM-W'!A:A),"",INDEX('TUM-W'!B:B,MATCH(B4,'TUM-W'!A:A,0)))</f>
        <v/>
      </c>
      <c r="D16" s="17" t="str">
        <f>IF(B4&gt;MAX('TUM-W'!A:A),"",INDEX('TUM-W'!H:H,MATCH(B4,'TUM-W'!A:A,0)))</f>
        <v/>
      </c>
    </row>
    <row r="17" spans="1:5" hidden="1" x14ac:dyDescent="0.2">
      <c r="A17" s="8"/>
      <c r="B17" s="8">
        <v>4</v>
      </c>
      <c r="C17" s="8" t="str">
        <f>IF(B5&gt;MAX('TUM-W'!A:A),"",INDEX('TUM-W'!B:B,MATCH(B5,'TUM-W'!A:A,0)))</f>
        <v/>
      </c>
      <c r="D17" s="17" t="str">
        <f>IF(B5&gt;MAX('TUM-W'!A:A),"",INDEX('TUM-W'!H:H,MATCH(B5,'TUM-W'!A:A,0)))</f>
        <v/>
      </c>
    </row>
    <row r="18" spans="1:5" x14ac:dyDescent="0.2">
      <c r="A18" s="6" t="s">
        <v>37</v>
      </c>
      <c r="B18" s="6">
        <v>1</v>
      </c>
      <c r="C18" s="6" t="str">
        <f>IF(B2&gt;MAX('DMT-M'!A:A),"",INDEX('DMT-M'!B:B,MATCH(B2,'DMT-M'!A:A,0)))</f>
        <v>BLOOM, Tristan</v>
      </c>
      <c r="D18" s="16" t="str">
        <f>IF(B2&gt;MAX('DMT-M'!A:A),"",INDEX('DMT-M'!H:H,MATCH(B2,'DMT-M'!A:A,0)))</f>
        <v>Excellence</v>
      </c>
    </row>
    <row r="19" spans="1:5" x14ac:dyDescent="0.2">
      <c r="A19" s="6"/>
      <c r="B19" s="6">
        <v>2</v>
      </c>
      <c r="C19" s="6" t="str">
        <f>IF(B3&gt;MAX('DMT-M'!A:A),"",INDEX('DMT-M'!B:B,MATCH(B3,'DMT-M'!A:A,0)))</f>
        <v>REIMCHE, Wilson</v>
      </c>
      <c r="D19" s="16" t="str">
        <f>IF(B3&gt;MAX('DMT-M'!A:A),"",INDEX('DMT-M'!H:H,MATCH(B3,'DMT-M'!A:A,0)))</f>
        <v>Excellence</v>
      </c>
    </row>
    <row r="20" spans="1:5" hidden="1" x14ac:dyDescent="0.2">
      <c r="A20" s="6"/>
      <c r="B20" s="6">
        <v>3</v>
      </c>
      <c r="C20" s="6" t="str">
        <f>IF(B4&gt;MAX('DMT-M'!A:A),"",INDEX('DMT-M'!B:B,MATCH(B4,'DMT-M'!A:A,0)))</f>
        <v/>
      </c>
      <c r="D20" s="16" t="str">
        <f>IF(B4&gt;MAX('DMT-M'!A:A),"",INDEX('DMT-M'!H:H,MATCH(B4,'DMT-M'!A:A,0)))</f>
        <v/>
      </c>
    </row>
    <row r="21" spans="1:5" hidden="1" x14ac:dyDescent="0.2">
      <c r="A21" s="6"/>
      <c r="B21" s="6">
        <v>4</v>
      </c>
      <c r="C21" s="6" t="str">
        <f>IF(B5&gt;MAX('DMT-M'!A:A),"",INDEX('DMT-M'!B:B,MATCH(B5,'DMT-M'!A:A,0)))</f>
        <v/>
      </c>
      <c r="D21" s="16" t="str">
        <f>IF(B5&gt;MAX('DMT-M'!A:A),"",INDEX('DMT-M'!H:H,MATCH(B5,'DMT-M'!A:A,0)))</f>
        <v/>
      </c>
    </row>
    <row r="22" spans="1:5" x14ac:dyDescent="0.2">
      <c r="A22" s="8" t="s">
        <v>38</v>
      </c>
      <c r="B22" s="8">
        <v>1</v>
      </c>
      <c r="C22" s="8" t="str">
        <f>IF(B2&gt;MAX('DMT-W'!A:A),"",INDEX('DMT-W'!B:B,MATCH(B2,'DMT-W'!A:A,0)))</f>
        <v>LEE-McMEEKEN, Brooklyn</v>
      </c>
      <c r="D22" s="17" t="str">
        <f>IF(B2&gt;MAX('DMT-W'!A:A),"",INDEX('DMT-W'!H:H,MATCH(B2,'DMT-W'!A:A,0)))</f>
        <v>Excellence</v>
      </c>
    </row>
    <row r="23" spans="1:5" x14ac:dyDescent="0.2">
      <c r="A23" s="8"/>
      <c r="B23" s="8">
        <v>2</v>
      </c>
      <c r="C23" s="8" t="str">
        <f>IF(B3&gt;MAX('DMT-W'!A:A),"",INDEX('DMT-W'!B:B,MATCH(B3,'DMT-W'!A:A,0)))</f>
        <v>SCHMIDT, Jordyn</v>
      </c>
      <c r="D23" s="17" t="str">
        <f>IF(B3&gt;MAX('DMT-W'!A:A),"",INDEX('DMT-W'!H:H,MATCH(B3,'DMT-W'!A:A,0)))</f>
        <v>Excellence</v>
      </c>
    </row>
    <row r="24" spans="1:5" hidden="1" x14ac:dyDescent="0.2">
      <c r="A24" s="8"/>
      <c r="B24" s="8">
        <v>3</v>
      </c>
      <c r="C24" s="8" t="str">
        <f>IF(B4&gt;MAX('DMT-W'!A:A),"",INDEX('DMT-W'!B:B,MATCH(B4,'DMT-W'!A:A,0)))</f>
        <v/>
      </c>
      <c r="D24" s="17" t="str">
        <f>IF(B4&gt;MAX('DMT-W'!A:A),"",INDEX('DMT-W'!H:H,MATCH(B4,'DMT-W'!A:A,0)))</f>
        <v/>
      </c>
    </row>
    <row r="25" spans="1:5" hidden="1" x14ac:dyDescent="0.2">
      <c r="A25" s="8"/>
      <c r="B25" s="8">
        <v>4</v>
      </c>
      <c r="C25" s="8" t="str">
        <f>IF(B5&gt;MAX('DMT-W'!A:A),"",INDEX('DMT-W'!B:B,MATCH(B5,'DMT-W'!A:A,0)))</f>
        <v/>
      </c>
      <c r="D25" s="17" t="str">
        <f>IF(B5&gt;MAX('DMT-W'!A:A),"",INDEX('DMT-W'!H:H,MATCH(B5,'DMT-W'!A:A,0)))</f>
        <v/>
      </c>
    </row>
    <row r="26" spans="1:5" x14ac:dyDescent="0.2">
      <c r="D26" s="47"/>
    </row>
    <row r="27" spans="1:5" x14ac:dyDescent="0.2">
      <c r="B27" t="s">
        <v>29</v>
      </c>
    </row>
    <row r="28" spans="1:5" x14ac:dyDescent="0.2">
      <c r="B28" t="s">
        <v>27</v>
      </c>
    </row>
    <row r="29" spans="1:5" x14ac:dyDescent="0.2">
      <c r="B29" t="s">
        <v>28</v>
      </c>
    </row>
    <row r="30" spans="1:5" x14ac:dyDescent="0.2">
      <c r="B30" s="15" t="s">
        <v>49</v>
      </c>
      <c r="D30" t="s">
        <v>47</v>
      </c>
    </row>
    <row r="31" spans="1:5" x14ac:dyDescent="0.2">
      <c r="B31" s="15" t="s">
        <v>57</v>
      </c>
      <c r="D31" t="s">
        <v>47</v>
      </c>
      <c r="E31" t="s">
        <v>47</v>
      </c>
    </row>
    <row r="32" spans="1:5" x14ac:dyDescent="0.2">
      <c r="B32" t="s">
        <v>48</v>
      </c>
    </row>
    <row r="33" spans="1:3" x14ac:dyDescent="0.2">
      <c r="B33" t="s">
        <v>58</v>
      </c>
    </row>
    <row r="34" spans="1:3" x14ac:dyDescent="0.2">
      <c r="A34" t="s">
        <v>33</v>
      </c>
      <c r="B34" s="68">
        <v>45302</v>
      </c>
      <c r="C34" s="68"/>
    </row>
    <row r="35" spans="1:3" x14ac:dyDescent="0.2">
      <c r="B35" t="s">
        <v>99</v>
      </c>
    </row>
  </sheetData>
  <sheetProtection formatCells="0" formatColumns="0" formatRows="0"/>
  <mergeCells count="1">
    <mergeCell ref="B34:C34"/>
  </mergeCells>
  <conditionalFormatting sqref="D2:D25">
    <cfRule type="containsText" dxfId="197" priority="1" operator="containsText" text="No DD">
      <formula>NOT(ISERROR(SEARCH("No DD",D2)))</formula>
    </cfRule>
    <cfRule type="containsText" dxfId="196" priority="4" operator="containsText" text="Merit">
      <formula>NOT(ISERROR(SEARCH("Merit",D2)))</formula>
    </cfRule>
    <cfRule type="containsText" dxfId="195" priority="5" operator="containsText" text="Excellence">
      <formula>NOT(ISERROR(SEARCH("Excellence",D2)))</formula>
    </cfRule>
    <cfRule type="containsText" dxfId="194" priority="6" operator="containsText" text="Worlds Team">
      <formula>NOT(ISERROR(SEARCH("Worlds Team",D2)))</formula>
    </cfRule>
    <cfRule type="containsText" dxfId="193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Q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83203125" customWidth="1"/>
    <col min="10" max="10" width="20.5" bestFit="1" customWidth="1"/>
    <col min="12" max="12" width="20.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150" width="10.83203125" hidden="1" customWidth="1"/>
    <col min="151" max="157" width="10.83203125" customWidth="1"/>
    <col min="158" max="172" width="10.83203125" hidden="1" customWidth="1"/>
    <col min="173" max="179" width="10.83203125" customWidth="1"/>
    <col min="180" max="407" width="10.83203125" hidden="1" customWidth="1"/>
    <col min="408" max="409" width="10.83203125" customWidth="1"/>
  </cols>
  <sheetData>
    <row r="1" spans="1:407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4" t="s">
        <v>5</v>
      </c>
      <c r="H1" s="74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1" t="s">
        <v>83</v>
      </c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2" t="s">
        <v>87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1" t="s">
        <v>95</v>
      </c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10</v>
      </c>
      <c r="DG1" s="73"/>
      <c r="DH1" s="73"/>
      <c r="DI1" s="73"/>
      <c r="DJ1" s="71" t="s">
        <v>86</v>
      </c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2" t="s">
        <v>85</v>
      </c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1" t="s">
        <v>96</v>
      </c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1"/>
      <c r="KX1" s="71"/>
      <c r="KY1" s="71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1" t="s">
        <v>55</v>
      </c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</row>
    <row r="2" spans="1:407" x14ac:dyDescent="0.2">
      <c r="A2" s="74"/>
      <c r="B2" s="74"/>
      <c r="C2" s="74"/>
      <c r="D2" s="74"/>
      <c r="E2" s="74"/>
      <c r="F2" s="77"/>
      <c r="G2" s="74"/>
      <c r="H2" s="74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0" t="s">
        <v>15</v>
      </c>
      <c r="AY2" s="70"/>
      <c r="AZ2" s="70"/>
      <c r="BA2" s="70"/>
      <c r="BB2" s="70"/>
      <c r="BC2" s="70" t="s">
        <v>16</v>
      </c>
      <c r="BD2" s="70"/>
      <c r="BE2" s="70"/>
      <c r="BF2" s="70"/>
      <c r="BG2" s="70"/>
      <c r="BH2" s="70" t="s">
        <v>60</v>
      </c>
      <c r="BI2" s="70"/>
      <c r="BJ2" s="70"/>
      <c r="BK2" s="70"/>
      <c r="BL2" s="70"/>
      <c r="BM2" s="70" t="s">
        <v>19</v>
      </c>
      <c r="BN2" s="70"/>
      <c r="BO2" s="70"/>
      <c r="BP2" s="70"/>
      <c r="BQ2" s="70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0" t="s">
        <v>15</v>
      </c>
      <c r="EG2" s="70"/>
      <c r="EH2" s="70"/>
      <c r="EI2" s="70"/>
      <c r="EJ2" s="70"/>
      <c r="EK2" s="70" t="s">
        <v>16</v>
      </c>
      <c r="EL2" s="70"/>
      <c r="EM2" s="70"/>
      <c r="EN2" s="70"/>
      <c r="EO2" s="70"/>
      <c r="EP2" s="70" t="s">
        <v>19</v>
      </c>
      <c r="EQ2" s="70"/>
      <c r="ER2" s="70"/>
      <c r="ES2" s="70"/>
      <c r="ET2" s="70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0" t="s">
        <v>15</v>
      </c>
      <c r="FY2" s="70"/>
      <c r="FZ2" s="70"/>
      <c r="GA2" s="70"/>
      <c r="GB2" s="70"/>
      <c r="GC2" s="70" t="s">
        <v>16</v>
      </c>
      <c r="GD2" s="70"/>
      <c r="GE2" s="70"/>
      <c r="GF2" s="70"/>
      <c r="GG2" s="70"/>
      <c r="GH2" s="70" t="s">
        <v>19</v>
      </c>
      <c r="GI2" s="70"/>
      <c r="GJ2" s="70"/>
      <c r="GK2" s="70"/>
      <c r="GL2" s="70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0" t="s">
        <v>15</v>
      </c>
      <c r="HQ2" s="70"/>
      <c r="HR2" s="70"/>
      <c r="HS2" s="70"/>
      <c r="HT2" s="70"/>
      <c r="HU2" s="70" t="s">
        <v>16</v>
      </c>
      <c r="HV2" s="70"/>
      <c r="HW2" s="70"/>
      <c r="HX2" s="70"/>
      <c r="HY2" s="70"/>
      <c r="HZ2" s="70" t="s">
        <v>19</v>
      </c>
      <c r="IA2" s="70"/>
      <c r="IB2" s="70"/>
      <c r="IC2" s="70"/>
      <c r="ID2" s="70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0" t="s">
        <v>15</v>
      </c>
      <c r="JI2" s="70"/>
      <c r="JJ2" s="70"/>
      <c r="JK2" s="70"/>
      <c r="JL2" s="70"/>
      <c r="JM2" s="70" t="s">
        <v>16</v>
      </c>
      <c r="JN2" s="70"/>
      <c r="JO2" s="70"/>
      <c r="JP2" s="70"/>
      <c r="JQ2" s="70"/>
      <c r="JR2" s="70" t="s">
        <v>19</v>
      </c>
      <c r="JS2" s="70"/>
      <c r="JT2" s="70"/>
      <c r="JU2" s="70"/>
      <c r="JV2" s="70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0" t="s">
        <v>15</v>
      </c>
      <c r="LA2" s="70"/>
      <c r="LB2" s="70"/>
      <c r="LC2" s="70"/>
      <c r="LD2" s="70"/>
      <c r="LE2" s="70" t="s">
        <v>16</v>
      </c>
      <c r="LF2" s="70"/>
      <c r="LG2" s="70"/>
      <c r="LH2" s="70"/>
      <c r="LI2" s="70"/>
      <c r="LJ2" s="70" t="s">
        <v>19</v>
      </c>
      <c r="LK2" s="70"/>
      <c r="LL2" s="70"/>
      <c r="LM2" s="70"/>
      <c r="LN2" s="70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0" t="s">
        <v>15</v>
      </c>
      <c r="MS2" s="70"/>
      <c r="MT2" s="70"/>
      <c r="MU2" s="70"/>
      <c r="MV2" s="70"/>
      <c r="MW2" s="70" t="s">
        <v>16</v>
      </c>
      <c r="MX2" s="70"/>
      <c r="MY2" s="70"/>
      <c r="MZ2" s="70"/>
      <c r="NA2" s="70"/>
      <c r="NB2" s="70" t="s">
        <v>19</v>
      </c>
      <c r="NC2" s="70"/>
      <c r="ND2" s="70"/>
      <c r="NE2" s="70"/>
      <c r="NF2" s="70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4"/>
      <c r="B3" s="74"/>
      <c r="C3" s="74"/>
      <c r="D3" s="74"/>
      <c r="E3" s="74"/>
      <c r="F3" s="77"/>
      <c r="G3" s="74"/>
      <c r="H3" s="74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cm="1">
        <f t="array" ref="A4">IF(AND(H4&lt;&gt;"",H4&lt;&gt;"No DD"),SUMPRODUCT((H$4:H$6&lt;&gt;"")*(H$4:H$6&lt;&gt;"No DD")*(E$4:E$6&gt;E4))+1,IF(H4="No DD",SUMPRODUCT((H$4:H$6="No DD")*(E$4:E$6&gt;E4))+1+SUMPRODUCT((H$4:H$6&lt;&gt;"")*(H$4:H$6&lt;&gt;"No DD")),""))</f>
        <v>1</v>
      </c>
      <c r="B4" s="5" t="s">
        <v>88</v>
      </c>
      <c r="C4" s="4" t="s">
        <v>3</v>
      </c>
      <c r="D4" s="4">
        <v>2008</v>
      </c>
      <c r="E4" s="10">
        <f>SUM(I4:Q4)</f>
        <v>243.23000000000002</v>
      </c>
      <c r="F4" s="3" t="str">
        <f>IF(OR(AND(AP4&gt;=AW$8,AT4&gt;=AW$12,AO4&lt;&gt;"",AN4=""),AND(BT4&gt;=CA$8,BX4&gt;=CA$12,BS4&lt;&gt;"",BR4=""),AND(CX4&gt;=DE$8,DB4&gt;=DE$12,CW4&lt;&gt;"",CV4=""),AND(DY4&gt;=EE$8,EB4&gt;=EE$12,DY4&lt;&gt;""),AND(EU4&gt;=FA$8,EX4&gt;=FA$12,EU4&lt;&gt;""),AND(FQ4&gt;=FW$8,FT4&gt;=FW$12,FQ4&lt;&gt;""),AND(GM4&gt;=GS$8,GP4&gt;=GS$12,GM4&lt;&gt;""),AND(HI4&gt;=HO$8,HL4&gt;=HO$12,HI4&lt;&gt;""),AND(IE4&gt;=IK$8,IH4&gt;=IK$12,IE4&lt;&gt;""),AND(JA4&gt;=JG$8,JD4&gt;=JG$12,JA4&lt;&gt;""),AND(JW4&gt;=KC$8,JZ4&gt;=KC$12,JW4&lt;&gt;""),AND(KS4&gt;=KY$8,KV4&gt;=KY$12,KS4&lt;&gt;""),AND(LO4&gt;=LU$8,LR4&gt;=LU$12,LO4&lt;&gt;""),AND(MK4&gt;=MQ$8,MN4&gt;=MQ$12,MK4&lt;&gt;""),AND(NG4&gt;=NM$8,NJ4&gt;=NM$12,NG4&lt;&gt;"")),"P","")</f>
        <v/>
      </c>
      <c r="G4" s="3" t="str">
        <f>IF(OR(AND(AT4&gt;=AW$12,AO4&lt;&gt;"",AN4=""),AND(BX4&gt;=CA$12,BS4&lt;&gt;"",BR4=""),AND(DB4&gt;=DE$12,CW4&lt;&gt;"",CV4=""),AND(EB4&gt;=EE$12,DY4&lt;&gt;""),AND(EX4&gt;=FA$12,EU4&lt;&gt;""),AND(FT4&gt;=FW$12,FQ4&lt;&gt;""),AND(GP4&gt;=GS$12,GM4&lt;&gt;""),AND(HL4&gt;=HO$12,HI4&lt;&gt;""),AND(IH4&gt;=IK$12,IE4&lt;&gt;""),AND(JD4&gt;=JG$12,JA4&lt;&gt;""),AND(JZ4&gt;=KC$12,JW4&lt;&gt;""),AND(KV4&gt;=KY$12,KS4&lt;&gt;""),AND(LR4&gt;=LU$12,LO4&lt;&gt;""),AND(MN4&gt;=MQ$12,MK4&lt;&gt;""),AND(NJ4&gt;=NM$12,NG4&lt;&gt;"")),"P","")</f>
        <v>P</v>
      </c>
      <c r="H4" s="47" t="str">
        <f>IF(OR(AND(AP4&gt;=AW$11,AQ4&gt;=AW$15,AP4&lt;&gt;"",AN4=""),AND(AU4&gt;=AW$11,AV4&gt;=AW$15,AU4&lt;&gt;"",AN4=""),AND(BT4&gt;=CA$11,BU4&gt;=CA$15,BT4&lt;&gt;"",BR4=""),AND(BY4&gt;=CA$11,BZ4&gt;=CA$15,BY4&lt;&gt;"",BR4=""),AND(CX4&gt;=DE$11,CY4&gt;=DE$15,CX4&lt;&gt;"",CV4=""),AND(DC4&gt;=DE$11,DD4&gt;=DE$15,DC4&lt;&gt;"",CV4=""),AND(DY4&gt;=EE$11,EA4&gt;=EE$15,DY4&lt;&gt;""),AND(EC4&gt;=EE$11,ED4&gt;=EE$15,EC4&lt;&gt;""),AND(EU4&gt;=FA$11,EW4&gt;=FA$15,EU4&lt;&gt;""),AND(EY4&gt;=FA$11,EZ4&gt;=FA$15,EY4&lt;&gt;""),AND(FQ4&gt;=FW$11,FS4&gt;=FW$15,FQ4&lt;&gt;""),AND(FU4&gt;=FW$11,FV4&gt;=FW$15,FU4&lt;&gt;""),AND(GM4&gt;=GS$11,GO4&gt;=GS$15,GM4&lt;&gt;""),AND(GQ4&gt;=GS$11,GR4&gt;=GS$15,GQ4&lt;&gt;""),AND(HI4&gt;=HO$11,HK4&gt;=HO$15,HI4&lt;&gt;""),AND(HM4&gt;=HO$11,HN4&gt;=HO$15,HM4&lt;&gt;""),AND(IE4&gt;=IK$11,IG4&gt;=IK$15,IE4&lt;&gt;""),AND(II4&gt;=IK$11,IJ4&gt;=IK$15,II4&lt;&gt;""),AND(JA4&gt;=JG$11,JC4&gt;=JG$15,JA4&lt;&gt;""),AND(JE4&gt;=JG$11,JF4&gt;=JG$15,JE4&lt;&gt;""),AND(JW4&gt;=KC$11,JY4&gt;=KC$15,JW4&lt;&gt;""),AND(KA4&gt;=KC$11,KB4&gt;=KC$15,KA4&lt;&gt;""),AND(KS4&gt;=KY$11,KU4&gt;=KY$15,KS4&lt;&gt;""),AND(KW4&gt;=KY$11,KX4&gt;=KY$15,KW4&lt;&gt;""),AND(LO4&gt;=LU$11,LQ4&gt;=LU$15,LO4&lt;&gt;""),AND(LS4&gt;=LU$11,LT4&gt;=LU$15,LS4&lt;&gt;""),AND(MK4&gt;=MQ$11,MM4&gt;=MQ$15,MK4&lt;&gt;""),AND(MO4&gt;=MQ$11,MP4&gt;=MQ$15,MO4&lt;&gt;""),AND(NG4&gt;=NM$11,NI4&gt;=NM$15,NG4&lt;&gt;""),AND(NK4&gt;=NM$11,NL4&gt;=NM$15,NK4&lt;&gt;"")),"Merit",IF(OR(AND(AP4&gt;=AW$10,AT4&gt;=AW$14,AO4&lt;&gt;"",AN4=""),AND(BT4&gt;=CA$10,BX4&gt;=CA$14,BS4&lt;&gt;"",BR4=""),AND(CX4&gt;=DE$10,DB4&gt;=DE$14,CW4&lt;&gt;"",CV4=""),AND(DY4&gt;=EE$10,EB4&gt;=EE$14,DY4&lt;&gt;""),AND(EU4&gt;=FA$10,EX4&gt;=FA$14,EU4&lt;&gt;""),AND(FQ4&gt;=FW$10,FT4&gt;=FW$14,FQ4&lt;&gt;""),AND(GM4&gt;=GS$10,GP4&gt;=GS$14,GM4&lt;&gt;""),AND(HI4&gt;=HO$10,HL4&gt;=HO$14,HI4&lt;&gt;""),AND(IE4&gt;=IK$10,IH4&gt;=IK$14,IE4&lt;&gt;""),AND(JA4&gt;=JG$10,JD4&gt;=JG$14,JA4&lt;&gt;""),AND(JW4&gt;=KC$10,JZ4&gt;=KC$14,JW4&lt;&gt;""),AND(KS4&gt;=KY$10,KV4&gt;=KY$14,KS4&lt;&gt;""),AND(LO4&gt;=LU$10,LR4&gt;=LU$14,LO4&lt;&gt;""),AND(MK4&gt;=MQ$10,MN4&gt;=MQ$14,MK4&lt;&gt;""),AND(NG4&gt;=NM$10,NJ4&gt;=NM$14,NG4&lt;&gt;"")),"Excellence",IF(OR(AND(AP4&gt;=AW$8,AT4&gt;=AW$12,AO4&lt;&gt;"",AN4=""),AND(BT4&gt;=CA$8,BX4&gt;=CA$12,BS4&lt;&gt;"",BR4=""),AND(CX4&gt;=DE$8,DB4&gt;=DE$12,CW4&lt;&gt;"",CV4=""),AND(DY4&gt;=EE$8,EB4&gt;=EE$12,DY4&lt;&gt;""),AND(EU4&gt;=FA$8,EX4&gt;=FA$12,EU4&lt;&gt;""),AND(FQ4&gt;=FW$8,FT4&gt;=FW$12,FQ4&lt;&gt;""),AND(GM4&gt;=GS$8,GP4&gt;=GS$12,GM4&lt;&gt;""),AND(HI4&gt;=HO$8,HL4&gt;=HO$12,HI4&lt;&gt;""),AND(IE4&gt;=IK$8,IH4&gt;=IK$12,IE4&lt;&gt;""),AND(JA4&gt;=JG$8,JD4&gt;=JG$12,JA4&lt;&gt;""),AND(JW4&gt;=KC$8,JZ4&gt;=KC$12,JW4&lt;&gt;""),AND(KS4&gt;=KY$8,KV4&gt;=KY$12,KS4&lt;&gt;""),AND(LO4&gt;=LU$8,LR4&gt;=LU$12,LO4&lt;&gt;""),AND(MK4&gt;=MQ$8,MN4&gt;=MQ$12,MK4&lt;&gt;""),AND(NG4&gt;=NM$8,NJ4&gt;=NM$12,NG4&lt;&gt;"")),"National Team",IF(G4="P","No DD",""))))</f>
        <v>No DD</v>
      </c>
      <c r="I4" s="9">
        <f>IF(MAX(AT4,BX4,DB4)&gt;0,MAX(AT4,BX4,DB4),0)</f>
        <v>96.04</v>
      </c>
      <c r="J4" s="9" t="str">
        <f>IF(I4=0,"",IF(I4=DB4,$CB$1,IF(I4=BX4,$AX$1,IF(I4=AT4,$T$1,""))))</f>
        <v>2023 3rd Domestic Trial</v>
      </c>
      <c r="K4" s="9">
        <f>IF($I4=$AT4,MAX(BS4,CW4),IF($I4=$BX4,MAX(AO4,CW4),IF($I4=$DB4,MAX(AO4,BS4),MAX(AO4,BS4,CW4))))</f>
        <v>43.57</v>
      </c>
      <c r="L4" s="9" t="str">
        <f>IF(K4=0,"",IF(AND(K4=CW4,$J4&lt;&gt;$CB$1),$CB$1,IF(AND(K4=BS4,$J4&lt;&gt;$AX$1),$AX$1,IF(AND(K4=AO4,$J4&lt;&gt;$T$1),$T$1,""))))</f>
        <v>2023 Nationals</v>
      </c>
      <c r="M4" s="9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51.54</v>
      </c>
      <c r="N4" s="9" t="str">
        <f>IF(M4=0,"",IF(AND(OR(M4=DA4,M4=CY4),$J4&lt;&gt;$CB$1),$CB$1,IF(AND(OR(M4=BW4,M4=BU4),$J4&lt;&gt;$AX$1),$AX$1,IF(AND(OR(M4=AS4,M4=AQ4),$J4&lt;&gt;$T$1),$T$1,""))))</f>
        <v>2023 Nationals</v>
      </c>
      <c r="O4" s="9">
        <f>MAX(AV4,BZ4,DD4)</f>
        <v>52.08</v>
      </c>
      <c r="P4" s="9" t="str">
        <f>IF(O4=0,"",IF(O4=DD4,$CB$1,IF(O4=BZ4,$AX$1,IF(O4=AV4,$T$1,""))))</f>
        <v>2023 3rd Domestic Trial</v>
      </c>
      <c r="Q4" s="9" t="str">
        <f>IF(MAX(DF4,DG4,DH4,DI4)&gt;0,MAX(DF4,DG4,DH4,DI4),"")</f>
        <v/>
      </c>
      <c r="R4" s="14" t="str">
        <f>IF(Q4="","",IF(Q4=DF4,"(Vol 1)",IF(Q4=DG4,"(Vol 2)",IF(Q4=DH4,"(Prelim)",IF(Q4=DI4,"(Final)")))))</f>
        <v/>
      </c>
      <c r="S4" s="9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/>
      </c>
      <c r="T4" s="27">
        <v>17.8</v>
      </c>
      <c r="U4" s="27">
        <v>9.6999999999999993</v>
      </c>
      <c r="V4" s="27">
        <v>0</v>
      </c>
      <c r="W4" s="27">
        <v>14.94</v>
      </c>
      <c r="X4" s="27">
        <v>0</v>
      </c>
      <c r="Y4" s="27">
        <v>15.7</v>
      </c>
      <c r="Z4" s="27">
        <v>9.1</v>
      </c>
      <c r="AA4" s="27">
        <v>10.3</v>
      </c>
      <c r="AB4" s="27">
        <v>14.07</v>
      </c>
      <c r="AC4" s="27">
        <v>0</v>
      </c>
      <c r="AD4" s="27"/>
      <c r="AE4" s="27"/>
      <c r="AF4" s="27"/>
      <c r="AG4" s="27"/>
      <c r="AH4" s="27"/>
      <c r="AI4" s="27">
        <v>17.5</v>
      </c>
      <c r="AJ4" s="27">
        <v>7.7</v>
      </c>
      <c r="AK4" s="27">
        <v>8.1</v>
      </c>
      <c r="AL4" s="27">
        <v>11.67</v>
      </c>
      <c r="AM4" s="27">
        <v>0</v>
      </c>
      <c r="AN4" s="32"/>
      <c r="AO4" s="7">
        <f>IF(SUM(T4:W4)-X4&gt;0,SUM(T4:W4)-X4,"")</f>
        <v>42.44</v>
      </c>
      <c r="AP4" s="7">
        <f>IF(AA4&gt;0,AA4,"")</f>
        <v>10.3</v>
      </c>
      <c r="AQ4" s="7">
        <f>IF(SUM(Y4:AB4)-AC4&gt;0,SUM(Y4:AB4)-AC4,"")</f>
        <v>49.169999999999995</v>
      </c>
      <c r="AR4" s="7" t="str">
        <f>IF(AF4&gt;0,AF4,"")</f>
        <v/>
      </c>
      <c r="AS4" s="7" t="str">
        <f>IF(SUM(AD4:AG4)-AH4&gt;0,SUM(AD4:AG4)-AH4,"")</f>
        <v/>
      </c>
      <c r="AT4" s="7">
        <f>IF(AO4="",IF(MAX(AQ4,AS4)&gt;0,MAX(AQ4,AS4),""),MAX(AQ4,AS4)+AO4)</f>
        <v>91.609999999999985</v>
      </c>
      <c r="AU4" s="7">
        <f>IF(AK4&gt;0,AK4,"")</f>
        <v>8.1</v>
      </c>
      <c r="AV4" s="7">
        <f>IF(SUM(AI4:AL4)-AM4&gt;0,SUM(AI4:AL4)-AM4,"")</f>
        <v>44.97</v>
      </c>
      <c r="AW4" s="7">
        <f>IF(SUM(AT4,AV4)&gt;0,SUM(AT4,AV4),"")</f>
        <v>136.57999999999998</v>
      </c>
      <c r="AX4" s="23">
        <v>18.5</v>
      </c>
      <c r="AY4" s="23">
        <v>9.6999999999999993</v>
      </c>
      <c r="AZ4" s="23">
        <v>0</v>
      </c>
      <c r="BA4" s="23">
        <v>15.37</v>
      </c>
      <c r="BB4" s="23">
        <v>0</v>
      </c>
      <c r="BC4" s="23">
        <v>16</v>
      </c>
      <c r="BD4" s="23">
        <v>9.1999999999999993</v>
      </c>
      <c r="BE4" s="23">
        <v>12.1</v>
      </c>
      <c r="BF4" s="23">
        <v>14.24</v>
      </c>
      <c r="BG4" s="23">
        <v>0</v>
      </c>
      <c r="BH4" s="23"/>
      <c r="BI4" s="23"/>
      <c r="BJ4" s="23"/>
      <c r="BK4" s="23"/>
      <c r="BL4" s="23"/>
      <c r="BM4" s="23">
        <v>13.6</v>
      </c>
      <c r="BN4" s="23">
        <v>7.5</v>
      </c>
      <c r="BO4" s="23">
        <v>9.6</v>
      </c>
      <c r="BP4" s="23">
        <v>11.46</v>
      </c>
      <c r="BQ4" s="23">
        <v>0</v>
      </c>
      <c r="BR4" s="33"/>
      <c r="BS4" s="9">
        <f>IF(SUM(AX4:BA4)-BB4&gt;0,SUM(AX4:BA4)-BB4,"")</f>
        <v>43.57</v>
      </c>
      <c r="BT4" s="9">
        <f>IF(BE4&gt;0,BE4,"")</f>
        <v>12.1</v>
      </c>
      <c r="BU4" s="9">
        <f>IF(SUM(BC4:BF4)-BG4&gt;0,SUM(BC4:BF4)-BG4,"")</f>
        <v>51.54</v>
      </c>
      <c r="BV4" s="9" t="str">
        <f>IF(BJ4&gt;0,BJ4,"")</f>
        <v/>
      </c>
      <c r="BW4" s="9" t="str">
        <f>IF(SUM(BH4:BK4)-BL4&gt;0,SUM(BH4:BK4)-BL4,"")</f>
        <v/>
      </c>
      <c r="BX4" s="9">
        <f>IF(BS4="",IF(MAX(BU4,BW4)&gt;0,MAX(BU4,BW4),""),MAX(BU4,BW4)+BS4)</f>
        <v>95.11</v>
      </c>
      <c r="BY4" s="9">
        <f>IF(BO4&gt;0,BO4,"")</f>
        <v>9.6</v>
      </c>
      <c r="BZ4" s="9">
        <f>IF(SUM(BM4:BP4)-BQ4&gt;0,SUM(BM4:BP4)-BQ4,"")</f>
        <v>42.160000000000004</v>
      </c>
      <c r="CA4" s="9">
        <f>IF(SUM(BX4,BZ4)&gt;0,SUM(BX4,BZ4),"")</f>
        <v>137.27000000000001</v>
      </c>
      <c r="CB4" s="27">
        <v>18.399999999999999</v>
      </c>
      <c r="CC4" s="27">
        <v>9.6</v>
      </c>
      <c r="CD4" s="27">
        <v>0</v>
      </c>
      <c r="CE4" s="27">
        <v>16.12</v>
      </c>
      <c r="CF4" s="27">
        <v>0</v>
      </c>
      <c r="CG4" s="27">
        <v>14.9</v>
      </c>
      <c r="CH4" s="27">
        <v>9.5</v>
      </c>
      <c r="CI4" s="27">
        <v>12.3</v>
      </c>
      <c r="CJ4" s="27">
        <v>15.22</v>
      </c>
      <c r="CK4" s="27">
        <v>0</v>
      </c>
      <c r="CL4" s="27"/>
      <c r="CM4" s="27"/>
      <c r="CN4" s="27"/>
      <c r="CO4" s="27"/>
      <c r="CP4" s="27"/>
      <c r="CQ4" s="27">
        <v>15.6</v>
      </c>
      <c r="CR4" s="27">
        <v>9.4</v>
      </c>
      <c r="CS4" s="27">
        <v>11.9</v>
      </c>
      <c r="CT4" s="27">
        <v>15.18</v>
      </c>
      <c r="CU4" s="27">
        <v>0</v>
      </c>
      <c r="CV4" s="32"/>
      <c r="CW4" s="7">
        <f>IF(SUM(CB4:CE4)-CF4&gt;0,SUM(CB4:CE4)-CF4,"")</f>
        <v>44.120000000000005</v>
      </c>
      <c r="CX4" s="7">
        <f>IF(CI4&gt;0,CI4,"")</f>
        <v>12.3</v>
      </c>
      <c r="CY4" s="7">
        <f>IF(SUM(CG4:CJ4)-CK4&gt;0,SUM(CG4:CJ4)-CK4,"")</f>
        <v>51.92</v>
      </c>
      <c r="CZ4" s="7" t="str">
        <f>IF(CN4&gt;0,CN4,"")</f>
        <v/>
      </c>
      <c r="DA4" s="7" t="str">
        <f>IF(SUM(CL4:CO4)-CP4&gt;0,SUM(CL4:CO4)-CP4,"")</f>
        <v/>
      </c>
      <c r="DB4" s="7">
        <f>IF(CW4="",IF(MAX(CY4,DA4)&gt;0,MAX(CY4,DA4),""),MAX(CY4,DA4)+CW4)</f>
        <v>96.04</v>
      </c>
      <c r="DC4" s="7">
        <f>IF(CS4&gt;0,CS4,"")</f>
        <v>11.9</v>
      </c>
      <c r="DD4" s="7">
        <f>IF(SUM(CQ4:CT4)-CU4&gt;0,SUM(CQ4:CT4)-CU4,"")</f>
        <v>52.08</v>
      </c>
      <c r="DE4" s="7">
        <f>IF(SUM(DB4,DD4)&gt;0,SUM(DB4,DD4),"")</f>
        <v>148.12</v>
      </c>
      <c r="DF4" s="13" t="str">
        <f>IF(MAX(DZ4,EV4,FR4,GN4,HJ4,IF4,JB4,JX4,KT4,LP4,ML4,NH4)-IF(K4="",0,K4)&gt;0.001,MAX(DZ4,EV4,FR4,GN4,HJ4,IF4,JB4,JX4,KT4,LP4,ML4,NH4)-IF(K4="",0,K4),"")</f>
        <v/>
      </c>
      <c r="DG4" s="13" t="str">
        <f>IF(MAX(EA4,EW4,FS4,GO4,HK4,IG4,JC4,JY4,KU4,LQ4,MM4,NI4)-IF(M4="",0,M4)&gt;0.001,MAX(EA4,EW4,FS4,GO4,HK4,IG4,JC4,JY4,KU4,LQ4,MM4,NI4)-IF(M4="",0,M4),"")</f>
        <v/>
      </c>
      <c r="DH4" s="13" t="str">
        <f>IF(MAX(EB4,EX4,FT4,GP4,HL4,IH4,JD4,JZ4,KV4,LR4,MN4,NJ4)-IF(I4="",0,I4)&gt;0.001,MAX(EB4,EX4,FT4,GP4,HL4,IH4,JD4,JZ4,KV4,LR4,MN4,NJ4)-IF(I4="",0,I4),"")</f>
        <v/>
      </c>
      <c r="DI4" s="13" t="str">
        <f>IF(MAX(ED4,EZ4,FV4,GR4,HN4,IJ4,JF4,KB4,KX4,LT4,MP4,NL4)-IF(O4="",0,O4)&gt;0.001,MAX(ED4,EZ4,FV4,GR4,HN4,IJ4,JF4,KB4,KX4,LT4,MP4,NL4)-IF(O4="",0,O4),"")</f>
        <v/>
      </c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7" t="str">
        <f>IF(DQ4&gt;0,DQ4,"")</f>
        <v/>
      </c>
      <c r="DZ4" s="7" t="str">
        <f>IF(SUM(DJ4:DM4)-DN4&gt;0,SUM(DJ4:DM4)-DN4,"")</f>
        <v/>
      </c>
      <c r="EA4" s="7" t="str">
        <f>IF(SUM(DO4:DR4)-DS4&gt;0,SUM(DO4:DR4)-DS4,"")</f>
        <v/>
      </c>
      <c r="EB4" s="7" t="str">
        <f>IF(SUM(DZ4:EA4)&gt;0,SUM(DZ4:EA4),"")</f>
        <v/>
      </c>
      <c r="EC4" s="7" t="str">
        <f>IF(DV4&gt;0,DV4,"")</f>
        <v/>
      </c>
      <c r="ED4" s="7" t="str">
        <f>IF(SUM(DT4:DW4)-DX4&gt;0,SUM(DT4:DW4)-DX4,"")</f>
        <v/>
      </c>
      <c r="EE4" s="7" t="str">
        <f>IF(SUM(EB4,ED4)&gt;0,SUM(EB4,ED4),"")</f>
        <v/>
      </c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9" t="str">
        <f>IF(EM4&gt;0,EM4,"")</f>
        <v/>
      </c>
      <c r="EV4" s="9" t="str">
        <f>IF(SUM(EF4:EI4)-EJ4&gt;0,SUM(EF4:EI4)-EJ4,"")</f>
        <v/>
      </c>
      <c r="EW4" s="9" t="str">
        <f>IF(SUM(EK4:EN4)-EO4&gt;0,SUM(EK4:EN4)-EO4,"")</f>
        <v/>
      </c>
      <c r="EX4" s="9" t="str">
        <f>IF(SUM(EV4:EW4)&gt;0,SUM(EV4:EW4),"")</f>
        <v/>
      </c>
      <c r="EY4" s="9" t="str">
        <f>IF(ER4&gt;0,ER4,"")</f>
        <v/>
      </c>
      <c r="EZ4" s="9" t="str">
        <f>IF(SUM(EP4:ES4)-ET4&gt;0,SUM(EP4:ES4)-ET4,"")</f>
        <v/>
      </c>
      <c r="FA4" s="9" t="str">
        <f>IF(SUM(EX4,EZ4)&gt;0,SUM(EX4,EZ4),"")</f>
        <v/>
      </c>
      <c r="FB4" s="18">
        <v>17.600000000000001</v>
      </c>
      <c r="FC4" s="18">
        <v>9.8000000000000007</v>
      </c>
      <c r="FD4" s="18">
        <v>0</v>
      </c>
      <c r="FE4" s="18">
        <v>15.87</v>
      </c>
      <c r="FF4" s="18">
        <v>0</v>
      </c>
      <c r="FG4" s="18">
        <v>13.9</v>
      </c>
      <c r="FH4" s="18">
        <v>9.5</v>
      </c>
      <c r="FI4" s="18">
        <v>13.1</v>
      </c>
      <c r="FJ4" s="18">
        <v>14.66</v>
      </c>
      <c r="FK4" s="18">
        <v>0</v>
      </c>
      <c r="FL4" s="18"/>
      <c r="FM4" s="18"/>
      <c r="FN4" s="18"/>
      <c r="FO4" s="18"/>
      <c r="FP4" s="18"/>
      <c r="FQ4" s="7">
        <f>IF(FI4&gt;0,FI4,"")</f>
        <v>13.1</v>
      </c>
      <c r="FR4" s="7">
        <f>IF(SUM(FB4:FE4)-FF4&gt;0,SUM(FB4:FE4)-FF4,"")</f>
        <v>43.27</v>
      </c>
      <c r="FS4" s="7">
        <f>IF(SUM(FG4:FJ4)-FK4&gt;0,SUM(FG4:FJ4)-FK4,"")</f>
        <v>51.16</v>
      </c>
      <c r="FT4" s="7">
        <f>IF(SUM(FR4:FS4)&gt;0,SUM(FR4:FS4),"")</f>
        <v>94.43</v>
      </c>
      <c r="FU4" s="7" t="str">
        <f>IF(FN4&gt;0,FN4,"")</f>
        <v/>
      </c>
      <c r="FV4" s="7" t="str">
        <f>IF(SUM(FL4:FO4)-FP4&gt;0,SUM(FL4:FO4)-FP4,"")</f>
        <v/>
      </c>
      <c r="FW4" s="7">
        <f>IF(SUM(FT4,FV4)&gt;0,SUM(FT4,FV4),"")</f>
        <v>94.43</v>
      </c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9" t="str">
        <f>IF(GE4&gt;0,GE4,"")</f>
        <v/>
      </c>
      <c r="GN4" s="9" t="str">
        <f>IF(SUM(FX4:GA4)-GB4&gt;0,SUM(FX4:GA4)-GB4,"")</f>
        <v/>
      </c>
      <c r="GO4" s="9" t="str">
        <f>IF(SUM(GC4:GF4)-GG4&gt;0,SUM(GC4:GF4)-GG4,"")</f>
        <v/>
      </c>
      <c r="GP4" s="9" t="str">
        <f>IF(SUM(GN4:GO4)&gt;0,SUM(GN4:GO4),"")</f>
        <v/>
      </c>
      <c r="GQ4" s="9" t="str">
        <f>IF(GJ4&gt;0,GJ4,"")</f>
        <v/>
      </c>
      <c r="GR4" s="9" t="str">
        <f>IF(SUM(GH4:GK4)-GL4&gt;0,SUM(GH4:GK4)-GL4,"")</f>
        <v/>
      </c>
      <c r="GS4" s="9" t="str">
        <f>IF(SUM(GP4,GR4)&gt;0,SUM(GP4,GR4),"")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>IF(HA4&gt;0,HA4,"")</f>
        <v/>
      </c>
      <c r="HJ4" s="7" t="str">
        <f>IF(SUM(GT4:GW4)-GX4&gt;0,SUM(GT4:GW4)-GX4,"")</f>
        <v/>
      </c>
      <c r="HK4" s="7" t="str">
        <f>IF(SUM(GY4:HB4)-HC4&gt;0,SUM(GY4:HB4)-HC4,"")</f>
        <v/>
      </c>
      <c r="HL4" s="7" t="str">
        <f>IF(SUM(HJ4:HK4)&gt;0,SUM(HJ4:HK4),"")</f>
        <v/>
      </c>
      <c r="HM4" s="7" t="str">
        <f>IF(HF4&gt;0,HF4,"")</f>
        <v/>
      </c>
      <c r="HN4" s="7" t="str">
        <f>IF(SUM(HD4:HG4)-HH4&gt;0,SUM(HD4:HG4)-HH4,"")</f>
        <v/>
      </c>
      <c r="HO4" s="7" t="str">
        <f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>IF(HW4&gt;0,HW4,"")</f>
        <v/>
      </c>
      <c r="IF4" s="9" t="str">
        <f>IF(SUM(HP4:HS4)-HT4&gt;0,SUM(HP4:HS4)-HT4,"")</f>
        <v/>
      </c>
      <c r="IG4" s="9" t="str">
        <f>IF(SUM(HU4:HX4)-HY4&gt;0,SUM(HU4:HX4)-HY4,"")</f>
        <v/>
      </c>
      <c r="IH4" s="9" t="str">
        <f>IF(SUM(IF4:IG4)&gt;0,SUM(IF4:IG4),"")</f>
        <v/>
      </c>
      <c r="II4" s="9" t="str">
        <f>IF(IB4&gt;0,IB4,"")</f>
        <v/>
      </c>
      <c r="IJ4" s="9" t="str">
        <f>IF(SUM(HZ4:IC4)-ID4&gt;0,SUM(HZ4:IC4)-ID4,"")</f>
        <v/>
      </c>
      <c r="IK4" s="9" t="str">
        <f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>IF(IS4&gt;0,IS4,"")</f>
        <v/>
      </c>
      <c r="JB4" s="7" t="str">
        <f>IF(SUM(IL4:IO4)-IP4&gt;0,SUM(IL4:IO4)-IP4,"")</f>
        <v/>
      </c>
      <c r="JC4" s="7" t="str">
        <f>IF(SUM(IQ4:IT4)-IU4&gt;0,SUM(IQ4:IT4)-IU4,"")</f>
        <v/>
      </c>
      <c r="JD4" s="7" t="str">
        <f>IF(SUM(JB4:JC4)&gt;0,SUM(JB4:JC4),"")</f>
        <v/>
      </c>
      <c r="JE4" s="7" t="str">
        <f>IF(IX4&gt;0,IX4,"")</f>
        <v/>
      </c>
      <c r="JF4" s="7" t="str">
        <f>IF(SUM(IV4:IY4)-IZ4&gt;0,SUM(IV4:IY4)-IZ4,"")</f>
        <v/>
      </c>
      <c r="JG4" s="7" t="str">
        <f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>IF(JO4&gt;0,JO4,"")</f>
        <v/>
      </c>
      <c r="JX4" s="9" t="str">
        <f>IF(SUM(JH4:JK4)-JL4&gt;0,SUM(JH4:JK4)-JL4,"")</f>
        <v/>
      </c>
      <c r="JY4" s="9" t="str">
        <f>IF(SUM(JM4:JP4)-JQ4&gt;0,SUM(JM4:JP4)-JQ4,"")</f>
        <v/>
      </c>
      <c r="JZ4" s="9" t="str">
        <f>IF(SUM(JX4:JY4)&gt;0,SUM(JX4:JY4),"")</f>
        <v/>
      </c>
      <c r="KA4" s="9" t="str">
        <f>IF(JT4&gt;0,JT4,"")</f>
        <v/>
      </c>
      <c r="KB4" s="9" t="str">
        <f>IF(SUM(JR4:JU4)-JV4&gt;0,SUM(JR4:JU4)-JV4,"")</f>
        <v/>
      </c>
      <c r="KC4" s="9" t="str">
        <f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>IF(KK4&gt;0,KK4,"")</f>
        <v/>
      </c>
      <c r="KT4" s="7" t="str">
        <f>IF(SUM(KD4:KG4)-KH4&gt;0,SUM(KD4:KG4)-KH4,"")</f>
        <v/>
      </c>
      <c r="KU4" s="7" t="str">
        <f>IF(SUM(KI4:KL4)-KM4&gt;0,SUM(KI4:KL4)-KM4,"")</f>
        <v/>
      </c>
      <c r="KV4" s="7" t="str">
        <f>IF(SUM(KT4:KU4)&gt;0,SUM(KT4:KU4),"")</f>
        <v/>
      </c>
      <c r="KW4" s="7" t="str">
        <f>IF(KP4&gt;0,KP4,"")</f>
        <v/>
      </c>
      <c r="KX4" s="7" t="str">
        <f>IF(SUM(KN4:KQ4)-KR4&gt;0,SUM(KN4:KQ4)-KR4,"")</f>
        <v/>
      </c>
      <c r="KY4" s="7" t="str">
        <f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>IF(LG4&gt;0,LG4,"")</f>
        <v/>
      </c>
      <c r="LP4" s="9" t="str">
        <f>IF(SUM(KZ4:LC4)-LD4&gt;0,SUM(KZ4:LC4)-LD4,"")</f>
        <v/>
      </c>
      <c r="LQ4" s="9" t="str">
        <f>IF(SUM(LE4:LH4)-LI4&gt;0,SUM(LE4:LH4)-LI4,"")</f>
        <v/>
      </c>
      <c r="LR4" s="9" t="str">
        <f>IF(SUM(LP4:LQ4)&gt;0,SUM(LP4:LQ4),"")</f>
        <v/>
      </c>
      <c r="LS4" s="9" t="str">
        <f>IF(LL4&gt;0,LL4,"")</f>
        <v/>
      </c>
      <c r="LT4" s="9" t="str">
        <f>IF(SUM(LJ4:LM4)-LN4&gt;0,SUM(LJ4:LM4)-LN4,"")</f>
        <v/>
      </c>
      <c r="LU4" s="9" t="str">
        <f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>IF(MC4&gt;0,MC4,"")</f>
        <v/>
      </c>
      <c r="ML4" s="7" t="str">
        <f>IF(SUM(LV4:LY4)-LZ4&gt;0,SUM(LV4:LY4)-LZ4,"")</f>
        <v/>
      </c>
      <c r="MM4" s="7" t="str">
        <f>IF(SUM(MA4:MD4)-ME4&gt;0,SUM(MA4:MD4)-ME4,"")</f>
        <v/>
      </c>
      <c r="MN4" s="7" t="str">
        <f>IF(SUM(ML4:MM4)&gt;0,SUM(ML4:MM4),"")</f>
        <v/>
      </c>
      <c r="MO4" s="7" t="str">
        <f>IF(MH4&gt;0,MH4,"")</f>
        <v/>
      </c>
      <c r="MP4" s="7" t="str">
        <f>IF(SUM(MF4:MI4)-MJ4&gt;0,SUM(MF4:MI4)-MJ4,"")</f>
        <v/>
      </c>
      <c r="MQ4" s="7" t="str">
        <f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>IF(MY4&gt;0,MY4,"")</f>
        <v/>
      </c>
      <c r="NH4" s="9" t="str">
        <f>IF(SUM(MR4:MU4)-MV4&gt;0,SUM(MR4:MU4)-MV4,"")</f>
        <v/>
      </c>
      <c r="NI4" s="9" t="str">
        <f>IF(SUM(MW4:MZ4)-NA4&gt;0,SUM(MW4:MZ4)-NA4,"")</f>
        <v/>
      </c>
      <c r="NJ4" s="9" t="str">
        <f>IF(SUM(NH4:NI4)&gt;0,SUM(NH4:NI4),"")</f>
        <v/>
      </c>
      <c r="NK4" s="9" t="str">
        <f>IF(ND4&gt;0,ND4,"")</f>
        <v/>
      </c>
      <c r="NL4" s="9" t="str">
        <f>IF(SUM(NB4:NE4)-NF4&gt;0,SUM(NB4:NE4)-NF4,"")</f>
        <v/>
      </c>
      <c r="NM4" s="9" t="str">
        <f>IF(SUM(NJ4,NL4)&gt;0,SUM(NJ4,NL4),"")</f>
        <v/>
      </c>
      <c r="NN4" s="27">
        <f>IF($CV4="P",CB4,(CB4+AX4)/2)</f>
        <v>18.45</v>
      </c>
      <c r="NO4" s="27">
        <f>IF($CV4="P",CC4,(CC4+AY4)/2)</f>
        <v>9.6499999999999986</v>
      </c>
      <c r="NP4" s="27">
        <f>IF($CV4="P",CD4,(CD4+AZ4)/2)</f>
        <v>0</v>
      </c>
      <c r="NQ4" s="27">
        <f>IF($CV4="P",CE4,(CE4+BA4)/2)</f>
        <v>15.745000000000001</v>
      </c>
      <c r="NR4" s="27">
        <f>IF($CV4="P",CF4,(CF4+BB4)/2)</f>
        <v>0</v>
      </c>
      <c r="NS4" s="27">
        <f>IF($CV4="P",CG4,(CG4+BC4)/2)</f>
        <v>15.45</v>
      </c>
      <c r="NT4" s="27">
        <f>IF($CV4="P",CH4,(CH4+BD4)/2)</f>
        <v>9.35</v>
      </c>
      <c r="NU4" s="27">
        <f>IF($CV4="P",CI4,(CI4+BE4)/2)</f>
        <v>12.2</v>
      </c>
      <c r="NV4" s="27">
        <f>IF($CV4="P",CJ4,(CJ4+BF4)/2)</f>
        <v>14.73</v>
      </c>
      <c r="NW4" s="27">
        <f>IF($CV4="P",CK4,(CK4+BG4)/2)</f>
        <v>0</v>
      </c>
      <c r="NX4" s="27">
        <f>IF($CV4="P",CL4,(CL4+BH4)/2)</f>
        <v>0</v>
      </c>
      <c r="NY4" s="27">
        <f>IF($CV4="P",CM4,(CM4+BI4)/2)</f>
        <v>0</v>
      </c>
      <c r="NZ4" s="27">
        <f>IF($CV4="P",CN4,(CN4+BJ4)/2)</f>
        <v>0</v>
      </c>
      <c r="OA4" s="27">
        <f>IF($CV4="P",CO4,(CO4+BK4)/2)</f>
        <v>0</v>
      </c>
      <c r="OB4" s="27">
        <f>IF($CV4="P",CP4,(CP4+BL4)/2)</f>
        <v>0</v>
      </c>
      <c r="OC4" s="27">
        <f>IF($CV4="P",CQ4,(CQ4+BM4)/2)</f>
        <v>14.6</v>
      </c>
      <c r="OD4" s="27">
        <f>IF($CV4="P",CR4,(CR4+BN4)/2)</f>
        <v>8.4499999999999993</v>
      </c>
      <c r="OE4" s="27">
        <f>IF($CV4="P",CS4,(CS4+BO4)/2)</f>
        <v>10.75</v>
      </c>
      <c r="OF4" s="27">
        <f>IF($CV4="P",CT4,(CT4+BP4)/2)</f>
        <v>13.32</v>
      </c>
      <c r="OG4" s="27">
        <f>IF($CV4="P",CU4,(CU4+BQ4)/2)</f>
        <v>0</v>
      </c>
      <c r="OH4" s="32" t="s">
        <v>44</v>
      </c>
      <c r="OI4" s="7">
        <f>IF(SUM(NN4:NQ4)-NR4&gt;0,SUM(NN4:NQ4)-NR4,"")</f>
        <v>43.844999999999999</v>
      </c>
      <c r="OJ4" s="7">
        <f>IF(NU4&gt;0,NU4,"")</f>
        <v>12.2</v>
      </c>
      <c r="OK4" s="7">
        <f>IF(SUM(NS4:NV4)-NW4&gt;0,SUM(NS4:NV4)-NW4,"")</f>
        <v>51.730000000000004</v>
      </c>
      <c r="OL4" s="7" t="str">
        <f>IF(NZ4&gt;0,NZ4,"")</f>
        <v/>
      </c>
      <c r="OM4" s="7" t="str">
        <f>IF(SUM(NX4:OA4)-OB4&gt;0,SUM(NX4:OA4)-OB4,"")</f>
        <v/>
      </c>
      <c r="ON4" s="7">
        <f>IF(OR(OI4&lt;&gt;"",OK4&lt;&gt;"",OM4&lt;&gt;""),OI4+MAX(OK4,OM4),"")</f>
        <v>95.575000000000003</v>
      </c>
      <c r="OO4" s="7">
        <f>IF(OE4&gt;0,OE4,"")</f>
        <v>10.75</v>
      </c>
      <c r="OP4" s="7">
        <f t="shared" ref="OP4" si="0">IF(SUM(OC4:OF4)-OG4&gt;0,SUM(OC4:OF4)-OG4,"")</f>
        <v>47.12</v>
      </c>
      <c r="OQ4" s="7">
        <f t="shared" ref="OQ4" si="1">IF(SUM(ON4,OP4)&gt;0,SUM(ON4,OP4),"")</f>
        <v>142.69499999999999</v>
      </c>
    </row>
    <row r="5" spans="1:407" x14ac:dyDescent="0.2">
      <c r="A5" s="4" t="str" cm="1">
        <f t="array" ref="A5">IF(AND(H5&lt;&gt;"",H5&lt;&gt;"No DD"),SUMPRODUCT((H$4:H$6&lt;&gt;"")*(H$4:H$6&lt;&gt;"No DD")*(E$4:E$6&gt;E5))+1,IF(H5="No DD",SUMPRODUCT((H$4:H$6="No DD")*(E$4:E$6&gt;E5))+1+SUMPRODUCT((H$4:H$6&lt;&gt;"")*(H$4:H$6&lt;&gt;"No DD")),""))</f>
        <v/>
      </c>
      <c r="B5" s="5" t="s">
        <v>81</v>
      </c>
      <c r="C5" s="4" t="s">
        <v>66</v>
      </c>
      <c r="D5" s="4">
        <v>2008</v>
      </c>
      <c r="E5" s="10">
        <f>SUM(I5:Q5)</f>
        <v>226.26</v>
      </c>
      <c r="F5" s="3" t="str">
        <f>IF(OR(AND(AP5&gt;=AW$8,AT5&gt;=AW$12,AO5&lt;&gt;"",AN5=""),AND(BT5&gt;=CA$8,BX5&gt;=CA$12,BS5&lt;&gt;"",BR5=""),AND(CX5&gt;=DE$8,DB5&gt;=DE$12,CW5&lt;&gt;"",CV5=""),AND(DY5&gt;=EE$8,EB5&gt;=EE$12,DY5&lt;&gt;""),AND(EU5&gt;=FA$8,EX5&gt;=FA$12,EU5&lt;&gt;""),AND(FQ5&gt;=FW$8,FT5&gt;=FW$12,FQ5&lt;&gt;""),AND(GM5&gt;=GS$8,GP5&gt;=GS$12,GM5&lt;&gt;""),AND(HI5&gt;=HO$8,HL5&gt;=HO$12,HI5&lt;&gt;""),AND(IE5&gt;=IK$8,IH5&gt;=IK$12,IE5&lt;&gt;""),AND(JA5&gt;=JG$8,JD5&gt;=JG$12,JA5&lt;&gt;""),AND(JW5&gt;=KC$8,JZ5&gt;=KC$12,JW5&lt;&gt;""),AND(KS5&gt;=KY$8,KV5&gt;=KY$12,KS5&lt;&gt;""),AND(LO5&gt;=LU$8,LR5&gt;=LU$12,LO5&lt;&gt;""),AND(MK5&gt;=MQ$8,MN5&gt;=MQ$12,MK5&lt;&gt;""),AND(NG5&gt;=NM$8,NJ5&gt;=NM$12,NG5&lt;&gt;"")),"P","")</f>
        <v/>
      </c>
      <c r="G5" s="3" t="str">
        <f>IF(OR(AND(AT5&gt;=AW$12,AO5&lt;&gt;"",AN5=""),AND(BX5&gt;=CA$12,BS5&lt;&gt;"",BR5=""),AND(DB5&gt;=DE$12,CW5&lt;&gt;"",CV5=""),AND(EB5&gt;=EE$12,DY5&lt;&gt;""),AND(EX5&gt;=FA$12,EU5&lt;&gt;""),AND(FT5&gt;=FW$12,FQ5&lt;&gt;""),AND(GP5&gt;=GS$12,GM5&lt;&gt;""),AND(HL5&gt;=HO$12,HI5&lt;&gt;""),AND(IH5&gt;=IK$12,IE5&lt;&gt;""),AND(JD5&gt;=JG$12,JA5&lt;&gt;""),AND(JZ5&gt;=KC$12,JW5&lt;&gt;""),AND(KV5&gt;=KY$12,KS5&lt;&gt;""),AND(LR5&gt;=LU$12,LO5&lt;&gt;""),AND(MN5&gt;=MQ$12,MK5&lt;&gt;""),AND(NJ5&gt;=NM$12,NG5&lt;&gt;"")),"P","")</f>
        <v/>
      </c>
      <c r="H5" s="47" t="str">
        <f>IF(OR(AND(AP5&gt;=AW$11,AQ5&gt;=AW$15,AP5&lt;&gt;"",AN5=""),AND(AU5&gt;=AW$11,AV5&gt;=AW$15,AU5&lt;&gt;"",AN5=""),AND(BT5&gt;=CA$11,BU5&gt;=CA$15,BT5&lt;&gt;"",BR5=""),AND(BY5&gt;=CA$11,BZ5&gt;=CA$15,BY5&lt;&gt;"",BR5=""),AND(CX5&gt;=DE$11,CY5&gt;=DE$15,CX5&lt;&gt;"",CV5=""),AND(DC5&gt;=DE$11,DD5&gt;=DE$15,DC5&lt;&gt;"",CV5=""),AND(DY5&gt;=EE$11,EA5&gt;=EE$15,DY5&lt;&gt;""),AND(EC5&gt;=EE$11,ED5&gt;=EE$15,EC5&lt;&gt;""),AND(EU5&gt;=FA$11,EW5&gt;=FA$15,EU5&lt;&gt;""),AND(EY5&gt;=FA$11,EZ5&gt;=FA$15,EY5&lt;&gt;""),AND(FQ5&gt;=FW$11,FS5&gt;=FW$15,FQ5&lt;&gt;""),AND(FU5&gt;=FW$11,FV5&gt;=FW$15,FU5&lt;&gt;""),AND(GM5&gt;=GS$11,GO5&gt;=GS$15,GM5&lt;&gt;""),AND(GQ5&gt;=GS$11,GR5&gt;=GS$15,GQ5&lt;&gt;""),AND(HI5&gt;=HO$11,HK5&gt;=HO$15,HI5&lt;&gt;""),AND(HM5&gt;=HO$11,HN5&gt;=HO$15,HM5&lt;&gt;""),AND(IE5&gt;=IK$11,IG5&gt;=IK$15,IE5&lt;&gt;""),AND(II5&gt;=IK$11,IJ5&gt;=IK$15,II5&lt;&gt;""),AND(JA5&gt;=JG$11,JC5&gt;=JG$15,JA5&lt;&gt;""),AND(JE5&gt;=JG$11,JF5&gt;=JG$15,JE5&lt;&gt;""),AND(JW5&gt;=KC$11,JY5&gt;=KC$15,JW5&lt;&gt;""),AND(KA5&gt;=KC$11,KB5&gt;=KC$15,KA5&lt;&gt;""),AND(KS5&gt;=KY$11,KU5&gt;=KY$15,KS5&lt;&gt;""),AND(KW5&gt;=KY$11,KX5&gt;=KY$15,KW5&lt;&gt;""),AND(LO5&gt;=LU$11,LQ5&gt;=LU$15,LO5&lt;&gt;""),AND(LS5&gt;=LU$11,LT5&gt;=LU$15,LS5&lt;&gt;""),AND(MK5&gt;=MQ$11,MM5&gt;=MQ$15,MK5&lt;&gt;""),AND(MO5&gt;=MQ$11,MP5&gt;=MQ$15,MO5&lt;&gt;""),AND(NG5&gt;=NM$11,NI5&gt;=NM$15,NG5&lt;&gt;""),AND(NK5&gt;=NM$11,NL5&gt;=NM$15,NK5&lt;&gt;"")),"Merit",IF(OR(AND(AP5&gt;=AW$10,AT5&gt;=AW$14,AO5&lt;&gt;"",AN5=""),AND(BT5&gt;=CA$10,BX5&gt;=CA$14,BS5&lt;&gt;"",BR5=""),AND(CX5&gt;=DE$10,DB5&gt;=DE$14,CW5&lt;&gt;"",CV5=""),AND(DY5&gt;=EE$10,EB5&gt;=EE$14,DY5&lt;&gt;""),AND(EU5&gt;=FA$10,EX5&gt;=FA$14,EU5&lt;&gt;""),AND(FQ5&gt;=FW$10,FT5&gt;=FW$14,FQ5&lt;&gt;""),AND(GM5&gt;=GS$10,GP5&gt;=GS$14,GM5&lt;&gt;""),AND(HI5&gt;=HO$10,HL5&gt;=HO$14,HI5&lt;&gt;""),AND(IE5&gt;=IK$10,IH5&gt;=IK$14,IE5&lt;&gt;""),AND(JA5&gt;=JG$10,JD5&gt;=JG$14,JA5&lt;&gt;""),AND(JW5&gt;=KC$10,JZ5&gt;=KC$14,JW5&lt;&gt;""),AND(KS5&gt;=KY$10,KV5&gt;=KY$14,KS5&lt;&gt;""),AND(LO5&gt;=LU$10,LR5&gt;=LU$14,LO5&lt;&gt;""),AND(MK5&gt;=MQ$10,MN5&gt;=MQ$14,MK5&lt;&gt;""),AND(NG5&gt;=NM$10,NJ5&gt;=NM$14,NG5&lt;&gt;"")),"Excellence",IF(OR(AND(AP5&gt;=AW$8,AT5&gt;=AW$12,AO5&lt;&gt;"",AN5=""),AND(BT5&gt;=CA$8,BX5&gt;=CA$12,BS5&lt;&gt;"",BR5=""),AND(CX5&gt;=DE$8,DB5&gt;=DE$12,CW5&lt;&gt;"",CV5=""),AND(DY5&gt;=EE$8,EB5&gt;=EE$12,DY5&lt;&gt;""),AND(EU5&gt;=FA$8,EX5&gt;=FA$12,EU5&lt;&gt;""),AND(FQ5&gt;=FW$8,FT5&gt;=FW$12,FQ5&lt;&gt;""),AND(GM5&gt;=GS$8,GP5&gt;=GS$12,GM5&lt;&gt;""),AND(HI5&gt;=HO$8,HL5&gt;=HO$12,HI5&lt;&gt;""),AND(IE5&gt;=IK$8,IH5&gt;=IK$12,IE5&lt;&gt;""),AND(JA5&gt;=JG$8,JD5&gt;=JG$12,JA5&lt;&gt;""),AND(JW5&gt;=KC$8,JZ5&gt;=KC$12,JW5&lt;&gt;""),AND(KS5&gt;=KY$8,KV5&gt;=KY$12,KS5&lt;&gt;""),AND(LO5&gt;=LU$8,LR5&gt;=LU$12,LO5&lt;&gt;""),AND(MK5&gt;=MQ$8,MN5&gt;=MQ$12,MK5&lt;&gt;""),AND(NG5&gt;=NM$8,NJ5&gt;=NM$12,NG5&lt;&gt;"")),"National Team",IF(G5="P","No DD",""))))</f>
        <v/>
      </c>
      <c r="I5" s="9">
        <f>IF(MAX(AT5,BX5,DB5)&gt;0,MAX(AT5,BX5,DB5),0)</f>
        <v>84.57</v>
      </c>
      <c r="J5" s="9" t="str">
        <f>IF(I5=0,"",IF(I5=DB5,$CB$1,IF(I5=BX5,$AX$1,IF(I5=AT5,$T$1,""))))</f>
        <v>2023 Nationals</v>
      </c>
      <c r="K5" s="9">
        <f>IF($I5=$AT5,MAX(BS5,CW5),IF($I5=$BX5,MAX(AO5,CW5),IF($I5=$DB5,MAX(AO5,BS5),MAX(AO5,BS5,CW5))))</f>
        <v>41.28</v>
      </c>
      <c r="L5" s="9" t="str">
        <f>IF(K5=0,"",IF(AND(K5=CW5,$J5&lt;&gt;$CB$1),$CB$1,IF(AND(K5=BS5,$J5&lt;&gt;$AX$1),$AX$1,IF(AND(K5=AO5,$J5&lt;&gt;$T$1),$T$1,""))))</f>
        <v>2023 3rd Domestic Trial</v>
      </c>
      <c r="M5" s="9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38.090000000000003</v>
      </c>
      <c r="N5" s="9" t="str">
        <f>IF(M5=0,"",IF(AND(OR(M5=DA5,M5=CY5),$J5&lt;&gt;$CB$1),$CB$1,IF(AND(OR(M5=BW5,M5=BU5),$J5&lt;&gt;$AX$1),$AX$1,IF(AND(OR(M5=AS5,M5=AQ5),$J5&lt;&gt;$T$1),$T$1,""))))</f>
        <v>2023 Elite Canada</v>
      </c>
      <c r="O5" s="9">
        <f>MAX(AV5,BZ5,DD5)</f>
        <v>50.25</v>
      </c>
      <c r="P5" s="9" t="str">
        <f>IF(O5=0,"",IF(O5=DD5,$CB$1,IF(O5=BZ5,$AX$1,IF(O5=AV5,$T$1,""))))</f>
        <v>2023 Nationals</v>
      </c>
      <c r="Q5" s="9">
        <f>IF(MAX(DF5,DG5,DH5,DI5)&gt;0,MAX(DF5,DG5,DH5,DI5),"")</f>
        <v>12.069999999999993</v>
      </c>
      <c r="R5" s="14" t="str">
        <f>IF(Q5="","",IF(Q5=DF5,"(Vol 1)",IF(Q5=DG5,"(Vol 2)",IF(Q5=DH5,"(Prelim)",IF(Q5=DI5,"(Final)")))))</f>
        <v>(Vol 2)</v>
      </c>
      <c r="S5" s="9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>2023 WAGC (Nov 16)</v>
      </c>
      <c r="T5" s="27">
        <v>16.2</v>
      </c>
      <c r="U5" s="27">
        <v>9.4</v>
      </c>
      <c r="V5" s="27">
        <v>0</v>
      </c>
      <c r="W5" s="27">
        <v>13.45</v>
      </c>
      <c r="X5" s="27">
        <v>0</v>
      </c>
      <c r="Y5" s="27">
        <v>10.5</v>
      </c>
      <c r="Z5" s="27">
        <v>6.5</v>
      </c>
      <c r="AA5" s="27">
        <v>10.199999999999999</v>
      </c>
      <c r="AB5" s="27">
        <v>10.89</v>
      </c>
      <c r="AC5" s="27">
        <v>0</v>
      </c>
      <c r="AD5" s="27"/>
      <c r="AE5" s="27"/>
      <c r="AF5" s="27"/>
      <c r="AG5" s="27"/>
      <c r="AH5" s="27"/>
      <c r="AI5" s="27">
        <v>11.6</v>
      </c>
      <c r="AJ5" s="27">
        <v>9</v>
      </c>
      <c r="AK5" s="27">
        <v>12.9</v>
      </c>
      <c r="AL5" s="27">
        <v>13.75</v>
      </c>
      <c r="AM5" s="27">
        <v>0</v>
      </c>
      <c r="AN5" s="32"/>
      <c r="AO5" s="7">
        <f>IF(SUM(T5:W5)-X5&gt;0,SUM(T5:W5)-X5,"")</f>
        <v>39.049999999999997</v>
      </c>
      <c r="AP5" s="7">
        <f>IF(AA5&gt;0,AA5,"")</f>
        <v>10.199999999999999</v>
      </c>
      <c r="AQ5" s="7">
        <f>IF(SUM(Y5:AB5)-AC5&gt;0,SUM(Y5:AB5)-AC5,"")</f>
        <v>38.090000000000003</v>
      </c>
      <c r="AR5" s="7" t="str">
        <f>IF(AF5&gt;0,AF5,"")</f>
        <v/>
      </c>
      <c r="AS5" s="7" t="str">
        <f>IF(SUM(AD5:AG5)-AH5&gt;0,SUM(AD5:AG5)-AH5,"")</f>
        <v/>
      </c>
      <c r="AT5" s="7">
        <f>IF(AO5="",IF(MAX(AQ5,AS5)&gt;0,MAX(AQ5,AS5),""),MAX(AQ5,AS5)+AO5)</f>
        <v>77.14</v>
      </c>
      <c r="AU5" s="7">
        <f>IF(AK5&gt;0,AK5,"")</f>
        <v>12.9</v>
      </c>
      <c r="AV5" s="7">
        <f>IF(SUM(AI5:AL5)-AM5&gt;0,SUM(AI5:AL5)-AM5,"")</f>
        <v>47.25</v>
      </c>
      <c r="AW5" s="7">
        <f>IF(SUM(AT5,AV5)&gt;0,SUM(AT5,AV5),"")</f>
        <v>124.39</v>
      </c>
      <c r="AX5" s="23">
        <v>15.5</v>
      </c>
      <c r="AY5" s="23">
        <v>9.3000000000000007</v>
      </c>
      <c r="AZ5" s="23">
        <v>0</v>
      </c>
      <c r="BA5" s="23">
        <v>14.32</v>
      </c>
      <c r="BB5" s="23">
        <v>0</v>
      </c>
      <c r="BC5" s="23">
        <v>11.2</v>
      </c>
      <c r="BD5" s="23">
        <v>8.6</v>
      </c>
      <c r="BE5" s="23">
        <v>11.8</v>
      </c>
      <c r="BF5" s="23">
        <v>13.85</v>
      </c>
      <c r="BG5" s="23">
        <v>0</v>
      </c>
      <c r="BH5" s="23"/>
      <c r="BI5" s="23"/>
      <c r="BJ5" s="23"/>
      <c r="BK5" s="23"/>
      <c r="BL5" s="23"/>
      <c r="BM5" s="23">
        <v>13.8</v>
      </c>
      <c r="BN5" s="23">
        <v>8.9</v>
      </c>
      <c r="BO5" s="23">
        <v>13.3</v>
      </c>
      <c r="BP5" s="23">
        <v>14.25</v>
      </c>
      <c r="BQ5" s="23">
        <v>0</v>
      </c>
      <c r="BR5" s="33"/>
      <c r="BS5" s="9">
        <f>IF(SUM(AX5:BA5)-BB5&gt;0,SUM(AX5:BA5)-BB5,"")</f>
        <v>39.120000000000005</v>
      </c>
      <c r="BT5" s="9">
        <f>IF(BE5&gt;0,BE5,"")</f>
        <v>11.8</v>
      </c>
      <c r="BU5" s="9">
        <f>IF(SUM(BC5:BF5)-BG5&gt;0,SUM(BC5:BF5)-BG5,"")</f>
        <v>45.449999999999996</v>
      </c>
      <c r="BV5" s="9" t="str">
        <f>IF(BJ5&gt;0,BJ5,"")</f>
        <v/>
      </c>
      <c r="BW5" s="9" t="str">
        <f>IF(SUM(BH5:BK5)-BL5&gt;0,SUM(BH5:BK5)-BL5,"")</f>
        <v/>
      </c>
      <c r="BX5" s="9">
        <f>IF(BS5="",IF(MAX(BU5,BW5)&gt;0,MAX(BU5,BW5),""),MAX(BU5,BW5)+BS5)</f>
        <v>84.57</v>
      </c>
      <c r="BY5" s="9">
        <f>IF(BO5&gt;0,BO5,"")</f>
        <v>13.3</v>
      </c>
      <c r="BZ5" s="9">
        <f>IF(SUM(BM5:BP5)-BQ5&gt;0,SUM(BM5:BP5)-BQ5,"")</f>
        <v>50.25</v>
      </c>
      <c r="CA5" s="9">
        <f>IF(SUM(BX5,BZ5)&gt;0,SUM(BX5,BZ5),"")</f>
        <v>134.82</v>
      </c>
      <c r="CB5" s="27">
        <v>16.8</v>
      </c>
      <c r="CC5" s="27">
        <v>9.5</v>
      </c>
      <c r="CD5" s="27">
        <v>0</v>
      </c>
      <c r="CE5" s="27">
        <v>14.98</v>
      </c>
      <c r="CF5" s="27">
        <v>0</v>
      </c>
      <c r="CG5" s="27">
        <v>2.7</v>
      </c>
      <c r="CH5" s="27">
        <v>1.7</v>
      </c>
      <c r="CI5" s="27">
        <v>3.2</v>
      </c>
      <c r="CJ5" s="27">
        <v>3.26</v>
      </c>
      <c r="CK5" s="27">
        <v>0</v>
      </c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32"/>
      <c r="CW5" s="7">
        <f>IF(SUM(CB5:CE5)-CF5&gt;0,SUM(CB5:CE5)-CF5,"")</f>
        <v>41.28</v>
      </c>
      <c r="CX5" s="7">
        <f>IF(CI5&gt;0,CI5,"")</f>
        <v>3.2</v>
      </c>
      <c r="CY5" s="7">
        <f>IF(SUM(CG5:CJ5)-CK5&gt;0,SUM(CG5:CJ5)-CK5,"")</f>
        <v>10.86</v>
      </c>
      <c r="CZ5" s="7" t="str">
        <f>IF(CN5&gt;0,CN5,"")</f>
        <v/>
      </c>
      <c r="DA5" s="7" t="str">
        <f>IF(SUM(CL5:CO5)-CP5&gt;0,SUM(CL5:CO5)-CP5,"")</f>
        <v/>
      </c>
      <c r="DB5" s="7">
        <f>IF(CW5="",IF(MAX(CY5,DA5)&gt;0,MAX(CY5,DA5),""),MAX(CY5,DA5)+CW5)</f>
        <v>52.14</v>
      </c>
      <c r="DC5" s="7" t="str">
        <f>IF(CS5&gt;0,CS5,"")</f>
        <v/>
      </c>
      <c r="DD5" s="7" t="str">
        <f>IF(SUM(CQ5:CT5)-CU5&gt;0,SUM(CQ5:CT5)-CU5,"")</f>
        <v/>
      </c>
      <c r="DE5" s="7">
        <f>IF(SUM(DB5,DD5)&gt;0,SUM(DB5,DD5),"")</f>
        <v>52.14</v>
      </c>
      <c r="DF5" s="13" t="str">
        <f>IF(MAX(DZ5,EV5,FR5,GN5,HJ5,IF5,JB5,JX5,KT5,LP5,ML5,NH5)-IF(K5="",0,K5)&gt;0.001,MAX(DZ5,EV5,FR5,GN5,HJ5,IF5,JB5,JX5,KT5,LP5,ML5,NH5)-IF(K5="",0,K5),"")</f>
        <v/>
      </c>
      <c r="DG5" s="13">
        <f>IF(MAX(EA5,EW5,FS5,GO5,HK5,IG5,JC5,JY5,KU5,LQ5,MM5,NI5)-IF(M5="",0,M5)&gt;0.001,MAX(EA5,EW5,FS5,GO5,HK5,IG5,JC5,JY5,KU5,LQ5,MM5,NI5)-IF(M5="",0,M5),"")</f>
        <v>12.069999999999993</v>
      </c>
      <c r="DH5" s="13">
        <f>IF(MAX(EB5,EX5,FT5,GP5,HL5,IH5,JD5,JZ5,KV5,LR5,MN5,NJ5)-IF(I5="",0,I5)&gt;0.001,MAX(EB5,EX5,FT5,GP5,HL5,IH5,JD5,JZ5,KV5,LR5,MN5,NJ5)-IF(I5="",0,I5),"")</f>
        <v>5.4000000000000057</v>
      </c>
      <c r="DI5" s="13" t="str">
        <f>IF(MAX(ED5,EZ5,FV5,GR5,HN5,IJ5,JF5,KB5,KX5,LT5,MP5,NL5)-IF(O5="",0,O5)&gt;0.001,MAX(ED5,EZ5,FV5,GR5,HN5,IJ5,JF5,KB5,KX5,LT5,MP5,NL5)-IF(O5="",0,O5),"")</f>
        <v/>
      </c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7" t="str">
        <f>IF(DQ5&gt;0,DQ5,"")</f>
        <v/>
      </c>
      <c r="DZ5" s="7" t="str">
        <f>IF(SUM(DJ5:DM5)-DN5&gt;0,SUM(DJ5:DM5)-DN5,"")</f>
        <v/>
      </c>
      <c r="EA5" s="7" t="str">
        <f>IF(SUM(DO5:DR5)-DS5&gt;0,SUM(DO5:DR5)-DS5,"")</f>
        <v/>
      </c>
      <c r="EB5" s="7" t="str">
        <f>IF(SUM(DZ5:EA5)&gt;0,SUM(DZ5:EA5),"")</f>
        <v/>
      </c>
      <c r="EC5" s="7" t="str">
        <f>IF(DV5&gt;0,DV5,"")</f>
        <v/>
      </c>
      <c r="ED5" s="7" t="str">
        <f>IF(SUM(DT5:DW5)-DX5&gt;0,SUM(DT5:DW5)-DX5,"")</f>
        <v/>
      </c>
      <c r="EE5" s="7" t="str">
        <f>IF(SUM(EB5,ED5)&gt;0,SUM(EB5,ED5),"")</f>
        <v/>
      </c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9" t="str">
        <f>IF(EM5&gt;0,EM5,"")</f>
        <v/>
      </c>
      <c r="EV5" s="9" t="str">
        <f>IF(SUM(EF5:EI5)-EJ5&gt;0,SUM(EF5:EI5)-EJ5,"")</f>
        <v/>
      </c>
      <c r="EW5" s="9" t="str">
        <f>IF(SUM(EK5:EN5)-EO5&gt;0,SUM(EK5:EN5)-EO5,"")</f>
        <v/>
      </c>
      <c r="EX5" s="9" t="str">
        <f>IF(SUM(EV5:EW5)&gt;0,SUM(EV5:EW5),"")</f>
        <v/>
      </c>
      <c r="EY5" s="9" t="str">
        <f>IF(ER5&gt;0,ER5,"")</f>
        <v/>
      </c>
      <c r="EZ5" s="9" t="str">
        <f>IF(SUM(EP5:ES5)-ET5&gt;0,SUM(EP5:ES5)-ET5,"")</f>
        <v/>
      </c>
      <c r="FA5" s="9" t="str">
        <f>IF(SUM(EX5,EZ5)&gt;0,SUM(EX5,EZ5),"")</f>
        <v/>
      </c>
      <c r="FB5" s="18">
        <v>15.8</v>
      </c>
      <c r="FC5" s="18">
        <v>9.1999999999999993</v>
      </c>
      <c r="FD5" s="18">
        <v>0</v>
      </c>
      <c r="FE5" s="18">
        <v>14.81</v>
      </c>
      <c r="FF5" s="18">
        <v>0</v>
      </c>
      <c r="FG5" s="18">
        <v>13.2</v>
      </c>
      <c r="FH5" s="18">
        <v>9</v>
      </c>
      <c r="FI5" s="18">
        <v>13.3</v>
      </c>
      <c r="FJ5" s="18">
        <v>14.66</v>
      </c>
      <c r="FK5" s="18">
        <v>0</v>
      </c>
      <c r="FL5" s="18"/>
      <c r="FM5" s="18"/>
      <c r="FN5" s="18"/>
      <c r="FO5" s="18"/>
      <c r="FP5" s="18"/>
      <c r="FQ5" s="7">
        <f>IF(FI5&gt;0,FI5,"")</f>
        <v>13.3</v>
      </c>
      <c r="FR5" s="7">
        <f>IF(SUM(FB5:FE5)-FF5&gt;0,SUM(FB5:FE5)-FF5,"")</f>
        <v>39.81</v>
      </c>
      <c r="FS5" s="7">
        <f>IF(SUM(FG5:FJ5)-FK5&gt;0,SUM(FG5:FJ5)-FK5,"")</f>
        <v>50.16</v>
      </c>
      <c r="FT5" s="7">
        <f>IF(SUM(FR5:FS5)&gt;0,SUM(FR5:FS5),"")</f>
        <v>89.97</v>
      </c>
      <c r="FU5" s="7" t="str">
        <f>IF(FN5&gt;0,FN5,"")</f>
        <v/>
      </c>
      <c r="FV5" s="7" t="str">
        <f>IF(SUM(FL5:FO5)-FP5&gt;0,SUM(FL5:FO5)-FP5,"")</f>
        <v/>
      </c>
      <c r="FW5" s="7">
        <f>IF(SUM(FT5,FV5)&gt;0,SUM(FT5,FV5),"")</f>
        <v>89.97</v>
      </c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9" t="str">
        <f>IF(GE5&gt;0,GE5,"")</f>
        <v/>
      </c>
      <c r="GN5" s="9" t="str">
        <f>IF(SUM(FX5:GA5)-GB5&gt;0,SUM(FX5:GA5)-GB5,"")</f>
        <v/>
      </c>
      <c r="GO5" s="9" t="str">
        <f>IF(SUM(GC5:GF5)-GG5&gt;0,SUM(GC5:GF5)-GG5,"")</f>
        <v/>
      </c>
      <c r="GP5" s="9" t="str">
        <f>IF(SUM(GN5:GO5)&gt;0,SUM(GN5:GO5),"")</f>
        <v/>
      </c>
      <c r="GQ5" s="9" t="str">
        <f>IF(GJ5&gt;0,GJ5,"")</f>
        <v/>
      </c>
      <c r="GR5" s="9" t="str">
        <f>IF(SUM(GH5:GK5)-GL5&gt;0,SUM(GH5:GK5)-GL5,"")</f>
        <v/>
      </c>
      <c r="GS5" s="9" t="str">
        <f>IF(SUM(GP5,GR5)&gt;0,SUM(GP5,GR5),"")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>IF(HA5&gt;0,HA5,"")</f>
        <v/>
      </c>
      <c r="HJ5" s="7" t="str">
        <f>IF(SUM(GT5:GW5)-GX5&gt;0,SUM(GT5:GW5)-GX5,"")</f>
        <v/>
      </c>
      <c r="HK5" s="7" t="str">
        <f>IF(SUM(GY5:HB5)-HC5&gt;0,SUM(GY5:HB5)-HC5,"")</f>
        <v/>
      </c>
      <c r="HL5" s="7" t="str">
        <f>IF(SUM(HJ5:HK5)&gt;0,SUM(HJ5:HK5),"")</f>
        <v/>
      </c>
      <c r="HM5" s="7" t="str">
        <f>IF(HF5&gt;0,HF5,"")</f>
        <v/>
      </c>
      <c r="HN5" s="7" t="str">
        <f>IF(SUM(HD5:HG5)-HH5&gt;0,SUM(HD5:HG5)-HH5,"")</f>
        <v/>
      </c>
      <c r="HO5" s="7" t="str">
        <f>IF(SUM(HL5,HN5)&gt;0,SUM(HL5,HN5),"")</f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>IF(HW5&gt;0,HW5,"")</f>
        <v/>
      </c>
      <c r="IF5" s="9" t="str">
        <f>IF(SUM(HP5:HS5)-HT5&gt;0,SUM(HP5:HS5)-HT5,"")</f>
        <v/>
      </c>
      <c r="IG5" s="9" t="str">
        <f>IF(SUM(HU5:HX5)-HY5&gt;0,SUM(HU5:HX5)-HY5,"")</f>
        <v/>
      </c>
      <c r="IH5" s="9" t="str">
        <f>IF(SUM(IF5:IG5)&gt;0,SUM(IF5:IG5),"")</f>
        <v/>
      </c>
      <c r="II5" s="9" t="str">
        <f>IF(IB5&gt;0,IB5,"")</f>
        <v/>
      </c>
      <c r="IJ5" s="9" t="str">
        <f>IF(SUM(HZ5:IC5)-ID5&gt;0,SUM(HZ5:IC5)-ID5,"")</f>
        <v/>
      </c>
      <c r="IK5" s="9" t="str">
        <f>IF(SUM(IH5,IJ5)&gt;0,SUM(IH5,IJ5),"")</f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>IF(IS5&gt;0,IS5,"")</f>
        <v/>
      </c>
      <c r="JB5" s="7" t="str">
        <f>IF(SUM(IL5:IO5)-IP5&gt;0,SUM(IL5:IO5)-IP5,"")</f>
        <v/>
      </c>
      <c r="JC5" s="7" t="str">
        <f>IF(SUM(IQ5:IT5)-IU5&gt;0,SUM(IQ5:IT5)-IU5,"")</f>
        <v/>
      </c>
      <c r="JD5" s="7" t="str">
        <f>IF(SUM(JB5:JC5)&gt;0,SUM(JB5:JC5),"")</f>
        <v/>
      </c>
      <c r="JE5" s="7" t="str">
        <f>IF(IX5&gt;0,IX5,"")</f>
        <v/>
      </c>
      <c r="JF5" s="7" t="str">
        <f>IF(SUM(IV5:IY5)-IZ5&gt;0,SUM(IV5:IY5)-IZ5,"")</f>
        <v/>
      </c>
      <c r="JG5" s="7" t="str">
        <f>IF(SUM(JD5,JF5)&gt;0,SUM(JD5,JF5),"")</f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>IF(JO5&gt;0,JO5,"")</f>
        <v/>
      </c>
      <c r="JX5" s="9" t="str">
        <f>IF(SUM(JH5:JK5)-JL5&gt;0,SUM(JH5:JK5)-JL5,"")</f>
        <v/>
      </c>
      <c r="JY5" s="9" t="str">
        <f>IF(SUM(JM5:JP5)-JQ5&gt;0,SUM(JM5:JP5)-JQ5,"")</f>
        <v/>
      </c>
      <c r="JZ5" s="9" t="str">
        <f>IF(SUM(JX5:JY5)&gt;0,SUM(JX5:JY5),"")</f>
        <v/>
      </c>
      <c r="KA5" s="9" t="str">
        <f>IF(JT5&gt;0,JT5,"")</f>
        <v/>
      </c>
      <c r="KB5" s="9" t="str">
        <f>IF(SUM(JR5:JU5)-JV5&gt;0,SUM(JR5:JU5)-JV5,"")</f>
        <v/>
      </c>
      <c r="KC5" s="9" t="str">
        <f>IF(SUM(JZ5,KB5)&gt;0,SUM(JZ5,KB5),"")</f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>IF(KK5&gt;0,KK5,"")</f>
        <v/>
      </c>
      <c r="KT5" s="7" t="str">
        <f>IF(SUM(KD5:KG5)-KH5&gt;0,SUM(KD5:KG5)-KH5,"")</f>
        <v/>
      </c>
      <c r="KU5" s="7" t="str">
        <f>IF(SUM(KI5:KL5)-KM5&gt;0,SUM(KI5:KL5)-KM5,"")</f>
        <v/>
      </c>
      <c r="KV5" s="7" t="str">
        <f>IF(SUM(KT5:KU5)&gt;0,SUM(KT5:KU5),"")</f>
        <v/>
      </c>
      <c r="KW5" s="7" t="str">
        <f>IF(KP5&gt;0,KP5,"")</f>
        <v/>
      </c>
      <c r="KX5" s="7" t="str">
        <f>IF(SUM(KN5:KQ5)-KR5&gt;0,SUM(KN5:KQ5)-KR5,"")</f>
        <v/>
      </c>
      <c r="KY5" s="7" t="str">
        <f>IF(SUM(KV5,KX5)&gt;0,SUM(KV5,KX5),"")</f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>IF(LG5&gt;0,LG5,"")</f>
        <v/>
      </c>
      <c r="LP5" s="9" t="str">
        <f>IF(SUM(KZ5:LC5)-LD5&gt;0,SUM(KZ5:LC5)-LD5,"")</f>
        <v/>
      </c>
      <c r="LQ5" s="9" t="str">
        <f>IF(SUM(LE5:LH5)-LI5&gt;0,SUM(LE5:LH5)-LI5,"")</f>
        <v/>
      </c>
      <c r="LR5" s="9" t="str">
        <f>IF(SUM(LP5:LQ5)&gt;0,SUM(LP5:LQ5),"")</f>
        <v/>
      </c>
      <c r="LS5" s="9" t="str">
        <f>IF(LL5&gt;0,LL5,"")</f>
        <v/>
      </c>
      <c r="LT5" s="9" t="str">
        <f>IF(SUM(LJ5:LM5)-LN5&gt;0,SUM(LJ5:LM5)-LN5,"")</f>
        <v/>
      </c>
      <c r="LU5" s="9" t="str">
        <f>IF(SUM(LR5,LT5)&gt;0,SUM(LR5,LT5),"")</f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>IF(MC5&gt;0,MC5,"")</f>
        <v/>
      </c>
      <c r="ML5" s="7" t="str">
        <f>IF(SUM(LV5:LY5)-LZ5&gt;0,SUM(LV5:LY5)-LZ5,"")</f>
        <v/>
      </c>
      <c r="MM5" s="7" t="str">
        <f>IF(SUM(MA5:MD5)-ME5&gt;0,SUM(MA5:MD5)-ME5,"")</f>
        <v/>
      </c>
      <c r="MN5" s="7" t="str">
        <f>IF(SUM(ML5:MM5)&gt;0,SUM(ML5:MM5),"")</f>
        <v/>
      </c>
      <c r="MO5" s="7" t="str">
        <f>IF(MH5&gt;0,MH5,"")</f>
        <v/>
      </c>
      <c r="MP5" s="7" t="str">
        <f>IF(SUM(MF5:MI5)-MJ5&gt;0,SUM(MF5:MI5)-MJ5,"")</f>
        <v/>
      </c>
      <c r="MQ5" s="7" t="str">
        <f>IF(SUM(MN5,MP5)&gt;0,SUM(MN5,MP5),"")</f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>IF(MY5&gt;0,MY5,"")</f>
        <v/>
      </c>
      <c r="NH5" s="9" t="str">
        <f>IF(SUM(MR5:MU5)-MV5&gt;0,SUM(MR5:MU5)-MV5,"")</f>
        <v/>
      </c>
      <c r="NI5" s="9" t="str">
        <f>IF(SUM(MW5:MZ5)-NA5&gt;0,SUM(MW5:MZ5)-NA5,"")</f>
        <v/>
      </c>
      <c r="NJ5" s="9" t="str">
        <f>IF(SUM(NH5:NI5)&gt;0,SUM(NH5:NI5),"")</f>
        <v/>
      </c>
      <c r="NK5" s="9" t="str">
        <f>IF(ND5&gt;0,ND5,"")</f>
        <v/>
      </c>
      <c r="NL5" s="9" t="str">
        <f>IF(SUM(NB5:NE5)-NF5&gt;0,SUM(NB5:NE5)-NF5,"")</f>
        <v/>
      </c>
      <c r="NM5" s="9" t="str">
        <f>IF(SUM(NJ5,NL5)&gt;0,SUM(NJ5,NL5),"")</f>
        <v/>
      </c>
      <c r="NN5" s="27">
        <f>IF($CV5="P",CB5,(CB5+AX5)/2)</f>
        <v>16.149999999999999</v>
      </c>
      <c r="NO5" s="27">
        <f>IF($CV5="P",CC5,(CC5+AY5)/2)</f>
        <v>9.4</v>
      </c>
      <c r="NP5" s="27">
        <f>IF($CV5="P",CD5,(CD5+AZ5)/2)</f>
        <v>0</v>
      </c>
      <c r="NQ5" s="27">
        <f>IF($CV5="P",CE5,(CE5+BA5)/2)</f>
        <v>14.65</v>
      </c>
      <c r="NR5" s="27">
        <f>IF($CV5="P",CF5,(CF5+BB5)/2)</f>
        <v>0</v>
      </c>
      <c r="NS5" s="27">
        <f>IF($CV5="P",CG5,(CG5+BC5)/2)</f>
        <v>6.9499999999999993</v>
      </c>
      <c r="NT5" s="27">
        <f>IF($CV5="P",CH5,(CH5+BD5)/2)</f>
        <v>5.1499999999999995</v>
      </c>
      <c r="NU5" s="27">
        <f>IF($CV5="P",CI5,(CI5+BE5)/2)</f>
        <v>7.5</v>
      </c>
      <c r="NV5" s="27">
        <f>IF($CV5="P",CJ5,(CJ5+BF5)/2)</f>
        <v>8.5549999999999997</v>
      </c>
      <c r="NW5" s="27">
        <f>IF($CV5="P",CK5,(CK5+BG5)/2)</f>
        <v>0</v>
      </c>
      <c r="NX5" s="27">
        <f>IF($CV5="P",CL5,(CL5+BH5)/2)</f>
        <v>0</v>
      </c>
      <c r="NY5" s="27">
        <f>IF($CV5="P",CM5,(CM5+BI5)/2)</f>
        <v>0</v>
      </c>
      <c r="NZ5" s="27">
        <f>IF($CV5="P",CN5,(CN5+BJ5)/2)</f>
        <v>0</v>
      </c>
      <c r="OA5" s="27">
        <f>IF($CV5="P",CO5,(CO5+BK5)/2)</f>
        <v>0</v>
      </c>
      <c r="OB5" s="27">
        <f>IF($CV5="P",CP5,(CP5+BL5)/2)</f>
        <v>0</v>
      </c>
      <c r="OC5" s="27">
        <f>IF($CV5="P",CQ5,(CQ5+BM5)/2)</f>
        <v>6.9</v>
      </c>
      <c r="OD5" s="27">
        <f>IF($CV5="P",CR5,(CR5+BN5)/2)</f>
        <v>4.45</v>
      </c>
      <c r="OE5" s="27">
        <f>IF($CV5="P",CS5,(CS5+BO5)/2)</f>
        <v>6.65</v>
      </c>
      <c r="OF5" s="27">
        <f>IF($CV5="P",CT5,(CT5+BP5)/2)</f>
        <v>7.125</v>
      </c>
      <c r="OG5" s="27">
        <f>IF($CV5="P",CU5,(CU5+BQ5)/2)</f>
        <v>0</v>
      </c>
      <c r="OH5" s="32" t="s">
        <v>44</v>
      </c>
      <c r="OI5" s="7">
        <f>IF(SUM(NN5:NQ5)-NR5&gt;0,SUM(NN5:NQ5)-NR5,"")</f>
        <v>40.199999999999996</v>
      </c>
      <c r="OJ5" s="7">
        <f>IF(NU5&gt;0,NU5,"")</f>
        <v>7.5</v>
      </c>
      <c r="OK5" s="7">
        <f>IF(SUM(NS5:NV5)-NW5&gt;0,SUM(NS5:NV5)-NW5,"")</f>
        <v>28.154999999999998</v>
      </c>
      <c r="OL5" s="7" t="str">
        <f>IF(NZ5&gt;0,NZ5,"")</f>
        <v/>
      </c>
      <c r="OM5" s="7" t="str">
        <f>IF(SUM(NX5:OA5)-OB5&gt;0,SUM(NX5:OA5)-OB5,"")</f>
        <v/>
      </c>
      <c r="ON5" s="7">
        <f>IF(OR(OI5&lt;&gt;"",OK5&lt;&gt;"",OM5&lt;&gt;""),OI5+MAX(OK5,OM5),"")</f>
        <v>68.35499999999999</v>
      </c>
      <c r="OO5" s="7">
        <f>IF(OE5&gt;0,OE5,"")</f>
        <v>6.65</v>
      </c>
      <c r="OP5" s="7">
        <f t="shared" ref="OP5" si="2">IF(SUM(OC5:OF5)-OG5&gt;0,SUM(OC5:OF5)-OG5,"")</f>
        <v>25.125</v>
      </c>
      <c r="OQ5" s="7">
        <f t="shared" ref="OQ5" si="3">IF(SUM(ON5,OP5)&gt;0,SUM(ON5,OP5),"")</f>
        <v>93.47999999999999</v>
      </c>
    </row>
    <row r="6" spans="1:407" x14ac:dyDescent="0.2">
      <c r="B6" s="5"/>
      <c r="D6" s="1"/>
    </row>
    <row r="8" spans="1:407" x14ac:dyDescent="0.2">
      <c r="B8" s="28" t="s">
        <v>42</v>
      </c>
      <c r="C8" s="5"/>
      <c r="AP8" s="46"/>
      <c r="AQ8" s="46"/>
      <c r="AR8" s="46"/>
      <c r="AU8" s="2"/>
      <c r="AW8" s="24">
        <v>13.5</v>
      </c>
      <c r="BT8" s="46"/>
      <c r="BU8" s="46"/>
      <c r="BV8" s="46"/>
      <c r="BY8" s="2"/>
      <c r="CA8" s="24">
        <v>13.5</v>
      </c>
      <c r="CX8" s="46"/>
      <c r="CY8" s="46"/>
      <c r="CZ8" s="46"/>
      <c r="DC8" s="2"/>
      <c r="DE8" s="24">
        <v>13.5</v>
      </c>
      <c r="DY8" s="5"/>
      <c r="EC8" s="2"/>
      <c r="EE8" s="24">
        <v>13.5</v>
      </c>
      <c r="EU8" s="5"/>
      <c r="EY8" s="2"/>
      <c r="FA8" s="24">
        <v>13.5</v>
      </c>
      <c r="FQ8" s="5"/>
      <c r="FU8" s="2"/>
      <c r="FW8" s="24">
        <v>13.5</v>
      </c>
      <c r="GM8" s="5"/>
      <c r="GQ8" s="2"/>
      <c r="GS8" s="24">
        <v>13.5</v>
      </c>
      <c r="HI8" s="5"/>
      <c r="HM8" s="2"/>
      <c r="HO8" s="24">
        <v>13.5</v>
      </c>
      <c r="IE8" s="5"/>
      <c r="II8" s="2"/>
      <c r="IK8" s="24">
        <v>13.5</v>
      </c>
      <c r="JA8" s="5"/>
      <c r="JE8" s="2"/>
      <c r="JG8" s="24">
        <v>13.5</v>
      </c>
      <c r="JW8" s="5"/>
      <c r="KA8" s="2"/>
      <c r="KC8" s="24">
        <v>13.5</v>
      </c>
      <c r="KS8" s="5"/>
      <c r="KW8" s="2"/>
      <c r="KY8" s="24">
        <v>13.5</v>
      </c>
      <c r="LO8" s="5"/>
      <c r="LS8" s="2"/>
      <c r="LU8" s="24">
        <v>13.5</v>
      </c>
      <c r="MK8" s="5"/>
      <c r="MO8" s="2"/>
      <c r="MQ8" s="24">
        <v>13.5</v>
      </c>
      <c r="NG8" s="5"/>
      <c r="NK8" s="2"/>
      <c r="NM8" s="24">
        <v>13.5</v>
      </c>
    </row>
    <row r="9" spans="1:407" hidden="1" x14ac:dyDescent="0.2">
      <c r="B9" s="35" t="s">
        <v>41</v>
      </c>
      <c r="C9" s="5"/>
      <c r="AP9" s="46"/>
      <c r="AQ9" s="46"/>
      <c r="AR9" s="46"/>
      <c r="AU9" s="2"/>
      <c r="AW9" s="39">
        <v>13.5</v>
      </c>
      <c r="BT9" s="46"/>
      <c r="BU9" s="46"/>
      <c r="BV9" s="46"/>
      <c r="BY9" s="2"/>
      <c r="CA9" s="39">
        <v>13.5</v>
      </c>
      <c r="CX9" s="46"/>
      <c r="CY9" s="46"/>
      <c r="CZ9" s="46"/>
      <c r="DC9" s="2"/>
      <c r="DE9" s="39">
        <v>13.5</v>
      </c>
      <c r="DY9" s="5"/>
      <c r="EC9" s="2"/>
      <c r="EE9" s="39">
        <v>13.5</v>
      </c>
      <c r="EU9" s="5"/>
      <c r="EY9" s="2"/>
      <c r="FA9" s="39">
        <v>13.5</v>
      </c>
      <c r="FQ9" s="5"/>
      <c r="FU9" s="2"/>
      <c r="FW9" s="39">
        <v>13.5</v>
      </c>
      <c r="GM9" s="5"/>
      <c r="GQ9" s="2"/>
      <c r="GS9" s="39">
        <v>13.5</v>
      </c>
      <c r="HI9" s="5"/>
      <c r="HM9" s="2"/>
      <c r="HO9" s="39">
        <v>13.5</v>
      </c>
      <c r="IE9" s="5"/>
      <c r="II9" s="2"/>
      <c r="IK9" s="39">
        <v>13.5</v>
      </c>
      <c r="JA9" s="5"/>
      <c r="JE9" s="2"/>
      <c r="JG9" s="39">
        <v>13.5</v>
      </c>
      <c r="JW9" s="5"/>
      <c r="KA9" s="2"/>
      <c r="KC9" s="39">
        <v>13.5</v>
      </c>
      <c r="KS9" s="5"/>
      <c r="KW9" s="2"/>
      <c r="KY9" s="39">
        <v>13.5</v>
      </c>
      <c r="LO9" s="5"/>
      <c r="LS9" s="2"/>
      <c r="LU9" s="39">
        <v>13.5</v>
      </c>
      <c r="MK9" s="5"/>
      <c r="MO9" s="2"/>
      <c r="MQ9" s="39">
        <v>13.5</v>
      </c>
      <c r="NG9" s="5"/>
      <c r="NK9" s="2"/>
      <c r="NM9" s="39">
        <v>13.5</v>
      </c>
    </row>
    <row r="10" spans="1:407" x14ac:dyDescent="0.2">
      <c r="A10" s="5"/>
      <c r="B10" s="36" t="s">
        <v>54</v>
      </c>
      <c r="C10" s="5"/>
      <c r="AP10" s="46"/>
      <c r="AQ10" s="46"/>
      <c r="AR10" s="46"/>
      <c r="AT10" s="2"/>
      <c r="AU10" s="2"/>
      <c r="AV10" s="2"/>
      <c r="AW10" s="38">
        <v>13.5</v>
      </c>
      <c r="BT10" s="46"/>
      <c r="BU10" s="46"/>
      <c r="BV10" s="46"/>
      <c r="BY10" s="2"/>
      <c r="CA10" s="38">
        <v>13.5</v>
      </c>
      <c r="CX10" s="46"/>
      <c r="CY10" s="46"/>
      <c r="CZ10" s="46"/>
      <c r="DB10" s="2"/>
      <c r="DC10" s="2"/>
      <c r="DD10" s="2"/>
      <c r="DE10" s="38">
        <v>13.5</v>
      </c>
      <c r="DY10" s="5"/>
      <c r="EC10" s="2"/>
      <c r="EE10" s="38">
        <v>13.5</v>
      </c>
      <c r="EU10" s="5"/>
      <c r="EY10" s="2"/>
      <c r="FA10" s="38">
        <v>13.5</v>
      </c>
      <c r="FQ10" s="5"/>
      <c r="FU10" s="2"/>
      <c r="FW10" s="38">
        <v>13.5</v>
      </c>
      <c r="GM10" s="5"/>
      <c r="GQ10" s="2"/>
      <c r="GS10" s="38">
        <v>13.5</v>
      </c>
      <c r="HI10" s="5"/>
      <c r="HM10" s="2"/>
      <c r="HO10" s="38">
        <v>13.5</v>
      </c>
      <c r="IE10" s="5"/>
      <c r="II10" s="2"/>
      <c r="IK10" s="38">
        <v>13.5</v>
      </c>
      <c r="JA10" s="5"/>
      <c r="JE10" s="2"/>
      <c r="JG10" s="38">
        <v>13.5</v>
      </c>
      <c r="JW10" s="5"/>
      <c r="KA10" s="2"/>
      <c r="KC10" s="38">
        <v>13.5</v>
      </c>
      <c r="KS10" s="5"/>
      <c r="KW10" s="2"/>
      <c r="KY10" s="38">
        <v>13.5</v>
      </c>
      <c r="LO10" s="5"/>
      <c r="LS10" s="2"/>
      <c r="LU10" s="38">
        <v>13.5</v>
      </c>
      <c r="MK10" s="5"/>
      <c r="MO10" s="2"/>
      <c r="MQ10" s="38">
        <v>13.5</v>
      </c>
      <c r="NG10" s="5"/>
      <c r="NK10" s="2"/>
      <c r="NM10" s="38">
        <v>13.5</v>
      </c>
    </row>
    <row r="11" spans="1:407" x14ac:dyDescent="0.2">
      <c r="A11" s="5"/>
      <c r="B11" s="44" t="s">
        <v>59</v>
      </c>
      <c r="C11" s="5"/>
      <c r="AP11" s="46"/>
      <c r="AQ11" s="46"/>
      <c r="AR11" s="46"/>
      <c r="AT11" s="2"/>
      <c r="AU11" s="2"/>
      <c r="AV11" s="2"/>
      <c r="AW11" s="45">
        <v>13.5</v>
      </c>
      <c r="BT11" s="46"/>
      <c r="BU11" s="46"/>
      <c r="BV11" s="46"/>
      <c r="BY11" s="2"/>
      <c r="CA11" s="45">
        <v>13.5</v>
      </c>
      <c r="CX11" s="46"/>
      <c r="CY11" s="46"/>
      <c r="CZ11" s="46"/>
      <c r="DB11" s="2"/>
      <c r="DC11" s="2"/>
      <c r="DD11" s="2"/>
      <c r="DE11" s="45">
        <v>13.5</v>
      </c>
      <c r="DY11" s="5"/>
      <c r="EC11" s="2"/>
      <c r="EE11" s="45">
        <v>13.5</v>
      </c>
      <c r="EU11" s="5"/>
      <c r="EY11" s="2"/>
      <c r="FA11" s="45">
        <v>13.5</v>
      </c>
      <c r="FQ11" s="5"/>
      <c r="FU11" s="2"/>
      <c r="FW11" s="45">
        <v>13.5</v>
      </c>
      <c r="GM11" s="5"/>
      <c r="GQ11" s="2"/>
      <c r="GS11" s="45">
        <v>13.5</v>
      </c>
      <c r="HI11" s="5"/>
      <c r="HM11" s="2"/>
      <c r="HO11" s="45">
        <v>13.5</v>
      </c>
      <c r="IE11" s="5"/>
      <c r="II11" s="2"/>
      <c r="IK11" s="45">
        <v>13.5</v>
      </c>
      <c r="JA11" s="5"/>
      <c r="JE11" s="2"/>
      <c r="JG11" s="45">
        <v>13.5</v>
      </c>
      <c r="JW11" s="5"/>
      <c r="KA11" s="2"/>
      <c r="KC11" s="45">
        <v>13.5</v>
      </c>
      <c r="KS11" s="5"/>
      <c r="KW11" s="2"/>
      <c r="KY11" s="45">
        <v>13.5</v>
      </c>
      <c r="LO11" s="5"/>
      <c r="LS11" s="2"/>
      <c r="LU11" s="45">
        <v>13.5</v>
      </c>
      <c r="MK11" s="5"/>
      <c r="MO11" s="2"/>
      <c r="MQ11" s="45">
        <v>13.5</v>
      </c>
      <c r="NG11" s="5"/>
      <c r="NK11" s="2"/>
      <c r="NM11" s="45">
        <v>13.5</v>
      </c>
    </row>
    <row r="12" spans="1:407" x14ac:dyDescent="0.2">
      <c r="A12" s="5"/>
      <c r="B12" s="42" t="s">
        <v>39</v>
      </c>
      <c r="C12" s="5"/>
      <c r="M12" s="2"/>
      <c r="AP12" s="46"/>
      <c r="AQ12" s="46"/>
      <c r="AR12" s="46"/>
      <c r="AT12" s="2"/>
      <c r="AU12" s="2"/>
      <c r="AV12" s="2"/>
      <c r="AW12" s="43">
        <v>96</v>
      </c>
      <c r="BT12" s="46"/>
      <c r="BU12" s="46"/>
      <c r="BV12" s="46"/>
      <c r="BY12" s="2"/>
      <c r="CA12" s="43">
        <v>96</v>
      </c>
      <c r="CX12" s="46"/>
      <c r="CY12" s="46"/>
      <c r="CZ12" s="46"/>
      <c r="DB12" s="2"/>
      <c r="DC12" s="2"/>
      <c r="DD12" s="2"/>
      <c r="DE12" s="43">
        <v>96</v>
      </c>
      <c r="DY12" s="5"/>
      <c r="EC12" s="2"/>
      <c r="EE12" s="43">
        <v>96</v>
      </c>
      <c r="EU12" s="5"/>
      <c r="EY12" s="2"/>
      <c r="FA12" s="43">
        <v>96</v>
      </c>
      <c r="FQ12" s="5"/>
      <c r="FU12" s="2"/>
      <c r="FW12" s="43">
        <v>96</v>
      </c>
      <c r="GM12" s="5"/>
      <c r="GQ12" s="2"/>
      <c r="GS12" s="43">
        <v>96</v>
      </c>
      <c r="HI12" s="5"/>
      <c r="HM12" s="2"/>
      <c r="HO12" s="43">
        <v>96</v>
      </c>
      <c r="IE12" s="5"/>
      <c r="II12" s="2"/>
      <c r="IK12" s="43">
        <v>96</v>
      </c>
      <c r="JA12" s="5"/>
      <c r="JE12" s="2"/>
      <c r="JG12" s="43">
        <v>96</v>
      </c>
      <c r="JW12" s="5"/>
      <c r="KA12" s="2"/>
      <c r="KC12" s="43">
        <v>96</v>
      </c>
      <c r="KS12" s="5"/>
      <c r="KW12" s="2"/>
      <c r="KY12" s="43">
        <v>96</v>
      </c>
      <c r="LO12" s="5"/>
      <c r="LS12" s="2"/>
      <c r="LU12" s="43">
        <v>96</v>
      </c>
      <c r="MK12" s="5"/>
      <c r="MO12" s="2"/>
      <c r="MQ12" s="43">
        <v>96</v>
      </c>
      <c r="NG12" s="5"/>
      <c r="NK12" s="2"/>
      <c r="NM12" s="43">
        <v>96</v>
      </c>
    </row>
    <row r="13" spans="1:407" hidden="1" x14ac:dyDescent="0.2">
      <c r="A13" s="5"/>
      <c r="B13" s="29" t="s">
        <v>40</v>
      </c>
      <c r="C13" s="5"/>
      <c r="M13" s="2"/>
      <c r="AP13" s="46"/>
      <c r="AQ13" s="46"/>
      <c r="AR13" s="46"/>
      <c r="AT13" s="2"/>
      <c r="AU13" s="2"/>
      <c r="AV13" s="2"/>
      <c r="AW13" s="25">
        <v>99.2</v>
      </c>
      <c r="BT13" s="46"/>
      <c r="BU13" s="46"/>
      <c r="BV13" s="46"/>
      <c r="BY13" s="2"/>
      <c r="CA13" s="25">
        <v>99.2</v>
      </c>
      <c r="CX13" s="46"/>
      <c r="CY13" s="46"/>
      <c r="CZ13" s="46"/>
      <c r="DB13" s="2"/>
      <c r="DC13" s="2"/>
      <c r="DD13" s="2"/>
      <c r="DE13" s="25">
        <v>99.2</v>
      </c>
      <c r="DY13" s="5"/>
      <c r="EC13" s="2"/>
      <c r="EE13" s="25">
        <v>99.2</v>
      </c>
      <c r="EU13" s="5"/>
      <c r="EY13" s="2"/>
      <c r="FA13" s="25">
        <v>99.2</v>
      </c>
      <c r="FQ13" s="5"/>
      <c r="FU13" s="2"/>
      <c r="FW13" s="25">
        <v>99.2</v>
      </c>
      <c r="GM13" s="5"/>
      <c r="GQ13" s="2"/>
      <c r="GS13" s="25">
        <v>99.2</v>
      </c>
      <c r="HI13" s="5"/>
      <c r="HM13" s="2"/>
      <c r="HO13" s="25">
        <v>99.2</v>
      </c>
      <c r="IE13" s="5"/>
      <c r="II13" s="2"/>
      <c r="IK13" s="25">
        <v>99.2</v>
      </c>
      <c r="JA13" s="5"/>
      <c r="JE13" s="2"/>
      <c r="JG13" s="25">
        <v>99.2</v>
      </c>
      <c r="JW13" s="5"/>
      <c r="KA13" s="2"/>
      <c r="KC13" s="25">
        <v>99.2</v>
      </c>
      <c r="KS13" s="5"/>
      <c r="KW13" s="2"/>
      <c r="KY13" s="25">
        <v>99.2</v>
      </c>
      <c r="LO13" s="5"/>
      <c r="LS13" s="2"/>
      <c r="LU13" s="25">
        <v>99.2</v>
      </c>
      <c r="MK13" s="5"/>
      <c r="MO13" s="2"/>
      <c r="MQ13" s="25">
        <v>99.2</v>
      </c>
      <c r="NG13" s="5"/>
      <c r="NK13" s="2"/>
      <c r="NM13" s="25">
        <v>99.2</v>
      </c>
    </row>
    <row r="14" spans="1:407" x14ac:dyDescent="0.2">
      <c r="A14" s="5"/>
      <c r="B14" s="40" t="s">
        <v>53</v>
      </c>
      <c r="C14" s="5"/>
      <c r="AP14" s="46"/>
      <c r="AQ14" s="46"/>
      <c r="AR14" s="46"/>
      <c r="AT14" s="2"/>
      <c r="AU14" s="2"/>
      <c r="AV14" s="2"/>
      <c r="AW14" s="41">
        <v>99.2</v>
      </c>
      <c r="BT14" s="46"/>
      <c r="BU14" s="46"/>
      <c r="BV14" s="46"/>
      <c r="BY14" s="2"/>
      <c r="BZ14" s="48"/>
      <c r="CA14" s="41">
        <v>99.2</v>
      </c>
      <c r="CX14" s="46"/>
      <c r="CY14" s="46"/>
      <c r="CZ14" s="46"/>
      <c r="DB14" s="2"/>
      <c r="DC14" s="2"/>
      <c r="DD14" s="2"/>
      <c r="DE14" s="41">
        <v>99.2</v>
      </c>
      <c r="DY14" s="5"/>
      <c r="EC14" s="2"/>
      <c r="ED14" s="48"/>
      <c r="EE14" s="41">
        <v>99.2</v>
      </c>
      <c r="EU14" s="5"/>
      <c r="EY14" s="2"/>
      <c r="FA14" s="41">
        <v>99.2</v>
      </c>
      <c r="FQ14" s="5"/>
      <c r="FU14" s="2"/>
      <c r="FW14" s="41">
        <v>99.2</v>
      </c>
      <c r="GM14" s="5"/>
      <c r="GQ14" s="2"/>
      <c r="GR14" s="48"/>
      <c r="GS14" s="41">
        <v>99.2</v>
      </c>
      <c r="HI14" s="5"/>
      <c r="HM14" s="2"/>
      <c r="HN14" s="48"/>
      <c r="HO14" s="41">
        <v>99.2</v>
      </c>
      <c r="IE14" s="5"/>
      <c r="II14" s="2"/>
      <c r="IJ14" s="48"/>
      <c r="IK14" s="41">
        <v>99.2</v>
      </c>
      <c r="JA14" s="5"/>
      <c r="JE14" s="2"/>
      <c r="JG14" s="41">
        <v>99.2</v>
      </c>
      <c r="JW14" s="5"/>
      <c r="KA14" s="2"/>
      <c r="KC14" s="41">
        <v>99.2</v>
      </c>
      <c r="KS14" s="5"/>
      <c r="KW14" s="2"/>
      <c r="KY14" s="41">
        <v>99.2</v>
      </c>
      <c r="LO14" s="5"/>
      <c r="LS14" s="2"/>
      <c r="LU14" s="41">
        <v>99.2</v>
      </c>
      <c r="MK14" s="5"/>
      <c r="MO14" s="2"/>
      <c r="MQ14" s="41">
        <v>99.2</v>
      </c>
      <c r="NG14" s="5"/>
      <c r="NK14" s="2"/>
      <c r="NM14" s="41">
        <v>99.2</v>
      </c>
    </row>
    <row r="15" spans="1:407" x14ac:dyDescent="0.2">
      <c r="A15" s="5"/>
      <c r="B15" s="30" t="s">
        <v>26</v>
      </c>
      <c r="C15" s="5"/>
      <c r="M15" s="2"/>
      <c r="AP15" s="46"/>
      <c r="AQ15" s="46"/>
      <c r="AR15" s="46"/>
      <c r="AT15" s="2"/>
      <c r="AU15" s="2"/>
      <c r="AV15" s="2"/>
      <c r="AW15" s="26">
        <v>56</v>
      </c>
      <c r="BT15" s="46"/>
      <c r="BU15" s="46"/>
      <c r="BV15" s="46"/>
      <c r="BY15" s="2"/>
      <c r="CA15" s="26">
        <v>56</v>
      </c>
      <c r="CX15" s="46"/>
      <c r="CY15" s="46"/>
      <c r="CZ15" s="46"/>
      <c r="DB15" s="2"/>
      <c r="DC15" s="2"/>
      <c r="DD15" s="2"/>
      <c r="DE15" s="26">
        <v>56</v>
      </c>
      <c r="DY15" s="5"/>
      <c r="EC15" s="2"/>
      <c r="EE15" s="26">
        <v>56</v>
      </c>
      <c r="EU15" s="5"/>
      <c r="EY15" s="2"/>
      <c r="FA15" s="26">
        <v>56</v>
      </c>
      <c r="FQ15" s="5"/>
      <c r="FU15" s="2"/>
      <c r="FW15" s="26">
        <v>56</v>
      </c>
      <c r="GM15" s="5"/>
      <c r="GQ15" s="2"/>
      <c r="GS15" s="26">
        <v>56</v>
      </c>
      <c r="HI15" s="5"/>
      <c r="HM15" s="2"/>
      <c r="HO15" s="26">
        <v>56</v>
      </c>
      <c r="IE15" s="5"/>
      <c r="II15" s="2"/>
      <c r="IJ15" s="48"/>
      <c r="IK15" s="26">
        <v>56</v>
      </c>
      <c r="JA15" s="5"/>
      <c r="JE15" s="2"/>
      <c r="JG15" s="26">
        <v>56</v>
      </c>
      <c r="JW15" s="5"/>
      <c r="KA15" s="2"/>
      <c r="KC15" s="26">
        <v>56</v>
      </c>
      <c r="KS15" s="5"/>
      <c r="KW15" s="2"/>
      <c r="KY15" s="26">
        <v>56</v>
      </c>
      <c r="LO15" s="5"/>
      <c r="LS15" s="2"/>
      <c r="LU15" s="26">
        <v>56</v>
      </c>
      <c r="MK15" s="5"/>
      <c r="MO15" s="2"/>
      <c r="MQ15" s="26">
        <v>56</v>
      </c>
      <c r="NG15" s="5"/>
      <c r="NK15" s="2"/>
      <c r="NM15" s="26">
        <v>56</v>
      </c>
    </row>
    <row r="16" spans="1:407" x14ac:dyDescent="0.2">
      <c r="B16" s="34" t="s">
        <v>45</v>
      </c>
      <c r="C16" s="2"/>
      <c r="AS16" s="2"/>
      <c r="AT16" s="2"/>
      <c r="AV16" s="2"/>
      <c r="DA16" s="2"/>
      <c r="DB16" s="2"/>
      <c r="DD16" s="2"/>
      <c r="EV16" s="2"/>
    </row>
    <row r="17" spans="1:108" x14ac:dyDescent="0.2">
      <c r="A17" s="5"/>
      <c r="B17" s="5"/>
      <c r="C17" s="22"/>
      <c r="AO17" s="2"/>
      <c r="AP17" s="2"/>
      <c r="AQ17" s="2"/>
      <c r="AR17" s="2"/>
      <c r="AS17" s="2"/>
      <c r="AT17" s="2"/>
      <c r="AV17" s="2"/>
      <c r="CW17" s="2"/>
      <c r="CX17" s="2"/>
      <c r="CY17" s="2"/>
      <c r="CZ17" s="2"/>
      <c r="DA17" s="2"/>
      <c r="DB17" s="2"/>
      <c r="DD17" s="2"/>
    </row>
    <row r="18" spans="1:108" ht="17" x14ac:dyDescent="0.2">
      <c r="A18" s="5"/>
      <c r="B18" s="5"/>
      <c r="C18" s="22"/>
      <c r="Q18" s="11"/>
      <c r="R18" s="11"/>
      <c r="AO18" s="2"/>
      <c r="AP18" s="2"/>
      <c r="AQ18" s="2"/>
      <c r="AR18" s="2"/>
      <c r="AS18" s="2"/>
      <c r="AT18" s="2"/>
      <c r="AV18" s="2"/>
      <c r="CW18" s="2"/>
      <c r="CX18" s="2"/>
      <c r="CY18" s="2"/>
      <c r="CZ18" s="2"/>
      <c r="DA18" s="2"/>
      <c r="DB18" s="2"/>
      <c r="DD18" s="2"/>
    </row>
    <row r="19" spans="1:108" ht="17" x14ac:dyDescent="0.2">
      <c r="A19" s="5"/>
      <c r="B19" s="5"/>
      <c r="C19" s="22"/>
      <c r="Q19" s="11"/>
      <c r="AO19" s="2"/>
      <c r="AP19" s="2"/>
      <c r="AQ19" s="2"/>
      <c r="AR19" s="2"/>
      <c r="AS19" s="2"/>
      <c r="AT19" s="2"/>
      <c r="AV19" s="2"/>
      <c r="CW19" s="2"/>
      <c r="CX19" s="2"/>
      <c r="CY19" s="2"/>
      <c r="CZ19" s="2"/>
      <c r="DA19" s="2"/>
      <c r="DB19" s="2"/>
      <c r="DD19" s="2"/>
    </row>
    <row r="20" spans="1:108" ht="17" x14ac:dyDescent="0.2">
      <c r="Q20" s="11"/>
      <c r="R20" s="11"/>
      <c r="AO20" s="2"/>
      <c r="AP20" s="2"/>
      <c r="AQ20" s="2"/>
      <c r="AR20" s="2"/>
      <c r="AS20" s="2"/>
      <c r="AT20" s="2"/>
      <c r="AV20" s="2"/>
      <c r="CW20" s="2"/>
      <c r="CX20" s="2"/>
      <c r="CY20" s="2"/>
      <c r="CZ20" s="2"/>
      <c r="DA20" s="2"/>
      <c r="DB20" s="2"/>
      <c r="DD20" s="2"/>
    </row>
    <row r="21" spans="1:108" ht="17" x14ac:dyDescent="0.2">
      <c r="Q21" s="11"/>
      <c r="R21" s="11"/>
      <c r="AO21" s="2"/>
      <c r="AP21" s="2"/>
      <c r="AQ21" s="2"/>
      <c r="AR21" s="2"/>
      <c r="AS21" s="2"/>
      <c r="AT21" s="2"/>
      <c r="AV21" s="2"/>
      <c r="CW21" s="2"/>
      <c r="CX21" s="2"/>
      <c r="CY21" s="2"/>
      <c r="CZ21" s="2"/>
      <c r="DA21" s="2"/>
      <c r="DB21" s="2"/>
      <c r="DD21" s="2"/>
    </row>
    <row r="22" spans="1:108" ht="17" x14ac:dyDescent="0.2">
      <c r="Q22" s="11"/>
      <c r="R22" s="11"/>
      <c r="AO22" s="2"/>
      <c r="AP22" s="2"/>
      <c r="AQ22" s="2"/>
      <c r="AR22" s="2"/>
      <c r="AS22" s="2"/>
      <c r="AT22" s="2"/>
      <c r="AV22" s="2"/>
      <c r="CW22" s="2"/>
      <c r="CX22" s="2"/>
      <c r="CY22" s="2"/>
      <c r="CZ22" s="2"/>
      <c r="DA22" s="2"/>
      <c r="DB22" s="2"/>
      <c r="DD22" s="2"/>
    </row>
    <row r="23" spans="1:108" ht="17" x14ac:dyDescent="0.2">
      <c r="Q23" s="11"/>
      <c r="R23" s="11"/>
      <c r="S23" s="11"/>
    </row>
    <row r="24" spans="1:108" ht="17" x14ac:dyDescent="0.2">
      <c r="Q24" s="11"/>
      <c r="R24" s="11"/>
      <c r="S24" s="11"/>
    </row>
    <row r="25" spans="1:108" ht="17" x14ac:dyDescent="0.2">
      <c r="Q25" s="11"/>
      <c r="R25" s="11"/>
      <c r="S25" s="11"/>
    </row>
    <row r="26" spans="1:108" ht="17" x14ac:dyDescent="0.2">
      <c r="Q26" s="11"/>
      <c r="R26" s="11"/>
      <c r="S26" s="11"/>
    </row>
    <row r="27" spans="1:108" ht="17" x14ac:dyDescent="0.2">
      <c r="Q27" s="11"/>
      <c r="R27" s="11"/>
      <c r="S27" s="11"/>
    </row>
    <row r="28" spans="1:108" ht="17" x14ac:dyDescent="0.2">
      <c r="Q28" s="11"/>
      <c r="R28" s="11"/>
      <c r="S28" s="11"/>
    </row>
    <row r="29" spans="1:108" ht="17" x14ac:dyDescent="0.2">
      <c r="Q29" s="11"/>
      <c r="R29" s="11"/>
      <c r="S29" s="11"/>
    </row>
    <row r="30" spans="1:108" ht="17" x14ac:dyDescent="0.2">
      <c r="Q30" s="11"/>
      <c r="R30" s="11"/>
      <c r="S30" s="11"/>
    </row>
    <row r="31" spans="1:108" ht="17" x14ac:dyDescent="0.2">
      <c r="Q31" s="11"/>
      <c r="R31" s="11"/>
      <c r="S31" s="11"/>
    </row>
    <row r="32" spans="1:108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4:OO5">
      <sortCondition descending="1" ref="F1:F6"/>
    </sortState>
  </autoFilter>
  <sortState xmlns:xlrd2="http://schemas.microsoft.com/office/spreadsheetml/2017/richdata2" ref="A1:N3">
    <sortCondition ref="A1"/>
  </sortState>
  <mergeCells count="88">
    <mergeCell ref="NS2:NW2"/>
    <mergeCell ref="NN1:OO1"/>
    <mergeCell ref="NN2:NR2"/>
    <mergeCell ref="NX2:OB2"/>
    <mergeCell ref="OC2:OG2"/>
    <mergeCell ref="GC2:GG2"/>
    <mergeCell ref="FX1:GS1"/>
    <mergeCell ref="IL1:JG1"/>
    <mergeCell ref="GT1:HO1"/>
    <mergeCell ref="HP1:IK1"/>
    <mergeCell ref="GT2:GX2"/>
    <mergeCell ref="HZ2:ID2"/>
    <mergeCell ref="FX2:GB2"/>
    <mergeCell ref="LV2:LZ2"/>
    <mergeCell ref="LJ2:LN2"/>
    <mergeCell ref="MR1:NM1"/>
    <mergeCell ref="KD2:KH2"/>
    <mergeCell ref="JR2:JV2"/>
    <mergeCell ref="LV1:MQ1"/>
    <mergeCell ref="NB2:NF2"/>
    <mergeCell ref="MW2:NA2"/>
    <mergeCell ref="MR2:MV2"/>
    <mergeCell ref="MF2:MJ2"/>
    <mergeCell ref="MA2:ME2"/>
    <mergeCell ref="KN2:KR2"/>
    <mergeCell ref="KI2:KM2"/>
    <mergeCell ref="KZ1:LU1"/>
    <mergeCell ref="LE2:LI2"/>
    <mergeCell ref="KZ2:LD2"/>
    <mergeCell ref="JH2:JL2"/>
    <mergeCell ref="GH2:GL2"/>
    <mergeCell ref="IV2:IZ2"/>
    <mergeCell ref="IQ2:IU2"/>
    <mergeCell ref="IL2:IP2"/>
    <mergeCell ref="HU2:HY2"/>
    <mergeCell ref="HP2:HT2"/>
    <mergeCell ref="HD2:HH2"/>
    <mergeCell ref="GY2:HC2"/>
    <mergeCell ref="JH1:KC1"/>
    <mergeCell ref="KD1:KY1"/>
    <mergeCell ref="JM2:JQ2"/>
    <mergeCell ref="A1:A3"/>
    <mergeCell ref="B1:B3"/>
    <mergeCell ref="C1:C3"/>
    <mergeCell ref="E1:E3"/>
    <mergeCell ref="G1:G3"/>
    <mergeCell ref="D1:D3"/>
    <mergeCell ref="F1:F3"/>
    <mergeCell ref="N1:N3"/>
    <mergeCell ref="P1:P3"/>
    <mergeCell ref="T1:AW1"/>
    <mergeCell ref="AD2:AH2"/>
    <mergeCell ref="AI2:AM2"/>
    <mergeCell ref="O1:O3"/>
    <mergeCell ref="Q1:Q3"/>
    <mergeCell ref="S1:S3"/>
    <mergeCell ref="R1:R3"/>
    <mergeCell ref="T2:X2"/>
    <mergeCell ref="Y2:AC2"/>
    <mergeCell ref="H1:H3"/>
    <mergeCell ref="I1:I3"/>
    <mergeCell ref="K1:K3"/>
    <mergeCell ref="M1:M3"/>
    <mergeCell ref="J1:J3"/>
    <mergeCell ref="L1:L3"/>
    <mergeCell ref="AX1:CA1"/>
    <mergeCell ref="AX2:BB2"/>
    <mergeCell ref="BH2:BL2"/>
    <mergeCell ref="DT2:DX2"/>
    <mergeCell ref="DO2:DS2"/>
    <mergeCell ref="DJ1:EE1"/>
    <mergeCell ref="BM2:BQ2"/>
    <mergeCell ref="DJ2:DN2"/>
    <mergeCell ref="DF1:DI1"/>
    <mergeCell ref="CB1:DE1"/>
    <mergeCell ref="CB2:CF2"/>
    <mergeCell ref="BC2:BG2"/>
    <mergeCell ref="CG2:CK2"/>
    <mergeCell ref="CL2:CP2"/>
    <mergeCell ref="CQ2:CU2"/>
    <mergeCell ref="FL2:FP2"/>
    <mergeCell ref="FG2:FK2"/>
    <mergeCell ref="EK2:EO2"/>
    <mergeCell ref="FB1:FW1"/>
    <mergeCell ref="EF2:EJ2"/>
    <mergeCell ref="EF1:FA1"/>
    <mergeCell ref="EP2:ET2"/>
    <mergeCell ref="FB2:FF2"/>
  </mergeCells>
  <conditionalFormatting sqref="H1:H1048576">
    <cfRule type="containsText" dxfId="192" priority="6" operator="containsText" text="No DD">
      <formula>NOT(ISERROR(SEARCH("No DD",H1)))</formula>
    </cfRule>
    <cfRule type="containsText" dxfId="191" priority="7" operator="containsText" text="Merit">
      <formula>NOT(ISERROR(SEARCH("Merit",H1)))</formula>
    </cfRule>
    <cfRule type="containsText" dxfId="190" priority="8" operator="containsText" text="Excellence">
      <formula>NOT(ISERROR(SEARCH("Excellence",H1)))</formula>
    </cfRule>
    <cfRule type="containsText" dxfId="189" priority="9" operator="containsText" text="Worlds Team">
      <formula>NOT(ISERROR(SEARCH("Worlds Team",H1)))</formula>
    </cfRule>
    <cfRule type="containsText" dxfId="188" priority="10" operator="containsText" text="National Team">
      <formula>NOT(ISERROR(SEARCH("National Team",H1)))</formula>
    </cfRule>
  </conditionalFormatting>
  <conditionalFormatting sqref="T4:AW5">
    <cfRule type="expression" dxfId="187" priority="2" stopIfTrue="1">
      <formula>IF($AN4&lt;&gt;"",1,0)</formula>
    </cfRule>
  </conditionalFormatting>
  <conditionalFormatting sqref="AX4:CA5">
    <cfRule type="expression" dxfId="186" priority="4" stopIfTrue="1">
      <formula>IF($BR4&lt;&gt;"",1,0)</formula>
    </cfRule>
  </conditionalFormatting>
  <conditionalFormatting sqref="L1:L1048576 P1:P1048576 J1:J1048576 N1:N1048576">
    <cfRule type="expression" dxfId="185" priority="11">
      <formula>IF(J1=$CB$1,1,0)</formula>
    </cfRule>
    <cfRule type="expression" dxfId="184" priority="12">
      <formula>IF(J1=$AX$1,1,0)</formula>
    </cfRule>
    <cfRule type="expression" dxfId="183" priority="13">
      <formula>IF(J1=$T$1,1,0)</formula>
    </cfRule>
  </conditionalFormatting>
  <conditionalFormatting sqref="CB4:DE5">
    <cfRule type="expression" dxfId="182" priority="5" stopIfTrue="1">
      <formula>IF($CV4&lt;&gt;"",1,0)</formula>
    </cfRule>
  </conditionalFormatting>
  <conditionalFormatting sqref="A4:A1048576">
    <cfRule type="expression" dxfId="181" priority="1">
      <formula>AND(G4&lt;&gt;"",F4="")</formula>
    </cfRule>
    <cfRule type="expression" dxfId="180" priority="48705">
      <formula>IF(A4&gt;4,1,0)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79" priority="52147" operator="between">
      <formula>AW$15</formula>
      <formula>1000</formula>
    </cfRule>
    <cfRule type="cellIs" dxfId="178" priority="52148" operator="between">
      <formula>AW$14</formula>
      <formula>AW$15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77" priority="52237" operator="between">
      <formula>AW$14</formula>
      <formula>1000</formula>
    </cfRule>
    <cfRule type="cellIs" dxfId="176" priority="52238" operator="between">
      <formula>AW$13</formula>
      <formula>AW$14</formula>
    </cfRule>
    <cfRule type="cellIs" dxfId="175" priority="52239" operator="between">
      <formula>AW$12</formula>
      <formula>AW$13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74" priority="52372" operator="between">
      <formula>AW$15</formula>
      <formula>1000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73" priority="52417" operator="between">
      <formula>EE$11</formula>
      <formula>1000</formula>
    </cfRule>
    <cfRule type="cellIs" dxfId="172" priority="52418" operator="between">
      <formula>EE$10</formula>
      <formula>EE$11</formula>
    </cfRule>
    <cfRule type="cellIs" dxfId="171" priority="52419" operator="between">
      <formula>EE$9</formula>
      <formula>EE$10</formula>
    </cfRule>
    <cfRule type="cellIs" dxfId="170" priority="52420" operator="between">
      <formula>EE$8</formula>
      <formula>EE$9</formula>
    </cfRule>
  </conditionalFormatting>
  <conditionalFormatting sqref="AP1:AP1048576 BT1:BT1048576 CX1:CX1048576">
    <cfRule type="cellIs" dxfId="169" priority="52561" operator="between">
      <formula>AW$11</formula>
      <formula>1000</formula>
    </cfRule>
    <cfRule type="cellIs" dxfId="168" priority="52562" operator="between">
      <formula>AW$10</formula>
      <formula>AW$11</formula>
    </cfRule>
    <cfRule type="cellIs" dxfId="167" priority="52563" operator="between">
      <formula>AW$9</formula>
      <formula>AW$10</formula>
    </cfRule>
    <cfRule type="cellIs" dxfId="166" priority="52564" operator="between">
      <formula>AW$8</formula>
      <formula>AW$9</formula>
    </cfRule>
  </conditionalFormatting>
  <conditionalFormatting sqref="AQ1:AQ1048576 BU1:BU1048576 CY1:CY1048576">
    <cfRule type="cellIs" dxfId="165" priority="52597" operator="between">
      <formula>AW$15</formula>
      <formula>1000</formula>
    </cfRule>
  </conditionalFormatting>
  <conditionalFormatting sqref="AR1:AR1048576 BV1:BV1048576 CZ1:CZ1048576">
    <cfRule type="cellIs" dxfId="164" priority="52606" operator="between">
      <formula>AW$11</formula>
      <formula>1000</formula>
    </cfRule>
    <cfRule type="cellIs" dxfId="163" priority="52607" operator="between">
      <formula>AW$10</formula>
      <formula>AW$11</formula>
    </cfRule>
    <cfRule type="cellIs" dxfId="162" priority="52608" operator="between">
      <formula>AW$9</formula>
      <formula>AW$10</formula>
    </cfRule>
    <cfRule type="cellIs" dxfId="161" priority="52609" operator="between">
      <formula>AW$8</formula>
      <formula>AW$9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60" priority="52642" operator="between">
      <formula>AW$11</formula>
      <formula>1000</formula>
    </cfRule>
    <cfRule type="cellIs" dxfId="159" priority="52643" operator="between">
      <formula>AW$10</formula>
      <formula>AW$11</formula>
    </cfRule>
    <cfRule type="cellIs" dxfId="158" priority="52644" operator="between">
      <formula>AW$9</formula>
      <formula>AW$10</formula>
    </cfRule>
    <cfRule type="cellIs" dxfId="157" priority="52645" operator="between">
      <formula>AW$8</formula>
      <formula>AW$9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Q4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6640625" bestFit="1" customWidth="1"/>
    <col min="3" max="3" width="8.1640625" bestFit="1" customWidth="1"/>
    <col min="4" max="4" width="12" customWidth="1"/>
    <col min="6" max="6" width="14.1640625" customWidth="1"/>
    <col min="7" max="7" width="14.1640625" style="67" bestFit="1" customWidth="1"/>
    <col min="8" max="8" width="13.33203125" bestFit="1" customWidth="1"/>
    <col min="9" max="9" width="10.83203125" customWidth="1"/>
    <col min="10" max="10" width="27.5" bestFit="1" customWidth="1"/>
    <col min="12" max="12" width="20.5" bestFit="1" customWidth="1"/>
    <col min="14" max="14" width="20.5" bestFit="1" customWidth="1"/>
    <col min="16" max="16" width="27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150" width="10.83203125" hidden="1" customWidth="1"/>
    <col min="151" max="157" width="10.83203125" customWidth="1"/>
    <col min="158" max="172" width="10.83203125" hidden="1" customWidth="1"/>
    <col min="173" max="179" width="10.83203125" customWidth="1"/>
    <col min="180" max="407" width="10.83203125" hidden="1" customWidth="1"/>
    <col min="408" max="409" width="10.83203125" customWidth="1"/>
  </cols>
  <sheetData>
    <row r="1" spans="1:407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4" t="s">
        <v>5</v>
      </c>
      <c r="H1" s="74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1" t="s">
        <v>83</v>
      </c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2" t="s">
        <v>87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1" t="s">
        <v>95</v>
      </c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10</v>
      </c>
      <c r="DG1" s="73"/>
      <c r="DH1" s="73"/>
      <c r="DI1" s="73"/>
      <c r="DJ1" s="71" t="s">
        <v>86</v>
      </c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2" t="s">
        <v>85</v>
      </c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1" t="s">
        <v>96</v>
      </c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1"/>
      <c r="KX1" s="71"/>
      <c r="KY1" s="71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1" t="s">
        <v>55</v>
      </c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</row>
    <row r="2" spans="1:407" x14ac:dyDescent="0.2">
      <c r="A2" s="74"/>
      <c r="B2" s="74"/>
      <c r="C2" s="74"/>
      <c r="D2" s="74"/>
      <c r="E2" s="74"/>
      <c r="F2" s="77"/>
      <c r="G2" s="74"/>
      <c r="H2" s="74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0" t="s">
        <v>15</v>
      </c>
      <c r="AY2" s="70"/>
      <c r="AZ2" s="70"/>
      <c r="BA2" s="70"/>
      <c r="BB2" s="70"/>
      <c r="BC2" s="70" t="s">
        <v>16</v>
      </c>
      <c r="BD2" s="70"/>
      <c r="BE2" s="70"/>
      <c r="BF2" s="70"/>
      <c r="BG2" s="70"/>
      <c r="BH2" s="70" t="s">
        <v>60</v>
      </c>
      <c r="BI2" s="70"/>
      <c r="BJ2" s="70"/>
      <c r="BK2" s="70"/>
      <c r="BL2" s="70"/>
      <c r="BM2" s="70" t="s">
        <v>19</v>
      </c>
      <c r="BN2" s="70"/>
      <c r="BO2" s="70"/>
      <c r="BP2" s="70"/>
      <c r="BQ2" s="70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0" t="s">
        <v>15</v>
      </c>
      <c r="EG2" s="70"/>
      <c r="EH2" s="70"/>
      <c r="EI2" s="70"/>
      <c r="EJ2" s="70"/>
      <c r="EK2" s="70" t="s">
        <v>16</v>
      </c>
      <c r="EL2" s="70"/>
      <c r="EM2" s="70"/>
      <c r="EN2" s="70"/>
      <c r="EO2" s="70"/>
      <c r="EP2" s="70" t="s">
        <v>19</v>
      </c>
      <c r="EQ2" s="70"/>
      <c r="ER2" s="70"/>
      <c r="ES2" s="70"/>
      <c r="ET2" s="70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0" t="s">
        <v>15</v>
      </c>
      <c r="FY2" s="70"/>
      <c r="FZ2" s="70"/>
      <c r="GA2" s="70"/>
      <c r="GB2" s="70"/>
      <c r="GC2" s="70" t="s">
        <v>16</v>
      </c>
      <c r="GD2" s="70"/>
      <c r="GE2" s="70"/>
      <c r="GF2" s="70"/>
      <c r="GG2" s="70"/>
      <c r="GH2" s="70" t="s">
        <v>19</v>
      </c>
      <c r="GI2" s="70"/>
      <c r="GJ2" s="70"/>
      <c r="GK2" s="70"/>
      <c r="GL2" s="70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0" t="s">
        <v>15</v>
      </c>
      <c r="HQ2" s="70"/>
      <c r="HR2" s="70"/>
      <c r="HS2" s="70"/>
      <c r="HT2" s="70"/>
      <c r="HU2" s="70" t="s">
        <v>16</v>
      </c>
      <c r="HV2" s="70"/>
      <c r="HW2" s="70"/>
      <c r="HX2" s="70"/>
      <c r="HY2" s="70"/>
      <c r="HZ2" s="70" t="s">
        <v>19</v>
      </c>
      <c r="IA2" s="70"/>
      <c r="IB2" s="70"/>
      <c r="IC2" s="70"/>
      <c r="ID2" s="70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0" t="s">
        <v>15</v>
      </c>
      <c r="JI2" s="70"/>
      <c r="JJ2" s="70"/>
      <c r="JK2" s="70"/>
      <c r="JL2" s="70"/>
      <c r="JM2" s="70" t="s">
        <v>16</v>
      </c>
      <c r="JN2" s="70"/>
      <c r="JO2" s="70"/>
      <c r="JP2" s="70"/>
      <c r="JQ2" s="70"/>
      <c r="JR2" s="70" t="s">
        <v>19</v>
      </c>
      <c r="JS2" s="70"/>
      <c r="JT2" s="70"/>
      <c r="JU2" s="70"/>
      <c r="JV2" s="70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0" t="s">
        <v>15</v>
      </c>
      <c r="LA2" s="70"/>
      <c r="LB2" s="70"/>
      <c r="LC2" s="70"/>
      <c r="LD2" s="70"/>
      <c r="LE2" s="70" t="s">
        <v>16</v>
      </c>
      <c r="LF2" s="70"/>
      <c r="LG2" s="70"/>
      <c r="LH2" s="70"/>
      <c r="LI2" s="70"/>
      <c r="LJ2" s="70" t="s">
        <v>19</v>
      </c>
      <c r="LK2" s="70"/>
      <c r="LL2" s="70"/>
      <c r="LM2" s="70"/>
      <c r="LN2" s="70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0" t="s">
        <v>15</v>
      </c>
      <c r="MS2" s="70"/>
      <c r="MT2" s="70"/>
      <c r="MU2" s="70"/>
      <c r="MV2" s="70"/>
      <c r="MW2" s="70" t="s">
        <v>16</v>
      </c>
      <c r="MX2" s="70"/>
      <c r="MY2" s="70"/>
      <c r="MZ2" s="70"/>
      <c r="NA2" s="70"/>
      <c r="NB2" s="70" t="s">
        <v>19</v>
      </c>
      <c r="NC2" s="70"/>
      <c r="ND2" s="70"/>
      <c r="NE2" s="70"/>
      <c r="NF2" s="70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4"/>
      <c r="B3" s="74"/>
      <c r="C3" s="74"/>
      <c r="D3" s="74"/>
      <c r="E3" s="74"/>
      <c r="F3" s="77"/>
      <c r="G3" s="74"/>
      <c r="H3" s="74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t="str" cm="1">
        <f t="array" ref="A4">IF(AND(H4&lt;&gt;"",H4&lt;&gt;"No DD"),SUMPRODUCT((H$4:H$10&lt;&gt;"")*(H$4:H$10&lt;&gt;"No DD")*(E$4:E$10&gt;E4))+1,IF(H4="No DD",SUMPRODUCT((H$4:H$10="No DD")*(E$4:E$10&gt;E4))+1+SUMPRODUCT((H$4:H$10&lt;&gt;"")*(H$4:H$10&lt;&gt;"No DD")),""))</f>
        <v/>
      </c>
      <c r="B4" s="5" t="s">
        <v>91</v>
      </c>
      <c r="C4" s="4" t="s">
        <v>3</v>
      </c>
      <c r="D4" s="4">
        <v>2009</v>
      </c>
      <c r="E4" s="10">
        <f>SUM(I4:Q4)</f>
        <v>225.04000000000002</v>
      </c>
      <c r="F4" s="3" t="str">
        <f>IF(OR(AND(AP4&gt;=AW$12,AT4&gt;=AW$16,AO4&lt;&gt;"",AN4=""),AND(BT4&gt;=CA$12,BX4&gt;=CA$16,BS4&lt;&gt;"",BR4=""),AND(CX4&gt;=DE$12,DB4&gt;=DE$16,CW4&lt;&gt;"",CV4=""),AND(DY4&gt;=EE$12,EB4&gt;=EE$16,DY4&lt;&gt;""),AND(EU4&gt;=FA$12,EX4&gt;=FA$16,EU4&lt;&gt;""),AND(FQ4&gt;=FW$12,FT4&gt;=FW$16,FQ4&lt;&gt;""),AND(GM4&gt;=GS$12,GP4&gt;=GS$16,GM4&lt;&gt;""),AND(HI4&gt;=HO$12,HL4&gt;=HO$16,HI4&lt;&gt;""),AND(IE4&gt;=IK$12,IH4&gt;=IK$16,IE4&lt;&gt;""),AND(JA4&gt;=JG$12,JD4&gt;=JG$16,JA4&lt;&gt;""),AND(JW4&gt;=KC$12,JZ4&gt;=KC$16,JW4&lt;&gt;""),AND(KS4&gt;=KY$12,KV4&gt;=KY$16,KS4&lt;&gt;""),AND(LO4&gt;=LU$12,LR4&gt;=LU$16,LO4&lt;&gt;""),AND(MK4&gt;=MQ$12,MN4&gt;=MQ$16,MK4&lt;&gt;""),AND(NG4&gt;=NM$12,NJ4&gt;=NM$16,NG4&lt;&gt;"")),"P","")</f>
        <v/>
      </c>
      <c r="G4" s="3" t="str">
        <f>IF(OR(AND(AT4&gt;=AW$16,AO4&lt;&gt;"",AN4=""),AND(BX4&gt;=CA$16,BS4&lt;&gt;"",BR4=""),AND(DB4&gt;=DE$16,CW4&lt;&gt;"",CV4=""),AND(EB4&gt;=EE$16,DY4&lt;&gt;""),AND(EX4&gt;=FA$16,EU4&lt;&gt;""),AND(FT4&gt;=FW$16,FQ4&lt;&gt;""),AND(GP4&gt;=GS$16,GM4&lt;&gt;""),AND(HL4&gt;=HO$16,HI4&lt;&gt;""),AND(IH4&gt;=IK$16,IE4&lt;&gt;""),AND(JD4&gt;=JG$16,JA4&lt;&gt;""),AND(JZ4&gt;=KC$16,JW4&lt;&gt;""),AND(KV4&gt;=KY$16,KS4&lt;&gt;""),AND(LR4&gt;=LU$16,LO4&lt;&gt;""),AND(MN4&gt;=MQ$16,MK4&lt;&gt;""),AND(NJ4&gt;=NM$16,NG4&lt;&gt;"")),"P","")</f>
        <v/>
      </c>
      <c r="H4" s="47" t="str">
        <f>IF(OR(AND(AP4&gt;=AW$15,AQ4&gt;=AW$19,AP4&lt;&gt;"",AN4=""),AND(AU4&gt;=AW$15,AV4&gt;=AW$19,AU4&lt;&gt;"",AN4=""),AND(BT4&gt;=CA$15,BU4&gt;=CA$19,BT4&lt;&gt;"",BR4=""),AND(BY4&gt;=CA$15,BZ4&gt;=CA$19,BY4&lt;&gt;"",BR4=""),AND(CX4&gt;=DE$15,CY4&gt;=DE$19,CX4&lt;&gt;"",CV4=""),AND(DC4&gt;=DE$15,DD4&gt;=DE$19,DC4&lt;&gt;"",CV4=""),AND(DY4&gt;=EE$15,EA4&gt;=EE$19,DY4&lt;&gt;""),AND(EC4&gt;=EE$15,ED4&gt;=EE$19,EC4&lt;&gt;""),AND(EU4&gt;=FA$15,EW4&gt;=FA$19,EU4&lt;&gt;""),AND(EY4&gt;=FA$15,EZ4&gt;=FA$19,EY4&lt;&gt;""),AND(FQ4&gt;=FW$15,FS4&gt;=FW$19,FQ4&lt;&gt;""),AND(FU4&gt;=FW$15,FV4&gt;=FW$19,FU4&lt;&gt;""),AND(GM4&gt;=GS$15,GO4&gt;=GS$19,GM4&lt;&gt;""),AND(GQ4&gt;=GS$15,GR4&gt;=GS$19,GQ4&lt;&gt;""),AND(HI4&gt;=HO$15,HK4&gt;=HO$19,HI4&lt;&gt;""),AND(HM4&gt;=HO$15,HN4&gt;=HO$19,HM4&lt;&gt;""),AND(IE4&gt;=IK$15,IG4&gt;=IK$19,IE4&lt;&gt;""),AND(II4&gt;=IK$15,IJ4&gt;=IK$19,II4&lt;&gt;""),AND(JA4&gt;=JG$15,JC4&gt;=JG$19,JA4&lt;&gt;""),AND(JE4&gt;=JG$15,JF4&gt;=JG$19,JE4&lt;&gt;""),AND(JW4&gt;=KC$15,JY4&gt;=KC$19,JW4&lt;&gt;""),AND(KA4&gt;=KC$15,KB4&gt;=KC$19,KA4&lt;&gt;""),AND(KS4&gt;=KY$15,KU4&gt;=KY$19,KS4&lt;&gt;""),AND(KW4&gt;=KY$15,KX4&gt;=KY$19,KW4&lt;&gt;""),AND(LO4&gt;=LU$15,LQ4&gt;=LU$19,LO4&lt;&gt;""),AND(LS4&gt;=LU$15,LT4&gt;=LU$19,LS4&lt;&gt;""),AND(MK4&gt;=MQ$15,MM4&gt;=MQ$19,MK4&lt;&gt;""),AND(MO4&gt;=MQ$15,MP4&gt;=MQ$19,MO4&lt;&gt;""),AND(NG4&gt;=NM$15,NI4&gt;=NM$19,NG4&lt;&gt;""),AND(NK4&gt;=NM$15,NL4&gt;=NM$19,NK4&lt;&gt;"")),"Merit",IF(OR(AND(AP4&gt;=AW$14,AT4&gt;=AW$18,AO4&lt;&gt;"",AN4=""),AND(BT4&gt;=CA$14,BX4&gt;=CA$18,BS4&lt;&gt;"",BR4=""),AND(CX4&gt;=DE$14,DB4&gt;=DE$18,CW4&lt;&gt;"",CV4=""),AND(DY4&gt;=EE$14,EB4&gt;=EE$18,DY4&lt;&gt;""),AND(EU4&gt;=FA$14,EX4&gt;=FA$18,EU4&lt;&gt;""),AND(FQ4&gt;=FW$14,FT4&gt;=FW$18,FQ4&lt;&gt;""),AND(GM4&gt;=GS$14,GP4&gt;=GS$18,GM4&lt;&gt;""),AND(HI4&gt;=HO$14,HL4&gt;=HO$18,HI4&lt;&gt;""),AND(IE4&gt;=IK$14,IH4&gt;=IK$18,IE4&lt;&gt;""),AND(JA4&gt;=JG$14,JD4&gt;=JG$18,JA4&lt;&gt;""),AND(JW4&gt;=KC$14,JZ4&gt;=KC$18,JW4&lt;&gt;""),AND(KS4&gt;=KY$14,KV4&gt;=KY$18,KS4&lt;&gt;""),AND(LO4&gt;=LU$14,LR4&gt;=LU$18,LO4&lt;&gt;""),AND(MK4&gt;=MQ$14,MN4&gt;=MQ$18,MK4&lt;&gt;""),AND(NG4&gt;=NM$14,NJ4&gt;=NM$18,NG4&lt;&gt;"")),"Excellence",IF(OR(AND(AP4&gt;=AW$12,AT4&gt;=AW$16,AO4&lt;&gt;"",AN4=""),AND(BT4&gt;=CA$12,BX4&gt;=CA$16,BS4&lt;&gt;"",BR4=""),AND(CX4&gt;=DE$12,DB4&gt;=DE$16,CW4&lt;&gt;"",CV4=""),AND(DY4&gt;=EE$12,EB4&gt;=EE$16,DY4&lt;&gt;""),AND(EU4&gt;=FA$12,EX4&gt;=FA$16,EU4&lt;&gt;""),AND(FQ4&gt;=FW$12,FT4&gt;=FW$16,FQ4&lt;&gt;""),AND(GM4&gt;=GS$12,GP4&gt;=GS$16,GM4&lt;&gt;""),AND(HI4&gt;=HO$12,HL4&gt;=HO$16,HI4&lt;&gt;""),AND(IE4&gt;=IK$12,IH4&gt;=IK$16,IE4&lt;&gt;""),AND(JA4&gt;=JG$12,JD4&gt;=JG$16,JA4&lt;&gt;""),AND(JW4&gt;=KC$12,JZ4&gt;=KC$16,JW4&lt;&gt;""),AND(KS4&gt;=KY$12,KV4&gt;=KY$16,KS4&lt;&gt;""),AND(LO4&gt;=LU$12,LR4&gt;=LU$16,LO4&lt;&gt;""),AND(MK4&gt;=MQ$12,MN4&gt;=MQ$16,MK4&lt;&gt;""),AND(NG4&gt;=NM$12,NJ4&gt;=NM$16,NG4&lt;&gt;"")),"National Team",IF(G4="P","No DD",""))))</f>
        <v/>
      </c>
      <c r="I4" s="9">
        <f>IF(MAX(AT4,BX4,DB4)&gt;0,MAX(AT4,BX4,DB4),0)</f>
        <v>86.92</v>
      </c>
      <c r="J4" s="9" t="str">
        <f>IF(I4=0,"",IF(I4=DB4,$CB$1,IF(I4=BX4,$AX$1,IF(I4=AT4,$T$1,""))))</f>
        <v>2023 Elite Canada</v>
      </c>
      <c r="K4" s="9">
        <f>IF($I4=$AT4,MAX(BS4,CW4),IF($I4=$BX4,MAX(AO4,CW4),IF($I4=$DB4,MAX(AO4,BS4),MAX(AO4,BS4,CW4))))</f>
        <v>41.68</v>
      </c>
      <c r="L4" s="9" t="str">
        <f>IF(K4=0,"",IF(AND(K4=CW4,$J4&lt;&gt;$CB$1),$CB$1,IF(AND(K4=BS4,$J4&lt;&gt;$AX$1),$AX$1,IF(AND(K4=AO4,$J4&lt;&gt;$T$1),$T$1,""))))</f>
        <v>2023 3rd Domestic Trial</v>
      </c>
      <c r="M4" s="9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43.31</v>
      </c>
      <c r="N4" s="9" t="str">
        <f>IF(M4=0,"",IF(AND(OR(M4=DA4,M4=CY4),$J4&lt;&gt;$CB$1),$CB$1,IF(AND(OR(M4=BW4,M4=BU4),$J4&lt;&gt;$AX$1),$AX$1,IF(AND(OR(M4=AS4,M4=AQ4),$J4&lt;&gt;$T$1),$T$1,""))))</f>
        <v>2023 Nationals</v>
      </c>
      <c r="O4" s="9">
        <f>MAX(AV4,BZ4,DD4)</f>
        <v>48.510000000000005</v>
      </c>
      <c r="P4" s="9" t="str">
        <f>IF(O4=0,"",IF(O4=DD4,$CB$1,IF(O4=BZ4,$AX$1,IF(O4=AV4,$T$1,""))))</f>
        <v>2023 Nationals</v>
      </c>
      <c r="Q4" s="9">
        <f>IF(MAX(DF4,DG4,DH4,DI4)&gt;0,MAX(DF4,DG4,DH4,DI4),"")</f>
        <v>4.6199999999999974</v>
      </c>
      <c r="R4" s="14" t="str">
        <f>IF(Q4="","",IF(Q4=DF4,"(Vol 1)",IF(Q4=DG4,"(Vol 2)",IF(Q4=DH4,"(Prelim)",IF(Q4=DI4,"(Final)")))))</f>
        <v>(Vol 2)</v>
      </c>
      <c r="S4" s="9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>2023 WAGC (Nov 16)</v>
      </c>
      <c r="T4" s="27">
        <v>16</v>
      </c>
      <c r="U4" s="27">
        <v>9.3000000000000007</v>
      </c>
      <c r="V4" s="27">
        <v>0</v>
      </c>
      <c r="W4" s="27">
        <v>14.79</v>
      </c>
      <c r="X4" s="27">
        <v>0</v>
      </c>
      <c r="Y4" s="27">
        <v>14</v>
      </c>
      <c r="Z4" s="27">
        <v>9</v>
      </c>
      <c r="AA4" s="27">
        <v>9.6</v>
      </c>
      <c r="AB4" s="27">
        <v>14.23</v>
      </c>
      <c r="AC4" s="27">
        <v>0</v>
      </c>
      <c r="AD4" s="27"/>
      <c r="AE4" s="27"/>
      <c r="AF4" s="27"/>
      <c r="AG4" s="27"/>
      <c r="AH4" s="27"/>
      <c r="AI4" s="27">
        <v>2.9</v>
      </c>
      <c r="AJ4" s="27">
        <v>1.8</v>
      </c>
      <c r="AK4" s="27">
        <v>2.2999999999999998</v>
      </c>
      <c r="AL4" s="27">
        <v>3.06</v>
      </c>
      <c r="AM4" s="27">
        <v>0</v>
      </c>
      <c r="AN4" s="32"/>
      <c r="AO4" s="7">
        <f>IF(SUM(T4:W4)-X4&gt;0,SUM(T4:W4)-X4,"")</f>
        <v>40.090000000000003</v>
      </c>
      <c r="AP4" s="7">
        <f>IF(AA4&gt;0,AA4,"")</f>
        <v>9.6</v>
      </c>
      <c r="AQ4" s="7">
        <f>IF(SUM(Y4:AB4)-AC4&gt;0,SUM(Y4:AB4)-AC4,"")</f>
        <v>46.83</v>
      </c>
      <c r="AR4" s="7" t="str">
        <f>IF(AF4&gt;0,AF4,"")</f>
        <v/>
      </c>
      <c r="AS4" s="7" t="str">
        <f>IF(SUM(AD4:AG4)-AH4&gt;0,SUM(AD4:AG4)-AH4,"")</f>
        <v/>
      </c>
      <c r="AT4" s="7">
        <f>IF(AO4="",IF(MAX(AQ4,AS4)&gt;0,MAX(AQ4,AS4),""),MAX(AQ4,AS4)+AO4)</f>
        <v>86.92</v>
      </c>
      <c r="AU4" s="7">
        <f>IF(AK4&gt;0,AK4,"")</f>
        <v>2.2999999999999998</v>
      </c>
      <c r="AV4" s="7">
        <f>IF(SUM(AI4:AL4)-AM4&gt;0,SUM(AI4:AL4)-AM4,"")</f>
        <v>10.06</v>
      </c>
      <c r="AW4" s="7">
        <f>IF(SUM(AT4,AV4)&gt;0,SUM(AT4,AV4),"")</f>
        <v>96.98</v>
      </c>
      <c r="AX4" s="31">
        <v>16.399999999999999</v>
      </c>
      <c r="AY4" s="31">
        <v>9</v>
      </c>
      <c r="AZ4" s="31">
        <v>0</v>
      </c>
      <c r="BA4" s="31">
        <v>14.69</v>
      </c>
      <c r="BB4" s="31">
        <v>0</v>
      </c>
      <c r="BC4" s="31">
        <v>13.7</v>
      </c>
      <c r="BD4" s="31">
        <v>8.1</v>
      </c>
      <c r="BE4" s="31">
        <v>8.3000000000000007</v>
      </c>
      <c r="BF4" s="31">
        <v>13.21</v>
      </c>
      <c r="BG4" s="31">
        <v>0</v>
      </c>
      <c r="BH4" s="31"/>
      <c r="BI4" s="31"/>
      <c r="BJ4" s="31"/>
      <c r="BK4" s="31"/>
      <c r="BL4" s="31"/>
      <c r="BM4" s="31">
        <v>15.4</v>
      </c>
      <c r="BN4" s="31">
        <v>9.1</v>
      </c>
      <c r="BO4" s="31">
        <v>9.6999999999999993</v>
      </c>
      <c r="BP4" s="31">
        <v>14.31</v>
      </c>
      <c r="BQ4" s="31">
        <v>0</v>
      </c>
      <c r="BR4" s="33"/>
      <c r="BS4" s="9">
        <f>IF(SUM(AX4:BA4)-BB4&gt;0,SUM(AX4:BA4)-BB4,"")</f>
        <v>40.089999999999996</v>
      </c>
      <c r="BT4" s="9">
        <f>IF(BE4&gt;0,BE4,"")</f>
        <v>8.3000000000000007</v>
      </c>
      <c r="BU4" s="9">
        <f>IF(SUM(BC4:BF4)-BG4&gt;0,SUM(BC4:BF4)-BG4,"")</f>
        <v>43.31</v>
      </c>
      <c r="BV4" s="9" t="str">
        <f>IF(BJ4&gt;0,BJ4,"")</f>
        <v/>
      </c>
      <c r="BW4" s="9" t="str">
        <f>IF(SUM(BH4:BK4)-BL4&gt;0,SUM(BH4:BK4)-BL4,"")</f>
        <v/>
      </c>
      <c r="BX4" s="9">
        <f>IF(BS4="",IF(MAX(BU4,BW4)&gt;0,MAX(BU4,BW4),""),MAX(BU4,BW4)+BS4)</f>
        <v>83.4</v>
      </c>
      <c r="BY4" s="9">
        <f>IF(BO4&gt;0,BO4,"")</f>
        <v>9.6999999999999993</v>
      </c>
      <c r="BZ4" s="9">
        <f>IF(SUM(BM4:BP4)-BQ4&gt;0,SUM(BM4:BP4)-BQ4,"")</f>
        <v>48.510000000000005</v>
      </c>
      <c r="CA4" s="9">
        <f>IF(SUM(BX4,BZ4)&gt;0,SUM(BX4,BZ4),"")</f>
        <v>131.91000000000003</v>
      </c>
      <c r="CB4" s="27">
        <v>17.399999999999999</v>
      </c>
      <c r="CC4" s="27">
        <v>9.4</v>
      </c>
      <c r="CD4" s="27">
        <v>0</v>
      </c>
      <c r="CE4" s="27">
        <v>14.88</v>
      </c>
      <c r="CF4" s="27">
        <v>0</v>
      </c>
      <c r="CG4" s="27">
        <v>12.2</v>
      </c>
      <c r="CH4" s="27">
        <v>8.3000000000000007</v>
      </c>
      <c r="CI4" s="27">
        <v>7.1999999999999993</v>
      </c>
      <c r="CJ4" s="27">
        <v>13.13</v>
      </c>
      <c r="CK4" s="27">
        <v>0</v>
      </c>
      <c r="CL4" s="27"/>
      <c r="CM4" s="27"/>
      <c r="CN4" s="27"/>
      <c r="CO4" s="27"/>
      <c r="CP4" s="27"/>
      <c r="CQ4" s="27">
        <v>14.3</v>
      </c>
      <c r="CR4" s="27">
        <v>9.1</v>
      </c>
      <c r="CS4" s="27">
        <v>10.299999999999999</v>
      </c>
      <c r="CT4" s="27">
        <v>14.3</v>
      </c>
      <c r="CU4" s="27">
        <v>0</v>
      </c>
      <c r="CV4" s="32"/>
      <c r="CW4" s="7">
        <f>IF(SUM(CB4:CE4)-CF4&gt;0,SUM(CB4:CE4)-CF4,"")</f>
        <v>41.68</v>
      </c>
      <c r="CX4" s="7">
        <f>IF(CI4&gt;0,CI4,"")</f>
        <v>7.1999999999999993</v>
      </c>
      <c r="CY4" s="7">
        <f>IF(SUM(CG4:CJ4)-CK4&gt;0,SUM(CG4:CJ4)-CK4,"")</f>
        <v>40.83</v>
      </c>
      <c r="CZ4" s="7" t="str">
        <f>IF(CN4&gt;0,CN4,"")</f>
        <v/>
      </c>
      <c r="DA4" s="7" t="str">
        <f>IF(SUM(CL4:CO4)-CP4&gt;0,SUM(CL4:CO4)-CP4,"")</f>
        <v/>
      </c>
      <c r="DB4" s="7">
        <f>IF(CW4="",IF(MAX(CY4,DA4)&gt;0,MAX(CY4,DA4),""),MAX(CY4,DA4)+CW4)</f>
        <v>82.509999999999991</v>
      </c>
      <c r="DC4" s="7">
        <f>IF(CS4&gt;0,CS4,"")</f>
        <v>10.299999999999999</v>
      </c>
      <c r="DD4" s="7">
        <f>IF(SUM(CQ4:CT4)-CU4&gt;0,SUM(CQ4:CT4)-CU4,"")</f>
        <v>48</v>
      </c>
      <c r="DE4" s="7">
        <f>IF(SUM(DB4,DD4)&gt;0,SUM(DB4,DD4),"")</f>
        <v>130.51</v>
      </c>
      <c r="DF4" s="13" t="str">
        <f>IF(MAX(DZ4,EV4,FR4,GN4,HJ4,IF4,JB4,JX4,KT4,LP4,ML4,NH4)-IF(K4="",0,K4)&gt;0.001,MAX(DZ4,EV4,FR4,GN4,HJ4,IF4,JB4,JX4,KT4,LP4,ML4,NH4)-IF(K4="",0,K4),"")</f>
        <v/>
      </c>
      <c r="DG4" s="13">
        <f>IF(MAX(EA4,EW4,FS4,GO4,HK4,IG4,JC4,JY4,KU4,LQ4,MM4,NI4)-IF(M4="",0,M4)&gt;0.001,MAX(EA4,EW4,FS4,GO4,HK4,IG4,JC4,JY4,KU4,LQ4,MM4,NI4)-IF(M4="",0,M4),"")</f>
        <v>4.6199999999999974</v>
      </c>
      <c r="DH4" s="13">
        <f>IF(MAX(EB4,EX4,FT4,GP4,HL4,IH4,JD4,JZ4,KV4,LR4,MN4,NJ4)-IF(I4="",0,I4)&gt;0.001,MAX(EB4,EX4,FT4,GP4,HL4,IH4,JD4,JZ4,KV4,LR4,MN4,NJ4)-IF(I4="",0,I4),"")</f>
        <v>4.0000000000006253E-2</v>
      </c>
      <c r="DI4" s="13" t="str">
        <f>IF(MAX(ED4,EZ4,FV4,GR4,HN4,IJ4,JF4,KB4,KX4,LT4,MP4,NL4)-IF(O4="",0,O4)&gt;0.001,MAX(ED4,EZ4,FV4,GR4,HN4,IJ4,JF4,KB4,KX4,LT4,MP4,NL4)-IF(O4="",0,O4),"")</f>
        <v/>
      </c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7" t="str">
        <f>IF(DQ4&gt;0,DQ4,"")</f>
        <v/>
      </c>
      <c r="DZ4" s="7" t="str">
        <f>IF(SUM(DJ4:DM4)-DN4&gt;0,SUM(DJ4:DM4)-DN4,"")</f>
        <v/>
      </c>
      <c r="EA4" s="7" t="str">
        <f>IF(SUM(DO4:DR4)-DS4&gt;0,SUM(DO4:DR4)-DS4,"")</f>
        <v/>
      </c>
      <c r="EB4" s="7" t="str">
        <f>IF(SUM(DZ4:EA4)&gt;0,SUM(DZ4:EA4),"")</f>
        <v/>
      </c>
      <c r="EC4" s="7" t="str">
        <f>IF(DV4&gt;0,DV4,"")</f>
        <v/>
      </c>
      <c r="ED4" s="7" t="str">
        <f>IF(SUM(DT4:DW4)-DX4&gt;0,SUM(DT4:DW4)-DX4,"")</f>
        <v/>
      </c>
      <c r="EE4" s="7" t="str">
        <f>IF(SUM(EB4,ED4)&gt;0,SUM(EB4,ED4),"")</f>
        <v/>
      </c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9" t="str">
        <f>IF(EM4&gt;0,EM4,"")</f>
        <v/>
      </c>
      <c r="EV4" s="9" t="str">
        <f>IF(SUM(EF4:EI4)-EJ4&gt;0,SUM(EF4:EI4)-EJ4,"")</f>
        <v/>
      </c>
      <c r="EW4" s="9" t="str">
        <f>IF(SUM(EK4:EN4)-EO4&gt;0,SUM(EK4:EN4)-EO4,"")</f>
        <v/>
      </c>
      <c r="EX4" s="9" t="str">
        <f>IF(SUM(EV4:EW4)&gt;0,SUM(EV4:EW4),"")</f>
        <v/>
      </c>
      <c r="EY4" s="9" t="str">
        <f>IF(ER4&gt;0,ER4,"")</f>
        <v/>
      </c>
      <c r="EZ4" s="9" t="str">
        <f>IF(SUM(EP4:ES4)-ET4&gt;0,SUM(EP4:ES4)-ET4,"")</f>
        <v/>
      </c>
      <c r="FA4" s="9" t="str">
        <f>IF(SUM(EX4,EZ4)&gt;0,SUM(EX4,EZ4),"")</f>
        <v/>
      </c>
      <c r="FB4" s="18">
        <v>14.8</v>
      </c>
      <c r="FC4" s="18">
        <v>9.5</v>
      </c>
      <c r="FD4" s="18">
        <v>0</v>
      </c>
      <c r="FE4" s="18">
        <v>14.73</v>
      </c>
      <c r="FF4" s="18">
        <v>0</v>
      </c>
      <c r="FG4" s="18">
        <v>14</v>
      </c>
      <c r="FH4" s="18">
        <v>9.3000000000000007</v>
      </c>
      <c r="FI4" s="18">
        <v>10.5</v>
      </c>
      <c r="FJ4" s="18">
        <v>14.13</v>
      </c>
      <c r="FK4" s="18">
        <v>0</v>
      </c>
      <c r="FL4" s="18"/>
      <c r="FM4" s="18"/>
      <c r="FN4" s="18"/>
      <c r="FO4" s="18"/>
      <c r="FP4" s="18"/>
      <c r="FQ4" s="7">
        <f>IF(FI4&gt;0,FI4,"")</f>
        <v>10.5</v>
      </c>
      <c r="FR4" s="7">
        <f>IF(SUM(FB4:FE4)-FF4&gt;0,SUM(FB4:FE4)-FF4,"")</f>
        <v>39.03</v>
      </c>
      <c r="FS4" s="7">
        <f>IF(SUM(FG4:FJ4)-FK4&gt;0,SUM(FG4:FJ4)-FK4,"")</f>
        <v>47.93</v>
      </c>
      <c r="FT4" s="7">
        <f>IF(SUM(FR4:FS4)&gt;0,SUM(FR4:FS4),"")</f>
        <v>86.960000000000008</v>
      </c>
      <c r="FU4" s="7" t="str">
        <f>IF(FN4&gt;0,FN4,"")</f>
        <v/>
      </c>
      <c r="FV4" s="7" t="str">
        <f>IF(SUM(FL4:FO4)-FP4&gt;0,SUM(FL4:FO4)-FP4,"")</f>
        <v/>
      </c>
      <c r="FW4" s="7">
        <f>IF(SUM(FT4,FV4)&gt;0,SUM(FT4,FV4),"")</f>
        <v>86.960000000000008</v>
      </c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9" t="str">
        <f>IF(GE4&gt;0,GE4,"")</f>
        <v/>
      </c>
      <c r="GN4" s="9" t="str">
        <f>IF(SUM(FX4:GA4)-GB4&gt;0,SUM(FX4:GA4)-GB4,"")</f>
        <v/>
      </c>
      <c r="GO4" s="9" t="str">
        <f>IF(SUM(GC4:GF4)-GG4&gt;0,SUM(GC4:GF4)-GG4,"")</f>
        <v/>
      </c>
      <c r="GP4" s="9" t="str">
        <f>IF(SUM(GN4:GO4)&gt;0,SUM(GN4:GO4),"")</f>
        <v/>
      </c>
      <c r="GQ4" s="9" t="str">
        <f>IF(GJ4&gt;0,GJ4,"")</f>
        <v/>
      </c>
      <c r="GR4" s="9" t="str">
        <f>IF(SUM(GH4:GK4)-GL4&gt;0,SUM(GH4:GK4)-GL4,"")</f>
        <v/>
      </c>
      <c r="GS4" s="9" t="str">
        <f>IF(SUM(GP4,GR4)&gt;0,SUM(GP4,GR4),"")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>IF(HA4&gt;0,HA4,"")</f>
        <v/>
      </c>
      <c r="HJ4" s="7" t="str">
        <f>IF(SUM(GT4:GW4)-GX4&gt;0,SUM(GT4:GW4)-GX4,"")</f>
        <v/>
      </c>
      <c r="HK4" s="7" t="str">
        <f>IF(SUM(GY4:HB4)-HC4&gt;0,SUM(GY4:HB4)-HC4,"")</f>
        <v/>
      </c>
      <c r="HL4" s="7" t="str">
        <f>IF(SUM(HJ4:HK4)&gt;0,SUM(HJ4:HK4),"")</f>
        <v/>
      </c>
      <c r="HM4" s="7" t="str">
        <f>IF(HF4&gt;0,HF4,"")</f>
        <v/>
      </c>
      <c r="HN4" s="7" t="str">
        <f>IF(SUM(HD4:HG4)-HH4&gt;0,SUM(HD4:HG4)-HH4,"")</f>
        <v/>
      </c>
      <c r="HO4" s="7" t="str">
        <f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>IF(HW4&gt;0,HW4,"")</f>
        <v/>
      </c>
      <c r="IF4" s="9" t="str">
        <f>IF(SUM(HP4:HS4)-HT4&gt;0,SUM(HP4:HS4)-HT4,"")</f>
        <v/>
      </c>
      <c r="IG4" s="9" t="str">
        <f>IF(SUM(HU4:HX4)-HY4&gt;0,SUM(HU4:HX4)-HY4,"")</f>
        <v/>
      </c>
      <c r="IH4" s="9" t="str">
        <f>IF(SUM(IF4:IG4)&gt;0,SUM(IF4:IG4),"")</f>
        <v/>
      </c>
      <c r="II4" s="9" t="str">
        <f>IF(IB4&gt;0,IB4,"")</f>
        <v/>
      </c>
      <c r="IJ4" s="9" t="str">
        <f>IF(SUM(HZ4:IC4)-ID4&gt;0,SUM(HZ4:IC4)-ID4,"")</f>
        <v/>
      </c>
      <c r="IK4" s="9" t="str">
        <f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>IF(IS4&gt;0,IS4,"")</f>
        <v/>
      </c>
      <c r="JB4" s="7" t="str">
        <f>IF(SUM(IL4:IO4)-IP4&gt;0,SUM(IL4:IO4)-IP4,"")</f>
        <v/>
      </c>
      <c r="JC4" s="7" t="str">
        <f>IF(SUM(IQ4:IT4)-IU4&gt;0,SUM(IQ4:IT4)-IU4,"")</f>
        <v/>
      </c>
      <c r="JD4" s="7" t="str">
        <f>IF(SUM(JB4:JC4)&gt;0,SUM(JB4:JC4),"")</f>
        <v/>
      </c>
      <c r="JE4" s="7" t="str">
        <f>IF(IX4&gt;0,IX4,"")</f>
        <v/>
      </c>
      <c r="JF4" s="7" t="str">
        <f>IF(SUM(IV4:IY4)-IZ4&gt;0,SUM(IV4:IY4)-IZ4,"")</f>
        <v/>
      </c>
      <c r="JG4" s="7" t="str">
        <f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>IF(JO4&gt;0,JO4,"")</f>
        <v/>
      </c>
      <c r="JX4" s="9" t="str">
        <f>IF(SUM(JH4:JK4)-JL4&gt;0,SUM(JH4:JK4)-JL4,"")</f>
        <v/>
      </c>
      <c r="JY4" s="9" t="str">
        <f>IF(SUM(JM4:JP4)-JQ4&gt;0,SUM(JM4:JP4)-JQ4,"")</f>
        <v/>
      </c>
      <c r="JZ4" s="9" t="str">
        <f>IF(SUM(JX4:JY4)&gt;0,SUM(JX4:JY4),"")</f>
        <v/>
      </c>
      <c r="KA4" s="9" t="str">
        <f>IF(JT4&gt;0,JT4,"")</f>
        <v/>
      </c>
      <c r="KB4" s="9" t="str">
        <f>IF(SUM(JR4:JU4)-JV4&gt;0,SUM(JR4:JU4)-JV4,"")</f>
        <v/>
      </c>
      <c r="KC4" s="9" t="str">
        <f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>IF(KK4&gt;0,KK4,"")</f>
        <v/>
      </c>
      <c r="KT4" s="7" t="str">
        <f>IF(SUM(KD4:KG4)-KH4&gt;0,SUM(KD4:KG4)-KH4,"")</f>
        <v/>
      </c>
      <c r="KU4" s="7" t="str">
        <f>IF(SUM(KI4:KL4)-KM4&gt;0,SUM(KI4:KL4)-KM4,"")</f>
        <v/>
      </c>
      <c r="KV4" s="7" t="str">
        <f>IF(SUM(KT4:KU4)&gt;0,SUM(KT4:KU4),"")</f>
        <v/>
      </c>
      <c r="KW4" s="7" t="str">
        <f>IF(KP4&gt;0,KP4,"")</f>
        <v/>
      </c>
      <c r="KX4" s="7" t="str">
        <f>IF(SUM(KN4:KQ4)-KR4&gt;0,SUM(KN4:KQ4)-KR4,"")</f>
        <v/>
      </c>
      <c r="KY4" s="7" t="str">
        <f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>IF(LG4&gt;0,LG4,"")</f>
        <v/>
      </c>
      <c r="LP4" s="9" t="str">
        <f>IF(SUM(KZ4:LC4)-LD4&gt;0,SUM(KZ4:LC4)-LD4,"")</f>
        <v/>
      </c>
      <c r="LQ4" s="9" t="str">
        <f>IF(SUM(LE4:LH4)-LI4&gt;0,SUM(LE4:LH4)-LI4,"")</f>
        <v/>
      </c>
      <c r="LR4" s="9" t="str">
        <f>IF(SUM(LP4:LQ4)&gt;0,SUM(LP4:LQ4),"")</f>
        <v/>
      </c>
      <c r="LS4" s="9" t="str">
        <f>IF(LL4&gt;0,LL4,"")</f>
        <v/>
      </c>
      <c r="LT4" s="9" t="str">
        <f>IF(SUM(LJ4:LM4)-LN4&gt;0,SUM(LJ4:LM4)-LN4,"")</f>
        <v/>
      </c>
      <c r="LU4" s="9" t="str">
        <f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>IF(MC4&gt;0,MC4,"")</f>
        <v/>
      </c>
      <c r="ML4" s="7" t="str">
        <f>IF(SUM(LV4:LY4)-LZ4&gt;0,SUM(LV4:LY4)-LZ4,"")</f>
        <v/>
      </c>
      <c r="MM4" s="7" t="str">
        <f>IF(SUM(MA4:MD4)-ME4&gt;0,SUM(MA4:MD4)-ME4,"")</f>
        <v/>
      </c>
      <c r="MN4" s="7" t="str">
        <f>IF(SUM(ML4:MM4)&gt;0,SUM(ML4:MM4),"")</f>
        <v/>
      </c>
      <c r="MO4" s="7" t="str">
        <f>IF(MH4&gt;0,MH4,"")</f>
        <v/>
      </c>
      <c r="MP4" s="7" t="str">
        <f>IF(SUM(MF4:MI4)-MJ4&gt;0,SUM(MF4:MI4)-MJ4,"")</f>
        <v/>
      </c>
      <c r="MQ4" s="7" t="str">
        <f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>IF(MY4&gt;0,MY4,"")</f>
        <v/>
      </c>
      <c r="NH4" s="9" t="str">
        <f>IF(SUM(MR4:MU4)-MV4&gt;0,SUM(MR4:MU4)-MV4,"")</f>
        <v/>
      </c>
      <c r="NI4" s="9" t="str">
        <f>IF(SUM(MW4:MZ4)-NA4&gt;0,SUM(MW4:MZ4)-NA4,"")</f>
        <v/>
      </c>
      <c r="NJ4" s="9" t="str">
        <f>IF(SUM(NH4:NI4)&gt;0,SUM(NH4:NI4),"")</f>
        <v/>
      </c>
      <c r="NK4" s="9" t="str">
        <f>IF(ND4&gt;0,ND4,"")</f>
        <v/>
      </c>
      <c r="NL4" s="9" t="str">
        <f>IF(SUM(NB4:NE4)-NF4&gt;0,SUM(NB4:NE4)-NF4,"")</f>
        <v/>
      </c>
      <c r="NM4" s="9" t="str">
        <f>IF(SUM(NJ4,NL4)&gt;0,SUM(NJ4,NL4),"")</f>
        <v/>
      </c>
      <c r="NN4" s="27">
        <f>IF($CV4="P",CB4,(CB4+AX4)/2)</f>
        <v>16.899999999999999</v>
      </c>
      <c r="NO4" s="27">
        <f>IF($CV4="P",CC4,(CC4+AY4)/2)</f>
        <v>9.1999999999999993</v>
      </c>
      <c r="NP4" s="27">
        <f>IF($CV4="P",CD4,(CD4+AZ4)/2)</f>
        <v>0</v>
      </c>
      <c r="NQ4" s="27">
        <f>IF($CV4="P",CE4,(CE4+BA4)/2)</f>
        <v>14.785</v>
      </c>
      <c r="NR4" s="27">
        <f>IF($CV4="P",CF4,(CF4+BB4)/2)</f>
        <v>0</v>
      </c>
      <c r="NS4" s="27">
        <f>IF($CV4="P",CG4,(CG4+BC4)/2)</f>
        <v>12.95</v>
      </c>
      <c r="NT4" s="27">
        <f>IF($CV4="P",CH4,(CH4+BD4)/2)</f>
        <v>8.1999999999999993</v>
      </c>
      <c r="NU4" s="27">
        <f>IF($CV4="P",CI4,(CI4+BE4)/2)</f>
        <v>7.75</v>
      </c>
      <c r="NV4" s="27">
        <f>IF($CV4="P",CJ4,(CJ4+BF4)/2)</f>
        <v>13.170000000000002</v>
      </c>
      <c r="NW4" s="27">
        <f>IF($CV4="P",CK4,(CK4+BG4)/2)</f>
        <v>0</v>
      </c>
      <c r="NX4" s="27">
        <f>IF($CV4="P",CL4,(CL4+BH4)/2)</f>
        <v>0</v>
      </c>
      <c r="NY4" s="27">
        <f>IF($CV4="P",CM4,(CM4+BI4)/2)</f>
        <v>0</v>
      </c>
      <c r="NZ4" s="27">
        <f>IF($CV4="P",CN4,(CN4+BJ4)/2)</f>
        <v>0</v>
      </c>
      <c r="OA4" s="27">
        <f>IF($CV4="P",CO4,(CO4+BK4)/2)</f>
        <v>0</v>
      </c>
      <c r="OB4" s="27">
        <f>IF($CV4="P",CP4,(CP4+BL4)/2)</f>
        <v>0</v>
      </c>
      <c r="OC4" s="27">
        <f>IF($CV4="P",CQ4,(CQ4+BM4)/2)</f>
        <v>14.850000000000001</v>
      </c>
      <c r="OD4" s="27">
        <f>IF($CV4="P",CR4,(CR4+BN4)/2)</f>
        <v>9.1</v>
      </c>
      <c r="OE4" s="27">
        <f>IF($CV4="P",CS4,(CS4+BO4)/2)</f>
        <v>10</v>
      </c>
      <c r="OF4" s="27">
        <f>IF($CV4="P",CT4,(CT4+BP4)/2)</f>
        <v>14.305</v>
      </c>
      <c r="OG4" s="27">
        <f>IF($CV4="P",CU4,(CU4+BQ4)/2)</f>
        <v>0</v>
      </c>
      <c r="OH4" s="32" t="s">
        <v>44</v>
      </c>
      <c r="OI4" s="7">
        <f>IF(SUM(NN4:NQ4)-NR4&gt;0,SUM(NN4:NQ4)-NR4,"")</f>
        <v>40.884999999999998</v>
      </c>
      <c r="OJ4" s="7">
        <f>IF(NU4&gt;0,NU4,"")</f>
        <v>7.75</v>
      </c>
      <c r="OK4" s="7">
        <f>IF(SUM(NS4:NV4)-NW4&gt;0,SUM(NS4:NV4)-NW4,"")</f>
        <v>42.07</v>
      </c>
      <c r="OL4" s="7" t="str">
        <f>IF(NZ4&gt;0,NZ4,"")</f>
        <v/>
      </c>
      <c r="OM4" s="7" t="str">
        <f>IF(SUM(NX4:OA4)-OB4&gt;0,SUM(NX4:OA4)-OB4,"")</f>
        <v/>
      </c>
      <c r="ON4" s="7">
        <f>IF(OR(OI4&lt;&gt;"",OK4&lt;&gt;"",OM4&lt;&gt;""),OI4+MAX(OK4,OM4),"")</f>
        <v>82.954999999999998</v>
      </c>
      <c r="OO4" s="7">
        <f>IF(OE4&gt;0,OE4,"")</f>
        <v>10</v>
      </c>
      <c r="OP4" s="7">
        <f t="shared" ref="OP4" si="0">IF(SUM(OC4:OF4)-OG4&gt;0,SUM(OC4:OF4)-OG4,"")</f>
        <v>48.255000000000003</v>
      </c>
      <c r="OQ4" s="7">
        <f t="shared" ref="OQ4" si="1">IF(SUM(ON4,OP4)&gt;0,SUM(ON4,OP4),"")</f>
        <v>131.21</v>
      </c>
    </row>
    <row r="5" spans="1:407" x14ac:dyDescent="0.2">
      <c r="A5" s="4" t="str" cm="1">
        <f t="array" ref="A5">IF(AND(H5&lt;&gt;"",H5&lt;&gt;"No DD"),SUMPRODUCT((H$4:H$10&lt;&gt;"")*(H$4:H$10&lt;&gt;"No DD")*(E$4:E$10&gt;E5))+1,IF(H5="No DD",SUMPRODUCT((H$4:H$10="No DD")*(E$4:E$10&gt;E5))+1+SUMPRODUCT((H$4:H$10&lt;&gt;"")*(H$4:H$10&lt;&gt;"No DD")),""))</f>
        <v/>
      </c>
      <c r="B5" s="5" t="s">
        <v>82</v>
      </c>
      <c r="C5" s="4" t="s">
        <v>68</v>
      </c>
      <c r="D5" s="4">
        <v>2008</v>
      </c>
      <c r="E5" s="10">
        <f>SUM(I5:Q5)</f>
        <v>222.03</v>
      </c>
      <c r="F5" s="3" t="str">
        <f>IF(OR(AND(AP5&gt;=AW$12,AT5&gt;=AW$16,AO5&lt;&gt;"",AN5=""),AND(BT5&gt;=CA$12,BX5&gt;=CA$16,BS5&lt;&gt;"",BR5=""),AND(CX5&gt;=DE$12,DB5&gt;=DE$16,CW5&lt;&gt;"",CV5=""),AND(DY5&gt;=EE$12,EB5&gt;=EE$16,DY5&lt;&gt;""),AND(EU5&gt;=FA$12,EX5&gt;=FA$16,EU5&lt;&gt;""),AND(FQ5&gt;=FW$12,FT5&gt;=FW$16,FQ5&lt;&gt;""),AND(GM5&gt;=GS$12,GP5&gt;=GS$16,GM5&lt;&gt;""),AND(HI5&gt;=HO$12,HL5&gt;=HO$16,HI5&lt;&gt;""),AND(IE5&gt;=IK$12,IH5&gt;=IK$16,IE5&lt;&gt;""),AND(JA5&gt;=JG$12,JD5&gt;=JG$16,JA5&lt;&gt;""),AND(JW5&gt;=KC$12,JZ5&gt;=KC$16,JW5&lt;&gt;""),AND(KS5&gt;=KY$12,KV5&gt;=KY$16,KS5&lt;&gt;""),AND(LO5&gt;=LU$12,LR5&gt;=LU$16,LO5&lt;&gt;""),AND(MK5&gt;=MQ$12,MN5&gt;=MQ$16,MK5&lt;&gt;""),AND(NG5&gt;=NM$12,NJ5&gt;=NM$16,NG5&lt;&gt;"")),"P","")</f>
        <v/>
      </c>
      <c r="G5" s="3" t="str">
        <f>IF(OR(AND(AT5&gt;=AW$16,AO5&lt;&gt;"",AN5=""),AND(BX5&gt;=CA$16,BS5&lt;&gt;"",BR5=""),AND(DB5&gt;=DE$16,CW5&lt;&gt;"",CV5=""),AND(EB5&gt;=EE$16,DY5&lt;&gt;""),AND(EX5&gt;=FA$16,EU5&lt;&gt;""),AND(FT5&gt;=FW$16,FQ5&lt;&gt;""),AND(GP5&gt;=GS$16,GM5&lt;&gt;""),AND(HL5&gt;=HO$16,HI5&lt;&gt;""),AND(IH5&gt;=IK$16,IE5&lt;&gt;""),AND(JD5&gt;=JG$16,JA5&lt;&gt;""),AND(JZ5&gt;=KC$16,JW5&lt;&gt;""),AND(KV5&gt;=KY$16,KS5&lt;&gt;""),AND(LR5&gt;=LU$16,LO5&lt;&gt;""),AND(MN5&gt;=MQ$16,MK5&lt;&gt;""),AND(NJ5&gt;=NM$16,NG5&lt;&gt;"")),"P","")</f>
        <v/>
      </c>
      <c r="H5" s="47" t="str">
        <f>IF(OR(AND(AP5&gt;=AW$15,AQ5&gt;=AW$19,AP5&lt;&gt;"",AN5=""),AND(AU5&gt;=AW$15,AV5&gt;=AW$19,AU5&lt;&gt;"",AN5=""),AND(BT5&gt;=CA$15,BU5&gt;=CA$19,BT5&lt;&gt;"",BR5=""),AND(BY5&gt;=CA$15,BZ5&gt;=CA$19,BY5&lt;&gt;"",BR5=""),AND(CX5&gt;=DE$15,CY5&gt;=DE$19,CX5&lt;&gt;"",CV5=""),AND(DC5&gt;=DE$15,DD5&gt;=DE$19,DC5&lt;&gt;"",CV5=""),AND(DY5&gt;=EE$15,EA5&gt;=EE$19,DY5&lt;&gt;""),AND(EC5&gt;=EE$15,ED5&gt;=EE$19,EC5&lt;&gt;""),AND(EU5&gt;=FA$15,EW5&gt;=FA$19,EU5&lt;&gt;""),AND(EY5&gt;=FA$15,EZ5&gt;=FA$19,EY5&lt;&gt;""),AND(FQ5&gt;=FW$15,FS5&gt;=FW$19,FQ5&lt;&gt;""),AND(FU5&gt;=FW$15,FV5&gt;=FW$19,FU5&lt;&gt;""),AND(GM5&gt;=GS$15,GO5&gt;=GS$19,GM5&lt;&gt;""),AND(GQ5&gt;=GS$15,GR5&gt;=GS$19,GQ5&lt;&gt;""),AND(HI5&gt;=HO$15,HK5&gt;=HO$19,HI5&lt;&gt;""),AND(HM5&gt;=HO$15,HN5&gt;=HO$19,HM5&lt;&gt;""),AND(IE5&gt;=IK$15,IG5&gt;=IK$19,IE5&lt;&gt;""),AND(II5&gt;=IK$15,IJ5&gt;=IK$19,II5&lt;&gt;""),AND(JA5&gt;=JG$15,JC5&gt;=JG$19,JA5&lt;&gt;""),AND(JE5&gt;=JG$15,JF5&gt;=JG$19,JE5&lt;&gt;""),AND(JW5&gt;=KC$15,JY5&gt;=KC$19,JW5&lt;&gt;""),AND(KA5&gt;=KC$15,KB5&gt;=KC$19,KA5&lt;&gt;""),AND(KS5&gt;=KY$15,KU5&gt;=KY$19,KS5&lt;&gt;""),AND(KW5&gt;=KY$15,KX5&gt;=KY$19,KW5&lt;&gt;""),AND(LO5&gt;=LU$15,LQ5&gt;=LU$19,LO5&lt;&gt;""),AND(LS5&gt;=LU$15,LT5&gt;=LU$19,LS5&lt;&gt;""),AND(MK5&gt;=MQ$15,MM5&gt;=MQ$19,MK5&lt;&gt;""),AND(MO5&gt;=MQ$15,MP5&gt;=MQ$19,MO5&lt;&gt;""),AND(NG5&gt;=NM$15,NI5&gt;=NM$19,NG5&lt;&gt;""),AND(NK5&gt;=NM$15,NL5&gt;=NM$19,NK5&lt;&gt;"")),"Merit",IF(OR(AND(AP5&gt;=AW$14,AT5&gt;=AW$18,AO5&lt;&gt;"",AN5=""),AND(BT5&gt;=CA$14,BX5&gt;=CA$18,BS5&lt;&gt;"",BR5=""),AND(CX5&gt;=DE$14,DB5&gt;=DE$18,CW5&lt;&gt;"",CV5=""),AND(DY5&gt;=EE$14,EB5&gt;=EE$18,DY5&lt;&gt;""),AND(EU5&gt;=FA$14,EX5&gt;=FA$18,EU5&lt;&gt;""),AND(FQ5&gt;=FW$14,FT5&gt;=FW$18,FQ5&lt;&gt;""),AND(GM5&gt;=GS$14,GP5&gt;=GS$18,GM5&lt;&gt;""),AND(HI5&gt;=HO$14,HL5&gt;=HO$18,HI5&lt;&gt;""),AND(IE5&gt;=IK$14,IH5&gt;=IK$18,IE5&lt;&gt;""),AND(JA5&gt;=JG$14,JD5&gt;=JG$18,JA5&lt;&gt;""),AND(JW5&gt;=KC$14,JZ5&gt;=KC$18,JW5&lt;&gt;""),AND(KS5&gt;=KY$14,KV5&gt;=KY$18,KS5&lt;&gt;""),AND(LO5&gt;=LU$14,LR5&gt;=LU$18,LO5&lt;&gt;""),AND(MK5&gt;=MQ$14,MN5&gt;=MQ$18,MK5&lt;&gt;""),AND(NG5&gt;=NM$14,NJ5&gt;=NM$18,NG5&lt;&gt;"")),"Excellence",IF(OR(AND(AP5&gt;=AW$12,AT5&gt;=AW$16,AO5&lt;&gt;"",AN5=""),AND(BT5&gt;=CA$12,BX5&gt;=CA$16,BS5&lt;&gt;"",BR5=""),AND(CX5&gt;=DE$12,DB5&gt;=DE$16,CW5&lt;&gt;"",CV5=""),AND(DY5&gt;=EE$12,EB5&gt;=EE$16,DY5&lt;&gt;""),AND(EU5&gt;=FA$12,EX5&gt;=FA$16,EU5&lt;&gt;""),AND(FQ5&gt;=FW$12,FT5&gt;=FW$16,FQ5&lt;&gt;""),AND(GM5&gt;=GS$12,GP5&gt;=GS$16,GM5&lt;&gt;""),AND(HI5&gt;=HO$12,HL5&gt;=HO$16,HI5&lt;&gt;""),AND(IE5&gt;=IK$12,IH5&gt;=IK$16,IE5&lt;&gt;""),AND(JA5&gt;=JG$12,JD5&gt;=JG$16,JA5&lt;&gt;""),AND(JW5&gt;=KC$12,JZ5&gt;=KC$16,JW5&lt;&gt;""),AND(KS5&gt;=KY$12,KV5&gt;=KY$16,KS5&lt;&gt;""),AND(LO5&gt;=LU$12,LR5&gt;=LU$16,LO5&lt;&gt;""),AND(MK5&gt;=MQ$12,MN5&gt;=MQ$16,MK5&lt;&gt;""),AND(NG5&gt;=NM$12,NJ5&gt;=NM$16,NG5&lt;&gt;"")),"National Team",IF(G5="P","No DD",""))))</f>
        <v/>
      </c>
      <c r="I5" s="9">
        <f>IF(MAX(AT5,BX5,DB5)&gt;0,MAX(AT5,BX5,DB5),0)</f>
        <v>87.240000000000009</v>
      </c>
      <c r="J5" s="9" t="str">
        <f>IF(I5=0,"",IF(I5=DB5,$CB$1,IF(I5=BX5,$AX$1,IF(I5=AT5,$T$1,""))))</f>
        <v>2023 Elite Canada</v>
      </c>
      <c r="K5" s="9">
        <f>IF($I5=$AT5,MAX(BS5,CW5),IF($I5=$BX5,MAX(AO5,CW5),IF($I5=$DB5,MAX(AO5,BS5),MAX(AO5,BS5,CW5))))</f>
        <v>40.68</v>
      </c>
      <c r="L5" s="9" t="str">
        <f>IF(K5=0,"",IF(AND(K5=CW5,$J5&lt;&gt;$CB$1),$CB$1,IF(AND(K5=BS5,$J5&lt;&gt;$AX$1),$AX$1,IF(AND(K5=AO5,$J5&lt;&gt;$T$1),$T$1,""))))</f>
        <v>2023 3rd Domestic Trial</v>
      </c>
      <c r="M5" s="9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46.64</v>
      </c>
      <c r="N5" s="9" t="str">
        <f>IF(M5=0,"",IF(AND(OR(M5=DA5,M5=CY5),$J5&lt;&gt;$CB$1),$CB$1,IF(AND(OR(M5=BW5,M5=BU5),$J5&lt;&gt;$AX$1),$AX$1,IF(AND(OR(M5=AS5,M5=AQ5),$J5&lt;&gt;$T$1),$T$1,""))))</f>
        <v>2023 Nationals</v>
      </c>
      <c r="O5" s="9">
        <f>MAX(AV5,BZ5,DD5)</f>
        <v>47.47</v>
      </c>
      <c r="P5" s="9" t="str">
        <f>IF(O5=0,"",IF(O5=DD5,$CB$1,IF(O5=BZ5,$AX$1,IF(O5=AV5,$T$1,""))))</f>
        <v>2023 Elite Canada</v>
      </c>
      <c r="Q5" s="9" t="str">
        <f>IF(MAX(DF5,DG5,DH5,DI5)&gt;0,MAX(DF5,DG5,DH5,DI5),"")</f>
        <v/>
      </c>
      <c r="R5" s="14" t="str">
        <f>IF(Q5="","",IF(Q5=DF5,"(Vol 1)",IF(Q5=DG5,"(Vol 2)",IF(Q5=DH5,"(Prelim)",IF(Q5=DI5,"(Final)")))))</f>
        <v/>
      </c>
      <c r="S5" s="9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/>
      </c>
      <c r="T5" s="27">
        <v>16.899999999999999</v>
      </c>
      <c r="U5" s="27">
        <v>9.6</v>
      </c>
      <c r="V5" s="27">
        <v>0</v>
      </c>
      <c r="W5" s="27">
        <v>13.75</v>
      </c>
      <c r="X5" s="27">
        <v>0</v>
      </c>
      <c r="Y5" s="27">
        <v>14.6</v>
      </c>
      <c r="Z5" s="27">
        <v>9</v>
      </c>
      <c r="AA5" s="27">
        <v>10</v>
      </c>
      <c r="AB5" s="27">
        <v>13.39</v>
      </c>
      <c r="AC5" s="27">
        <v>0</v>
      </c>
      <c r="AD5" s="27"/>
      <c r="AE5" s="27"/>
      <c r="AF5" s="27"/>
      <c r="AG5" s="27"/>
      <c r="AH5" s="27"/>
      <c r="AI5" s="27">
        <v>14.8</v>
      </c>
      <c r="AJ5" s="27">
        <v>9.1999999999999993</v>
      </c>
      <c r="AK5" s="27">
        <v>10</v>
      </c>
      <c r="AL5" s="27">
        <v>13.47</v>
      </c>
      <c r="AM5" s="27">
        <v>0</v>
      </c>
      <c r="AN5" s="32"/>
      <c r="AO5" s="7">
        <f>IF(SUM(T5:W5)-X5&gt;0,SUM(T5:W5)-X5,"")</f>
        <v>40.25</v>
      </c>
      <c r="AP5" s="7">
        <f>IF(AA5&gt;0,AA5,"")</f>
        <v>10</v>
      </c>
      <c r="AQ5" s="7">
        <f>IF(SUM(Y5:AB5)-AC5&gt;0,SUM(Y5:AB5)-AC5,"")</f>
        <v>46.99</v>
      </c>
      <c r="AR5" s="7" t="str">
        <f>IF(AF5&gt;0,AF5,"")</f>
        <v/>
      </c>
      <c r="AS5" s="7" t="str">
        <f>IF(SUM(AD5:AG5)-AH5&gt;0,SUM(AD5:AG5)-AH5,"")</f>
        <v/>
      </c>
      <c r="AT5" s="7">
        <f>IF(AO5="",IF(MAX(AQ5,AS5)&gt;0,MAX(AQ5,AS5),""),MAX(AQ5,AS5)+AO5)</f>
        <v>87.240000000000009</v>
      </c>
      <c r="AU5" s="7">
        <f>IF(AK5&gt;0,AK5,"")</f>
        <v>10</v>
      </c>
      <c r="AV5" s="7">
        <f>IF(SUM(AI5:AL5)-AM5&gt;0,SUM(AI5:AL5)-AM5,"")</f>
        <v>47.47</v>
      </c>
      <c r="AW5" s="7">
        <f>IF(SUM(AT5,AV5)&gt;0,SUM(AT5,AV5),"")</f>
        <v>134.71</v>
      </c>
      <c r="AX5" s="31">
        <v>16.3</v>
      </c>
      <c r="AY5" s="31">
        <v>9.5</v>
      </c>
      <c r="AZ5" s="31">
        <v>0</v>
      </c>
      <c r="BA5" s="31">
        <v>13.98</v>
      </c>
      <c r="BB5" s="31">
        <v>0</v>
      </c>
      <c r="BC5" s="31">
        <v>13.1</v>
      </c>
      <c r="BD5" s="31">
        <v>9.3000000000000007</v>
      </c>
      <c r="BE5" s="31">
        <v>11</v>
      </c>
      <c r="BF5" s="31">
        <v>13.24</v>
      </c>
      <c r="BG5" s="31">
        <v>0</v>
      </c>
      <c r="BH5" s="31"/>
      <c r="BI5" s="31"/>
      <c r="BJ5" s="31"/>
      <c r="BK5" s="31"/>
      <c r="BL5" s="31"/>
      <c r="BM5" s="31">
        <v>1.5</v>
      </c>
      <c r="BN5" s="31">
        <v>1</v>
      </c>
      <c r="BO5" s="31">
        <v>1.5</v>
      </c>
      <c r="BP5" s="31">
        <v>1.37</v>
      </c>
      <c r="BQ5" s="31">
        <v>0</v>
      </c>
      <c r="BR5" s="33"/>
      <c r="BS5" s="9">
        <f>IF(SUM(AX5:BA5)-BB5&gt;0,SUM(AX5:BA5)-BB5,"")</f>
        <v>39.78</v>
      </c>
      <c r="BT5" s="9">
        <f>IF(BE5&gt;0,BE5,"")</f>
        <v>11</v>
      </c>
      <c r="BU5" s="9">
        <f>IF(SUM(BC5:BF5)-BG5&gt;0,SUM(BC5:BF5)-BG5,"")</f>
        <v>46.64</v>
      </c>
      <c r="BV5" s="9" t="str">
        <f>IF(BJ5&gt;0,BJ5,"")</f>
        <v/>
      </c>
      <c r="BW5" s="9" t="str">
        <f>IF(SUM(BH5:BK5)-BL5&gt;0,SUM(BH5:BK5)-BL5,"")</f>
        <v/>
      </c>
      <c r="BX5" s="9">
        <f>IF(BS5="",IF(MAX(BU5,BW5)&gt;0,MAX(BU5,BW5),""),MAX(BU5,BW5)+BS5)</f>
        <v>86.42</v>
      </c>
      <c r="BY5" s="9">
        <f>IF(BO5&gt;0,BO5,"")</f>
        <v>1.5</v>
      </c>
      <c r="BZ5" s="9">
        <f>IF(SUM(BM5:BP5)-BQ5&gt;0,SUM(BM5:BP5)-BQ5,"")</f>
        <v>5.37</v>
      </c>
      <c r="CA5" s="9">
        <f>IF(SUM(BX5,BZ5)&gt;0,SUM(BX5,BZ5),"")</f>
        <v>91.79</v>
      </c>
      <c r="CB5" s="27">
        <v>17</v>
      </c>
      <c r="CC5" s="27">
        <v>9.3000000000000007</v>
      </c>
      <c r="CD5" s="27">
        <v>0</v>
      </c>
      <c r="CE5" s="27">
        <v>14.38</v>
      </c>
      <c r="CF5" s="27">
        <v>0</v>
      </c>
      <c r="CG5" s="27">
        <v>2.7</v>
      </c>
      <c r="CH5" s="27">
        <v>1.7</v>
      </c>
      <c r="CI5" s="27">
        <v>2.5</v>
      </c>
      <c r="CJ5" s="27">
        <v>2.88</v>
      </c>
      <c r="CK5" s="27">
        <v>0</v>
      </c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32"/>
      <c r="CW5" s="7">
        <f>IF(SUM(CB5:CE5)-CF5&gt;0,SUM(CB5:CE5)-CF5,"")</f>
        <v>40.68</v>
      </c>
      <c r="CX5" s="7">
        <f>IF(CI5&gt;0,CI5,"")</f>
        <v>2.5</v>
      </c>
      <c r="CY5" s="7">
        <f>IF(SUM(CG5:CJ5)-CK5&gt;0,SUM(CG5:CJ5)-CK5,"")</f>
        <v>9.7800000000000011</v>
      </c>
      <c r="CZ5" s="7" t="str">
        <f>IF(CN5&gt;0,CN5,"")</f>
        <v/>
      </c>
      <c r="DA5" s="7" t="str">
        <f>IF(SUM(CL5:CO5)-CP5&gt;0,SUM(CL5:CO5)-CP5,"")</f>
        <v/>
      </c>
      <c r="DB5" s="7">
        <f>IF(CW5="",IF(MAX(CY5,DA5)&gt;0,MAX(CY5,DA5),""),MAX(CY5,DA5)+CW5)</f>
        <v>50.46</v>
      </c>
      <c r="DC5" s="7" t="str">
        <f>IF(CS5&gt;0,CS5,"")</f>
        <v/>
      </c>
      <c r="DD5" s="7" t="str">
        <f>IF(SUM(CQ5:CT5)-CU5&gt;0,SUM(CQ5:CT5)-CU5,"")</f>
        <v/>
      </c>
      <c r="DE5" s="7">
        <f>IF(SUM(DB5,DD5)&gt;0,SUM(DB5,DD5),"")</f>
        <v>50.46</v>
      </c>
      <c r="DF5" s="13" t="str">
        <f>IF(MAX(DZ5,EV5,FR5,GN5,HJ5,IF5,JB5,JX5,KT5,LP5,ML5,NH5)-IF(K5="",0,K5)&gt;0.001,MAX(DZ5,EV5,FR5,GN5,HJ5,IF5,JB5,JX5,KT5,LP5,ML5,NH5)-IF(K5="",0,K5),"")</f>
        <v/>
      </c>
      <c r="DG5" s="13" t="str">
        <f>IF(MAX(EA5,EW5,FS5,GO5,HK5,IG5,JC5,JY5,KU5,LQ5,MM5,NI5)-IF(M5="",0,M5)&gt;0.001,MAX(EA5,EW5,FS5,GO5,HK5,IG5,JC5,JY5,KU5,LQ5,MM5,NI5)-IF(M5="",0,M5),"")</f>
        <v/>
      </c>
      <c r="DH5" s="13" t="str">
        <f>IF(MAX(EB5,EX5,FT5,GP5,HL5,IH5,JD5,JZ5,KV5,LR5,MN5,NJ5)-IF(I5="",0,I5)&gt;0.001,MAX(EB5,EX5,FT5,GP5,HL5,IH5,JD5,JZ5,KV5,LR5,MN5,NJ5)-IF(I5="",0,I5),"")</f>
        <v/>
      </c>
      <c r="DI5" s="13" t="str">
        <f>IF(MAX(ED5,EZ5,FV5,GR5,HN5,IJ5,JF5,KB5,KX5,LT5,MP5,NL5)-IF(O5="",0,O5)&gt;0.001,MAX(ED5,EZ5,FV5,GR5,HN5,IJ5,JF5,KB5,KX5,LT5,MP5,NL5)-IF(O5="",0,O5),"")</f>
        <v/>
      </c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7" t="str">
        <f>IF(DQ5&gt;0,DQ5,"")</f>
        <v/>
      </c>
      <c r="DZ5" s="7" t="str">
        <f>IF(SUM(DJ5:DM5)-DN5&gt;0,SUM(DJ5:DM5)-DN5,"")</f>
        <v/>
      </c>
      <c r="EA5" s="7" t="str">
        <f>IF(SUM(DO5:DR5)-DS5&gt;0,SUM(DO5:DR5)-DS5,"")</f>
        <v/>
      </c>
      <c r="EB5" s="7" t="str">
        <f>IF(SUM(DZ5:EA5)&gt;0,SUM(DZ5:EA5),"")</f>
        <v/>
      </c>
      <c r="EC5" s="7" t="str">
        <f>IF(DV5&gt;0,DV5,"")</f>
        <v/>
      </c>
      <c r="ED5" s="7" t="str">
        <f>IF(SUM(DT5:DW5)-DX5&gt;0,SUM(DT5:DW5)-DX5,"")</f>
        <v/>
      </c>
      <c r="EE5" s="7" t="str">
        <f>IF(SUM(EB5,ED5)&gt;0,SUM(EB5,ED5),"")</f>
        <v/>
      </c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9" t="str">
        <f>IF(EM5&gt;0,EM5,"")</f>
        <v/>
      </c>
      <c r="EV5" s="9" t="str">
        <f>IF(SUM(EF5:EI5)-EJ5&gt;0,SUM(EF5:EI5)-EJ5,"")</f>
        <v/>
      </c>
      <c r="EW5" s="9" t="str">
        <f>IF(SUM(EK5:EN5)-EO5&gt;0,SUM(EK5:EN5)-EO5,"")</f>
        <v/>
      </c>
      <c r="EX5" s="9" t="str">
        <f>IF(SUM(EV5:EW5)&gt;0,SUM(EV5:EW5),"")</f>
        <v/>
      </c>
      <c r="EY5" s="9" t="str">
        <f>IF(ER5&gt;0,ER5,"")</f>
        <v/>
      </c>
      <c r="EZ5" s="9" t="str">
        <f>IF(SUM(EP5:ES5)-ET5&gt;0,SUM(EP5:ES5)-ET5,"")</f>
        <v/>
      </c>
      <c r="FA5" s="9" t="str">
        <f>IF(SUM(EX5,EZ5)&gt;0,SUM(EX5,EZ5),"")</f>
        <v/>
      </c>
      <c r="FB5" s="18">
        <v>16</v>
      </c>
      <c r="FC5" s="18">
        <v>9.4</v>
      </c>
      <c r="FD5" s="18">
        <v>0</v>
      </c>
      <c r="FE5" s="18">
        <v>14.44</v>
      </c>
      <c r="FF5" s="18">
        <v>0</v>
      </c>
      <c r="FG5" s="18">
        <v>12.3</v>
      </c>
      <c r="FH5" s="18">
        <v>9.3000000000000007</v>
      </c>
      <c r="FI5" s="18">
        <v>10.199999999999999</v>
      </c>
      <c r="FJ5" s="18">
        <v>14.11</v>
      </c>
      <c r="FK5" s="18">
        <v>0</v>
      </c>
      <c r="FL5" s="18"/>
      <c r="FM5" s="18"/>
      <c r="FN5" s="18"/>
      <c r="FO5" s="18"/>
      <c r="FP5" s="18"/>
      <c r="FQ5" s="7">
        <f>IF(FI5&gt;0,FI5,"")</f>
        <v>10.199999999999999</v>
      </c>
      <c r="FR5" s="7">
        <f>IF(SUM(FB5:FE5)-FF5&gt;0,SUM(FB5:FE5)-FF5,"")</f>
        <v>39.839999999999996</v>
      </c>
      <c r="FS5" s="7">
        <f>IF(SUM(FG5:FJ5)-FK5&gt;0,SUM(FG5:FJ5)-FK5,"")</f>
        <v>45.91</v>
      </c>
      <c r="FT5" s="7">
        <f>IF(SUM(FR5:FS5)&gt;0,SUM(FR5:FS5),"")</f>
        <v>85.75</v>
      </c>
      <c r="FU5" s="7" t="str">
        <f>IF(FN5&gt;0,FN5,"")</f>
        <v/>
      </c>
      <c r="FV5" s="7" t="str">
        <f>IF(SUM(FL5:FO5)-FP5&gt;0,SUM(FL5:FO5)-FP5,"")</f>
        <v/>
      </c>
      <c r="FW5" s="7">
        <f>IF(SUM(FT5,FV5)&gt;0,SUM(FT5,FV5),"")</f>
        <v>85.75</v>
      </c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9" t="str">
        <f>IF(GE5&gt;0,GE5,"")</f>
        <v/>
      </c>
      <c r="GN5" s="9" t="str">
        <f>IF(SUM(FX5:GA5)-GB5&gt;0,SUM(FX5:GA5)-GB5,"")</f>
        <v/>
      </c>
      <c r="GO5" s="9" t="str">
        <f>IF(SUM(GC5:GF5)-GG5&gt;0,SUM(GC5:GF5)-GG5,"")</f>
        <v/>
      </c>
      <c r="GP5" s="9" t="str">
        <f>IF(SUM(GN5:GO5)&gt;0,SUM(GN5:GO5),"")</f>
        <v/>
      </c>
      <c r="GQ5" s="9" t="str">
        <f>IF(GJ5&gt;0,GJ5,"")</f>
        <v/>
      </c>
      <c r="GR5" s="9" t="str">
        <f>IF(SUM(GH5:GK5)-GL5&gt;0,SUM(GH5:GK5)-GL5,"")</f>
        <v/>
      </c>
      <c r="GS5" s="9" t="str">
        <f>IF(SUM(GP5,GR5)&gt;0,SUM(GP5,GR5),"")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>IF(HA5&gt;0,HA5,"")</f>
        <v/>
      </c>
      <c r="HJ5" s="7" t="str">
        <f>IF(SUM(GT5:GW5)-GX5&gt;0,SUM(GT5:GW5)-GX5,"")</f>
        <v/>
      </c>
      <c r="HK5" s="7" t="str">
        <f>IF(SUM(GY5:HB5)-HC5&gt;0,SUM(GY5:HB5)-HC5,"")</f>
        <v/>
      </c>
      <c r="HL5" s="7" t="str">
        <f>IF(SUM(HJ5:HK5)&gt;0,SUM(HJ5:HK5),"")</f>
        <v/>
      </c>
      <c r="HM5" s="7" t="str">
        <f>IF(HF5&gt;0,HF5,"")</f>
        <v/>
      </c>
      <c r="HN5" s="7" t="str">
        <f>IF(SUM(HD5:HG5)-HH5&gt;0,SUM(HD5:HG5)-HH5,"")</f>
        <v/>
      </c>
      <c r="HO5" s="7" t="str">
        <f>IF(SUM(HL5,HN5)&gt;0,SUM(HL5,HN5),"")</f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>IF(HW5&gt;0,HW5,"")</f>
        <v/>
      </c>
      <c r="IF5" s="9" t="str">
        <f>IF(SUM(HP5:HS5)-HT5&gt;0,SUM(HP5:HS5)-HT5,"")</f>
        <v/>
      </c>
      <c r="IG5" s="9" t="str">
        <f>IF(SUM(HU5:HX5)-HY5&gt;0,SUM(HU5:HX5)-HY5,"")</f>
        <v/>
      </c>
      <c r="IH5" s="9" t="str">
        <f>IF(SUM(IF5:IG5)&gt;0,SUM(IF5:IG5),"")</f>
        <v/>
      </c>
      <c r="II5" s="9" t="str">
        <f>IF(IB5&gt;0,IB5,"")</f>
        <v/>
      </c>
      <c r="IJ5" s="9" t="str">
        <f>IF(SUM(HZ5:IC5)-ID5&gt;0,SUM(HZ5:IC5)-ID5,"")</f>
        <v/>
      </c>
      <c r="IK5" s="9" t="str">
        <f>IF(SUM(IH5,IJ5)&gt;0,SUM(IH5,IJ5),"")</f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>IF(IS5&gt;0,IS5,"")</f>
        <v/>
      </c>
      <c r="JB5" s="7" t="str">
        <f>IF(SUM(IL5:IO5)-IP5&gt;0,SUM(IL5:IO5)-IP5,"")</f>
        <v/>
      </c>
      <c r="JC5" s="7" t="str">
        <f>IF(SUM(IQ5:IT5)-IU5&gt;0,SUM(IQ5:IT5)-IU5,"")</f>
        <v/>
      </c>
      <c r="JD5" s="7" t="str">
        <f>IF(SUM(JB5:JC5)&gt;0,SUM(JB5:JC5),"")</f>
        <v/>
      </c>
      <c r="JE5" s="7" t="str">
        <f>IF(IX5&gt;0,IX5,"")</f>
        <v/>
      </c>
      <c r="JF5" s="7" t="str">
        <f>IF(SUM(IV5:IY5)-IZ5&gt;0,SUM(IV5:IY5)-IZ5,"")</f>
        <v/>
      </c>
      <c r="JG5" s="7" t="str">
        <f>IF(SUM(JD5,JF5)&gt;0,SUM(JD5,JF5),"")</f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>IF(JO5&gt;0,JO5,"")</f>
        <v/>
      </c>
      <c r="JX5" s="9" t="str">
        <f>IF(SUM(JH5:JK5)-JL5&gt;0,SUM(JH5:JK5)-JL5,"")</f>
        <v/>
      </c>
      <c r="JY5" s="9" t="str">
        <f>IF(SUM(JM5:JP5)-JQ5&gt;0,SUM(JM5:JP5)-JQ5,"")</f>
        <v/>
      </c>
      <c r="JZ5" s="9" t="str">
        <f>IF(SUM(JX5:JY5)&gt;0,SUM(JX5:JY5),"")</f>
        <v/>
      </c>
      <c r="KA5" s="9" t="str">
        <f>IF(JT5&gt;0,JT5,"")</f>
        <v/>
      </c>
      <c r="KB5" s="9" t="str">
        <f>IF(SUM(JR5:JU5)-JV5&gt;0,SUM(JR5:JU5)-JV5,"")</f>
        <v/>
      </c>
      <c r="KC5" s="9" t="str">
        <f>IF(SUM(JZ5,KB5)&gt;0,SUM(JZ5,KB5),"")</f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>IF(KK5&gt;0,KK5,"")</f>
        <v/>
      </c>
      <c r="KT5" s="7" t="str">
        <f>IF(SUM(KD5:KG5)-KH5&gt;0,SUM(KD5:KG5)-KH5,"")</f>
        <v/>
      </c>
      <c r="KU5" s="7" t="str">
        <f>IF(SUM(KI5:KL5)-KM5&gt;0,SUM(KI5:KL5)-KM5,"")</f>
        <v/>
      </c>
      <c r="KV5" s="7" t="str">
        <f>IF(SUM(KT5:KU5)&gt;0,SUM(KT5:KU5),"")</f>
        <v/>
      </c>
      <c r="KW5" s="7" t="str">
        <f>IF(KP5&gt;0,KP5,"")</f>
        <v/>
      </c>
      <c r="KX5" s="7" t="str">
        <f>IF(SUM(KN5:KQ5)-KR5&gt;0,SUM(KN5:KQ5)-KR5,"")</f>
        <v/>
      </c>
      <c r="KY5" s="7" t="str">
        <f>IF(SUM(KV5,KX5)&gt;0,SUM(KV5,KX5),"")</f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>IF(LG5&gt;0,LG5,"")</f>
        <v/>
      </c>
      <c r="LP5" s="9" t="str">
        <f>IF(SUM(KZ5:LC5)-LD5&gt;0,SUM(KZ5:LC5)-LD5,"")</f>
        <v/>
      </c>
      <c r="LQ5" s="9" t="str">
        <f>IF(SUM(LE5:LH5)-LI5&gt;0,SUM(LE5:LH5)-LI5,"")</f>
        <v/>
      </c>
      <c r="LR5" s="9" t="str">
        <f>IF(SUM(LP5:LQ5)&gt;0,SUM(LP5:LQ5),"")</f>
        <v/>
      </c>
      <c r="LS5" s="9" t="str">
        <f>IF(LL5&gt;0,LL5,"")</f>
        <v/>
      </c>
      <c r="LT5" s="9" t="str">
        <f>IF(SUM(LJ5:LM5)-LN5&gt;0,SUM(LJ5:LM5)-LN5,"")</f>
        <v/>
      </c>
      <c r="LU5" s="9" t="str">
        <f>IF(SUM(LR5,LT5)&gt;0,SUM(LR5,LT5),"")</f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>IF(MC5&gt;0,MC5,"")</f>
        <v/>
      </c>
      <c r="ML5" s="7" t="str">
        <f>IF(SUM(LV5:LY5)-LZ5&gt;0,SUM(LV5:LY5)-LZ5,"")</f>
        <v/>
      </c>
      <c r="MM5" s="7" t="str">
        <f>IF(SUM(MA5:MD5)-ME5&gt;0,SUM(MA5:MD5)-ME5,"")</f>
        <v/>
      </c>
      <c r="MN5" s="7" t="str">
        <f>IF(SUM(ML5:MM5)&gt;0,SUM(ML5:MM5),"")</f>
        <v/>
      </c>
      <c r="MO5" s="7" t="str">
        <f>IF(MH5&gt;0,MH5,"")</f>
        <v/>
      </c>
      <c r="MP5" s="7" t="str">
        <f>IF(SUM(MF5:MI5)-MJ5&gt;0,SUM(MF5:MI5)-MJ5,"")</f>
        <v/>
      </c>
      <c r="MQ5" s="7" t="str">
        <f>IF(SUM(MN5,MP5)&gt;0,SUM(MN5,MP5),"")</f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>IF(MY5&gt;0,MY5,"")</f>
        <v/>
      </c>
      <c r="NH5" s="9" t="str">
        <f>IF(SUM(MR5:MU5)-MV5&gt;0,SUM(MR5:MU5)-MV5,"")</f>
        <v/>
      </c>
      <c r="NI5" s="9" t="str">
        <f>IF(SUM(MW5:MZ5)-NA5&gt;0,SUM(MW5:MZ5)-NA5,"")</f>
        <v/>
      </c>
      <c r="NJ5" s="9" t="str">
        <f>IF(SUM(NH5:NI5)&gt;0,SUM(NH5:NI5),"")</f>
        <v/>
      </c>
      <c r="NK5" s="9" t="str">
        <f>IF(ND5&gt;0,ND5,"")</f>
        <v/>
      </c>
      <c r="NL5" s="9" t="str">
        <f>IF(SUM(NB5:NE5)-NF5&gt;0,SUM(NB5:NE5)-NF5,"")</f>
        <v/>
      </c>
      <c r="NM5" s="9" t="str">
        <f>IF(SUM(NJ5,NL5)&gt;0,SUM(NJ5,NL5),"")</f>
        <v/>
      </c>
      <c r="NN5" s="27">
        <f>IF($CV5="P",CB5,(CB5+AX5)/2)</f>
        <v>16.649999999999999</v>
      </c>
      <c r="NO5" s="27">
        <f>IF($CV5="P",CC5,(CC5+AY5)/2)</f>
        <v>9.4</v>
      </c>
      <c r="NP5" s="27">
        <f>IF($CV5="P",CD5,(CD5+AZ5)/2)</f>
        <v>0</v>
      </c>
      <c r="NQ5" s="27">
        <f>IF($CV5="P",CE5,(CE5+BA5)/2)</f>
        <v>14.18</v>
      </c>
      <c r="NR5" s="27">
        <f>IF($CV5="P",CF5,(CF5+BB5)/2)</f>
        <v>0</v>
      </c>
      <c r="NS5" s="27">
        <f>IF($CV5="P",CG5,(CG5+BC5)/2)</f>
        <v>7.9</v>
      </c>
      <c r="NT5" s="27">
        <f>IF($CV5="P",CH5,(CH5+BD5)/2)</f>
        <v>5.5</v>
      </c>
      <c r="NU5" s="27">
        <f>IF($CV5="P",CI5,(CI5+BE5)/2)</f>
        <v>6.75</v>
      </c>
      <c r="NV5" s="27">
        <f>IF($CV5="P",CJ5,(CJ5+BF5)/2)</f>
        <v>8.06</v>
      </c>
      <c r="NW5" s="27">
        <f>IF($CV5="P",CK5,(CK5+BG5)/2)</f>
        <v>0</v>
      </c>
      <c r="NX5" s="27">
        <f>IF($CV5="P",CL5,(CL5+BH5)/2)</f>
        <v>0</v>
      </c>
      <c r="NY5" s="27">
        <f>IF($CV5="P",CM5,(CM5+BI5)/2)</f>
        <v>0</v>
      </c>
      <c r="NZ5" s="27">
        <f>IF($CV5="P",CN5,(CN5+BJ5)/2)</f>
        <v>0</v>
      </c>
      <c r="OA5" s="27">
        <f>IF($CV5="P",CO5,(CO5+BK5)/2)</f>
        <v>0</v>
      </c>
      <c r="OB5" s="27">
        <f>IF($CV5="P",CP5,(CP5+BL5)/2)</f>
        <v>0</v>
      </c>
      <c r="OC5" s="27">
        <f>IF($CV5="P",CQ5,(CQ5+BM5)/2)</f>
        <v>0.75</v>
      </c>
      <c r="OD5" s="27">
        <f>IF($CV5="P",CR5,(CR5+BN5)/2)</f>
        <v>0.5</v>
      </c>
      <c r="OE5" s="27">
        <f>IF($CV5="P",CS5,(CS5+BO5)/2)</f>
        <v>0.75</v>
      </c>
      <c r="OF5" s="27">
        <f>IF($CV5="P",CT5,(CT5+BP5)/2)</f>
        <v>0.68500000000000005</v>
      </c>
      <c r="OG5" s="27">
        <f>IF($CV5="P",CU5,(CU5+BQ5)/2)</f>
        <v>0</v>
      </c>
      <c r="OH5" s="32" t="s">
        <v>44</v>
      </c>
      <c r="OI5" s="7">
        <f>IF(SUM(NN5:NQ5)-NR5&gt;0,SUM(NN5:NQ5)-NR5,"")</f>
        <v>40.229999999999997</v>
      </c>
      <c r="OJ5" s="7">
        <f>IF(NU5&gt;0,NU5,"")</f>
        <v>6.75</v>
      </c>
      <c r="OK5" s="7">
        <f>IF(SUM(NS5:NV5)-NW5&gt;0,SUM(NS5:NV5)-NW5,"")</f>
        <v>28.21</v>
      </c>
      <c r="OL5" s="7" t="str">
        <f>IF(NZ5&gt;0,NZ5,"")</f>
        <v/>
      </c>
      <c r="OM5" s="7" t="str">
        <f>IF(SUM(NX5:OA5)-OB5&gt;0,SUM(NX5:OA5)-OB5,"")</f>
        <v/>
      </c>
      <c r="ON5" s="7">
        <f>IF(OR(OI5&lt;&gt;"",OK5&lt;&gt;"",OM5&lt;&gt;""),OI5+MAX(OK5,OM5),"")</f>
        <v>68.44</v>
      </c>
      <c r="OO5" s="7">
        <f>IF(OE5&gt;0,OE5,"")</f>
        <v>0.75</v>
      </c>
      <c r="OP5" s="7">
        <f t="shared" ref="OP5" si="2">IF(SUM(OC5:OF5)-OG5&gt;0,SUM(OC5:OF5)-OG5,"")</f>
        <v>2.6850000000000001</v>
      </c>
      <c r="OQ5" s="7">
        <f t="shared" ref="OQ5" si="3">IF(SUM(ON5,OP5)&gt;0,SUM(ON5,OP5),"")</f>
        <v>71.125</v>
      </c>
    </row>
    <row r="6" spans="1:407" x14ac:dyDescent="0.2">
      <c r="A6" s="4" t="str" cm="1">
        <f t="array" ref="A6">IF(AND(H6&lt;&gt;"",H6&lt;&gt;"No DD"),SUMPRODUCT((H$4:H$10&lt;&gt;"")*(H$4:H$10&lt;&gt;"No DD")*(E$4:E$10&gt;E6))+1,IF(H6="No DD",SUMPRODUCT((H$4:H$10="No DD")*(E$4:E$10&gt;E6))+1+SUMPRODUCT((H$4:H$10&lt;&gt;"")*(H$4:H$10&lt;&gt;"No DD")),""))</f>
        <v/>
      </c>
      <c r="B6" s="5" t="s">
        <v>79</v>
      </c>
      <c r="C6" s="4" t="s">
        <v>68</v>
      </c>
      <c r="D6" s="4">
        <v>2009</v>
      </c>
      <c r="E6" s="10">
        <f>SUM(I6:Q6)</f>
        <v>221.54</v>
      </c>
      <c r="F6" s="3" t="str">
        <f>IF(OR(AND(AP6&gt;=AW$12,AT6&gt;=AW$16,AO6&lt;&gt;"",AN6=""),AND(BT6&gt;=CA$12,BX6&gt;=CA$16,BS6&lt;&gt;"",BR6=""),AND(CX6&gt;=DE$12,DB6&gt;=DE$16,CW6&lt;&gt;"",CV6=""),AND(DY6&gt;=EE$12,EB6&gt;=EE$16,DY6&lt;&gt;""),AND(EU6&gt;=FA$12,EX6&gt;=FA$16,EU6&lt;&gt;""),AND(FQ6&gt;=FW$12,FT6&gt;=FW$16,FQ6&lt;&gt;""),AND(GM6&gt;=GS$12,GP6&gt;=GS$16,GM6&lt;&gt;""),AND(HI6&gt;=HO$12,HL6&gt;=HO$16,HI6&lt;&gt;""),AND(IE6&gt;=IK$12,IH6&gt;=IK$16,IE6&lt;&gt;""),AND(JA6&gt;=JG$12,JD6&gt;=JG$16,JA6&lt;&gt;""),AND(JW6&gt;=KC$12,JZ6&gt;=KC$16,JW6&lt;&gt;""),AND(KS6&gt;=KY$12,KV6&gt;=KY$16,KS6&lt;&gt;""),AND(LO6&gt;=LU$12,LR6&gt;=LU$16,LO6&lt;&gt;""),AND(MK6&gt;=MQ$12,MN6&gt;=MQ$16,MK6&lt;&gt;""),AND(NG6&gt;=NM$12,NJ6&gt;=NM$16,NG6&lt;&gt;"")),"P","")</f>
        <v/>
      </c>
      <c r="G6" s="3" t="str">
        <f>IF(OR(AND(AT6&gt;=AW$16,AO6&lt;&gt;"",AN6=""),AND(BX6&gt;=CA$16,BS6&lt;&gt;"",BR6=""),AND(DB6&gt;=DE$16,CW6&lt;&gt;"",CV6=""),AND(EB6&gt;=EE$16,DY6&lt;&gt;""),AND(EX6&gt;=FA$16,EU6&lt;&gt;""),AND(FT6&gt;=FW$16,FQ6&lt;&gt;""),AND(GP6&gt;=GS$16,GM6&lt;&gt;""),AND(HL6&gt;=HO$16,HI6&lt;&gt;""),AND(IH6&gt;=IK$16,IE6&lt;&gt;""),AND(JD6&gt;=JG$16,JA6&lt;&gt;""),AND(JZ6&gt;=KC$16,JW6&lt;&gt;""),AND(KV6&gt;=KY$16,KS6&lt;&gt;""),AND(LR6&gt;=LU$16,LO6&lt;&gt;""),AND(MN6&gt;=MQ$16,MK6&lt;&gt;""),AND(NJ6&gt;=NM$16,NG6&lt;&gt;"")),"P","")</f>
        <v/>
      </c>
      <c r="H6" s="47" t="str">
        <f>IF(OR(AND(AP6&gt;=AW$15,AQ6&gt;=AW$19,AP6&lt;&gt;"",AN6=""),AND(AU6&gt;=AW$15,AV6&gt;=AW$19,AU6&lt;&gt;"",AN6=""),AND(BT6&gt;=CA$15,BU6&gt;=CA$19,BT6&lt;&gt;"",BR6=""),AND(BY6&gt;=CA$15,BZ6&gt;=CA$19,BY6&lt;&gt;"",BR6=""),AND(CX6&gt;=DE$15,CY6&gt;=DE$19,CX6&lt;&gt;"",CV6=""),AND(DC6&gt;=DE$15,DD6&gt;=DE$19,DC6&lt;&gt;"",CV6=""),AND(DY6&gt;=EE$15,EA6&gt;=EE$19,DY6&lt;&gt;""),AND(EC6&gt;=EE$15,ED6&gt;=EE$19,EC6&lt;&gt;""),AND(EU6&gt;=FA$15,EW6&gt;=FA$19,EU6&lt;&gt;""),AND(EY6&gt;=FA$15,EZ6&gt;=FA$19,EY6&lt;&gt;""),AND(FQ6&gt;=FW$15,FS6&gt;=FW$19,FQ6&lt;&gt;""),AND(FU6&gt;=FW$15,FV6&gt;=FW$19,FU6&lt;&gt;""),AND(GM6&gt;=GS$15,GO6&gt;=GS$19,GM6&lt;&gt;""),AND(GQ6&gt;=GS$15,GR6&gt;=GS$19,GQ6&lt;&gt;""),AND(HI6&gt;=HO$15,HK6&gt;=HO$19,HI6&lt;&gt;""),AND(HM6&gt;=HO$15,HN6&gt;=HO$19,HM6&lt;&gt;""),AND(IE6&gt;=IK$15,IG6&gt;=IK$19,IE6&lt;&gt;""),AND(II6&gt;=IK$15,IJ6&gt;=IK$19,II6&lt;&gt;""),AND(JA6&gt;=JG$15,JC6&gt;=JG$19,JA6&lt;&gt;""),AND(JE6&gt;=JG$15,JF6&gt;=JG$19,JE6&lt;&gt;""),AND(JW6&gt;=KC$15,JY6&gt;=KC$19,JW6&lt;&gt;""),AND(KA6&gt;=KC$15,KB6&gt;=KC$19,KA6&lt;&gt;""),AND(KS6&gt;=KY$15,KU6&gt;=KY$19,KS6&lt;&gt;""),AND(KW6&gt;=KY$15,KX6&gt;=KY$19,KW6&lt;&gt;""),AND(LO6&gt;=LU$15,LQ6&gt;=LU$19,LO6&lt;&gt;""),AND(LS6&gt;=LU$15,LT6&gt;=LU$19,LS6&lt;&gt;""),AND(MK6&gt;=MQ$15,MM6&gt;=MQ$19,MK6&lt;&gt;""),AND(MO6&gt;=MQ$15,MP6&gt;=MQ$19,MO6&lt;&gt;""),AND(NG6&gt;=NM$15,NI6&gt;=NM$19,NG6&lt;&gt;""),AND(NK6&gt;=NM$15,NL6&gt;=NM$19,NK6&lt;&gt;"")),"Merit",IF(OR(AND(AP6&gt;=AW$14,AT6&gt;=AW$18,AO6&lt;&gt;"",AN6=""),AND(BT6&gt;=CA$14,BX6&gt;=CA$18,BS6&lt;&gt;"",BR6=""),AND(CX6&gt;=DE$14,DB6&gt;=DE$18,CW6&lt;&gt;"",CV6=""),AND(DY6&gt;=EE$14,EB6&gt;=EE$18,DY6&lt;&gt;""),AND(EU6&gt;=FA$14,EX6&gt;=FA$18,EU6&lt;&gt;""),AND(FQ6&gt;=FW$14,FT6&gt;=FW$18,FQ6&lt;&gt;""),AND(GM6&gt;=GS$14,GP6&gt;=GS$18,GM6&lt;&gt;""),AND(HI6&gt;=HO$14,HL6&gt;=HO$18,HI6&lt;&gt;""),AND(IE6&gt;=IK$14,IH6&gt;=IK$18,IE6&lt;&gt;""),AND(JA6&gt;=JG$14,JD6&gt;=JG$18,JA6&lt;&gt;""),AND(JW6&gt;=KC$14,JZ6&gt;=KC$18,JW6&lt;&gt;""),AND(KS6&gt;=KY$14,KV6&gt;=KY$18,KS6&lt;&gt;""),AND(LO6&gt;=LU$14,LR6&gt;=LU$18,LO6&lt;&gt;""),AND(MK6&gt;=MQ$14,MN6&gt;=MQ$18,MK6&lt;&gt;""),AND(NG6&gt;=NM$14,NJ6&gt;=NM$18,NG6&lt;&gt;"")),"Excellence",IF(OR(AND(AP6&gt;=AW$12,AT6&gt;=AW$16,AO6&lt;&gt;"",AN6=""),AND(BT6&gt;=CA$12,BX6&gt;=CA$16,BS6&lt;&gt;"",BR6=""),AND(CX6&gt;=DE$12,DB6&gt;=DE$16,CW6&lt;&gt;"",CV6=""),AND(DY6&gt;=EE$12,EB6&gt;=EE$16,DY6&lt;&gt;""),AND(EU6&gt;=FA$12,EX6&gt;=FA$16,EU6&lt;&gt;""),AND(FQ6&gt;=FW$12,FT6&gt;=FW$16,FQ6&lt;&gt;""),AND(GM6&gt;=GS$12,GP6&gt;=GS$16,GM6&lt;&gt;""),AND(HI6&gt;=HO$12,HL6&gt;=HO$16,HI6&lt;&gt;""),AND(IE6&gt;=IK$12,IH6&gt;=IK$16,IE6&lt;&gt;""),AND(JA6&gt;=JG$12,JD6&gt;=JG$16,JA6&lt;&gt;""),AND(JW6&gt;=KC$12,JZ6&gt;=KC$16,JW6&lt;&gt;""),AND(KS6&gt;=KY$12,KV6&gt;=KY$16,KS6&lt;&gt;""),AND(LO6&gt;=LU$12,LR6&gt;=LU$16,LO6&lt;&gt;""),AND(MK6&gt;=MQ$12,MN6&gt;=MQ$16,MK6&lt;&gt;""),AND(NG6&gt;=NM$12,NJ6&gt;=NM$16,NG6&lt;&gt;"")),"National Team",IF(G6="P","No DD",""))))</f>
        <v/>
      </c>
      <c r="I6" s="9">
        <f>IF(MAX(AT6,BX6,DB6)&gt;0,MAX(AT6,BX6,DB6),0)</f>
        <v>83.81</v>
      </c>
      <c r="J6" s="9" t="str">
        <f>IF(I6=0,"",IF(I6=DB6,$CB$1,IF(I6=BX6,$AX$1,IF(I6=AT6,$T$1,""))))</f>
        <v>2023 Elite Canada</v>
      </c>
      <c r="K6" s="9">
        <f>IF($I6=$AT6,MAX(BS6,CW6),IF($I6=$BX6,MAX(AO6,CW6),IF($I6=$DB6,MAX(AO6,BS6),MAX(AO6,BS6,CW6))))</f>
        <v>40.54</v>
      </c>
      <c r="L6" s="9" t="str">
        <f>IF(K6=0,"",IF(AND(K6=CW6,$J6&lt;&gt;$CB$1),$CB$1,IF(AND(K6=BS6,$J6&lt;&gt;$AX$1),$AX$1,IF(AND(K6=AO6,$J6&lt;&gt;$T$1),$T$1,""))))</f>
        <v>2023 Nationals</v>
      </c>
      <c r="M6" s="9">
        <f>IF(I6-N(AO6)=AQ6,MAX(AS6,BU6,BW6,CY6,DA6),IF(I6-N(AO6)=AS6,MAX(AQ6,BU6,BW6,CY6,DA6),IF(I6-N(BS6)=BU6,MAX(AQ6,AS6,BW6,CY6,DA6),IF(I6-N(BS6)=BW6,MAX(AQ6,AS6,BU6,CY6,DA6),IF(I6-N(CW6)=CY6,MAX(AQ6,AS6,BU6,BW6,DA6),IF(I6-N(CW6)=DA6,MAX(AQ6,AS6,BU6,BW6,CY6),MAX(AQ6,AS6,BU6,BW6,CY6,DA6)))))))</f>
        <v>39.64</v>
      </c>
      <c r="N6" s="9" t="str">
        <f>IF(M6=0,"",IF(AND(OR(M6=DA6,M6=CY6),$J6&lt;&gt;$CB$1),$CB$1,IF(AND(OR(M6=BW6,M6=BU6),$J6&lt;&gt;$AX$1),$AX$1,IF(AND(OR(M6=AS6,M6=AQ6),$J6&lt;&gt;$T$1),$T$1,""))))</f>
        <v>2023 Nationals</v>
      </c>
      <c r="O6" s="9">
        <f>MAX(AV6,BZ6,DD6)</f>
        <v>49.23</v>
      </c>
      <c r="P6" s="9" t="str">
        <f>IF(O6=0,"",IF(O6=DD6,$CB$1,IF(O6=BZ6,$AX$1,IF(O6=AV6,$T$1,""))))</f>
        <v>2023 3rd Domestic Trial</v>
      </c>
      <c r="Q6" s="9">
        <f>IF(MAX(DF6,DG6,DH6,DI6)&gt;0,MAX(DF6,DG6,DH6,DI6),"")</f>
        <v>8.32</v>
      </c>
      <c r="R6" s="14" t="str">
        <f>IF(Q6="","",IF(Q6=DF6,"(Vol 1)",IF(Q6=DG6,"(Vol 2)",IF(Q6=DH6,"(Prelim)",IF(Q6=DI6,"(Final)")))))</f>
        <v>(Vol 2)</v>
      </c>
      <c r="S6" s="9" t="str">
        <f>IF(Q6="","",IF(Q6=DF6,IF(Q6+IF(K6="",0,K6)=NH6,$MR$1,IF(Q6+IF(K6="",0,K6)=ML6,$LV$1,IF(Q6+IF(K6="",0,K6)=LP6,$KZ$1,IF(Q6+IF(K6="",0,K6)=KT6,$KD$1,IF(Q6+IF(K6="",0,K6)=JX6,$JH$1,IF(Q6+IF(K6="",0,K6)=JB6,$IL$1,IF(Q6+IF(K6="",0,K6)=IF6,$HP$1,IF(Q6+IF(K6="",0,K6)=HJ6,$GT$1,IF(Q6+IF(K6="",0,K6)=GN6,$FX$1,IF(Q6+IF(K6="",0,K6)=FR6,$FB$1,IF(Q6+IF(K6="",0,K6)=EV6,$EF$1,IF(Q6+IF(K6="",0,K6)=DZ6,$DJ$1)))))))))))),IF(Q6=DG6,IF(Q6+IF(M6="",0,M6)=NI6,$MR$1,IF(Q6+IF(M6="",0,M6)=MM6,$LV$1,IF(Q6+IF(M6="",0,M6)=LQ6,$KZ$1,IF(Q6+IF(M6="",0,M6)=KU6,$KD$1,IF(Q6+IF(M6="",0,M6)=JY6,$JH$1,IF(Q6+IF(M6="",0,M6)=JC6,$IL$1,IF(Q6+IF(M6="",0,M6)=IG6,$HP$1,IF(Q6+IF(M6="",0,M6)=HK6,$GT$1,IF(Q6+IF(M6="",0,M6)=GO6,$FX$1,IF(Q6+IF(M6="",0,M6)=FS6,$FB$1,IF(Q6+IF(M6="",0,M6)=EW6,$EF$1,IF(Q6+IF(M6="",0,M6)=EA6,$DJ$1)))))))))))),IF(Q6=DH6,IF(Q6+IF(I6="",0,I6)=NJ6,$MR$1,IF(Q6+IF(I6="",0,I6)=MN6,$LV$1,IF(Q6+IF(I6="",0,I6)=LR6,$KZ$1,IF(Q6+IF(I6="",0,I6)=KV6,$KD$1,IF(Q6+IF(I6="",0,I6)=JZ6,$JH$1,IF(Q6+IF(I6="",0,I6)=JD6,$IL$1,IF(Q6+IF(I6="",0,I6)=IH6,$HP$1,IF(Q6+IF(I6="",0,I6)=HL6,$GT$1,IF(Q6+IF(I6="",0,I6)=GP6,$FX$1,IF(Q6+IF(I6="",0,I6)=FT6,$FB$1,IF(Q6+IF(I6="",0,I6)=EX6,$EF$1,IF(Q6+IF(I6="",0,I6)=EB6,$DJ$1)))))))))))),IF(Q6=DI6,IF(Q6+IF(O6="",0,O6)=NL6,$MR$1,IF(Q6+IF(O6="",0,O6)=MP6,$LV$1,IF(Q6+IF(O6="",0,O6)=LT6,$KZ$1,IF(Q6+IF(O6="",0,O6)=KX6,$KD$1,IF(Q6+IF(O6="",0,O6)=KB6,$JH$1,IF(Q6+IF(O6="",0,O6)=JF6,$IL$1,IF(Q6+IF(O6="",0,O6)=IJ6,$HP$1,IF(Q6+IF(O6="",0,O6)=HN6,$GT$1,IF(Q6+IF(O6="",0,O6)=GR6,$FX$1,IF(Q6+IF(O6="",0,O6)=FV6,$FB$1,IF(Q6+IF(O6="",0,O6)=EZ6,$EF$1,IF(Q6+IF(O6="",0,O6)=ED6,$DJ$1)))))))))))))))))</f>
        <v>2023 Pan Am Championships (May 14)</v>
      </c>
      <c r="T6" s="27">
        <v>16.3</v>
      </c>
      <c r="U6" s="27">
        <v>9.6</v>
      </c>
      <c r="V6" s="27">
        <v>0</v>
      </c>
      <c r="W6" s="27">
        <v>13.57</v>
      </c>
      <c r="X6" s="27">
        <v>0</v>
      </c>
      <c r="Y6" s="27">
        <v>11.8</v>
      </c>
      <c r="Z6" s="27">
        <v>9.1999999999999993</v>
      </c>
      <c r="AA6" s="27">
        <v>10</v>
      </c>
      <c r="AB6" s="27">
        <v>13.34</v>
      </c>
      <c r="AC6" s="27">
        <v>0</v>
      </c>
      <c r="AD6" s="27"/>
      <c r="AE6" s="27"/>
      <c r="AF6" s="27"/>
      <c r="AG6" s="27"/>
      <c r="AH6" s="27"/>
      <c r="AI6" s="27">
        <v>3.65</v>
      </c>
      <c r="AJ6" s="27">
        <v>2.2999999999999998</v>
      </c>
      <c r="AK6" s="27">
        <v>2.8</v>
      </c>
      <c r="AL6" s="27">
        <v>3.4750000000000001</v>
      </c>
      <c r="AM6" s="27">
        <v>0</v>
      </c>
      <c r="AN6" s="32"/>
      <c r="AO6" s="7">
        <f>IF(SUM(T6:W6)-X6&gt;0,SUM(T6:W6)-X6,"")</f>
        <v>39.47</v>
      </c>
      <c r="AP6" s="7">
        <f>IF(AA6&gt;0,AA6,"")</f>
        <v>10</v>
      </c>
      <c r="AQ6" s="7">
        <f>IF(SUM(Y6:AB6)-AC6&gt;0,SUM(Y6:AB6)-AC6,"")</f>
        <v>44.34</v>
      </c>
      <c r="AR6" s="7" t="str">
        <f>IF(AF6&gt;0,AF6,"")</f>
        <v/>
      </c>
      <c r="AS6" s="7" t="str">
        <f>IF(SUM(AD6:AG6)-AH6&gt;0,SUM(AD6:AG6)-AH6,"")</f>
        <v/>
      </c>
      <c r="AT6" s="7">
        <f>IF(AO6="",IF(MAX(AQ6,AS6)&gt;0,MAX(AQ6,AS6),""),MAX(AQ6,AS6)+AO6)</f>
        <v>83.81</v>
      </c>
      <c r="AU6" s="7">
        <f>IF(AK6&gt;0,AK6,"")</f>
        <v>2.8</v>
      </c>
      <c r="AV6" s="7">
        <f>IF(SUM(AI6:AL6)-AM6&gt;0,SUM(AI6:AL6)-AM6,"")</f>
        <v>12.225</v>
      </c>
      <c r="AW6" s="7">
        <f>IF(SUM(AT6,AV6)&gt;0,SUM(AT6,AV6),"")</f>
        <v>96.034999999999997</v>
      </c>
      <c r="AX6" s="31">
        <v>17.3</v>
      </c>
      <c r="AY6" s="31">
        <v>9.3000000000000007</v>
      </c>
      <c r="AZ6" s="31">
        <v>0</v>
      </c>
      <c r="BA6" s="31">
        <v>13.94</v>
      </c>
      <c r="BB6" s="31">
        <v>0</v>
      </c>
      <c r="BC6" s="31">
        <v>11.3</v>
      </c>
      <c r="BD6" s="31">
        <v>7.3</v>
      </c>
      <c r="BE6" s="31">
        <v>9.6</v>
      </c>
      <c r="BF6" s="31">
        <v>11.44</v>
      </c>
      <c r="BG6" s="31">
        <v>0</v>
      </c>
      <c r="BH6" s="31"/>
      <c r="BI6" s="31"/>
      <c r="BJ6" s="31"/>
      <c r="BK6" s="31"/>
      <c r="BL6" s="31"/>
      <c r="BM6" s="31">
        <v>14.9</v>
      </c>
      <c r="BN6" s="31">
        <v>9</v>
      </c>
      <c r="BO6" s="31">
        <v>10.9</v>
      </c>
      <c r="BP6" s="31">
        <v>13.97</v>
      </c>
      <c r="BQ6" s="31">
        <v>2</v>
      </c>
      <c r="BR6" s="33"/>
      <c r="BS6" s="9">
        <f>IF(SUM(AX6:BA6)-BB6&gt;0,SUM(AX6:BA6)-BB6,"")</f>
        <v>40.54</v>
      </c>
      <c r="BT6" s="9">
        <f>IF(BE6&gt;0,BE6,"")</f>
        <v>9.6</v>
      </c>
      <c r="BU6" s="9">
        <f>IF(SUM(BC6:BF6)-BG6&gt;0,SUM(BC6:BF6)-BG6,"")</f>
        <v>39.64</v>
      </c>
      <c r="BV6" s="9" t="str">
        <f>IF(BJ6&gt;0,BJ6,"")</f>
        <v/>
      </c>
      <c r="BW6" s="9" t="str">
        <f>IF(SUM(BH6:BK6)-BL6&gt;0,SUM(BH6:BK6)-BL6,"")</f>
        <v/>
      </c>
      <c r="BX6" s="9">
        <f>IF(BS6="",IF(MAX(BU6,BW6)&gt;0,MAX(BU6,BW6),""),MAX(BU6,BW6)+BS6)</f>
        <v>80.180000000000007</v>
      </c>
      <c r="BY6" s="9">
        <f>IF(BO6&gt;0,BO6,"")</f>
        <v>10.9</v>
      </c>
      <c r="BZ6" s="9">
        <f>IF(SUM(BM6:BP6)-BQ6&gt;0,SUM(BM6:BP6)-BQ6,"")</f>
        <v>46.769999999999996</v>
      </c>
      <c r="CA6" s="9">
        <f>IF(SUM(BX6,BZ6)&gt;0,SUM(BX6,BZ6),"")</f>
        <v>126.95</v>
      </c>
      <c r="CB6" s="27">
        <v>16.5</v>
      </c>
      <c r="CC6" s="27">
        <v>9.5</v>
      </c>
      <c r="CD6" s="27">
        <v>0</v>
      </c>
      <c r="CE6" s="27">
        <v>14.28</v>
      </c>
      <c r="CF6" s="27">
        <v>0</v>
      </c>
      <c r="CG6" s="27">
        <v>10.7</v>
      </c>
      <c r="CH6" s="27">
        <v>6.9</v>
      </c>
      <c r="CI6" s="27">
        <v>9.3999999999999986</v>
      </c>
      <c r="CJ6" s="27">
        <v>11.12</v>
      </c>
      <c r="CK6" s="27">
        <v>0</v>
      </c>
      <c r="CL6" s="27"/>
      <c r="CM6" s="27"/>
      <c r="CN6" s="27"/>
      <c r="CO6" s="27"/>
      <c r="CP6" s="27"/>
      <c r="CQ6" s="27">
        <v>14.1</v>
      </c>
      <c r="CR6" s="27">
        <v>8.6999999999999993</v>
      </c>
      <c r="CS6" s="27">
        <v>12.299999999999999</v>
      </c>
      <c r="CT6" s="27">
        <v>14.13</v>
      </c>
      <c r="CU6" s="27">
        <v>0</v>
      </c>
      <c r="CV6" s="32"/>
      <c r="CW6" s="7">
        <f>IF(SUM(CB6:CE6)-CF6&gt;0,SUM(CB6:CE6)-CF6,"")</f>
        <v>40.28</v>
      </c>
      <c r="CX6" s="7">
        <f>IF(CI6&gt;0,CI6,"")</f>
        <v>9.3999999999999986</v>
      </c>
      <c r="CY6" s="7">
        <f>IF(SUM(CG6:CJ6)-CK6&gt;0,SUM(CG6:CJ6)-CK6,"")</f>
        <v>38.119999999999997</v>
      </c>
      <c r="CZ6" s="7" t="str">
        <f>IF(CN6&gt;0,CN6,"")</f>
        <v/>
      </c>
      <c r="DA6" s="7" t="str">
        <f>IF(SUM(CL6:CO6)-CP6&gt;0,SUM(CL6:CO6)-CP6,"")</f>
        <v/>
      </c>
      <c r="DB6" s="7">
        <f>IF(CW6="",IF(MAX(CY6,DA6)&gt;0,MAX(CY6,DA6),""),MAX(CY6,DA6)+CW6)</f>
        <v>78.400000000000006</v>
      </c>
      <c r="DC6" s="7">
        <f>IF(CS6&gt;0,CS6,"")</f>
        <v>12.299999999999999</v>
      </c>
      <c r="DD6" s="7">
        <f>IF(SUM(CQ6:CT6)-CU6&gt;0,SUM(CQ6:CT6)-CU6,"")</f>
        <v>49.23</v>
      </c>
      <c r="DE6" s="7">
        <f>IF(SUM(DB6,DD6)&gt;0,SUM(DB6,DD6),"")</f>
        <v>127.63</v>
      </c>
      <c r="DF6" s="13" t="str">
        <f>IF(MAX(DZ6,EV6,FR6,GN6,HJ6,IF6,JB6,JX6,KT6,LP6,ML6,NH6)-IF(K6="",0,K6)&gt;0.001,MAX(DZ6,EV6,FR6,GN6,HJ6,IF6,JB6,JX6,KT6,LP6,ML6,NH6)-IF(K6="",0,K6),"")</f>
        <v/>
      </c>
      <c r="DG6" s="13">
        <f>IF(MAX(EA6,EW6,FS6,GO6,HK6,IG6,JC6,JY6,KU6,LQ6,MM6,NI6)-IF(M6="",0,M6)&gt;0.001,MAX(EA6,EW6,FS6,GO6,HK6,IG6,JC6,JY6,KU6,LQ6,MM6,NI6)-IF(M6="",0,M6),"")</f>
        <v>8.32</v>
      </c>
      <c r="DH6" s="13">
        <f>IF(MAX(EB6,EX6,FT6,GP6,HL6,IH6,JD6,JZ6,KV6,LR6,MN6,NJ6)-IF(I6="",0,I6)&gt;0.001,MAX(EB6,EX6,FT6,GP6,HL6,IH6,JD6,JZ6,KV6,LR6,MN6,NJ6)-IF(I6="",0,I6),"")</f>
        <v>3.0600000000000023</v>
      </c>
      <c r="DI6" s="13" t="str">
        <f>IF(MAX(ED6,EZ6,FV6,GR6,HN6,IJ6,JF6,KB6,KX6,LT6,MP6,NL6)-IF(O6="",0,O6)&gt;0.001,MAX(ED6,EZ6,FV6,GR6,HN6,IJ6,JF6,KB6,KX6,LT6,MP6,NL6)-IF(O6="",0,O6),"")</f>
        <v/>
      </c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7" t="str">
        <f>IF(DQ6&gt;0,DQ6,"")</f>
        <v/>
      </c>
      <c r="DZ6" s="7" t="str">
        <f>IF(SUM(DJ6:DM6)-DN6&gt;0,SUM(DJ6:DM6)-DN6,"")</f>
        <v/>
      </c>
      <c r="EA6" s="7" t="str">
        <f>IF(SUM(DO6:DR6)-DS6&gt;0,SUM(DO6:DR6)-DS6,"")</f>
        <v/>
      </c>
      <c r="EB6" s="7" t="str">
        <f>IF(SUM(DZ6:EA6)&gt;0,SUM(DZ6:EA6),"")</f>
        <v/>
      </c>
      <c r="EC6" s="7" t="str">
        <f>IF(DV6&gt;0,DV6,"")</f>
        <v/>
      </c>
      <c r="ED6" s="7" t="str">
        <f>IF(SUM(DT6:DW6)-DX6&gt;0,SUM(DT6:DW6)-DX6,"")</f>
        <v/>
      </c>
      <c r="EE6" s="7" t="str">
        <f>IF(SUM(EB6,ED6)&gt;0,SUM(EB6,ED6),"")</f>
        <v/>
      </c>
      <c r="EF6" s="19">
        <v>15.9</v>
      </c>
      <c r="EG6" s="19">
        <v>9.4</v>
      </c>
      <c r="EH6" s="19">
        <v>0</v>
      </c>
      <c r="EI6" s="19">
        <v>13.61</v>
      </c>
      <c r="EJ6" s="19">
        <v>0</v>
      </c>
      <c r="EK6" s="19">
        <v>13.5</v>
      </c>
      <c r="EL6" s="19">
        <v>8.8000000000000007</v>
      </c>
      <c r="EM6" s="19">
        <v>12.1</v>
      </c>
      <c r="EN6" s="19">
        <v>13.56</v>
      </c>
      <c r="EO6" s="19">
        <v>0</v>
      </c>
      <c r="EP6" s="19">
        <v>14.1</v>
      </c>
      <c r="EQ6" s="19">
        <v>9.1999999999999993</v>
      </c>
      <c r="ER6" s="19">
        <v>12.1</v>
      </c>
      <c r="ES6" s="19">
        <v>13.63</v>
      </c>
      <c r="ET6" s="19">
        <v>0</v>
      </c>
      <c r="EU6" s="9">
        <f>IF(EM6&gt;0,EM6,"")</f>
        <v>12.1</v>
      </c>
      <c r="EV6" s="9">
        <f>IF(SUM(EF6:EI6)-EJ6&gt;0,SUM(EF6:EI6)-EJ6,"")</f>
        <v>38.909999999999997</v>
      </c>
      <c r="EW6" s="9">
        <f>IF(SUM(EK6:EN6)-EO6&gt;0,SUM(EK6:EN6)-EO6,"")</f>
        <v>47.96</v>
      </c>
      <c r="EX6" s="9">
        <f>IF(SUM(EV6:EW6)&gt;0,SUM(EV6:EW6),"")</f>
        <v>86.87</v>
      </c>
      <c r="EY6" s="9">
        <f>IF(ER6&gt;0,ER6,"")</f>
        <v>12.1</v>
      </c>
      <c r="EZ6" s="9">
        <f>IF(SUM(EP6:ES6)-ET6&gt;0,SUM(EP6:ES6)-ET6,"")</f>
        <v>49.03</v>
      </c>
      <c r="FA6" s="9">
        <f>IF(SUM(EX6,EZ6)&gt;0,SUM(EX6,EZ6),"")</f>
        <v>135.9</v>
      </c>
      <c r="FB6" s="18">
        <v>15.5</v>
      </c>
      <c r="FC6" s="18">
        <v>9.1999999999999993</v>
      </c>
      <c r="FD6" s="18">
        <v>0</v>
      </c>
      <c r="FE6" s="18">
        <v>14.38</v>
      </c>
      <c r="FF6" s="18">
        <v>0</v>
      </c>
      <c r="FG6" s="18">
        <v>12.6</v>
      </c>
      <c r="FH6" s="18">
        <v>8.8000000000000007</v>
      </c>
      <c r="FI6" s="18">
        <v>11.4</v>
      </c>
      <c r="FJ6" s="18">
        <v>13.72</v>
      </c>
      <c r="FK6" s="18">
        <v>0</v>
      </c>
      <c r="FL6" s="18"/>
      <c r="FM6" s="18"/>
      <c r="FN6" s="18"/>
      <c r="FO6" s="18"/>
      <c r="FP6" s="18"/>
      <c r="FQ6" s="7">
        <f>IF(FI6&gt;0,FI6,"")</f>
        <v>11.4</v>
      </c>
      <c r="FR6" s="7">
        <f>IF(SUM(FB6:FE6)-FF6&gt;0,SUM(FB6:FE6)-FF6,"")</f>
        <v>39.08</v>
      </c>
      <c r="FS6" s="7">
        <f>IF(SUM(FG6:FJ6)-FK6&gt;0,SUM(FG6:FJ6)-FK6,"")</f>
        <v>46.519999999999996</v>
      </c>
      <c r="FT6" s="7">
        <f>IF(SUM(FR6:FS6)&gt;0,SUM(FR6:FS6),"")</f>
        <v>85.6</v>
      </c>
      <c r="FU6" s="7" t="str">
        <f>IF(FN6&gt;0,FN6,"")</f>
        <v/>
      </c>
      <c r="FV6" s="7" t="str">
        <f>IF(SUM(FL6:FO6)-FP6&gt;0,SUM(FL6:FO6)-FP6,"")</f>
        <v/>
      </c>
      <c r="FW6" s="7">
        <f>IF(SUM(FT6,FV6)&gt;0,SUM(FT6,FV6),"")</f>
        <v>85.6</v>
      </c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9" t="str">
        <f>IF(GE6&gt;0,GE6,"")</f>
        <v/>
      </c>
      <c r="GN6" s="9" t="str">
        <f>IF(SUM(FX6:GA6)-GB6&gt;0,SUM(FX6:GA6)-GB6,"")</f>
        <v/>
      </c>
      <c r="GO6" s="9" t="str">
        <f>IF(SUM(GC6:GF6)-GG6&gt;0,SUM(GC6:GF6)-GG6,"")</f>
        <v/>
      </c>
      <c r="GP6" s="9" t="str">
        <f>IF(SUM(GN6:GO6)&gt;0,SUM(GN6:GO6),"")</f>
        <v/>
      </c>
      <c r="GQ6" s="9" t="str">
        <f>IF(GJ6&gt;0,GJ6,"")</f>
        <v/>
      </c>
      <c r="GR6" s="9" t="str">
        <f>IF(SUM(GH6:GK6)-GL6&gt;0,SUM(GH6:GK6)-GL6,"")</f>
        <v/>
      </c>
      <c r="GS6" s="9" t="str">
        <f>IF(SUM(GP6,GR6)&gt;0,SUM(GP6,GR6),"")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7" t="str">
        <f>IF(HA6&gt;0,HA6,"")</f>
        <v/>
      </c>
      <c r="HJ6" s="7" t="str">
        <f>IF(SUM(GT6:GW6)-GX6&gt;0,SUM(GT6:GW6)-GX6,"")</f>
        <v/>
      </c>
      <c r="HK6" s="7" t="str">
        <f>IF(SUM(GY6:HB6)-HC6&gt;0,SUM(GY6:HB6)-HC6,"")</f>
        <v/>
      </c>
      <c r="HL6" s="7" t="str">
        <f>IF(SUM(HJ6:HK6)&gt;0,SUM(HJ6:HK6),"")</f>
        <v/>
      </c>
      <c r="HM6" s="7" t="str">
        <f>IF(HF6&gt;0,HF6,"")</f>
        <v/>
      </c>
      <c r="HN6" s="7" t="str">
        <f>IF(SUM(HD6:HG6)-HH6&gt;0,SUM(HD6:HG6)-HH6,"")</f>
        <v/>
      </c>
      <c r="HO6" s="7" t="str">
        <f>IF(SUM(HL6,HN6)&gt;0,SUM(HL6,HN6),"")</f>
        <v/>
      </c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9" t="str">
        <f>IF(HW6&gt;0,HW6,"")</f>
        <v/>
      </c>
      <c r="IF6" s="9" t="str">
        <f>IF(SUM(HP6:HS6)-HT6&gt;0,SUM(HP6:HS6)-HT6,"")</f>
        <v/>
      </c>
      <c r="IG6" s="9" t="str">
        <f>IF(SUM(HU6:HX6)-HY6&gt;0,SUM(HU6:HX6)-HY6,"")</f>
        <v/>
      </c>
      <c r="IH6" s="9" t="str">
        <f>IF(SUM(IF6:IG6)&gt;0,SUM(IF6:IG6),"")</f>
        <v/>
      </c>
      <c r="II6" s="9" t="str">
        <f>IF(IB6&gt;0,IB6,"")</f>
        <v/>
      </c>
      <c r="IJ6" s="9" t="str">
        <f>IF(SUM(HZ6:IC6)-ID6&gt;0,SUM(HZ6:IC6)-ID6,"")</f>
        <v/>
      </c>
      <c r="IK6" s="9" t="str">
        <f>IF(SUM(IH6,IJ6)&gt;0,SUM(IH6,IJ6),"")</f>
        <v/>
      </c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7" t="str">
        <f>IF(IS6&gt;0,IS6,"")</f>
        <v/>
      </c>
      <c r="JB6" s="7" t="str">
        <f>IF(SUM(IL6:IO6)-IP6&gt;0,SUM(IL6:IO6)-IP6,"")</f>
        <v/>
      </c>
      <c r="JC6" s="7" t="str">
        <f>IF(SUM(IQ6:IT6)-IU6&gt;0,SUM(IQ6:IT6)-IU6,"")</f>
        <v/>
      </c>
      <c r="JD6" s="7" t="str">
        <f>IF(SUM(JB6:JC6)&gt;0,SUM(JB6:JC6),"")</f>
        <v/>
      </c>
      <c r="JE6" s="7" t="str">
        <f>IF(IX6&gt;0,IX6,"")</f>
        <v/>
      </c>
      <c r="JF6" s="7" t="str">
        <f>IF(SUM(IV6:IY6)-IZ6&gt;0,SUM(IV6:IY6)-IZ6,"")</f>
        <v/>
      </c>
      <c r="JG6" s="7" t="str">
        <f>IF(SUM(JD6,JF6)&gt;0,SUM(JD6,JF6),"")</f>
        <v/>
      </c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9" t="str">
        <f>IF(JO6&gt;0,JO6,"")</f>
        <v/>
      </c>
      <c r="JX6" s="9" t="str">
        <f>IF(SUM(JH6:JK6)-JL6&gt;0,SUM(JH6:JK6)-JL6,"")</f>
        <v/>
      </c>
      <c r="JY6" s="9" t="str">
        <f>IF(SUM(JM6:JP6)-JQ6&gt;0,SUM(JM6:JP6)-JQ6,"")</f>
        <v/>
      </c>
      <c r="JZ6" s="9" t="str">
        <f>IF(SUM(JX6:JY6)&gt;0,SUM(JX6:JY6),"")</f>
        <v/>
      </c>
      <c r="KA6" s="9" t="str">
        <f>IF(JT6&gt;0,JT6,"")</f>
        <v/>
      </c>
      <c r="KB6" s="9" t="str">
        <f>IF(SUM(JR6:JU6)-JV6&gt;0,SUM(JR6:JU6)-JV6,"")</f>
        <v/>
      </c>
      <c r="KC6" s="9" t="str">
        <f>IF(SUM(JZ6,KB6)&gt;0,SUM(JZ6,KB6),"")</f>
        <v/>
      </c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7" t="str">
        <f>IF(KK6&gt;0,KK6,"")</f>
        <v/>
      </c>
      <c r="KT6" s="7" t="str">
        <f>IF(SUM(KD6:KG6)-KH6&gt;0,SUM(KD6:KG6)-KH6,"")</f>
        <v/>
      </c>
      <c r="KU6" s="7" t="str">
        <f>IF(SUM(KI6:KL6)-KM6&gt;0,SUM(KI6:KL6)-KM6,"")</f>
        <v/>
      </c>
      <c r="KV6" s="7" t="str">
        <f>IF(SUM(KT6:KU6)&gt;0,SUM(KT6:KU6),"")</f>
        <v/>
      </c>
      <c r="KW6" s="7" t="str">
        <f>IF(KP6&gt;0,KP6,"")</f>
        <v/>
      </c>
      <c r="KX6" s="7" t="str">
        <f>IF(SUM(KN6:KQ6)-KR6&gt;0,SUM(KN6:KQ6)-KR6,"")</f>
        <v/>
      </c>
      <c r="KY6" s="7" t="str">
        <f>IF(SUM(KV6,KX6)&gt;0,SUM(KV6,KX6),"")</f>
        <v/>
      </c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9" t="str">
        <f>IF(LG6&gt;0,LG6,"")</f>
        <v/>
      </c>
      <c r="LP6" s="9" t="str">
        <f>IF(SUM(KZ6:LC6)-LD6&gt;0,SUM(KZ6:LC6)-LD6,"")</f>
        <v/>
      </c>
      <c r="LQ6" s="9" t="str">
        <f>IF(SUM(LE6:LH6)-LI6&gt;0,SUM(LE6:LH6)-LI6,"")</f>
        <v/>
      </c>
      <c r="LR6" s="9" t="str">
        <f>IF(SUM(LP6:LQ6)&gt;0,SUM(LP6:LQ6),"")</f>
        <v/>
      </c>
      <c r="LS6" s="9" t="str">
        <f>IF(LL6&gt;0,LL6,"")</f>
        <v/>
      </c>
      <c r="LT6" s="9" t="str">
        <f>IF(SUM(LJ6:LM6)-LN6&gt;0,SUM(LJ6:LM6)-LN6,"")</f>
        <v/>
      </c>
      <c r="LU6" s="9" t="str">
        <f>IF(SUM(LR6,LT6)&gt;0,SUM(LR6,LT6),"")</f>
        <v/>
      </c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7" t="str">
        <f>IF(MC6&gt;0,MC6,"")</f>
        <v/>
      </c>
      <c r="ML6" s="7" t="str">
        <f>IF(SUM(LV6:LY6)-LZ6&gt;0,SUM(LV6:LY6)-LZ6,"")</f>
        <v/>
      </c>
      <c r="MM6" s="7" t="str">
        <f>IF(SUM(MA6:MD6)-ME6&gt;0,SUM(MA6:MD6)-ME6,"")</f>
        <v/>
      </c>
      <c r="MN6" s="7" t="str">
        <f>IF(SUM(ML6:MM6)&gt;0,SUM(ML6:MM6),"")</f>
        <v/>
      </c>
      <c r="MO6" s="7" t="str">
        <f>IF(MH6&gt;0,MH6,"")</f>
        <v/>
      </c>
      <c r="MP6" s="7" t="str">
        <f>IF(SUM(MF6:MI6)-MJ6&gt;0,SUM(MF6:MI6)-MJ6,"")</f>
        <v/>
      </c>
      <c r="MQ6" s="7" t="str">
        <f>IF(SUM(MN6,MP6)&gt;0,SUM(MN6,MP6),"")</f>
        <v/>
      </c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9" t="str">
        <f>IF(MY6&gt;0,MY6,"")</f>
        <v/>
      </c>
      <c r="NH6" s="9" t="str">
        <f>IF(SUM(MR6:MU6)-MV6&gt;0,SUM(MR6:MU6)-MV6,"")</f>
        <v/>
      </c>
      <c r="NI6" s="9" t="str">
        <f>IF(SUM(MW6:MZ6)-NA6&gt;0,SUM(MW6:MZ6)-NA6,"")</f>
        <v/>
      </c>
      <c r="NJ6" s="9" t="str">
        <f>IF(SUM(NH6:NI6)&gt;0,SUM(NH6:NI6),"")</f>
        <v/>
      </c>
      <c r="NK6" s="9" t="str">
        <f>IF(ND6&gt;0,ND6,"")</f>
        <v/>
      </c>
      <c r="NL6" s="9" t="str">
        <f>IF(SUM(NB6:NE6)-NF6&gt;0,SUM(NB6:NE6)-NF6,"")</f>
        <v/>
      </c>
      <c r="NM6" s="9" t="str">
        <f>IF(SUM(NJ6,NL6)&gt;0,SUM(NJ6,NL6),"")</f>
        <v/>
      </c>
      <c r="NN6" s="27">
        <f>IF($CV6="P",CB6,(CB6+AX6)/2)</f>
        <v>16.899999999999999</v>
      </c>
      <c r="NO6" s="27">
        <f>IF($CV6="P",CC6,(CC6+AY6)/2)</f>
        <v>9.4</v>
      </c>
      <c r="NP6" s="27">
        <f>IF($CV6="P",CD6,(CD6+AZ6)/2)</f>
        <v>0</v>
      </c>
      <c r="NQ6" s="27">
        <f>IF($CV6="P",CE6,(CE6+BA6)/2)</f>
        <v>14.11</v>
      </c>
      <c r="NR6" s="27">
        <f>IF($CV6="P",CF6,(CF6+BB6)/2)</f>
        <v>0</v>
      </c>
      <c r="NS6" s="27">
        <f>IF($CV6="P",CG6,(CG6+BC6)/2)</f>
        <v>11</v>
      </c>
      <c r="NT6" s="27">
        <f>IF($CV6="P",CH6,(CH6+BD6)/2)</f>
        <v>7.1</v>
      </c>
      <c r="NU6" s="27">
        <f>IF($CV6="P",CI6,(CI6+BE6)/2)</f>
        <v>9.5</v>
      </c>
      <c r="NV6" s="27">
        <f>IF($CV6="P",CJ6,(CJ6+BF6)/2)</f>
        <v>11.28</v>
      </c>
      <c r="NW6" s="27">
        <f>IF($CV6="P",CK6,(CK6+BG6)/2)</f>
        <v>0</v>
      </c>
      <c r="NX6" s="27">
        <f>IF($CV6="P",CL6,(CL6+BH6)/2)</f>
        <v>0</v>
      </c>
      <c r="NY6" s="27">
        <f>IF($CV6="P",CM6,(CM6+BI6)/2)</f>
        <v>0</v>
      </c>
      <c r="NZ6" s="27">
        <f>IF($CV6="P",CN6,(CN6+BJ6)/2)</f>
        <v>0</v>
      </c>
      <c r="OA6" s="27">
        <f>IF($CV6="P",CO6,(CO6+BK6)/2)</f>
        <v>0</v>
      </c>
      <c r="OB6" s="27">
        <f>IF($CV6="P",CP6,(CP6+BL6)/2)</f>
        <v>0</v>
      </c>
      <c r="OC6" s="27">
        <f>IF($CV6="P",CQ6,(CQ6+BM6)/2)</f>
        <v>14.5</v>
      </c>
      <c r="OD6" s="27">
        <f>IF($CV6="P",CR6,(CR6+BN6)/2)</f>
        <v>8.85</v>
      </c>
      <c r="OE6" s="27">
        <f>IF($CV6="P",CS6,(CS6+BO6)/2)</f>
        <v>11.6</v>
      </c>
      <c r="OF6" s="27">
        <f>IF($CV6="P",CT6,(CT6+BP6)/2)</f>
        <v>14.05</v>
      </c>
      <c r="OG6" s="27">
        <f>IF($CV6="P",CU6,(CU6+BQ6)/2)</f>
        <v>1</v>
      </c>
      <c r="OH6" s="32" t="s">
        <v>44</v>
      </c>
      <c r="OI6" s="7">
        <f>IF(SUM(NN6:NQ6)-NR6&gt;0,SUM(NN6:NQ6)-NR6,"")</f>
        <v>40.409999999999997</v>
      </c>
      <c r="OJ6" s="7">
        <f>IF(NU6&gt;0,NU6,"")</f>
        <v>9.5</v>
      </c>
      <c r="OK6" s="7">
        <f>IF(SUM(NS6:NV6)-NW6&gt;0,SUM(NS6:NV6)-NW6,"")</f>
        <v>38.880000000000003</v>
      </c>
      <c r="OL6" s="7" t="str">
        <f>IF(NZ6&gt;0,NZ6,"")</f>
        <v/>
      </c>
      <c r="OM6" s="7" t="str">
        <f>IF(SUM(NX6:OA6)-OB6&gt;0,SUM(NX6:OA6)-OB6,"")</f>
        <v/>
      </c>
      <c r="ON6" s="7">
        <f>IF(OR(OI6&lt;&gt;"",OK6&lt;&gt;"",OM6&lt;&gt;""),OI6+MAX(OK6,OM6),"")</f>
        <v>79.289999999999992</v>
      </c>
      <c r="OO6" s="7">
        <f>IF(OE6&gt;0,OE6,"")</f>
        <v>11.6</v>
      </c>
      <c r="OP6" s="7">
        <f t="shared" ref="OP6" si="4">IF(SUM(OC6:OF6)-OG6&gt;0,SUM(OC6:OF6)-OG6,"")</f>
        <v>48</v>
      </c>
      <c r="OQ6" s="7">
        <f t="shared" ref="OQ6" si="5">IF(SUM(ON6,OP6)&gt;0,SUM(ON6,OP6),"")</f>
        <v>127.28999999999999</v>
      </c>
    </row>
    <row r="7" spans="1:407" x14ac:dyDescent="0.2">
      <c r="A7" s="4" t="str" cm="1">
        <f t="array" ref="A7">IF(AND(H7&lt;&gt;"",H7&lt;&gt;"No DD"),SUMPRODUCT((H$4:H$10&lt;&gt;"")*(H$4:H$10&lt;&gt;"No DD")*(E$4:E$10&gt;E7))+1,IF(H7="No DD",SUMPRODUCT((H$4:H$10="No DD")*(E$4:E$10&gt;E7))+1+SUMPRODUCT((H$4:H$10&lt;&gt;"")*(H$4:H$10&lt;&gt;"No DD")),""))</f>
        <v/>
      </c>
      <c r="B7" s="5" t="s">
        <v>89</v>
      </c>
      <c r="C7" s="4" t="s">
        <v>68</v>
      </c>
      <c r="D7" s="4">
        <v>2009</v>
      </c>
      <c r="E7" s="10">
        <f>SUM(I7:Q7)</f>
        <v>221.38</v>
      </c>
      <c r="F7" s="3" t="str">
        <f>IF(OR(AND(AP7&gt;=AW$12,AT7&gt;=AW$16,AO7&lt;&gt;"",AN7=""),AND(BT7&gt;=CA$12,BX7&gt;=CA$16,BS7&lt;&gt;"",BR7=""),AND(CX7&gt;=DE$12,DB7&gt;=DE$16,CW7&lt;&gt;"",CV7=""),AND(DY7&gt;=EE$12,EB7&gt;=EE$16,DY7&lt;&gt;""),AND(EU7&gt;=FA$12,EX7&gt;=FA$16,EU7&lt;&gt;""),AND(FQ7&gt;=FW$12,FT7&gt;=FW$16,FQ7&lt;&gt;""),AND(GM7&gt;=GS$12,GP7&gt;=GS$16,GM7&lt;&gt;""),AND(HI7&gt;=HO$12,HL7&gt;=HO$16,HI7&lt;&gt;""),AND(IE7&gt;=IK$12,IH7&gt;=IK$16,IE7&lt;&gt;""),AND(JA7&gt;=JG$12,JD7&gt;=JG$16,JA7&lt;&gt;""),AND(JW7&gt;=KC$12,JZ7&gt;=KC$16,JW7&lt;&gt;""),AND(KS7&gt;=KY$12,KV7&gt;=KY$16,KS7&lt;&gt;""),AND(LO7&gt;=LU$12,LR7&gt;=LU$16,LO7&lt;&gt;""),AND(MK7&gt;=MQ$12,MN7&gt;=MQ$16,MK7&lt;&gt;""),AND(NG7&gt;=NM$12,NJ7&gt;=NM$16,NG7&lt;&gt;"")),"P","")</f>
        <v/>
      </c>
      <c r="G7" s="3" t="str">
        <f>IF(OR(AND(AT7&gt;=AW$16,AO7&lt;&gt;"",AN7=""),AND(BX7&gt;=CA$16,BS7&lt;&gt;"",BR7=""),AND(DB7&gt;=DE$16,CW7&lt;&gt;"",CV7=""),AND(EB7&gt;=EE$16,DY7&lt;&gt;""),AND(EX7&gt;=FA$16,EU7&lt;&gt;""),AND(FT7&gt;=FW$16,FQ7&lt;&gt;""),AND(GP7&gt;=GS$16,GM7&lt;&gt;""),AND(HL7&gt;=HO$16,HI7&lt;&gt;""),AND(IH7&gt;=IK$16,IE7&lt;&gt;""),AND(JD7&gt;=JG$16,JA7&lt;&gt;""),AND(JZ7&gt;=KC$16,JW7&lt;&gt;""),AND(KV7&gt;=KY$16,KS7&lt;&gt;""),AND(LR7&gt;=LU$16,LO7&lt;&gt;""),AND(MN7&gt;=MQ$16,MK7&lt;&gt;""),AND(NJ7&gt;=NM$16,NG7&lt;&gt;"")),"P","")</f>
        <v/>
      </c>
      <c r="H7" s="47" t="str">
        <f>IF(OR(AND(AP7&gt;=AW$15,AQ7&gt;=AW$19,AP7&lt;&gt;"",AN7=""),AND(AU7&gt;=AW$15,AV7&gt;=AW$19,AU7&lt;&gt;"",AN7=""),AND(BT7&gt;=CA$15,BU7&gt;=CA$19,BT7&lt;&gt;"",BR7=""),AND(BY7&gt;=CA$15,BZ7&gt;=CA$19,BY7&lt;&gt;"",BR7=""),AND(CX7&gt;=DE$15,CY7&gt;=DE$19,CX7&lt;&gt;"",CV7=""),AND(DC7&gt;=DE$15,DD7&gt;=DE$19,DC7&lt;&gt;"",CV7=""),AND(DY7&gt;=EE$15,EA7&gt;=EE$19,DY7&lt;&gt;""),AND(EC7&gt;=EE$15,ED7&gt;=EE$19,EC7&lt;&gt;""),AND(EU7&gt;=FA$15,EW7&gt;=FA$19,EU7&lt;&gt;""),AND(EY7&gt;=FA$15,EZ7&gt;=FA$19,EY7&lt;&gt;""),AND(FQ7&gt;=FW$15,FS7&gt;=FW$19,FQ7&lt;&gt;""),AND(FU7&gt;=FW$15,FV7&gt;=FW$19,FU7&lt;&gt;""),AND(GM7&gt;=GS$15,GO7&gt;=GS$19,GM7&lt;&gt;""),AND(GQ7&gt;=GS$15,GR7&gt;=GS$19,GQ7&lt;&gt;""),AND(HI7&gt;=HO$15,HK7&gt;=HO$19,HI7&lt;&gt;""),AND(HM7&gt;=HO$15,HN7&gt;=HO$19,HM7&lt;&gt;""),AND(IE7&gt;=IK$15,IG7&gt;=IK$19,IE7&lt;&gt;""),AND(II7&gt;=IK$15,IJ7&gt;=IK$19,II7&lt;&gt;""),AND(JA7&gt;=JG$15,JC7&gt;=JG$19,JA7&lt;&gt;""),AND(JE7&gt;=JG$15,JF7&gt;=JG$19,JE7&lt;&gt;""),AND(JW7&gt;=KC$15,JY7&gt;=KC$19,JW7&lt;&gt;""),AND(KA7&gt;=KC$15,KB7&gt;=KC$19,KA7&lt;&gt;""),AND(KS7&gt;=KY$15,KU7&gt;=KY$19,KS7&lt;&gt;""),AND(KW7&gt;=KY$15,KX7&gt;=KY$19,KW7&lt;&gt;""),AND(LO7&gt;=LU$15,LQ7&gt;=LU$19,LO7&lt;&gt;""),AND(LS7&gt;=LU$15,LT7&gt;=LU$19,LS7&lt;&gt;""),AND(MK7&gt;=MQ$15,MM7&gt;=MQ$19,MK7&lt;&gt;""),AND(MO7&gt;=MQ$15,MP7&gt;=MQ$19,MO7&lt;&gt;""),AND(NG7&gt;=NM$15,NI7&gt;=NM$19,NG7&lt;&gt;""),AND(NK7&gt;=NM$15,NL7&gt;=NM$19,NK7&lt;&gt;"")),"Merit",IF(OR(AND(AP7&gt;=AW$14,AT7&gt;=AW$18,AO7&lt;&gt;"",AN7=""),AND(BT7&gt;=CA$14,BX7&gt;=CA$18,BS7&lt;&gt;"",BR7=""),AND(CX7&gt;=DE$14,DB7&gt;=DE$18,CW7&lt;&gt;"",CV7=""),AND(DY7&gt;=EE$14,EB7&gt;=EE$18,DY7&lt;&gt;""),AND(EU7&gt;=FA$14,EX7&gt;=FA$18,EU7&lt;&gt;""),AND(FQ7&gt;=FW$14,FT7&gt;=FW$18,FQ7&lt;&gt;""),AND(GM7&gt;=GS$14,GP7&gt;=GS$18,GM7&lt;&gt;""),AND(HI7&gt;=HO$14,HL7&gt;=HO$18,HI7&lt;&gt;""),AND(IE7&gt;=IK$14,IH7&gt;=IK$18,IE7&lt;&gt;""),AND(JA7&gt;=JG$14,JD7&gt;=JG$18,JA7&lt;&gt;""),AND(JW7&gt;=KC$14,JZ7&gt;=KC$18,JW7&lt;&gt;""),AND(KS7&gt;=KY$14,KV7&gt;=KY$18,KS7&lt;&gt;""),AND(LO7&gt;=LU$14,LR7&gt;=LU$18,LO7&lt;&gt;""),AND(MK7&gt;=MQ$14,MN7&gt;=MQ$18,MK7&lt;&gt;""),AND(NG7&gt;=NM$14,NJ7&gt;=NM$18,NG7&lt;&gt;"")),"Excellence",IF(OR(AND(AP7&gt;=AW$12,AT7&gt;=AW$16,AO7&lt;&gt;"",AN7=""),AND(BT7&gt;=CA$12,BX7&gt;=CA$16,BS7&lt;&gt;"",BR7=""),AND(CX7&gt;=DE$12,DB7&gt;=DE$16,CW7&lt;&gt;"",CV7=""),AND(DY7&gt;=EE$12,EB7&gt;=EE$16,DY7&lt;&gt;""),AND(EU7&gt;=FA$12,EX7&gt;=FA$16,EU7&lt;&gt;""),AND(FQ7&gt;=FW$12,FT7&gt;=FW$16,FQ7&lt;&gt;""),AND(GM7&gt;=GS$12,GP7&gt;=GS$16,GM7&lt;&gt;""),AND(HI7&gt;=HO$12,HL7&gt;=HO$16,HI7&lt;&gt;""),AND(IE7&gt;=IK$12,IH7&gt;=IK$16,IE7&lt;&gt;""),AND(JA7&gt;=JG$12,JD7&gt;=JG$16,JA7&lt;&gt;""),AND(JW7&gt;=KC$12,JZ7&gt;=KC$16,JW7&lt;&gt;""),AND(KS7&gt;=KY$12,KV7&gt;=KY$16,KS7&lt;&gt;""),AND(LO7&gt;=LU$12,LR7&gt;=LU$16,LO7&lt;&gt;""),AND(MK7&gt;=MQ$12,MN7&gt;=MQ$16,MK7&lt;&gt;""),AND(NG7&gt;=NM$12,NJ7&gt;=NM$16,NG7&lt;&gt;"")),"National Team",IF(G7="P","No DD",""))))</f>
        <v/>
      </c>
      <c r="I7" s="9">
        <f>IF(MAX(AT7,BX7,DB7)&gt;0,MAX(AT7,BX7,DB7),0)</f>
        <v>87.4</v>
      </c>
      <c r="J7" s="9" t="str">
        <f>IF(I7=0,"",IF(I7=DB7,$CB$1,IF(I7=BX7,$AX$1,IF(I7=AT7,$T$1,""))))</f>
        <v>2023 3rd Domestic Trial</v>
      </c>
      <c r="K7" s="9">
        <f>IF($I7=$AT7,MAX(BS7,CW7),IF($I7=$BX7,MAX(AO7,CW7),IF($I7=$DB7,MAX(AO7,BS7),MAX(AO7,BS7,CW7))))</f>
        <v>40.17</v>
      </c>
      <c r="L7" s="9" t="str">
        <f>IF(K7=0,"",IF(AND(K7=CW7,$J7&lt;&gt;$CB$1),$CB$1,IF(AND(K7=BS7,$J7&lt;&gt;$AX$1),$AX$1,IF(AND(K7=AO7,$J7&lt;&gt;$T$1),$T$1,""))))</f>
        <v>2023 Elite Canada</v>
      </c>
      <c r="M7" s="9">
        <f>IF(I7-N(AO7)=AQ7,MAX(AS7,BU7,BW7,CY7,DA7),IF(I7-N(AO7)=AS7,MAX(AQ7,BU7,BW7,CY7,DA7),IF(I7-N(BS7)=BU7,MAX(AQ7,AS7,BW7,CY7,DA7),IF(I7-N(BS7)=BW7,MAX(AQ7,AS7,BU7,CY7,DA7),IF(I7-N(CW7)=CY7,MAX(AQ7,AS7,BU7,BW7,DA7),IF(I7-N(CW7)=DA7,MAX(AQ7,AS7,BU7,BW7,CY7),MAX(AQ7,AS7,BU7,BW7,CY7,DA7)))))))</f>
        <v>47.46</v>
      </c>
      <c r="N7" s="9" t="str">
        <f>IF(M7=0,"",IF(AND(OR(M7=DA7,M7=CY7),$J7&lt;&gt;$CB$1),$CB$1,IF(AND(OR(M7=BW7,M7=BU7),$J7&lt;&gt;$AX$1),$AX$1,IF(AND(OR(M7=AS7,M7=AQ7),$J7&lt;&gt;$T$1),$T$1,""))))</f>
        <v>2023 Nationals</v>
      </c>
      <c r="O7" s="9">
        <f>MAX(AV7,BZ7,DD7)</f>
        <v>46.35</v>
      </c>
      <c r="P7" s="9" t="str">
        <f>IF(O7=0,"",IF(O7=DD7,$CB$1,IF(O7=BZ7,$AX$1,IF(O7=AV7,$T$1,""))))</f>
        <v>2023 3rd Domestic Trial</v>
      </c>
      <c r="Q7" s="9" t="str">
        <f>IF(MAX(DF7,DG7,DH7,DI7)&gt;0,MAX(DF7,DG7,DH7,DI7),"")</f>
        <v/>
      </c>
      <c r="R7" s="14" t="str">
        <f>IF(Q7="","",IF(Q7=DF7,"(Vol 1)",IF(Q7=DG7,"(Vol 2)",IF(Q7=DH7,"(Prelim)",IF(Q7=DI7,"(Final)")))))</f>
        <v/>
      </c>
      <c r="S7" s="9" t="str">
        <f>IF(Q7="","",IF(Q7=DF7,IF(Q7+IF(K7="",0,K7)=NH7,$MR$1,IF(Q7+IF(K7="",0,K7)=ML7,$LV$1,IF(Q7+IF(K7="",0,K7)=LP7,$KZ$1,IF(Q7+IF(K7="",0,K7)=KT7,$KD$1,IF(Q7+IF(K7="",0,K7)=JX7,$JH$1,IF(Q7+IF(K7="",0,K7)=JB7,$IL$1,IF(Q7+IF(K7="",0,K7)=IF7,$HP$1,IF(Q7+IF(K7="",0,K7)=HJ7,$GT$1,IF(Q7+IF(K7="",0,K7)=GN7,$FX$1,IF(Q7+IF(K7="",0,K7)=FR7,$FB$1,IF(Q7+IF(K7="",0,K7)=EV7,$EF$1,IF(Q7+IF(K7="",0,K7)=DZ7,$DJ$1)))))))))))),IF(Q7=DG7,IF(Q7+IF(M7="",0,M7)=NI7,$MR$1,IF(Q7+IF(M7="",0,M7)=MM7,$LV$1,IF(Q7+IF(M7="",0,M7)=LQ7,$KZ$1,IF(Q7+IF(M7="",0,M7)=KU7,$KD$1,IF(Q7+IF(M7="",0,M7)=JY7,$JH$1,IF(Q7+IF(M7="",0,M7)=JC7,$IL$1,IF(Q7+IF(M7="",0,M7)=IG7,$HP$1,IF(Q7+IF(M7="",0,M7)=HK7,$GT$1,IF(Q7+IF(M7="",0,M7)=GO7,$FX$1,IF(Q7+IF(M7="",0,M7)=FS7,$FB$1,IF(Q7+IF(M7="",0,M7)=EW7,$EF$1,IF(Q7+IF(M7="",0,M7)=EA7,$DJ$1)))))))))))),IF(Q7=DH7,IF(Q7+IF(I7="",0,I7)=NJ7,$MR$1,IF(Q7+IF(I7="",0,I7)=MN7,$LV$1,IF(Q7+IF(I7="",0,I7)=LR7,$KZ$1,IF(Q7+IF(I7="",0,I7)=KV7,$KD$1,IF(Q7+IF(I7="",0,I7)=JZ7,$JH$1,IF(Q7+IF(I7="",0,I7)=JD7,$IL$1,IF(Q7+IF(I7="",0,I7)=IH7,$HP$1,IF(Q7+IF(I7="",0,I7)=HL7,$GT$1,IF(Q7+IF(I7="",0,I7)=GP7,$FX$1,IF(Q7+IF(I7="",0,I7)=FT7,$FB$1,IF(Q7+IF(I7="",0,I7)=EX7,$EF$1,IF(Q7+IF(I7="",0,I7)=EB7,$DJ$1)))))))))))),IF(Q7=DI7,IF(Q7+IF(O7="",0,O7)=NL7,$MR$1,IF(Q7+IF(O7="",0,O7)=MP7,$LV$1,IF(Q7+IF(O7="",0,O7)=LT7,$KZ$1,IF(Q7+IF(O7="",0,O7)=KX7,$KD$1,IF(Q7+IF(O7="",0,O7)=KB7,$JH$1,IF(Q7+IF(O7="",0,O7)=JF7,$IL$1,IF(Q7+IF(O7="",0,O7)=IJ7,$HP$1,IF(Q7+IF(O7="",0,O7)=HN7,$GT$1,IF(Q7+IF(O7="",0,O7)=GR7,$FX$1,IF(Q7+IF(O7="",0,O7)=FV7,$FB$1,IF(Q7+IF(O7="",0,O7)=EZ7,$EF$1,IF(Q7+IF(O7="",0,O7)=ED7,$DJ$1)))))))))))))))))</f>
        <v/>
      </c>
      <c r="T7" s="27">
        <v>16</v>
      </c>
      <c r="U7" s="27">
        <v>9.9</v>
      </c>
      <c r="V7" s="27">
        <v>0</v>
      </c>
      <c r="W7" s="27">
        <v>14.27</v>
      </c>
      <c r="X7" s="27">
        <v>0</v>
      </c>
      <c r="Y7" s="27">
        <v>1.6</v>
      </c>
      <c r="Z7" s="27">
        <v>1</v>
      </c>
      <c r="AA7" s="27">
        <v>1.5</v>
      </c>
      <c r="AB7" s="27">
        <v>1.48</v>
      </c>
      <c r="AC7" s="27">
        <v>0</v>
      </c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32"/>
      <c r="AO7" s="7">
        <f>IF(SUM(T7:W7)-X7&gt;0,SUM(T7:W7)-X7,"")</f>
        <v>40.17</v>
      </c>
      <c r="AP7" s="7">
        <f>IF(AA7&gt;0,AA7,"")</f>
        <v>1.5</v>
      </c>
      <c r="AQ7" s="7">
        <f>IF(SUM(Y7:AB7)-AC7&gt;0,SUM(Y7:AB7)-AC7,"")</f>
        <v>5.58</v>
      </c>
      <c r="AR7" s="7" t="str">
        <f>IF(AF7&gt;0,AF7,"")</f>
        <v/>
      </c>
      <c r="AS7" s="7" t="str">
        <f>IF(SUM(AD7:AG7)-AH7&gt;0,SUM(AD7:AG7)-AH7,"")</f>
        <v/>
      </c>
      <c r="AT7" s="7">
        <f>IF(AO7="",IF(MAX(AQ7,AS7)&gt;0,MAX(AQ7,AS7),""),MAX(AQ7,AS7)+AO7)</f>
        <v>45.75</v>
      </c>
      <c r="AU7" s="7" t="str">
        <f>IF(AK7&gt;0,AK7,"")</f>
        <v/>
      </c>
      <c r="AV7" s="7" t="str">
        <f>IF(SUM(AI7:AL7)-AM7&gt;0,SUM(AI7:AL7)-AM7,"")</f>
        <v/>
      </c>
      <c r="AW7" s="7">
        <f>IF(SUM(AT7,AV7)&gt;0,SUM(AT7,AV7),"")</f>
        <v>45.75</v>
      </c>
      <c r="AX7" s="31">
        <v>15.9</v>
      </c>
      <c r="AY7" s="31">
        <v>9.4</v>
      </c>
      <c r="AZ7" s="31">
        <v>0</v>
      </c>
      <c r="BA7" s="31">
        <v>14.28</v>
      </c>
      <c r="BB7" s="31">
        <v>0</v>
      </c>
      <c r="BC7" s="31">
        <v>13.6</v>
      </c>
      <c r="BD7" s="31">
        <v>9.3000000000000007</v>
      </c>
      <c r="BE7" s="31">
        <v>11</v>
      </c>
      <c r="BF7" s="31">
        <v>13.56</v>
      </c>
      <c r="BG7" s="31">
        <v>0</v>
      </c>
      <c r="BH7" s="31"/>
      <c r="BI7" s="31"/>
      <c r="BJ7" s="31"/>
      <c r="BK7" s="31"/>
      <c r="BL7" s="31"/>
      <c r="BM7" s="31">
        <v>13.1</v>
      </c>
      <c r="BN7" s="31">
        <v>9.3000000000000007</v>
      </c>
      <c r="BO7" s="31">
        <v>10.9</v>
      </c>
      <c r="BP7" s="31">
        <v>12.93</v>
      </c>
      <c r="BQ7" s="31">
        <v>0</v>
      </c>
      <c r="BR7" s="33"/>
      <c r="BS7" s="9">
        <f>IF(SUM(AX7:BA7)-BB7&gt;0,SUM(AX7:BA7)-BB7,"")</f>
        <v>39.58</v>
      </c>
      <c r="BT7" s="9">
        <f>IF(BE7&gt;0,BE7,"")</f>
        <v>11</v>
      </c>
      <c r="BU7" s="9">
        <f>IF(SUM(BC7:BF7)-BG7&gt;0,SUM(BC7:BF7)-BG7,"")</f>
        <v>47.46</v>
      </c>
      <c r="BV7" s="9" t="str">
        <f>IF(BJ7&gt;0,BJ7,"")</f>
        <v/>
      </c>
      <c r="BW7" s="9" t="str">
        <f>IF(SUM(BH7:BK7)-BL7&gt;0,SUM(BH7:BK7)-BL7,"")</f>
        <v/>
      </c>
      <c r="BX7" s="9">
        <f>IF(BS7="",IF(MAX(BU7,BW7)&gt;0,MAX(BU7,BW7),""),MAX(BU7,BW7)+BS7)</f>
        <v>87.039999999999992</v>
      </c>
      <c r="BY7" s="9">
        <f>IF(BO7&gt;0,BO7,"")</f>
        <v>10.9</v>
      </c>
      <c r="BZ7" s="9">
        <f>IF(SUM(BM7:BP7)-BQ7&gt;0,SUM(BM7:BP7)-BQ7,"")</f>
        <v>46.23</v>
      </c>
      <c r="CA7" s="9">
        <f>IF(SUM(BX7,BZ7)&gt;0,SUM(BX7,BZ7),"")</f>
        <v>133.26999999999998</v>
      </c>
      <c r="CB7" s="27">
        <v>16.5</v>
      </c>
      <c r="CC7" s="27">
        <v>9.5</v>
      </c>
      <c r="CD7" s="27">
        <v>0</v>
      </c>
      <c r="CE7" s="27">
        <v>14.1</v>
      </c>
      <c r="CF7" s="27">
        <v>0</v>
      </c>
      <c r="CG7" s="27">
        <v>13.5</v>
      </c>
      <c r="CH7" s="27">
        <v>9.1</v>
      </c>
      <c r="CI7" s="27">
        <v>10.999999999999998</v>
      </c>
      <c r="CJ7" s="27">
        <v>13.7</v>
      </c>
      <c r="CK7" s="27">
        <v>0</v>
      </c>
      <c r="CL7" s="27"/>
      <c r="CM7" s="27"/>
      <c r="CN7" s="27"/>
      <c r="CO7" s="27"/>
      <c r="CP7" s="27"/>
      <c r="CQ7" s="27">
        <v>12.8</v>
      </c>
      <c r="CR7" s="27">
        <v>9.3000000000000007</v>
      </c>
      <c r="CS7" s="27">
        <v>10.999999999999998</v>
      </c>
      <c r="CT7" s="27">
        <v>13.25</v>
      </c>
      <c r="CU7" s="27">
        <v>0</v>
      </c>
      <c r="CV7" s="32"/>
      <c r="CW7" s="7">
        <f>IF(SUM(CB7:CE7)-CF7&gt;0,SUM(CB7:CE7)-CF7,"")</f>
        <v>40.1</v>
      </c>
      <c r="CX7" s="7">
        <f>IF(CI7&gt;0,CI7,"")</f>
        <v>10.999999999999998</v>
      </c>
      <c r="CY7" s="7">
        <f>IF(SUM(CG7:CJ7)-CK7&gt;0,SUM(CG7:CJ7)-CK7,"")</f>
        <v>47.3</v>
      </c>
      <c r="CZ7" s="7" t="str">
        <f>IF(CN7&gt;0,CN7,"")</f>
        <v/>
      </c>
      <c r="DA7" s="7" t="str">
        <f>IF(SUM(CL7:CO7)-CP7&gt;0,SUM(CL7:CO7)-CP7,"")</f>
        <v/>
      </c>
      <c r="DB7" s="7">
        <f>IF(CW7="",IF(MAX(CY7,DA7)&gt;0,MAX(CY7,DA7),""),MAX(CY7,DA7)+CW7)</f>
        <v>87.4</v>
      </c>
      <c r="DC7" s="7">
        <f>IF(CS7&gt;0,CS7,"")</f>
        <v>10.999999999999998</v>
      </c>
      <c r="DD7" s="7">
        <f>IF(SUM(CQ7:CT7)-CU7&gt;0,SUM(CQ7:CT7)-CU7,"")</f>
        <v>46.35</v>
      </c>
      <c r="DE7" s="7">
        <f>IF(SUM(DB7,DD7)&gt;0,SUM(DB7,DD7),"")</f>
        <v>133.75</v>
      </c>
      <c r="DF7" s="13" t="str">
        <f>IF(MAX(DZ7,EV7,FR7,GN7,HJ7,IF7,JB7,JX7,KT7,LP7,ML7,NH7)-IF(K7="",0,K7)&gt;0.001,MAX(DZ7,EV7,FR7,GN7,HJ7,IF7,JB7,JX7,KT7,LP7,ML7,NH7)-IF(K7="",0,K7),"")</f>
        <v/>
      </c>
      <c r="DG7" s="13" t="str">
        <f>IF(MAX(EA7,EW7,FS7,GO7,HK7,IG7,JC7,JY7,KU7,LQ7,MM7,NI7)-IF(M7="",0,M7)&gt;0.001,MAX(EA7,EW7,FS7,GO7,HK7,IG7,JC7,JY7,KU7,LQ7,MM7,NI7)-IF(M7="",0,M7),"")</f>
        <v/>
      </c>
      <c r="DH7" s="13" t="str">
        <f>IF(MAX(EB7,EX7,FT7,GP7,HL7,IH7,JD7,JZ7,KV7,LR7,MN7,NJ7)-IF(I7="",0,I7)&gt;0.001,MAX(EB7,EX7,FT7,GP7,HL7,IH7,JD7,JZ7,KV7,LR7,MN7,NJ7)-IF(I7="",0,I7),"")</f>
        <v/>
      </c>
      <c r="DI7" s="13" t="str">
        <f>IF(MAX(ED7,EZ7,FV7,GR7,HN7,IJ7,JF7,KB7,KX7,LT7,MP7,NL7)-IF(O7="",0,O7)&gt;0.001,MAX(ED7,EZ7,FV7,GR7,HN7,IJ7,JF7,KB7,KX7,LT7,MP7,NL7)-IF(O7="",0,O7),"")</f>
        <v/>
      </c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7" t="str">
        <f>IF(DQ7&gt;0,DQ7,"")</f>
        <v/>
      </c>
      <c r="DZ7" s="7" t="str">
        <f>IF(SUM(DJ7:DM7)-DN7&gt;0,SUM(DJ7:DM7)-DN7,"")</f>
        <v/>
      </c>
      <c r="EA7" s="7" t="str">
        <f>IF(SUM(DO7:DR7)-DS7&gt;0,SUM(DO7:DR7)-DS7,"")</f>
        <v/>
      </c>
      <c r="EB7" s="7" t="str">
        <f>IF(SUM(DZ7:EA7)&gt;0,SUM(DZ7:EA7),"")</f>
        <v/>
      </c>
      <c r="EC7" s="7" t="str">
        <f>IF(DV7&gt;0,DV7,"")</f>
        <v/>
      </c>
      <c r="ED7" s="7" t="str">
        <f>IF(SUM(DT7:DW7)-DX7&gt;0,SUM(DT7:DW7)-DX7,"")</f>
        <v/>
      </c>
      <c r="EE7" s="7" t="str">
        <f>IF(SUM(EB7,ED7)&gt;0,SUM(EB7,ED7),"")</f>
        <v/>
      </c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9" t="str">
        <f>IF(EM7&gt;0,EM7,"")</f>
        <v/>
      </c>
      <c r="EV7" s="9" t="str">
        <f>IF(SUM(EF7:EI7)-EJ7&gt;0,SUM(EF7:EI7)-EJ7,"")</f>
        <v/>
      </c>
      <c r="EW7" s="9" t="str">
        <f>IF(SUM(EK7:EN7)-EO7&gt;0,SUM(EK7:EN7)-EO7,"")</f>
        <v/>
      </c>
      <c r="EX7" s="9" t="str">
        <f>IF(SUM(EV7:EW7)&gt;0,SUM(EV7:EW7),"")</f>
        <v/>
      </c>
      <c r="EY7" s="9" t="str">
        <f>IF(ER7&gt;0,ER7,"")</f>
        <v/>
      </c>
      <c r="EZ7" s="9" t="str">
        <f>IF(SUM(EP7:ES7)-ET7&gt;0,SUM(EP7:ES7)-ET7,"")</f>
        <v/>
      </c>
      <c r="FA7" s="9" t="str">
        <f>IF(SUM(EX7,EZ7)&gt;0,SUM(EX7,EZ7),"")</f>
        <v/>
      </c>
      <c r="FB7" s="18">
        <v>14.7</v>
      </c>
      <c r="FC7" s="18">
        <v>9.5</v>
      </c>
      <c r="FD7" s="18">
        <v>0</v>
      </c>
      <c r="FE7" s="18">
        <v>14.59</v>
      </c>
      <c r="FF7" s="18">
        <v>0</v>
      </c>
      <c r="FG7" s="18">
        <v>12.8</v>
      </c>
      <c r="FH7" s="18">
        <v>9.3000000000000007</v>
      </c>
      <c r="FI7" s="18">
        <v>9.6999999999999993</v>
      </c>
      <c r="FJ7" s="18">
        <v>13.72</v>
      </c>
      <c r="FK7" s="18">
        <v>0</v>
      </c>
      <c r="FL7" s="18"/>
      <c r="FM7" s="18"/>
      <c r="FN7" s="18"/>
      <c r="FO7" s="18"/>
      <c r="FP7" s="18"/>
      <c r="FQ7" s="7">
        <f>IF(FI7&gt;0,FI7,"")</f>
        <v>9.6999999999999993</v>
      </c>
      <c r="FR7" s="7">
        <f>IF(SUM(FB7:FE7)-FF7&gt;0,SUM(FB7:FE7)-FF7,"")</f>
        <v>38.79</v>
      </c>
      <c r="FS7" s="7">
        <f>IF(SUM(FG7:FJ7)-FK7&gt;0,SUM(FG7:FJ7)-FK7,"")</f>
        <v>45.52</v>
      </c>
      <c r="FT7" s="7">
        <f>IF(SUM(FR7:FS7)&gt;0,SUM(FR7:FS7),"")</f>
        <v>84.31</v>
      </c>
      <c r="FU7" s="7" t="str">
        <f>IF(FN7&gt;0,FN7,"")</f>
        <v/>
      </c>
      <c r="FV7" s="7" t="str">
        <f>IF(SUM(FL7:FO7)-FP7&gt;0,SUM(FL7:FO7)-FP7,"")</f>
        <v/>
      </c>
      <c r="FW7" s="7">
        <f>IF(SUM(FT7,FV7)&gt;0,SUM(FT7,FV7),"")</f>
        <v>84.31</v>
      </c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9" t="str">
        <f>IF(GE7&gt;0,GE7,"")</f>
        <v/>
      </c>
      <c r="GN7" s="9" t="str">
        <f>IF(SUM(FX7:GA7)-GB7&gt;0,SUM(FX7:GA7)-GB7,"")</f>
        <v/>
      </c>
      <c r="GO7" s="9" t="str">
        <f>IF(SUM(GC7:GF7)-GG7&gt;0,SUM(GC7:GF7)-GG7,"")</f>
        <v/>
      </c>
      <c r="GP7" s="9" t="str">
        <f>IF(SUM(GN7:GO7)&gt;0,SUM(GN7:GO7),"")</f>
        <v/>
      </c>
      <c r="GQ7" s="9" t="str">
        <f>IF(GJ7&gt;0,GJ7,"")</f>
        <v/>
      </c>
      <c r="GR7" s="9" t="str">
        <f>IF(SUM(GH7:GK7)-GL7&gt;0,SUM(GH7:GK7)-GL7,"")</f>
        <v/>
      </c>
      <c r="GS7" s="9" t="str">
        <f>IF(SUM(GP7,GR7)&gt;0,SUM(GP7,GR7),"")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7" t="str">
        <f>IF(HA7&gt;0,HA7,"")</f>
        <v/>
      </c>
      <c r="HJ7" s="7" t="str">
        <f>IF(SUM(GT7:GW7)-GX7&gt;0,SUM(GT7:GW7)-GX7,"")</f>
        <v/>
      </c>
      <c r="HK7" s="7" t="str">
        <f>IF(SUM(GY7:HB7)-HC7&gt;0,SUM(GY7:HB7)-HC7,"")</f>
        <v/>
      </c>
      <c r="HL7" s="7" t="str">
        <f>IF(SUM(HJ7:HK7)&gt;0,SUM(HJ7:HK7),"")</f>
        <v/>
      </c>
      <c r="HM7" s="7" t="str">
        <f>IF(HF7&gt;0,HF7,"")</f>
        <v/>
      </c>
      <c r="HN7" s="7" t="str">
        <f>IF(SUM(HD7:HG7)-HH7&gt;0,SUM(HD7:HG7)-HH7,"")</f>
        <v/>
      </c>
      <c r="HO7" s="7" t="str">
        <f>IF(SUM(HL7,HN7)&gt;0,SUM(HL7,HN7),"")</f>
        <v/>
      </c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9" t="str">
        <f>IF(HW7&gt;0,HW7,"")</f>
        <v/>
      </c>
      <c r="IF7" s="9" t="str">
        <f>IF(SUM(HP7:HS7)-HT7&gt;0,SUM(HP7:HS7)-HT7,"")</f>
        <v/>
      </c>
      <c r="IG7" s="9" t="str">
        <f>IF(SUM(HU7:HX7)-HY7&gt;0,SUM(HU7:HX7)-HY7,"")</f>
        <v/>
      </c>
      <c r="IH7" s="9" t="str">
        <f>IF(SUM(IF7:IG7)&gt;0,SUM(IF7:IG7),"")</f>
        <v/>
      </c>
      <c r="II7" s="9" t="str">
        <f>IF(IB7&gt;0,IB7,"")</f>
        <v/>
      </c>
      <c r="IJ7" s="9" t="str">
        <f>IF(SUM(HZ7:IC7)-ID7&gt;0,SUM(HZ7:IC7)-ID7,"")</f>
        <v/>
      </c>
      <c r="IK7" s="9" t="str">
        <f>IF(SUM(IH7,IJ7)&gt;0,SUM(IH7,IJ7),"")</f>
        <v/>
      </c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7" t="str">
        <f>IF(IS7&gt;0,IS7,"")</f>
        <v/>
      </c>
      <c r="JB7" s="7" t="str">
        <f>IF(SUM(IL7:IO7)-IP7&gt;0,SUM(IL7:IO7)-IP7,"")</f>
        <v/>
      </c>
      <c r="JC7" s="7" t="str">
        <f>IF(SUM(IQ7:IT7)-IU7&gt;0,SUM(IQ7:IT7)-IU7,"")</f>
        <v/>
      </c>
      <c r="JD7" s="7" t="str">
        <f>IF(SUM(JB7:JC7)&gt;0,SUM(JB7:JC7),"")</f>
        <v/>
      </c>
      <c r="JE7" s="7" t="str">
        <f>IF(IX7&gt;0,IX7,"")</f>
        <v/>
      </c>
      <c r="JF7" s="7" t="str">
        <f>IF(SUM(IV7:IY7)-IZ7&gt;0,SUM(IV7:IY7)-IZ7,"")</f>
        <v/>
      </c>
      <c r="JG7" s="7" t="str">
        <f>IF(SUM(JD7,JF7)&gt;0,SUM(JD7,JF7),"")</f>
        <v/>
      </c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9" t="str">
        <f>IF(JO7&gt;0,JO7,"")</f>
        <v/>
      </c>
      <c r="JX7" s="9" t="str">
        <f>IF(SUM(JH7:JK7)-JL7&gt;0,SUM(JH7:JK7)-JL7,"")</f>
        <v/>
      </c>
      <c r="JY7" s="9" t="str">
        <f>IF(SUM(JM7:JP7)-JQ7&gt;0,SUM(JM7:JP7)-JQ7,"")</f>
        <v/>
      </c>
      <c r="JZ7" s="9" t="str">
        <f>IF(SUM(JX7:JY7)&gt;0,SUM(JX7:JY7),"")</f>
        <v/>
      </c>
      <c r="KA7" s="9" t="str">
        <f>IF(JT7&gt;0,JT7,"")</f>
        <v/>
      </c>
      <c r="KB7" s="9" t="str">
        <f>IF(SUM(JR7:JU7)-JV7&gt;0,SUM(JR7:JU7)-JV7,"")</f>
        <v/>
      </c>
      <c r="KC7" s="9" t="str">
        <f>IF(SUM(JZ7,KB7)&gt;0,SUM(JZ7,KB7),"")</f>
        <v/>
      </c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7" t="str">
        <f>IF(KK7&gt;0,KK7,"")</f>
        <v/>
      </c>
      <c r="KT7" s="7" t="str">
        <f>IF(SUM(KD7:KG7)-KH7&gt;0,SUM(KD7:KG7)-KH7,"")</f>
        <v/>
      </c>
      <c r="KU7" s="7" t="str">
        <f>IF(SUM(KI7:KL7)-KM7&gt;0,SUM(KI7:KL7)-KM7,"")</f>
        <v/>
      </c>
      <c r="KV7" s="7" t="str">
        <f>IF(SUM(KT7:KU7)&gt;0,SUM(KT7:KU7),"")</f>
        <v/>
      </c>
      <c r="KW7" s="7" t="str">
        <f>IF(KP7&gt;0,KP7,"")</f>
        <v/>
      </c>
      <c r="KX7" s="7" t="str">
        <f>IF(SUM(KN7:KQ7)-KR7&gt;0,SUM(KN7:KQ7)-KR7,"")</f>
        <v/>
      </c>
      <c r="KY7" s="7" t="str">
        <f>IF(SUM(KV7,KX7)&gt;0,SUM(KV7,KX7),"")</f>
        <v/>
      </c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9" t="str">
        <f>IF(LG7&gt;0,LG7,"")</f>
        <v/>
      </c>
      <c r="LP7" s="9" t="str">
        <f>IF(SUM(KZ7:LC7)-LD7&gt;0,SUM(KZ7:LC7)-LD7,"")</f>
        <v/>
      </c>
      <c r="LQ7" s="9" t="str">
        <f>IF(SUM(LE7:LH7)-LI7&gt;0,SUM(LE7:LH7)-LI7,"")</f>
        <v/>
      </c>
      <c r="LR7" s="9" t="str">
        <f>IF(SUM(LP7:LQ7)&gt;0,SUM(LP7:LQ7),"")</f>
        <v/>
      </c>
      <c r="LS7" s="9" t="str">
        <f>IF(LL7&gt;0,LL7,"")</f>
        <v/>
      </c>
      <c r="LT7" s="9" t="str">
        <f>IF(SUM(LJ7:LM7)-LN7&gt;0,SUM(LJ7:LM7)-LN7,"")</f>
        <v/>
      </c>
      <c r="LU7" s="9" t="str">
        <f>IF(SUM(LR7,LT7)&gt;0,SUM(LR7,LT7),"")</f>
        <v/>
      </c>
      <c r="LV7" s="18"/>
      <c r="LW7" s="18"/>
      <c r="LX7" s="18"/>
      <c r="LY7" s="18"/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7" t="str">
        <f>IF(MC7&gt;0,MC7,"")</f>
        <v/>
      </c>
      <c r="ML7" s="7" t="str">
        <f>IF(SUM(LV7:LY7)-LZ7&gt;0,SUM(LV7:LY7)-LZ7,"")</f>
        <v/>
      </c>
      <c r="MM7" s="7" t="str">
        <f>IF(SUM(MA7:MD7)-ME7&gt;0,SUM(MA7:MD7)-ME7,"")</f>
        <v/>
      </c>
      <c r="MN7" s="7" t="str">
        <f>IF(SUM(ML7:MM7)&gt;0,SUM(ML7:MM7),"")</f>
        <v/>
      </c>
      <c r="MO7" s="7" t="str">
        <f>IF(MH7&gt;0,MH7,"")</f>
        <v/>
      </c>
      <c r="MP7" s="7" t="str">
        <f>IF(SUM(MF7:MI7)-MJ7&gt;0,SUM(MF7:MI7)-MJ7,"")</f>
        <v/>
      </c>
      <c r="MQ7" s="7" t="str">
        <f>IF(SUM(MN7,MP7)&gt;0,SUM(MN7,MP7),"")</f>
        <v/>
      </c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  <c r="ND7" s="19"/>
      <c r="NE7" s="19"/>
      <c r="NF7" s="19"/>
      <c r="NG7" s="9" t="str">
        <f>IF(MY7&gt;0,MY7,"")</f>
        <v/>
      </c>
      <c r="NH7" s="9" t="str">
        <f>IF(SUM(MR7:MU7)-MV7&gt;0,SUM(MR7:MU7)-MV7,"")</f>
        <v/>
      </c>
      <c r="NI7" s="9" t="str">
        <f>IF(SUM(MW7:MZ7)-NA7&gt;0,SUM(MW7:MZ7)-NA7,"")</f>
        <v/>
      </c>
      <c r="NJ7" s="9" t="str">
        <f>IF(SUM(NH7:NI7)&gt;0,SUM(NH7:NI7),"")</f>
        <v/>
      </c>
      <c r="NK7" s="9" t="str">
        <f>IF(ND7&gt;0,ND7,"")</f>
        <v/>
      </c>
      <c r="NL7" s="9" t="str">
        <f>IF(SUM(NB7:NE7)-NF7&gt;0,SUM(NB7:NE7)-NF7,"")</f>
        <v/>
      </c>
      <c r="NM7" s="9" t="str">
        <f>IF(SUM(NJ7,NL7)&gt;0,SUM(NJ7,NL7),"")</f>
        <v/>
      </c>
      <c r="NN7" s="27">
        <f>IF($CV7="P",CB7,(CB7+AX7)/2)</f>
        <v>16.2</v>
      </c>
      <c r="NO7" s="27">
        <f>IF($CV7="P",CC7,(CC7+AY7)/2)</f>
        <v>9.4499999999999993</v>
      </c>
      <c r="NP7" s="27">
        <f>IF($CV7="P",CD7,(CD7+AZ7)/2)</f>
        <v>0</v>
      </c>
      <c r="NQ7" s="27">
        <f>IF($CV7="P",CE7,(CE7+BA7)/2)</f>
        <v>14.19</v>
      </c>
      <c r="NR7" s="27">
        <f>IF($CV7="P",CF7,(CF7+BB7)/2)</f>
        <v>0</v>
      </c>
      <c r="NS7" s="27">
        <f>IF($CV7="P",CG7,(CG7+BC7)/2)</f>
        <v>13.55</v>
      </c>
      <c r="NT7" s="27">
        <f>IF($CV7="P",CH7,(CH7+BD7)/2)</f>
        <v>9.1999999999999993</v>
      </c>
      <c r="NU7" s="27">
        <f>IF($CV7="P",CI7,(CI7+BE7)/2)</f>
        <v>11</v>
      </c>
      <c r="NV7" s="27">
        <f>IF($CV7="P",CJ7,(CJ7+BF7)/2)</f>
        <v>13.629999999999999</v>
      </c>
      <c r="NW7" s="27">
        <f>IF($CV7="P",CK7,(CK7+BG7)/2)</f>
        <v>0</v>
      </c>
      <c r="NX7" s="27">
        <f>IF($CV7="P",CL7,(CL7+BH7)/2)</f>
        <v>0</v>
      </c>
      <c r="NY7" s="27">
        <f>IF($CV7="P",CM7,(CM7+BI7)/2)</f>
        <v>0</v>
      </c>
      <c r="NZ7" s="27">
        <f>IF($CV7="P",CN7,(CN7+BJ7)/2)</f>
        <v>0</v>
      </c>
      <c r="OA7" s="27">
        <f>IF($CV7="P",CO7,(CO7+BK7)/2)</f>
        <v>0</v>
      </c>
      <c r="OB7" s="27">
        <f>IF($CV7="P",CP7,(CP7+BL7)/2)</f>
        <v>0</v>
      </c>
      <c r="OC7" s="27">
        <f>IF($CV7="P",CQ7,(CQ7+BM7)/2)</f>
        <v>12.95</v>
      </c>
      <c r="OD7" s="27">
        <f>IF($CV7="P",CR7,(CR7+BN7)/2)</f>
        <v>9.3000000000000007</v>
      </c>
      <c r="OE7" s="27">
        <f>IF($CV7="P",CS7,(CS7+BO7)/2)</f>
        <v>10.95</v>
      </c>
      <c r="OF7" s="27">
        <f>IF($CV7="P",CT7,(CT7+BP7)/2)</f>
        <v>13.09</v>
      </c>
      <c r="OG7" s="27">
        <f>IF($CV7="P",CU7,(CU7+BQ7)/2)</f>
        <v>0</v>
      </c>
      <c r="OH7" s="32" t="s">
        <v>44</v>
      </c>
      <c r="OI7" s="7">
        <f>IF(SUM(NN7:NQ7)-NR7&gt;0,SUM(NN7:NQ7)-NR7,"")</f>
        <v>39.839999999999996</v>
      </c>
      <c r="OJ7" s="7">
        <f>IF(NU7&gt;0,NU7,"")</f>
        <v>11</v>
      </c>
      <c r="OK7" s="7">
        <f>IF(SUM(NS7:NV7)-NW7&gt;0,SUM(NS7:NV7)-NW7,"")</f>
        <v>47.379999999999995</v>
      </c>
      <c r="OL7" s="7" t="str">
        <f>IF(NZ7&gt;0,NZ7,"")</f>
        <v/>
      </c>
      <c r="OM7" s="7" t="str">
        <f>IF(SUM(NX7:OA7)-OB7&gt;0,SUM(NX7:OA7)-OB7,"")</f>
        <v/>
      </c>
      <c r="ON7" s="7">
        <f>IF(OR(OI7&lt;&gt;"",OK7&lt;&gt;"",OM7&lt;&gt;""),OI7+MAX(OK7,OM7),"")</f>
        <v>87.22</v>
      </c>
      <c r="OO7" s="7">
        <f>IF(OE7&gt;0,OE7,"")</f>
        <v>10.95</v>
      </c>
      <c r="OP7" s="7">
        <f t="shared" ref="OP7" si="6">IF(SUM(OC7:OF7)-OG7&gt;0,SUM(OC7:OF7)-OG7,"")</f>
        <v>46.290000000000006</v>
      </c>
      <c r="OQ7" s="7">
        <f t="shared" ref="OQ7" si="7">IF(SUM(ON7,OP7)&gt;0,SUM(ON7,OP7),"")</f>
        <v>133.51</v>
      </c>
    </row>
    <row r="8" spans="1:407" x14ac:dyDescent="0.2">
      <c r="A8" s="4" t="str" cm="1">
        <f t="array" ref="A8">IF(AND(H8&lt;&gt;"",H8&lt;&gt;"No DD"),SUMPRODUCT((H$4:H$10&lt;&gt;"")*(H$4:H$10&lt;&gt;"No DD")*(E$4:E$10&gt;E8))+1,IF(H8="No DD",SUMPRODUCT((H$4:H$10="No DD")*(E$4:E$10&gt;E8))+1+SUMPRODUCT((H$4:H$10&lt;&gt;"")*(H$4:H$10&lt;&gt;"No DD")),""))</f>
        <v/>
      </c>
      <c r="B8" s="5" t="s">
        <v>90</v>
      </c>
      <c r="C8" s="4" t="s">
        <v>66</v>
      </c>
      <c r="D8" s="4">
        <v>2008</v>
      </c>
      <c r="E8" s="10">
        <f>SUM(I8:Q8)</f>
        <v>205.64</v>
      </c>
      <c r="F8" s="3" t="str">
        <f>IF(OR(AND(AP8&gt;=AW$12,AT8&gt;=AW$16,AO8&lt;&gt;"",AN8=""),AND(BT8&gt;=CA$12,BX8&gt;=CA$16,BS8&lt;&gt;"",BR8=""),AND(CX8&gt;=DE$12,DB8&gt;=DE$16,CW8&lt;&gt;"",CV8=""),AND(DY8&gt;=EE$12,EB8&gt;=EE$16,DY8&lt;&gt;""),AND(EU8&gt;=FA$12,EX8&gt;=FA$16,EU8&lt;&gt;""),AND(FQ8&gt;=FW$12,FT8&gt;=FW$16,FQ8&lt;&gt;""),AND(GM8&gt;=GS$12,GP8&gt;=GS$16,GM8&lt;&gt;""),AND(HI8&gt;=HO$12,HL8&gt;=HO$16,HI8&lt;&gt;""),AND(IE8&gt;=IK$12,IH8&gt;=IK$16,IE8&lt;&gt;""),AND(JA8&gt;=JG$12,JD8&gt;=JG$16,JA8&lt;&gt;""),AND(JW8&gt;=KC$12,JZ8&gt;=KC$16,JW8&lt;&gt;""),AND(KS8&gt;=KY$12,KV8&gt;=KY$16,KS8&lt;&gt;""),AND(LO8&gt;=LU$12,LR8&gt;=LU$16,LO8&lt;&gt;""),AND(MK8&gt;=MQ$12,MN8&gt;=MQ$16,MK8&lt;&gt;""),AND(NG8&gt;=NM$12,NJ8&gt;=NM$16,NG8&lt;&gt;"")),"P","")</f>
        <v/>
      </c>
      <c r="G8" s="3" t="str">
        <f>IF(OR(AND(AT8&gt;=AW$16,AO8&lt;&gt;"",AN8=""),AND(BX8&gt;=CA$16,BS8&lt;&gt;"",BR8=""),AND(DB8&gt;=DE$16,CW8&lt;&gt;"",CV8=""),AND(EB8&gt;=EE$16,DY8&lt;&gt;""),AND(EX8&gt;=FA$16,EU8&lt;&gt;""),AND(FT8&gt;=FW$16,FQ8&lt;&gt;""),AND(GP8&gt;=GS$16,GM8&lt;&gt;""),AND(HL8&gt;=HO$16,HI8&lt;&gt;""),AND(IH8&gt;=IK$16,IE8&lt;&gt;""),AND(JD8&gt;=JG$16,JA8&lt;&gt;""),AND(JZ8&gt;=KC$16,JW8&lt;&gt;""),AND(KV8&gt;=KY$16,KS8&lt;&gt;""),AND(LR8&gt;=LU$16,LO8&lt;&gt;""),AND(MN8&gt;=MQ$16,MK8&lt;&gt;""),AND(NJ8&gt;=NM$16,NG8&lt;&gt;"")),"P","")</f>
        <v/>
      </c>
      <c r="H8" s="47" t="str">
        <f>IF(OR(AND(AP8&gt;=AW$15,AQ8&gt;=AW$19,AP8&lt;&gt;"",AN8=""),AND(AU8&gt;=AW$15,AV8&gt;=AW$19,AU8&lt;&gt;"",AN8=""),AND(BT8&gt;=CA$15,BU8&gt;=CA$19,BT8&lt;&gt;"",BR8=""),AND(BY8&gt;=CA$15,BZ8&gt;=CA$19,BY8&lt;&gt;"",BR8=""),AND(CX8&gt;=DE$15,CY8&gt;=DE$19,CX8&lt;&gt;"",CV8=""),AND(DC8&gt;=DE$15,DD8&gt;=DE$19,DC8&lt;&gt;"",CV8=""),AND(DY8&gt;=EE$15,EA8&gt;=EE$19,DY8&lt;&gt;""),AND(EC8&gt;=EE$15,ED8&gt;=EE$19,EC8&lt;&gt;""),AND(EU8&gt;=FA$15,EW8&gt;=FA$19,EU8&lt;&gt;""),AND(EY8&gt;=FA$15,EZ8&gt;=FA$19,EY8&lt;&gt;""),AND(FQ8&gt;=FW$15,FS8&gt;=FW$19,FQ8&lt;&gt;""),AND(FU8&gt;=FW$15,FV8&gt;=FW$19,FU8&lt;&gt;""),AND(GM8&gt;=GS$15,GO8&gt;=GS$19,GM8&lt;&gt;""),AND(GQ8&gt;=GS$15,GR8&gt;=GS$19,GQ8&lt;&gt;""),AND(HI8&gt;=HO$15,HK8&gt;=HO$19,HI8&lt;&gt;""),AND(HM8&gt;=HO$15,HN8&gt;=HO$19,HM8&lt;&gt;""),AND(IE8&gt;=IK$15,IG8&gt;=IK$19,IE8&lt;&gt;""),AND(II8&gt;=IK$15,IJ8&gt;=IK$19,II8&lt;&gt;""),AND(JA8&gt;=JG$15,JC8&gt;=JG$19,JA8&lt;&gt;""),AND(JE8&gt;=JG$15,JF8&gt;=JG$19,JE8&lt;&gt;""),AND(JW8&gt;=KC$15,JY8&gt;=KC$19,JW8&lt;&gt;""),AND(KA8&gt;=KC$15,KB8&gt;=KC$19,KA8&lt;&gt;""),AND(KS8&gt;=KY$15,KU8&gt;=KY$19,KS8&lt;&gt;""),AND(KW8&gt;=KY$15,KX8&gt;=KY$19,KW8&lt;&gt;""),AND(LO8&gt;=LU$15,LQ8&gt;=LU$19,LO8&lt;&gt;""),AND(LS8&gt;=LU$15,LT8&gt;=LU$19,LS8&lt;&gt;""),AND(MK8&gt;=MQ$15,MM8&gt;=MQ$19,MK8&lt;&gt;""),AND(MO8&gt;=MQ$15,MP8&gt;=MQ$19,MO8&lt;&gt;""),AND(NG8&gt;=NM$15,NI8&gt;=NM$19,NG8&lt;&gt;""),AND(NK8&gt;=NM$15,NL8&gt;=NM$19,NK8&lt;&gt;"")),"Merit",IF(OR(AND(AP8&gt;=AW$14,AT8&gt;=AW$18,AO8&lt;&gt;"",AN8=""),AND(BT8&gt;=CA$14,BX8&gt;=CA$18,BS8&lt;&gt;"",BR8=""),AND(CX8&gt;=DE$14,DB8&gt;=DE$18,CW8&lt;&gt;"",CV8=""),AND(DY8&gt;=EE$14,EB8&gt;=EE$18,DY8&lt;&gt;""),AND(EU8&gt;=FA$14,EX8&gt;=FA$18,EU8&lt;&gt;""),AND(FQ8&gt;=FW$14,FT8&gt;=FW$18,FQ8&lt;&gt;""),AND(GM8&gt;=GS$14,GP8&gt;=GS$18,GM8&lt;&gt;""),AND(HI8&gt;=HO$14,HL8&gt;=HO$18,HI8&lt;&gt;""),AND(IE8&gt;=IK$14,IH8&gt;=IK$18,IE8&lt;&gt;""),AND(JA8&gt;=JG$14,JD8&gt;=JG$18,JA8&lt;&gt;""),AND(JW8&gt;=KC$14,JZ8&gt;=KC$18,JW8&lt;&gt;""),AND(KS8&gt;=KY$14,KV8&gt;=KY$18,KS8&lt;&gt;""),AND(LO8&gt;=LU$14,LR8&gt;=LU$18,LO8&lt;&gt;""),AND(MK8&gt;=MQ$14,MN8&gt;=MQ$18,MK8&lt;&gt;""),AND(NG8&gt;=NM$14,NJ8&gt;=NM$18,NG8&lt;&gt;"")),"Excellence",IF(OR(AND(AP8&gt;=AW$12,AT8&gt;=AW$16,AO8&lt;&gt;"",AN8=""),AND(BT8&gt;=CA$12,BX8&gt;=CA$16,BS8&lt;&gt;"",BR8=""),AND(CX8&gt;=DE$12,DB8&gt;=DE$16,CW8&lt;&gt;"",CV8=""),AND(DY8&gt;=EE$12,EB8&gt;=EE$16,DY8&lt;&gt;""),AND(EU8&gt;=FA$12,EX8&gt;=FA$16,EU8&lt;&gt;""),AND(FQ8&gt;=FW$12,FT8&gt;=FW$16,FQ8&lt;&gt;""),AND(GM8&gt;=GS$12,GP8&gt;=GS$16,GM8&lt;&gt;""),AND(HI8&gt;=HO$12,HL8&gt;=HO$16,HI8&lt;&gt;""),AND(IE8&gt;=IK$12,IH8&gt;=IK$16,IE8&lt;&gt;""),AND(JA8&gt;=JG$12,JD8&gt;=JG$16,JA8&lt;&gt;""),AND(JW8&gt;=KC$12,JZ8&gt;=KC$16,JW8&lt;&gt;""),AND(KS8&gt;=KY$12,KV8&gt;=KY$16,KS8&lt;&gt;""),AND(LO8&gt;=LU$12,LR8&gt;=LU$16,LO8&lt;&gt;""),AND(MK8&gt;=MQ$12,MN8&gt;=MQ$16,MK8&lt;&gt;""),AND(NG8&gt;=NM$12,NJ8&gt;=NM$16,NG8&lt;&gt;"")),"National Team",IF(G8="P","No DD",""))))</f>
        <v/>
      </c>
      <c r="I8" s="9">
        <f>IF(MAX(AT8,BX8,DB8)&gt;0,MAX(AT8,BX8,DB8),0)</f>
        <v>80.010000000000005</v>
      </c>
      <c r="J8" s="9" t="str">
        <f>IF(I8=0,"",IF(I8=DB8,$CB$1,IF(I8=BX8,$AX$1,IF(I8=AT8,$T$1,""))))</f>
        <v>2023 Nationals</v>
      </c>
      <c r="K8" s="9">
        <f>IF($I8=$AT8,MAX(BS8,CW8),IF($I8=$BX8,MAX(AO8,CW8),IF($I8=$DB8,MAX(AO8,BS8),MAX(AO8,BS8,CW8))))</f>
        <v>38.69</v>
      </c>
      <c r="L8" s="9" t="str">
        <f>IF(K8=0,"",IF(AND(K8=CW8,$J8&lt;&gt;$CB$1),$CB$1,IF(AND(K8=BS8,$J8&lt;&gt;$AX$1),$AX$1,IF(AND(K8=AO8,$J8&lt;&gt;$T$1),$T$1,""))))</f>
        <v>2023 Elite Canada</v>
      </c>
      <c r="M8" s="9">
        <f>IF(I8-N(AO8)=AQ8,MAX(AS8,BU8,BW8,CY8,DA8),IF(I8-N(AO8)=AS8,MAX(AQ8,BU8,BW8,CY8,DA8),IF(I8-N(BS8)=BU8,MAX(AQ8,AS8,BW8,CY8,DA8),IF(I8-N(BS8)=BW8,MAX(AQ8,AS8,BU8,CY8,DA8),IF(I8-N(CW8)=CY8,MAX(AQ8,AS8,BU8,BW8,DA8),IF(I8-N(CW8)=DA8,MAX(AQ8,AS8,BU8,BW8,CY8),MAX(AQ8,AS8,BU8,BW8,CY8,DA8)))))))</f>
        <v>18.71</v>
      </c>
      <c r="N8" s="9" t="str">
        <f>IF(M8=0,"",IF(AND(OR(M8=DA8,M8=CY8),$J8&lt;&gt;$CB$1),$CB$1,IF(AND(OR(M8=BW8,M8=BU8),$J8&lt;&gt;$AX$1),$AX$1,IF(AND(OR(M8=AS8,M8=AQ8),$J8&lt;&gt;$T$1),$T$1,""))))</f>
        <v>2023 3rd Domestic Trial</v>
      </c>
      <c r="O8" s="9">
        <f>MAX(AV8,BZ8,DD8)</f>
        <v>45.879999999999995</v>
      </c>
      <c r="P8" s="9" t="str">
        <f>IF(O8=0,"",IF(O8=DD8,$CB$1,IF(O8=BZ8,$AX$1,IF(O8=AV8,$T$1,""))))</f>
        <v>2023 3rd Domestic Trial</v>
      </c>
      <c r="Q8" s="9">
        <f>IF(MAX(DF8,DG8,DH8,DI8)&gt;0,MAX(DF8,DG8,DH8,DI8),"")</f>
        <v>22.35</v>
      </c>
      <c r="R8" s="14" t="str">
        <f>IF(Q8="","",IF(Q8=DF8,"(Vol 1)",IF(Q8=DG8,"(Vol 2)",IF(Q8=DH8,"(Prelim)",IF(Q8=DI8,"(Final)")))))</f>
        <v>(Vol 2)</v>
      </c>
      <c r="S8" s="9" t="str">
        <f>IF(Q8="","",IF(Q8=DF8,IF(Q8+IF(K8="",0,K8)=NH8,$MR$1,IF(Q8+IF(K8="",0,K8)=ML8,$LV$1,IF(Q8+IF(K8="",0,K8)=LP8,$KZ$1,IF(Q8+IF(K8="",0,K8)=KT8,$KD$1,IF(Q8+IF(K8="",0,K8)=JX8,$JH$1,IF(Q8+IF(K8="",0,K8)=JB8,$IL$1,IF(Q8+IF(K8="",0,K8)=IF8,$HP$1,IF(Q8+IF(K8="",0,K8)=HJ8,$GT$1,IF(Q8+IF(K8="",0,K8)=GN8,$FX$1,IF(Q8+IF(K8="",0,K8)=FR8,$FB$1,IF(Q8+IF(K8="",0,K8)=EV8,$EF$1,IF(Q8+IF(K8="",0,K8)=DZ8,$DJ$1)))))))))))),IF(Q8=DG8,IF(Q8+IF(M8="",0,M8)=NI8,$MR$1,IF(Q8+IF(M8="",0,M8)=MM8,$LV$1,IF(Q8+IF(M8="",0,M8)=LQ8,$KZ$1,IF(Q8+IF(M8="",0,M8)=KU8,$KD$1,IF(Q8+IF(M8="",0,M8)=JY8,$JH$1,IF(Q8+IF(M8="",0,M8)=JC8,$IL$1,IF(Q8+IF(M8="",0,M8)=IG8,$HP$1,IF(Q8+IF(M8="",0,M8)=HK8,$GT$1,IF(Q8+IF(M8="",0,M8)=GO8,$FX$1,IF(Q8+IF(M8="",0,M8)=FS8,$FB$1,IF(Q8+IF(M8="",0,M8)=EW8,$EF$1,IF(Q8+IF(M8="",0,M8)=EA8,$DJ$1)))))))))))),IF(Q8=DH8,IF(Q8+IF(I8="",0,I8)=NJ8,$MR$1,IF(Q8+IF(I8="",0,I8)=MN8,$LV$1,IF(Q8+IF(I8="",0,I8)=LR8,$KZ$1,IF(Q8+IF(I8="",0,I8)=KV8,$KD$1,IF(Q8+IF(I8="",0,I8)=JZ8,$JH$1,IF(Q8+IF(I8="",0,I8)=JD8,$IL$1,IF(Q8+IF(I8="",0,I8)=IH8,$HP$1,IF(Q8+IF(I8="",0,I8)=HL8,$GT$1,IF(Q8+IF(I8="",0,I8)=GP8,$FX$1,IF(Q8+IF(I8="",0,I8)=FT8,$FB$1,IF(Q8+IF(I8="",0,I8)=EX8,$EF$1,IF(Q8+IF(I8="",0,I8)=EB8,$DJ$1)))))))))))),IF(Q8=DI8,IF(Q8+IF(O8="",0,O8)=NL8,$MR$1,IF(Q8+IF(O8="",0,O8)=MP8,$LV$1,IF(Q8+IF(O8="",0,O8)=LT8,$KZ$1,IF(Q8+IF(O8="",0,O8)=KX8,$KD$1,IF(Q8+IF(O8="",0,O8)=KB8,$JH$1,IF(Q8+IF(O8="",0,O8)=JF8,$IL$1,IF(Q8+IF(O8="",0,O8)=IJ8,$HP$1,IF(Q8+IF(O8="",0,O8)=HN8,$GT$1,IF(Q8+IF(O8="",0,O8)=GR8,$FX$1,IF(Q8+IF(O8="",0,O8)=FV8,$FB$1,IF(Q8+IF(O8="",0,O8)=EZ8,$EF$1,IF(Q8+IF(O8="",0,O8)=ED8,$DJ$1)))))))))))))))))</f>
        <v>2023 WAGC (Nov 16)</v>
      </c>
      <c r="T8" s="27">
        <v>16.2</v>
      </c>
      <c r="U8" s="27">
        <v>9.6</v>
      </c>
      <c r="V8" s="27">
        <v>0</v>
      </c>
      <c r="W8" s="27">
        <v>12.89</v>
      </c>
      <c r="X8" s="27">
        <v>0</v>
      </c>
      <c r="Y8" s="27">
        <v>2.6</v>
      </c>
      <c r="Z8" s="27">
        <v>1.8</v>
      </c>
      <c r="AA8" s="27">
        <v>1.9</v>
      </c>
      <c r="AB8" s="27">
        <v>2.54</v>
      </c>
      <c r="AC8" s="27">
        <v>0</v>
      </c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32"/>
      <c r="AO8" s="7">
        <f>IF(SUM(T8:W8)-X8&gt;0,SUM(T8:W8)-X8,"")</f>
        <v>38.69</v>
      </c>
      <c r="AP8" s="7">
        <f>IF(AA8&gt;0,AA8,"")</f>
        <v>1.9</v>
      </c>
      <c r="AQ8" s="7">
        <f>IF(SUM(Y8:AB8)-AC8&gt;0,SUM(Y8:AB8)-AC8,"")</f>
        <v>8.84</v>
      </c>
      <c r="AR8" s="7" t="str">
        <f>IF(AF8&gt;0,AF8,"")</f>
        <v/>
      </c>
      <c r="AS8" s="7" t="str">
        <f>IF(SUM(AD8:AG8)-AH8&gt;0,SUM(AD8:AG8)-AH8,"")</f>
        <v/>
      </c>
      <c r="AT8" s="7">
        <f>IF(AO8="",IF(MAX(AQ8,AS8)&gt;0,MAX(AQ8,AS8),""),MAX(AQ8,AS8)+AO8)</f>
        <v>47.53</v>
      </c>
      <c r="AU8" s="7" t="str">
        <f>IF(AK8&gt;0,AK8,"")</f>
        <v/>
      </c>
      <c r="AV8" s="7" t="str">
        <f>IF(SUM(AI8:AL8)-AM8&gt;0,SUM(AI8:AL8)-AM8,"")</f>
        <v/>
      </c>
      <c r="AW8" s="7">
        <f>IF(SUM(AT8,AV8)&gt;0,SUM(AT8,AV8),"")</f>
        <v>47.53</v>
      </c>
      <c r="AX8" s="31">
        <v>15.1</v>
      </c>
      <c r="AY8" s="31">
        <v>9.5</v>
      </c>
      <c r="AZ8" s="31">
        <v>0</v>
      </c>
      <c r="BA8" s="31">
        <v>12.85</v>
      </c>
      <c r="BB8" s="31">
        <v>0</v>
      </c>
      <c r="BC8" s="31">
        <v>11</v>
      </c>
      <c r="BD8" s="31">
        <v>9.1</v>
      </c>
      <c r="BE8" s="31">
        <v>9.8000000000000007</v>
      </c>
      <c r="BF8" s="31">
        <v>12.66</v>
      </c>
      <c r="BG8" s="31">
        <v>0</v>
      </c>
      <c r="BH8" s="31"/>
      <c r="BI8" s="31"/>
      <c r="BJ8" s="31"/>
      <c r="BK8" s="31"/>
      <c r="BL8" s="31"/>
      <c r="BM8" s="31">
        <v>6.9</v>
      </c>
      <c r="BN8" s="31">
        <v>4.5999999999999996</v>
      </c>
      <c r="BO8" s="31">
        <v>5.4</v>
      </c>
      <c r="BP8" s="31">
        <v>6.48</v>
      </c>
      <c r="BQ8" s="31">
        <v>0</v>
      </c>
      <c r="BR8" s="33"/>
      <c r="BS8" s="9">
        <f>IF(SUM(AX8:BA8)-BB8&gt;0,SUM(AX8:BA8)-BB8,"")</f>
        <v>37.450000000000003</v>
      </c>
      <c r="BT8" s="9">
        <f>IF(BE8&gt;0,BE8,"")</f>
        <v>9.8000000000000007</v>
      </c>
      <c r="BU8" s="9">
        <f>IF(SUM(BC8:BF8)-BG8&gt;0,SUM(BC8:BF8)-BG8,"")</f>
        <v>42.56</v>
      </c>
      <c r="BV8" s="9" t="str">
        <f>IF(BJ8&gt;0,BJ8,"")</f>
        <v/>
      </c>
      <c r="BW8" s="9" t="str">
        <f>IF(SUM(BH8:BK8)-BL8&gt;0,SUM(BH8:BK8)-BL8,"")</f>
        <v/>
      </c>
      <c r="BX8" s="9">
        <f>IF(BS8="",IF(MAX(BU8,BW8)&gt;0,MAX(BU8,BW8),""),MAX(BU8,BW8)+BS8)</f>
        <v>80.010000000000005</v>
      </c>
      <c r="BY8" s="9">
        <f>IF(BO8&gt;0,BO8,"")</f>
        <v>5.4</v>
      </c>
      <c r="BZ8" s="9">
        <f>IF(SUM(BM8:BP8)-BQ8&gt;0,SUM(BM8:BP8)-BQ8,"")</f>
        <v>23.38</v>
      </c>
      <c r="CA8" s="9">
        <f>IF(SUM(BX8,BZ8)&gt;0,SUM(BX8,BZ8),"")</f>
        <v>103.39</v>
      </c>
      <c r="CB8" s="27">
        <v>15.5</v>
      </c>
      <c r="CC8" s="27">
        <v>9.3000000000000007</v>
      </c>
      <c r="CD8" s="27">
        <v>0</v>
      </c>
      <c r="CE8" s="27">
        <v>13.67</v>
      </c>
      <c r="CF8" s="27">
        <v>0</v>
      </c>
      <c r="CG8" s="27">
        <v>5.4</v>
      </c>
      <c r="CH8" s="27">
        <v>3.5</v>
      </c>
      <c r="CI8" s="27">
        <v>4.3</v>
      </c>
      <c r="CJ8" s="27">
        <v>5.51</v>
      </c>
      <c r="CK8" s="27">
        <v>0</v>
      </c>
      <c r="CL8" s="27"/>
      <c r="CM8" s="27"/>
      <c r="CN8" s="27"/>
      <c r="CO8" s="27"/>
      <c r="CP8" s="27"/>
      <c r="CQ8" s="27">
        <v>14.1</v>
      </c>
      <c r="CR8" s="27">
        <v>8.6999999999999993</v>
      </c>
      <c r="CS8" s="27">
        <v>9.8000000000000007</v>
      </c>
      <c r="CT8" s="27">
        <v>13.28</v>
      </c>
      <c r="CU8" s="27">
        <v>0</v>
      </c>
      <c r="CV8" s="32"/>
      <c r="CW8" s="7">
        <f>IF(SUM(CB8:CE8)-CF8&gt;0,SUM(CB8:CE8)-CF8,"")</f>
        <v>38.47</v>
      </c>
      <c r="CX8" s="7">
        <f>IF(CI8&gt;0,CI8,"")</f>
        <v>4.3</v>
      </c>
      <c r="CY8" s="7">
        <f>IF(SUM(CG8:CJ8)-CK8&gt;0,SUM(CG8:CJ8)-CK8,"")</f>
        <v>18.71</v>
      </c>
      <c r="CZ8" s="7" t="str">
        <f>IF(CN8&gt;0,CN8,"")</f>
        <v/>
      </c>
      <c r="DA8" s="7" t="str">
        <f>IF(SUM(CL8:CO8)-CP8&gt;0,SUM(CL8:CO8)-CP8,"")</f>
        <v/>
      </c>
      <c r="DB8" s="7">
        <f>IF(CW8="",IF(MAX(CY8,DA8)&gt;0,MAX(CY8,DA8),""),MAX(CY8,DA8)+CW8)</f>
        <v>57.18</v>
      </c>
      <c r="DC8" s="7">
        <f>IF(CS8&gt;0,CS8,"")</f>
        <v>9.8000000000000007</v>
      </c>
      <c r="DD8" s="7">
        <f>IF(SUM(CQ8:CT8)-CU8&gt;0,SUM(CQ8:CT8)-CU8,"")</f>
        <v>45.879999999999995</v>
      </c>
      <c r="DE8" s="7">
        <f>IF(SUM(DB8,DD8)&gt;0,SUM(DB8,DD8),"")</f>
        <v>103.06</v>
      </c>
      <c r="DF8" s="13" t="str">
        <f>IF(MAX(DZ8,EV8,FR8,GN8,HJ8,IF8,JB8,JX8,KT8,LP8,ML8,NH8)-IF(K8="",0,K8)&gt;0.001,MAX(DZ8,EV8,FR8,GN8,HJ8,IF8,JB8,JX8,KT8,LP8,ML8,NH8)-IF(K8="",0,K8),"")</f>
        <v/>
      </c>
      <c r="DG8" s="13">
        <f>IF(MAX(EA8,EW8,FS8,GO8,HK8,IG8,JC8,JY8,KU8,LQ8,MM8,NI8)-IF(M8="",0,M8)&gt;0.001,MAX(EA8,EW8,FS8,GO8,HK8,IG8,JC8,JY8,KU8,LQ8,MM8,NI8)-IF(M8="",0,M8),"")</f>
        <v>22.35</v>
      </c>
      <c r="DH8" s="13" t="str">
        <f>IF(MAX(EB8,EX8,FT8,GP8,HL8,IH8,JD8,JZ8,KV8,LR8,MN8,NJ8)-IF(I8="",0,I8)&gt;0.001,MAX(EB8,EX8,FT8,GP8,HL8,IH8,JD8,JZ8,KV8,LR8,MN8,NJ8)-IF(I8="",0,I8),"")</f>
        <v/>
      </c>
      <c r="DI8" s="13" t="str">
        <f>IF(MAX(ED8,EZ8,FV8,GR8,HN8,IJ8,JF8,KB8,KX8,LT8,MP8,NL8)-IF(O8="",0,O8)&gt;0.001,MAX(ED8,EZ8,FV8,GR8,HN8,IJ8,JF8,KB8,KX8,LT8,MP8,NL8)-IF(O8="",0,O8),"")</f>
        <v/>
      </c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7" t="str">
        <f>IF(DQ8&gt;0,DQ8,"")</f>
        <v/>
      </c>
      <c r="DZ8" s="7" t="str">
        <f>IF(SUM(DJ8:DM8)-DN8&gt;0,SUM(DJ8:DM8)-DN8,"")</f>
        <v/>
      </c>
      <c r="EA8" s="7" t="str">
        <f>IF(SUM(DO8:DR8)-DS8&gt;0,SUM(DO8:DR8)-DS8,"")</f>
        <v/>
      </c>
      <c r="EB8" s="7" t="str">
        <f>IF(SUM(DZ8:EA8)&gt;0,SUM(DZ8:EA8),"")</f>
        <v/>
      </c>
      <c r="EC8" s="7" t="str">
        <f>IF(DV8&gt;0,DV8,"")</f>
        <v/>
      </c>
      <c r="ED8" s="7" t="str">
        <f>IF(SUM(DT8:DW8)-DX8&gt;0,SUM(DT8:DW8)-DX8,"")</f>
        <v/>
      </c>
      <c r="EE8" s="7" t="str">
        <f>IF(SUM(EB8,ED8)&gt;0,SUM(EB8,ED8),"")</f>
        <v/>
      </c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9" t="str">
        <f>IF(EM8&gt;0,EM8,"")</f>
        <v/>
      </c>
      <c r="EV8" s="9" t="str">
        <f>IF(SUM(EF8:EI8)-EJ8&gt;0,SUM(EF8:EI8)-EJ8,"")</f>
        <v/>
      </c>
      <c r="EW8" s="9" t="str">
        <f>IF(SUM(EK8:EN8)-EO8&gt;0,SUM(EK8:EN8)-EO8,"")</f>
        <v/>
      </c>
      <c r="EX8" s="9" t="str">
        <f>IF(SUM(EV8:EW8)&gt;0,SUM(EV8:EW8),"")</f>
        <v/>
      </c>
      <c r="EY8" s="9" t="str">
        <f>IF(ER8&gt;0,ER8,"")</f>
        <v/>
      </c>
      <c r="EZ8" s="9" t="str">
        <f>IF(SUM(EP8:ES8)-ET8&gt;0,SUM(EP8:ES8)-ET8,"")</f>
        <v/>
      </c>
      <c r="FA8" s="9" t="str">
        <f>IF(SUM(EX8,EZ8)&gt;0,SUM(EX8,EZ8),"")</f>
        <v/>
      </c>
      <c r="FB8" s="18">
        <v>15</v>
      </c>
      <c r="FC8" s="18">
        <v>9.6</v>
      </c>
      <c r="FD8" s="18">
        <v>0</v>
      </c>
      <c r="FE8" s="18">
        <v>13.61</v>
      </c>
      <c r="FF8" s="18">
        <v>0</v>
      </c>
      <c r="FG8" s="18">
        <v>12.3</v>
      </c>
      <c r="FH8" s="18">
        <v>8.4</v>
      </c>
      <c r="FI8" s="18">
        <v>8.4</v>
      </c>
      <c r="FJ8" s="18">
        <v>11.96</v>
      </c>
      <c r="FK8" s="18">
        <v>0</v>
      </c>
      <c r="FL8" s="18"/>
      <c r="FM8" s="18"/>
      <c r="FN8" s="18"/>
      <c r="FO8" s="18"/>
      <c r="FP8" s="18"/>
      <c r="FQ8" s="7">
        <f>IF(FI8&gt;0,FI8,"")</f>
        <v>8.4</v>
      </c>
      <c r="FR8" s="7">
        <f>IF(SUM(FB8:FE8)-FF8&gt;0,SUM(FB8:FE8)-FF8,"")</f>
        <v>38.21</v>
      </c>
      <c r="FS8" s="7">
        <f>IF(SUM(FG8:FJ8)-FK8&gt;0,SUM(FG8:FJ8)-FK8,"")</f>
        <v>41.06</v>
      </c>
      <c r="FT8" s="7">
        <f>IF(SUM(FR8:FS8)&gt;0,SUM(FR8:FS8),"")</f>
        <v>79.27000000000001</v>
      </c>
      <c r="FU8" s="7" t="str">
        <f>IF(FN8&gt;0,FN8,"")</f>
        <v/>
      </c>
      <c r="FV8" s="7" t="str">
        <f>IF(SUM(FL8:FO8)-FP8&gt;0,SUM(FL8:FO8)-FP8,"")</f>
        <v/>
      </c>
      <c r="FW8" s="7">
        <f>IF(SUM(FT8,FV8)&gt;0,SUM(FT8,FV8),"")</f>
        <v>79.27000000000001</v>
      </c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9" t="str">
        <f>IF(GE8&gt;0,GE8,"")</f>
        <v/>
      </c>
      <c r="GN8" s="9" t="str">
        <f>IF(SUM(FX8:GA8)-GB8&gt;0,SUM(FX8:GA8)-GB8,"")</f>
        <v/>
      </c>
      <c r="GO8" s="9" t="str">
        <f>IF(SUM(GC8:GF8)-GG8&gt;0,SUM(GC8:GF8)-GG8,"")</f>
        <v/>
      </c>
      <c r="GP8" s="9" t="str">
        <f>IF(SUM(GN8:GO8)&gt;0,SUM(GN8:GO8),"")</f>
        <v/>
      </c>
      <c r="GQ8" s="9" t="str">
        <f>IF(GJ8&gt;0,GJ8,"")</f>
        <v/>
      </c>
      <c r="GR8" s="9" t="str">
        <f>IF(SUM(GH8:GK8)-GL8&gt;0,SUM(GH8:GK8)-GL8,"")</f>
        <v/>
      </c>
      <c r="GS8" s="9" t="str">
        <f>IF(SUM(GP8,GR8)&gt;0,SUM(GP8,GR8),"")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7" t="str">
        <f>IF(HA8&gt;0,HA8,"")</f>
        <v/>
      </c>
      <c r="HJ8" s="7" t="str">
        <f>IF(SUM(GT8:GW8)-GX8&gt;0,SUM(GT8:GW8)-GX8,"")</f>
        <v/>
      </c>
      <c r="HK8" s="7" t="str">
        <f>IF(SUM(GY8:HB8)-HC8&gt;0,SUM(GY8:HB8)-HC8,"")</f>
        <v/>
      </c>
      <c r="HL8" s="7" t="str">
        <f>IF(SUM(HJ8:HK8)&gt;0,SUM(HJ8:HK8),"")</f>
        <v/>
      </c>
      <c r="HM8" s="7" t="str">
        <f>IF(HF8&gt;0,HF8,"")</f>
        <v/>
      </c>
      <c r="HN8" s="7" t="str">
        <f>IF(SUM(HD8:HG8)-HH8&gt;0,SUM(HD8:HG8)-HH8,"")</f>
        <v/>
      </c>
      <c r="HO8" s="7" t="str">
        <f>IF(SUM(HL8,HN8)&gt;0,SUM(HL8,HN8),"")</f>
        <v/>
      </c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9" t="str">
        <f>IF(HW8&gt;0,HW8,"")</f>
        <v/>
      </c>
      <c r="IF8" s="9" t="str">
        <f>IF(SUM(HP8:HS8)-HT8&gt;0,SUM(HP8:HS8)-HT8,"")</f>
        <v/>
      </c>
      <c r="IG8" s="9" t="str">
        <f>IF(SUM(HU8:HX8)-HY8&gt;0,SUM(HU8:HX8)-HY8,"")</f>
        <v/>
      </c>
      <c r="IH8" s="9" t="str">
        <f>IF(SUM(IF8:IG8)&gt;0,SUM(IF8:IG8),"")</f>
        <v/>
      </c>
      <c r="II8" s="9" t="str">
        <f>IF(IB8&gt;0,IB8,"")</f>
        <v/>
      </c>
      <c r="IJ8" s="9" t="str">
        <f>IF(SUM(HZ8:IC8)-ID8&gt;0,SUM(HZ8:IC8)-ID8,"")</f>
        <v/>
      </c>
      <c r="IK8" s="9" t="str">
        <f>IF(SUM(IH8,IJ8)&gt;0,SUM(IH8,IJ8),"")</f>
        <v/>
      </c>
      <c r="IL8" s="18"/>
      <c r="IM8" s="18"/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7" t="str">
        <f>IF(IS8&gt;0,IS8,"")</f>
        <v/>
      </c>
      <c r="JB8" s="7" t="str">
        <f>IF(SUM(IL8:IO8)-IP8&gt;0,SUM(IL8:IO8)-IP8,"")</f>
        <v/>
      </c>
      <c r="JC8" s="7" t="str">
        <f>IF(SUM(IQ8:IT8)-IU8&gt;0,SUM(IQ8:IT8)-IU8,"")</f>
        <v/>
      </c>
      <c r="JD8" s="7" t="str">
        <f>IF(SUM(JB8:JC8)&gt;0,SUM(JB8:JC8),"")</f>
        <v/>
      </c>
      <c r="JE8" s="7" t="str">
        <f>IF(IX8&gt;0,IX8,"")</f>
        <v/>
      </c>
      <c r="JF8" s="7" t="str">
        <f>IF(SUM(IV8:IY8)-IZ8&gt;0,SUM(IV8:IY8)-IZ8,"")</f>
        <v/>
      </c>
      <c r="JG8" s="7" t="str">
        <f>IF(SUM(JD8,JF8)&gt;0,SUM(JD8,JF8),"")</f>
        <v/>
      </c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9" t="str">
        <f>IF(JO8&gt;0,JO8,"")</f>
        <v/>
      </c>
      <c r="JX8" s="9" t="str">
        <f>IF(SUM(JH8:JK8)-JL8&gt;0,SUM(JH8:JK8)-JL8,"")</f>
        <v/>
      </c>
      <c r="JY8" s="9" t="str">
        <f>IF(SUM(JM8:JP8)-JQ8&gt;0,SUM(JM8:JP8)-JQ8,"")</f>
        <v/>
      </c>
      <c r="JZ8" s="9" t="str">
        <f>IF(SUM(JX8:JY8)&gt;0,SUM(JX8:JY8),"")</f>
        <v/>
      </c>
      <c r="KA8" s="9" t="str">
        <f>IF(JT8&gt;0,JT8,"")</f>
        <v/>
      </c>
      <c r="KB8" s="9" t="str">
        <f>IF(SUM(JR8:JU8)-JV8&gt;0,SUM(JR8:JU8)-JV8,"")</f>
        <v/>
      </c>
      <c r="KC8" s="9" t="str">
        <f>IF(SUM(JZ8,KB8)&gt;0,SUM(JZ8,KB8),"")</f>
        <v/>
      </c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7" t="str">
        <f>IF(KK8&gt;0,KK8,"")</f>
        <v/>
      </c>
      <c r="KT8" s="7" t="str">
        <f>IF(SUM(KD8:KG8)-KH8&gt;0,SUM(KD8:KG8)-KH8,"")</f>
        <v/>
      </c>
      <c r="KU8" s="7" t="str">
        <f>IF(SUM(KI8:KL8)-KM8&gt;0,SUM(KI8:KL8)-KM8,"")</f>
        <v/>
      </c>
      <c r="KV8" s="7" t="str">
        <f>IF(SUM(KT8:KU8)&gt;0,SUM(KT8:KU8),"")</f>
        <v/>
      </c>
      <c r="KW8" s="7" t="str">
        <f>IF(KP8&gt;0,KP8,"")</f>
        <v/>
      </c>
      <c r="KX8" s="7" t="str">
        <f>IF(SUM(KN8:KQ8)-KR8&gt;0,SUM(KN8:KQ8)-KR8,"")</f>
        <v/>
      </c>
      <c r="KY8" s="7" t="str">
        <f>IF(SUM(KV8,KX8)&gt;0,SUM(KV8,KX8),"")</f>
        <v/>
      </c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9" t="str">
        <f>IF(LG8&gt;0,LG8,"")</f>
        <v/>
      </c>
      <c r="LP8" s="9" t="str">
        <f>IF(SUM(KZ8:LC8)-LD8&gt;0,SUM(KZ8:LC8)-LD8,"")</f>
        <v/>
      </c>
      <c r="LQ8" s="9" t="str">
        <f>IF(SUM(LE8:LH8)-LI8&gt;0,SUM(LE8:LH8)-LI8,"")</f>
        <v/>
      </c>
      <c r="LR8" s="9" t="str">
        <f>IF(SUM(LP8:LQ8)&gt;0,SUM(LP8:LQ8),"")</f>
        <v/>
      </c>
      <c r="LS8" s="9" t="str">
        <f>IF(LL8&gt;0,LL8,"")</f>
        <v/>
      </c>
      <c r="LT8" s="9" t="str">
        <f>IF(SUM(LJ8:LM8)-LN8&gt;0,SUM(LJ8:LM8)-LN8,"")</f>
        <v/>
      </c>
      <c r="LU8" s="9" t="str">
        <f>IF(SUM(LR8,LT8)&gt;0,SUM(LR8,LT8),"")</f>
        <v/>
      </c>
      <c r="LV8" s="18"/>
      <c r="LW8" s="18"/>
      <c r="LX8" s="18"/>
      <c r="LY8" s="18"/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7" t="str">
        <f>IF(MC8&gt;0,MC8,"")</f>
        <v/>
      </c>
      <c r="ML8" s="7" t="str">
        <f>IF(SUM(LV8:LY8)-LZ8&gt;0,SUM(LV8:LY8)-LZ8,"")</f>
        <v/>
      </c>
      <c r="MM8" s="7" t="str">
        <f>IF(SUM(MA8:MD8)-ME8&gt;0,SUM(MA8:MD8)-ME8,"")</f>
        <v/>
      </c>
      <c r="MN8" s="7" t="str">
        <f>IF(SUM(ML8:MM8)&gt;0,SUM(ML8:MM8),"")</f>
        <v/>
      </c>
      <c r="MO8" s="7" t="str">
        <f>IF(MH8&gt;0,MH8,"")</f>
        <v/>
      </c>
      <c r="MP8" s="7" t="str">
        <f>IF(SUM(MF8:MI8)-MJ8&gt;0,SUM(MF8:MI8)-MJ8,"")</f>
        <v/>
      </c>
      <c r="MQ8" s="7" t="str">
        <f>IF(SUM(MN8,MP8)&gt;0,SUM(MN8,MP8),"")</f>
        <v/>
      </c>
      <c r="MR8" s="19"/>
      <c r="MS8" s="19"/>
      <c r="MT8" s="19"/>
      <c r="MU8" s="19"/>
      <c r="MV8" s="19"/>
      <c r="MW8" s="19"/>
      <c r="MX8" s="19"/>
      <c r="MY8" s="19"/>
      <c r="MZ8" s="19"/>
      <c r="NA8" s="19"/>
      <c r="NB8" s="19"/>
      <c r="NC8" s="19"/>
      <c r="ND8" s="19"/>
      <c r="NE8" s="19"/>
      <c r="NF8" s="19"/>
      <c r="NG8" s="9" t="str">
        <f>IF(MY8&gt;0,MY8,"")</f>
        <v/>
      </c>
      <c r="NH8" s="9" t="str">
        <f>IF(SUM(MR8:MU8)-MV8&gt;0,SUM(MR8:MU8)-MV8,"")</f>
        <v/>
      </c>
      <c r="NI8" s="9" t="str">
        <f>IF(SUM(MW8:MZ8)-NA8&gt;0,SUM(MW8:MZ8)-NA8,"")</f>
        <v/>
      </c>
      <c r="NJ8" s="9" t="str">
        <f>IF(SUM(NH8:NI8)&gt;0,SUM(NH8:NI8),"")</f>
        <v/>
      </c>
      <c r="NK8" s="9" t="str">
        <f>IF(ND8&gt;0,ND8,"")</f>
        <v/>
      </c>
      <c r="NL8" s="9" t="str">
        <f>IF(SUM(NB8:NE8)-NF8&gt;0,SUM(NB8:NE8)-NF8,"")</f>
        <v/>
      </c>
      <c r="NM8" s="9" t="str">
        <f>IF(SUM(NJ8,NL8)&gt;0,SUM(NJ8,NL8),"")</f>
        <v/>
      </c>
      <c r="NN8" s="27">
        <f>IF($CV8="P",CB8,(CB8+AX8)/2)</f>
        <v>15.3</v>
      </c>
      <c r="NO8" s="27">
        <f>IF($CV8="P",CC8,(CC8+AY8)/2)</f>
        <v>9.4</v>
      </c>
      <c r="NP8" s="27">
        <f>IF($CV8="P",CD8,(CD8+AZ8)/2)</f>
        <v>0</v>
      </c>
      <c r="NQ8" s="27">
        <f>IF($CV8="P",CE8,(CE8+BA8)/2)</f>
        <v>13.26</v>
      </c>
      <c r="NR8" s="27">
        <f>IF($CV8="P",CF8,(CF8+BB8)/2)</f>
        <v>0</v>
      </c>
      <c r="NS8" s="27">
        <f>IF($CV8="P",CG8,(CG8+BC8)/2)</f>
        <v>8.1999999999999993</v>
      </c>
      <c r="NT8" s="27">
        <f>IF($CV8="P",CH8,(CH8+BD8)/2)</f>
        <v>6.3</v>
      </c>
      <c r="NU8" s="27">
        <f>IF($CV8="P",CI8,(CI8+BE8)/2)</f>
        <v>7.0500000000000007</v>
      </c>
      <c r="NV8" s="27">
        <f>IF($CV8="P",CJ8,(CJ8+BF8)/2)</f>
        <v>9.0850000000000009</v>
      </c>
      <c r="NW8" s="27">
        <f>IF($CV8="P",CK8,(CK8+BG8)/2)</f>
        <v>0</v>
      </c>
      <c r="NX8" s="27">
        <f>IF($CV8="P",CL8,(CL8+BH8)/2)</f>
        <v>0</v>
      </c>
      <c r="NY8" s="27">
        <f>IF($CV8="P",CM8,(CM8+BI8)/2)</f>
        <v>0</v>
      </c>
      <c r="NZ8" s="27">
        <f>IF($CV8="P",CN8,(CN8+BJ8)/2)</f>
        <v>0</v>
      </c>
      <c r="OA8" s="27">
        <f>IF($CV8="P",CO8,(CO8+BK8)/2)</f>
        <v>0</v>
      </c>
      <c r="OB8" s="27">
        <f>IF($CV8="P",CP8,(CP8+BL8)/2)</f>
        <v>0</v>
      </c>
      <c r="OC8" s="27">
        <f>IF($CV8="P",CQ8,(CQ8+BM8)/2)</f>
        <v>10.5</v>
      </c>
      <c r="OD8" s="27">
        <f>IF($CV8="P",CR8,(CR8+BN8)/2)</f>
        <v>6.6499999999999995</v>
      </c>
      <c r="OE8" s="27">
        <f>IF($CV8="P",CS8,(CS8+BO8)/2)</f>
        <v>7.6000000000000005</v>
      </c>
      <c r="OF8" s="27">
        <f>IF($CV8="P",CT8,(CT8+BP8)/2)</f>
        <v>9.879999999999999</v>
      </c>
      <c r="OG8" s="27">
        <f>IF($CV8="P",CU8,(CU8+BQ8)/2)</f>
        <v>0</v>
      </c>
      <c r="OH8" s="32" t="s">
        <v>44</v>
      </c>
      <c r="OI8" s="7">
        <f>IF(SUM(NN8:NQ8)-NR8&gt;0,SUM(NN8:NQ8)-NR8,"")</f>
        <v>37.96</v>
      </c>
      <c r="OJ8" s="7">
        <f>IF(NU8&gt;0,NU8,"")</f>
        <v>7.0500000000000007</v>
      </c>
      <c r="OK8" s="7">
        <f>IF(SUM(NS8:NV8)-NW8&gt;0,SUM(NS8:NV8)-NW8,"")</f>
        <v>30.635000000000002</v>
      </c>
      <c r="OL8" s="7" t="str">
        <f>IF(NZ8&gt;0,NZ8,"")</f>
        <v/>
      </c>
      <c r="OM8" s="7" t="str">
        <f>IF(SUM(NX8:OA8)-OB8&gt;0,SUM(NX8:OA8)-OB8,"")</f>
        <v/>
      </c>
      <c r="ON8" s="7">
        <f>IF(OR(OI8&lt;&gt;"",OK8&lt;&gt;"",OM8&lt;&gt;""),OI8+MAX(OK8,OM8),"")</f>
        <v>68.594999999999999</v>
      </c>
      <c r="OO8" s="7">
        <f>IF(OE8&gt;0,OE8,"")</f>
        <v>7.6000000000000005</v>
      </c>
      <c r="OP8" s="7">
        <f t="shared" ref="OP8" si="8">IF(SUM(OC8:OF8)-OG8&gt;0,SUM(OC8:OF8)-OG8,"")</f>
        <v>34.629999999999995</v>
      </c>
      <c r="OQ8" s="7">
        <f t="shared" ref="OQ8" si="9">IF(SUM(ON8,OP8)&gt;0,SUM(ON8,OP8),"")</f>
        <v>103.22499999999999</v>
      </c>
    </row>
    <row r="9" spans="1:407" x14ac:dyDescent="0.2">
      <c r="A9" s="4" t="str" cm="1">
        <f t="array" ref="A9">IF(AND(H9&lt;&gt;"",H9&lt;&gt;"No DD"),SUMPRODUCT((H$4:H$10&lt;&gt;"")*(H$4:H$10&lt;&gt;"No DD")*(E$4:E$10&gt;E9))+1,IF(H9="No DD",SUMPRODUCT((H$4:H$10="No DD")*(E$4:E$10&gt;E9))+1+SUMPRODUCT((H$4:H$10&lt;&gt;"")*(H$4:H$10&lt;&gt;"No DD")),""))</f>
        <v/>
      </c>
      <c r="B9" s="5" t="s">
        <v>94</v>
      </c>
      <c r="C9" s="4" t="s">
        <v>66</v>
      </c>
      <c r="D9" s="4">
        <v>2008</v>
      </c>
      <c r="E9" s="10">
        <f>SUM(I9:Q9)</f>
        <v>179.3</v>
      </c>
      <c r="F9" s="3" t="str">
        <f>IF(OR(AND(AP9&gt;=AW$12,AT9&gt;=AW$16,AO9&lt;&gt;"",AN9=""),AND(BT9&gt;=CA$12,BX9&gt;=CA$16,BS9&lt;&gt;"",BR9=""),AND(CX9&gt;=DE$12,DB9&gt;=DE$16,CW9&lt;&gt;"",CV9=""),AND(DY9&gt;=EE$12,EB9&gt;=EE$16,DY9&lt;&gt;""),AND(EU9&gt;=FA$12,EX9&gt;=FA$16,EU9&lt;&gt;""),AND(FQ9&gt;=FW$12,FT9&gt;=FW$16,FQ9&lt;&gt;""),AND(GM9&gt;=GS$12,GP9&gt;=GS$16,GM9&lt;&gt;""),AND(HI9&gt;=HO$12,HL9&gt;=HO$16,HI9&lt;&gt;""),AND(IE9&gt;=IK$12,IH9&gt;=IK$16,IE9&lt;&gt;""),AND(JA9&gt;=JG$12,JD9&gt;=JG$16,JA9&lt;&gt;""),AND(JW9&gt;=KC$12,JZ9&gt;=KC$16,JW9&lt;&gt;""),AND(KS9&gt;=KY$12,KV9&gt;=KY$16,KS9&lt;&gt;""),AND(LO9&gt;=LU$12,LR9&gt;=LU$16,LO9&lt;&gt;""),AND(MK9&gt;=MQ$12,MN9&gt;=MQ$16,MK9&lt;&gt;""),AND(NG9&gt;=NM$12,NJ9&gt;=NM$16,NG9&lt;&gt;"")),"P","")</f>
        <v/>
      </c>
      <c r="G9" s="3" t="str">
        <f>IF(OR(AND(AT9&gt;=AW$16,AO9&lt;&gt;"",AN9=""),AND(BX9&gt;=CA$16,BS9&lt;&gt;"",BR9=""),AND(DB9&gt;=DE$16,CW9&lt;&gt;"",CV9=""),AND(EB9&gt;=EE$16,DY9&lt;&gt;""),AND(EX9&gt;=FA$16,EU9&lt;&gt;""),AND(FT9&gt;=FW$16,FQ9&lt;&gt;""),AND(GP9&gt;=GS$16,GM9&lt;&gt;""),AND(HL9&gt;=HO$16,HI9&lt;&gt;""),AND(IH9&gt;=IK$16,IE9&lt;&gt;""),AND(JD9&gt;=JG$16,JA9&lt;&gt;""),AND(JZ9&gt;=KC$16,JW9&lt;&gt;""),AND(KV9&gt;=KY$16,KS9&lt;&gt;""),AND(LR9&gt;=LU$16,LO9&lt;&gt;""),AND(MN9&gt;=MQ$16,MK9&lt;&gt;""),AND(NJ9&gt;=NM$16,NG9&lt;&gt;"")),"P","")</f>
        <v/>
      </c>
      <c r="H9" s="47" t="str">
        <f>IF(OR(AND(AP9&gt;=AW$15,AQ9&gt;=AW$19,AP9&lt;&gt;"",AN9=""),AND(AU9&gt;=AW$15,AV9&gt;=AW$19,AU9&lt;&gt;"",AN9=""),AND(BT9&gt;=CA$15,BU9&gt;=CA$19,BT9&lt;&gt;"",BR9=""),AND(BY9&gt;=CA$15,BZ9&gt;=CA$19,BY9&lt;&gt;"",BR9=""),AND(CX9&gt;=DE$15,CY9&gt;=DE$19,CX9&lt;&gt;"",CV9=""),AND(DC9&gt;=DE$15,DD9&gt;=DE$19,DC9&lt;&gt;"",CV9=""),AND(DY9&gt;=EE$15,EA9&gt;=EE$19,DY9&lt;&gt;""),AND(EC9&gt;=EE$15,ED9&gt;=EE$19,EC9&lt;&gt;""),AND(EU9&gt;=FA$15,EW9&gt;=FA$19,EU9&lt;&gt;""),AND(EY9&gt;=FA$15,EZ9&gt;=FA$19,EY9&lt;&gt;""),AND(FQ9&gt;=FW$15,FS9&gt;=FW$19,FQ9&lt;&gt;""),AND(FU9&gt;=FW$15,FV9&gt;=FW$19,FU9&lt;&gt;""),AND(GM9&gt;=GS$15,GO9&gt;=GS$19,GM9&lt;&gt;""),AND(GQ9&gt;=GS$15,GR9&gt;=GS$19,GQ9&lt;&gt;""),AND(HI9&gt;=HO$15,HK9&gt;=HO$19,HI9&lt;&gt;""),AND(HM9&gt;=HO$15,HN9&gt;=HO$19,HM9&lt;&gt;""),AND(IE9&gt;=IK$15,IG9&gt;=IK$19,IE9&lt;&gt;""),AND(II9&gt;=IK$15,IJ9&gt;=IK$19,II9&lt;&gt;""),AND(JA9&gt;=JG$15,JC9&gt;=JG$19,JA9&lt;&gt;""),AND(JE9&gt;=JG$15,JF9&gt;=JG$19,JE9&lt;&gt;""),AND(JW9&gt;=KC$15,JY9&gt;=KC$19,JW9&lt;&gt;""),AND(KA9&gt;=KC$15,KB9&gt;=KC$19,KA9&lt;&gt;""),AND(KS9&gt;=KY$15,KU9&gt;=KY$19,KS9&lt;&gt;""),AND(KW9&gt;=KY$15,KX9&gt;=KY$19,KW9&lt;&gt;""),AND(LO9&gt;=LU$15,LQ9&gt;=LU$19,LO9&lt;&gt;""),AND(LS9&gt;=LU$15,LT9&gt;=LU$19,LS9&lt;&gt;""),AND(MK9&gt;=MQ$15,MM9&gt;=MQ$19,MK9&lt;&gt;""),AND(MO9&gt;=MQ$15,MP9&gt;=MQ$19,MO9&lt;&gt;""),AND(NG9&gt;=NM$15,NI9&gt;=NM$19,NG9&lt;&gt;""),AND(NK9&gt;=NM$15,NL9&gt;=NM$19,NK9&lt;&gt;"")),"Merit",IF(OR(AND(AP9&gt;=AW$14,AT9&gt;=AW$18,AO9&lt;&gt;"",AN9=""),AND(BT9&gt;=CA$14,BX9&gt;=CA$18,BS9&lt;&gt;"",BR9=""),AND(CX9&gt;=DE$14,DB9&gt;=DE$18,CW9&lt;&gt;"",CV9=""),AND(DY9&gt;=EE$14,EB9&gt;=EE$18,DY9&lt;&gt;""),AND(EU9&gt;=FA$14,EX9&gt;=FA$18,EU9&lt;&gt;""),AND(FQ9&gt;=FW$14,FT9&gt;=FW$18,FQ9&lt;&gt;""),AND(GM9&gt;=GS$14,GP9&gt;=GS$18,GM9&lt;&gt;""),AND(HI9&gt;=HO$14,HL9&gt;=HO$18,HI9&lt;&gt;""),AND(IE9&gt;=IK$14,IH9&gt;=IK$18,IE9&lt;&gt;""),AND(JA9&gt;=JG$14,JD9&gt;=JG$18,JA9&lt;&gt;""),AND(JW9&gt;=KC$14,JZ9&gt;=KC$18,JW9&lt;&gt;""),AND(KS9&gt;=KY$14,KV9&gt;=KY$18,KS9&lt;&gt;""),AND(LO9&gt;=LU$14,LR9&gt;=LU$18,LO9&lt;&gt;""),AND(MK9&gt;=MQ$14,MN9&gt;=MQ$18,MK9&lt;&gt;""),AND(NG9&gt;=NM$14,NJ9&gt;=NM$18,NG9&lt;&gt;"")),"Excellence",IF(OR(AND(AP9&gt;=AW$12,AT9&gt;=AW$16,AO9&lt;&gt;"",AN9=""),AND(BT9&gt;=CA$12,BX9&gt;=CA$16,BS9&lt;&gt;"",BR9=""),AND(CX9&gt;=DE$12,DB9&gt;=DE$16,CW9&lt;&gt;"",CV9=""),AND(DY9&gt;=EE$12,EB9&gt;=EE$16,DY9&lt;&gt;""),AND(EU9&gt;=FA$12,EX9&gt;=FA$16,EU9&lt;&gt;""),AND(FQ9&gt;=FW$12,FT9&gt;=FW$16,FQ9&lt;&gt;""),AND(GM9&gt;=GS$12,GP9&gt;=GS$16,GM9&lt;&gt;""),AND(HI9&gt;=HO$12,HL9&gt;=HO$16,HI9&lt;&gt;""),AND(IE9&gt;=IK$12,IH9&gt;=IK$16,IE9&lt;&gt;""),AND(JA9&gt;=JG$12,JD9&gt;=JG$16,JA9&lt;&gt;""),AND(JW9&gt;=KC$12,JZ9&gt;=KC$16,JW9&lt;&gt;""),AND(KS9&gt;=KY$12,KV9&gt;=KY$16,KS9&lt;&gt;""),AND(LO9&gt;=LU$12,LR9&gt;=LU$16,LO9&lt;&gt;""),AND(MK9&gt;=MQ$12,MN9&gt;=MQ$16,MK9&lt;&gt;""),AND(NG9&gt;=NM$12,NJ9&gt;=NM$16,NG9&lt;&gt;"")),"National Team",IF(G9="P","No DD",""))))</f>
        <v/>
      </c>
      <c r="I9" s="9">
        <f>IF(MAX(AT9,BX9,DB9)&gt;0,MAX(AT9,BX9,DB9),0)</f>
        <v>83.289999999999992</v>
      </c>
      <c r="J9" s="9" t="str">
        <f>IF(I9=0,"",IF(I9=DB9,$CB$1,IF(I9=BX9,$AX$1,IF(I9=AT9,$T$1,""))))</f>
        <v>2023 Nationals</v>
      </c>
      <c r="K9" s="9">
        <f>IF($I9=$AT9,MAX(BS9,CW9),IF($I9=$BX9,MAX(AO9,CW9),IF($I9=$DB9,MAX(AO9,BS9),MAX(AO9,BS9,CW9))))</f>
        <v>7.9</v>
      </c>
      <c r="L9" s="9" t="str">
        <f>IF(K9=0,"",IF(AND(K9=CW9,$J9&lt;&gt;$CB$1),$CB$1,IF(AND(K9=BS9,$J9&lt;&gt;$AX$1),$AX$1,IF(AND(K9=AO9,$J9&lt;&gt;$T$1),$T$1,""))))</f>
        <v>2023 3rd Domestic Trial</v>
      </c>
      <c r="M9" s="9">
        <f>IF(I9-N(AO9)=AQ9,MAX(AS9,BU9,BW9,CY9,DA9),IF(I9-N(AO9)=AS9,MAX(AQ9,BU9,BW9,CY9,DA9),IF(I9-N(BS9)=BU9,MAX(AQ9,AS9,BW9,CY9,DA9),IF(I9-N(BS9)=BW9,MAX(AQ9,AS9,BU9,CY9,DA9),IF(I9-N(CW9)=CY9,MAX(AQ9,AS9,BU9,BW9,DA9),IF(I9-N(CW9)=DA9,MAX(AQ9,AS9,BU9,BW9,CY9),MAX(AQ9,AS9,BU9,BW9,CY9,DA9)))))))</f>
        <v>41.53</v>
      </c>
      <c r="N9" s="9" t="str">
        <f>IF(M9=0,"",IF(AND(OR(M9=DA9,M9=CY9),$J9&lt;&gt;$CB$1),$CB$1,IF(AND(OR(M9=BW9,M9=BU9),$J9&lt;&gt;$AX$1),$AX$1,IF(AND(OR(M9=AS9,M9=AQ9),$J9&lt;&gt;$T$1),$T$1,""))))</f>
        <v>2023 3rd Domestic Trial</v>
      </c>
      <c r="O9" s="9">
        <f>MAX(AV9,BZ9,DD9)</f>
        <v>46.58</v>
      </c>
      <c r="P9" s="9" t="str">
        <f>IF(O9=0,"",IF(O9=DD9,$CB$1,IF(O9=BZ9,$AX$1,IF(O9=AV9,$T$1,""))))</f>
        <v>2023 Nationals</v>
      </c>
      <c r="Q9" s="9" t="str">
        <f>IF(MAX(DF9,DG9,DH9,DI9)&gt;0,MAX(DF9,DG9,DH9,DI9),"")</f>
        <v/>
      </c>
      <c r="R9" s="14" t="str">
        <f>IF(Q9="","",IF(Q9=DF9,"(Vol 1)",IF(Q9=DG9,"(Vol 2)",IF(Q9=DH9,"(Prelim)",IF(Q9=DI9,"(Final)")))))</f>
        <v/>
      </c>
      <c r="S9" s="9" t="str">
        <f>IF(Q9="","",IF(Q9=DF9,IF(Q9+IF(K9="",0,K9)=NH9,$MR$1,IF(Q9+IF(K9="",0,K9)=ML9,$LV$1,IF(Q9+IF(K9="",0,K9)=LP9,$KZ$1,IF(Q9+IF(K9="",0,K9)=KT9,$KD$1,IF(Q9+IF(K9="",0,K9)=JX9,$JH$1,IF(Q9+IF(K9="",0,K9)=JB9,$IL$1,IF(Q9+IF(K9="",0,K9)=IF9,$HP$1,IF(Q9+IF(K9="",0,K9)=HJ9,$GT$1,IF(Q9+IF(K9="",0,K9)=GN9,$FX$1,IF(Q9+IF(K9="",0,K9)=FR9,$FB$1,IF(Q9+IF(K9="",0,K9)=EV9,$EF$1,IF(Q9+IF(K9="",0,K9)=DZ9,$DJ$1)))))))))))),IF(Q9=DG9,IF(Q9+IF(M9="",0,M9)=NI9,$MR$1,IF(Q9+IF(M9="",0,M9)=MM9,$LV$1,IF(Q9+IF(M9="",0,M9)=LQ9,$KZ$1,IF(Q9+IF(M9="",0,M9)=KU9,$KD$1,IF(Q9+IF(M9="",0,M9)=JY9,$JH$1,IF(Q9+IF(M9="",0,M9)=JC9,$IL$1,IF(Q9+IF(M9="",0,M9)=IG9,$HP$1,IF(Q9+IF(M9="",0,M9)=HK9,$GT$1,IF(Q9+IF(M9="",0,M9)=GO9,$FX$1,IF(Q9+IF(M9="",0,M9)=FS9,$FB$1,IF(Q9+IF(M9="",0,M9)=EW9,$EF$1,IF(Q9+IF(M9="",0,M9)=EA9,$DJ$1)))))))))))),IF(Q9=DH9,IF(Q9+IF(I9="",0,I9)=NJ9,$MR$1,IF(Q9+IF(I9="",0,I9)=MN9,$LV$1,IF(Q9+IF(I9="",0,I9)=LR9,$KZ$1,IF(Q9+IF(I9="",0,I9)=KV9,$KD$1,IF(Q9+IF(I9="",0,I9)=JZ9,$JH$1,IF(Q9+IF(I9="",0,I9)=JD9,$IL$1,IF(Q9+IF(I9="",0,I9)=IH9,$HP$1,IF(Q9+IF(I9="",0,I9)=HL9,$GT$1,IF(Q9+IF(I9="",0,I9)=GP9,$FX$1,IF(Q9+IF(I9="",0,I9)=FT9,$FB$1,IF(Q9+IF(I9="",0,I9)=EX9,$EF$1,IF(Q9+IF(I9="",0,I9)=EB9,$DJ$1)))))))))))),IF(Q9=DI9,IF(Q9+IF(O9="",0,O9)=NL9,$MR$1,IF(Q9+IF(O9="",0,O9)=MP9,$LV$1,IF(Q9+IF(O9="",0,O9)=LT9,$KZ$1,IF(Q9+IF(O9="",0,O9)=KX9,$KD$1,IF(Q9+IF(O9="",0,O9)=KB9,$JH$1,IF(Q9+IF(O9="",0,O9)=JF9,$IL$1,IF(Q9+IF(O9="",0,O9)=IJ9,$HP$1,IF(Q9+IF(O9="",0,O9)=HN9,$GT$1,IF(Q9+IF(O9="",0,O9)=GR9,$FX$1,IF(Q9+IF(O9="",0,O9)=FV9,$FB$1,IF(Q9+IF(O9="",0,O9)=EZ9,$EF$1,IF(Q9+IF(O9="",0,O9)=ED9,$DJ$1)))))))))))))))))</f>
        <v/>
      </c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32"/>
      <c r="AO9" s="7" t="str">
        <f>IF(SUM(T9:W9)-X9&gt;0,SUM(T9:W9)-X9,"")</f>
        <v/>
      </c>
      <c r="AP9" s="7" t="str">
        <f>IF(AA9&gt;0,AA9,"")</f>
        <v/>
      </c>
      <c r="AQ9" s="7" t="str">
        <f>IF(SUM(Y9:AB9)-AC9&gt;0,SUM(Y9:AB9)-AC9,"")</f>
        <v/>
      </c>
      <c r="AR9" s="7" t="str">
        <f>IF(AF9&gt;0,AF9,"")</f>
        <v/>
      </c>
      <c r="AS9" s="7" t="str">
        <f>IF(SUM(AD9:AG9)-AH9&gt;0,SUM(AD9:AG9)-AH9,"")</f>
        <v/>
      </c>
      <c r="AT9" s="7" t="str">
        <f>IF(AO9="",IF(MAX(AQ9,AS9)&gt;0,MAX(AQ9,AS9),""),MAX(AQ9,AS9)+AO9)</f>
        <v/>
      </c>
      <c r="AU9" s="7" t="str">
        <f>IF(AK9&gt;0,AK9,"")</f>
        <v/>
      </c>
      <c r="AV9" s="7" t="str">
        <f>IF(SUM(AI9:AL9)-AM9&gt;0,SUM(AI9:AL9)-AM9,"")</f>
        <v/>
      </c>
      <c r="AW9" s="7" t="str">
        <f>IF(SUM(AT9,AV9)&gt;0,SUM(AT9,AV9),"")</f>
        <v/>
      </c>
      <c r="AX9" s="31">
        <v>15.5</v>
      </c>
      <c r="AY9" s="31">
        <v>9.4</v>
      </c>
      <c r="AZ9" s="31">
        <v>0</v>
      </c>
      <c r="BA9" s="31">
        <v>14.14</v>
      </c>
      <c r="BB9" s="31">
        <v>0</v>
      </c>
      <c r="BC9" s="31">
        <v>12.6</v>
      </c>
      <c r="BD9" s="31">
        <v>8.9</v>
      </c>
      <c r="BE9" s="31">
        <v>9.6</v>
      </c>
      <c r="BF9" s="31">
        <v>13.15</v>
      </c>
      <c r="BG9" s="31">
        <v>0</v>
      </c>
      <c r="BH9" s="31"/>
      <c r="BI9" s="31"/>
      <c r="BJ9" s="31"/>
      <c r="BK9" s="31"/>
      <c r="BL9" s="31"/>
      <c r="BM9" s="31">
        <v>14.3</v>
      </c>
      <c r="BN9" s="31">
        <v>9.1</v>
      </c>
      <c r="BO9" s="31">
        <v>9.6</v>
      </c>
      <c r="BP9" s="31">
        <v>13.58</v>
      </c>
      <c r="BQ9" s="31">
        <v>0</v>
      </c>
      <c r="BR9" s="33"/>
      <c r="BS9" s="9">
        <f>IF(SUM(AX9:BA9)-BB9&gt;0,SUM(AX9:BA9)-BB9,"")</f>
        <v>39.04</v>
      </c>
      <c r="BT9" s="9">
        <f>IF(BE9&gt;0,BE9,"")</f>
        <v>9.6</v>
      </c>
      <c r="BU9" s="9">
        <f>IF(SUM(BC9:BF9)-BG9&gt;0,SUM(BC9:BF9)-BG9,"")</f>
        <v>44.25</v>
      </c>
      <c r="BV9" s="9" t="str">
        <f>IF(BJ9&gt;0,BJ9,"")</f>
        <v/>
      </c>
      <c r="BW9" s="9" t="str">
        <f>IF(SUM(BH9:BK9)-BL9&gt;0,SUM(BH9:BK9)-BL9,"")</f>
        <v/>
      </c>
      <c r="BX9" s="9">
        <f>IF(BS9="",IF(MAX(BU9,BW9)&gt;0,MAX(BU9,BW9),""),MAX(BU9,BW9)+BS9)</f>
        <v>83.289999999999992</v>
      </c>
      <c r="BY9" s="9">
        <f>IF(BO9&gt;0,BO9,"")</f>
        <v>9.6</v>
      </c>
      <c r="BZ9" s="9">
        <f>IF(SUM(BM9:BP9)-BQ9&gt;0,SUM(BM9:BP9)-BQ9,"")</f>
        <v>46.58</v>
      </c>
      <c r="CA9" s="9">
        <f>IF(SUM(BX9,BZ9)&gt;0,SUM(BX9,BZ9),"")</f>
        <v>129.87</v>
      </c>
      <c r="CB9" s="27">
        <v>3.2</v>
      </c>
      <c r="CC9" s="27">
        <v>1.8</v>
      </c>
      <c r="CD9" s="27">
        <v>0</v>
      </c>
      <c r="CE9" s="27">
        <v>2.9</v>
      </c>
      <c r="CF9" s="27">
        <v>0</v>
      </c>
      <c r="CG9" s="27">
        <v>12.1</v>
      </c>
      <c r="CH9" s="27">
        <v>7.9</v>
      </c>
      <c r="CI9" s="27">
        <v>8.8999999999999986</v>
      </c>
      <c r="CJ9" s="27">
        <v>12.63</v>
      </c>
      <c r="CK9" s="27">
        <v>0</v>
      </c>
      <c r="CL9" s="27"/>
      <c r="CM9" s="27"/>
      <c r="CN9" s="27"/>
      <c r="CO9" s="27"/>
      <c r="CP9" s="27"/>
      <c r="CQ9" s="27"/>
      <c r="CR9" s="27"/>
      <c r="CS9" s="27"/>
      <c r="CT9" s="27"/>
      <c r="CU9" s="27"/>
      <c r="CV9" s="32"/>
      <c r="CW9" s="7">
        <f>IF(SUM(CB9:CE9)-CF9&gt;0,SUM(CB9:CE9)-CF9,"")</f>
        <v>7.9</v>
      </c>
      <c r="CX9" s="7">
        <f>IF(CI9&gt;0,CI9,"")</f>
        <v>8.8999999999999986</v>
      </c>
      <c r="CY9" s="7">
        <f>IF(SUM(CG9:CJ9)-CK9&gt;0,SUM(CG9:CJ9)-CK9,"")</f>
        <v>41.53</v>
      </c>
      <c r="CZ9" s="7" t="str">
        <f>IF(CN9&gt;0,CN9,"")</f>
        <v/>
      </c>
      <c r="DA9" s="7" t="str">
        <f>IF(SUM(CL9:CO9)-CP9&gt;0,SUM(CL9:CO9)-CP9,"")</f>
        <v/>
      </c>
      <c r="DB9" s="7">
        <f>IF(CW9="",IF(MAX(CY9,DA9)&gt;0,MAX(CY9,DA9),""),MAX(CY9,DA9)+CW9)</f>
        <v>49.43</v>
      </c>
      <c r="DC9" s="7" t="str">
        <f>IF(CS9&gt;0,CS9,"")</f>
        <v/>
      </c>
      <c r="DD9" s="7" t="str">
        <f>IF(SUM(CQ9:CT9)-CU9&gt;0,SUM(CQ9:CT9)-CU9,"")</f>
        <v/>
      </c>
      <c r="DE9" s="7">
        <f>IF(SUM(DB9,DD9)&gt;0,SUM(DB9,DD9),"")</f>
        <v>49.43</v>
      </c>
      <c r="DF9" s="13" t="str">
        <f>IF(MAX(DZ9,EV9,FR9,GN9,HJ9,IF9,JB9,JX9,KT9,LP9,ML9,NH9)-IF(K9="",0,K9)&gt;0.001,MAX(DZ9,EV9,FR9,GN9,HJ9,IF9,JB9,JX9,KT9,LP9,ML9,NH9)-IF(K9="",0,K9),"")</f>
        <v/>
      </c>
      <c r="DG9" s="13" t="str">
        <f>IF(MAX(EA9,EW9,FS9,GO9,HK9,IG9,JC9,JY9,KU9,LQ9,MM9,NI9)-IF(M9="",0,M9)&gt;0.001,MAX(EA9,EW9,FS9,GO9,HK9,IG9,JC9,JY9,KU9,LQ9,MM9,NI9)-IF(M9="",0,M9),"")</f>
        <v/>
      </c>
      <c r="DH9" s="13" t="str">
        <f>IF(MAX(EB9,EX9,FT9,GP9,HL9,IH9,JD9,JZ9,KV9,LR9,MN9,NJ9)-IF(I9="",0,I9)&gt;0.001,MAX(EB9,EX9,FT9,GP9,HL9,IH9,JD9,JZ9,KV9,LR9,MN9,NJ9)-IF(I9="",0,I9),"")</f>
        <v/>
      </c>
      <c r="DI9" s="13" t="str">
        <f>IF(MAX(ED9,EZ9,FV9,GR9,HN9,IJ9,JF9,KB9,KX9,LT9,MP9,NL9)-IF(O9="",0,O9)&gt;0.001,MAX(ED9,EZ9,FV9,GR9,HN9,IJ9,JF9,KB9,KX9,LT9,MP9,NL9)-IF(O9="",0,O9),"")</f>
        <v/>
      </c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7" t="str">
        <f>IF(DQ9&gt;0,DQ9,"")</f>
        <v/>
      </c>
      <c r="DZ9" s="7" t="str">
        <f>IF(SUM(DJ9:DM9)-DN9&gt;0,SUM(DJ9:DM9)-DN9,"")</f>
        <v/>
      </c>
      <c r="EA9" s="7" t="str">
        <f>IF(SUM(DO9:DR9)-DS9&gt;0,SUM(DO9:DR9)-DS9,"")</f>
        <v/>
      </c>
      <c r="EB9" s="7" t="str">
        <f>IF(SUM(DZ9:EA9)&gt;0,SUM(DZ9:EA9),"")</f>
        <v/>
      </c>
      <c r="EC9" s="7" t="str">
        <f>IF(DV9&gt;0,DV9,"")</f>
        <v/>
      </c>
      <c r="ED9" s="7" t="str">
        <f>IF(SUM(DT9:DW9)-DX9&gt;0,SUM(DT9:DW9)-DX9,"")</f>
        <v/>
      </c>
      <c r="EE9" s="7" t="str">
        <f>IF(SUM(EB9,ED9)&gt;0,SUM(EB9,ED9),"")</f>
        <v/>
      </c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9" t="str">
        <f>IF(EM9&gt;0,EM9,"")</f>
        <v/>
      </c>
      <c r="EV9" s="9" t="str">
        <f>IF(SUM(EF9:EI9)-EJ9&gt;0,SUM(EF9:EI9)-EJ9,"")</f>
        <v/>
      </c>
      <c r="EW9" s="9" t="str">
        <f>IF(SUM(EK9:EN9)-EO9&gt;0,SUM(EK9:EN9)-EO9,"")</f>
        <v/>
      </c>
      <c r="EX9" s="9" t="str">
        <f>IF(SUM(EV9:EW9)&gt;0,SUM(EV9:EW9),"")</f>
        <v/>
      </c>
      <c r="EY9" s="9" t="str">
        <f>IF(ER9&gt;0,ER9,"")</f>
        <v/>
      </c>
      <c r="EZ9" s="9" t="str">
        <f>IF(SUM(EP9:ES9)-ET9&gt;0,SUM(EP9:ES9)-ET9,"")</f>
        <v/>
      </c>
      <c r="FA9" s="9" t="str">
        <f>IF(SUM(EX9,EZ9)&gt;0,SUM(EX9,EZ9),"")</f>
        <v/>
      </c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7" t="str">
        <f>IF(FI9&gt;0,FI9,"")</f>
        <v/>
      </c>
      <c r="FR9" s="7" t="str">
        <f>IF(SUM(FB9:FE9)-FF9&gt;0,SUM(FB9:FE9)-FF9,"")</f>
        <v/>
      </c>
      <c r="FS9" s="7" t="str">
        <f>IF(SUM(FG9:FJ9)-FK9&gt;0,SUM(FG9:FJ9)-FK9,"")</f>
        <v/>
      </c>
      <c r="FT9" s="7" t="str">
        <f>IF(SUM(FR9:FS9)&gt;0,SUM(FR9:FS9),"")</f>
        <v/>
      </c>
      <c r="FU9" s="7" t="str">
        <f>IF(FN9&gt;0,FN9,"")</f>
        <v/>
      </c>
      <c r="FV9" s="7" t="str">
        <f>IF(SUM(FL9:FO9)-FP9&gt;0,SUM(FL9:FO9)-FP9,"")</f>
        <v/>
      </c>
      <c r="FW9" s="7" t="str">
        <f>IF(SUM(FT9,FV9)&gt;0,SUM(FT9,FV9),"")</f>
        <v/>
      </c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9" t="str">
        <f>IF(GE9&gt;0,GE9,"")</f>
        <v/>
      </c>
      <c r="GN9" s="9" t="str">
        <f>IF(SUM(FX9:GA9)-GB9&gt;0,SUM(FX9:GA9)-GB9,"")</f>
        <v/>
      </c>
      <c r="GO9" s="9" t="str">
        <f>IF(SUM(GC9:GF9)-GG9&gt;0,SUM(GC9:GF9)-GG9,"")</f>
        <v/>
      </c>
      <c r="GP9" s="9" t="str">
        <f>IF(SUM(GN9:GO9)&gt;0,SUM(GN9:GO9),"")</f>
        <v/>
      </c>
      <c r="GQ9" s="9" t="str">
        <f>IF(GJ9&gt;0,GJ9,"")</f>
        <v/>
      </c>
      <c r="GR9" s="9" t="str">
        <f>IF(SUM(GH9:GK9)-GL9&gt;0,SUM(GH9:GK9)-GL9,"")</f>
        <v/>
      </c>
      <c r="GS9" s="9" t="str">
        <f>IF(SUM(GP9,GR9)&gt;0,SUM(GP9,GR9),"")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7" t="str">
        <f>IF(HA9&gt;0,HA9,"")</f>
        <v/>
      </c>
      <c r="HJ9" s="7" t="str">
        <f>IF(SUM(GT9:GW9)-GX9&gt;0,SUM(GT9:GW9)-GX9,"")</f>
        <v/>
      </c>
      <c r="HK9" s="7" t="str">
        <f>IF(SUM(GY9:HB9)-HC9&gt;0,SUM(GY9:HB9)-HC9,"")</f>
        <v/>
      </c>
      <c r="HL9" s="7" t="str">
        <f>IF(SUM(HJ9:HK9)&gt;0,SUM(HJ9:HK9),"")</f>
        <v/>
      </c>
      <c r="HM9" s="7" t="str">
        <f>IF(HF9&gt;0,HF9,"")</f>
        <v/>
      </c>
      <c r="HN9" s="7" t="str">
        <f>IF(SUM(HD9:HG9)-HH9&gt;0,SUM(HD9:HG9)-HH9,"")</f>
        <v/>
      </c>
      <c r="HO9" s="7" t="str">
        <f>IF(SUM(HL9,HN9)&gt;0,SUM(HL9,HN9),"")</f>
        <v/>
      </c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9" t="str">
        <f>IF(HW9&gt;0,HW9,"")</f>
        <v/>
      </c>
      <c r="IF9" s="9" t="str">
        <f>IF(SUM(HP9:HS9)-HT9&gt;0,SUM(HP9:HS9)-HT9,"")</f>
        <v/>
      </c>
      <c r="IG9" s="9" t="str">
        <f>IF(SUM(HU9:HX9)-HY9&gt;0,SUM(HU9:HX9)-HY9,"")</f>
        <v/>
      </c>
      <c r="IH9" s="9" t="str">
        <f>IF(SUM(IF9:IG9)&gt;0,SUM(IF9:IG9),"")</f>
        <v/>
      </c>
      <c r="II9" s="9" t="str">
        <f>IF(IB9&gt;0,IB9,"")</f>
        <v/>
      </c>
      <c r="IJ9" s="9" t="str">
        <f>IF(SUM(HZ9:IC9)-ID9&gt;0,SUM(HZ9:IC9)-ID9,"")</f>
        <v/>
      </c>
      <c r="IK9" s="9" t="str">
        <f>IF(SUM(IH9,IJ9)&gt;0,SUM(IH9,IJ9),"")</f>
        <v/>
      </c>
      <c r="IL9" s="18"/>
      <c r="IM9" s="18"/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7" t="str">
        <f>IF(IS9&gt;0,IS9,"")</f>
        <v/>
      </c>
      <c r="JB9" s="7" t="str">
        <f>IF(SUM(IL9:IO9)-IP9&gt;0,SUM(IL9:IO9)-IP9,"")</f>
        <v/>
      </c>
      <c r="JC9" s="7" t="str">
        <f>IF(SUM(IQ9:IT9)-IU9&gt;0,SUM(IQ9:IT9)-IU9,"")</f>
        <v/>
      </c>
      <c r="JD9" s="7" t="str">
        <f>IF(SUM(JB9:JC9)&gt;0,SUM(JB9:JC9),"")</f>
        <v/>
      </c>
      <c r="JE9" s="7" t="str">
        <f>IF(IX9&gt;0,IX9,"")</f>
        <v/>
      </c>
      <c r="JF9" s="7" t="str">
        <f>IF(SUM(IV9:IY9)-IZ9&gt;0,SUM(IV9:IY9)-IZ9,"")</f>
        <v/>
      </c>
      <c r="JG9" s="7" t="str">
        <f>IF(SUM(JD9,JF9)&gt;0,SUM(JD9,JF9),"")</f>
        <v/>
      </c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9" t="str">
        <f>IF(JO9&gt;0,JO9,"")</f>
        <v/>
      </c>
      <c r="JX9" s="9" t="str">
        <f>IF(SUM(JH9:JK9)-JL9&gt;0,SUM(JH9:JK9)-JL9,"")</f>
        <v/>
      </c>
      <c r="JY9" s="9" t="str">
        <f>IF(SUM(JM9:JP9)-JQ9&gt;0,SUM(JM9:JP9)-JQ9,"")</f>
        <v/>
      </c>
      <c r="JZ9" s="9" t="str">
        <f>IF(SUM(JX9:JY9)&gt;0,SUM(JX9:JY9),"")</f>
        <v/>
      </c>
      <c r="KA9" s="9" t="str">
        <f>IF(JT9&gt;0,JT9,"")</f>
        <v/>
      </c>
      <c r="KB9" s="9" t="str">
        <f>IF(SUM(JR9:JU9)-JV9&gt;0,SUM(JR9:JU9)-JV9,"")</f>
        <v/>
      </c>
      <c r="KC9" s="9" t="str">
        <f>IF(SUM(JZ9,KB9)&gt;0,SUM(JZ9,KB9),"")</f>
        <v/>
      </c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8"/>
      <c r="KR9" s="18"/>
      <c r="KS9" s="7" t="str">
        <f>IF(KK9&gt;0,KK9,"")</f>
        <v/>
      </c>
      <c r="KT9" s="7" t="str">
        <f>IF(SUM(KD9:KG9)-KH9&gt;0,SUM(KD9:KG9)-KH9,"")</f>
        <v/>
      </c>
      <c r="KU9" s="7" t="str">
        <f>IF(SUM(KI9:KL9)-KM9&gt;0,SUM(KI9:KL9)-KM9,"")</f>
        <v/>
      </c>
      <c r="KV9" s="7" t="str">
        <f>IF(SUM(KT9:KU9)&gt;0,SUM(KT9:KU9),"")</f>
        <v/>
      </c>
      <c r="KW9" s="7" t="str">
        <f>IF(KP9&gt;0,KP9,"")</f>
        <v/>
      </c>
      <c r="KX9" s="7" t="str">
        <f>IF(SUM(KN9:KQ9)-KR9&gt;0,SUM(KN9:KQ9)-KR9,"")</f>
        <v/>
      </c>
      <c r="KY9" s="7" t="str">
        <f>IF(SUM(KV9,KX9)&gt;0,SUM(KV9,KX9),"")</f>
        <v/>
      </c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9" t="str">
        <f>IF(LG9&gt;0,LG9,"")</f>
        <v/>
      </c>
      <c r="LP9" s="9" t="str">
        <f>IF(SUM(KZ9:LC9)-LD9&gt;0,SUM(KZ9:LC9)-LD9,"")</f>
        <v/>
      </c>
      <c r="LQ9" s="9" t="str">
        <f>IF(SUM(LE9:LH9)-LI9&gt;0,SUM(LE9:LH9)-LI9,"")</f>
        <v/>
      </c>
      <c r="LR9" s="9" t="str">
        <f>IF(SUM(LP9:LQ9)&gt;0,SUM(LP9:LQ9),"")</f>
        <v/>
      </c>
      <c r="LS9" s="9" t="str">
        <f>IF(LL9&gt;0,LL9,"")</f>
        <v/>
      </c>
      <c r="LT9" s="9" t="str">
        <f>IF(SUM(LJ9:LM9)-LN9&gt;0,SUM(LJ9:LM9)-LN9,"")</f>
        <v/>
      </c>
      <c r="LU9" s="9" t="str">
        <f>IF(SUM(LR9,LT9)&gt;0,SUM(LR9,LT9),"")</f>
        <v/>
      </c>
      <c r="LV9" s="18"/>
      <c r="LW9" s="18"/>
      <c r="LX9" s="18"/>
      <c r="LY9" s="18"/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7" t="str">
        <f>IF(MC9&gt;0,MC9,"")</f>
        <v/>
      </c>
      <c r="ML9" s="7" t="str">
        <f>IF(SUM(LV9:LY9)-LZ9&gt;0,SUM(LV9:LY9)-LZ9,"")</f>
        <v/>
      </c>
      <c r="MM9" s="7" t="str">
        <f>IF(SUM(MA9:MD9)-ME9&gt;0,SUM(MA9:MD9)-ME9,"")</f>
        <v/>
      </c>
      <c r="MN9" s="7" t="str">
        <f>IF(SUM(ML9:MM9)&gt;0,SUM(ML9:MM9),"")</f>
        <v/>
      </c>
      <c r="MO9" s="7" t="str">
        <f>IF(MH9&gt;0,MH9,"")</f>
        <v/>
      </c>
      <c r="MP9" s="7" t="str">
        <f>IF(SUM(MF9:MI9)-MJ9&gt;0,SUM(MF9:MI9)-MJ9,"")</f>
        <v/>
      </c>
      <c r="MQ9" s="7" t="str">
        <f>IF(SUM(MN9,MP9)&gt;0,SUM(MN9,MP9),"")</f>
        <v/>
      </c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9" t="str">
        <f>IF(MY9&gt;0,MY9,"")</f>
        <v/>
      </c>
      <c r="NH9" s="9" t="str">
        <f>IF(SUM(MR9:MU9)-MV9&gt;0,SUM(MR9:MU9)-MV9,"")</f>
        <v/>
      </c>
      <c r="NI9" s="9" t="str">
        <f>IF(SUM(MW9:MZ9)-NA9&gt;0,SUM(MW9:MZ9)-NA9,"")</f>
        <v/>
      </c>
      <c r="NJ9" s="9" t="str">
        <f>IF(SUM(NH9:NI9)&gt;0,SUM(NH9:NI9),"")</f>
        <v/>
      </c>
      <c r="NK9" s="9" t="str">
        <f>IF(ND9&gt;0,ND9,"")</f>
        <v/>
      </c>
      <c r="NL9" s="9" t="str">
        <f>IF(SUM(NB9:NE9)-NF9&gt;0,SUM(NB9:NE9)-NF9,"")</f>
        <v/>
      </c>
      <c r="NM9" s="9" t="str">
        <f>IF(SUM(NJ9,NL9)&gt;0,SUM(NJ9,NL9),"")</f>
        <v/>
      </c>
      <c r="NN9" s="27">
        <f>IF($CV9="P",CB9,(CB9+AX9)/2)</f>
        <v>9.35</v>
      </c>
      <c r="NO9" s="27">
        <f>IF($CV9="P",CC9,(CC9+AY9)/2)</f>
        <v>5.6000000000000005</v>
      </c>
      <c r="NP9" s="27">
        <f>IF($CV9="P",CD9,(CD9+AZ9)/2)</f>
        <v>0</v>
      </c>
      <c r="NQ9" s="27">
        <f>IF($CV9="P",CE9,(CE9+BA9)/2)</f>
        <v>8.52</v>
      </c>
      <c r="NR9" s="27">
        <f>IF($CV9="P",CF9,(CF9+BB9)/2)</f>
        <v>0</v>
      </c>
      <c r="NS9" s="27">
        <f>IF($CV9="P",CG9,(CG9+BC9)/2)</f>
        <v>12.35</v>
      </c>
      <c r="NT9" s="27">
        <f>IF($CV9="P",CH9,(CH9+BD9)/2)</f>
        <v>8.4</v>
      </c>
      <c r="NU9" s="27">
        <f>IF($CV9="P",CI9,(CI9+BE9)/2)</f>
        <v>9.25</v>
      </c>
      <c r="NV9" s="27">
        <f>IF($CV9="P",CJ9,(CJ9+BF9)/2)</f>
        <v>12.89</v>
      </c>
      <c r="NW9" s="27">
        <f>IF($CV9="P",CK9,(CK9+BG9)/2)</f>
        <v>0</v>
      </c>
      <c r="NX9" s="27">
        <f>IF($CV9="P",CL9,(CL9+BH9)/2)</f>
        <v>0</v>
      </c>
      <c r="NY9" s="27">
        <f>IF($CV9="P",CM9,(CM9+BI9)/2)</f>
        <v>0</v>
      </c>
      <c r="NZ9" s="27">
        <f>IF($CV9="P",CN9,(CN9+BJ9)/2)</f>
        <v>0</v>
      </c>
      <c r="OA9" s="27">
        <f>IF($CV9="P",CO9,(CO9+BK9)/2)</f>
        <v>0</v>
      </c>
      <c r="OB9" s="27">
        <f>IF($CV9="P",CP9,(CP9+BL9)/2)</f>
        <v>0</v>
      </c>
      <c r="OC9" s="27">
        <f>IF($CV9="P",CQ9,(CQ9+BM9)/2)</f>
        <v>7.15</v>
      </c>
      <c r="OD9" s="27">
        <f>IF($CV9="P",CR9,(CR9+BN9)/2)</f>
        <v>4.55</v>
      </c>
      <c r="OE9" s="27">
        <f>IF($CV9="P",CS9,(CS9+BO9)/2)</f>
        <v>4.8</v>
      </c>
      <c r="OF9" s="27">
        <f>IF($CV9="P",CT9,(CT9+BP9)/2)</f>
        <v>6.79</v>
      </c>
      <c r="OG9" s="27">
        <f>IF($CV9="P",CU9,(CU9+BQ9)/2)</f>
        <v>0</v>
      </c>
      <c r="OH9" s="32" t="s">
        <v>44</v>
      </c>
      <c r="OI9" s="7">
        <f>IF(SUM(NN9:NQ9)-NR9&gt;0,SUM(NN9:NQ9)-NR9,"")</f>
        <v>23.47</v>
      </c>
      <c r="OJ9" s="7">
        <f>IF(NU9&gt;0,NU9,"")</f>
        <v>9.25</v>
      </c>
      <c r="OK9" s="7">
        <f>IF(SUM(NS9:NV9)-NW9&gt;0,SUM(NS9:NV9)-NW9,"")</f>
        <v>42.89</v>
      </c>
      <c r="OL9" s="7" t="str">
        <f>IF(NZ9&gt;0,NZ9,"")</f>
        <v/>
      </c>
      <c r="OM9" s="7" t="str">
        <f>IF(SUM(NX9:OA9)-OB9&gt;0,SUM(NX9:OA9)-OB9,"")</f>
        <v/>
      </c>
      <c r="ON9" s="7">
        <f>IF(OR(OI9&lt;&gt;"",OK9&lt;&gt;"",OM9&lt;&gt;""),OI9+MAX(OK9,OM9),"")</f>
        <v>66.36</v>
      </c>
      <c r="OO9" s="7">
        <f>IF(OE9&gt;0,OE9,"")</f>
        <v>4.8</v>
      </c>
      <c r="OP9" s="7">
        <f t="shared" ref="OP9" si="10">IF(SUM(OC9:OF9)-OG9&gt;0,SUM(OC9:OF9)-OG9,"")</f>
        <v>23.29</v>
      </c>
      <c r="OQ9" s="7">
        <f t="shared" ref="OQ9" si="11">IF(SUM(ON9,OP9)&gt;0,SUM(ON9,OP9),"")</f>
        <v>89.65</v>
      </c>
    </row>
    <row r="10" spans="1:407" x14ac:dyDescent="0.2">
      <c r="B10" s="5"/>
      <c r="D10" s="1"/>
    </row>
    <row r="12" spans="1:407" x14ac:dyDescent="0.2">
      <c r="B12" s="28" t="s">
        <v>42</v>
      </c>
      <c r="C12" s="5"/>
      <c r="AP12" s="46"/>
      <c r="AQ12" s="46"/>
      <c r="AR12" s="46"/>
      <c r="AU12" s="2"/>
      <c r="AW12" s="24">
        <v>11.2</v>
      </c>
      <c r="BT12" s="46"/>
      <c r="BU12" s="46"/>
      <c r="BV12" s="46"/>
      <c r="BY12" s="2"/>
      <c r="CA12" s="24">
        <v>11.2</v>
      </c>
      <c r="CX12" s="46"/>
      <c r="CY12" s="46"/>
      <c r="CZ12" s="46"/>
      <c r="DC12" s="2"/>
      <c r="DE12" s="24">
        <v>11.2</v>
      </c>
      <c r="DY12" s="5"/>
      <c r="EC12" s="2"/>
      <c r="EE12" s="24">
        <v>11.2</v>
      </c>
      <c r="EU12" s="5"/>
      <c r="EY12" s="2"/>
      <c r="FA12" s="24">
        <v>11.2</v>
      </c>
      <c r="FQ12" s="5"/>
      <c r="FU12" s="2"/>
      <c r="FW12" s="24">
        <v>11.2</v>
      </c>
      <c r="GM12" s="5"/>
      <c r="GQ12" s="2"/>
      <c r="GS12" s="24">
        <v>11.2</v>
      </c>
      <c r="HI12" s="5"/>
      <c r="HM12" s="2"/>
      <c r="HO12" s="24">
        <v>11.2</v>
      </c>
      <c r="IE12" s="5"/>
      <c r="II12" s="2"/>
      <c r="IK12" s="24">
        <v>11.2</v>
      </c>
      <c r="JA12" s="5"/>
      <c r="JE12" s="2"/>
      <c r="JG12" s="24">
        <v>11.2</v>
      </c>
      <c r="JW12" s="5"/>
      <c r="KA12" s="2"/>
      <c r="KC12" s="24">
        <v>11.2</v>
      </c>
      <c r="KS12" s="5"/>
      <c r="KW12" s="2"/>
      <c r="KY12" s="24">
        <v>11.2</v>
      </c>
      <c r="LO12" s="5"/>
      <c r="LS12" s="2"/>
      <c r="LU12" s="24">
        <v>11.2</v>
      </c>
      <c r="MK12" s="5"/>
      <c r="MO12" s="2"/>
      <c r="MQ12" s="24">
        <v>11.2</v>
      </c>
      <c r="NG12" s="5"/>
      <c r="NK12" s="2"/>
      <c r="NM12" s="24">
        <v>11.2</v>
      </c>
    </row>
    <row r="13" spans="1:407" hidden="1" x14ac:dyDescent="0.2">
      <c r="B13" s="35" t="s">
        <v>41</v>
      </c>
      <c r="C13" s="5"/>
      <c r="AP13" s="46"/>
      <c r="AQ13" s="46"/>
      <c r="AR13" s="46"/>
      <c r="AU13" s="2"/>
      <c r="AW13" s="37">
        <v>11.2</v>
      </c>
      <c r="BT13" s="46"/>
      <c r="BU13" s="46"/>
      <c r="BV13" s="46"/>
      <c r="BY13" s="2"/>
      <c r="CA13" s="37">
        <v>11.2</v>
      </c>
      <c r="CX13" s="46"/>
      <c r="CY13" s="46"/>
      <c r="CZ13" s="46"/>
      <c r="DC13" s="2"/>
      <c r="DE13" s="37">
        <v>11.2</v>
      </c>
      <c r="DY13" s="5"/>
      <c r="EC13" s="2"/>
      <c r="EE13" s="37">
        <v>11.2</v>
      </c>
      <c r="EU13" s="5"/>
      <c r="EY13" s="2"/>
      <c r="FA13" s="37">
        <v>11.2</v>
      </c>
      <c r="FQ13" s="5"/>
      <c r="FU13" s="2"/>
      <c r="FW13" s="37">
        <v>11.2</v>
      </c>
      <c r="GM13" s="5"/>
      <c r="GQ13" s="2"/>
      <c r="GS13" s="37">
        <v>11.2</v>
      </c>
      <c r="HI13" s="5"/>
      <c r="HM13" s="2"/>
      <c r="HO13" s="37">
        <v>11.2</v>
      </c>
      <c r="IE13" s="5"/>
      <c r="II13" s="2"/>
      <c r="IK13" s="37">
        <v>11.2</v>
      </c>
      <c r="JA13" s="5"/>
      <c r="JE13" s="2"/>
      <c r="JG13" s="37">
        <v>11.2</v>
      </c>
      <c r="JW13" s="5"/>
      <c r="KA13" s="2"/>
      <c r="KC13" s="37">
        <v>11.2</v>
      </c>
      <c r="KS13" s="5"/>
      <c r="KW13" s="2"/>
      <c r="KY13" s="37">
        <v>11.2</v>
      </c>
      <c r="LO13" s="5"/>
      <c r="LS13" s="2"/>
      <c r="LU13" s="37">
        <v>11.2</v>
      </c>
      <c r="MK13" s="5"/>
      <c r="MO13" s="2"/>
      <c r="MQ13" s="37">
        <v>11.2</v>
      </c>
      <c r="NG13" s="5"/>
      <c r="NK13" s="2"/>
      <c r="NM13" s="37">
        <v>11.2</v>
      </c>
    </row>
    <row r="14" spans="1:407" x14ac:dyDescent="0.2">
      <c r="A14" s="5"/>
      <c r="B14" s="36" t="s">
        <v>54</v>
      </c>
      <c r="C14" s="5"/>
      <c r="AP14" s="46"/>
      <c r="AQ14" s="46"/>
      <c r="AR14" s="46"/>
      <c r="AT14" s="2"/>
      <c r="AU14" s="2"/>
      <c r="AV14" s="2"/>
      <c r="AW14" s="38">
        <v>11.2</v>
      </c>
      <c r="BT14" s="46"/>
      <c r="BU14" s="46"/>
      <c r="BV14" s="46"/>
      <c r="BY14" s="2"/>
      <c r="CA14" s="38">
        <v>11.2</v>
      </c>
      <c r="CX14" s="46"/>
      <c r="CY14" s="46"/>
      <c r="CZ14" s="46"/>
      <c r="DB14" s="2"/>
      <c r="DC14" s="2"/>
      <c r="DD14" s="2"/>
      <c r="DE14" s="38">
        <v>11.2</v>
      </c>
      <c r="DY14" s="5"/>
      <c r="EC14" s="2"/>
      <c r="EE14" s="38">
        <v>11.2</v>
      </c>
      <c r="EU14" s="5"/>
      <c r="EY14" s="2"/>
      <c r="FA14" s="38">
        <v>11.2</v>
      </c>
      <c r="FQ14" s="5"/>
      <c r="FU14" s="2"/>
      <c r="FW14" s="38">
        <v>11.2</v>
      </c>
      <c r="GM14" s="5"/>
      <c r="GQ14" s="2"/>
      <c r="GS14" s="38">
        <v>11.2</v>
      </c>
      <c r="HI14" s="5"/>
      <c r="HM14" s="2"/>
      <c r="HO14" s="38">
        <v>11.2</v>
      </c>
      <c r="IE14" s="5"/>
      <c r="II14" s="2"/>
      <c r="IK14" s="38">
        <v>11.2</v>
      </c>
      <c r="JA14" s="5"/>
      <c r="JE14" s="2"/>
      <c r="JG14" s="38">
        <v>11.2</v>
      </c>
      <c r="JW14" s="5"/>
      <c r="KA14" s="2"/>
      <c r="KC14" s="38">
        <v>11.2</v>
      </c>
      <c r="KS14" s="5"/>
      <c r="KW14" s="2"/>
      <c r="KY14" s="38">
        <v>11.2</v>
      </c>
      <c r="LO14" s="5"/>
      <c r="LS14" s="2"/>
      <c r="LU14" s="38">
        <v>11.2</v>
      </c>
      <c r="MK14" s="5"/>
      <c r="MO14" s="2"/>
      <c r="MQ14" s="38">
        <v>11.2</v>
      </c>
      <c r="NG14" s="5"/>
      <c r="NK14" s="2"/>
      <c r="NM14" s="38">
        <v>11.2</v>
      </c>
    </row>
    <row r="15" spans="1:407" x14ac:dyDescent="0.2">
      <c r="A15" s="5"/>
      <c r="B15" s="44" t="s">
        <v>59</v>
      </c>
      <c r="C15" s="5"/>
      <c r="AP15" s="46"/>
      <c r="AQ15" s="46"/>
      <c r="AR15" s="46"/>
      <c r="AT15" s="2"/>
      <c r="AU15" s="2"/>
      <c r="AV15" s="2"/>
      <c r="AW15" s="45">
        <v>11.2</v>
      </c>
      <c r="BT15" s="46"/>
      <c r="BU15" s="46"/>
      <c r="BV15" s="46"/>
      <c r="BY15" s="2"/>
      <c r="CA15" s="45">
        <v>11.2</v>
      </c>
      <c r="CX15" s="46"/>
      <c r="CY15" s="46"/>
      <c r="CZ15" s="46"/>
      <c r="DB15" s="2"/>
      <c r="DC15" s="2"/>
      <c r="DD15" s="2"/>
      <c r="DE15" s="45">
        <v>11.2</v>
      </c>
      <c r="DY15" s="5"/>
      <c r="EC15" s="2"/>
      <c r="EE15" s="45">
        <v>11.2</v>
      </c>
      <c r="EU15" s="5"/>
      <c r="EY15" s="2"/>
      <c r="FA15" s="45">
        <v>11.2</v>
      </c>
      <c r="FQ15" s="5"/>
      <c r="FU15" s="2"/>
      <c r="FW15" s="45">
        <v>11.2</v>
      </c>
      <c r="GM15" s="5"/>
      <c r="GQ15" s="2"/>
      <c r="GS15" s="45">
        <v>11.2</v>
      </c>
      <c r="HI15" s="5"/>
      <c r="HM15" s="2"/>
      <c r="HO15" s="45">
        <v>11.2</v>
      </c>
      <c r="IE15" s="5"/>
      <c r="II15" s="2"/>
      <c r="IK15" s="45">
        <v>11.2</v>
      </c>
      <c r="JA15" s="5"/>
      <c r="JE15" s="2"/>
      <c r="JG15" s="45">
        <v>11.2</v>
      </c>
      <c r="JW15" s="5"/>
      <c r="KA15" s="2"/>
      <c r="KC15" s="45">
        <v>11.2</v>
      </c>
      <c r="KS15" s="5"/>
      <c r="KW15" s="2"/>
      <c r="KY15" s="45">
        <v>11.2</v>
      </c>
      <c r="LO15" s="5"/>
      <c r="LS15" s="2"/>
      <c r="LU15" s="45">
        <v>11.2</v>
      </c>
      <c r="MK15" s="5"/>
      <c r="MO15" s="2"/>
      <c r="MQ15" s="45">
        <v>11.2</v>
      </c>
      <c r="NG15" s="5"/>
      <c r="NK15" s="2"/>
      <c r="NM15" s="45">
        <v>11.2</v>
      </c>
    </row>
    <row r="16" spans="1:407" x14ac:dyDescent="0.2">
      <c r="A16" s="5"/>
      <c r="B16" s="42" t="s">
        <v>39</v>
      </c>
      <c r="C16" s="5"/>
      <c r="M16" s="2"/>
      <c r="AP16" s="46"/>
      <c r="AQ16" s="46"/>
      <c r="AR16" s="46"/>
      <c r="AT16" s="2"/>
      <c r="AU16" s="2"/>
      <c r="AV16" s="2"/>
      <c r="AW16" s="43">
        <v>90.2</v>
      </c>
      <c r="BT16" s="46"/>
      <c r="BU16" s="46"/>
      <c r="BV16" s="46"/>
      <c r="BY16" s="2"/>
      <c r="CA16" s="43">
        <v>90.2</v>
      </c>
      <c r="CX16" s="46"/>
      <c r="CY16" s="46"/>
      <c r="CZ16" s="46"/>
      <c r="DB16" s="2"/>
      <c r="DC16" s="2"/>
      <c r="DD16" s="2"/>
      <c r="DE16" s="43">
        <v>90.2</v>
      </c>
      <c r="DY16" s="5"/>
      <c r="EC16" s="2"/>
      <c r="EE16" s="43">
        <v>90.2</v>
      </c>
      <c r="EU16" s="5"/>
      <c r="EY16" s="2"/>
      <c r="FA16" s="43">
        <v>90.2</v>
      </c>
      <c r="FQ16" s="5"/>
      <c r="FU16" s="2"/>
      <c r="FW16" s="43">
        <v>90.2</v>
      </c>
      <c r="GM16" s="5"/>
      <c r="GQ16" s="2"/>
      <c r="GS16" s="43">
        <v>90.2</v>
      </c>
      <c r="HI16" s="5"/>
      <c r="HM16" s="2"/>
      <c r="HO16" s="43">
        <v>90.2</v>
      </c>
      <c r="IE16" s="5"/>
      <c r="II16" s="2"/>
      <c r="IK16" s="43">
        <v>90.2</v>
      </c>
      <c r="JA16" s="5"/>
      <c r="JE16" s="2"/>
      <c r="JG16" s="43">
        <v>90.2</v>
      </c>
      <c r="JW16" s="5"/>
      <c r="KA16" s="2"/>
      <c r="KC16" s="43">
        <v>90.2</v>
      </c>
      <c r="KS16" s="5"/>
      <c r="KW16" s="2"/>
      <c r="KY16" s="43">
        <v>90.2</v>
      </c>
      <c r="LO16" s="5"/>
      <c r="LS16" s="2"/>
      <c r="LU16" s="43">
        <v>90.2</v>
      </c>
      <c r="MK16" s="5"/>
      <c r="MO16" s="2"/>
      <c r="MQ16" s="43">
        <v>90.2</v>
      </c>
      <c r="NG16" s="5"/>
      <c r="NK16" s="2"/>
      <c r="NM16" s="43">
        <v>90.2</v>
      </c>
    </row>
    <row r="17" spans="1:377" hidden="1" x14ac:dyDescent="0.2">
      <c r="A17" s="5"/>
      <c r="B17" s="29" t="s">
        <v>40</v>
      </c>
      <c r="C17" s="5"/>
      <c r="M17" s="2"/>
      <c r="AP17" s="46"/>
      <c r="AQ17" s="46"/>
      <c r="AR17" s="46"/>
      <c r="AT17" s="2"/>
      <c r="AU17" s="2"/>
      <c r="AV17" s="2"/>
      <c r="AW17" s="25">
        <v>93.1</v>
      </c>
      <c r="BT17" s="46"/>
      <c r="BU17" s="46"/>
      <c r="BV17" s="46"/>
      <c r="BY17" s="2"/>
      <c r="CA17" s="25">
        <v>93.1</v>
      </c>
      <c r="CX17" s="46"/>
      <c r="CY17" s="46"/>
      <c r="CZ17" s="46"/>
      <c r="DB17" s="2"/>
      <c r="DC17" s="2"/>
      <c r="DD17" s="2"/>
      <c r="DE17" s="25">
        <v>93.1</v>
      </c>
      <c r="DY17" s="5"/>
      <c r="EC17" s="2"/>
      <c r="EE17" s="25">
        <v>93.1</v>
      </c>
      <c r="EU17" s="5"/>
      <c r="EY17" s="2"/>
      <c r="FA17" s="25">
        <v>93.1</v>
      </c>
      <c r="FQ17" s="5"/>
      <c r="FU17" s="2"/>
      <c r="FW17" s="25">
        <v>93.1</v>
      </c>
      <c r="GM17" s="5"/>
      <c r="GQ17" s="2"/>
      <c r="GS17" s="25">
        <v>93.1</v>
      </c>
      <c r="HI17" s="5"/>
      <c r="HM17" s="2"/>
      <c r="HO17" s="25">
        <v>93.1</v>
      </c>
      <c r="IE17" s="5"/>
      <c r="II17" s="2"/>
      <c r="IK17" s="25">
        <v>93.1</v>
      </c>
      <c r="JA17" s="5"/>
      <c r="JE17" s="2"/>
      <c r="JG17" s="25">
        <v>93.1</v>
      </c>
      <c r="JW17" s="5"/>
      <c r="KA17" s="2"/>
      <c r="KC17" s="25">
        <v>93.1</v>
      </c>
      <c r="KS17" s="5"/>
      <c r="KW17" s="2"/>
      <c r="KY17" s="25">
        <v>93.1</v>
      </c>
      <c r="LO17" s="5"/>
      <c r="LS17" s="2"/>
      <c r="LU17" s="25">
        <v>93.1</v>
      </c>
      <c r="MK17" s="5"/>
      <c r="MO17" s="2"/>
      <c r="MQ17" s="25">
        <v>93.1</v>
      </c>
      <c r="NG17" s="5"/>
      <c r="NK17" s="2"/>
      <c r="NM17" s="25">
        <v>93.1</v>
      </c>
    </row>
    <row r="18" spans="1:377" x14ac:dyDescent="0.2">
      <c r="A18" s="5"/>
      <c r="B18" s="40" t="s">
        <v>53</v>
      </c>
      <c r="C18" s="5"/>
      <c r="AP18" s="46"/>
      <c r="AQ18" s="46"/>
      <c r="AR18" s="46"/>
      <c r="AT18" s="2"/>
      <c r="AU18" s="2"/>
      <c r="AV18" s="49"/>
      <c r="AW18" s="41">
        <v>93.1</v>
      </c>
      <c r="BT18" s="46"/>
      <c r="BU18" s="46"/>
      <c r="BV18" s="46"/>
      <c r="BY18" s="2"/>
      <c r="BZ18" s="48"/>
      <c r="CA18" s="41">
        <v>93.1</v>
      </c>
      <c r="CX18" s="46"/>
      <c r="CY18" s="46"/>
      <c r="CZ18" s="46"/>
      <c r="DB18" s="2"/>
      <c r="DC18" s="2"/>
      <c r="DD18" s="2"/>
      <c r="DE18" s="41">
        <v>93.1</v>
      </c>
      <c r="DY18" s="5"/>
      <c r="EC18" s="2"/>
      <c r="EE18" s="41">
        <v>93.1</v>
      </c>
      <c r="EU18" s="5"/>
      <c r="EY18" s="2"/>
      <c r="FA18" s="41">
        <v>93.1</v>
      </c>
      <c r="FQ18" s="5"/>
      <c r="FU18" s="2"/>
      <c r="FW18" s="41">
        <v>93.1</v>
      </c>
      <c r="GM18" s="5"/>
      <c r="GQ18" s="2"/>
      <c r="GR18" s="48"/>
      <c r="GS18" s="41">
        <v>93.1</v>
      </c>
      <c r="HI18" s="5"/>
      <c r="HM18" s="2"/>
      <c r="HN18" s="48"/>
      <c r="HO18" s="41">
        <v>93.1</v>
      </c>
      <c r="IE18" s="5"/>
      <c r="II18" s="2"/>
      <c r="IK18" s="41">
        <v>93.1</v>
      </c>
      <c r="JA18" s="5"/>
      <c r="JE18" s="2"/>
      <c r="JG18" s="41">
        <v>93.1</v>
      </c>
      <c r="JW18" s="5"/>
      <c r="KA18" s="2"/>
      <c r="KB18" s="50"/>
      <c r="KC18" s="41">
        <v>93.1</v>
      </c>
      <c r="KS18" s="5"/>
      <c r="KW18" s="2"/>
      <c r="KY18" s="41">
        <v>93.1</v>
      </c>
      <c r="LO18" s="5"/>
      <c r="LS18" s="2"/>
      <c r="LU18" s="41">
        <v>93.1</v>
      </c>
      <c r="MK18" s="5"/>
      <c r="MO18" s="2"/>
      <c r="MP18" s="50"/>
      <c r="MQ18" s="41">
        <v>93.1</v>
      </c>
      <c r="NG18" s="5"/>
      <c r="NK18" s="2"/>
      <c r="NM18" s="41">
        <v>93.1</v>
      </c>
    </row>
    <row r="19" spans="1:377" x14ac:dyDescent="0.2">
      <c r="A19" s="5"/>
      <c r="B19" s="30" t="s">
        <v>26</v>
      </c>
      <c r="C19" s="5"/>
      <c r="M19" s="2"/>
      <c r="AP19" s="46"/>
      <c r="AQ19" s="46"/>
      <c r="AR19" s="46"/>
      <c r="AT19" s="2"/>
      <c r="AU19" s="2"/>
      <c r="AV19" s="2"/>
      <c r="AW19" s="26">
        <v>51</v>
      </c>
      <c r="BT19" s="46"/>
      <c r="BU19" s="46"/>
      <c r="BV19" s="46"/>
      <c r="BY19" s="2"/>
      <c r="CA19" s="26">
        <v>51</v>
      </c>
      <c r="CX19" s="46"/>
      <c r="CY19" s="46"/>
      <c r="CZ19" s="46"/>
      <c r="DB19" s="2"/>
      <c r="DC19" s="2"/>
      <c r="DD19" s="2"/>
      <c r="DE19" s="26">
        <v>51</v>
      </c>
      <c r="DY19" s="5"/>
      <c r="EC19" s="2"/>
      <c r="EE19" s="26">
        <v>51</v>
      </c>
      <c r="EU19" s="5"/>
      <c r="EY19" s="2"/>
      <c r="FA19" s="26">
        <v>51</v>
      </c>
      <c r="FQ19" s="5"/>
      <c r="FU19" s="2"/>
      <c r="FW19" s="26">
        <v>51</v>
      </c>
      <c r="GM19" s="5"/>
      <c r="GQ19" s="2"/>
      <c r="GR19" s="48"/>
      <c r="GS19" s="26">
        <v>51</v>
      </c>
      <c r="HI19" s="5"/>
      <c r="HM19" s="2"/>
      <c r="HO19" s="26">
        <v>51</v>
      </c>
      <c r="IE19" s="5"/>
      <c r="II19" s="2"/>
      <c r="IK19" s="26">
        <v>51</v>
      </c>
      <c r="JA19" s="5"/>
      <c r="JE19" s="2"/>
      <c r="JG19" s="26">
        <v>51</v>
      </c>
      <c r="JW19" s="5"/>
      <c r="KA19" s="2"/>
      <c r="KC19" s="26">
        <v>51</v>
      </c>
      <c r="KS19" s="5"/>
      <c r="KW19" s="2"/>
      <c r="KY19" s="26">
        <v>51</v>
      </c>
      <c r="LO19" s="5"/>
      <c r="LS19" s="2"/>
      <c r="LU19" s="26">
        <v>51</v>
      </c>
      <c r="MK19" s="5"/>
      <c r="MO19" s="2"/>
      <c r="MQ19" s="26">
        <v>51</v>
      </c>
      <c r="NG19" s="5"/>
      <c r="NK19" s="2"/>
      <c r="NM19" s="26">
        <v>51</v>
      </c>
    </row>
    <row r="20" spans="1:377" x14ac:dyDescent="0.2">
      <c r="B20" s="34" t="s">
        <v>45</v>
      </c>
      <c r="C20" s="2"/>
      <c r="AS20" s="2"/>
      <c r="AT20" s="2"/>
      <c r="AV20" s="2"/>
      <c r="DA20" s="2"/>
      <c r="DB20" s="2"/>
      <c r="DD20" s="2"/>
      <c r="EV20" s="2"/>
    </row>
    <row r="21" spans="1:377" x14ac:dyDescent="0.2">
      <c r="A21" s="5"/>
      <c r="B21" s="5"/>
      <c r="C21" s="22"/>
      <c r="AO21" s="2"/>
      <c r="AP21" s="2"/>
      <c r="AQ21" s="2"/>
      <c r="AR21" s="2"/>
      <c r="AS21" s="2"/>
      <c r="AT21" s="2"/>
      <c r="AV21" s="2"/>
      <c r="CW21" s="2"/>
      <c r="CX21" s="2"/>
      <c r="CY21" s="2"/>
      <c r="CZ21" s="2"/>
      <c r="DA21" s="2"/>
      <c r="DB21" s="2"/>
      <c r="DD21" s="2"/>
    </row>
    <row r="22" spans="1:377" ht="17" x14ac:dyDescent="0.2">
      <c r="A22" s="5"/>
      <c r="B22" s="5"/>
      <c r="C22" s="22"/>
      <c r="Q22" s="11"/>
      <c r="R22" s="11"/>
      <c r="AO22" s="2"/>
      <c r="AP22" s="2"/>
      <c r="AQ22" s="2"/>
      <c r="AR22" s="2"/>
      <c r="AS22" s="2"/>
      <c r="AT22" s="2"/>
      <c r="AV22" s="2"/>
      <c r="CW22" s="2"/>
      <c r="CX22" s="2"/>
      <c r="CY22" s="2"/>
      <c r="CZ22" s="2"/>
      <c r="DA22" s="2"/>
      <c r="DB22" s="2"/>
      <c r="DD22" s="2"/>
    </row>
    <row r="23" spans="1:377" ht="17" x14ac:dyDescent="0.2">
      <c r="A23" s="5"/>
      <c r="B23" s="5"/>
      <c r="C23" s="22"/>
      <c r="Q23" s="11"/>
      <c r="AO23" s="2"/>
      <c r="AP23" s="2"/>
      <c r="AQ23" s="2"/>
      <c r="AR23" s="2"/>
      <c r="AS23" s="2"/>
      <c r="AT23" s="2"/>
      <c r="AV23" s="2"/>
      <c r="CW23" s="2"/>
      <c r="CX23" s="2"/>
      <c r="CY23" s="2"/>
      <c r="CZ23" s="2"/>
      <c r="DA23" s="2"/>
      <c r="DB23" s="2"/>
      <c r="DD23" s="2"/>
    </row>
    <row r="24" spans="1:377" ht="17" x14ac:dyDescent="0.2">
      <c r="Q24" s="11"/>
      <c r="R24" s="11"/>
      <c r="AO24" s="2"/>
      <c r="AP24" s="2"/>
      <c r="AQ24" s="2"/>
      <c r="AR24" s="2"/>
      <c r="AS24" s="2"/>
      <c r="AT24" s="2"/>
      <c r="AV24" s="2"/>
      <c r="CW24" s="2"/>
      <c r="CX24" s="2"/>
      <c r="CY24" s="2"/>
      <c r="CZ24" s="2"/>
      <c r="DA24" s="2"/>
      <c r="DB24" s="2"/>
      <c r="DD24" s="2"/>
    </row>
    <row r="25" spans="1:377" ht="17" x14ac:dyDescent="0.2">
      <c r="Q25" s="11"/>
      <c r="R25" s="11"/>
      <c r="AO25" s="2"/>
      <c r="AP25" s="2"/>
      <c r="AQ25" s="2"/>
      <c r="AR25" s="2"/>
      <c r="AS25" s="2"/>
      <c r="AT25" s="2"/>
      <c r="AV25" s="2"/>
      <c r="CW25" s="2"/>
      <c r="CX25" s="2"/>
      <c r="CY25" s="2"/>
      <c r="CZ25" s="2"/>
      <c r="DA25" s="2"/>
      <c r="DB25" s="2"/>
      <c r="DD25" s="2"/>
    </row>
    <row r="26" spans="1:377" ht="17" x14ac:dyDescent="0.2">
      <c r="Q26" s="11"/>
      <c r="R26" s="11"/>
      <c r="AO26" s="2"/>
      <c r="AP26" s="2"/>
      <c r="AQ26" s="2"/>
      <c r="AR26" s="2"/>
      <c r="AS26" s="2"/>
      <c r="AT26" s="2"/>
      <c r="AV26" s="2"/>
      <c r="CW26" s="2"/>
      <c r="CX26" s="2"/>
      <c r="CY26" s="2"/>
      <c r="CZ26" s="2"/>
      <c r="DA26" s="2"/>
      <c r="DB26" s="2"/>
      <c r="DD26" s="2"/>
    </row>
    <row r="27" spans="1:377" ht="17" x14ac:dyDescent="0.2">
      <c r="Q27" s="11"/>
      <c r="R27" s="11"/>
      <c r="S27" s="11"/>
    </row>
    <row r="28" spans="1:377" ht="17" x14ac:dyDescent="0.2">
      <c r="Q28" s="11"/>
      <c r="R28" s="11"/>
      <c r="S28" s="11"/>
    </row>
    <row r="29" spans="1:377" ht="17" x14ac:dyDescent="0.2">
      <c r="Q29" s="11"/>
      <c r="R29" s="11"/>
      <c r="S29" s="11"/>
    </row>
    <row r="30" spans="1:377" ht="17" x14ac:dyDescent="0.2">
      <c r="Q30" s="11"/>
      <c r="R30" s="11"/>
      <c r="S30" s="11"/>
    </row>
    <row r="31" spans="1:377" ht="17" x14ac:dyDescent="0.2">
      <c r="Q31" s="11"/>
      <c r="R31" s="11"/>
      <c r="S31" s="11"/>
    </row>
    <row r="32" spans="1:377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  <row r="38" spans="17:19" ht="17" x14ac:dyDescent="0.2">
      <c r="Q38" s="11"/>
      <c r="R38" s="11"/>
      <c r="S38" s="11"/>
    </row>
    <row r="39" spans="17:19" ht="17" x14ac:dyDescent="0.2">
      <c r="Q39" s="11"/>
      <c r="R39" s="11"/>
      <c r="S39" s="11"/>
    </row>
    <row r="40" spans="17:19" ht="17" x14ac:dyDescent="0.2">
      <c r="Q40" s="11"/>
      <c r="R40" s="11"/>
      <c r="S40" s="11"/>
    </row>
    <row r="41" spans="17:19" ht="17" x14ac:dyDescent="0.2">
      <c r="Q41" s="11"/>
      <c r="R41" s="11"/>
      <c r="S41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4:OO9">
      <sortCondition descending="1" ref="F1:F10"/>
    </sortState>
  </autoFilter>
  <mergeCells count="88">
    <mergeCell ref="NN2:NR2"/>
    <mergeCell ref="NS2:NW2"/>
    <mergeCell ref="NX2:OB2"/>
    <mergeCell ref="OC2:OG2"/>
    <mergeCell ref="LV2:LZ2"/>
    <mergeCell ref="MA2:ME2"/>
    <mergeCell ref="MF2:MJ2"/>
    <mergeCell ref="MR2:MV2"/>
    <mergeCell ref="MW2:NA2"/>
    <mergeCell ref="NB2:NF2"/>
    <mergeCell ref="LJ2:LN2"/>
    <mergeCell ref="IL2:IP2"/>
    <mergeCell ref="IQ2:IU2"/>
    <mergeCell ref="IV2:IZ2"/>
    <mergeCell ref="JH2:JL2"/>
    <mergeCell ref="JM2:JQ2"/>
    <mergeCell ref="JR2:JV2"/>
    <mergeCell ref="KD2:KH2"/>
    <mergeCell ref="KI2:KM2"/>
    <mergeCell ref="KN2:KR2"/>
    <mergeCell ref="KZ2:LD2"/>
    <mergeCell ref="LE2:LI2"/>
    <mergeCell ref="HZ2:ID2"/>
    <mergeCell ref="FB2:FF2"/>
    <mergeCell ref="FG2:FK2"/>
    <mergeCell ref="FL2:FP2"/>
    <mergeCell ref="FX2:GB2"/>
    <mergeCell ref="GC2:GG2"/>
    <mergeCell ref="GH2:GL2"/>
    <mergeCell ref="GT2:GX2"/>
    <mergeCell ref="GY2:HC2"/>
    <mergeCell ref="HD2:HH2"/>
    <mergeCell ref="HP2:HT2"/>
    <mergeCell ref="HU2:HY2"/>
    <mergeCell ref="DJ2:DN2"/>
    <mergeCell ref="DO2:DS2"/>
    <mergeCell ref="DT2:DX2"/>
    <mergeCell ref="EF2:EJ2"/>
    <mergeCell ref="EK2:EO2"/>
    <mergeCell ref="EP2:ET2"/>
    <mergeCell ref="NN1:OO1"/>
    <mergeCell ref="T2:X2"/>
    <mergeCell ref="Y2:AC2"/>
    <mergeCell ref="AD2:AH2"/>
    <mergeCell ref="AI2:AM2"/>
    <mergeCell ref="AX2:BB2"/>
    <mergeCell ref="BC2:BG2"/>
    <mergeCell ref="BH2:BL2"/>
    <mergeCell ref="BM2:BQ2"/>
    <mergeCell ref="CB2:CF2"/>
    <mergeCell ref="IL1:JG1"/>
    <mergeCell ref="JH1:KC1"/>
    <mergeCell ref="KD1:KY1"/>
    <mergeCell ref="KZ1:LU1"/>
    <mergeCell ref="LV1:MQ1"/>
    <mergeCell ref="MR1:NM1"/>
    <mergeCell ref="DJ1:EE1"/>
    <mergeCell ref="EF1:FA1"/>
    <mergeCell ref="FB1:FW1"/>
    <mergeCell ref="FX1:GS1"/>
    <mergeCell ref="GT1:HO1"/>
    <mergeCell ref="HP1:IK1"/>
    <mergeCell ref="DF1:DI1"/>
    <mergeCell ref="CG2:CK2"/>
    <mergeCell ref="CL2:CP2"/>
    <mergeCell ref="CQ2:CU2"/>
    <mergeCell ref="L1:L3"/>
    <mergeCell ref="M1:M3"/>
    <mergeCell ref="N1:N3"/>
    <mergeCell ref="O1:O3"/>
    <mergeCell ref="P1:P3"/>
    <mergeCell ref="Q1:Q3"/>
    <mergeCell ref="R1:R3"/>
    <mergeCell ref="S1:S3"/>
    <mergeCell ref="T1:AW1"/>
    <mergeCell ref="AX1:CA1"/>
    <mergeCell ref="CB1:DE1"/>
    <mergeCell ref="K1:K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</mergeCells>
  <conditionalFormatting sqref="H4:H1048576">
    <cfRule type="containsText" dxfId="156" priority="17" operator="containsText" text="No DD">
      <formula>NOT(ISERROR(SEARCH("No DD",H4)))</formula>
    </cfRule>
    <cfRule type="containsText" dxfId="155" priority="18" operator="containsText" text="Merit">
      <formula>NOT(ISERROR(SEARCH("Merit",H4)))</formula>
    </cfRule>
    <cfRule type="containsText" dxfId="154" priority="19" operator="containsText" text="Excellence">
      <formula>NOT(ISERROR(SEARCH("Excellence",H4)))</formula>
    </cfRule>
    <cfRule type="containsText" dxfId="153" priority="20" operator="containsText" text="Worlds Team">
      <formula>NOT(ISERROR(SEARCH("Worlds Team",H4)))</formula>
    </cfRule>
    <cfRule type="containsText" dxfId="152" priority="21" operator="containsText" text="National Team">
      <formula>NOT(ISERROR(SEARCH("National Team",H4)))</formula>
    </cfRule>
  </conditionalFormatting>
  <conditionalFormatting sqref="T4:AW9">
    <cfRule type="expression" dxfId="151" priority="7" stopIfTrue="1">
      <formula>IF($AN4&lt;&gt;"",1,0)</formula>
    </cfRule>
  </conditionalFormatting>
  <conditionalFormatting sqref="AX4:CA9">
    <cfRule type="expression" dxfId="150" priority="15" stopIfTrue="1">
      <formula>IF($BR4&lt;&gt;"",1,0)</formula>
    </cfRule>
  </conditionalFormatting>
  <conditionalFormatting sqref="L1:L1048576 P1:P1048576 J1:J1048576 N1:N1048576">
    <cfRule type="expression" dxfId="149" priority="22">
      <formula>IF(J1=$CB$1,1,0)</formula>
    </cfRule>
    <cfRule type="expression" dxfId="148" priority="23">
      <formula>IF(J1=$AX$1,1,0)</formula>
    </cfRule>
    <cfRule type="expression" dxfId="147" priority="24">
      <formula>IF(J1=$T$1,1,0)</formula>
    </cfRule>
  </conditionalFormatting>
  <conditionalFormatting sqref="CB4:DE9">
    <cfRule type="expression" dxfId="146" priority="16" stopIfTrue="1">
      <formula>IF($CV4&lt;&gt;"",1,0)</formula>
    </cfRule>
  </conditionalFormatting>
  <conditionalFormatting sqref="GR20:GR1048576 HN19:HN1048576 KB19:KB1048576 MP19:MP1048576 AV1:AV1048576 BZ1:BZ1048576 DD1:DD1048576 ED1:ED1048576 EZ1:EZ1048576 FV1:FV1048576 GR1:GR17 HN1:HN17 IJ1:IJ1048576 JF1:JF1048576 KB1:KB17 KX1:KX1048576 LT1:LT1048576 MP1:MP17 NL1:NL1048576">
    <cfRule type="cellIs" dxfId="145" priority="37585" operator="between">
      <formula>AW$19</formula>
      <formula>1000</formula>
    </cfRule>
  </conditionalFormatting>
  <conditionalFormatting sqref="H1:H3">
    <cfRule type="containsText" dxfId="144" priority="2" operator="containsText" text="No DD">
      <formula>NOT(ISERROR(SEARCH("No DD",H1)))</formula>
    </cfRule>
    <cfRule type="containsText" dxfId="143" priority="3" operator="containsText" text="Merit">
      <formula>NOT(ISERROR(SEARCH("Merit",H1)))</formula>
    </cfRule>
    <cfRule type="containsText" dxfId="142" priority="4" operator="containsText" text="Excellence">
      <formula>NOT(ISERROR(SEARCH("Excellence",H1)))</formula>
    </cfRule>
    <cfRule type="containsText" dxfId="141" priority="5" operator="containsText" text="Worlds Team">
      <formula>NOT(ISERROR(SEARCH("Worlds Team",H1)))</formula>
    </cfRule>
    <cfRule type="containsText" dxfId="140" priority="6" operator="containsText" text="National Team">
      <formula>NOT(ISERROR(SEARCH("National Team",H1)))</formula>
    </cfRule>
  </conditionalFormatting>
  <conditionalFormatting sqref="A4:A1048576">
    <cfRule type="expression" dxfId="139" priority="1">
      <formula>AND(G4&lt;&gt;"",F4="")</formula>
    </cfRule>
    <cfRule type="expression" dxfId="138" priority="48720">
      <formula>IF(A4&gt;4,1,0)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37" priority="53298" operator="between">
      <formula>AW$19</formula>
      <formula>1000</formula>
    </cfRule>
    <cfRule type="cellIs" dxfId="136" priority="53299" operator="between">
      <formula>AW$18</formula>
      <formula>AW$19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35" priority="53388" operator="between">
      <formula>AW$18</formula>
      <formula>1000</formula>
    </cfRule>
    <cfRule type="cellIs" dxfId="134" priority="53389" operator="between">
      <formula>AW$17</formula>
      <formula>AW$18</formula>
    </cfRule>
    <cfRule type="cellIs" dxfId="133" priority="53390" operator="between">
      <formula>AW$16</formula>
      <formula>AW$17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32" priority="53523" operator="between">
      <formula>EE$15</formula>
      <formula>1000</formula>
    </cfRule>
    <cfRule type="cellIs" dxfId="131" priority="53524" operator="between">
      <formula>EE$14</formula>
      <formula>EE$15</formula>
    </cfRule>
    <cfRule type="cellIs" dxfId="130" priority="53525" operator="between">
      <formula>EE$13</formula>
      <formula>EE$14</formula>
    </cfRule>
    <cfRule type="cellIs" dxfId="129" priority="53526" operator="between">
      <formula>EE$12</formula>
      <formula>EE$13</formula>
    </cfRule>
  </conditionalFormatting>
  <conditionalFormatting sqref="AP1:AP1048576 BT1:BT1048576 CX1:CX1048576">
    <cfRule type="cellIs" dxfId="128" priority="53667" operator="between">
      <formula>AW$15</formula>
      <formula>1000</formula>
    </cfRule>
    <cfRule type="cellIs" dxfId="127" priority="53668" operator="between">
      <formula>AW$14</formula>
      <formula>AW$15</formula>
    </cfRule>
    <cfRule type="cellIs" dxfId="126" priority="53669" operator="between">
      <formula>AW$13</formula>
      <formula>AW$14</formula>
    </cfRule>
    <cfRule type="cellIs" dxfId="125" priority="53670" operator="between">
      <formula>AW$12</formula>
      <formula>AW$13</formula>
    </cfRule>
  </conditionalFormatting>
  <conditionalFormatting sqref="AQ1:AQ1048576 BU1:BU1048576 CY1:CY1048576">
    <cfRule type="cellIs" dxfId="124" priority="53703" operator="between">
      <formula>AW$19</formula>
      <formula>1000</formula>
    </cfRule>
  </conditionalFormatting>
  <conditionalFormatting sqref="AR1:AR1048576 BV1:BV1048576 CZ1:CZ1048576">
    <cfRule type="cellIs" dxfId="123" priority="53712" operator="between">
      <formula>AW$15</formula>
      <formula>1000</formula>
    </cfRule>
    <cfRule type="cellIs" dxfId="122" priority="53713" operator="between">
      <formula>AW$14</formula>
      <formula>AW$15</formula>
    </cfRule>
    <cfRule type="cellIs" dxfId="121" priority="53714" operator="between">
      <formula>AW$13</formula>
      <formula>AW$14</formula>
    </cfRule>
    <cfRule type="cellIs" dxfId="120" priority="53715" operator="between">
      <formula>AW$12</formula>
      <formula>AW$13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19" priority="53748" operator="between">
      <formula>AW$15</formula>
      <formula>1000</formula>
    </cfRule>
    <cfRule type="cellIs" dxfId="118" priority="53749" operator="between">
      <formula>AW$14</formula>
      <formula>AW$15</formula>
    </cfRule>
    <cfRule type="cellIs" dxfId="117" priority="53750" operator="between">
      <formula>AW$13</formula>
      <formula>AW$14</formula>
    </cfRule>
    <cfRule type="cellIs" dxfId="116" priority="53751" operator="between">
      <formula>AW$12</formula>
      <formula>AW$13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3A0F1-87BA-754E-A4A8-47AC0EFDA5EB}">
  <sheetPr codeName="Sheet11"/>
  <dimension ref="A1:PW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83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87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95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 t="s">
        <v>97</v>
      </c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DD"),SUMPRODUCT((H$4:H$6&lt;&gt;"")*(H$4:H$6&lt;&gt;"No DD")*(E$4:E$6&gt;E4))+1,IF(H4="No DD",SUMPRODUCT((H$4:H$6="No DD")*(E$4:E$6&gt;E4))+1+SUMPRODUCT((H$4:H$6&lt;&gt;"")*(H$4:H$6&lt;&gt;"No DD")),""))</f>
        <v>1</v>
      </c>
      <c r="B4" s="5" t="s">
        <v>84</v>
      </c>
      <c r="C4" s="4" t="s">
        <v>66</v>
      </c>
      <c r="D4" s="4">
        <v>2008</v>
      </c>
      <c r="E4" s="10">
        <f>SUM(I4:O4)+SUM(I4:M4)*0.0000001+SUM(I4)*0.0000000000001</f>
        <v>134.60001308000466</v>
      </c>
      <c r="F4" s="3" t="str">
        <f>IF(OR(AND(AM4&gt;=AR$8,AN4&gt;=AR$12,AM4&lt;&gt;"",AL4=""),AND(AP4&gt;=AR$8,AQ4&gt;=AR$12,AP4&lt;&gt;"",AL4=""),AND(BN4&gt;=BS$8,BO4&gt;=BS$12,BN4&lt;&gt;"",BM4=""),AND(BQ4&gt;=BS$8,BR4&gt;=BS$12,BQ4&lt;&gt;"",BM4=""),AND(CO4&gt;=CT$8,CP4&gt;=CT$12,CO4&lt;&gt;"",CN4=""),AND(CR4&gt;=CT$8,CS4&gt;=CT$12,CR4&lt;&gt;""),AND(DQ4&gt;=DV$8,DR4&gt;=DV$12,DQ4&lt;&gt;""),AND(DT4&gt;=DV$8,DU4&gt;=DV$12,DT4&lt;&gt;""),AND(EQ4&gt;=EV$8,ER4&gt;=EV$12,EQ4&lt;&gt;""),AND(ET4&gt;=EV$8,EU4&gt;=EV$12,ET4&lt;&gt;""),AND(FQ4&gt;=FV$8,FR4&gt;=FV$12,FQ4&lt;&gt;""),AND(FT4&gt;=FV$8,FU4&gt;=FV$12,FT4&lt;&gt;""),AND(GQ4&gt;=GV$8,GR4&gt;=GV$12,GQ4&lt;&gt;""),AND(GT4&gt;=GV$8,GU4&gt;=GV$12,GT4&lt;&gt;""),AND(HQ4&gt;=HV$8,HR4&gt;=HV$12,HQ4&lt;&gt;""),AND(HT4&gt;=HV$8,HU4&gt;=HV$12,HT4&lt;&gt;""),AND(IQ4&gt;=IV$8,IR4&gt;=IV$12,IQ4&lt;&gt;""),AND(IT4&gt;=IV$8,IU4&gt;=IV$12,IT4&lt;&gt;""),AND(JQ4&gt;=JV$8,JR4&gt;=JV$12,JQ4&lt;&gt;""),AND(JT4&gt;=JV$8,JU4&gt;=JV$12,JT4&lt;&gt;""),AND(KQ4&gt;=KV$8,KR4&gt;=KV$12,KQ4&lt;&gt;""),AND(KT4&gt;=KV$8,KU4&gt;=KV$12,KT4&lt;&gt;""),AND(LQ4&gt;=LV$8,LR4&gt;=LV$12,LQ4&lt;&gt;""),AND(LT4&gt;=LV$8,LU4&gt;=LV$12,LT4&lt;&gt;""),AND(MQ4&gt;=MV$8,MR4&gt;=MV$12,MQ4&lt;&gt;""),AND(MT4&gt;=MV$8,MU4&gt;=MV$12,MT4&lt;&gt;""),AND(NQ4&gt;=NV$8,NR4&gt;=NV$12,NQ4&lt;&gt;""),AND(NT4&gt;=NV$8,NU4&gt;=NV$12,NT4&lt;&gt;""),AND(OQ4&gt;=OV$8,OR4&gt;=OV$12,OQ4&lt;&gt;""),AND(OT4&gt;=OV$8,OU4&gt;=OV$12,OT4&lt;&gt;"")),"P","")</f>
        <v>P</v>
      </c>
      <c r="G4" s="3" t="str">
        <f>IF(OR(AND(AN4&gt;=AR$12,AN4&lt;&gt;"",AL4=""),AND(AQ4&gt;=AR$12,AQ4&lt;&gt;"",AL4=""),AND(BO4&gt;=BS$12,BO4&lt;&gt;"",BM4=""),AND(BR4&gt;=BS$12,BR4&lt;&gt;"",BM4=""),AND(CP4&gt;=CT$12,CP4&lt;&gt;"",CN4=""),AND(CS4&gt;=CT$12,CS4&lt;&gt;"",CN4=""),AND(DR4&gt;=DV$12,DR4&lt;&gt;""),AND(DU4&gt;=DV$12,DU4&lt;&gt;""),AND(ER4&gt;=EV$12,ER4&lt;&gt;""),AND(EU4&gt;=EV$12,EU4&lt;&gt;""),AND(FR4&gt;=FV$12,FR4&lt;&gt;""),AND(FU4&gt;=FV$12,FU4&lt;&gt;""),AND(GR4&gt;=GV$12,GR4&lt;&gt;""),AND(GU4&gt;=GV$12,GU4&lt;&gt;""),AND(HR4&gt;=HV$12,HR4&lt;&gt;""),AND(HU4&gt;=HV$12,HU4&lt;&gt;""),AND(IR4&gt;=IV$12,IR4&lt;&gt;""),AND(IU4&gt;=IV$12,IU4&lt;&gt;""),AND(JR4&gt;=JV$12,JR4&lt;&gt;""),AND(JU4&gt;=JV$12,JU4&lt;&gt;""),AND(KR4&gt;=KV$12,KR4&lt;&gt;""),AND(KU4&gt;=KV$12,KU4&lt;&gt;""),AND(LR4&gt;=LV$12,LR4&lt;&gt;""),AND(LU4&gt;=LV$12,LU4&lt;&gt;""),AND(MR4&gt;=MV$12,MR4&lt;&gt;""),AND(MU4&gt;=MV$12,MU4&lt;&gt;""),AND(NR4&gt;=NV$12,NR4&lt;&gt;""),AND(NU4&gt;=NV$12,NU4&lt;&gt;""),AND(OR4&gt;=OV$12,OR4&lt;&gt;""),AND(OU4&gt;=OV$12,OU4&lt;&gt;"")),"P","")</f>
        <v>P</v>
      </c>
      <c r="H4" s="47" t="str">
        <f>IF(AND(G4="P",F4=""),"No DD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Merit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Excellence",IF(F4="P","National Team",""))))</f>
        <v>Excellence</v>
      </c>
      <c r="I4" s="9">
        <f>IF(COUNT(AN4,BO4,CP4)&gt;0,LARGE((AN4,BO4,CP4),1),0)</f>
        <v>46.7</v>
      </c>
      <c r="J4" s="9" t="str">
        <f>IF(I4=0,"",IF(I4=CP4,$BT$1,IF(I4=BO4,$AS$1,IF(I4=AN4,$R$1,""))))</f>
        <v>2023 3rd Domestic Trial</v>
      </c>
      <c r="K4" s="9">
        <f>IF(COUNT(AN4,BO4,CP4)&gt;1,LARGE((AN4,BO4,CP4),2),0)</f>
        <v>40.499999999999993</v>
      </c>
      <c r="L4" s="9" t="str">
        <f>IF(K4=0,"",IF(K4=CP4,$BT$1,IF(K4=BO4,$AS$1,IF(K4=AN4,$R$1,""))))</f>
        <v>2023 Nationals</v>
      </c>
      <c r="M4" s="9">
        <f>IF(MAX(AQ4,BR4,CS4)&gt;0,MAX(AQ4,BR4,CS4),0)</f>
        <v>43.6</v>
      </c>
      <c r="N4" s="9" t="str">
        <f>IF(M4=0,"",IF(M4=CS4,$BT$1,IF(M4=BR4,$AS$1,IF(M4=AQ4,$R$1,""))))</f>
        <v>2023 Nationals</v>
      </c>
      <c r="O4" s="9">
        <f>IF(MAX(CU4:CV4)&gt;0,MAX(CU4:CV4),"")</f>
        <v>3.8000000000000043</v>
      </c>
      <c r="P4" s="14" t="str">
        <f>IF(O4="","",IF(O4=CU4,"("&amp;CU$2&amp;")",IF(O4=CV4,"("&amp;CV$2&amp;")")))</f>
        <v>(Q1)</v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2023 WAGC (Nov 18)</v>
      </c>
      <c r="R4" s="20">
        <v>15.9</v>
      </c>
      <c r="S4" s="20">
        <v>4.8</v>
      </c>
      <c r="T4" s="20">
        <v>0</v>
      </c>
      <c r="U4" s="20">
        <v>0.6</v>
      </c>
      <c r="V4" s="20">
        <v>13.4</v>
      </c>
      <c r="W4" s="20">
        <v>5.3</v>
      </c>
      <c r="X4" s="20">
        <v>0.2</v>
      </c>
      <c r="Y4" s="20">
        <v>0.6</v>
      </c>
      <c r="Z4" s="20">
        <v>15.6</v>
      </c>
      <c r="AA4" s="20">
        <v>4.5999999999999996</v>
      </c>
      <c r="AB4" s="20">
        <v>0</v>
      </c>
      <c r="AC4" s="20">
        <v>0.6</v>
      </c>
      <c r="AD4" s="20">
        <v>14.6</v>
      </c>
      <c r="AE4" s="20">
        <v>4.5999999999999996</v>
      </c>
      <c r="AF4" s="20">
        <v>0</v>
      </c>
      <c r="AG4" s="20">
        <v>0.6</v>
      </c>
      <c r="AH4" s="20">
        <v>16.600000000000001</v>
      </c>
      <c r="AI4" s="20">
        <v>4.5999999999999996</v>
      </c>
      <c r="AJ4" s="20">
        <v>0</v>
      </c>
      <c r="AK4" s="20">
        <v>0.6</v>
      </c>
      <c r="AL4" s="32"/>
      <c r="AM4" s="55">
        <f>IF(SUM(S4,W4)&gt;0,SUM(S4,W4),"")</f>
        <v>10.1</v>
      </c>
      <c r="AN4" s="55">
        <f>IF(SUM(R4:S4,U4:W4,Y4)-T4-X4&gt;0,SUM(R4:S4,U4:W4,Y4)-T4-X4,"")</f>
        <v>40.4</v>
      </c>
      <c r="AO4" s="55">
        <f>IF(SUM(Z4:AA4,AC4)-AB4&gt;0,SUM(Z4:AA4,AC4)-AB4,"")</f>
        <v>20.8</v>
      </c>
      <c r="AP4" s="55">
        <f>IF(SUM(AE4,AI4)&gt;0,SUM(AE4,AI4),"")</f>
        <v>9.1999999999999993</v>
      </c>
      <c r="AQ4" s="55">
        <f>IF(SUM(AD4:AE4,AG4:AI4,AK4)-SUM(AF4,AJ4)&gt;0,SUM(AD4:AE4,AG4:AI4,AK4)-SUM(AF4,AJ4),"")</f>
        <v>41.600000000000009</v>
      </c>
      <c r="AR4" s="55">
        <f>IF(SUM(AN4,AO4,AQ4)&gt;0,SUM(AN4,AO4,AQ4),"")</f>
        <v>102.80000000000001</v>
      </c>
      <c r="AS4" s="19">
        <v>14.8</v>
      </c>
      <c r="AT4" s="19">
        <v>4.8</v>
      </c>
      <c r="AU4" s="19">
        <v>0.2</v>
      </c>
      <c r="AV4" s="19">
        <v>0.6</v>
      </c>
      <c r="AW4" s="19">
        <v>15.9</v>
      </c>
      <c r="AX4" s="19">
        <v>4.3</v>
      </c>
      <c r="AY4" s="19">
        <v>0</v>
      </c>
      <c r="AZ4" s="19">
        <v>0.3</v>
      </c>
      <c r="BA4" s="19">
        <v>15.6</v>
      </c>
      <c r="BB4" s="19">
        <v>4.8</v>
      </c>
      <c r="BC4" s="19">
        <v>0</v>
      </c>
      <c r="BD4" s="19">
        <v>0.6</v>
      </c>
      <c r="BE4" s="19">
        <v>16.5</v>
      </c>
      <c r="BF4" s="19">
        <v>4.8</v>
      </c>
      <c r="BG4" s="19">
        <v>0.2</v>
      </c>
      <c r="BH4" s="19">
        <v>0.6</v>
      </c>
      <c r="BI4" s="19">
        <v>16</v>
      </c>
      <c r="BJ4" s="19">
        <v>5.3</v>
      </c>
      <c r="BK4" s="19">
        <v>0</v>
      </c>
      <c r="BL4" s="19">
        <v>0.6</v>
      </c>
      <c r="BM4" s="33"/>
      <c r="BN4" s="14">
        <f>IF(SUM(AT4,AX4)&gt;0,SUM(AT4,AX4),"")</f>
        <v>9.1</v>
      </c>
      <c r="BO4" s="14">
        <f>IF(SUM(AS4:AT4,AV4:AX4,AZ4)-AU4-AY4&gt;0,SUM(AS4:AT4,AV4:AX4,AZ4)-AU4-AY4,"")</f>
        <v>40.499999999999993</v>
      </c>
      <c r="BP4" s="14">
        <f>IF(SUM(BA4:BB4,BD4)-BC4&gt;0,SUM(BA4:BB4,BD4)-BC4,"")</f>
        <v>21</v>
      </c>
      <c r="BQ4" s="14">
        <f>IF(SUM(BF4,BJ4)&gt;0,SUM(BF4,BJ4),"")</f>
        <v>10.1</v>
      </c>
      <c r="BR4" s="14">
        <f>IF(SUM(BE4:BF4,BH4:BJ4,BL4)-SUM(BG4,BK4)&gt;0,SUM(BE4:BF4,BH4:BJ4,BL4)-SUM(BG4,BK4),"")</f>
        <v>43.6</v>
      </c>
      <c r="BS4" s="14">
        <f>IF(SUM(BO4,BP4,BR4)&gt;0,SUM(BO4,BP4,BR4),"")</f>
        <v>105.1</v>
      </c>
      <c r="BT4" s="20">
        <v>17.399999999999999</v>
      </c>
      <c r="BU4" s="20">
        <v>5.3</v>
      </c>
      <c r="BV4" s="20">
        <v>0</v>
      </c>
      <c r="BW4" s="20">
        <v>0.6</v>
      </c>
      <c r="BX4" s="20">
        <v>17.3</v>
      </c>
      <c r="BY4" s="20">
        <v>5.5</v>
      </c>
      <c r="BZ4" s="20">
        <v>0</v>
      </c>
      <c r="CA4" s="20">
        <v>0.6</v>
      </c>
      <c r="CB4" s="20">
        <v>17</v>
      </c>
      <c r="CC4" s="20">
        <v>5.5</v>
      </c>
      <c r="CD4" s="20">
        <v>0</v>
      </c>
      <c r="CE4" s="20">
        <v>0.6</v>
      </c>
      <c r="CF4" s="20">
        <v>17</v>
      </c>
      <c r="CG4" s="20">
        <v>5.3</v>
      </c>
      <c r="CH4" s="20">
        <v>0</v>
      </c>
      <c r="CI4" s="20">
        <v>0.6</v>
      </c>
      <c r="CJ4" s="20">
        <v>15.8</v>
      </c>
      <c r="CK4" s="20">
        <v>3.3</v>
      </c>
      <c r="CL4" s="20">
        <v>0</v>
      </c>
      <c r="CM4" s="20">
        <v>0.6</v>
      </c>
      <c r="CN4" s="32"/>
      <c r="CO4" s="55">
        <f>IF(SUM(BU4,BY4)&gt;0,SUM(BU4,BY4),"")</f>
        <v>10.8</v>
      </c>
      <c r="CP4" s="55">
        <f>IF(SUM(BT4:BU4,BW4:BY4,CA4)-BV4-BZ4&gt;0,SUM(BT4:BU4,BW4:BY4,CA4)-BV4-BZ4,"")</f>
        <v>46.7</v>
      </c>
      <c r="CQ4" s="55">
        <f>IF(SUM(CB4:CC4,CE4)-CD4&gt;0,SUM(CB4:CC4,CE4)-CD4,"")</f>
        <v>23.1</v>
      </c>
      <c r="CR4" s="55">
        <f>IF(SUM(CG4,CK4)&gt;0,SUM(CG4,CK4),"")</f>
        <v>8.6</v>
      </c>
      <c r="CS4" s="55">
        <f>IF(SUM(CF4:CG4,CI4:CK4,CM4)-SUM(CH4,CL4)&gt;0,SUM(CF4:CG4,CI4:CK4,CM4)-SUM(CH4,CL4),"")</f>
        <v>42.6</v>
      </c>
      <c r="CT4" s="55">
        <f>IF(SUM(CP4,CQ4,CS4)&gt;0,SUM(CP4,CQ4,CS4),"")</f>
        <v>112.4</v>
      </c>
      <c r="CU4" s="56">
        <f>IF(MAX(DR4,ER4,FR4,GR4,HR4,IR4,JR4,KR4,LR4,MR4,NR4,OR4)-IF(K4="",0,K4)&gt;0.001,MAX(DR4,ER4,FR4,GR4,HR4,IR4,JR4,KR4,LR4,MR4,NR4,OR4)-IF(K4="",0,K4),"")</f>
        <v>3.8000000000000043</v>
      </c>
      <c r="CV4" s="56" t="str">
        <f>IF(MAX(DU4,EU4,FU4,GU4,HU4,IU4,JU4,KU4,LU4,MU4,NU4,OU4)-IF(M4="",0,M4)&gt;0.001,MAX(DU4,EU4,FU4,GU4,HU4,IU4,JU4,KU4,LU4,MU4,NU4,OU4)-IF(M4="",0,M4),"")</f>
        <v/>
      </c>
      <c r="CW4" s="18">
        <v>16.8</v>
      </c>
      <c r="CX4" s="18">
        <v>6.2</v>
      </c>
      <c r="CY4" s="18">
        <v>0</v>
      </c>
      <c r="CZ4" s="18">
        <v>0</v>
      </c>
      <c r="DA4" s="18">
        <v>15.4</v>
      </c>
      <c r="DB4" s="18">
        <v>6.1</v>
      </c>
      <c r="DC4" s="18">
        <v>0.2</v>
      </c>
      <c r="DD4" s="18">
        <v>0</v>
      </c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>
        <f>IF(SUM(CX4,DB4)&gt;0,SUM(CX4,DB4),"")</f>
        <v>12.3</v>
      </c>
      <c r="DR4" s="55">
        <f>IF(SUM(CW4:CX4,CZ4:DB4,DD4)-CY4-DC4&gt;0,SUM(CW4:CX4,CZ4:DB4,DD4)-CY4-DC4,"")</f>
        <v>44.3</v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>
        <f>IF(SUM(DR4,DS4,DU4)&gt;0,SUM(DR4,DS4,DU4),"")</f>
        <v>44.3</v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>IF($CN4="P",BT4,(BT4+AS4)/2)</f>
        <v>16.100000000000001</v>
      </c>
      <c r="OX4" s="27">
        <f>IF($CN4="P",BU4,(BU4+AT4)/2)</f>
        <v>5.05</v>
      </c>
      <c r="OY4" s="27">
        <f>IF($CN4="P",BV4,(BV4+AU4)/2)</f>
        <v>0.1</v>
      </c>
      <c r="OZ4" s="27">
        <f>IF($CN4="P",BW4,(BW4+AV4)/2)</f>
        <v>0.6</v>
      </c>
      <c r="PA4" s="27">
        <f>IF($CN4="P",BX4,(BX4+AW4)/2)</f>
        <v>16.600000000000001</v>
      </c>
      <c r="PB4" s="27">
        <f>IF($CN4="P",BY4,(BY4+AX4)/2)</f>
        <v>4.9000000000000004</v>
      </c>
      <c r="PC4" s="27">
        <f>IF($CN4="P",BZ4,(BZ4+AY4)/2)</f>
        <v>0</v>
      </c>
      <c r="PD4" s="27">
        <f>IF($CN4="P",CA4,(CA4+AZ4)/2)</f>
        <v>0.44999999999999996</v>
      </c>
      <c r="PE4" s="27">
        <f>IF($CN4="P",CB4,(CB4+BA4)/2)</f>
        <v>16.3</v>
      </c>
      <c r="PF4" s="27">
        <f>IF($CN4="P",CC4,(CC4+BB4)/2)</f>
        <v>5.15</v>
      </c>
      <c r="PG4" s="27">
        <f>IF($CN4="P",CD4,(CD4+BC4)/2)</f>
        <v>0</v>
      </c>
      <c r="PH4" s="27">
        <f>IF($CN4="P",CE4,(CE4+BD4)/2)</f>
        <v>0.6</v>
      </c>
      <c r="PI4" s="27">
        <f>IF($CN4="P",CF4,(CF4+BE4)/2)</f>
        <v>16.75</v>
      </c>
      <c r="PJ4" s="27">
        <f>IF($CN4="P",CG4,(CG4+BF4)/2)</f>
        <v>5.05</v>
      </c>
      <c r="PK4" s="27">
        <f>IF($CN4="P",CH4,(CH4+BG4)/2)</f>
        <v>0.1</v>
      </c>
      <c r="PL4" s="27">
        <f>IF($CN4="P",CI4,(CI4+BH4)/2)</f>
        <v>0.6</v>
      </c>
      <c r="PM4" s="27">
        <f>IF($CN4="P",CJ4,(CJ4+BI4)/2)</f>
        <v>15.9</v>
      </c>
      <c r="PN4" s="27">
        <f>IF($CN4="P",CK4,(CK4+BJ4)/2)</f>
        <v>4.3</v>
      </c>
      <c r="PO4" s="27">
        <f>IF($CN4="P",CL4,(CL4+BK4)/2)</f>
        <v>0</v>
      </c>
      <c r="PP4" s="27">
        <f>IF($CN4="P",CM4,(CM4+BL4)/2)</f>
        <v>0.6</v>
      </c>
      <c r="PQ4" s="32" t="s">
        <v>44</v>
      </c>
      <c r="PR4" s="55">
        <f>IF(SUM(OX4,PB4)&gt;0,SUM(OX4,PB4),"")</f>
        <v>9.9499999999999993</v>
      </c>
      <c r="PS4" s="55">
        <f>IF(SUM(OW4:OX4,OZ4:PB4,PD4)-OY4-PC4&gt;0,SUM(OW4:OX4,OZ4:PB4,PD4)-OY4-PC4,"")</f>
        <v>43.600000000000009</v>
      </c>
      <c r="PT4" s="55">
        <f>IF(SUM(PE4:PF4,PH4)-PG4&gt;0,SUM(PE4:PF4,PH4)-PG4,"")</f>
        <v>22.050000000000004</v>
      </c>
      <c r="PU4" s="55">
        <f>IF(SUM(PJ4,PN4)&gt;0,SUM(PJ4,PN4),"")</f>
        <v>9.35</v>
      </c>
      <c r="PV4" s="55">
        <f>IF(SUM(PI4:PJ4,PL4:PN4,PP4)-SUM(PK4,PO4)&gt;0,SUM(PI4:PJ4,PL4:PN4,PP4)-SUM(PK4,PO4),"")</f>
        <v>43.1</v>
      </c>
      <c r="PW4" s="55">
        <f>IF(SUM(PS4,PT4,PV4)&gt;0,SUM(PS4,PT4,PV4),"")</f>
        <v>108.75</v>
      </c>
    </row>
    <row r="5" spans="1:439" x14ac:dyDescent="0.2">
      <c r="A5" s="4" cm="1">
        <f t="array" ref="A5">IF(AND(H5&lt;&gt;"",H5&lt;&gt;"No DD"),SUMPRODUCT((H$4:H$6&lt;&gt;"")*(H$4:H$6&lt;&gt;"No DD")*(E$4:E$6&gt;E5))+1,IF(H5="No DD",SUMPRODUCT((H$4:H$6="No DD")*(E$4:E$6&gt;E5))+1+SUMPRODUCT((H$4:H$6&lt;&gt;"")*(H$4:H$6&lt;&gt;"No DD")),""))</f>
        <v>2</v>
      </c>
      <c r="B5" s="5" t="s">
        <v>80</v>
      </c>
      <c r="C5" s="4" t="s">
        <v>65</v>
      </c>
      <c r="D5" s="4">
        <v>2008</v>
      </c>
      <c r="E5" s="10">
        <f>SUM(I5:O5)+SUM(I5:M5)*0.0000001+SUM(I5)*0.0000000000001</f>
        <v>130.90001295000431</v>
      </c>
      <c r="F5" s="3" t="str">
        <f>IF(OR(AND(AM5&gt;=AR$8,AN5&gt;=AR$12,AM5&lt;&gt;"",AL5=""),AND(AP5&gt;=AR$8,AQ5&gt;=AR$12,AP5&lt;&gt;"",AL5=""),AND(BN5&gt;=BS$8,BO5&gt;=BS$12,BN5&lt;&gt;"",BM5=""),AND(BQ5&gt;=BS$8,BR5&gt;=BS$12,BQ5&lt;&gt;"",BM5=""),AND(CO5&gt;=CT$8,CP5&gt;=CT$12,CO5&lt;&gt;"",CN5=""),AND(CR5&gt;=CT$8,CS5&gt;=CT$12,CR5&lt;&gt;""),AND(DQ5&gt;=DV$8,DR5&gt;=DV$12,DQ5&lt;&gt;""),AND(DT5&gt;=DV$8,DU5&gt;=DV$12,DT5&lt;&gt;""),AND(EQ5&gt;=EV$8,ER5&gt;=EV$12,EQ5&lt;&gt;""),AND(ET5&gt;=EV$8,EU5&gt;=EV$12,ET5&lt;&gt;""),AND(FQ5&gt;=FV$8,FR5&gt;=FV$12,FQ5&lt;&gt;""),AND(FT5&gt;=FV$8,FU5&gt;=FV$12,FT5&lt;&gt;""),AND(GQ5&gt;=GV$8,GR5&gt;=GV$12,GQ5&lt;&gt;""),AND(GT5&gt;=GV$8,GU5&gt;=GV$12,GT5&lt;&gt;""),AND(HQ5&gt;=HV$8,HR5&gt;=HV$12,HQ5&lt;&gt;""),AND(HT5&gt;=HV$8,HU5&gt;=HV$12,HT5&lt;&gt;""),AND(IQ5&gt;=IV$8,IR5&gt;=IV$12,IQ5&lt;&gt;""),AND(IT5&gt;=IV$8,IU5&gt;=IV$12,IT5&lt;&gt;""),AND(JQ5&gt;=JV$8,JR5&gt;=JV$12,JQ5&lt;&gt;""),AND(JT5&gt;=JV$8,JU5&gt;=JV$12,JT5&lt;&gt;""),AND(KQ5&gt;=KV$8,KR5&gt;=KV$12,KQ5&lt;&gt;""),AND(KT5&gt;=KV$8,KU5&gt;=KV$12,KT5&lt;&gt;""),AND(LQ5&gt;=LV$8,LR5&gt;=LV$12,LQ5&lt;&gt;""),AND(LT5&gt;=LV$8,LU5&gt;=LV$12,LT5&lt;&gt;""),AND(MQ5&gt;=MV$8,MR5&gt;=MV$12,MQ5&lt;&gt;""),AND(MT5&gt;=MV$8,MU5&gt;=MV$12,MT5&lt;&gt;""),AND(NQ5&gt;=NV$8,NR5&gt;=NV$12,NQ5&lt;&gt;""),AND(NT5&gt;=NV$8,NU5&gt;=NV$12,NT5&lt;&gt;""),AND(OQ5&gt;=OV$8,OR5&gt;=OV$12,OQ5&lt;&gt;""),AND(OT5&gt;=OV$8,OU5&gt;=OV$12,OT5&lt;&gt;"")),"P","")</f>
        <v>P</v>
      </c>
      <c r="G5" s="3" t="str">
        <f>IF(OR(AND(AN5&gt;=AR$12,AN5&lt;&gt;"",AL5=""),AND(AQ5&gt;=AR$12,AQ5&lt;&gt;"",AL5=""),AND(BO5&gt;=BS$12,BO5&lt;&gt;"",BM5=""),AND(BR5&gt;=BS$12,BR5&lt;&gt;"",BM5=""),AND(CP5&gt;=CT$12,CP5&lt;&gt;"",CN5=""),AND(CS5&gt;=CT$12,CS5&lt;&gt;"",CN5=""),AND(DR5&gt;=DV$12,DR5&lt;&gt;""),AND(DU5&gt;=DV$12,DU5&lt;&gt;""),AND(ER5&gt;=EV$12,ER5&lt;&gt;""),AND(EU5&gt;=EV$12,EU5&lt;&gt;""),AND(FR5&gt;=FV$12,FR5&lt;&gt;""),AND(FU5&gt;=FV$12,FU5&lt;&gt;""),AND(GR5&gt;=GV$12,GR5&lt;&gt;""),AND(GU5&gt;=GV$12,GU5&lt;&gt;""),AND(HR5&gt;=HV$12,HR5&lt;&gt;""),AND(HU5&gt;=HV$12,HU5&lt;&gt;""),AND(IR5&gt;=IV$12,IR5&lt;&gt;""),AND(IU5&gt;=IV$12,IU5&lt;&gt;""),AND(JR5&gt;=JV$12,JR5&lt;&gt;""),AND(JU5&gt;=JV$12,JU5&lt;&gt;""),AND(KR5&gt;=KV$12,KR5&lt;&gt;""),AND(KU5&gt;=KV$12,KU5&lt;&gt;""),AND(LR5&gt;=LV$12,LR5&lt;&gt;""),AND(LU5&gt;=LV$12,LU5&lt;&gt;""),AND(MR5&gt;=MV$12,MR5&lt;&gt;""),AND(MU5&gt;=MV$12,MU5&lt;&gt;""),AND(NR5&gt;=NV$12,NR5&lt;&gt;""),AND(NU5&gt;=NV$12,NU5&lt;&gt;""),AND(OR5&gt;=OV$12,OR5&lt;&gt;""),AND(OU5&gt;=OV$12,OU5&lt;&gt;"")),"P","")</f>
        <v>P</v>
      </c>
      <c r="H5" s="47" t="str">
        <f>IF(AND(G5="P",F5=""),"No DD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Merit",IF(OR(AND(AM5&gt;=AR$10,AN5&gt;=AR$14,AM5&lt;&gt;"",AL5=""),AND(AP5&gt;=AR$10,AQ5&gt;=AR$14,AP5&lt;&gt;"",AL5=""),AND(BN5&gt;=BS$10,BO5&gt;=BS$14,BN5&lt;&gt;"",BM5=""),AND(BQ5&gt;=BS$10,BR5&gt;=BS$14,BQ5&lt;&gt;"",BM5=""),AND(CO5&gt;=CT$10,CP5&gt;=CT$14,CO5&lt;&gt;"",CN5=""),AND(CR5&gt;=CT$10,CS5&gt;=CT$14,CR5&lt;&gt;""),AND(DQ5&gt;=DV$10,DR5&gt;=DV$14,DQ5&lt;&gt;""),AND(DT5&gt;=DV$10,DU5&gt;=DV$14,DT5&lt;&gt;""),AND(EQ5&gt;=EV$10,ER5&gt;=EV$14,EQ5&lt;&gt;""),AND(ET5&gt;=EV$10,EU5&gt;=EV$14,ET5&lt;&gt;""),AND(FQ5&gt;=FV$10,FR5&gt;=FV$14,FQ5&lt;&gt;""),AND(FT5&gt;=FV$10,FU5&gt;=FV$14,FT5&lt;&gt;""),AND(GQ5&gt;=GV$10,GR5&gt;=GV$14,GQ5&lt;&gt;""),AND(GT5&gt;=GV$10,GU5&gt;=GV$14,GT5&lt;&gt;""),AND(HQ5&gt;=HV$10,HR5&gt;=HV$14,HQ5&lt;&gt;""),AND(HT5&gt;=HV$10,HU5&gt;=HV$14,HT5&lt;&gt;""),AND(IQ5&gt;=IV$10,IR5&gt;=IV$14,IQ5&lt;&gt;""),AND(IT5&gt;=IV$10,IU5&gt;=IV$14,IT5&lt;&gt;""),AND(JQ5&gt;=JV$10,JR5&gt;=JV$14,JQ5&lt;&gt;""),AND(JT5&gt;=JV$10,JU5&gt;=JV$14,JT5&lt;&gt;""),AND(KQ5&gt;=KV$10,KR5&gt;=KV$14,KQ5&lt;&gt;""),AND(KT5&gt;=KV$10,KU5&gt;=KV$14,KT5&lt;&gt;""),AND(LQ5&gt;=LV$10,LR5&gt;=LV$14,LQ5&lt;&gt;""),AND(LT5&gt;=LV$10,LU5&gt;=LV$14,LT5&lt;&gt;""),AND(MQ5&gt;=MV$10,MR5&gt;=MV$14,MQ5&lt;&gt;""),AND(MT5&gt;=MV$10,MU5&gt;=MV$14,MT5&lt;&gt;""),AND(NQ5&gt;=NV$10,NR5&gt;=NV$14,NQ5&lt;&gt;""),AND(NT5&gt;=NV$10,NU5&gt;=NV$14,NT5&lt;&gt;""),AND(OQ5&gt;=OV$10,OR5&gt;=OV$14,OQ5&lt;&gt;""),AND(OT5&gt;=OV$10,OU5&gt;=OV$14,OT5&lt;&gt;"")),"Excellence",IF(F5="P","National Team",""))))</f>
        <v>National Team</v>
      </c>
      <c r="I5" s="9">
        <f>IF(COUNT(AN5,BO5,CP5)&gt;0,LARGE((AN5,BO5,CP5),1),0)</f>
        <v>43.199999999999996</v>
      </c>
      <c r="J5" s="9" t="str">
        <f>IF(I5=0,"",IF(I5=CP5,$BT$1,IF(I5=BO5,$AS$1,IF(I5=AN5,$R$1,""))))</f>
        <v>2023 Elite Canada</v>
      </c>
      <c r="K5" s="9">
        <f>IF(COUNT(AN5,BO5,CP5)&gt;1,LARGE((AN5,BO5,CP5),2),0)</f>
        <v>41.900000000000006</v>
      </c>
      <c r="L5" s="9" t="str">
        <f>IF(K5=0,"",IF(K5=CP5,$BT$1,IF(K5=BO5,$AS$1,IF(K5=AN5,$R$1,""))))</f>
        <v>2023 Nationals</v>
      </c>
      <c r="M5" s="9">
        <f>IF(MAX(AQ5,BR5,CS5)&gt;0,MAX(AQ5,BR5,CS5),0)</f>
        <v>44.4</v>
      </c>
      <c r="N5" s="9" t="str">
        <f>IF(M5=0,"",IF(M5=CS5,$BT$1,IF(M5=BR5,$AS$1,IF(M5=AQ5,$R$1,""))))</f>
        <v>2023 Elite Canada</v>
      </c>
      <c r="O5" s="9">
        <f>IF(MAX(CU5:CV5)&gt;0,MAX(CU5:CV5),"")</f>
        <v>1.3999999999999915</v>
      </c>
      <c r="P5" s="14" t="str">
        <f>IF(O5="","",IF(O5=CU5,"("&amp;CU$2&amp;")",IF(O5=CV5,"("&amp;CV$2&amp;")")))</f>
        <v>(Q1)</v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2023 WAGC (Nov 18)</v>
      </c>
      <c r="R5" s="20">
        <v>16.2</v>
      </c>
      <c r="S5" s="20">
        <v>5.0999999999999996</v>
      </c>
      <c r="T5" s="20">
        <v>0</v>
      </c>
      <c r="U5" s="20">
        <v>0.3</v>
      </c>
      <c r="V5" s="20">
        <v>16</v>
      </c>
      <c r="W5" s="20">
        <v>5</v>
      </c>
      <c r="X5" s="20">
        <v>0</v>
      </c>
      <c r="Y5" s="20">
        <v>0.6</v>
      </c>
      <c r="Z5" s="20">
        <v>16.3</v>
      </c>
      <c r="AA5" s="20">
        <v>5</v>
      </c>
      <c r="AB5" s="20">
        <v>0</v>
      </c>
      <c r="AC5" s="20">
        <v>0.6</v>
      </c>
      <c r="AD5" s="20">
        <v>16.5</v>
      </c>
      <c r="AE5" s="20">
        <v>5</v>
      </c>
      <c r="AF5" s="20">
        <v>0</v>
      </c>
      <c r="AG5" s="20">
        <v>0.6</v>
      </c>
      <c r="AH5" s="20">
        <v>16.899999999999999</v>
      </c>
      <c r="AI5" s="20">
        <v>4.8</v>
      </c>
      <c r="AJ5" s="20">
        <v>0</v>
      </c>
      <c r="AK5" s="20">
        <v>0.6</v>
      </c>
      <c r="AL5" s="32"/>
      <c r="AM5" s="55">
        <f>IF(SUM(S5,W5)&gt;0,SUM(S5,W5),"")</f>
        <v>10.1</v>
      </c>
      <c r="AN5" s="55">
        <f>IF(SUM(R5:S5,U5:W5,Y5)-T5-X5&gt;0,SUM(R5:S5,U5:W5,Y5)-T5-X5,"")</f>
        <v>43.199999999999996</v>
      </c>
      <c r="AO5" s="55">
        <f>IF(SUM(Z5:AA5,AC5)-AB5&gt;0,SUM(Z5:AA5,AC5)-AB5,"")</f>
        <v>21.900000000000002</v>
      </c>
      <c r="AP5" s="55">
        <f>IF(SUM(AE5,AI5)&gt;0,SUM(AE5,AI5),"")</f>
        <v>9.8000000000000007</v>
      </c>
      <c r="AQ5" s="55">
        <f>IF(SUM(AD5:AE5,AG5:AI5,AK5)-SUM(AF5,AJ5)&gt;0,SUM(AD5:AE5,AG5:AI5,AK5)-SUM(AF5,AJ5),"")</f>
        <v>44.4</v>
      </c>
      <c r="AR5" s="55">
        <f>IF(SUM(AN5,AO5,AQ5)&gt;0,SUM(AN5,AO5,AQ5),"")</f>
        <v>109.5</v>
      </c>
      <c r="AS5" s="19">
        <v>15.5</v>
      </c>
      <c r="AT5" s="19">
        <v>5.0999999999999996</v>
      </c>
      <c r="AU5" s="19">
        <v>0</v>
      </c>
      <c r="AV5" s="19">
        <v>0.3</v>
      </c>
      <c r="AW5" s="19">
        <v>14.7</v>
      </c>
      <c r="AX5" s="19">
        <v>5.7</v>
      </c>
      <c r="AY5" s="19">
        <v>0</v>
      </c>
      <c r="AZ5" s="19">
        <v>0.6</v>
      </c>
      <c r="BA5" s="19">
        <v>15.9</v>
      </c>
      <c r="BB5" s="19">
        <v>5.0999999999999996</v>
      </c>
      <c r="BC5" s="19">
        <v>0</v>
      </c>
      <c r="BD5" s="19">
        <v>0.3</v>
      </c>
      <c r="BE5" s="19">
        <v>16.7</v>
      </c>
      <c r="BF5" s="19">
        <v>5.3</v>
      </c>
      <c r="BG5" s="19">
        <v>0</v>
      </c>
      <c r="BH5" s="19">
        <v>0.3</v>
      </c>
      <c r="BI5" s="19">
        <v>15.4</v>
      </c>
      <c r="BJ5" s="19">
        <v>5.5</v>
      </c>
      <c r="BK5" s="19">
        <v>0</v>
      </c>
      <c r="BL5" s="19">
        <v>0.6</v>
      </c>
      <c r="BM5" s="33"/>
      <c r="BN5" s="14">
        <f>IF(SUM(AT5,AX5)&gt;0,SUM(AT5,AX5),"")</f>
        <v>10.8</v>
      </c>
      <c r="BO5" s="14">
        <f>IF(SUM(AS5:AT5,AV5:AX5,AZ5)-AU5-AY5&gt;0,SUM(AS5:AT5,AV5:AX5,AZ5)-AU5-AY5,"")</f>
        <v>41.900000000000006</v>
      </c>
      <c r="BP5" s="14">
        <f>IF(SUM(BA5:BB5,BD5)-BC5&gt;0,SUM(BA5:BB5,BD5)-BC5,"")</f>
        <v>21.3</v>
      </c>
      <c r="BQ5" s="14">
        <f>IF(SUM(BF5,BJ5)&gt;0,SUM(BF5,BJ5),"")</f>
        <v>10.8</v>
      </c>
      <c r="BR5" s="14">
        <f>IF(SUM(BE5:BF5,BH5:BJ5,BL5)-SUM(BG5,BK5)&gt;0,SUM(BE5:BF5,BH5:BJ5,BL5)-SUM(BG5,BK5),"")</f>
        <v>43.800000000000004</v>
      </c>
      <c r="BS5" s="14">
        <f>IF(SUM(BO5,BP5,BR5)&gt;0,SUM(BO5,BP5,BR5),"")</f>
        <v>107</v>
      </c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32"/>
      <c r="CO5" s="55" t="str">
        <f>IF(SUM(BU5,BY5)&gt;0,SUM(BU5,BY5),"")</f>
        <v/>
      </c>
      <c r="CP5" s="55" t="str">
        <f>IF(SUM(BT5:BU5,BW5:BY5,CA5)-BV5-BZ5&gt;0,SUM(BT5:BU5,BW5:BY5,CA5)-BV5-BZ5,"")</f>
        <v/>
      </c>
      <c r="CQ5" s="55" t="str">
        <f>IF(SUM(CB5:CC5,CE5)-CD5&gt;0,SUM(CB5:CC5,CE5)-CD5,"")</f>
        <v/>
      </c>
      <c r="CR5" s="55" t="str">
        <f>IF(SUM(CG5,CK5)&gt;0,SUM(CG5,CK5),"")</f>
        <v/>
      </c>
      <c r="CS5" s="55" t="str">
        <f>IF(SUM(CF5:CG5,CI5:CK5,CM5)-SUM(CH5,CL5)&gt;0,SUM(CF5:CG5,CI5:CK5,CM5)-SUM(CH5,CL5),"")</f>
        <v/>
      </c>
      <c r="CT5" s="55" t="str">
        <f>IF(SUM(CP5,CQ5,CS5)&gt;0,SUM(CP5,CQ5,CS5),"")</f>
        <v/>
      </c>
      <c r="CU5" s="56">
        <f>IF(MAX(DR5,ER5,FR5,GR5,HR5,IR5,JR5,KR5,LR5,MR5,NR5,OR5)-IF(K5="",0,K5)&gt;0.001,MAX(DR5,ER5,FR5,GR5,HR5,IR5,JR5,KR5,LR5,MR5,NR5,OR5)-IF(K5="",0,K5),"")</f>
        <v>1.3999999999999915</v>
      </c>
      <c r="CV5" s="56" t="str">
        <f>IF(MAX(DU5,EU5,FU5,GU5,HU5,IU5,JU5,KU5,LU5,MU5,NU5,OU5)-IF(M5="",0,M5)&gt;0.001,MAX(DU5,EU5,FU5,GU5,HU5,IU5,JU5,KU5,LU5,MU5,NU5,OU5)-IF(M5="",0,M5),"")</f>
        <v/>
      </c>
      <c r="CW5" s="18">
        <v>16.2</v>
      </c>
      <c r="CX5" s="18">
        <v>5.8</v>
      </c>
      <c r="CY5" s="18">
        <v>0</v>
      </c>
      <c r="CZ5" s="18">
        <v>0</v>
      </c>
      <c r="DA5" s="18">
        <v>16.3</v>
      </c>
      <c r="DB5" s="18">
        <v>5</v>
      </c>
      <c r="DC5" s="18">
        <v>0</v>
      </c>
      <c r="DD5" s="18">
        <v>0</v>
      </c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>
        <f>IF(SUM(CX5,DB5)&gt;0,SUM(CX5,DB5),"")</f>
        <v>10.8</v>
      </c>
      <c r="DR5" s="55">
        <f>IF(SUM(CW5:CX5,CZ5:DB5,DD5)-CY5-DC5&gt;0,SUM(CW5:CX5,CZ5:DB5,DD5)-CY5-DC5,"")</f>
        <v>43.3</v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>
        <f>IF(SUM(DR5,DS5,DU5)&gt;0,SUM(DR5,DS5,DU5),"")</f>
        <v>43.3</v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>IF($CN5="P",BT5,(BT5+AS5)/2)</f>
        <v>7.75</v>
      </c>
      <c r="OX5" s="27">
        <f>IF($CN5="P",BU5,(BU5+AT5)/2)</f>
        <v>2.5499999999999998</v>
      </c>
      <c r="OY5" s="27">
        <f>IF($CN5="P",BV5,(BV5+AU5)/2)</f>
        <v>0</v>
      </c>
      <c r="OZ5" s="27">
        <f>IF($CN5="P",BW5,(BW5+AV5)/2)</f>
        <v>0.15</v>
      </c>
      <c r="PA5" s="27">
        <f>IF($CN5="P",BX5,(BX5+AW5)/2)</f>
        <v>7.35</v>
      </c>
      <c r="PB5" s="27">
        <f>IF($CN5="P",BY5,(BY5+AX5)/2)</f>
        <v>2.85</v>
      </c>
      <c r="PC5" s="27">
        <f>IF($CN5="P",BZ5,(BZ5+AY5)/2)</f>
        <v>0</v>
      </c>
      <c r="PD5" s="27">
        <f>IF($CN5="P",CA5,(CA5+AZ5)/2)</f>
        <v>0.3</v>
      </c>
      <c r="PE5" s="27">
        <f>IF($CN5="P",CB5,(CB5+BA5)/2)</f>
        <v>7.95</v>
      </c>
      <c r="PF5" s="27">
        <f>IF($CN5="P",CC5,(CC5+BB5)/2)</f>
        <v>2.5499999999999998</v>
      </c>
      <c r="PG5" s="27">
        <f>IF($CN5="P",CD5,(CD5+BC5)/2)</f>
        <v>0</v>
      </c>
      <c r="PH5" s="27">
        <f>IF($CN5="P",CE5,(CE5+BD5)/2)</f>
        <v>0.15</v>
      </c>
      <c r="PI5" s="27">
        <f>IF($CN5="P",CF5,(CF5+BE5)/2)</f>
        <v>8.35</v>
      </c>
      <c r="PJ5" s="27">
        <f>IF($CN5="P",CG5,(CG5+BF5)/2)</f>
        <v>2.65</v>
      </c>
      <c r="PK5" s="27">
        <f>IF($CN5="P",CH5,(CH5+BG5)/2)</f>
        <v>0</v>
      </c>
      <c r="PL5" s="27">
        <f>IF($CN5="P",CI5,(CI5+BH5)/2)</f>
        <v>0.15</v>
      </c>
      <c r="PM5" s="27">
        <f>IF($CN5="P",CJ5,(CJ5+BI5)/2)</f>
        <v>7.7</v>
      </c>
      <c r="PN5" s="27">
        <f>IF($CN5="P",CK5,(CK5+BJ5)/2)</f>
        <v>2.75</v>
      </c>
      <c r="PO5" s="27">
        <f>IF($CN5="P",CL5,(CL5+BK5)/2)</f>
        <v>0</v>
      </c>
      <c r="PP5" s="27">
        <f>IF($CN5="P",CM5,(CM5+BL5)/2)</f>
        <v>0.3</v>
      </c>
      <c r="PQ5" s="32" t="s">
        <v>44</v>
      </c>
      <c r="PR5" s="55">
        <f>IF(SUM(OX5,PB5)&gt;0,SUM(OX5,PB5),"")</f>
        <v>5.4</v>
      </c>
      <c r="PS5" s="55">
        <f>IF(SUM(OW5:OX5,OZ5:PB5,PD5)-OY5-PC5&gt;0,SUM(OW5:OX5,OZ5:PB5,PD5)-OY5-PC5,"")</f>
        <v>20.950000000000003</v>
      </c>
      <c r="PT5" s="55">
        <f>IF(SUM(PE5:PF5,PH5)-PG5&gt;0,SUM(PE5:PF5,PH5)-PG5,"")</f>
        <v>10.65</v>
      </c>
      <c r="PU5" s="55">
        <f>IF(SUM(PJ5,PN5)&gt;0,SUM(PJ5,PN5),"")</f>
        <v>5.4</v>
      </c>
      <c r="PV5" s="55">
        <f>IF(SUM(PI5:PJ5,PL5:PN5,PP5)-SUM(PK5,PO5)&gt;0,SUM(PI5:PJ5,PL5:PN5,PP5)-SUM(PK5,PO5),"")</f>
        <v>21.900000000000002</v>
      </c>
      <c r="PW5" s="55">
        <f>IF(SUM(PS5,PT5,PV5)&gt;0,SUM(PS5,PT5,PV5),"")</f>
        <v>53.5</v>
      </c>
    </row>
    <row r="6" spans="1:439" ht="17" x14ac:dyDescent="0.2">
      <c r="O6" s="11"/>
      <c r="P6" s="11"/>
      <c r="Q6" s="11"/>
    </row>
    <row r="7" spans="1:439" ht="17" x14ac:dyDescent="0.2">
      <c r="O7" s="11"/>
      <c r="P7" s="11"/>
      <c r="Q7" s="11"/>
    </row>
    <row r="8" spans="1:439" ht="17" x14ac:dyDescent="0.2">
      <c r="B8" s="28" t="s">
        <v>42</v>
      </c>
      <c r="O8" s="11"/>
      <c r="P8" s="11"/>
      <c r="Q8" s="11"/>
      <c r="AM8" s="4"/>
      <c r="AR8" s="57">
        <v>8.6999999999999993</v>
      </c>
      <c r="BN8" s="4"/>
      <c r="BS8" s="57">
        <v>8.6999999999999993</v>
      </c>
      <c r="CO8" s="4"/>
      <c r="CT8" s="57">
        <v>8.6999999999999993</v>
      </c>
      <c r="DQ8" s="4"/>
      <c r="DV8" s="57">
        <v>8.6999999999999993</v>
      </c>
      <c r="EQ8" s="4"/>
      <c r="EV8" s="57">
        <v>8.6999999999999993</v>
      </c>
      <c r="FQ8" s="4"/>
      <c r="FV8" s="57">
        <v>8.6999999999999993</v>
      </c>
      <c r="GQ8" s="4"/>
      <c r="GV8" s="57">
        <v>8.6999999999999993</v>
      </c>
      <c r="HQ8" s="4"/>
      <c r="HV8" s="57">
        <v>8.6999999999999993</v>
      </c>
      <c r="IQ8" s="4"/>
      <c r="IV8" s="57">
        <v>8.6999999999999993</v>
      </c>
      <c r="JQ8" s="4"/>
      <c r="JV8" s="57">
        <v>8.6999999999999993</v>
      </c>
      <c r="KQ8" s="4"/>
      <c r="KV8" s="57">
        <v>8.6999999999999993</v>
      </c>
      <c r="LQ8" s="4"/>
      <c r="LV8" s="57">
        <v>8.6999999999999993</v>
      </c>
      <c r="MQ8" s="4"/>
      <c r="MV8" s="57">
        <v>8.6999999999999993</v>
      </c>
      <c r="NQ8" s="4"/>
      <c r="NV8" s="57">
        <v>8.6999999999999993</v>
      </c>
      <c r="OQ8" s="4"/>
      <c r="OV8" s="57">
        <v>8.6999999999999993</v>
      </c>
    </row>
    <row r="9" spans="1:439" ht="17" hidden="1" x14ac:dyDescent="0.2">
      <c r="B9" s="35" t="s">
        <v>41</v>
      </c>
      <c r="O9" s="11"/>
      <c r="P9" s="11"/>
      <c r="Q9" s="11"/>
      <c r="AM9" s="4"/>
      <c r="AR9" s="58">
        <f>AR10</f>
        <v>9.5</v>
      </c>
      <c r="BN9" s="4"/>
      <c r="BS9" s="58">
        <f>BS10</f>
        <v>9.5</v>
      </c>
      <c r="CO9" s="4"/>
      <c r="CT9" s="58">
        <f>CT10</f>
        <v>9.5</v>
      </c>
      <c r="DQ9" s="4"/>
      <c r="DV9" s="58">
        <f>DV10</f>
        <v>9.5</v>
      </c>
      <c r="EQ9" s="4"/>
      <c r="EV9" s="58">
        <f>EV10</f>
        <v>9.5</v>
      </c>
      <c r="FQ9" s="4"/>
      <c r="FV9" s="58">
        <f>FV10</f>
        <v>9.5</v>
      </c>
      <c r="GQ9" s="4"/>
      <c r="GV9" s="58">
        <f>GV10</f>
        <v>9.5</v>
      </c>
      <c r="HQ9" s="4"/>
      <c r="HV9" s="58">
        <f>HV10</f>
        <v>9.5</v>
      </c>
      <c r="IQ9" s="4"/>
      <c r="IV9" s="58">
        <f>IV10</f>
        <v>9.5</v>
      </c>
      <c r="JQ9" s="4"/>
      <c r="JV9" s="58">
        <f>JV10</f>
        <v>9.5</v>
      </c>
      <c r="KQ9" s="4"/>
      <c r="KV9" s="58">
        <f>KV10</f>
        <v>9.5</v>
      </c>
      <c r="LQ9" s="4"/>
      <c r="LV9" s="58">
        <f>LV10</f>
        <v>9.5</v>
      </c>
      <c r="MQ9" s="4"/>
      <c r="MV9" s="58">
        <f>MV10</f>
        <v>9.5</v>
      </c>
      <c r="NQ9" s="4"/>
      <c r="NV9" s="58">
        <f>NV10</f>
        <v>9.5</v>
      </c>
      <c r="OQ9" s="4"/>
      <c r="OV9" s="58">
        <f>OV10</f>
        <v>9.5</v>
      </c>
    </row>
    <row r="10" spans="1:439" ht="17" x14ac:dyDescent="0.2">
      <c r="A10" s="5"/>
      <c r="B10" s="36" t="s">
        <v>54</v>
      </c>
      <c r="C10" s="22"/>
      <c r="O10" s="11"/>
      <c r="P10" s="11"/>
      <c r="Q10" s="11"/>
      <c r="AM10" s="4"/>
      <c r="AR10" s="59">
        <v>9.5</v>
      </c>
      <c r="BN10" s="4"/>
      <c r="BS10" s="59">
        <v>9.5</v>
      </c>
      <c r="CO10" s="4"/>
      <c r="CT10" s="59">
        <v>9.5</v>
      </c>
      <c r="DQ10" s="4"/>
      <c r="DV10" s="59">
        <v>9.5</v>
      </c>
      <c r="EQ10" s="4"/>
      <c r="EV10" s="59">
        <v>9.5</v>
      </c>
      <c r="FQ10" s="4"/>
      <c r="FV10" s="59">
        <v>9.5</v>
      </c>
      <c r="GQ10" s="4"/>
      <c r="GV10" s="59">
        <v>9.5</v>
      </c>
      <c r="HQ10" s="4"/>
      <c r="HV10" s="59">
        <v>9.5</v>
      </c>
      <c r="IQ10" s="4"/>
      <c r="IV10" s="59">
        <v>9.5</v>
      </c>
      <c r="JQ10" s="4"/>
      <c r="JV10" s="59">
        <v>9.5</v>
      </c>
      <c r="KQ10" s="4"/>
      <c r="KV10" s="59">
        <v>9.5</v>
      </c>
      <c r="LQ10" s="4"/>
      <c r="LV10" s="59">
        <v>9.5</v>
      </c>
      <c r="MQ10" s="4"/>
      <c r="MV10" s="59">
        <v>9.5</v>
      </c>
      <c r="NQ10" s="4"/>
      <c r="NV10" s="59">
        <v>9.5</v>
      </c>
      <c r="OQ10" s="4"/>
      <c r="OV10" s="59">
        <v>9.5</v>
      </c>
    </row>
    <row r="11" spans="1:439" ht="17" hidden="1" x14ac:dyDescent="0.2">
      <c r="A11" s="5"/>
      <c r="B11" s="44" t="s">
        <v>59</v>
      </c>
      <c r="C11" s="22"/>
      <c r="O11" s="11"/>
      <c r="P11" s="11"/>
      <c r="Q11" s="11"/>
      <c r="AM11" s="4"/>
      <c r="AR11" s="60">
        <v>1000</v>
      </c>
      <c r="BN11" s="4"/>
      <c r="BS11" s="60">
        <v>1000</v>
      </c>
      <c r="CO11" s="4"/>
      <c r="CT11" s="60">
        <v>1000</v>
      </c>
      <c r="DQ11" s="4"/>
      <c r="DV11" s="60">
        <v>1000</v>
      </c>
      <c r="EQ11" s="4"/>
      <c r="EV11" s="60">
        <v>1000</v>
      </c>
      <c r="FQ11" s="4"/>
      <c r="FV11" s="60">
        <v>1000</v>
      </c>
      <c r="GQ11" s="4"/>
      <c r="GV11" s="60">
        <v>1000</v>
      </c>
      <c r="HQ11" s="4"/>
      <c r="HV11" s="60">
        <v>1000</v>
      </c>
      <c r="IQ11" s="4"/>
      <c r="IV11" s="60">
        <v>1000</v>
      </c>
      <c r="JQ11" s="4"/>
      <c r="JV11" s="60">
        <v>1000</v>
      </c>
      <c r="KQ11" s="4"/>
      <c r="KV11" s="60">
        <v>1000</v>
      </c>
      <c r="LQ11" s="4"/>
      <c r="LV11" s="60">
        <v>1000</v>
      </c>
      <c r="MQ11" s="4"/>
      <c r="MV11" s="60">
        <v>1000</v>
      </c>
      <c r="NQ11" s="4"/>
      <c r="NV11" s="60">
        <v>1000</v>
      </c>
      <c r="OQ11" s="4"/>
      <c r="OV11" s="60">
        <v>1000</v>
      </c>
    </row>
    <row r="12" spans="1:439" ht="17" x14ac:dyDescent="0.2">
      <c r="A12" s="5"/>
      <c r="B12" s="42" t="s">
        <v>39</v>
      </c>
      <c r="C12" s="22"/>
      <c r="O12" s="11"/>
      <c r="P12" s="11"/>
      <c r="Q12" s="11"/>
      <c r="AM12" s="4"/>
      <c r="AR12" s="61">
        <v>43.1</v>
      </c>
      <c r="BN12" s="4"/>
      <c r="BS12" s="61">
        <v>43.1</v>
      </c>
      <c r="CO12" s="4"/>
      <c r="CT12" s="61">
        <v>43.1</v>
      </c>
      <c r="DQ12" s="4"/>
      <c r="DV12" s="61">
        <v>43.1</v>
      </c>
      <c r="EQ12" s="4"/>
      <c r="EV12" s="61">
        <v>43.1</v>
      </c>
      <c r="FQ12" s="4"/>
      <c r="FV12" s="61">
        <v>43.1</v>
      </c>
      <c r="GQ12" s="4"/>
      <c r="GV12" s="61">
        <v>43.1</v>
      </c>
      <c r="HQ12" s="4"/>
      <c r="HV12" s="61">
        <v>43.1</v>
      </c>
      <c r="IQ12" s="4"/>
      <c r="IV12" s="61">
        <v>43.1</v>
      </c>
      <c r="JQ12" s="4"/>
      <c r="JV12" s="61">
        <v>43.1</v>
      </c>
      <c r="KQ12" s="4"/>
      <c r="KV12" s="61">
        <v>43.1</v>
      </c>
      <c r="LQ12" s="4"/>
      <c r="LV12" s="61">
        <v>43.1</v>
      </c>
      <c r="MQ12" s="4"/>
      <c r="MV12" s="61">
        <v>43.1</v>
      </c>
      <c r="NQ12" s="4"/>
      <c r="NV12" s="61">
        <v>43.1</v>
      </c>
      <c r="OQ12" s="4"/>
      <c r="OV12" s="61">
        <v>43.1</v>
      </c>
    </row>
    <row r="13" spans="1:439" ht="17" hidden="1" x14ac:dyDescent="0.2">
      <c r="A13" s="5"/>
      <c r="B13" s="29" t="s">
        <v>40</v>
      </c>
      <c r="C13" s="22"/>
      <c r="O13" s="11"/>
      <c r="P13" s="11"/>
      <c r="Q13" s="11"/>
      <c r="AM13" s="4"/>
      <c r="AR13" s="62">
        <f>AR14</f>
        <v>45.1</v>
      </c>
      <c r="BN13" s="4"/>
      <c r="BS13" s="62">
        <f>BS14</f>
        <v>45.1</v>
      </c>
      <c r="CO13" s="4"/>
      <c r="CT13" s="62">
        <f>CT14</f>
        <v>45.1</v>
      </c>
      <c r="DQ13" s="4"/>
      <c r="DV13" s="62">
        <f>DV14</f>
        <v>45.1</v>
      </c>
      <c r="EQ13" s="4"/>
      <c r="EV13" s="62">
        <f>EV14</f>
        <v>45.1</v>
      </c>
      <c r="FQ13" s="4"/>
      <c r="FV13" s="62">
        <f>FV14</f>
        <v>45.1</v>
      </c>
      <c r="GQ13" s="4"/>
      <c r="GV13" s="62">
        <f>GV14</f>
        <v>45.1</v>
      </c>
      <c r="HQ13" s="4"/>
      <c r="HV13" s="62">
        <f>HV14</f>
        <v>45.1</v>
      </c>
      <c r="IQ13" s="4"/>
      <c r="IV13" s="62">
        <f>IV14</f>
        <v>45.1</v>
      </c>
      <c r="JQ13" s="4"/>
      <c r="JV13" s="62">
        <f>JV14</f>
        <v>45.1</v>
      </c>
      <c r="KQ13" s="4"/>
      <c r="KV13" s="62">
        <f>KV14</f>
        <v>45.1</v>
      </c>
      <c r="LQ13" s="4"/>
      <c r="LV13" s="62">
        <f>LV14</f>
        <v>45.1</v>
      </c>
      <c r="MQ13" s="4"/>
      <c r="MV13" s="62">
        <f>MV14</f>
        <v>45.1</v>
      </c>
      <c r="NQ13" s="4"/>
      <c r="NV13" s="62">
        <f>NV14</f>
        <v>45.1</v>
      </c>
      <c r="OQ13" s="4"/>
      <c r="OV13" s="62">
        <f>OV14</f>
        <v>45.1</v>
      </c>
    </row>
    <row r="14" spans="1:439" ht="17" x14ac:dyDescent="0.2">
      <c r="A14" s="5"/>
      <c r="B14" s="40" t="s">
        <v>53</v>
      </c>
      <c r="C14" s="22"/>
      <c r="O14" s="11"/>
      <c r="P14" s="11"/>
      <c r="Q14" s="11"/>
      <c r="AM14" s="4"/>
      <c r="AR14" s="63">
        <v>45.1</v>
      </c>
      <c r="BN14" s="4"/>
      <c r="BS14" s="63">
        <v>45.1</v>
      </c>
      <c r="CO14" s="4"/>
      <c r="CT14" s="63">
        <v>45.1</v>
      </c>
      <c r="DQ14" s="4"/>
      <c r="DV14" s="63">
        <v>45.1</v>
      </c>
      <c r="EQ14" s="4"/>
      <c r="EV14" s="63">
        <v>45.1</v>
      </c>
      <c r="FQ14" s="4"/>
      <c r="FV14" s="63">
        <v>45.1</v>
      </c>
      <c r="GQ14" s="4"/>
      <c r="GV14" s="63">
        <v>45.1</v>
      </c>
      <c r="HQ14" s="4"/>
      <c r="HV14" s="63">
        <v>45.1</v>
      </c>
      <c r="IQ14" s="4"/>
      <c r="IV14" s="63">
        <v>45.1</v>
      </c>
      <c r="JQ14" s="4"/>
      <c r="JV14" s="63">
        <v>45.1</v>
      </c>
      <c r="KQ14" s="4"/>
      <c r="KV14" s="63">
        <v>45.1</v>
      </c>
      <c r="LQ14" s="4"/>
      <c r="LV14" s="63">
        <v>45.1</v>
      </c>
      <c r="MQ14" s="4"/>
      <c r="MV14" s="63">
        <v>45.1</v>
      </c>
      <c r="NQ14" s="4"/>
      <c r="NV14" s="63">
        <v>45.1</v>
      </c>
      <c r="OQ14" s="4"/>
      <c r="OV14" s="63">
        <v>45.1</v>
      </c>
    </row>
    <row r="15" spans="1:439" ht="17" hidden="1" x14ac:dyDescent="0.2">
      <c r="A15" s="5"/>
      <c r="B15" s="30" t="s">
        <v>26</v>
      </c>
      <c r="C15" s="22"/>
      <c r="O15" s="11"/>
      <c r="P15" s="11"/>
      <c r="Q15" s="11"/>
      <c r="AM15" s="4"/>
      <c r="AR15" s="64">
        <v>1000</v>
      </c>
      <c r="BN15" s="4"/>
      <c r="BS15" s="64">
        <v>1000</v>
      </c>
      <c r="CO15" s="4"/>
      <c r="CT15" s="64">
        <v>1000</v>
      </c>
      <c r="DQ15" s="4"/>
      <c r="DV15" s="64">
        <v>1000</v>
      </c>
      <c r="EQ15" s="4"/>
      <c r="EV15" s="64">
        <v>1000</v>
      </c>
      <c r="FQ15" s="4"/>
      <c r="FV15" s="64">
        <v>1000</v>
      </c>
      <c r="GQ15" s="4"/>
      <c r="GV15" s="64">
        <v>1000</v>
      </c>
      <c r="HQ15" s="4"/>
      <c r="HV15" s="64">
        <v>1000</v>
      </c>
      <c r="IQ15" s="4"/>
      <c r="IV15" s="64">
        <v>1000</v>
      </c>
      <c r="JQ15" s="4"/>
      <c r="JV15" s="64">
        <v>1000</v>
      </c>
      <c r="KQ15" s="4"/>
      <c r="KV15" s="64">
        <v>1000</v>
      </c>
      <c r="LQ15" s="4"/>
      <c r="LV15" s="64">
        <v>1000</v>
      </c>
      <c r="MQ15" s="4"/>
      <c r="MV15" s="64">
        <v>1000</v>
      </c>
      <c r="NQ15" s="4"/>
      <c r="NV15" s="64">
        <v>1000</v>
      </c>
      <c r="OQ15" s="4"/>
      <c r="OV15" s="64">
        <v>1000</v>
      </c>
    </row>
    <row r="16" spans="1:439" x14ac:dyDescent="0.2">
      <c r="B16" s="34" t="s">
        <v>45</v>
      </c>
      <c r="C16" s="2"/>
    </row>
    <row r="17" spans="1:3" x14ac:dyDescent="0.2">
      <c r="A17" s="5"/>
      <c r="B17" s="5"/>
      <c r="C17" s="2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5">
      <sortCondition descending="1" ref="F1:F6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5">
    <cfRule type="expression" dxfId="115" priority="2" stopIfTrue="1">
      <formula>IF($AL4&lt;&gt;"",1,0)</formula>
    </cfRule>
  </conditionalFormatting>
  <conditionalFormatting sqref="AS4:BS5">
    <cfRule type="expression" dxfId="114" priority="3" stopIfTrue="1">
      <formula>IF($BM4&lt;&gt;"",1,0)</formula>
    </cfRule>
  </conditionalFormatting>
  <conditionalFormatting sqref="J1:J1048576 L1:L1048576 N1:N1048576">
    <cfRule type="expression" dxfId="113" priority="10">
      <formula>IF(J1=$BT$1,1,0)</formula>
    </cfRule>
    <cfRule type="expression" dxfId="112" priority="11">
      <formula>IF(J1=$AS$1,1,0)</formula>
    </cfRule>
    <cfRule type="expression" dxfId="111" priority="12">
      <formula>IF(J1=$R$1,1,0)</formula>
    </cfRule>
  </conditionalFormatting>
  <conditionalFormatting sqref="BT4:CT5">
    <cfRule type="expression" dxfId="110" priority="4" stopIfTrue="1">
      <formula>IF($CN4&lt;&gt;"",1,0)</formula>
    </cfRule>
  </conditionalFormatting>
  <conditionalFormatting sqref="A4:A1048576">
    <cfRule type="expression" dxfId="109" priority="1">
      <formula>AND(G4&lt;&gt;"",F4="")</formula>
    </cfRule>
    <cfRule type="expression" dxfId="108" priority="13" stopIfTrue="1">
      <formula>IF(A4&gt;4,1,0)</formula>
    </cfRule>
  </conditionalFormatting>
  <conditionalFormatting sqref="H1:H1048576">
    <cfRule type="containsText" dxfId="107" priority="5" operator="containsText" text="No DD">
      <formula>NOT(ISERROR(SEARCH("No DD",H1)))</formula>
    </cfRule>
    <cfRule type="containsText" dxfId="106" priority="6" operator="containsText" text="Merit">
      <formula>NOT(ISERROR(SEARCH("Merit",H1)))</formula>
    </cfRule>
    <cfRule type="containsText" dxfId="105" priority="7" operator="containsText" text="Excellence">
      <formula>NOT(ISERROR(SEARCH("Excellence",H1)))</formula>
    </cfRule>
    <cfRule type="containsText" dxfId="104" priority="8" operator="containsText" text="Worlds Team">
      <formula>NOT(ISERROR(SEARCH("Worlds Team",H1)))</formula>
    </cfRule>
    <cfRule type="containsText" dxfId="103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02" priority="53803" operator="between">
      <formula>AR$11</formula>
      <formula>1000</formula>
    </cfRule>
    <cfRule type="cellIs" dxfId="101" priority="53804" operator="between">
      <formula>AR$10</formula>
      <formula>AR$11</formula>
    </cfRule>
    <cfRule type="cellIs" dxfId="100" priority="53805" operator="between">
      <formula>AR$9</formula>
      <formula>AR$10</formula>
    </cfRule>
    <cfRule type="cellIs" dxfId="99" priority="53806" operator="between">
      <formula>AR$8</formula>
      <formula>AR$9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98" priority="53983" operator="between">
      <formula>AR$15</formula>
      <formula>1000</formula>
    </cfRule>
    <cfRule type="cellIs" dxfId="97" priority="53984" operator="between">
      <formula>AR$14</formula>
      <formula>AR$15</formula>
    </cfRule>
    <cfRule type="cellIs" dxfId="96" priority="53985" operator="between">
      <formula>AR$13</formula>
      <formula>AR$14</formula>
    </cfRule>
    <cfRule type="cellIs" dxfId="95" priority="53986" operator="between">
      <formula>AR$12</formula>
      <formula>AR$13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94" priority="54163" operator="between">
      <formula>AR$8</formula>
      <formula>AR$9</formula>
    </cfRule>
    <cfRule type="cellIs" dxfId="93" priority="54164" operator="between">
      <formula>AR$9</formula>
      <formula>AR$10</formula>
    </cfRule>
    <cfRule type="cellIs" dxfId="92" priority="54165" operator="between">
      <formula>AR$10</formula>
      <formula>AR$11</formula>
    </cfRule>
    <cfRule type="cellIs" dxfId="91" priority="54166" operator="between">
      <formula>AR$11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90" priority="54343" operator="between">
      <formula>AR$12</formula>
      <formula>AR$13</formula>
    </cfRule>
    <cfRule type="cellIs" dxfId="89" priority="54344" operator="between">
      <formula>AR$13</formula>
      <formula>AR$14</formula>
    </cfRule>
    <cfRule type="cellIs" dxfId="88" priority="54345" operator="between">
      <formula>AR$14</formula>
      <formula>AR$15</formula>
    </cfRule>
    <cfRule type="cellIs" dxfId="87" priority="54346" operator="between">
      <formula>AR$15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011BB-4763-BD4C-B497-3AAC8E8A62E4}">
  <sheetPr codeName="Sheet12"/>
  <dimension ref="A1:PW1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hidden="1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83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87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95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/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t="str" cm="1">
        <f t="array" ref="A4">IF(AND(H4&lt;&gt;"",H4&lt;&gt;"No DD"),SUMPRODUCT((H$4:H$5&lt;&gt;"")*(H$4:H$5&lt;&gt;"No DD")*(E$4:E$5&gt;E4))+1,IF(H4="No DD",SUMPRODUCT((H$4:H$5="No DD")*(E$4:E$5&gt;E4))+1+SUMPRODUCT((H$4:H$5&lt;&gt;"")*(H$4:H$5&lt;&gt;"No DD")),""))</f>
        <v/>
      </c>
      <c r="B4" s="5" t="s">
        <v>100</v>
      </c>
      <c r="C4" s="4"/>
      <c r="D4" s="4"/>
      <c r="E4" s="10">
        <f>SUM(I4:O4)+SUM(I4:M4)*0.0000001+SUM(I4)*0.0000000000001</f>
        <v>0</v>
      </c>
      <c r="F4" s="3" t="str">
        <f>IF(OR(AND(AM4&gt;=AR$7,AN4&gt;=AR$11,AM4&lt;&gt;"",AL4=""),AND(AP4&gt;=AR$7,AQ4&gt;=AR$11,AP4&lt;&gt;"",AL4=""),AND(BN4&gt;=BS$7,BO4&gt;=BS$11,BN4&lt;&gt;"",BM4=""),AND(BQ4&gt;=BS$7,BR4&gt;=BS$11,BQ4&lt;&gt;"",BM4=""),AND(CO4&gt;=CT$7,CP4&gt;=CT$11,CO4&lt;&gt;"",CN4=""),AND(CR4&gt;=CT$7,CS4&gt;=CT$11,CR4&lt;&gt;""),AND(DQ4&gt;=DV$7,DR4&gt;=DV$11,DQ4&lt;&gt;""),AND(DT4&gt;=DV$7,DU4&gt;=DV$11,DT4&lt;&gt;""),AND(EQ4&gt;=EV$7,ER4&gt;=EV$11,EQ4&lt;&gt;""),AND(ET4&gt;=EV$7,EU4&gt;=EV$11,ET4&lt;&gt;""),AND(FQ4&gt;=FV$7,FR4&gt;=FV$11,FQ4&lt;&gt;""),AND(FT4&gt;=FV$7,FU4&gt;=FV$11,FT4&lt;&gt;""),AND(GQ4&gt;=GV$7,GR4&gt;=GV$11,GQ4&lt;&gt;""),AND(GT4&gt;=GV$7,GU4&gt;=GV$11,GT4&lt;&gt;""),AND(HQ4&gt;=HV$7,HR4&gt;=HV$11,HQ4&lt;&gt;""),AND(HT4&gt;=HV$7,HU4&gt;=HV$11,HT4&lt;&gt;""),AND(IQ4&gt;=IV$7,IR4&gt;=IV$11,IQ4&lt;&gt;""),AND(IT4&gt;=IV$7,IU4&gt;=IV$11,IT4&lt;&gt;""),AND(JQ4&gt;=JV$7,JR4&gt;=JV$11,JQ4&lt;&gt;""),AND(JT4&gt;=JV$7,JU4&gt;=JV$11,JT4&lt;&gt;""),AND(KQ4&gt;=KV$7,KR4&gt;=KV$11,KQ4&lt;&gt;""),AND(KT4&gt;=KV$7,KU4&gt;=KV$11,KT4&lt;&gt;""),AND(LQ4&gt;=LV$7,LR4&gt;=LV$11,LQ4&lt;&gt;""),AND(LT4&gt;=LV$7,LU4&gt;=LV$11,LT4&lt;&gt;""),AND(MQ4&gt;=MV$7,MR4&gt;=MV$11,MQ4&lt;&gt;""),AND(MT4&gt;=MV$7,MU4&gt;=MV$11,MT4&lt;&gt;""),AND(NQ4&gt;=NV$7,NR4&gt;=NV$11,NQ4&lt;&gt;""),AND(NT4&gt;=NV$7,NU4&gt;=NV$11,NT4&lt;&gt;""),AND(OQ4&gt;=OV$7,OR4&gt;=OV$11,OQ4&lt;&gt;""),AND(OT4&gt;=OV$7,OU4&gt;=OV$11,OT4&lt;&gt;"")),"P","")</f>
        <v/>
      </c>
      <c r="G4" s="3" t="str">
        <f>IF(OR(AND(AN4&gt;=AR$11,AN4&lt;&gt;"",AL4=""),AND(AQ4&gt;=AR$11,AQ4&lt;&gt;"",AL4=""),AND(BO4&gt;=BS$11,BO4&lt;&gt;"",BM4=""),AND(BR4&gt;=BS$11,BR4&lt;&gt;"",BM4=""),AND(CP4&gt;=CT$11,CP4&lt;&gt;"",CN4=""),AND(CS4&gt;=CT$11,CS4&lt;&gt;"",CN4=""),AND(DR4&gt;=DV$11,DR4&lt;&gt;""),AND(DU4&gt;=DV$11,DU4&lt;&gt;""),AND(ER4&gt;=EV$11,ER4&lt;&gt;""),AND(EU4&gt;=EV$11,EU4&lt;&gt;""),AND(FR4&gt;=FV$11,FR4&lt;&gt;""),AND(FU4&gt;=FV$11,FU4&lt;&gt;""),AND(GR4&gt;=GV$11,GR4&lt;&gt;""),AND(GU4&gt;=GV$11,GU4&lt;&gt;""),AND(HR4&gt;=HV$11,HR4&lt;&gt;""),AND(HU4&gt;=HV$11,HU4&lt;&gt;""),AND(IR4&gt;=IV$11,IR4&lt;&gt;""),AND(IU4&gt;=IV$11,IU4&lt;&gt;""),AND(JR4&gt;=JV$11,JR4&lt;&gt;""),AND(JU4&gt;=JV$11,JU4&lt;&gt;""),AND(KR4&gt;=KV$11,KR4&lt;&gt;""),AND(KU4&gt;=KV$11,KU4&lt;&gt;""),AND(LR4&gt;=LV$11,LR4&lt;&gt;""),AND(LU4&gt;=LV$11,LU4&lt;&gt;""),AND(MR4&gt;=MV$11,MR4&lt;&gt;""),AND(MU4&gt;=MV$11,MU4&lt;&gt;""),AND(NR4&gt;=NV$11,NR4&lt;&gt;""),AND(NU4&gt;=NV$11,NU4&lt;&gt;""),AND(OR4&gt;=OV$11,OR4&lt;&gt;""),AND(OU4&gt;=OV$11,OU4&lt;&gt;"")),"P","")</f>
        <v/>
      </c>
      <c r="H4" s="47" t="str">
        <f>IF(AND(G4="P",F4=""),"No DD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Merit",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Excellence",IF(F4="P","National Team",""))))</f>
        <v/>
      </c>
      <c r="I4" s="9">
        <f>IF(COUNT(AN4,BO4,CP4)&gt;0,LARGE((AN4,BO4,CP4),1),0)</f>
        <v>0</v>
      </c>
      <c r="J4" s="9" t="str">
        <f>IF(I4=0,"",IF(I4=CP4,$BT$1,IF(I4=BO4,$AS$1,IF(I4=AN4,$R$1,""))))</f>
        <v/>
      </c>
      <c r="K4" s="9">
        <f>IF(COUNT(AN4,BO4,CP4)&gt;1,LARGE((AN4,BO4,CP4),2),0)</f>
        <v>0</v>
      </c>
      <c r="L4" s="9" t="str">
        <f>IF(K4=0,"",IF(K4=CP4,$BT$1,IF(K4=BO4,$AS$1,IF(K4=AN4,$R$1,""))))</f>
        <v/>
      </c>
      <c r="M4" s="9">
        <f>IF(MAX(AQ4,BR4,CS4)&gt;0,MAX(AQ4,BR4,CS4),0)</f>
        <v>0</v>
      </c>
      <c r="N4" s="9" t="str">
        <f>IF(M4=0,"",IF(M4=CS4,$BT$1,IF(M4=BR4,$AS$1,IF(M4=AQ4,$R$1,""))))</f>
        <v/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32"/>
      <c r="AM4" s="55" t="str">
        <f>IF(SUM(S4,W4)&gt;0,SUM(S4,W4),"")</f>
        <v/>
      </c>
      <c r="AN4" s="55" t="str">
        <f>IF(SUM(R4:S4,U4:W4,Y4)-T4-X4&gt;0,SUM(R4:S4,U4:W4,Y4)-T4-X4,"")</f>
        <v/>
      </c>
      <c r="AO4" s="55" t="str">
        <f>IF(SUM(Z4:AA4,AC4)-AB4&gt;0,SUM(Z4:AA4,AC4)-AB4,"")</f>
        <v/>
      </c>
      <c r="AP4" s="55" t="str">
        <f>IF(SUM(AE4,AI4)&gt;0,SUM(AE4,AI4),"")</f>
        <v/>
      </c>
      <c r="AQ4" s="55" t="str">
        <f>IF(SUM(AD4:AE4,AG4:AI4,AK4)-SUM(AF4,AJ4)&gt;0,SUM(AD4:AE4,AG4:AI4,AK4)-SUM(AF4,AJ4),"")</f>
        <v/>
      </c>
      <c r="AR4" s="55" t="str">
        <f>IF(SUM(AN4,AO4,AQ4)&gt;0,SUM(AN4,AO4,AQ4),"")</f>
        <v/>
      </c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33"/>
      <c r="BN4" s="14" t="str">
        <f>IF(SUM(AT4,AX4)&gt;0,SUM(AT4,AX4),"")</f>
        <v/>
      </c>
      <c r="BO4" s="14" t="str">
        <f>IF(SUM(AS4:AT4,AV4:AX4,AZ4)-AU4-AY4&gt;0,SUM(AS4:AT4,AV4:AX4,AZ4)-AU4-AY4,"")</f>
        <v/>
      </c>
      <c r="BP4" s="14" t="str">
        <f>IF(SUM(BA4:BB4,BD4)-BC4&gt;0,SUM(BA4:BB4,BD4)-BC4,"")</f>
        <v/>
      </c>
      <c r="BQ4" s="14" t="str">
        <f>IF(SUM(BF4,BJ4)&gt;0,SUM(BF4,BJ4),"")</f>
        <v/>
      </c>
      <c r="BR4" s="14" t="str">
        <f>IF(SUM(BE4:BF4,BH4:BJ4,BL4)-SUM(BG4,BK4)&gt;0,SUM(BE4:BF4,BH4:BJ4,BL4)-SUM(BG4,BK4),"")</f>
        <v/>
      </c>
      <c r="BS4" s="14" t="str">
        <f>IF(SUM(BO4,BP4,BR4)&gt;0,SUM(BO4,BP4,BR4),"")</f>
        <v/>
      </c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32"/>
      <c r="CO4" s="55" t="str">
        <f>IF(SUM(BU4,BY4)&gt;0,SUM(BU4,BY4),"")</f>
        <v/>
      </c>
      <c r="CP4" s="55" t="str">
        <f>IF(SUM(BT4:BU4,BW4:BY4,CA4)-BV4-BZ4&gt;0,SUM(BT4:BU4,BW4:BY4,CA4)-BV4-BZ4,"")</f>
        <v/>
      </c>
      <c r="CQ4" s="55" t="str">
        <f>IF(SUM(CB4:CC4,CE4)-CD4&gt;0,SUM(CB4:CC4,CE4)-CD4,"")</f>
        <v/>
      </c>
      <c r="CR4" s="55" t="str">
        <f>IF(SUM(CG4,CK4)&gt;0,SUM(CG4,CK4),"")</f>
        <v/>
      </c>
      <c r="CS4" s="55" t="str">
        <f>IF(SUM(CF4:CG4,CI4:CK4,CM4)-SUM(CH4,CL4)&gt;0,SUM(CF4:CG4,CI4:CK4,CM4)-SUM(CH4,CL4),"")</f>
        <v/>
      </c>
      <c r="CT4" s="55" t="str">
        <f>IF(SUM(CP4,CQ4,CS4)&gt;0,SUM(CP4,CQ4,CS4),"")</f>
        <v/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IF(SUM(DR4,DS4,DU4)&gt;0,SUM(DR4,DS4,DU4),"")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 t="shared" ref="OW4:PF4" si="0">IF($CN4="P",BT4,(BT4+AS4)/2)</f>
        <v>0</v>
      </c>
      <c r="OX4" s="27">
        <f t="shared" si="0"/>
        <v>0</v>
      </c>
      <c r="OY4" s="27">
        <f t="shared" si="0"/>
        <v>0</v>
      </c>
      <c r="OZ4" s="27">
        <f t="shared" si="0"/>
        <v>0</v>
      </c>
      <c r="PA4" s="27">
        <f t="shared" si="0"/>
        <v>0</v>
      </c>
      <c r="PB4" s="27">
        <f t="shared" si="0"/>
        <v>0</v>
      </c>
      <c r="PC4" s="27">
        <f t="shared" si="0"/>
        <v>0</v>
      </c>
      <c r="PD4" s="27">
        <f t="shared" si="0"/>
        <v>0</v>
      </c>
      <c r="PE4" s="27">
        <f t="shared" si="0"/>
        <v>0</v>
      </c>
      <c r="PF4" s="27">
        <f t="shared" si="0"/>
        <v>0</v>
      </c>
      <c r="PG4" s="27">
        <f t="shared" ref="PG4:PP4" si="1">IF($CN4="P",CD4,(CD4+BC4)/2)</f>
        <v>0</v>
      </c>
      <c r="PH4" s="27">
        <f t="shared" si="1"/>
        <v>0</v>
      </c>
      <c r="PI4" s="27">
        <f t="shared" si="1"/>
        <v>0</v>
      </c>
      <c r="PJ4" s="27">
        <f t="shared" si="1"/>
        <v>0</v>
      </c>
      <c r="PK4" s="27">
        <f t="shared" si="1"/>
        <v>0</v>
      </c>
      <c r="PL4" s="27">
        <f t="shared" si="1"/>
        <v>0</v>
      </c>
      <c r="PM4" s="27">
        <f t="shared" si="1"/>
        <v>0</v>
      </c>
      <c r="PN4" s="27">
        <f t="shared" si="1"/>
        <v>0</v>
      </c>
      <c r="PO4" s="27">
        <f t="shared" si="1"/>
        <v>0</v>
      </c>
      <c r="PP4" s="27">
        <f t="shared" si="1"/>
        <v>0</v>
      </c>
      <c r="PQ4" s="32" t="s">
        <v>44</v>
      </c>
      <c r="PR4" s="55" t="str">
        <f>IF(SUM(OX4,PB4)&gt;0,SUM(OX4,PB4),"")</f>
        <v/>
      </c>
      <c r="PS4" s="55" t="str">
        <f>IF(SUM(OW4:OX4,OZ4:PB4,PD4)-OY4-PC4&gt;0,SUM(OW4:OX4,OZ4:PB4,PD4)-OY4-PC4,"")</f>
        <v/>
      </c>
      <c r="PT4" s="55" t="str">
        <f>IF(SUM(PE4:PF4,PH4)-PG4&gt;0,SUM(PE4:PF4,PH4)-PG4,"")</f>
        <v/>
      </c>
      <c r="PU4" s="55" t="str">
        <f>IF(SUM(PJ4,PN4)&gt;0,SUM(PJ4,PN4),"")</f>
        <v/>
      </c>
      <c r="PV4" s="55" t="str">
        <f>IF(SUM(PI4:PJ4,PL4:PN4,PP4)-SUM(PK4,PO4)&gt;0,SUM(PI4:PJ4,PL4:PN4,PP4)-SUM(PK4,PO4),"")</f>
        <v/>
      </c>
      <c r="PW4" s="55" t="str">
        <f>IF(SUM(PS4,PT4,PV4)&gt;0,SUM(PS4,PT4,PV4),"")</f>
        <v/>
      </c>
    </row>
    <row r="5" spans="1:439" ht="17" x14ac:dyDescent="0.2">
      <c r="O5" s="11"/>
      <c r="P5" s="11"/>
      <c r="Q5" s="11"/>
    </row>
    <row r="6" spans="1:439" ht="17" x14ac:dyDescent="0.2">
      <c r="O6" s="11"/>
      <c r="P6" s="11"/>
      <c r="Q6" s="11"/>
    </row>
    <row r="7" spans="1:439" ht="17" x14ac:dyDescent="0.2">
      <c r="B7" s="28" t="s">
        <v>42</v>
      </c>
      <c r="O7" s="11"/>
      <c r="P7" s="11"/>
      <c r="Q7" s="11"/>
      <c r="AM7" s="4"/>
      <c r="AR7" s="57">
        <v>7.3</v>
      </c>
      <c r="BN7" s="4"/>
      <c r="BS7" s="57">
        <v>7.3</v>
      </c>
      <c r="CO7" s="4"/>
      <c r="CT7" s="57">
        <v>7.3</v>
      </c>
      <c r="DQ7" s="4"/>
      <c r="DV7" s="57">
        <v>7.3</v>
      </c>
      <c r="EQ7" s="4"/>
      <c r="EV7" s="57">
        <v>7.3</v>
      </c>
      <c r="FQ7" s="4"/>
      <c r="FV7" s="57">
        <v>7.3</v>
      </c>
      <c r="GQ7" s="4"/>
      <c r="GV7" s="57">
        <v>7.3</v>
      </c>
      <c r="HQ7" s="4"/>
      <c r="HV7" s="57">
        <v>7.3</v>
      </c>
      <c r="IQ7" s="4"/>
      <c r="IV7" s="57">
        <v>7.3</v>
      </c>
      <c r="JQ7" s="4"/>
      <c r="JV7" s="57">
        <v>7.3</v>
      </c>
      <c r="KQ7" s="4"/>
      <c r="KV7" s="57">
        <v>7.3</v>
      </c>
      <c r="LQ7" s="4"/>
      <c r="LV7" s="57">
        <v>7.3</v>
      </c>
      <c r="MQ7" s="4"/>
      <c r="MV7" s="57">
        <v>7.3</v>
      </c>
      <c r="NQ7" s="4"/>
      <c r="NV7" s="57">
        <v>7.3</v>
      </c>
      <c r="OQ7" s="4"/>
      <c r="OV7" s="57">
        <v>7.3</v>
      </c>
    </row>
    <row r="8" spans="1:439" ht="17" x14ac:dyDescent="0.2">
      <c r="B8" s="35" t="s">
        <v>41</v>
      </c>
      <c r="O8" s="11"/>
      <c r="P8" s="11"/>
      <c r="Q8" s="11"/>
      <c r="AM8" s="4"/>
      <c r="AR8" s="58">
        <v>7.2</v>
      </c>
      <c r="BN8" s="4"/>
      <c r="BS8" s="58">
        <v>8</v>
      </c>
      <c r="CO8" s="4"/>
      <c r="CT8" s="58">
        <v>8</v>
      </c>
      <c r="DQ8" s="4"/>
      <c r="DV8" s="58">
        <v>7.2</v>
      </c>
      <c r="EQ8" s="4"/>
      <c r="EV8" s="58">
        <v>7.2</v>
      </c>
      <c r="FQ8" s="4"/>
      <c r="FV8" s="58">
        <v>7.2</v>
      </c>
      <c r="GQ8" s="4"/>
      <c r="GV8" s="58">
        <v>7.2</v>
      </c>
      <c r="HQ8" s="4"/>
      <c r="HV8" s="58">
        <v>7.2</v>
      </c>
      <c r="IQ8" s="4"/>
      <c r="IV8" s="58">
        <v>7.2</v>
      </c>
      <c r="JQ8" s="4"/>
      <c r="JV8" s="58">
        <v>7.2</v>
      </c>
      <c r="KQ8" s="4"/>
      <c r="KV8" s="58">
        <v>7.2</v>
      </c>
      <c r="LQ8" s="4"/>
      <c r="LV8" s="58">
        <v>7.2</v>
      </c>
      <c r="MQ8" s="4"/>
      <c r="MV8" s="58">
        <v>7.2</v>
      </c>
      <c r="NQ8" s="4"/>
      <c r="NV8" s="58">
        <v>7.2</v>
      </c>
      <c r="OQ8" s="4"/>
      <c r="OV8" s="58">
        <v>7.2</v>
      </c>
    </row>
    <row r="9" spans="1:439" ht="17" x14ac:dyDescent="0.2">
      <c r="A9" s="5"/>
      <c r="B9" s="36" t="s">
        <v>54</v>
      </c>
      <c r="C9" s="22"/>
      <c r="O9" s="11"/>
      <c r="P9" s="11"/>
      <c r="Q9" s="11"/>
      <c r="AM9" s="4"/>
      <c r="AR9" s="59">
        <v>8</v>
      </c>
      <c r="BN9" s="4"/>
      <c r="BS9" s="59">
        <v>8</v>
      </c>
      <c r="CO9" s="4"/>
      <c r="CT9" s="59">
        <v>8</v>
      </c>
      <c r="DQ9" s="4"/>
      <c r="DV9" s="59">
        <v>8</v>
      </c>
      <c r="EQ9" s="4"/>
      <c r="EV9" s="59">
        <v>8</v>
      </c>
      <c r="FQ9" s="4"/>
      <c r="FV9" s="59">
        <v>8</v>
      </c>
      <c r="GQ9" s="4"/>
      <c r="GV9" s="59">
        <v>8</v>
      </c>
      <c r="HQ9" s="4"/>
      <c r="HV9" s="59">
        <v>8</v>
      </c>
      <c r="IQ9" s="4"/>
      <c r="IV9" s="59">
        <v>8</v>
      </c>
      <c r="JQ9" s="4"/>
      <c r="JV9" s="59">
        <v>8</v>
      </c>
      <c r="KQ9" s="4"/>
      <c r="KV9" s="59">
        <v>8</v>
      </c>
      <c r="LQ9" s="4"/>
      <c r="LV9" s="59">
        <v>8</v>
      </c>
      <c r="MQ9" s="4"/>
      <c r="MV9" s="59">
        <v>8</v>
      </c>
      <c r="NQ9" s="4"/>
      <c r="NV9" s="59">
        <v>8</v>
      </c>
      <c r="OQ9" s="4"/>
      <c r="OV9" s="59">
        <v>8</v>
      </c>
    </row>
    <row r="10" spans="1:439" ht="17" hidden="1" x14ac:dyDescent="0.2">
      <c r="A10" s="5"/>
      <c r="B10" s="44" t="s">
        <v>59</v>
      </c>
      <c r="C10" s="22"/>
      <c r="O10" s="11"/>
      <c r="P10" s="11"/>
      <c r="Q10" s="11"/>
      <c r="AM10" s="4"/>
      <c r="AR10" s="60">
        <v>1000</v>
      </c>
      <c r="BN10" s="4"/>
      <c r="BS10" s="60">
        <v>1000</v>
      </c>
      <c r="CO10" s="4"/>
      <c r="CT10" s="60">
        <v>1000</v>
      </c>
      <c r="DQ10" s="4"/>
      <c r="DV10" s="60">
        <v>1000</v>
      </c>
      <c r="EQ10" s="4"/>
      <c r="EV10" s="60">
        <v>1000</v>
      </c>
      <c r="FQ10" s="4"/>
      <c r="FV10" s="60">
        <v>1000</v>
      </c>
      <c r="GQ10" s="4"/>
      <c r="GV10" s="60">
        <v>1000</v>
      </c>
      <c r="HQ10" s="4"/>
      <c r="HV10" s="60">
        <v>1000</v>
      </c>
      <c r="IQ10" s="4"/>
      <c r="IV10" s="60">
        <v>1000</v>
      </c>
      <c r="JQ10" s="4"/>
      <c r="JV10" s="60">
        <v>1000</v>
      </c>
      <c r="KQ10" s="4"/>
      <c r="KV10" s="60">
        <v>1000</v>
      </c>
      <c r="LQ10" s="4"/>
      <c r="LV10" s="60">
        <v>1000</v>
      </c>
      <c r="MQ10" s="4"/>
      <c r="MV10" s="60">
        <v>1000</v>
      </c>
      <c r="NQ10" s="4"/>
      <c r="NV10" s="60">
        <v>1000</v>
      </c>
      <c r="OQ10" s="4"/>
      <c r="OV10" s="60">
        <v>1000</v>
      </c>
    </row>
    <row r="11" spans="1:439" ht="17" x14ac:dyDescent="0.2">
      <c r="A11" s="5"/>
      <c r="B11" s="42" t="s">
        <v>39</v>
      </c>
      <c r="C11" s="22"/>
      <c r="O11" s="11"/>
      <c r="P11" s="11"/>
      <c r="Q11" s="11"/>
      <c r="AM11" s="4"/>
      <c r="AR11" s="61">
        <v>41.7</v>
      </c>
      <c r="BN11" s="4"/>
      <c r="BS11" s="61">
        <v>41.7</v>
      </c>
      <c r="CO11" s="4"/>
      <c r="CT11" s="61">
        <v>41.7</v>
      </c>
      <c r="DQ11" s="4"/>
      <c r="DV11" s="61">
        <v>41.7</v>
      </c>
      <c r="EQ11" s="4"/>
      <c r="EV11" s="61">
        <v>41.7</v>
      </c>
      <c r="FQ11" s="4"/>
      <c r="FV11" s="61">
        <v>41.7</v>
      </c>
      <c r="GQ11" s="4"/>
      <c r="GV11" s="61">
        <v>41.7</v>
      </c>
      <c r="HQ11" s="4"/>
      <c r="HV11" s="61">
        <v>41.7</v>
      </c>
      <c r="IQ11" s="4"/>
      <c r="IV11" s="61">
        <v>41.7</v>
      </c>
      <c r="JQ11" s="4"/>
      <c r="JV11" s="61">
        <v>41.7</v>
      </c>
      <c r="KQ11" s="4"/>
      <c r="KV11" s="61">
        <v>41.7</v>
      </c>
      <c r="LQ11" s="4"/>
      <c r="LV11" s="61">
        <v>41.7</v>
      </c>
      <c r="MQ11" s="4"/>
      <c r="MV11" s="61">
        <v>41.7</v>
      </c>
      <c r="NQ11" s="4"/>
      <c r="NV11" s="61">
        <v>41.7</v>
      </c>
      <c r="OQ11" s="4"/>
      <c r="OV11" s="61">
        <v>41.7</v>
      </c>
    </row>
    <row r="12" spans="1:439" ht="17" hidden="1" x14ac:dyDescent="0.2">
      <c r="A12" s="5"/>
      <c r="B12" s="29" t="s">
        <v>40</v>
      </c>
      <c r="C12" s="22"/>
      <c r="O12" s="11"/>
      <c r="P12" s="11"/>
      <c r="Q12" s="11"/>
      <c r="AM12" s="4"/>
      <c r="AR12" s="62">
        <v>43.4</v>
      </c>
      <c r="BN12" s="4"/>
      <c r="BS12" s="62">
        <v>43.4</v>
      </c>
      <c r="CO12" s="4"/>
      <c r="CT12" s="62">
        <v>43.4</v>
      </c>
      <c r="DQ12" s="4"/>
      <c r="DV12" s="62">
        <v>43.4</v>
      </c>
      <c r="EQ12" s="4"/>
      <c r="EV12" s="62">
        <v>43.4</v>
      </c>
      <c r="FQ12" s="4"/>
      <c r="FV12" s="62">
        <v>43.4</v>
      </c>
      <c r="GQ12" s="4"/>
      <c r="GV12" s="62">
        <v>43.4</v>
      </c>
      <c r="HQ12" s="4"/>
      <c r="HV12" s="62">
        <v>43.4</v>
      </c>
      <c r="IQ12" s="4"/>
      <c r="IV12" s="62">
        <v>43.4</v>
      </c>
      <c r="JQ12" s="4"/>
      <c r="JV12" s="62">
        <v>43.4</v>
      </c>
      <c r="KQ12" s="4"/>
      <c r="KV12" s="62">
        <v>43.4</v>
      </c>
      <c r="LQ12" s="4"/>
      <c r="LV12" s="62">
        <v>43.4</v>
      </c>
      <c r="MQ12" s="4"/>
      <c r="MV12" s="62">
        <v>43.4</v>
      </c>
      <c r="NQ12" s="4"/>
      <c r="NV12" s="62">
        <v>43.4</v>
      </c>
      <c r="OQ12" s="4"/>
      <c r="OV12" s="62">
        <v>43.4</v>
      </c>
    </row>
    <row r="13" spans="1:439" ht="17" x14ac:dyDescent="0.2">
      <c r="A13" s="5"/>
      <c r="B13" s="40" t="s">
        <v>53</v>
      </c>
      <c r="C13" s="22"/>
      <c r="O13" s="11"/>
      <c r="P13" s="11"/>
      <c r="Q13" s="11"/>
      <c r="AM13" s="4"/>
      <c r="AR13" s="63">
        <v>42.5</v>
      </c>
      <c r="BN13" s="4"/>
      <c r="BS13" s="63">
        <v>42.5</v>
      </c>
      <c r="CO13" s="4"/>
      <c r="CT13" s="63">
        <v>42.5</v>
      </c>
      <c r="DQ13" s="4"/>
      <c r="DV13" s="63">
        <v>42.5</v>
      </c>
      <c r="EQ13" s="4"/>
      <c r="EV13" s="63">
        <v>42.5</v>
      </c>
      <c r="FQ13" s="4"/>
      <c r="FV13" s="63">
        <v>42.5</v>
      </c>
      <c r="GQ13" s="4"/>
      <c r="GV13" s="63">
        <v>42.5</v>
      </c>
      <c r="HQ13" s="4"/>
      <c r="HV13" s="63">
        <v>42.5</v>
      </c>
      <c r="IQ13" s="4"/>
      <c r="IV13" s="63">
        <v>42.5</v>
      </c>
      <c r="JQ13" s="4"/>
      <c r="JV13" s="63">
        <v>42.5</v>
      </c>
      <c r="KQ13" s="4"/>
      <c r="KV13" s="63">
        <v>42.5</v>
      </c>
      <c r="LQ13" s="4"/>
      <c r="LV13" s="63">
        <v>42.5</v>
      </c>
      <c r="MQ13" s="4"/>
      <c r="MV13" s="63">
        <v>42.5</v>
      </c>
      <c r="NQ13" s="4"/>
      <c r="NV13" s="63">
        <v>42.5</v>
      </c>
      <c r="OQ13" s="4"/>
      <c r="OV13" s="63">
        <v>42.5</v>
      </c>
    </row>
    <row r="14" spans="1:439" ht="17" hidden="1" x14ac:dyDescent="0.2">
      <c r="A14" s="5"/>
      <c r="B14" s="30" t="s">
        <v>26</v>
      </c>
      <c r="C14" s="22"/>
      <c r="O14" s="11"/>
      <c r="P14" s="11"/>
      <c r="Q14" s="11"/>
      <c r="AM14" s="4"/>
      <c r="AR14" s="64">
        <v>1000</v>
      </c>
      <c r="BN14" s="4"/>
      <c r="BS14" s="64">
        <v>1000</v>
      </c>
      <c r="CO14" s="4"/>
      <c r="CT14" s="64">
        <v>1000</v>
      </c>
      <c r="DQ14" s="4"/>
      <c r="DV14" s="64">
        <v>1000</v>
      </c>
      <c r="EQ14" s="4"/>
      <c r="EV14" s="64">
        <v>1000</v>
      </c>
      <c r="FQ14" s="4"/>
      <c r="FV14" s="64">
        <v>1000</v>
      </c>
      <c r="GQ14" s="4"/>
      <c r="GV14" s="64">
        <v>1000</v>
      </c>
      <c r="HQ14" s="4"/>
      <c r="HV14" s="64">
        <v>1000</v>
      </c>
      <c r="IQ14" s="4"/>
      <c r="IV14" s="64">
        <v>1000</v>
      </c>
      <c r="JQ14" s="4"/>
      <c r="JV14" s="64">
        <v>1000</v>
      </c>
      <c r="KQ14" s="4"/>
      <c r="KV14" s="64">
        <v>1000</v>
      </c>
      <c r="LQ14" s="4"/>
      <c r="LV14" s="64">
        <v>1000</v>
      </c>
      <c r="MQ14" s="4"/>
      <c r="MV14" s="64">
        <v>1000</v>
      </c>
      <c r="NQ14" s="4"/>
      <c r="NV14" s="64">
        <v>1000</v>
      </c>
      <c r="OQ14" s="4"/>
      <c r="OV14" s="64">
        <v>1000</v>
      </c>
    </row>
    <row r="15" spans="1:439" x14ac:dyDescent="0.2">
      <c r="B15" s="34" t="s">
        <v>45</v>
      </c>
      <c r="C15" s="2"/>
    </row>
    <row r="16" spans="1:439" x14ac:dyDescent="0.2">
      <c r="A16" s="5"/>
      <c r="B16" s="5"/>
      <c r="C16" s="22"/>
    </row>
    <row r="17" spans="1:3" x14ac:dyDescent="0.2">
      <c r="A17" s="5"/>
      <c r="B17" s="5"/>
      <c r="C17" s="22"/>
    </row>
    <row r="18" spans="1:3" x14ac:dyDescent="0.2">
      <c r="A18" s="5"/>
      <c r="B18" s="5"/>
      <c r="C18" s="22"/>
    </row>
    <row r="19" spans="1:3" x14ac:dyDescent="0.2">
      <c r="A19" s="5"/>
      <c r="B19" s="5"/>
      <c r="C19" s="5"/>
    </row>
  </sheetData>
  <sheetProtection formatCells="0" formatColumns="0" formatRows="0"/>
  <autoFilter ref="A1:PW3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4">
      <sortCondition descending="1" ref="F1:F5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4">
    <cfRule type="expression" dxfId="86" priority="6" stopIfTrue="1">
      <formula>IF($AL4&lt;&gt;"",1,0)</formula>
    </cfRule>
  </conditionalFormatting>
  <conditionalFormatting sqref="AS4:BS4">
    <cfRule type="expression" dxfId="85" priority="11" stopIfTrue="1">
      <formula>IF($BM4&lt;&gt;"",1,0)</formula>
    </cfRule>
  </conditionalFormatting>
  <conditionalFormatting sqref="J1:J1048576 L1:L1048576 N1:N1048576">
    <cfRule type="expression" dxfId="84" priority="18">
      <formula>IF(J1=$BT$1,1,0)</formula>
    </cfRule>
    <cfRule type="expression" dxfId="83" priority="19">
      <formula>IF(J1=$AS$1,1,0)</formula>
    </cfRule>
    <cfRule type="expression" dxfId="82" priority="20">
      <formula>IF(J1=$R$1,1,0)</formula>
    </cfRule>
  </conditionalFormatting>
  <conditionalFormatting sqref="BT4:CT4">
    <cfRule type="expression" dxfId="81" priority="12" stopIfTrue="1">
      <formula>IF($CN4&lt;&gt;"",1,0)</formula>
    </cfRule>
  </conditionalFormatting>
  <conditionalFormatting sqref="A4:A1048576">
    <cfRule type="expression" dxfId="80" priority="1">
      <formula>AND(G4&lt;&gt;"",F4="")</formula>
    </cfRule>
    <cfRule type="expression" dxfId="79" priority="21">
      <formula>IF(A4&gt;4,1,0)</formula>
    </cfRule>
  </conditionalFormatting>
  <conditionalFormatting sqref="H1:H1048576">
    <cfRule type="containsText" dxfId="78" priority="13" operator="containsText" text="No DD">
      <formula>NOT(ISERROR(SEARCH("No DD",H1)))</formula>
    </cfRule>
    <cfRule type="containsText" dxfId="77" priority="14" operator="containsText" text="Merit">
      <formula>NOT(ISERROR(SEARCH("Merit",H1)))</formula>
    </cfRule>
    <cfRule type="containsText" dxfId="76" priority="15" operator="containsText" text="Excellence">
      <formula>NOT(ISERROR(SEARCH("Excellence",H1)))</formula>
    </cfRule>
    <cfRule type="containsText" dxfId="75" priority="16" operator="containsText" text="Worlds Team">
      <formula>NOT(ISERROR(SEARCH("Worlds Team",H1)))</formula>
    </cfRule>
    <cfRule type="containsText" dxfId="74" priority="17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73" priority="54396" operator="between">
      <formula>AR$10</formula>
      <formula>1000</formula>
    </cfRule>
    <cfRule type="cellIs" dxfId="72" priority="54397" operator="between">
      <formula>AR$9</formula>
      <formula>AR$10</formula>
    </cfRule>
    <cfRule type="cellIs" dxfId="71" priority="54398" operator="between">
      <formula>AR$8</formula>
      <formula>AR$9</formula>
    </cfRule>
    <cfRule type="cellIs" dxfId="70" priority="54399" operator="between">
      <formula>AR$7</formula>
      <formula>AR$8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69" priority="54576" operator="between">
      <formula>AR$14</formula>
      <formula>1000</formula>
    </cfRule>
    <cfRule type="cellIs" dxfId="68" priority="54577" operator="between">
      <formula>AR$13</formula>
      <formula>AR$14</formula>
    </cfRule>
    <cfRule type="cellIs" dxfId="67" priority="54578" operator="between">
      <formula>AR$12</formula>
      <formula>AR$13</formula>
    </cfRule>
    <cfRule type="cellIs" dxfId="66" priority="54579" operator="between">
      <formula>AR$11</formula>
      <formula>AR$12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65" priority="54756" operator="between">
      <formula>AR$7</formula>
      <formula>AR$8</formula>
    </cfRule>
    <cfRule type="cellIs" dxfId="64" priority="54757" operator="between">
      <formula>AR$8</formula>
      <formula>AR$9</formula>
    </cfRule>
    <cfRule type="cellIs" dxfId="63" priority="54758" operator="between">
      <formula>AR$9</formula>
      <formula>AR$10</formula>
    </cfRule>
    <cfRule type="cellIs" dxfId="62" priority="54759" operator="between">
      <formula>AR$10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61" priority="54936" operator="between">
      <formula>AR$11</formula>
      <formula>AR$12</formula>
    </cfRule>
    <cfRule type="cellIs" dxfId="60" priority="54937" operator="between">
      <formula>AR$12</formula>
      <formula>AR$13</formula>
    </cfRule>
    <cfRule type="cellIs" dxfId="59" priority="54938" operator="between">
      <formula>AR$13</formula>
      <formula>AR$14</formula>
    </cfRule>
    <cfRule type="cellIs" dxfId="58" priority="54939" operator="between">
      <formula>AR$14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81935-3E78-E34D-9EE7-56EB07CD630F}">
  <sheetPr codeName="Sheet13"/>
  <dimension ref="A1:PW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3.3320312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83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87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95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 t="s">
        <v>86</v>
      </c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 t="s">
        <v>85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 t="s">
        <v>97</v>
      </c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DD"),SUMPRODUCT((H$4:H$6&lt;&gt;"")*(H$4:H$6&lt;&gt;"No DD")*(E$4:E$6&gt;E4))+1,IF(H4="No DD",SUMPRODUCT((H$4:H$6="No DD")*(E$4:E$6&gt;E4))+1+SUMPRODUCT((H$4:H$6&lt;&gt;"")*(H$4:H$6&lt;&gt;"No DD")),""))</f>
        <v>1</v>
      </c>
      <c r="B4" s="5" t="s">
        <v>81</v>
      </c>
      <c r="C4" s="4" t="s">
        <v>66</v>
      </c>
      <c r="D4" s="4">
        <v>2008</v>
      </c>
      <c r="E4" s="10">
        <f>SUM(I4:O4)+SUM(I4:M4)*0.0000001+SUM(I4)*0.0000000000001</f>
        <v>154.00001478000496</v>
      </c>
      <c r="F4" s="3" t="str">
        <f>IF(OR(AND(AM4&gt;=AR$8,AN4&gt;=AR$12,AM4&lt;&gt;"",AL4=""),AND(AP4&gt;=AR$8,AQ4&gt;=AR$12,AP4&lt;&gt;"",AL4=""),AND(BN4&gt;=BS$8,BO4&gt;=BS$12,BN4&lt;&gt;"",BM4=""),AND(BQ4&gt;=BS$8,BR4&gt;=BS$12,BQ4&lt;&gt;"",BM4=""),AND(CO4&gt;=CT$8,CP4&gt;=CT$12,CO4&lt;&gt;"",CN4=""),AND(CR4&gt;=CT$8,CS4&gt;=CT$12,CR4&lt;&gt;""),AND(DQ4&gt;=DV$8,DR4&gt;=DV$12,DQ4&lt;&gt;""),AND(DT4&gt;=DV$8,DU4&gt;=DV$12,DT4&lt;&gt;""),AND(EQ4&gt;=EV$8,ER4&gt;=EV$12,EQ4&lt;&gt;""),AND(ET4&gt;=EV$8,EU4&gt;=EV$12,ET4&lt;&gt;""),AND(FQ4&gt;=FV$8,FR4&gt;=FV$12,FQ4&lt;&gt;""),AND(FT4&gt;=FV$8,FU4&gt;=FV$12,FT4&lt;&gt;""),AND(GQ4&gt;=GV$8,GR4&gt;=GV$12,GQ4&lt;&gt;""),AND(GT4&gt;=GV$8,GU4&gt;=GV$12,GT4&lt;&gt;""),AND(HQ4&gt;=HV$8,HR4&gt;=HV$12,HQ4&lt;&gt;""),AND(HT4&gt;=HV$8,HU4&gt;=HV$12,HT4&lt;&gt;""),AND(IQ4&gt;=IV$8,IR4&gt;=IV$12,IQ4&lt;&gt;""),AND(IT4&gt;=IV$8,IU4&gt;=IV$12,IT4&lt;&gt;""),AND(JQ4&gt;=JV$8,JR4&gt;=JV$12,JQ4&lt;&gt;""),AND(JT4&gt;=JV$8,JU4&gt;=JV$12,JT4&lt;&gt;""),AND(KQ4&gt;=KV$8,KR4&gt;=KV$12,KQ4&lt;&gt;""),AND(KT4&gt;=KV$8,KU4&gt;=KV$12,KT4&lt;&gt;""),AND(LQ4&gt;=LV$8,LR4&gt;=LV$12,LQ4&lt;&gt;""),AND(LT4&gt;=LV$8,LU4&gt;=LV$12,LT4&lt;&gt;""),AND(MQ4&gt;=MV$8,MR4&gt;=MV$12,MQ4&lt;&gt;""),AND(MT4&gt;=MV$8,MU4&gt;=MV$12,MT4&lt;&gt;""),AND(NQ4&gt;=NV$8,NR4&gt;=NV$12,NQ4&lt;&gt;""),AND(NT4&gt;=NV$8,NU4&gt;=NV$12,NT4&lt;&gt;""),AND(OQ4&gt;=OV$8,OR4&gt;=OV$12,OQ4&lt;&gt;""),AND(OT4&gt;=OV$8,OU4&gt;=OV$12,OT4&lt;&gt;"")),"P","")</f>
        <v>P</v>
      </c>
      <c r="G4" s="3" t="str">
        <f>IF(OR(AND(AN4&gt;=AR$12,AN4&lt;&gt;"",AL4=""),AND(AQ4&gt;=AR$12,AQ4&lt;&gt;"",AL4=""),AND(BO4&gt;=BS$12,BO4&lt;&gt;"",BM4=""),AND(BR4&gt;=BS$12,BR4&lt;&gt;"",BM4=""),AND(CP4&gt;=CT$12,CP4&lt;&gt;"",CN4=""),AND(CS4&gt;=CT$12,CS4&lt;&gt;"",CN4=""),AND(DR4&gt;=DV$12,DR4&lt;&gt;""),AND(DU4&gt;=DV$12,DU4&lt;&gt;""),AND(ER4&gt;=EV$12,ER4&lt;&gt;""),AND(EU4&gt;=EV$12,EU4&lt;&gt;""),AND(FR4&gt;=FV$12,FR4&lt;&gt;""),AND(FU4&gt;=FV$12,FU4&lt;&gt;""),AND(GR4&gt;=GV$12,GR4&lt;&gt;""),AND(GU4&gt;=GV$12,GU4&lt;&gt;""),AND(HR4&gt;=HV$12,HR4&lt;&gt;""),AND(HU4&gt;=HV$12,HU4&lt;&gt;""),AND(IR4&gt;=IV$12,IR4&lt;&gt;""),AND(IU4&gt;=IV$12,IU4&lt;&gt;""),AND(JR4&gt;=JV$12,JR4&lt;&gt;""),AND(JU4&gt;=JV$12,JU4&lt;&gt;""),AND(KR4&gt;=KV$12,KR4&lt;&gt;""),AND(KU4&gt;=KV$12,KU4&lt;&gt;""),AND(LR4&gt;=LV$12,LR4&lt;&gt;""),AND(LU4&gt;=LV$12,LU4&lt;&gt;""),AND(MR4&gt;=MV$12,MR4&lt;&gt;""),AND(MU4&gt;=MV$12,MU4&lt;&gt;""),AND(NR4&gt;=NV$12,NR4&lt;&gt;""),AND(NU4&gt;=NV$12,NU4&lt;&gt;""),AND(OR4&gt;=OV$12,OR4&lt;&gt;""),AND(OU4&gt;=OV$12,OU4&lt;&gt;"")),"P","")</f>
        <v>P</v>
      </c>
      <c r="H4" s="47" t="str">
        <f>IF(AND(G4="P",F4=""),"No DD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Merit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Excellence",IF(F4="P","National Team",""))))</f>
        <v>Excellence</v>
      </c>
      <c r="I4" s="9">
        <f>IF(COUNT(AN4,BO4,CP4)&gt;0,LARGE((AN4,BO4,CP4),1),0)</f>
        <v>49.4</v>
      </c>
      <c r="J4" s="9" t="str">
        <f>IF(I4=0,"",IF(I4=CP4,$BT$1,IF(I4=BO4,$AS$1,IF(I4=AN4,$R$1,""))))</f>
        <v>2023 Elite Canada</v>
      </c>
      <c r="K4" s="9">
        <f>IF(COUNT(AN4,BO4,CP4)&gt;1,LARGE((AN4,BO4,CP4),2),0)</f>
        <v>46.599999999999994</v>
      </c>
      <c r="L4" s="9" t="str">
        <f>IF(K4=0,"",IF(K4=CP4,$BT$1,IF(K4=BO4,$AS$1,IF(K4=AN4,$R$1,""))))</f>
        <v>2023 3rd Domestic Trial</v>
      </c>
      <c r="M4" s="9">
        <f>IF(MAX(AQ4,BR4,CS4)&gt;0,MAX(AQ4,BR4,CS4),0)</f>
        <v>51.8</v>
      </c>
      <c r="N4" s="9" t="str">
        <f>IF(M4=0,"",IF(M4=CS4,$BT$1,IF(M4=BR4,$AS$1,IF(M4=AQ4,$R$1,""))))</f>
        <v>2023 3rd Domestic Trial</v>
      </c>
      <c r="O4" s="9">
        <f>IF(MAX(CU4:CV4)&gt;0,MAX(CU4:CV4),"")</f>
        <v>6.2000000000000099</v>
      </c>
      <c r="P4" s="14" t="str">
        <f>IF(O4="","",IF(O4=CU4,"("&amp;CU$2&amp;")",IF(O4=CV4,"("&amp;CV$2&amp;")")))</f>
        <v>(Q1)</v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2023 WAGC (Nov 18)</v>
      </c>
      <c r="R4" s="20">
        <v>18.7</v>
      </c>
      <c r="S4" s="20">
        <v>6.8</v>
      </c>
      <c r="T4" s="20">
        <v>0.6</v>
      </c>
      <c r="U4" s="20">
        <v>0</v>
      </c>
      <c r="V4" s="20">
        <v>18.7</v>
      </c>
      <c r="W4" s="20">
        <v>6.4</v>
      </c>
      <c r="X4" s="20">
        <v>0.6</v>
      </c>
      <c r="Y4" s="20">
        <v>0</v>
      </c>
      <c r="Z4" s="20">
        <v>18</v>
      </c>
      <c r="AA4" s="20">
        <v>6.8</v>
      </c>
      <c r="AB4" s="20">
        <v>1</v>
      </c>
      <c r="AC4" s="20">
        <v>0</v>
      </c>
      <c r="AD4" s="20">
        <v>18.3</v>
      </c>
      <c r="AE4" s="20">
        <v>6.8</v>
      </c>
      <c r="AF4" s="20">
        <v>1</v>
      </c>
      <c r="AG4" s="20">
        <v>0</v>
      </c>
      <c r="AH4" s="20">
        <v>18.8</v>
      </c>
      <c r="AI4" s="20">
        <v>6.4</v>
      </c>
      <c r="AJ4" s="20">
        <v>0</v>
      </c>
      <c r="AK4" s="20">
        <v>0</v>
      </c>
      <c r="AL4" s="32"/>
      <c r="AM4" s="55">
        <f>IF(SUM(S4,W4)&gt;0,SUM(S4,W4),"")</f>
        <v>13.2</v>
      </c>
      <c r="AN4" s="55">
        <f>IF(SUM(R4:S4,U4:W4,Y4)-T4-X4&gt;0,SUM(R4:S4,U4:W4,Y4)-T4-X4,"")</f>
        <v>49.4</v>
      </c>
      <c r="AO4" s="55">
        <f>IF(SUM(Z4:AA4,AC4)-AB4&gt;0,SUM(Z4:AA4,AC4)-AB4,"")</f>
        <v>23.8</v>
      </c>
      <c r="AP4" s="55">
        <f>IF(SUM(AE4,AI4)&gt;0,SUM(AE4,AI4),"")</f>
        <v>13.2</v>
      </c>
      <c r="AQ4" s="55">
        <f>IF(SUM(AD4:AE4,AG4:AI4,AK4)-SUM(AF4,AJ4)&gt;0,SUM(AD4:AE4,AG4:AI4,AK4)-SUM(AF4,AJ4),"")</f>
        <v>49.300000000000004</v>
      </c>
      <c r="AR4" s="55">
        <f>IF(SUM(AN4,AO4,AQ4)&gt;0,SUM(AN4,AO4,AQ4),"")</f>
        <v>122.5</v>
      </c>
      <c r="AS4" s="19">
        <v>17.399999999999999</v>
      </c>
      <c r="AT4" s="19">
        <v>2.8</v>
      </c>
      <c r="AU4" s="19">
        <v>0</v>
      </c>
      <c r="AV4" s="19">
        <v>0</v>
      </c>
      <c r="AW4" s="19">
        <v>17.600000000000001</v>
      </c>
      <c r="AX4" s="19">
        <v>4</v>
      </c>
      <c r="AY4" s="19">
        <v>0</v>
      </c>
      <c r="AZ4" s="19">
        <v>0</v>
      </c>
      <c r="BA4" s="19">
        <v>18.5</v>
      </c>
      <c r="BB4" s="19">
        <v>7.6</v>
      </c>
      <c r="BC4" s="19">
        <v>0</v>
      </c>
      <c r="BD4" s="19">
        <v>0</v>
      </c>
      <c r="BE4" s="19">
        <v>18.8</v>
      </c>
      <c r="BF4" s="19">
        <v>7.2</v>
      </c>
      <c r="BG4" s="19">
        <v>0.6</v>
      </c>
      <c r="BH4" s="19">
        <v>0</v>
      </c>
      <c r="BI4" s="19">
        <v>18.3</v>
      </c>
      <c r="BJ4" s="19">
        <v>6.8</v>
      </c>
      <c r="BK4" s="19">
        <v>0.2</v>
      </c>
      <c r="BL4" s="19">
        <v>0</v>
      </c>
      <c r="BM4" s="33"/>
      <c r="BN4" s="14">
        <f>IF(SUM(AT4,AX4)&gt;0,SUM(AT4,AX4),"")</f>
        <v>6.8</v>
      </c>
      <c r="BO4" s="14">
        <f>IF(SUM(AS4:AT4,AV4:AX4,AZ4)-AU4-AY4&gt;0,SUM(AS4:AT4,AV4:AX4,AZ4)-AU4-AY4,"")</f>
        <v>41.8</v>
      </c>
      <c r="BP4" s="14">
        <f>IF(SUM(BA4:BB4,BD4)-BC4&gt;0,SUM(BA4:BB4,BD4)-BC4,"")</f>
        <v>26.1</v>
      </c>
      <c r="BQ4" s="14">
        <f>IF(SUM(BF4,BJ4)&gt;0,SUM(BF4,BJ4),"")</f>
        <v>14</v>
      </c>
      <c r="BR4" s="14">
        <f>IF(SUM(BE4:BF4,BH4:BJ4,BL4)-SUM(BG4,BK4)&gt;0,SUM(BE4:BF4,BH4:BJ4,BL4)-SUM(BG4,BK4),"")</f>
        <v>50.3</v>
      </c>
      <c r="BS4" s="14">
        <f>IF(SUM(BO4,BP4,BR4)&gt;0,SUM(BO4,BP4,BR4),"")</f>
        <v>118.2</v>
      </c>
      <c r="BT4" s="20">
        <v>17.399999999999999</v>
      </c>
      <c r="BU4" s="20">
        <v>4</v>
      </c>
      <c r="BV4" s="20">
        <v>0</v>
      </c>
      <c r="BW4" s="20">
        <v>0</v>
      </c>
      <c r="BX4" s="20">
        <v>18.2</v>
      </c>
      <c r="BY4" s="20">
        <v>7.6000000000000005</v>
      </c>
      <c r="BZ4" s="20">
        <v>0.6</v>
      </c>
      <c r="CA4" s="20">
        <v>0</v>
      </c>
      <c r="CB4" s="20">
        <v>17.3</v>
      </c>
      <c r="CC4" s="20">
        <v>2.8</v>
      </c>
      <c r="CD4" s="20">
        <v>0</v>
      </c>
      <c r="CE4" s="20">
        <v>0</v>
      </c>
      <c r="CF4" s="20">
        <v>18.2</v>
      </c>
      <c r="CG4" s="20">
        <v>7.6</v>
      </c>
      <c r="CH4" s="20">
        <v>0</v>
      </c>
      <c r="CI4" s="20">
        <v>0</v>
      </c>
      <c r="CJ4" s="20">
        <v>18.399999999999999</v>
      </c>
      <c r="CK4" s="20">
        <v>7.6000000000000005</v>
      </c>
      <c r="CL4" s="20">
        <v>0</v>
      </c>
      <c r="CM4" s="20">
        <v>0</v>
      </c>
      <c r="CN4" s="32"/>
      <c r="CO4" s="55">
        <f>IF(SUM(BU4,BY4)&gt;0,SUM(BU4,BY4),"")</f>
        <v>11.600000000000001</v>
      </c>
      <c r="CP4" s="55">
        <f>IF(SUM(BT4:BU4,BW4:BY4,CA4)-BV4-BZ4&gt;0,SUM(BT4:BU4,BW4:BY4,CA4)-BV4-BZ4,"")</f>
        <v>46.599999999999994</v>
      </c>
      <c r="CQ4" s="55">
        <f>IF(SUM(CB4:CC4,CE4)-CD4&gt;0,SUM(CB4:CC4,CE4)-CD4,"")</f>
        <v>20.100000000000001</v>
      </c>
      <c r="CR4" s="55">
        <f>IF(SUM(CG4,CK4)&gt;0,SUM(CG4,CK4),"")</f>
        <v>15.2</v>
      </c>
      <c r="CS4" s="55">
        <f>IF(SUM(CF4:CG4,CI4:CK4,CM4)-SUM(CH4,CL4)&gt;0,SUM(CF4:CG4,CI4:CK4,CM4)-SUM(CH4,CL4),"")</f>
        <v>51.8</v>
      </c>
      <c r="CT4" s="55">
        <f>IF(SUM(CP4,CQ4,CS4)&gt;0,SUM(CP4,CQ4,CS4),"")</f>
        <v>118.49999999999999</v>
      </c>
      <c r="CU4" s="56">
        <f>IF(MAX(DR4,ER4,FR4,GR4,HR4,IR4,JR4,KR4,LR4,MR4,NR4,OR4)-IF(K4="",0,K4)&gt;0.001,MAX(DR4,ER4,FR4,GR4,HR4,IR4,JR4,KR4,LR4,MR4,NR4,OR4)-IF(K4="",0,K4),"")</f>
        <v>6.2000000000000099</v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IF(SUM(DR4,DS4,DU4)&gt;0,SUM(DR4,DS4,DU4),"")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>
        <v>19</v>
      </c>
      <c r="EX4" s="18">
        <v>7.6</v>
      </c>
      <c r="EY4" s="18">
        <v>0.6</v>
      </c>
      <c r="EZ4" s="18">
        <v>0</v>
      </c>
      <c r="FA4" s="18">
        <v>18.8</v>
      </c>
      <c r="FB4" s="18">
        <v>8</v>
      </c>
      <c r="FC4" s="18">
        <v>0</v>
      </c>
      <c r="FD4" s="18">
        <v>0</v>
      </c>
      <c r="FE4" s="18"/>
      <c r="FF4" s="18"/>
      <c r="FG4" s="18"/>
      <c r="FH4" s="18"/>
      <c r="FI4" s="18">
        <v>18.8</v>
      </c>
      <c r="FJ4" s="18">
        <v>8.4</v>
      </c>
      <c r="FK4" s="18">
        <v>0</v>
      </c>
      <c r="FL4" s="18">
        <v>0</v>
      </c>
      <c r="FM4" s="18">
        <v>0</v>
      </c>
      <c r="FN4" s="18">
        <v>0</v>
      </c>
      <c r="FO4" s="18">
        <v>0</v>
      </c>
      <c r="FP4" s="18">
        <v>0</v>
      </c>
      <c r="FQ4" s="55">
        <f>IF(SUM(EX4,FB4)&gt;0,SUM(EX4,FB4),"")</f>
        <v>15.6</v>
      </c>
      <c r="FR4" s="55">
        <f>IF(SUM(EW4:EX4,EZ4:FB4,FD4)-EY4-FC4&gt;0,SUM(EW4:EX4,EZ4:FB4,FD4)-EY4-FC4,"")</f>
        <v>52.800000000000004</v>
      </c>
      <c r="FS4" s="55" t="str">
        <f>IF(SUM(FE4:FF4,FH4)-FG4&gt;0,SUM(FE4:FF4,FH4)-FG4,"")</f>
        <v/>
      </c>
      <c r="FT4" s="55">
        <f>IF(SUM(FJ4,FN4)&gt;0,SUM(FJ4,FN4),"")</f>
        <v>8.4</v>
      </c>
      <c r="FU4" s="55">
        <f>IF(SUM(FI4:FJ4,FL4:FN4,FP4)-SUM(FK4,FO4)&gt;0,SUM(FI4:FJ4,FL4:FN4,FP4)-SUM(FK4,FO4),"")</f>
        <v>27.200000000000003</v>
      </c>
      <c r="FV4" s="55">
        <f>IF(SUM(FR4,FS4,FU4)&gt;0,SUM(FR4,FS4,FU4),"")</f>
        <v>80</v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>IF($CN4="P",BT4,(BT4+AS4)/2)</f>
        <v>17.399999999999999</v>
      </c>
      <c r="OX4" s="27">
        <f>IF($CN4="P",BU4,(BU4+AT4)/2)</f>
        <v>3.4</v>
      </c>
      <c r="OY4" s="27">
        <f>IF($CN4="P",BV4,(BV4+AU4)/2)</f>
        <v>0</v>
      </c>
      <c r="OZ4" s="27">
        <f>IF($CN4="P",BW4,(BW4+AV4)/2)</f>
        <v>0</v>
      </c>
      <c r="PA4" s="27">
        <f>IF($CN4="P",BX4,(BX4+AW4)/2)</f>
        <v>17.899999999999999</v>
      </c>
      <c r="PB4" s="27">
        <f>IF($CN4="P",BY4,(BY4+AX4)/2)</f>
        <v>5.8000000000000007</v>
      </c>
      <c r="PC4" s="27">
        <f>IF($CN4="P",BZ4,(BZ4+AY4)/2)</f>
        <v>0.3</v>
      </c>
      <c r="PD4" s="27">
        <f>IF($CN4="P",CA4,(CA4+AZ4)/2)</f>
        <v>0</v>
      </c>
      <c r="PE4" s="27">
        <f>IF($CN4="P",CB4,(CB4+BA4)/2)</f>
        <v>17.899999999999999</v>
      </c>
      <c r="PF4" s="27">
        <f>IF($CN4="P",CC4,(CC4+BB4)/2)</f>
        <v>5.1999999999999993</v>
      </c>
      <c r="PG4" s="27">
        <f>IF($CN4="P",CD4,(CD4+BC4)/2)</f>
        <v>0</v>
      </c>
      <c r="PH4" s="27">
        <f>IF($CN4="P",CE4,(CE4+BD4)/2)</f>
        <v>0</v>
      </c>
      <c r="PI4" s="27">
        <f>IF($CN4="P",CF4,(CF4+BE4)/2)</f>
        <v>18.5</v>
      </c>
      <c r="PJ4" s="27">
        <f>IF($CN4="P",CG4,(CG4+BF4)/2)</f>
        <v>7.4</v>
      </c>
      <c r="PK4" s="27">
        <f>IF($CN4="P",CH4,(CH4+BG4)/2)</f>
        <v>0.3</v>
      </c>
      <c r="PL4" s="27">
        <f>IF($CN4="P",CI4,(CI4+BH4)/2)</f>
        <v>0</v>
      </c>
      <c r="PM4" s="27">
        <f>IF($CN4="P",CJ4,(CJ4+BI4)/2)</f>
        <v>18.350000000000001</v>
      </c>
      <c r="PN4" s="27">
        <f>IF($CN4="P",CK4,(CK4+BJ4)/2)</f>
        <v>7.2</v>
      </c>
      <c r="PO4" s="27">
        <f>IF($CN4="P",CL4,(CL4+BK4)/2)</f>
        <v>0.1</v>
      </c>
      <c r="PP4" s="27">
        <f>IF($CN4="P",CM4,(CM4+BL4)/2)</f>
        <v>0</v>
      </c>
      <c r="PQ4" s="32" t="s">
        <v>44</v>
      </c>
      <c r="PR4" s="55">
        <f>IF(SUM(OX4,PB4)&gt;0,SUM(OX4,PB4),"")</f>
        <v>9.2000000000000011</v>
      </c>
      <c r="PS4" s="55">
        <f>IF(SUM(OW4:OX4,OZ4:PB4,PD4)-OY4-PC4&gt;0,SUM(OW4:OX4,OZ4:PB4,PD4)-OY4-PC4,"")</f>
        <v>44.2</v>
      </c>
      <c r="PT4" s="55">
        <f>IF(SUM(PE4:PF4,PH4)-PG4&gt;0,SUM(PE4:PF4,PH4)-PG4,"")</f>
        <v>23.099999999999998</v>
      </c>
      <c r="PU4" s="55">
        <f>IF(SUM(PJ4,PN4)&gt;0,SUM(PJ4,PN4),"")</f>
        <v>14.600000000000001</v>
      </c>
      <c r="PV4" s="55">
        <f>IF(SUM(PI4:PJ4,PL4:PN4,PP4)-SUM(PK4,PO4)&gt;0,SUM(PI4:PJ4,PL4:PN4,PP4)-SUM(PK4,PO4),"")</f>
        <v>51.050000000000004</v>
      </c>
      <c r="PW4" s="55">
        <f>IF(SUM(PS4,PT4,PV4)&gt;0,SUM(PS4,PT4,PV4),"")</f>
        <v>118.35</v>
      </c>
    </row>
    <row r="5" spans="1:439" x14ac:dyDescent="0.2">
      <c r="A5" s="4" cm="1">
        <f t="array" ref="A5">IF(AND(H5&lt;&gt;"",H5&lt;&gt;"No DD"),SUMPRODUCT((H$4:H$6&lt;&gt;"")*(H$4:H$6&lt;&gt;"No DD")*(E$4:E$6&gt;E5))+1,IF(H5="No DD",SUMPRODUCT((H$4:H$6="No DD")*(E$4:E$6&gt;E5))+1+SUMPRODUCT((H$4:H$6&lt;&gt;"")*(H$4:H$6&lt;&gt;"No DD")),""))</f>
        <v>2</v>
      </c>
      <c r="B5" s="5" t="s">
        <v>93</v>
      </c>
      <c r="C5" s="4" t="s">
        <v>92</v>
      </c>
      <c r="D5" s="4">
        <v>2009</v>
      </c>
      <c r="E5" s="10">
        <f>SUM(I5:O5)+SUM(I5:M5)*0.0000001+SUM(I5)*0.0000000000001</f>
        <v>148.00001480000495</v>
      </c>
      <c r="F5" s="3" t="str">
        <f>IF(OR(AND(AM5&gt;=AR$8,AN5&gt;=AR$12,AM5&lt;&gt;"",AL5=""),AND(AP5&gt;=AR$8,AQ5&gt;=AR$12,AP5&lt;&gt;"",AL5=""),AND(BN5&gt;=BS$8,BO5&gt;=BS$12,BN5&lt;&gt;"",BM5=""),AND(BQ5&gt;=BS$8,BR5&gt;=BS$12,BQ5&lt;&gt;"",BM5=""),AND(CO5&gt;=CT$8,CP5&gt;=CT$12,CO5&lt;&gt;"",CN5=""),AND(CR5&gt;=CT$8,CS5&gt;=CT$12,CR5&lt;&gt;""),AND(DQ5&gt;=DV$8,DR5&gt;=DV$12,DQ5&lt;&gt;""),AND(DT5&gt;=DV$8,DU5&gt;=DV$12,DT5&lt;&gt;""),AND(EQ5&gt;=EV$8,ER5&gt;=EV$12,EQ5&lt;&gt;""),AND(ET5&gt;=EV$8,EU5&gt;=EV$12,ET5&lt;&gt;""),AND(FQ5&gt;=FV$8,FR5&gt;=FV$12,FQ5&lt;&gt;""),AND(FT5&gt;=FV$8,FU5&gt;=FV$12,FT5&lt;&gt;""),AND(GQ5&gt;=GV$8,GR5&gt;=GV$12,GQ5&lt;&gt;""),AND(GT5&gt;=GV$8,GU5&gt;=GV$12,GT5&lt;&gt;""),AND(HQ5&gt;=HV$8,HR5&gt;=HV$12,HQ5&lt;&gt;""),AND(HT5&gt;=HV$8,HU5&gt;=HV$12,HT5&lt;&gt;""),AND(IQ5&gt;=IV$8,IR5&gt;=IV$12,IQ5&lt;&gt;""),AND(IT5&gt;=IV$8,IU5&gt;=IV$12,IT5&lt;&gt;""),AND(JQ5&gt;=JV$8,JR5&gt;=JV$12,JQ5&lt;&gt;""),AND(JT5&gt;=JV$8,JU5&gt;=JV$12,JT5&lt;&gt;""),AND(KQ5&gt;=KV$8,KR5&gt;=KV$12,KQ5&lt;&gt;""),AND(KT5&gt;=KV$8,KU5&gt;=KV$12,KT5&lt;&gt;""),AND(LQ5&gt;=LV$8,LR5&gt;=LV$12,LQ5&lt;&gt;""),AND(LT5&gt;=LV$8,LU5&gt;=LV$12,LT5&lt;&gt;""),AND(MQ5&gt;=MV$8,MR5&gt;=MV$12,MQ5&lt;&gt;""),AND(MT5&gt;=MV$8,MU5&gt;=MV$12,MT5&lt;&gt;""),AND(NQ5&gt;=NV$8,NR5&gt;=NV$12,NQ5&lt;&gt;""),AND(NT5&gt;=NV$8,NU5&gt;=NV$12,NT5&lt;&gt;""),AND(OQ5&gt;=OV$8,OR5&gt;=OV$12,OQ5&lt;&gt;""),AND(OT5&gt;=OV$8,OU5&gt;=OV$12,OT5&lt;&gt;"")),"P","")</f>
        <v>P</v>
      </c>
      <c r="G5" s="3" t="str">
        <f>IF(OR(AND(AN5&gt;=AR$12,AN5&lt;&gt;"",AL5=""),AND(AQ5&gt;=AR$12,AQ5&lt;&gt;"",AL5=""),AND(BO5&gt;=BS$12,BO5&lt;&gt;"",BM5=""),AND(BR5&gt;=BS$12,BR5&lt;&gt;"",BM5=""),AND(CP5&gt;=CT$12,CP5&lt;&gt;"",CN5=""),AND(CS5&gt;=CT$12,CS5&lt;&gt;"",CN5=""),AND(DR5&gt;=DV$12,DR5&lt;&gt;""),AND(DU5&gt;=DV$12,DU5&lt;&gt;""),AND(ER5&gt;=EV$12,ER5&lt;&gt;""),AND(EU5&gt;=EV$12,EU5&lt;&gt;""),AND(FR5&gt;=FV$12,FR5&lt;&gt;""),AND(FU5&gt;=FV$12,FU5&lt;&gt;""),AND(GR5&gt;=GV$12,GR5&lt;&gt;""),AND(GU5&gt;=GV$12,GU5&lt;&gt;""),AND(HR5&gt;=HV$12,HR5&lt;&gt;""),AND(HU5&gt;=HV$12,HU5&lt;&gt;""),AND(IR5&gt;=IV$12,IR5&lt;&gt;""),AND(IU5&gt;=IV$12,IU5&lt;&gt;""),AND(JR5&gt;=JV$12,JR5&lt;&gt;""),AND(JU5&gt;=JV$12,JU5&lt;&gt;""),AND(KR5&gt;=KV$12,KR5&lt;&gt;""),AND(KU5&gt;=KV$12,KU5&lt;&gt;""),AND(LR5&gt;=LV$12,LR5&lt;&gt;""),AND(LU5&gt;=LV$12,LU5&lt;&gt;""),AND(MR5&gt;=MV$12,MR5&lt;&gt;""),AND(MU5&gt;=MV$12,MU5&lt;&gt;""),AND(NR5&gt;=NV$12,NR5&lt;&gt;""),AND(NU5&gt;=NV$12,NU5&lt;&gt;""),AND(OR5&gt;=OV$12,OR5&lt;&gt;""),AND(OU5&gt;=OV$12,OU5&lt;&gt;"")),"P","")</f>
        <v>P</v>
      </c>
      <c r="H5" s="47" t="str">
        <f>IF(AND(G5="P",F5=""),"No DD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Merit",IF(OR(AND(AM5&gt;=AR$10,AN5&gt;=AR$14,AM5&lt;&gt;"",AL5=""),AND(AP5&gt;=AR$10,AQ5&gt;=AR$14,AP5&lt;&gt;"",AL5=""),AND(BN5&gt;=BS$10,BO5&gt;=BS$14,BN5&lt;&gt;"",BM5=""),AND(BQ5&gt;=BS$10,BR5&gt;=BS$14,BQ5&lt;&gt;"",BM5=""),AND(CO5&gt;=CT$10,CP5&gt;=CT$14,CO5&lt;&gt;"",CN5=""),AND(CR5&gt;=CT$10,CS5&gt;=CT$14,CR5&lt;&gt;""),AND(DQ5&gt;=DV$10,DR5&gt;=DV$14,DQ5&lt;&gt;""),AND(DT5&gt;=DV$10,DU5&gt;=DV$14,DT5&lt;&gt;""),AND(EQ5&gt;=EV$10,ER5&gt;=EV$14,EQ5&lt;&gt;""),AND(ET5&gt;=EV$10,EU5&gt;=EV$14,ET5&lt;&gt;""),AND(FQ5&gt;=FV$10,FR5&gt;=FV$14,FQ5&lt;&gt;""),AND(FT5&gt;=FV$10,FU5&gt;=FV$14,FT5&lt;&gt;""),AND(GQ5&gt;=GV$10,GR5&gt;=GV$14,GQ5&lt;&gt;""),AND(GT5&gt;=GV$10,GU5&gt;=GV$14,GT5&lt;&gt;""),AND(HQ5&gt;=HV$10,HR5&gt;=HV$14,HQ5&lt;&gt;""),AND(HT5&gt;=HV$10,HU5&gt;=HV$14,HT5&lt;&gt;""),AND(IQ5&gt;=IV$10,IR5&gt;=IV$14,IQ5&lt;&gt;""),AND(IT5&gt;=IV$10,IU5&gt;=IV$14,IT5&lt;&gt;""),AND(JQ5&gt;=JV$10,JR5&gt;=JV$14,JQ5&lt;&gt;""),AND(JT5&gt;=JV$10,JU5&gt;=JV$14,JT5&lt;&gt;""),AND(KQ5&gt;=KV$10,KR5&gt;=KV$14,KQ5&lt;&gt;""),AND(KT5&gt;=KV$10,KU5&gt;=KV$14,KT5&lt;&gt;""),AND(LQ5&gt;=LV$10,LR5&gt;=LV$14,LQ5&lt;&gt;""),AND(LT5&gt;=LV$10,LU5&gt;=LV$14,LT5&lt;&gt;""),AND(MQ5&gt;=MV$10,MR5&gt;=MV$14,MQ5&lt;&gt;""),AND(MT5&gt;=MV$10,MU5&gt;=MV$14,MT5&lt;&gt;""),AND(NQ5&gt;=NV$10,NR5&gt;=NV$14,NQ5&lt;&gt;""),AND(NT5&gt;=NV$10,NU5&gt;=NV$14,NT5&lt;&gt;""),AND(OQ5&gt;=OV$10,OR5&gt;=OV$14,OQ5&lt;&gt;""),AND(OT5&gt;=OV$10,OU5&gt;=OV$14,OT5&lt;&gt;"")),"Excellence",IF(F5="P","National Team",""))))</f>
        <v>Excellence</v>
      </c>
      <c r="I5" s="9">
        <f>IF(COUNT(AN5,BO5,CP5)&gt;0,LARGE((AN5,BO5,CP5),1),0)</f>
        <v>49.4</v>
      </c>
      <c r="J5" s="9" t="str">
        <f>IF(I5=0,"",IF(I5=CP5,$BT$1,IF(I5=BO5,$AS$1,IF(I5=AN5,$R$1,""))))</f>
        <v>2023 3rd Domestic Trial</v>
      </c>
      <c r="K5" s="9">
        <f>IF(COUNT(AN5,BO5,CP5)&gt;1,LARGE((AN5,BO5,CP5),2),0)</f>
        <v>49.4</v>
      </c>
      <c r="L5" s="9" t="str">
        <f>IF(K5=0,"",IF(K5=CP5,$BT$1,IF(K5=BO5,$AS$1,IF(K5=AN5,$R$1,""))))</f>
        <v>2023 3rd Domestic Trial</v>
      </c>
      <c r="M5" s="9">
        <f>IF(MAX(AQ5,BR5,CS5)&gt;0,MAX(AQ5,BR5,CS5),0)</f>
        <v>49.2</v>
      </c>
      <c r="N5" s="9" t="str">
        <f>IF(M5=0,"",IF(M5=CS5,$BT$1,IF(M5=BR5,$AS$1,IF(M5=AQ5,$R$1,""))))</f>
        <v>2023 Nationals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>
        <v>18.8</v>
      </c>
      <c r="S5" s="20">
        <v>5.2</v>
      </c>
      <c r="T5" s="20">
        <v>0.6</v>
      </c>
      <c r="U5" s="20">
        <v>0</v>
      </c>
      <c r="V5" s="20">
        <v>18.2</v>
      </c>
      <c r="W5" s="20">
        <v>5.2</v>
      </c>
      <c r="X5" s="20">
        <v>0.2</v>
      </c>
      <c r="Y5" s="20">
        <v>0</v>
      </c>
      <c r="Z5" s="20"/>
      <c r="AA5" s="20"/>
      <c r="AB5" s="20"/>
      <c r="AC5" s="20"/>
      <c r="AD5" s="20">
        <v>18.8</v>
      </c>
      <c r="AE5" s="20">
        <v>4.8</v>
      </c>
      <c r="AF5" s="20">
        <v>0.6</v>
      </c>
      <c r="AG5" s="20">
        <v>0</v>
      </c>
      <c r="AH5" s="20">
        <v>18.2</v>
      </c>
      <c r="AI5" s="20">
        <v>4.4000000000000004</v>
      </c>
      <c r="AJ5" s="20">
        <v>0.2</v>
      </c>
      <c r="AK5" s="20">
        <v>0</v>
      </c>
      <c r="AL5" s="32"/>
      <c r="AM5" s="55">
        <f>IF(SUM(S5,W5)&gt;0,SUM(S5,W5),"")</f>
        <v>10.4</v>
      </c>
      <c r="AN5" s="55">
        <f>IF(SUM(R5:S5,U5:W5,Y5)-T5-X5&gt;0,SUM(R5:S5,U5:W5,Y5)-T5-X5,"")</f>
        <v>46.6</v>
      </c>
      <c r="AO5" s="55" t="str">
        <f>IF(SUM(Z5:AA5,AC5)-AB5&gt;0,SUM(Z5:AA5,AC5)-AB5,"")</f>
        <v/>
      </c>
      <c r="AP5" s="55">
        <f>IF(SUM(AE5,AI5)&gt;0,SUM(AE5,AI5),"")</f>
        <v>9.1999999999999993</v>
      </c>
      <c r="AQ5" s="55">
        <f>IF(SUM(AD5:AE5,AG5:AI5,AK5)-SUM(AF5,AJ5)&gt;0,SUM(AD5:AE5,AG5:AI5,AK5)-SUM(AF5,AJ5),"")</f>
        <v>45.4</v>
      </c>
      <c r="AR5" s="55">
        <f>IF(SUM(AN5,AO5,AQ5)&gt;0,SUM(AN5,AO5,AQ5),"")</f>
        <v>92</v>
      </c>
      <c r="AS5" s="19">
        <v>19.100000000000001</v>
      </c>
      <c r="AT5" s="19">
        <v>5.6</v>
      </c>
      <c r="AU5" s="19">
        <v>0</v>
      </c>
      <c r="AV5" s="19">
        <v>0</v>
      </c>
      <c r="AW5" s="19">
        <v>18.899999999999999</v>
      </c>
      <c r="AX5" s="19">
        <v>6</v>
      </c>
      <c r="AY5" s="19">
        <v>0.2</v>
      </c>
      <c r="AZ5" s="19">
        <v>0</v>
      </c>
      <c r="BA5" s="19">
        <v>18.600000000000001</v>
      </c>
      <c r="BB5" s="19">
        <v>4</v>
      </c>
      <c r="BC5" s="19">
        <v>0.3</v>
      </c>
      <c r="BD5" s="19">
        <v>0</v>
      </c>
      <c r="BE5" s="19">
        <v>19</v>
      </c>
      <c r="BF5" s="19">
        <v>5.6</v>
      </c>
      <c r="BG5" s="19">
        <v>0</v>
      </c>
      <c r="BH5" s="19">
        <v>0</v>
      </c>
      <c r="BI5" s="19">
        <v>18.600000000000001</v>
      </c>
      <c r="BJ5" s="19">
        <v>6</v>
      </c>
      <c r="BK5" s="19">
        <v>0</v>
      </c>
      <c r="BL5" s="19">
        <v>0</v>
      </c>
      <c r="BM5" s="33"/>
      <c r="BN5" s="14">
        <f>IF(SUM(AT5,AX5)&gt;0,SUM(AT5,AX5),"")</f>
        <v>11.6</v>
      </c>
      <c r="BO5" s="14">
        <f>IF(SUM(AS5:AT5,AV5:AX5,AZ5)-AU5-AY5&gt;0,SUM(AS5:AT5,AV5:AX5,AZ5)-AU5-AY5,"")</f>
        <v>49.4</v>
      </c>
      <c r="BP5" s="14">
        <f>IF(SUM(BA5:BB5,BD5)-BC5&gt;0,SUM(BA5:BB5,BD5)-BC5,"")</f>
        <v>22.3</v>
      </c>
      <c r="BQ5" s="14">
        <f>IF(SUM(BF5,BJ5)&gt;0,SUM(BF5,BJ5),"")</f>
        <v>11.6</v>
      </c>
      <c r="BR5" s="14">
        <f>IF(SUM(BE5:BF5,BH5:BJ5,BL5)-SUM(BG5,BK5)&gt;0,SUM(BE5:BF5,BH5:BJ5,BL5)-SUM(BG5,BK5),"")</f>
        <v>49.2</v>
      </c>
      <c r="BS5" s="14">
        <f>IF(SUM(BO5,BP5,BR5)&gt;0,SUM(BO5,BP5,BR5),"")</f>
        <v>120.9</v>
      </c>
      <c r="BT5" s="20">
        <v>18.8</v>
      </c>
      <c r="BU5" s="20">
        <v>5.6</v>
      </c>
      <c r="BV5" s="20">
        <v>0</v>
      </c>
      <c r="BW5" s="20">
        <v>0</v>
      </c>
      <c r="BX5" s="20">
        <v>19</v>
      </c>
      <c r="BY5" s="20">
        <v>6</v>
      </c>
      <c r="BZ5" s="20">
        <v>0</v>
      </c>
      <c r="CA5" s="20">
        <v>0</v>
      </c>
      <c r="CB5" s="20">
        <v>18.399999999999999</v>
      </c>
      <c r="CC5" s="20">
        <v>5.6</v>
      </c>
      <c r="CD5" s="20">
        <v>0.8</v>
      </c>
      <c r="CE5" s="20">
        <v>0</v>
      </c>
      <c r="CF5" s="20">
        <v>19</v>
      </c>
      <c r="CG5" s="20">
        <v>6.4</v>
      </c>
      <c r="CH5" s="20">
        <v>0.6</v>
      </c>
      <c r="CI5" s="20">
        <v>0</v>
      </c>
      <c r="CJ5" s="20">
        <v>17.600000000000001</v>
      </c>
      <c r="CK5" s="20">
        <v>5.2</v>
      </c>
      <c r="CL5" s="20">
        <v>1</v>
      </c>
      <c r="CM5" s="20">
        <v>0</v>
      </c>
      <c r="CN5" s="32"/>
      <c r="CO5" s="55">
        <f>IF(SUM(BU5,BY5)&gt;0,SUM(BU5,BY5),"")</f>
        <v>11.6</v>
      </c>
      <c r="CP5" s="55">
        <f>IF(SUM(BT5:BU5,BW5:BY5,CA5)-BV5-BZ5&gt;0,SUM(BT5:BU5,BW5:BY5,CA5)-BV5-BZ5,"")</f>
        <v>49.4</v>
      </c>
      <c r="CQ5" s="55">
        <f>IF(SUM(CB5:CC5,CE5)-CD5&gt;0,SUM(CB5:CC5,CE5)-CD5,"")</f>
        <v>23.2</v>
      </c>
      <c r="CR5" s="55">
        <f>IF(SUM(CG5,CK5)&gt;0,SUM(CG5,CK5),"")</f>
        <v>11.600000000000001</v>
      </c>
      <c r="CS5" s="55">
        <f>IF(SUM(CF5:CG5,CI5:CK5,CM5)-SUM(CH5,CL5)&gt;0,SUM(CF5:CG5,CI5:CK5,CM5)-SUM(CH5,CL5),"")</f>
        <v>46.6</v>
      </c>
      <c r="CT5" s="55">
        <f>IF(SUM(CP5,CQ5,CS5)&gt;0,SUM(CP5,CQ5,CS5),"")</f>
        <v>119.19999999999999</v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IF(SUM(DR5,DS5,DU5)&gt;0,SUM(DR5,DS5,DU5),"")</f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>
        <v>18.600000000000001</v>
      </c>
      <c r="EX5" s="18">
        <v>6</v>
      </c>
      <c r="EY5" s="18">
        <v>0.6</v>
      </c>
      <c r="EZ5" s="18">
        <v>0</v>
      </c>
      <c r="FA5" s="18">
        <v>18.2</v>
      </c>
      <c r="FB5" s="18">
        <v>6.4</v>
      </c>
      <c r="FC5" s="18">
        <v>0.8</v>
      </c>
      <c r="FD5" s="18">
        <v>0</v>
      </c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>
        <f>IF(SUM(EX5,FB5)&gt;0,SUM(EX5,FB5),"")</f>
        <v>12.4</v>
      </c>
      <c r="FR5" s="55">
        <f>IF(SUM(EW5:EX5,EZ5:FB5,FD5)-EY5-FC5&gt;0,SUM(EW5:EX5,EZ5:FB5,FD5)-EY5-FC5,"")</f>
        <v>47.8</v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>
        <f>IF(SUM(FR5,FS5,FU5)&gt;0,SUM(FR5,FS5,FU5),"")</f>
        <v>47.8</v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>IF($CN5="P",BT5,(BT5+AS5)/2)</f>
        <v>18.950000000000003</v>
      </c>
      <c r="OX5" s="27">
        <f>IF($CN5="P",BU5,(BU5+AT5)/2)</f>
        <v>5.6</v>
      </c>
      <c r="OY5" s="27">
        <f>IF($CN5="P",BV5,(BV5+AU5)/2)</f>
        <v>0</v>
      </c>
      <c r="OZ5" s="27">
        <f>IF($CN5="P",BW5,(BW5+AV5)/2)</f>
        <v>0</v>
      </c>
      <c r="PA5" s="27">
        <f>IF($CN5="P",BX5,(BX5+AW5)/2)</f>
        <v>18.95</v>
      </c>
      <c r="PB5" s="27">
        <f>IF($CN5="P",BY5,(BY5+AX5)/2)</f>
        <v>6</v>
      </c>
      <c r="PC5" s="27">
        <f>IF($CN5="P",BZ5,(BZ5+AY5)/2)</f>
        <v>0.1</v>
      </c>
      <c r="PD5" s="27">
        <f>IF($CN5="P",CA5,(CA5+AZ5)/2)</f>
        <v>0</v>
      </c>
      <c r="PE5" s="27">
        <f>IF($CN5="P",CB5,(CB5+BA5)/2)</f>
        <v>18.5</v>
      </c>
      <c r="PF5" s="27">
        <f>IF($CN5="P",CC5,(CC5+BB5)/2)</f>
        <v>4.8</v>
      </c>
      <c r="PG5" s="27">
        <f>IF($CN5="P",CD5,(CD5+BC5)/2)</f>
        <v>0.55000000000000004</v>
      </c>
      <c r="PH5" s="27">
        <f>IF($CN5="P",CE5,(CE5+BD5)/2)</f>
        <v>0</v>
      </c>
      <c r="PI5" s="27">
        <f>IF($CN5="P",CF5,(CF5+BE5)/2)</f>
        <v>19</v>
      </c>
      <c r="PJ5" s="27">
        <f>IF($CN5="P",CG5,(CG5+BF5)/2)</f>
        <v>6</v>
      </c>
      <c r="PK5" s="27">
        <f>IF($CN5="P",CH5,(CH5+BG5)/2)</f>
        <v>0.3</v>
      </c>
      <c r="PL5" s="27">
        <f>IF($CN5="P",CI5,(CI5+BH5)/2)</f>
        <v>0</v>
      </c>
      <c r="PM5" s="27">
        <f>IF($CN5="P",CJ5,(CJ5+BI5)/2)</f>
        <v>18.100000000000001</v>
      </c>
      <c r="PN5" s="27">
        <f>IF($CN5="P",CK5,(CK5+BJ5)/2)</f>
        <v>5.6</v>
      </c>
      <c r="PO5" s="27">
        <f>IF($CN5="P",CL5,(CL5+BK5)/2)</f>
        <v>0.5</v>
      </c>
      <c r="PP5" s="27">
        <f>IF($CN5="P",CM5,(CM5+BL5)/2)</f>
        <v>0</v>
      </c>
      <c r="PQ5" s="32" t="s">
        <v>44</v>
      </c>
      <c r="PR5" s="55">
        <f>IF(SUM(OX5,PB5)&gt;0,SUM(OX5,PB5),"")</f>
        <v>11.6</v>
      </c>
      <c r="PS5" s="55">
        <f>IF(SUM(OW5:OX5,OZ5:PB5,PD5)-OY5-PC5&gt;0,SUM(OW5:OX5,OZ5:PB5,PD5)-OY5-PC5,"")</f>
        <v>49.4</v>
      </c>
      <c r="PT5" s="55">
        <f>IF(SUM(PE5:PF5,PH5)-PG5&gt;0,SUM(PE5:PF5,PH5)-PG5,"")</f>
        <v>22.75</v>
      </c>
      <c r="PU5" s="55">
        <f>IF(SUM(PJ5,PN5)&gt;0,SUM(PJ5,PN5),"")</f>
        <v>11.6</v>
      </c>
      <c r="PV5" s="55">
        <f>IF(SUM(PI5:PJ5,PL5:PN5,PP5)-SUM(PK5,PO5)&gt;0,SUM(PI5:PJ5,PL5:PN5,PP5)-SUM(PK5,PO5),"")</f>
        <v>47.900000000000006</v>
      </c>
      <c r="PW5" s="55">
        <f>IF(SUM(PS5,PT5,PV5)&gt;0,SUM(PS5,PT5,PV5),"")</f>
        <v>120.05000000000001</v>
      </c>
    </row>
    <row r="6" spans="1:439" ht="17" x14ac:dyDescent="0.2">
      <c r="O6" s="11"/>
      <c r="P6" s="11"/>
      <c r="Q6" s="11"/>
    </row>
    <row r="7" spans="1:439" ht="17" x14ac:dyDescent="0.2">
      <c r="O7" s="11"/>
      <c r="P7" s="11"/>
      <c r="Q7" s="11"/>
    </row>
    <row r="8" spans="1:439" ht="17" x14ac:dyDescent="0.2">
      <c r="B8" s="28" t="s">
        <v>42</v>
      </c>
      <c r="O8" s="11"/>
      <c r="P8" s="11"/>
      <c r="Q8" s="11"/>
      <c r="AM8" s="4"/>
      <c r="AR8" s="57">
        <v>10.4</v>
      </c>
      <c r="BN8" s="4"/>
      <c r="BS8" s="57">
        <v>10.4</v>
      </c>
      <c r="CO8" s="4"/>
      <c r="CT8" s="57">
        <v>10.4</v>
      </c>
      <c r="DQ8" s="4"/>
      <c r="DV8" s="57">
        <v>10.4</v>
      </c>
      <c r="EQ8" s="4"/>
      <c r="EV8" s="57">
        <v>10.4</v>
      </c>
      <c r="FQ8" s="4"/>
      <c r="FV8" s="57">
        <v>10.4</v>
      </c>
      <c r="GQ8" s="4"/>
      <c r="GV8" s="57">
        <v>10.4</v>
      </c>
      <c r="HQ8" s="4"/>
      <c r="HV8" s="57">
        <v>10.4</v>
      </c>
      <c r="IQ8" s="4"/>
      <c r="IV8" s="57">
        <v>10.4</v>
      </c>
      <c r="JQ8" s="4"/>
      <c r="JV8" s="57">
        <v>10.4</v>
      </c>
      <c r="KQ8" s="4"/>
      <c r="KV8" s="57">
        <v>10.4</v>
      </c>
      <c r="LQ8" s="4"/>
      <c r="LV8" s="57">
        <v>10.4</v>
      </c>
      <c r="MQ8" s="4"/>
      <c r="MV8" s="57">
        <v>10.4</v>
      </c>
      <c r="NQ8" s="4"/>
      <c r="NV8" s="57">
        <v>10.4</v>
      </c>
      <c r="OQ8" s="4"/>
      <c r="OV8" s="57">
        <v>10.4</v>
      </c>
    </row>
    <row r="9" spans="1:439" ht="17" hidden="1" x14ac:dyDescent="0.2">
      <c r="B9" s="35" t="s">
        <v>41</v>
      </c>
      <c r="O9" s="11"/>
      <c r="P9" s="11"/>
      <c r="Q9" s="11"/>
      <c r="AM9" s="4"/>
      <c r="AR9" s="58">
        <f>AR10</f>
        <v>11.2</v>
      </c>
      <c r="BN9" s="4"/>
      <c r="BS9" s="58">
        <f>BS10</f>
        <v>11.2</v>
      </c>
      <c r="CO9" s="4"/>
      <c r="CT9" s="58">
        <f>CT10</f>
        <v>11.2</v>
      </c>
      <c r="DQ9" s="4"/>
      <c r="DV9" s="58">
        <f>DV10</f>
        <v>11.2</v>
      </c>
      <c r="EQ9" s="4"/>
      <c r="EV9" s="58">
        <f>EV10</f>
        <v>11.2</v>
      </c>
      <c r="FQ9" s="4"/>
      <c r="FV9" s="58">
        <f>FV10</f>
        <v>11.2</v>
      </c>
      <c r="GQ9" s="4"/>
      <c r="GV9" s="58">
        <f>GV10</f>
        <v>11.2</v>
      </c>
      <c r="HQ9" s="4"/>
      <c r="HV9" s="58">
        <f>HV10</f>
        <v>11.2</v>
      </c>
      <c r="IQ9" s="4"/>
      <c r="IV9" s="58">
        <f>IV10</f>
        <v>11.2</v>
      </c>
      <c r="JQ9" s="4"/>
      <c r="JV9" s="58">
        <f>JV10</f>
        <v>11.2</v>
      </c>
      <c r="KQ9" s="4"/>
      <c r="KV9" s="58">
        <f>KV10</f>
        <v>11.2</v>
      </c>
      <c r="LQ9" s="4"/>
      <c r="LV9" s="58">
        <f>LV10</f>
        <v>11.2</v>
      </c>
      <c r="MQ9" s="4"/>
      <c r="MV9" s="58">
        <f>MV10</f>
        <v>11.2</v>
      </c>
      <c r="NQ9" s="4"/>
      <c r="NV9" s="58">
        <f>NV10</f>
        <v>11.2</v>
      </c>
      <c r="OQ9" s="4"/>
      <c r="OV9" s="58">
        <f>OV10</f>
        <v>11.2</v>
      </c>
    </row>
    <row r="10" spans="1:439" ht="17" x14ac:dyDescent="0.2">
      <c r="A10" s="5"/>
      <c r="B10" s="36" t="s">
        <v>54</v>
      </c>
      <c r="C10" s="22"/>
      <c r="O10" s="11"/>
      <c r="P10" s="11"/>
      <c r="Q10" s="11"/>
      <c r="AM10" s="4"/>
      <c r="AR10" s="59">
        <v>11.2</v>
      </c>
      <c r="BN10" s="4"/>
      <c r="BS10" s="59">
        <v>11.2</v>
      </c>
      <c r="CO10" s="4"/>
      <c r="CT10" s="59">
        <v>11.2</v>
      </c>
      <c r="DQ10" s="4"/>
      <c r="DV10" s="59">
        <v>11.2</v>
      </c>
      <c r="EQ10" s="4"/>
      <c r="EV10" s="59">
        <v>11.2</v>
      </c>
      <c r="FQ10" s="4"/>
      <c r="FV10" s="59">
        <v>11.2</v>
      </c>
      <c r="GQ10" s="4"/>
      <c r="GV10" s="59">
        <v>11.2</v>
      </c>
      <c r="HQ10" s="4"/>
      <c r="HV10" s="59">
        <v>11.2</v>
      </c>
      <c r="IQ10" s="4"/>
      <c r="IV10" s="59">
        <v>11.2</v>
      </c>
      <c r="JQ10" s="4"/>
      <c r="JV10" s="59">
        <v>11.2</v>
      </c>
      <c r="KQ10" s="4"/>
      <c r="KV10" s="59">
        <v>11.2</v>
      </c>
      <c r="LQ10" s="4"/>
      <c r="LV10" s="59">
        <v>11.2</v>
      </c>
      <c r="MQ10" s="4"/>
      <c r="MV10" s="59">
        <v>11.2</v>
      </c>
      <c r="NQ10" s="4"/>
      <c r="NV10" s="59">
        <v>11.2</v>
      </c>
      <c r="OQ10" s="4"/>
      <c r="OV10" s="59">
        <v>11.2</v>
      </c>
    </row>
    <row r="11" spans="1:439" ht="17" hidden="1" x14ac:dyDescent="0.2">
      <c r="A11" s="5"/>
      <c r="B11" s="44" t="s">
        <v>59</v>
      </c>
      <c r="C11" s="22"/>
      <c r="O11" s="11"/>
      <c r="P11" s="11"/>
      <c r="Q11" s="11"/>
      <c r="AM11" s="4"/>
      <c r="AR11" s="65">
        <v>1000</v>
      </c>
      <c r="BN11" s="4"/>
      <c r="BS11" s="65">
        <v>1000</v>
      </c>
      <c r="CO11" s="4"/>
      <c r="CT11" s="65">
        <v>1000</v>
      </c>
      <c r="DQ11" s="4"/>
      <c r="DV11" s="65">
        <v>1000</v>
      </c>
      <c r="EQ11" s="4"/>
      <c r="EV11" s="65">
        <v>1000</v>
      </c>
      <c r="FQ11" s="4"/>
      <c r="FV11" s="65">
        <v>1000</v>
      </c>
      <c r="GQ11" s="4"/>
      <c r="GV11" s="65">
        <v>1000</v>
      </c>
      <c r="HQ11" s="4"/>
      <c r="HV11" s="65">
        <v>1000</v>
      </c>
      <c r="IQ11" s="4"/>
      <c r="IV11" s="65">
        <v>1000</v>
      </c>
      <c r="JQ11" s="4"/>
      <c r="JV11" s="65">
        <v>1000</v>
      </c>
      <c r="KQ11" s="4"/>
      <c r="KV11" s="65">
        <v>1000</v>
      </c>
      <c r="LQ11" s="4"/>
      <c r="LV11" s="65">
        <v>1000</v>
      </c>
      <c r="MQ11" s="4"/>
      <c r="MV11" s="65">
        <v>1000</v>
      </c>
      <c r="NQ11" s="4"/>
      <c r="NV11" s="65">
        <v>1000</v>
      </c>
      <c r="OQ11" s="4"/>
      <c r="OV11" s="65">
        <v>1000</v>
      </c>
    </row>
    <row r="12" spans="1:439" ht="17" x14ac:dyDescent="0.2">
      <c r="A12" s="5"/>
      <c r="B12" s="42" t="s">
        <v>39</v>
      </c>
      <c r="C12" s="22"/>
      <c r="O12" s="11"/>
      <c r="P12" s="11"/>
      <c r="Q12" s="11"/>
      <c r="AM12" s="4"/>
      <c r="AR12" s="66">
        <v>47.2</v>
      </c>
      <c r="BN12" s="4"/>
      <c r="BS12" s="66">
        <v>47.2</v>
      </c>
      <c r="CO12" s="4"/>
      <c r="CT12" s="66">
        <v>47.2</v>
      </c>
      <c r="DQ12" s="4"/>
      <c r="DV12" s="66">
        <v>47.2</v>
      </c>
      <c r="EQ12" s="4"/>
      <c r="EV12" s="66">
        <v>47.2</v>
      </c>
      <c r="FQ12" s="4"/>
      <c r="FV12" s="66">
        <v>47.2</v>
      </c>
      <c r="GQ12" s="4"/>
      <c r="GV12" s="66">
        <v>47.2</v>
      </c>
      <c r="HQ12" s="4"/>
      <c r="HV12" s="66">
        <v>47.2</v>
      </c>
      <c r="IQ12" s="4"/>
      <c r="IV12" s="66">
        <v>47.2</v>
      </c>
      <c r="JQ12" s="4"/>
      <c r="JV12" s="66">
        <v>47.2</v>
      </c>
      <c r="KQ12" s="4"/>
      <c r="KV12" s="66">
        <v>47.2</v>
      </c>
      <c r="LQ12" s="4"/>
      <c r="LV12" s="66">
        <v>47.2</v>
      </c>
      <c r="MQ12" s="4"/>
      <c r="MV12" s="66">
        <v>47.2</v>
      </c>
      <c r="NQ12" s="4"/>
      <c r="NV12" s="66">
        <v>47.2</v>
      </c>
      <c r="OQ12" s="4"/>
      <c r="OV12" s="66">
        <v>47.2</v>
      </c>
    </row>
    <row r="13" spans="1:439" ht="17" hidden="1" x14ac:dyDescent="0.2">
      <c r="A13" s="5"/>
      <c r="B13" s="29" t="s">
        <v>40</v>
      </c>
      <c r="C13" s="22"/>
      <c r="O13" s="11"/>
      <c r="P13" s="11"/>
      <c r="Q13" s="11"/>
      <c r="AM13" s="4"/>
      <c r="AR13" s="62">
        <f>AR14</f>
        <v>47.6</v>
      </c>
      <c r="BN13" s="4"/>
      <c r="BS13" s="62">
        <f>BS14</f>
        <v>47.6</v>
      </c>
      <c r="CO13" s="4"/>
      <c r="CT13" s="62">
        <f>CT14</f>
        <v>47.6</v>
      </c>
      <c r="DQ13" s="4"/>
      <c r="DV13" s="62">
        <f>DV14</f>
        <v>47.6</v>
      </c>
      <c r="EQ13" s="4"/>
      <c r="EV13" s="62">
        <f>EV14</f>
        <v>47.6</v>
      </c>
      <c r="FQ13" s="4"/>
      <c r="FV13" s="62">
        <f>FV14</f>
        <v>47.6</v>
      </c>
      <c r="GQ13" s="4"/>
      <c r="GV13" s="62">
        <f>GV14</f>
        <v>47.6</v>
      </c>
      <c r="HQ13" s="4"/>
      <c r="HV13" s="62">
        <f>HV14</f>
        <v>47.6</v>
      </c>
      <c r="IQ13" s="4"/>
      <c r="IV13" s="62">
        <f>IV14</f>
        <v>47.6</v>
      </c>
      <c r="JQ13" s="4"/>
      <c r="JV13" s="62">
        <f>JV14</f>
        <v>47.6</v>
      </c>
      <c r="KQ13" s="4"/>
      <c r="KV13" s="62">
        <f>KV14</f>
        <v>47.6</v>
      </c>
      <c r="LQ13" s="4"/>
      <c r="LV13" s="62">
        <f>LV14</f>
        <v>47.6</v>
      </c>
      <c r="MQ13" s="4"/>
      <c r="MV13" s="62">
        <f>MV14</f>
        <v>47.6</v>
      </c>
      <c r="NQ13" s="4"/>
      <c r="NV13" s="62">
        <f>NV14</f>
        <v>47.6</v>
      </c>
      <c r="OQ13" s="4"/>
      <c r="OV13" s="62">
        <f>OV14</f>
        <v>47.6</v>
      </c>
    </row>
    <row r="14" spans="1:439" ht="17" x14ac:dyDescent="0.2">
      <c r="A14" s="5"/>
      <c r="B14" s="40" t="s">
        <v>53</v>
      </c>
      <c r="C14" s="22"/>
      <c r="O14" s="11"/>
      <c r="P14" s="11"/>
      <c r="Q14" s="11"/>
      <c r="AM14" s="4"/>
      <c r="AR14" s="63">
        <v>47.6</v>
      </c>
      <c r="BN14" s="4"/>
      <c r="BS14" s="63">
        <v>47.6</v>
      </c>
      <c r="CO14" s="4"/>
      <c r="CT14" s="63">
        <v>47.6</v>
      </c>
      <c r="DQ14" s="4"/>
      <c r="DV14" s="63">
        <v>47.6</v>
      </c>
      <c r="EQ14" s="4"/>
      <c r="EV14" s="63">
        <v>47.6</v>
      </c>
      <c r="FQ14" s="4"/>
      <c r="FV14" s="63">
        <v>47.6</v>
      </c>
      <c r="GQ14" s="4"/>
      <c r="GV14" s="63">
        <v>47.6</v>
      </c>
      <c r="HQ14" s="4"/>
      <c r="HV14" s="63">
        <v>47.6</v>
      </c>
      <c r="IQ14" s="4"/>
      <c r="IV14" s="63">
        <v>47.6</v>
      </c>
      <c r="JQ14" s="4"/>
      <c r="JV14" s="63">
        <v>47.6</v>
      </c>
      <c r="KQ14" s="4"/>
      <c r="KV14" s="63">
        <v>47.6</v>
      </c>
      <c r="LQ14" s="4"/>
      <c r="LV14" s="63">
        <v>47.6</v>
      </c>
      <c r="MQ14" s="4"/>
      <c r="MV14" s="63">
        <v>47.6</v>
      </c>
      <c r="NQ14" s="4"/>
      <c r="NV14" s="63">
        <v>47.6</v>
      </c>
      <c r="OQ14" s="4"/>
      <c r="OV14" s="63">
        <v>47.6</v>
      </c>
    </row>
    <row r="15" spans="1:439" ht="17" hidden="1" x14ac:dyDescent="0.2">
      <c r="A15" s="5"/>
      <c r="B15" s="30" t="s">
        <v>26</v>
      </c>
      <c r="C15" s="22"/>
      <c r="O15" s="11"/>
      <c r="P15" s="11"/>
      <c r="Q15" s="11"/>
      <c r="AM15" s="4"/>
      <c r="AR15" s="64">
        <v>1000</v>
      </c>
      <c r="BN15" s="4"/>
      <c r="BS15" s="64">
        <v>1000</v>
      </c>
      <c r="CO15" s="4"/>
      <c r="CT15" s="64">
        <v>1000</v>
      </c>
      <c r="DQ15" s="4"/>
      <c r="DV15" s="64">
        <v>1000</v>
      </c>
      <c r="EQ15" s="4"/>
      <c r="EV15" s="64">
        <v>1000</v>
      </c>
      <c r="FQ15" s="4"/>
      <c r="FV15" s="64">
        <v>1000</v>
      </c>
      <c r="GQ15" s="4"/>
      <c r="GV15" s="64">
        <v>1000</v>
      </c>
      <c r="HQ15" s="4"/>
      <c r="HV15" s="64">
        <v>1000</v>
      </c>
      <c r="IQ15" s="4"/>
      <c r="IV15" s="64">
        <v>1000</v>
      </c>
      <c r="JQ15" s="4"/>
      <c r="JV15" s="64">
        <v>1000</v>
      </c>
      <c r="KQ15" s="4"/>
      <c r="KV15" s="64">
        <v>1000</v>
      </c>
      <c r="LQ15" s="4"/>
      <c r="LV15" s="64">
        <v>1000</v>
      </c>
      <c r="MQ15" s="4"/>
      <c r="MV15" s="64">
        <v>1000</v>
      </c>
      <c r="NQ15" s="4"/>
      <c r="NV15" s="64">
        <v>1000</v>
      </c>
      <c r="OQ15" s="4"/>
      <c r="OV15" s="64">
        <v>1000</v>
      </c>
    </row>
    <row r="16" spans="1:439" x14ac:dyDescent="0.2">
      <c r="B16" s="34" t="s">
        <v>45</v>
      </c>
      <c r="C16" s="2"/>
    </row>
    <row r="17" spans="1:3" x14ac:dyDescent="0.2">
      <c r="A17" s="5"/>
      <c r="B17" s="5"/>
      <c r="C17" s="2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5">
      <sortCondition descending="1" ref="F1:F6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5">
    <cfRule type="expression" dxfId="57" priority="2" stopIfTrue="1">
      <formula>IF($AL4&lt;&gt;"",1,0)</formula>
    </cfRule>
  </conditionalFormatting>
  <conditionalFormatting sqref="AS4:BS5">
    <cfRule type="expression" dxfId="56" priority="3" stopIfTrue="1">
      <formula>IF($BM4&lt;&gt;"",1,0)</formula>
    </cfRule>
  </conditionalFormatting>
  <conditionalFormatting sqref="J1:J1048576 L1:L1048576 N1:N1048576">
    <cfRule type="expression" dxfId="55" priority="10">
      <formula>IF(J1=$BT$1,1,0)</formula>
    </cfRule>
    <cfRule type="expression" dxfId="54" priority="11">
      <formula>IF(J1=$AS$1,1,0)</formula>
    </cfRule>
    <cfRule type="expression" dxfId="53" priority="12">
      <formula>IF(J1=$R$1,1,0)</formula>
    </cfRule>
  </conditionalFormatting>
  <conditionalFormatting sqref="BT4:CT5">
    <cfRule type="expression" dxfId="52" priority="4" stopIfTrue="1">
      <formula>IF($CN4&lt;&gt;"",1,0)</formula>
    </cfRule>
  </conditionalFormatting>
  <conditionalFormatting sqref="A4:A1048576">
    <cfRule type="expression" dxfId="51" priority="1">
      <formula>AND(G4&lt;&gt;"",F4="")</formula>
    </cfRule>
    <cfRule type="expression" dxfId="50" priority="13" stopIfTrue="1">
      <formula>IF(A4&gt;4,1,0)</formula>
    </cfRule>
  </conditionalFormatting>
  <conditionalFormatting sqref="H1:H1048576">
    <cfRule type="containsText" dxfId="49" priority="5" operator="containsText" text="No DD">
      <formula>NOT(ISERROR(SEARCH("No DD",H1)))</formula>
    </cfRule>
    <cfRule type="containsText" dxfId="48" priority="6" operator="containsText" text="Merit">
      <formula>NOT(ISERROR(SEARCH("Merit",H1)))</formula>
    </cfRule>
    <cfRule type="containsText" dxfId="47" priority="7" operator="containsText" text="Excellence">
      <formula>NOT(ISERROR(SEARCH("Excellence",H1)))</formula>
    </cfRule>
    <cfRule type="containsText" dxfId="46" priority="8" operator="containsText" text="Worlds Team">
      <formula>NOT(ISERROR(SEARCH("Worlds Team",H1)))</formula>
    </cfRule>
    <cfRule type="containsText" dxfId="45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44" priority="57972" operator="between">
      <formula>AR$11</formula>
      <formula>1000</formula>
    </cfRule>
    <cfRule type="cellIs" dxfId="43" priority="57973" operator="between">
      <formula>AR$10</formula>
      <formula>AR$11</formula>
    </cfRule>
    <cfRule type="cellIs" dxfId="42" priority="57974" operator="between">
      <formula>AR$9</formula>
      <formula>AR$10</formula>
    </cfRule>
    <cfRule type="cellIs" dxfId="41" priority="57975" operator="between">
      <formula>AR$8</formula>
      <formula>AR$9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40" priority="58152" operator="between">
      <formula>AR$15</formula>
      <formula>1000</formula>
    </cfRule>
    <cfRule type="cellIs" dxfId="39" priority="58153" operator="between">
      <formula>AR$14</formula>
      <formula>AR$15</formula>
    </cfRule>
    <cfRule type="cellIs" dxfId="38" priority="58154" operator="between">
      <formula>AR$13</formula>
      <formula>AR$14</formula>
    </cfRule>
    <cfRule type="cellIs" dxfId="37" priority="58155" operator="between">
      <formula>AR$12</formula>
      <formula>AR$13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36" priority="58332" operator="between">
      <formula>AR$11</formula>
      <formula>1000</formula>
    </cfRule>
    <cfRule type="cellIs" dxfId="35" priority="58333" operator="between">
      <formula>AR$10</formula>
      <formula>AR$11</formula>
    </cfRule>
    <cfRule type="cellIs" dxfId="34" priority="58334" operator="between">
      <formula>AR$9</formula>
      <formula>AR$10</formula>
    </cfRule>
    <cfRule type="cellIs" dxfId="33" priority="58335" operator="between">
      <formula>AR$8</formula>
      <formula>AR$9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2" priority="58512" operator="between">
      <formula>AR$12</formula>
      <formula>AR$13</formula>
    </cfRule>
    <cfRule type="cellIs" dxfId="31" priority="58513" operator="between">
      <formula>AR$13</formula>
      <formula>AR$14</formula>
    </cfRule>
    <cfRule type="cellIs" dxfId="30" priority="58514" operator="between">
      <formula>AR$14</formula>
      <formula>AR$15</formula>
    </cfRule>
    <cfRule type="cellIs" dxfId="29" priority="58515" operator="between">
      <formula>AR$15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2F278-5193-5D44-8CBB-35AE88FBAF54}">
  <sheetPr codeName="Sheet14"/>
  <dimension ref="A1:PW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customWidth="1"/>
    <col min="179" max="198" width="10.83203125" hidden="1" customWidth="1"/>
    <col min="199" max="204" width="10.83203125" style="47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83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87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95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 t="s">
        <v>86</v>
      </c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 t="s">
        <v>85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 t="s">
        <v>97</v>
      </c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 t="s">
        <v>98</v>
      </c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DD"),SUMPRODUCT((H$4:H$6&lt;&gt;"")*(H$4:H$6&lt;&gt;"No DD")*(E$4:E$6&gt;E4))+1,IF(H4="No DD",SUMPRODUCT((H$4:H$6="No DD")*(E$4:E$6&gt;E4))+1+SUMPRODUCT((H$4:H$6&lt;&gt;"")*(H$4:H$6&lt;&gt;"No DD")),""))</f>
        <v>1</v>
      </c>
      <c r="B4" s="5" t="s">
        <v>67</v>
      </c>
      <c r="C4" s="4" t="s">
        <v>68</v>
      </c>
      <c r="D4" s="4">
        <v>2009</v>
      </c>
      <c r="E4" s="10">
        <f>SUM(I4:O4)+SUM(I4:M4)*0.0000001+SUM(I4)*0.0000000000001</f>
        <v>151.80001503000511</v>
      </c>
      <c r="F4" s="3" t="str">
        <f>IF(OR(AND(AM4&gt;=AR$8,AN4&gt;=AR$12,AM4&lt;&gt;"",AL4=""),AND(AP4&gt;=AR$8,AQ4&gt;=AR$12,AP4&lt;&gt;"",AL4=""),AND(BN4&gt;=BS$8,BO4&gt;=BS$12,BN4&lt;&gt;"",BM4=""),AND(BQ4&gt;=BS$8,BR4&gt;=BS$12,BQ4&lt;&gt;"",BM4=""),AND(CO4&gt;=CT$8,CP4&gt;=CT$12,CO4&lt;&gt;"",CN4=""),AND(CR4&gt;=CT$8,CS4&gt;=CT$12,CR4&lt;&gt;""),AND(DQ4&gt;=DV$8,DR4&gt;=DV$12,DQ4&lt;&gt;""),AND(DT4&gt;=DV$8,DU4&gt;=DV$12,DT4&lt;&gt;""),AND(EQ4&gt;=EV$8,ER4&gt;=EV$12,EQ4&lt;&gt;""),AND(ET4&gt;=EV$8,EU4&gt;=EV$12,ET4&lt;&gt;""),AND(FQ4&gt;=FV$8,FR4&gt;=FV$12,FQ4&lt;&gt;""),AND(FT4&gt;=FV$8,FU4&gt;=FV$12,FT4&lt;&gt;""),AND(GQ4&gt;=GV$8,GR4&gt;=GV$12,GQ4&lt;&gt;""),AND(GT4&gt;=GV$8,GU4&gt;=GV$12,GT4&lt;&gt;""),AND(HQ4&gt;=HV$8,HR4&gt;=HV$12,HQ4&lt;&gt;""),AND(HT4&gt;=HV$8,HU4&gt;=HV$12,HT4&lt;&gt;""),AND(IQ4&gt;=IV$8,IR4&gt;=IV$12,IQ4&lt;&gt;""),AND(IT4&gt;=IV$8,IU4&gt;=IV$12,IT4&lt;&gt;""),AND(JQ4&gt;=JV$8,JR4&gt;=JV$12,JQ4&lt;&gt;""),AND(JT4&gt;=JV$8,JU4&gt;=JV$12,JT4&lt;&gt;""),AND(KQ4&gt;=KV$8,KR4&gt;=KV$12,KQ4&lt;&gt;""),AND(KT4&gt;=KV$8,KU4&gt;=KV$12,KT4&lt;&gt;""),AND(LQ4&gt;=LV$8,LR4&gt;=LV$12,LQ4&lt;&gt;""),AND(LT4&gt;=LV$8,LU4&gt;=LV$12,LT4&lt;&gt;""),AND(MQ4&gt;=MV$8,MR4&gt;=MV$12,MQ4&lt;&gt;""),AND(MT4&gt;=MV$8,MU4&gt;=MV$12,MT4&lt;&gt;""),AND(NQ4&gt;=NV$8,NR4&gt;=NV$12,NQ4&lt;&gt;""),AND(NT4&gt;=NV$8,NU4&gt;=NV$12,NT4&lt;&gt;""),AND(OQ4&gt;=OV$8,OR4&gt;=OV$12,OQ4&lt;&gt;""),AND(OT4&gt;=OV$8,OU4&gt;=OV$12,OT4&lt;&gt;"")),"P","")</f>
        <v>P</v>
      </c>
      <c r="G4" s="3" t="str">
        <f>IF(OR(AND(AN4&gt;=AR$12,AN4&lt;&gt;"",AL4=""),AND(AQ4&gt;=AR$12,AQ4&lt;&gt;"",AL4=""),AND(BO4&gt;=BS$12,BO4&lt;&gt;"",BM4=""),AND(BR4&gt;=BS$12,BR4&lt;&gt;"",BM4=""),AND(CP4&gt;=CT$12,CP4&lt;&gt;"",CN4=""),AND(CS4&gt;=CT$12,CS4&lt;&gt;"",CN4=""),AND(DR4&gt;=DV$12,DR4&lt;&gt;""),AND(DU4&gt;=DV$12,DU4&lt;&gt;""),AND(ER4&gt;=EV$12,ER4&lt;&gt;""),AND(EU4&gt;=EV$12,EU4&lt;&gt;""),AND(FR4&gt;=FV$12,FR4&lt;&gt;""),AND(FU4&gt;=FV$12,FU4&lt;&gt;""),AND(GR4&gt;=GV$12,GR4&lt;&gt;""),AND(GU4&gt;=GV$12,GU4&lt;&gt;""),AND(HR4&gt;=HV$12,HR4&lt;&gt;""),AND(HU4&gt;=HV$12,HU4&lt;&gt;""),AND(IR4&gt;=IV$12,IR4&lt;&gt;""),AND(IU4&gt;=IV$12,IU4&lt;&gt;""),AND(JR4&gt;=JV$12,JR4&lt;&gt;""),AND(JU4&gt;=JV$12,JU4&lt;&gt;""),AND(KR4&gt;=KV$12,KR4&lt;&gt;""),AND(KU4&gt;=KV$12,KU4&lt;&gt;""),AND(LR4&gt;=LV$12,LR4&lt;&gt;""),AND(LU4&gt;=LV$12,LU4&lt;&gt;""),AND(MR4&gt;=MV$12,MR4&lt;&gt;""),AND(MU4&gt;=MV$12,MU4&lt;&gt;""),AND(NR4&gt;=NV$12,NR4&lt;&gt;""),AND(NU4&gt;=NV$12,NU4&lt;&gt;""),AND(OR4&gt;=OV$12,OR4&lt;&gt;""),AND(OU4&gt;=OV$12,OU4&lt;&gt;"")),"P","")</f>
        <v>P</v>
      </c>
      <c r="H4" s="47" t="str">
        <f>IF(AND(G4="P",F4=""),"No DD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Merit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Excellence",IF(F4="P","National Team",""))))</f>
        <v>Excellence</v>
      </c>
      <c r="I4" s="9">
        <f>IF(COUNT(AN4,BO4,CP4)&gt;0,LARGE((AN4,BO4,CP4),1),0)</f>
        <v>51.1</v>
      </c>
      <c r="J4" s="9" t="str">
        <f>IF(I4=0,"",IF(I4=CP4,$BT$1,IF(I4=BO4,$AS$1,IF(I4=AN4,$R$1,""))))</f>
        <v>2023 Nationals</v>
      </c>
      <c r="K4" s="9">
        <f>IF(COUNT(AN4,BO4,CP4)&gt;1,LARGE((AN4,BO4,CP4),2),0)</f>
        <v>48.900000000000006</v>
      </c>
      <c r="L4" s="9" t="str">
        <f>IF(K4=0,"",IF(K4=CP4,$BT$1,IF(K4=BO4,$AS$1,IF(K4=AN4,$R$1,""))))</f>
        <v>2023 Elite Canada</v>
      </c>
      <c r="M4" s="9">
        <f>IF(MAX(AQ4,BR4,CS4)&gt;0,MAX(AQ4,BR4,CS4),0)</f>
        <v>50.3</v>
      </c>
      <c r="N4" s="9" t="str">
        <f>IF(M4=0,"",IF(M4=CS4,$BT$1,IF(M4=BR4,$AS$1,IF(M4=AQ4,$R$1,""))))</f>
        <v>2023 Nationals</v>
      </c>
      <c r="O4" s="9">
        <f>IF(MAX(CU4:CV4)&gt;0,MAX(CU4:CV4),"")</f>
        <v>1.4999999999999929</v>
      </c>
      <c r="P4" s="14" t="str">
        <f>IF(O4="","",IF(O4=CU4,"("&amp;CU$2&amp;")",IF(O4=CV4,"("&amp;CV$2&amp;")")))</f>
        <v>(Q1)</v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2023 WAGC (Nov 18)</v>
      </c>
      <c r="R4" s="20">
        <v>18.600000000000001</v>
      </c>
      <c r="S4" s="20">
        <v>5.6</v>
      </c>
      <c r="T4" s="20">
        <v>0</v>
      </c>
      <c r="U4" s="20">
        <v>0</v>
      </c>
      <c r="V4" s="20">
        <v>18.7</v>
      </c>
      <c r="W4" s="20">
        <v>6</v>
      </c>
      <c r="X4" s="20">
        <v>0</v>
      </c>
      <c r="Y4" s="20">
        <v>0</v>
      </c>
      <c r="Z4" s="20">
        <v>9.1999999999999993</v>
      </c>
      <c r="AA4" s="20">
        <v>2.6</v>
      </c>
      <c r="AB4" s="20">
        <v>0</v>
      </c>
      <c r="AC4" s="20">
        <v>0</v>
      </c>
      <c r="AD4" s="20">
        <v>9.1999999999999993</v>
      </c>
      <c r="AE4" s="20">
        <v>2.8</v>
      </c>
      <c r="AF4" s="20">
        <v>0</v>
      </c>
      <c r="AG4" s="20">
        <v>0</v>
      </c>
      <c r="AH4" s="20">
        <v>9.3000000000000007</v>
      </c>
      <c r="AI4" s="20">
        <v>2.8</v>
      </c>
      <c r="AJ4" s="20">
        <v>0</v>
      </c>
      <c r="AK4" s="20">
        <v>0</v>
      </c>
      <c r="AL4" s="32"/>
      <c r="AM4" s="55">
        <f>IF(SUM(S4,W4)&gt;0,SUM(S4,W4),"")</f>
        <v>11.6</v>
      </c>
      <c r="AN4" s="55">
        <f>IF(SUM(R4:S4,U4:W4,Y4)-T4-X4&gt;0,SUM(R4:S4,U4:W4,Y4)-T4-X4,"")</f>
        <v>48.900000000000006</v>
      </c>
      <c r="AO4" s="55">
        <f>IF(SUM(Z4:AA4,AC4)-AB4&gt;0,SUM(Z4:AA4,AC4)-AB4,"")</f>
        <v>11.799999999999999</v>
      </c>
      <c r="AP4" s="55">
        <f>IF(SUM(AE4,AI4)&gt;0,SUM(AE4,AI4),"")</f>
        <v>5.6</v>
      </c>
      <c r="AQ4" s="55">
        <f>IF(SUM(AD4:AE4,AG4:AI4,AK4)-SUM(AF4,AJ4)&gt;0,SUM(AD4:AE4,AG4:AI4,AK4)-SUM(AF4,AJ4),"")</f>
        <v>24.1</v>
      </c>
      <c r="AR4" s="55">
        <f>IF(SUM(AN4,AO4,AQ4)&gt;0,SUM(AN4,AO4,AQ4),"")</f>
        <v>84.800000000000011</v>
      </c>
      <c r="AS4" s="19">
        <v>18.8</v>
      </c>
      <c r="AT4" s="19">
        <v>6.4</v>
      </c>
      <c r="AU4" s="19">
        <v>0</v>
      </c>
      <c r="AV4" s="19">
        <v>0</v>
      </c>
      <c r="AW4" s="19">
        <v>19.100000000000001</v>
      </c>
      <c r="AX4" s="19">
        <v>6.8</v>
      </c>
      <c r="AY4" s="19">
        <v>0</v>
      </c>
      <c r="AZ4" s="19">
        <v>0</v>
      </c>
      <c r="BA4" s="19">
        <v>18.7</v>
      </c>
      <c r="BB4" s="19">
        <v>6</v>
      </c>
      <c r="BC4" s="19">
        <v>0</v>
      </c>
      <c r="BD4" s="19">
        <v>0</v>
      </c>
      <c r="BE4" s="19">
        <v>18.399999999999999</v>
      </c>
      <c r="BF4" s="19">
        <v>6.4</v>
      </c>
      <c r="BG4" s="19">
        <v>0</v>
      </c>
      <c r="BH4" s="19">
        <v>0</v>
      </c>
      <c r="BI4" s="19">
        <v>18.7</v>
      </c>
      <c r="BJ4" s="19">
        <v>6.8</v>
      </c>
      <c r="BK4" s="19">
        <v>0</v>
      </c>
      <c r="BL4" s="19">
        <v>0</v>
      </c>
      <c r="BM4" s="33"/>
      <c r="BN4" s="14">
        <f>IF(SUM(AT4,AX4)&gt;0,SUM(AT4,AX4),"")</f>
        <v>13.2</v>
      </c>
      <c r="BO4" s="14">
        <f>IF(SUM(AS4:AT4,AV4:AX4,AZ4)-AU4-AY4&gt;0,SUM(AS4:AT4,AV4:AX4,AZ4)-AU4-AY4,"")</f>
        <v>51.1</v>
      </c>
      <c r="BP4" s="14">
        <f>IF(SUM(BA4:BB4,BD4)-BC4&gt;0,SUM(BA4:BB4,BD4)-BC4,"")</f>
        <v>24.7</v>
      </c>
      <c r="BQ4" s="14">
        <f>IF(SUM(BF4,BJ4)&gt;0,SUM(BF4,BJ4),"")</f>
        <v>13.2</v>
      </c>
      <c r="BR4" s="14">
        <f>IF(SUM(BE4:BF4,BH4:BJ4,BL4)-SUM(BG4,BK4)&gt;0,SUM(BE4:BF4,BH4:BJ4,BL4)-SUM(BG4,BK4),"")</f>
        <v>50.3</v>
      </c>
      <c r="BS4" s="14">
        <f>IF(SUM(BO4,BP4,BR4)&gt;0,SUM(BO4,BP4,BR4),"")</f>
        <v>126.1</v>
      </c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32"/>
      <c r="CO4" s="55" t="str">
        <f>IF(SUM(BU4,BY4)&gt;0,SUM(BU4,BY4),"")</f>
        <v/>
      </c>
      <c r="CP4" s="55" t="str">
        <f>IF(SUM(BT4:BU4,BW4:BY4,CA4)-BV4-BZ4&gt;0,SUM(BT4:BU4,BW4:BY4,CA4)-BV4-BZ4,"")</f>
        <v/>
      </c>
      <c r="CQ4" s="55" t="str">
        <f>IF(SUM(CB4:CC4,CE4)-CD4&gt;0,SUM(CB4:CC4,CE4)-CD4,"")</f>
        <v/>
      </c>
      <c r="CR4" s="55" t="str">
        <f>IF(SUM(CG4,CK4)&gt;0,SUM(CG4,CK4),"")</f>
        <v/>
      </c>
      <c r="CS4" s="55" t="str">
        <f>IF(SUM(CF4:CG4,CI4:CK4,CM4)-SUM(CH4,CL4)&gt;0,SUM(CF4:CG4,CI4:CK4,CM4)-SUM(CH4,CL4),"")</f>
        <v/>
      </c>
      <c r="CT4" s="55" t="str">
        <f>IF(SUM(CP4,CQ4,CS4)&gt;0,SUM(CP4,CQ4,CS4),"")</f>
        <v/>
      </c>
      <c r="CU4" s="56">
        <f>IF(MAX(DR4,ER4,FR4,GR4,HR4,IR4,JR4,KR4,LR4,MR4,NR4,OR4)-IF(K4="",0,K4)&gt;0.001,MAX(DR4,ER4,FR4,GR4,HR4,IR4,JR4,KR4,LR4,MR4,NR4,OR4)-IF(K4="",0,K4),"")</f>
        <v>1.4999999999999929</v>
      </c>
      <c r="CV4" s="56">
        <f>IF(MAX(DU4,EU4,FU4,GU4,HU4,IU4,JU4,KU4,LU4,MU4,NU4,OU4)-IF(M4="",0,M4)&gt;0.001,MAX(DU4,EU4,FU4,GU4,HU4,IU4,JU4,KU4,LU4,MU4,NU4,OU4)-IF(M4="",0,M4),"")</f>
        <v>0.29999999999999716</v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>
        <v>18.600000000000001</v>
      </c>
      <c r="DJ4" s="18">
        <v>6</v>
      </c>
      <c r="DK4" s="18">
        <v>0</v>
      </c>
      <c r="DL4" s="18">
        <v>0</v>
      </c>
      <c r="DM4" s="18">
        <v>18.7</v>
      </c>
      <c r="DN4" s="18">
        <v>5.6</v>
      </c>
      <c r="DO4" s="18">
        <v>0</v>
      </c>
      <c r="DP4" s="18">
        <v>0</v>
      </c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>
        <f>IF(SUM(DJ4,DN4)&gt;0,SUM(DJ4,DN4),"")</f>
        <v>11.6</v>
      </c>
      <c r="DU4" s="55">
        <f>IF(SUM(DI4:DJ4,DL4:DN4,DP4)-SUM(DK4,DO4)&gt;0,SUM(DI4:DJ4,DL4:DN4,DP4)-SUM(DK4,DO4),"")</f>
        <v>48.9</v>
      </c>
      <c r="DV4" s="55">
        <f>IF(SUM(DR4,DS4,DU4)&gt;0,SUM(DR4,DS4,DU4),"")</f>
        <v>48.9</v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>
        <v>18.600000000000001</v>
      </c>
      <c r="EJ4" s="19">
        <v>6</v>
      </c>
      <c r="EK4" s="19">
        <v>0</v>
      </c>
      <c r="EL4" s="19">
        <v>0</v>
      </c>
      <c r="EM4" s="19">
        <v>18.7</v>
      </c>
      <c r="EN4" s="19">
        <v>5.6</v>
      </c>
      <c r="EO4" s="19">
        <v>0</v>
      </c>
      <c r="EP4" s="19">
        <v>0</v>
      </c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>
        <f>IF(SUM(EJ4,EN4)&gt;0,SUM(EJ4,EN4),"")</f>
        <v>11.6</v>
      </c>
      <c r="EU4" s="14">
        <f>IF(SUM(EI4:EJ4,EL4:EN4,EP4)-SUM(EK4,EO4)&gt;0,SUM(EI4:EJ4,EL4:EN4,EP4)-SUM(EK4,EO4),"")</f>
        <v>48.9</v>
      </c>
      <c r="EV4" s="14">
        <f>IF(SUM(ER4,ES4,EU4)&gt;0,SUM(ER4,ES4,EU4),"")</f>
        <v>48.9</v>
      </c>
      <c r="EW4" s="18">
        <v>18.8</v>
      </c>
      <c r="EX4" s="18">
        <v>6.8</v>
      </c>
      <c r="EY4" s="18">
        <v>0.2</v>
      </c>
      <c r="EZ4" s="18">
        <v>0</v>
      </c>
      <c r="FA4" s="18">
        <v>18.600000000000001</v>
      </c>
      <c r="FB4" s="18">
        <v>6.4</v>
      </c>
      <c r="FC4" s="18">
        <v>0</v>
      </c>
      <c r="FD4" s="18">
        <v>0</v>
      </c>
      <c r="FE4" s="18"/>
      <c r="FF4" s="18"/>
      <c r="FG4" s="18"/>
      <c r="FH4" s="18"/>
      <c r="FI4" s="18">
        <v>18.600000000000001</v>
      </c>
      <c r="FJ4" s="18">
        <v>6.4</v>
      </c>
      <c r="FK4" s="18">
        <v>0</v>
      </c>
      <c r="FL4" s="18">
        <v>0</v>
      </c>
      <c r="FM4" s="18">
        <v>18.8</v>
      </c>
      <c r="FN4" s="18">
        <v>6.8</v>
      </c>
      <c r="FO4" s="18">
        <v>0</v>
      </c>
      <c r="FP4" s="18">
        <v>0</v>
      </c>
      <c r="FQ4" s="55">
        <f>IF(SUM(EX4,FB4)&gt;0,SUM(EX4,FB4),"")</f>
        <v>13.2</v>
      </c>
      <c r="FR4" s="55">
        <f>IF(SUM(EW4:EX4,EZ4:FB4,FD4)-EY4-FC4&gt;0,SUM(EW4:EX4,EZ4:FB4,FD4)-EY4-FC4,"")</f>
        <v>50.4</v>
      </c>
      <c r="FS4" s="55" t="str">
        <f>IF(SUM(FE4:FF4,FH4)-FG4&gt;0,SUM(FE4:FF4,FH4)-FG4,"")</f>
        <v/>
      </c>
      <c r="FT4" s="55">
        <f>IF(SUM(FJ4,FN4)&gt;0,SUM(FJ4,FN4),"")</f>
        <v>13.2</v>
      </c>
      <c r="FU4" s="55">
        <f>IF(SUM(FI4:FJ4,FL4:FN4,FP4)-SUM(FK4,FO4)&gt;0,SUM(FI4:FJ4,FL4:FN4,FP4)-SUM(FK4,FO4),"")</f>
        <v>50.599999999999994</v>
      </c>
      <c r="FV4" s="55">
        <f>IF(SUM(FR4,FS4,FU4)&gt;0,SUM(FR4,FS4,FU4),"")</f>
        <v>101</v>
      </c>
      <c r="FW4" s="19"/>
      <c r="FX4" s="19"/>
      <c r="FY4" s="19"/>
      <c r="FZ4" s="19"/>
      <c r="GA4" s="19"/>
      <c r="GB4" s="19"/>
      <c r="GC4" s="19"/>
      <c r="GD4" s="19"/>
      <c r="GE4" s="19">
        <v>17.2</v>
      </c>
      <c r="GF4" s="19">
        <v>2.8</v>
      </c>
      <c r="GG4" s="19">
        <v>0</v>
      </c>
      <c r="GH4" s="19">
        <v>0</v>
      </c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>
        <f>IF(SUM(GE4:GF4,GH4)-GG4&gt;0,SUM(GE4:GF4,GH4)-GG4,"")</f>
        <v>20</v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>
        <f>IF(SUM(GR4,GS4,GU4)&gt;0,SUM(GR4,GS4,GU4),"")</f>
        <v>20</v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>IF($CN4="P",BT4,(BT4+AS4)/2)</f>
        <v>9.4</v>
      </c>
      <c r="OX4" s="27">
        <f>IF($CN4="P",BU4,(BU4+AT4)/2)</f>
        <v>3.2</v>
      </c>
      <c r="OY4" s="27">
        <f>IF($CN4="P",BV4,(BV4+AU4)/2)</f>
        <v>0</v>
      </c>
      <c r="OZ4" s="27">
        <f>IF($CN4="P",BW4,(BW4+AV4)/2)</f>
        <v>0</v>
      </c>
      <c r="PA4" s="27">
        <f>IF($CN4="P",BX4,(BX4+AW4)/2)</f>
        <v>9.5500000000000007</v>
      </c>
      <c r="PB4" s="27">
        <f>IF($CN4="P",BY4,(BY4+AX4)/2)</f>
        <v>3.4</v>
      </c>
      <c r="PC4" s="27">
        <f>IF($CN4="P",BZ4,(BZ4+AY4)/2)</f>
        <v>0</v>
      </c>
      <c r="PD4" s="27">
        <f>IF($CN4="P",CA4,(CA4+AZ4)/2)</f>
        <v>0</v>
      </c>
      <c r="PE4" s="27">
        <f>IF($CN4="P",CB4,(CB4+BA4)/2)</f>
        <v>9.35</v>
      </c>
      <c r="PF4" s="27">
        <f>IF($CN4="P",CC4,(CC4+BB4)/2)</f>
        <v>3</v>
      </c>
      <c r="PG4" s="27">
        <f>IF($CN4="P",CD4,(CD4+BC4)/2)</f>
        <v>0</v>
      </c>
      <c r="PH4" s="27">
        <f>IF($CN4="P",CE4,(CE4+BD4)/2)</f>
        <v>0</v>
      </c>
      <c r="PI4" s="27">
        <f>IF($CN4="P",CF4,(CF4+BE4)/2)</f>
        <v>9.1999999999999993</v>
      </c>
      <c r="PJ4" s="27">
        <f>IF($CN4="P",CG4,(CG4+BF4)/2)</f>
        <v>3.2</v>
      </c>
      <c r="PK4" s="27">
        <f>IF($CN4="P",CH4,(CH4+BG4)/2)</f>
        <v>0</v>
      </c>
      <c r="PL4" s="27">
        <f>IF($CN4="P",CI4,(CI4+BH4)/2)</f>
        <v>0</v>
      </c>
      <c r="PM4" s="27">
        <f>IF($CN4="P",CJ4,(CJ4+BI4)/2)</f>
        <v>9.35</v>
      </c>
      <c r="PN4" s="27">
        <f>IF($CN4="P",CK4,(CK4+BJ4)/2)</f>
        <v>3.4</v>
      </c>
      <c r="PO4" s="27">
        <f>IF($CN4="P",CL4,(CL4+BK4)/2)</f>
        <v>0</v>
      </c>
      <c r="PP4" s="27">
        <f>IF($CN4="P",CM4,(CM4+BL4)/2)</f>
        <v>0</v>
      </c>
      <c r="PQ4" s="32" t="s">
        <v>44</v>
      </c>
      <c r="PR4" s="55">
        <f>IF(SUM(OX4,PB4)&gt;0,SUM(OX4,PB4),"")</f>
        <v>6.6</v>
      </c>
      <c r="PS4" s="55">
        <f>IF(SUM(OW4:OX4,OZ4:PB4,PD4)-OY4-PC4&gt;0,SUM(OW4:OX4,OZ4:PB4,PD4)-OY4-PC4,"")</f>
        <v>25.55</v>
      </c>
      <c r="PT4" s="55">
        <f>IF(SUM(PE4:PF4,PH4)-PG4&gt;0,SUM(PE4:PF4,PH4)-PG4,"")</f>
        <v>12.35</v>
      </c>
      <c r="PU4" s="55">
        <f>IF(SUM(PJ4,PN4)&gt;0,SUM(PJ4,PN4),"")</f>
        <v>6.6</v>
      </c>
      <c r="PV4" s="55">
        <f>IF(SUM(PI4:PJ4,PL4:PN4,PP4)-SUM(PK4,PO4)&gt;0,SUM(PI4:PJ4,PL4:PN4,PP4)-SUM(PK4,PO4),"")</f>
        <v>25.15</v>
      </c>
      <c r="PW4" s="55">
        <f>IF(SUM(PS4,PT4,PV4)&gt;0,SUM(PS4,PT4,PV4),"")</f>
        <v>63.05</v>
      </c>
    </row>
    <row r="5" spans="1:439" x14ac:dyDescent="0.2">
      <c r="A5" s="4" cm="1">
        <f t="array" ref="A5">IF(AND(H5&lt;&gt;"",H5&lt;&gt;"No DD"),SUMPRODUCT((H$4:H$6&lt;&gt;"")*(H$4:H$6&lt;&gt;"No DD")*(E$4:E$6&gt;E5))+1,IF(H5="No DD",SUMPRODUCT((H$4:H$6="No DD")*(E$4:E$6&gt;E5))+1+SUMPRODUCT((H$4:H$6&lt;&gt;"")*(H$4:H$6&lt;&gt;"No DD")),""))</f>
        <v>2</v>
      </c>
      <c r="B5" s="5" t="s">
        <v>82</v>
      </c>
      <c r="C5" s="4" t="s">
        <v>68</v>
      </c>
      <c r="D5" s="4">
        <v>2008</v>
      </c>
      <c r="E5" s="10">
        <f>SUM(I5:O5)+SUM(I5:M5)*0.0000001+SUM(I5)*0.0000000000001</f>
        <v>144.40001415000472</v>
      </c>
      <c r="F5" s="3" t="str">
        <f>IF(OR(AND(AM5&gt;=AR$8,AN5&gt;=AR$12,AM5&lt;&gt;"",AL5=""),AND(AP5&gt;=AR$8,AQ5&gt;=AR$12,AP5&lt;&gt;"",AL5=""),AND(BN5&gt;=BS$8,BO5&gt;=BS$12,BN5&lt;&gt;"",BM5=""),AND(BQ5&gt;=BS$8,BR5&gt;=BS$12,BQ5&lt;&gt;"",BM5=""),AND(CO5&gt;=CT$8,CP5&gt;=CT$12,CO5&lt;&gt;"",CN5=""),AND(CR5&gt;=CT$8,CS5&gt;=CT$12,CR5&lt;&gt;""),AND(DQ5&gt;=DV$8,DR5&gt;=DV$12,DQ5&lt;&gt;""),AND(DT5&gt;=DV$8,DU5&gt;=DV$12,DT5&lt;&gt;""),AND(EQ5&gt;=EV$8,ER5&gt;=EV$12,EQ5&lt;&gt;""),AND(ET5&gt;=EV$8,EU5&gt;=EV$12,ET5&lt;&gt;""),AND(FQ5&gt;=FV$8,FR5&gt;=FV$12,FQ5&lt;&gt;""),AND(FT5&gt;=FV$8,FU5&gt;=FV$12,FT5&lt;&gt;""),AND(GQ5&gt;=GV$8,GR5&gt;=GV$12,GQ5&lt;&gt;""),AND(GT5&gt;=GV$8,GU5&gt;=GV$12,GT5&lt;&gt;""),AND(HQ5&gt;=HV$8,HR5&gt;=HV$12,HQ5&lt;&gt;""),AND(HT5&gt;=HV$8,HU5&gt;=HV$12,HT5&lt;&gt;""),AND(IQ5&gt;=IV$8,IR5&gt;=IV$12,IQ5&lt;&gt;""),AND(IT5&gt;=IV$8,IU5&gt;=IV$12,IT5&lt;&gt;""),AND(JQ5&gt;=JV$8,JR5&gt;=JV$12,JQ5&lt;&gt;""),AND(JT5&gt;=JV$8,JU5&gt;=JV$12,JT5&lt;&gt;""),AND(KQ5&gt;=KV$8,KR5&gt;=KV$12,KQ5&lt;&gt;""),AND(KT5&gt;=KV$8,KU5&gt;=KV$12,KT5&lt;&gt;""),AND(LQ5&gt;=LV$8,LR5&gt;=LV$12,LQ5&lt;&gt;""),AND(LT5&gt;=LV$8,LU5&gt;=LV$12,LT5&lt;&gt;""),AND(MQ5&gt;=MV$8,MR5&gt;=MV$12,MQ5&lt;&gt;""),AND(MT5&gt;=MV$8,MU5&gt;=MV$12,MT5&lt;&gt;""),AND(NQ5&gt;=NV$8,NR5&gt;=NV$12,NQ5&lt;&gt;""),AND(NT5&gt;=NV$8,NU5&gt;=NV$12,NT5&lt;&gt;""),AND(OQ5&gt;=OV$8,OR5&gt;=OV$12,OQ5&lt;&gt;""),AND(OT5&gt;=OV$8,OU5&gt;=OV$12,OT5&lt;&gt;"")),"P","")</f>
        <v>P</v>
      </c>
      <c r="G5" s="3" t="str">
        <f>IF(OR(AND(AN5&gt;=AR$12,AN5&lt;&gt;"",AL5=""),AND(AQ5&gt;=AR$12,AQ5&lt;&gt;"",AL5=""),AND(BO5&gt;=BS$12,BO5&lt;&gt;"",BM5=""),AND(BR5&gt;=BS$12,BR5&lt;&gt;"",BM5=""),AND(CP5&gt;=CT$12,CP5&lt;&gt;"",CN5=""),AND(CS5&gt;=CT$12,CS5&lt;&gt;"",CN5=""),AND(DR5&gt;=DV$12,DR5&lt;&gt;""),AND(DU5&gt;=DV$12,DU5&lt;&gt;""),AND(ER5&gt;=EV$12,ER5&lt;&gt;""),AND(EU5&gt;=EV$12,EU5&lt;&gt;""),AND(FR5&gt;=FV$12,FR5&lt;&gt;""),AND(FU5&gt;=FV$12,FU5&lt;&gt;""),AND(GR5&gt;=GV$12,GR5&lt;&gt;""),AND(GU5&gt;=GV$12,GU5&lt;&gt;""),AND(HR5&gt;=HV$12,HR5&lt;&gt;""),AND(HU5&gt;=HV$12,HU5&lt;&gt;""),AND(IR5&gt;=IV$12,IR5&lt;&gt;""),AND(IU5&gt;=IV$12,IU5&lt;&gt;""),AND(JR5&gt;=JV$12,JR5&lt;&gt;""),AND(JU5&gt;=JV$12,JU5&lt;&gt;""),AND(KR5&gt;=KV$12,KR5&lt;&gt;""),AND(KU5&gt;=KV$12,KU5&lt;&gt;""),AND(LR5&gt;=LV$12,LR5&lt;&gt;""),AND(LU5&gt;=LV$12,LU5&lt;&gt;""),AND(MR5&gt;=MV$12,MR5&lt;&gt;""),AND(MU5&gt;=MV$12,MU5&lt;&gt;""),AND(NR5&gt;=NV$12,NR5&lt;&gt;""),AND(NU5&gt;=NV$12,NU5&lt;&gt;""),AND(OR5&gt;=OV$12,OR5&lt;&gt;""),AND(OU5&gt;=OV$12,OU5&lt;&gt;"")),"P","")</f>
        <v>P</v>
      </c>
      <c r="H5" s="47" t="str">
        <f>IF(AND(G5="P",F5=""),"No DD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Merit",IF(OR(AND(AM5&gt;=AR$10,AN5&gt;=AR$14,AM5&lt;&gt;"",AL5=""),AND(AP5&gt;=AR$10,AQ5&gt;=AR$14,AP5&lt;&gt;"",AL5=""),AND(BN5&gt;=BS$10,BO5&gt;=BS$14,BN5&lt;&gt;"",BM5=""),AND(BQ5&gt;=BS$10,BR5&gt;=BS$14,BQ5&lt;&gt;"",BM5=""),AND(CO5&gt;=CT$10,CP5&gt;=CT$14,CO5&lt;&gt;"",CN5=""),AND(CR5&gt;=CT$10,CS5&gt;=CT$14,CR5&lt;&gt;""),AND(DQ5&gt;=DV$10,DR5&gt;=DV$14,DQ5&lt;&gt;""),AND(DT5&gt;=DV$10,DU5&gt;=DV$14,DT5&lt;&gt;""),AND(EQ5&gt;=EV$10,ER5&gt;=EV$14,EQ5&lt;&gt;""),AND(ET5&gt;=EV$10,EU5&gt;=EV$14,ET5&lt;&gt;""),AND(FQ5&gt;=FV$10,FR5&gt;=FV$14,FQ5&lt;&gt;""),AND(FT5&gt;=FV$10,FU5&gt;=FV$14,FT5&lt;&gt;""),AND(GQ5&gt;=GV$10,GR5&gt;=GV$14,GQ5&lt;&gt;""),AND(GT5&gt;=GV$10,GU5&gt;=GV$14,GT5&lt;&gt;""),AND(HQ5&gt;=HV$10,HR5&gt;=HV$14,HQ5&lt;&gt;""),AND(HT5&gt;=HV$10,HU5&gt;=HV$14,HT5&lt;&gt;""),AND(IQ5&gt;=IV$10,IR5&gt;=IV$14,IQ5&lt;&gt;""),AND(IT5&gt;=IV$10,IU5&gt;=IV$14,IT5&lt;&gt;""),AND(JQ5&gt;=JV$10,JR5&gt;=JV$14,JQ5&lt;&gt;""),AND(JT5&gt;=JV$10,JU5&gt;=JV$14,JT5&lt;&gt;""),AND(KQ5&gt;=KV$10,KR5&gt;=KV$14,KQ5&lt;&gt;""),AND(KT5&gt;=KV$10,KU5&gt;=KV$14,KT5&lt;&gt;""),AND(LQ5&gt;=LV$10,LR5&gt;=LV$14,LQ5&lt;&gt;""),AND(LT5&gt;=LV$10,LU5&gt;=LV$14,LT5&lt;&gt;""),AND(MQ5&gt;=MV$10,MR5&gt;=MV$14,MQ5&lt;&gt;""),AND(MT5&gt;=MV$10,MU5&gt;=MV$14,MT5&lt;&gt;""),AND(NQ5&gt;=NV$10,NR5&gt;=NV$14,NQ5&lt;&gt;""),AND(NT5&gt;=NV$10,NU5&gt;=NV$14,NT5&lt;&gt;""),AND(OQ5&gt;=OV$10,OR5&gt;=OV$14,OQ5&lt;&gt;""),AND(OT5&gt;=OV$10,OU5&gt;=OV$14,OT5&lt;&gt;"")),"Excellence",IF(F5="P","National Team",""))))</f>
        <v>Excellence</v>
      </c>
      <c r="I5" s="9">
        <f>IF(COUNT(AN5,BO5,CP5)&gt;0,LARGE((AN5,BO5,CP5),1),0)</f>
        <v>47.099999999999994</v>
      </c>
      <c r="J5" s="9" t="str">
        <f>IF(I5=0,"",IF(I5=CP5,$BT$1,IF(I5=BO5,$AS$1,IF(I5=AN5,$R$1,""))))</f>
        <v>2023 Elite Canada</v>
      </c>
      <c r="K5" s="9">
        <f>IF(COUNT(AN5,BO5,CP5)&gt;1,LARGE((AN5,BO5,CP5),2),0)</f>
        <v>46.800000000000004</v>
      </c>
      <c r="L5" s="9" t="str">
        <f>IF(K5=0,"",IF(K5=CP5,$BT$1,IF(K5=BO5,$AS$1,IF(K5=AN5,$R$1,""))))</f>
        <v>2023 3rd Domestic Trial</v>
      </c>
      <c r="M5" s="9">
        <f>IF(MAX(AQ5,BR5,CS5)&gt;0,MAX(AQ5,BR5,CS5),0)</f>
        <v>47.599999999999994</v>
      </c>
      <c r="N5" s="9" t="str">
        <f>IF(M5=0,"",IF(M5=CS5,$BT$1,IF(M5=BR5,$AS$1,IF(M5=AQ5,$R$1,""))))</f>
        <v>2023 Nationals</v>
      </c>
      <c r="O5" s="9">
        <f>IF(MAX(CU5:CV5)&gt;0,MAX(CU5:CV5),"")</f>
        <v>2.8999999999999986</v>
      </c>
      <c r="P5" s="14" t="str">
        <f>IF(O5="","",IF(O5=CU5,"("&amp;CU$2&amp;")",IF(O5=CV5,"("&amp;CV$2&amp;")")))</f>
        <v>(Q1)</v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2023 WAGC (Nov 18)</v>
      </c>
      <c r="R5" s="20">
        <v>18.600000000000001</v>
      </c>
      <c r="S5" s="20">
        <v>5.2</v>
      </c>
      <c r="T5" s="20">
        <v>0.2</v>
      </c>
      <c r="U5" s="20">
        <v>0</v>
      </c>
      <c r="V5" s="20">
        <v>18.5</v>
      </c>
      <c r="W5" s="20">
        <v>5.2</v>
      </c>
      <c r="X5" s="20">
        <v>0.2</v>
      </c>
      <c r="Y5" s="20">
        <v>0</v>
      </c>
      <c r="Z5" s="20">
        <v>18.600000000000001</v>
      </c>
      <c r="AA5" s="20">
        <v>5.0999999999999996</v>
      </c>
      <c r="AB5" s="20">
        <v>0</v>
      </c>
      <c r="AC5" s="20">
        <v>0</v>
      </c>
      <c r="AD5" s="20">
        <v>17.8</v>
      </c>
      <c r="AE5" s="20">
        <v>5.6</v>
      </c>
      <c r="AF5" s="20">
        <v>0.2</v>
      </c>
      <c r="AG5" s="20">
        <v>0</v>
      </c>
      <c r="AH5" s="20">
        <v>18.3</v>
      </c>
      <c r="AI5" s="20">
        <v>5.6</v>
      </c>
      <c r="AJ5" s="20">
        <v>0.8</v>
      </c>
      <c r="AK5" s="20">
        <v>0</v>
      </c>
      <c r="AL5" s="32"/>
      <c r="AM5" s="55">
        <f>IF(SUM(S5,W5)&gt;0,SUM(S5,W5),"")</f>
        <v>10.4</v>
      </c>
      <c r="AN5" s="55">
        <f>IF(SUM(R5:S5,U5:W5,Y5)-T5-X5&gt;0,SUM(R5:S5,U5:W5,Y5)-T5-X5,"")</f>
        <v>47.099999999999994</v>
      </c>
      <c r="AO5" s="55">
        <f>IF(SUM(Z5:AA5,AC5)-AB5&gt;0,SUM(Z5:AA5,AC5)-AB5,"")</f>
        <v>23.700000000000003</v>
      </c>
      <c r="AP5" s="55">
        <f>IF(SUM(AE5,AI5)&gt;0,SUM(AE5,AI5),"")</f>
        <v>11.2</v>
      </c>
      <c r="AQ5" s="55">
        <f>IF(SUM(AD5:AE5,AG5:AI5,AK5)-SUM(AF5,AJ5)&gt;0,SUM(AD5:AE5,AG5:AI5,AK5)-SUM(AF5,AJ5),"")</f>
        <v>46.300000000000004</v>
      </c>
      <c r="AR5" s="55">
        <f>IF(SUM(AN5,AO5,AQ5)&gt;0,SUM(AN5,AO5,AQ5),"")</f>
        <v>117.1</v>
      </c>
      <c r="AS5" s="19">
        <v>0</v>
      </c>
      <c r="AT5" s="19">
        <v>0</v>
      </c>
      <c r="AU5" s="19">
        <v>0</v>
      </c>
      <c r="AV5" s="19">
        <v>0</v>
      </c>
      <c r="AW5" s="19">
        <v>18</v>
      </c>
      <c r="AX5" s="19">
        <v>6</v>
      </c>
      <c r="AY5" s="19">
        <v>0.2</v>
      </c>
      <c r="AZ5" s="19">
        <v>0</v>
      </c>
      <c r="BA5" s="19">
        <v>18.2</v>
      </c>
      <c r="BB5" s="19">
        <v>5.2</v>
      </c>
      <c r="BC5" s="19">
        <v>1</v>
      </c>
      <c r="BD5" s="19">
        <v>0</v>
      </c>
      <c r="BE5" s="19">
        <v>18.8</v>
      </c>
      <c r="BF5" s="19">
        <v>5.6</v>
      </c>
      <c r="BG5" s="19">
        <v>0.6</v>
      </c>
      <c r="BH5" s="19">
        <v>0</v>
      </c>
      <c r="BI5" s="19">
        <v>18.2</v>
      </c>
      <c r="BJ5" s="19">
        <v>5.6</v>
      </c>
      <c r="BK5" s="19">
        <v>0</v>
      </c>
      <c r="BL5" s="19">
        <v>0</v>
      </c>
      <c r="BM5" s="33"/>
      <c r="BN5" s="14">
        <f>IF(SUM(AT5,AX5)&gt;0,SUM(AT5,AX5),"")</f>
        <v>6</v>
      </c>
      <c r="BO5" s="14">
        <f>IF(SUM(AS5:AT5,AV5:AX5,AZ5)-AU5-AY5&gt;0,SUM(AS5:AT5,AV5:AX5,AZ5)-AU5-AY5,"")</f>
        <v>23.8</v>
      </c>
      <c r="BP5" s="14">
        <f>IF(SUM(BA5:BB5,BD5)-BC5&gt;0,SUM(BA5:BB5,BD5)-BC5,"")</f>
        <v>22.4</v>
      </c>
      <c r="BQ5" s="14">
        <f>IF(SUM(BF5,BJ5)&gt;0,SUM(BF5,BJ5),"")</f>
        <v>11.2</v>
      </c>
      <c r="BR5" s="14">
        <f>IF(SUM(BE5:BF5,BH5:BJ5,BL5)-SUM(BG5,BK5)&gt;0,SUM(BE5:BF5,BH5:BJ5,BL5)-SUM(BG5,BK5),"")</f>
        <v>47.599999999999994</v>
      </c>
      <c r="BS5" s="14">
        <f>IF(SUM(BO5,BP5,BR5)&gt;0,SUM(BO5,BP5,BR5),"")</f>
        <v>93.8</v>
      </c>
      <c r="BT5" s="20">
        <v>18.600000000000001</v>
      </c>
      <c r="BU5" s="20">
        <v>5.1999999999999993</v>
      </c>
      <c r="BV5" s="20">
        <v>0.6</v>
      </c>
      <c r="BW5" s="20">
        <v>0</v>
      </c>
      <c r="BX5" s="20">
        <v>18.399999999999999</v>
      </c>
      <c r="BY5" s="20">
        <v>5.1999999999999993</v>
      </c>
      <c r="BZ5" s="20">
        <v>0</v>
      </c>
      <c r="CA5" s="20">
        <v>0</v>
      </c>
      <c r="CB5" s="20">
        <v>18.8</v>
      </c>
      <c r="CC5" s="20">
        <v>3.9000000000000004</v>
      </c>
      <c r="CD5" s="20">
        <v>0</v>
      </c>
      <c r="CE5" s="20">
        <v>0</v>
      </c>
      <c r="CF5" s="20">
        <v>18.100000000000001</v>
      </c>
      <c r="CG5" s="20">
        <v>5.6</v>
      </c>
      <c r="CH5" s="20">
        <v>0.2</v>
      </c>
      <c r="CI5" s="20">
        <v>0</v>
      </c>
      <c r="CJ5" s="20">
        <v>18.399999999999999</v>
      </c>
      <c r="CK5" s="20">
        <v>5.6</v>
      </c>
      <c r="CL5" s="20">
        <v>0.6</v>
      </c>
      <c r="CM5" s="20">
        <v>0</v>
      </c>
      <c r="CN5" s="32"/>
      <c r="CO5" s="55">
        <f>IF(SUM(BU5,BY5)&gt;0,SUM(BU5,BY5),"")</f>
        <v>10.399999999999999</v>
      </c>
      <c r="CP5" s="55">
        <f>IF(SUM(BT5:BU5,BW5:BY5,CA5)-BV5-BZ5&gt;0,SUM(BT5:BU5,BW5:BY5,CA5)-BV5-BZ5,"")</f>
        <v>46.800000000000004</v>
      </c>
      <c r="CQ5" s="55">
        <f>IF(SUM(CB5:CC5,CE5)-CD5&gt;0,SUM(CB5:CC5,CE5)-CD5,"")</f>
        <v>22.700000000000003</v>
      </c>
      <c r="CR5" s="55">
        <f>IF(SUM(CG5,CK5)&gt;0,SUM(CG5,CK5),"")</f>
        <v>11.2</v>
      </c>
      <c r="CS5" s="55">
        <f>IF(SUM(CF5:CG5,CI5:CK5,CM5)-SUM(CH5,CL5)&gt;0,SUM(CF5:CG5,CI5:CK5,CM5)-SUM(CH5,CL5),"")</f>
        <v>46.900000000000006</v>
      </c>
      <c r="CT5" s="55">
        <f>IF(SUM(CP5,CQ5,CS5)&gt;0,SUM(CP5,CQ5,CS5),"")</f>
        <v>116.4</v>
      </c>
      <c r="CU5" s="56">
        <f>IF(MAX(DR5,ER5,FR5,GR5,HR5,IR5,JR5,KR5,LR5,MR5,NR5,OR5)-IF(K5="",0,K5)&gt;0.001,MAX(DR5,ER5,FR5,GR5,HR5,IR5,JR5,KR5,LR5,MR5,NR5,OR5)-IF(K5="",0,K5),"")</f>
        <v>2.8999999999999986</v>
      </c>
      <c r="CV5" s="56">
        <f>IF(MAX(DU5,EU5,FU5,GU5,HU5,IU5,JU5,KU5,LU5,MU5,NU5,OU5)-IF(M5="",0,M5)&gt;0.001,MAX(DU5,EU5,FU5,GU5,HU5,IU5,JU5,KU5,LU5,MU5,NU5,OU5)-IF(M5="",0,M5),"")</f>
        <v>1</v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IF(SUM(DR5,DS5,DU5)&gt;0,SUM(DR5,DS5,DU5),"")</f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>
        <v>18.2</v>
      </c>
      <c r="EX5" s="18">
        <v>6.4</v>
      </c>
      <c r="EY5" s="18">
        <v>0</v>
      </c>
      <c r="EZ5" s="18">
        <v>0</v>
      </c>
      <c r="FA5" s="18">
        <v>18.3</v>
      </c>
      <c r="FB5" s="18">
        <v>6.8</v>
      </c>
      <c r="FC5" s="18">
        <v>0</v>
      </c>
      <c r="FD5" s="18">
        <v>0</v>
      </c>
      <c r="FE5" s="18"/>
      <c r="FF5" s="18"/>
      <c r="FG5" s="18"/>
      <c r="FH5" s="18"/>
      <c r="FI5" s="18">
        <v>18.2</v>
      </c>
      <c r="FJ5" s="18">
        <v>6.8</v>
      </c>
      <c r="FK5" s="18">
        <v>0.6</v>
      </c>
      <c r="FL5" s="18">
        <v>0</v>
      </c>
      <c r="FM5" s="18">
        <v>18.399999999999999</v>
      </c>
      <c r="FN5" s="18">
        <v>6.4</v>
      </c>
      <c r="FO5" s="18">
        <v>0.6</v>
      </c>
      <c r="FP5" s="18">
        <v>0</v>
      </c>
      <c r="FQ5" s="55">
        <f>IF(SUM(EX5,FB5)&gt;0,SUM(EX5,FB5),"")</f>
        <v>13.2</v>
      </c>
      <c r="FR5" s="55">
        <f>IF(SUM(EW5:EX5,EZ5:FB5,FD5)-EY5-FC5&gt;0,SUM(EW5:EX5,EZ5:FB5,FD5)-EY5-FC5,"")</f>
        <v>49.7</v>
      </c>
      <c r="FS5" s="55" t="str">
        <f>IF(SUM(FE5:FF5,FH5)-FG5&gt;0,SUM(FE5:FF5,FH5)-FG5,"")</f>
        <v/>
      </c>
      <c r="FT5" s="55">
        <f>IF(SUM(FJ5,FN5)&gt;0,SUM(FJ5,FN5),"")</f>
        <v>13.2</v>
      </c>
      <c r="FU5" s="55">
        <f>IF(SUM(FI5:FJ5,FL5:FN5,FP5)-SUM(FK5,FO5)&gt;0,SUM(FI5:FJ5,FL5:FN5,FP5)-SUM(FK5,FO5),"")</f>
        <v>48.599999999999994</v>
      </c>
      <c r="FV5" s="55">
        <f>IF(SUM(FR5,FS5,FU5)&gt;0,SUM(FR5,FS5,FU5),"")</f>
        <v>98.3</v>
      </c>
      <c r="FW5" s="19"/>
      <c r="FX5" s="19"/>
      <c r="FY5" s="19"/>
      <c r="FZ5" s="19"/>
      <c r="GA5" s="19"/>
      <c r="GB5" s="19"/>
      <c r="GC5" s="19"/>
      <c r="GD5" s="19"/>
      <c r="GE5" s="19">
        <v>18</v>
      </c>
      <c r="GF5" s="19">
        <v>6.4</v>
      </c>
      <c r="GG5" s="19">
        <v>0.2</v>
      </c>
      <c r="GH5" s="19">
        <v>0</v>
      </c>
      <c r="GI5" s="19">
        <v>17.8</v>
      </c>
      <c r="GJ5" s="19">
        <v>6</v>
      </c>
      <c r="GK5" s="19">
        <v>0.2</v>
      </c>
      <c r="GL5" s="19">
        <v>0</v>
      </c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>
        <f>IF(SUM(GE5:GF5,GH5)-GG5&gt;0,SUM(GE5:GF5,GH5)-GG5,"")</f>
        <v>24.2</v>
      </c>
      <c r="GT5" s="14">
        <f>IF(SUM(GJ5,GN5)&gt;0,SUM(GJ5,GN5),"")</f>
        <v>6</v>
      </c>
      <c r="GU5" s="14">
        <f>IF(SUM(GI5:GJ5,GL5:GN5,GP5)-SUM(GK5,GO5)&gt;0,SUM(GI5:GJ5,GL5:GN5,GP5)-SUM(GK5,GO5),"")</f>
        <v>23.6</v>
      </c>
      <c r="GV5" s="14">
        <f>IF(SUM(GR5,GS5,GU5)&gt;0,SUM(GR5,GS5,GU5),"")</f>
        <v>47.8</v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>IF($CN5="P",BT5,(BT5+AS5)/2)</f>
        <v>9.3000000000000007</v>
      </c>
      <c r="OX5" s="27">
        <f>IF($CN5="P",BU5,(BU5+AT5)/2)</f>
        <v>2.5999999999999996</v>
      </c>
      <c r="OY5" s="27">
        <f>IF($CN5="P",BV5,(BV5+AU5)/2)</f>
        <v>0.3</v>
      </c>
      <c r="OZ5" s="27">
        <f>IF($CN5="P",BW5,(BW5+AV5)/2)</f>
        <v>0</v>
      </c>
      <c r="PA5" s="27">
        <f>IF($CN5="P",BX5,(BX5+AW5)/2)</f>
        <v>18.2</v>
      </c>
      <c r="PB5" s="27">
        <f>IF($CN5="P",BY5,(BY5+AX5)/2)</f>
        <v>5.6</v>
      </c>
      <c r="PC5" s="27">
        <f>IF($CN5="P",BZ5,(BZ5+AY5)/2)</f>
        <v>0.1</v>
      </c>
      <c r="PD5" s="27">
        <f>IF($CN5="P",CA5,(CA5+AZ5)/2)</f>
        <v>0</v>
      </c>
      <c r="PE5" s="27">
        <f>IF($CN5="P",CB5,(CB5+BA5)/2)</f>
        <v>18.5</v>
      </c>
      <c r="PF5" s="27">
        <f>IF($CN5="P",CC5,(CC5+BB5)/2)</f>
        <v>4.5500000000000007</v>
      </c>
      <c r="PG5" s="27">
        <f>IF($CN5="P",CD5,(CD5+BC5)/2)</f>
        <v>0.5</v>
      </c>
      <c r="PH5" s="27">
        <f>IF($CN5="P",CE5,(CE5+BD5)/2)</f>
        <v>0</v>
      </c>
      <c r="PI5" s="27">
        <f>IF($CN5="P",CF5,(CF5+BE5)/2)</f>
        <v>18.450000000000003</v>
      </c>
      <c r="PJ5" s="27">
        <f>IF($CN5="P",CG5,(CG5+BF5)/2)</f>
        <v>5.6</v>
      </c>
      <c r="PK5" s="27">
        <f>IF($CN5="P",CH5,(CH5+BG5)/2)</f>
        <v>0.4</v>
      </c>
      <c r="PL5" s="27">
        <f>IF($CN5="P",CI5,(CI5+BH5)/2)</f>
        <v>0</v>
      </c>
      <c r="PM5" s="27">
        <f>IF($CN5="P",CJ5,(CJ5+BI5)/2)</f>
        <v>18.299999999999997</v>
      </c>
      <c r="PN5" s="27">
        <f>IF($CN5="P",CK5,(CK5+BJ5)/2)</f>
        <v>5.6</v>
      </c>
      <c r="PO5" s="27">
        <f>IF($CN5="P",CL5,(CL5+BK5)/2)</f>
        <v>0.3</v>
      </c>
      <c r="PP5" s="27">
        <f>IF($CN5="P",CM5,(CM5+BL5)/2)</f>
        <v>0</v>
      </c>
      <c r="PQ5" s="32" t="s">
        <v>44</v>
      </c>
      <c r="PR5" s="55">
        <f>IF(SUM(OX5,PB5)&gt;0,SUM(OX5,PB5),"")</f>
        <v>8.1999999999999993</v>
      </c>
      <c r="PS5" s="55">
        <f>IF(SUM(OW5:OX5,OZ5:PB5,PD5)-OY5-PC5&gt;0,SUM(OW5:OX5,OZ5:PB5,PD5)-OY5-PC5,"")</f>
        <v>35.300000000000004</v>
      </c>
      <c r="PT5" s="55">
        <f>IF(SUM(PE5:PF5,PH5)-PG5&gt;0,SUM(PE5:PF5,PH5)-PG5,"")</f>
        <v>22.55</v>
      </c>
      <c r="PU5" s="55">
        <f>IF(SUM(PJ5,PN5)&gt;0,SUM(PJ5,PN5),"")</f>
        <v>11.2</v>
      </c>
      <c r="PV5" s="55">
        <f>IF(SUM(PI5:PJ5,PL5:PN5,PP5)-SUM(PK5,PO5)&gt;0,SUM(PI5:PJ5,PL5:PN5,PP5)-SUM(PK5,PO5),"")</f>
        <v>47.25</v>
      </c>
      <c r="PW5" s="55">
        <f>IF(SUM(PS5,PT5,PV5)&gt;0,SUM(PS5,PT5,PV5),"")</f>
        <v>105.10000000000001</v>
      </c>
    </row>
    <row r="6" spans="1:439" ht="17" x14ac:dyDescent="0.2">
      <c r="O6" s="11"/>
      <c r="P6" s="11"/>
      <c r="Q6" s="11"/>
    </row>
    <row r="7" spans="1:439" ht="17" x14ac:dyDescent="0.2">
      <c r="O7" s="11"/>
      <c r="P7" s="11"/>
      <c r="Q7" s="11"/>
    </row>
    <row r="8" spans="1:439" ht="17" x14ac:dyDescent="0.2">
      <c r="B8" s="28" t="s">
        <v>42</v>
      </c>
      <c r="O8" s="11"/>
      <c r="P8" s="11"/>
      <c r="Q8" s="11"/>
      <c r="AM8" s="4"/>
      <c r="AR8" s="57">
        <v>7.9</v>
      </c>
      <c r="BN8" s="4"/>
      <c r="BS8" s="57">
        <v>7.9</v>
      </c>
      <c r="CO8" s="4"/>
      <c r="CT8" s="57">
        <v>7.9</v>
      </c>
      <c r="DQ8" s="4"/>
      <c r="DV8" s="57">
        <v>7.9</v>
      </c>
      <c r="EQ8" s="4"/>
      <c r="EV8" s="57">
        <v>7.9</v>
      </c>
      <c r="FQ8" s="4"/>
      <c r="FV8" s="57">
        <v>7.9</v>
      </c>
      <c r="GQ8" s="4"/>
      <c r="GV8" s="57">
        <v>7.9</v>
      </c>
      <c r="HQ8" s="4"/>
      <c r="HV8" s="57">
        <v>7.9</v>
      </c>
      <c r="IQ8" s="4"/>
      <c r="IV8" s="57">
        <v>7.9</v>
      </c>
      <c r="JQ8" s="4"/>
      <c r="JV8" s="57">
        <v>7.9</v>
      </c>
      <c r="KQ8" s="4"/>
      <c r="KV8" s="57">
        <v>7.9</v>
      </c>
      <c r="LQ8" s="4"/>
      <c r="LV8" s="57">
        <v>7.9</v>
      </c>
      <c r="MQ8" s="4"/>
      <c r="MV8" s="57">
        <v>7.9</v>
      </c>
      <c r="NQ8" s="4"/>
      <c r="NV8" s="57">
        <v>7.9</v>
      </c>
      <c r="OQ8" s="4"/>
      <c r="OV8" s="57">
        <v>7.9</v>
      </c>
    </row>
    <row r="9" spans="1:439" ht="17" hidden="1" x14ac:dyDescent="0.2">
      <c r="B9" s="35" t="s">
        <v>41</v>
      </c>
      <c r="O9" s="11"/>
      <c r="P9" s="11"/>
      <c r="Q9" s="11"/>
      <c r="AM9" s="4"/>
      <c r="AR9" s="58">
        <f>AR10</f>
        <v>9.6</v>
      </c>
      <c r="BN9" s="4"/>
      <c r="BS9" s="58">
        <f>BS10</f>
        <v>9.6</v>
      </c>
      <c r="CO9" s="4"/>
      <c r="CT9" s="58">
        <f>CT10</f>
        <v>9.6</v>
      </c>
      <c r="DQ9" s="4"/>
      <c r="DV9" s="58">
        <f>DV10</f>
        <v>9.6</v>
      </c>
      <c r="EQ9" s="4"/>
      <c r="EV9" s="58">
        <f>EV10</f>
        <v>9.6</v>
      </c>
      <c r="FQ9" s="4"/>
      <c r="FV9" s="58">
        <f>FV10</f>
        <v>9.6</v>
      </c>
      <c r="GQ9" s="4"/>
      <c r="GV9" s="58">
        <f>GV10</f>
        <v>9.6</v>
      </c>
      <c r="HQ9" s="4"/>
      <c r="HV9" s="58">
        <f>HV10</f>
        <v>9.6</v>
      </c>
      <c r="IQ9" s="4"/>
      <c r="IV9" s="58">
        <f>IV10</f>
        <v>9.6</v>
      </c>
      <c r="JQ9" s="4"/>
      <c r="JV9" s="58">
        <f>JV10</f>
        <v>9.6</v>
      </c>
      <c r="KQ9" s="4"/>
      <c r="KV9" s="58">
        <f>KV10</f>
        <v>9.6</v>
      </c>
      <c r="LQ9" s="4"/>
      <c r="LV9" s="58">
        <f>LV10</f>
        <v>9.6</v>
      </c>
      <c r="MQ9" s="4"/>
      <c r="MV9" s="58">
        <f>MV10</f>
        <v>9.6</v>
      </c>
      <c r="NQ9" s="4"/>
      <c r="NV9" s="58">
        <f>NV10</f>
        <v>9.6</v>
      </c>
      <c r="OQ9" s="4"/>
      <c r="OV9" s="58">
        <f>OV10</f>
        <v>9.6</v>
      </c>
    </row>
    <row r="10" spans="1:439" ht="17" x14ac:dyDescent="0.2">
      <c r="A10" s="5"/>
      <c r="B10" s="36" t="s">
        <v>54</v>
      </c>
      <c r="C10" s="22"/>
      <c r="O10" s="11"/>
      <c r="P10" s="11"/>
      <c r="Q10" s="11"/>
      <c r="AM10" s="4"/>
      <c r="AR10" s="59">
        <v>9.6</v>
      </c>
      <c r="BN10" s="4"/>
      <c r="BS10" s="59">
        <v>9.6</v>
      </c>
      <c r="CO10" s="4"/>
      <c r="CT10" s="59">
        <v>9.6</v>
      </c>
      <c r="DQ10" s="4"/>
      <c r="DV10" s="59">
        <v>9.6</v>
      </c>
      <c r="EQ10" s="4"/>
      <c r="EV10" s="59">
        <v>9.6</v>
      </c>
      <c r="FQ10" s="4"/>
      <c r="FV10" s="59">
        <v>9.6</v>
      </c>
      <c r="GQ10" s="4"/>
      <c r="GV10" s="59">
        <v>9.6</v>
      </c>
      <c r="HQ10" s="4"/>
      <c r="HV10" s="59">
        <v>9.6</v>
      </c>
      <c r="IQ10" s="4"/>
      <c r="IV10" s="59">
        <v>9.6</v>
      </c>
      <c r="JQ10" s="4"/>
      <c r="JV10" s="59">
        <v>9.6</v>
      </c>
      <c r="KQ10" s="4"/>
      <c r="KV10" s="59">
        <v>9.6</v>
      </c>
      <c r="LQ10" s="4"/>
      <c r="LV10" s="59">
        <v>9.6</v>
      </c>
      <c r="MQ10" s="4"/>
      <c r="MV10" s="59">
        <v>9.6</v>
      </c>
      <c r="NQ10" s="4"/>
      <c r="NV10" s="59">
        <v>9.6</v>
      </c>
      <c r="OQ10" s="4"/>
      <c r="OV10" s="59">
        <v>9.6</v>
      </c>
    </row>
    <row r="11" spans="1:439" ht="17" hidden="1" x14ac:dyDescent="0.2">
      <c r="A11" s="5"/>
      <c r="B11" s="44" t="s">
        <v>59</v>
      </c>
      <c r="C11" s="22"/>
      <c r="O11" s="11"/>
      <c r="P11" s="11"/>
      <c r="Q11" s="11"/>
      <c r="AM11" s="4"/>
      <c r="AR11" s="65">
        <v>1000</v>
      </c>
      <c r="BN11" s="4"/>
      <c r="BS11" s="65">
        <v>1000</v>
      </c>
      <c r="CO11" s="4"/>
      <c r="CT11" s="65">
        <v>1000</v>
      </c>
      <c r="DQ11" s="4"/>
      <c r="DV11" s="65">
        <v>1000</v>
      </c>
      <c r="EQ11" s="4"/>
      <c r="EV11" s="65">
        <v>1000</v>
      </c>
      <c r="FQ11" s="4"/>
      <c r="FV11" s="65">
        <v>1000</v>
      </c>
      <c r="GQ11" s="4"/>
      <c r="GV11" s="65">
        <v>1000</v>
      </c>
      <c r="HQ11" s="4"/>
      <c r="HV11" s="65">
        <v>1000</v>
      </c>
      <c r="IQ11" s="4"/>
      <c r="IV11" s="65">
        <v>1000</v>
      </c>
      <c r="JQ11" s="4"/>
      <c r="JV11" s="65">
        <v>1000</v>
      </c>
      <c r="KQ11" s="4"/>
      <c r="KV11" s="65">
        <v>1000</v>
      </c>
      <c r="LQ11" s="4"/>
      <c r="LV11" s="65">
        <v>1000</v>
      </c>
      <c r="MQ11" s="4"/>
      <c r="MV11" s="65">
        <v>1000</v>
      </c>
      <c r="NQ11" s="4"/>
      <c r="NV11" s="65">
        <v>1000</v>
      </c>
      <c r="OQ11" s="4"/>
      <c r="OV11" s="65">
        <v>1000</v>
      </c>
    </row>
    <row r="12" spans="1:439" ht="17" x14ac:dyDescent="0.2">
      <c r="A12" s="5"/>
      <c r="B12" s="42" t="s">
        <v>39</v>
      </c>
      <c r="C12" s="22"/>
      <c r="O12" s="11"/>
      <c r="P12" s="11"/>
      <c r="Q12" s="11"/>
      <c r="AM12" s="4"/>
      <c r="AR12" s="66">
        <v>45.5</v>
      </c>
      <c r="BN12" s="4"/>
      <c r="BS12" s="66">
        <v>45.5</v>
      </c>
      <c r="CO12" s="4"/>
      <c r="CT12" s="66">
        <v>45.5</v>
      </c>
      <c r="DQ12" s="4"/>
      <c r="DV12" s="66">
        <v>45.5</v>
      </c>
      <c r="EQ12" s="4"/>
      <c r="EV12" s="66">
        <v>45.5</v>
      </c>
      <c r="FQ12" s="4"/>
      <c r="FV12" s="66">
        <v>45.5</v>
      </c>
      <c r="GQ12" s="4"/>
      <c r="GV12" s="66">
        <v>45.5</v>
      </c>
      <c r="HQ12" s="4"/>
      <c r="HV12" s="66">
        <v>45.5</v>
      </c>
      <c r="IQ12" s="4"/>
      <c r="IV12" s="66">
        <v>45.5</v>
      </c>
      <c r="JQ12" s="4"/>
      <c r="JV12" s="66">
        <v>45.5</v>
      </c>
      <c r="KQ12" s="4"/>
      <c r="KV12" s="66">
        <v>45.5</v>
      </c>
      <c r="LQ12" s="4"/>
      <c r="LV12" s="66">
        <v>45.5</v>
      </c>
      <c r="MQ12" s="4"/>
      <c r="MV12" s="66">
        <v>45.5</v>
      </c>
      <c r="NQ12" s="4"/>
      <c r="NV12" s="66">
        <v>45.5</v>
      </c>
      <c r="OQ12" s="4"/>
      <c r="OV12" s="66">
        <v>45.5</v>
      </c>
    </row>
    <row r="13" spans="1:439" ht="17" hidden="1" x14ac:dyDescent="0.2">
      <c r="A13" s="5"/>
      <c r="B13" s="29" t="s">
        <v>40</v>
      </c>
      <c r="C13" s="22"/>
      <c r="O13" s="11"/>
      <c r="P13" s="11"/>
      <c r="Q13" s="11"/>
      <c r="AM13" s="4"/>
      <c r="AR13" s="62">
        <f>AR14</f>
        <v>47.1</v>
      </c>
      <c r="BN13" s="4"/>
      <c r="BS13" s="62">
        <f>BS14</f>
        <v>47.1</v>
      </c>
      <c r="CO13" s="4"/>
      <c r="CT13" s="62">
        <f>CT14</f>
        <v>47.1</v>
      </c>
      <c r="DQ13" s="4"/>
      <c r="DV13" s="62">
        <f>DV14</f>
        <v>47.1</v>
      </c>
      <c r="EQ13" s="4"/>
      <c r="EV13" s="62">
        <f>EV14</f>
        <v>47.1</v>
      </c>
      <c r="FQ13" s="4"/>
      <c r="FV13" s="62">
        <f>FV14</f>
        <v>47.1</v>
      </c>
      <c r="GQ13" s="4"/>
      <c r="GV13" s="62">
        <f>GV14</f>
        <v>47.1</v>
      </c>
      <c r="HQ13" s="4"/>
      <c r="HV13" s="62">
        <f>HV14</f>
        <v>47.1</v>
      </c>
      <c r="IQ13" s="4"/>
      <c r="IV13" s="62">
        <f>IV14</f>
        <v>47.1</v>
      </c>
      <c r="JQ13" s="4"/>
      <c r="JV13" s="62">
        <f>JV14</f>
        <v>47.1</v>
      </c>
      <c r="KQ13" s="4"/>
      <c r="KV13" s="62">
        <f>KV14</f>
        <v>47.1</v>
      </c>
      <c r="LQ13" s="4"/>
      <c r="LV13" s="62">
        <f>LV14</f>
        <v>47.1</v>
      </c>
      <c r="MQ13" s="4"/>
      <c r="MV13" s="62">
        <f>MV14</f>
        <v>47.1</v>
      </c>
      <c r="NQ13" s="4"/>
      <c r="NV13" s="62">
        <f>NV14</f>
        <v>47.1</v>
      </c>
      <c r="OQ13" s="4"/>
      <c r="OV13" s="62">
        <f>OV14</f>
        <v>47.1</v>
      </c>
    </row>
    <row r="14" spans="1:439" ht="17" x14ac:dyDescent="0.2">
      <c r="A14" s="5"/>
      <c r="B14" s="40" t="s">
        <v>53</v>
      </c>
      <c r="C14" s="22"/>
      <c r="O14" s="11"/>
      <c r="P14" s="11"/>
      <c r="Q14" s="11"/>
      <c r="AM14" s="4"/>
      <c r="AR14" s="63">
        <v>47.1</v>
      </c>
      <c r="BN14" s="4"/>
      <c r="BS14" s="63">
        <v>47.1</v>
      </c>
      <c r="CO14" s="4"/>
      <c r="CT14" s="63">
        <v>47.1</v>
      </c>
      <c r="DQ14" s="4"/>
      <c r="DV14" s="63">
        <v>47.1</v>
      </c>
      <c r="EQ14" s="4"/>
      <c r="EV14" s="63">
        <v>47.1</v>
      </c>
      <c r="FQ14" s="4"/>
      <c r="FV14" s="63">
        <v>47.1</v>
      </c>
      <c r="GQ14" s="4"/>
      <c r="GV14" s="63">
        <v>47.1</v>
      </c>
      <c r="HQ14" s="4"/>
      <c r="HV14" s="63">
        <v>47.1</v>
      </c>
      <c r="IQ14" s="4"/>
      <c r="IV14" s="63">
        <v>47.1</v>
      </c>
      <c r="JQ14" s="4"/>
      <c r="JV14" s="63">
        <v>47.1</v>
      </c>
      <c r="KQ14" s="4"/>
      <c r="KV14" s="63">
        <v>47.1</v>
      </c>
      <c r="LQ14" s="4"/>
      <c r="LV14" s="63">
        <v>47.1</v>
      </c>
      <c r="MQ14" s="4"/>
      <c r="MV14" s="63">
        <v>47.1</v>
      </c>
      <c r="NQ14" s="4"/>
      <c r="NV14" s="63">
        <v>47.1</v>
      </c>
      <c r="OQ14" s="4"/>
      <c r="OV14" s="63">
        <v>47.1</v>
      </c>
    </row>
    <row r="15" spans="1:439" ht="17" hidden="1" x14ac:dyDescent="0.2">
      <c r="A15" s="5"/>
      <c r="B15" s="30" t="s">
        <v>26</v>
      </c>
      <c r="C15" s="22"/>
      <c r="O15" s="11"/>
      <c r="P15" s="11"/>
      <c r="Q15" s="11"/>
      <c r="AM15" s="4"/>
      <c r="AR15" s="64">
        <v>1000</v>
      </c>
      <c r="BN15" s="4"/>
      <c r="BS15" s="64">
        <v>1000</v>
      </c>
      <c r="CO15" s="4"/>
      <c r="CT15" s="64">
        <v>1000</v>
      </c>
      <c r="DQ15" s="4"/>
      <c r="DV15" s="64">
        <v>1000</v>
      </c>
      <c r="EQ15" s="4"/>
      <c r="EV15" s="64">
        <v>1000</v>
      </c>
      <c r="FQ15" s="4"/>
      <c r="FV15" s="64">
        <v>1000</v>
      </c>
      <c r="GQ15" s="4"/>
      <c r="GV15" s="64">
        <v>1000</v>
      </c>
      <c r="HQ15" s="4"/>
      <c r="HV15" s="64">
        <v>1000</v>
      </c>
      <c r="IQ15" s="4"/>
      <c r="IV15" s="64">
        <v>1000</v>
      </c>
      <c r="JQ15" s="4"/>
      <c r="JV15" s="64">
        <v>1000</v>
      </c>
      <c r="KQ15" s="4"/>
      <c r="KV15" s="64">
        <v>1000</v>
      </c>
      <c r="LQ15" s="4"/>
      <c r="LV15" s="64">
        <v>1000</v>
      </c>
      <c r="MQ15" s="4"/>
      <c r="MV15" s="64">
        <v>1000</v>
      </c>
      <c r="NQ15" s="4"/>
      <c r="NV15" s="64">
        <v>1000</v>
      </c>
      <c r="OQ15" s="4"/>
      <c r="OV15" s="64">
        <v>1000</v>
      </c>
    </row>
    <row r="16" spans="1:439" x14ac:dyDescent="0.2">
      <c r="B16" s="34" t="s">
        <v>45</v>
      </c>
      <c r="C16" s="2"/>
    </row>
    <row r="17" spans="1:3" x14ac:dyDescent="0.2">
      <c r="A17" s="5"/>
      <c r="B17" s="5"/>
      <c r="C17" s="2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5">
      <sortCondition descending="1" ref="F1:F6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5">
    <cfRule type="expression" dxfId="28" priority="2" stopIfTrue="1">
      <formula>IF($AL4&lt;&gt;"",1,0)</formula>
    </cfRule>
  </conditionalFormatting>
  <conditionalFormatting sqref="AS4:BS5">
    <cfRule type="expression" dxfId="27" priority="3" stopIfTrue="1">
      <formula>IF($BM4&lt;&gt;"",1,0)</formula>
    </cfRule>
  </conditionalFormatting>
  <conditionalFormatting sqref="J1:J1048576 L1:L1048576 N1:N1048576">
    <cfRule type="expression" dxfId="26" priority="10">
      <formula>IF(J1=$BT$1,1,0)</formula>
    </cfRule>
    <cfRule type="expression" dxfId="25" priority="11">
      <formula>IF(J1=$AS$1,1,0)</formula>
    </cfRule>
    <cfRule type="expression" dxfId="24" priority="12">
      <formula>IF(J1=$R$1,1,0)</formula>
    </cfRule>
  </conditionalFormatting>
  <conditionalFormatting sqref="BT4:CT5">
    <cfRule type="expression" dxfId="23" priority="4" stopIfTrue="1">
      <formula>IF($CN4&lt;&gt;"",1,0)</formula>
    </cfRule>
  </conditionalFormatting>
  <conditionalFormatting sqref="A4:A1048576">
    <cfRule type="expression" dxfId="22" priority="1">
      <formula>AND(G4&lt;&gt;"",F4="")</formula>
    </cfRule>
    <cfRule type="expression" dxfId="21" priority="13" stopIfTrue="1">
      <formula>IF(A4&gt;4,1,0)</formula>
    </cfRule>
  </conditionalFormatting>
  <conditionalFormatting sqref="H1:H1048576">
    <cfRule type="containsText" dxfId="20" priority="5" operator="containsText" text="No DD">
      <formula>NOT(ISERROR(SEARCH("No DD",H1)))</formula>
    </cfRule>
    <cfRule type="containsText" dxfId="19" priority="6" operator="containsText" text="Merit">
      <formula>NOT(ISERROR(SEARCH("Merit",H1)))</formula>
    </cfRule>
    <cfRule type="containsText" dxfId="18" priority="7" operator="containsText" text="Excellence">
      <formula>NOT(ISERROR(SEARCH("Excellence",H1)))</formula>
    </cfRule>
    <cfRule type="containsText" dxfId="17" priority="8" operator="containsText" text="Worlds Team">
      <formula>NOT(ISERROR(SEARCH("Worlds Team",H1)))</formula>
    </cfRule>
    <cfRule type="containsText" dxfId="16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5" priority="58570" operator="between">
      <formula>AR$11</formula>
      <formula>1000</formula>
    </cfRule>
    <cfRule type="cellIs" dxfId="14" priority="58571" operator="between">
      <formula>AR$10</formula>
      <formula>AR$11</formula>
    </cfRule>
    <cfRule type="cellIs" dxfId="13" priority="58572" operator="between">
      <formula>AR$9</formula>
      <formula>AR$10</formula>
    </cfRule>
    <cfRule type="cellIs" dxfId="12" priority="58573" operator="between">
      <formula>AR$8</formula>
      <formula>AR$9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11" priority="58750" operator="between">
      <formula>AR$15</formula>
      <formula>1000</formula>
    </cfRule>
    <cfRule type="cellIs" dxfId="10" priority="58751" operator="between">
      <formula>AR$14</formula>
      <formula>AR$15</formula>
    </cfRule>
    <cfRule type="cellIs" dxfId="9" priority="58752" operator="between">
      <formula>AR$13</formula>
      <formula>AR$14</formula>
    </cfRule>
    <cfRule type="cellIs" dxfId="8" priority="58753" operator="between">
      <formula>AR$12</formula>
      <formula>AR$13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7" priority="58930" operator="between">
      <formula>AR$8</formula>
      <formula>AR$9</formula>
    </cfRule>
    <cfRule type="cellIs" dxfId="6" priority="58931" operator="between">
      <formula>AR$9</formula>
      <formula>AR$10</formula>
    </cfRule>
    <cfRule type="cellIs" dxfId="5" priority="58932" operator="between">
      <formula>AR$10</formula>
      <formula>AR$11</formula>
    </cfRule>
    <cfRule type="cellIs" dxfId="4" priority="58933" operator="between">
      <formula>AR$11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" priority="59110" operator="between">
      <formula>AR$12</formula>
      <formula>AR$13</formula>
    </cfRule>
    <cfRule type="cellIs" dxfId="2" priority="59111" operator="between">
      <formula>AR$13</formula>
      <formula>AR$14</formula>
    </cfRule>
    <cfRule type="cellIs" dxfId="1" priority="59112" operator="between">
      <formula>AR$14</formula>
      <formula>AR$15</formula>
    </cfRule>
    <cfRule type="cellIs" dxfId="0" priority="59113" operator="between">
      <formula>AR$15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2024-01-11T16:51:14Z</dcterms:modified>
</cp:coreProperties>
</file>